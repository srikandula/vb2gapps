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tables/table7.xml" ContentType="application/vnd.openxmlformats-officedocument.spreadsheetml.table+xml"/>
  <Override PartName="/xl/pivotTables/pivotTable2.xml" ContentType="application/vnd.openxmlformats-officedocument.spreadsheetml.pivot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3.xml" ContentType="application/vnd.openxmlformats-officedocument.spreadsheetml.pivot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cgallon002\Documents\!client_work\2015\TE Connectivity\OCF &amp; TSA\02_working\"/>
    </mc:Choice>
  </mc:AlternateContent>
  <bookViews>
    <workbookView xWindow="0" yWindow="0" windowWidth="22515" windowHeight="10320" tabRatio="947" firstSheet="1" activeTab="1"/>
  </bookViews>
  <sheets>
    <sheet name="ADMIN" sheetId="475" state="veryHidden" r:id="rId1"/>
    <sheet name="Input &amp; Assumptions" sheetId="39" r:id="rId2"/>
    <sheet name="Data Dictionary" sheetId="22" state="veryHidden" r:id="rId3"/>
    <sheet name="HFM Acct - OCF Activity" sheetId="18" r:id="rId4"/>
    <sheet name="BNS Profit Centers" sheetId="21" r:id="rId5"/>
    <sheet name="GL Acct - Clearing" sheetId="26" r:id="rId6"/>
    <sheet name="Cost Centers" sheetId="28" r:id="rId7"/>
    <sheet name="OCF Activity Template" sheetId="486" r:id="rId8"/>
    <sheet name="All_Accounts" sheetId="485" r:id="rId9"/>
    <sheet name="All_Accounts_Pivot" sheetId="484" r:id="rId10"/>
    <sheet name="Pre-Close BNS Income" sheetId="479" r:id="rId11"/>
    <sheet name="Pre-Close AMF Pivot" sheetId="478" r:id="rId12"/>
    <sheet name="Pre-Close 0417 - AMF - 201502" sheetId="477" r:id="rId13"/>
    <sheet name="0417 - AMF - 201502" sheetId="476" r:id="rId14"/>
    <sheet name="Modded_AMF_Pivot_Accounts" sheetId="483" r:id="rId15"/>
    <sheet name="Modded AMF Pivot" sheetId="482" r:id="rId16"/>
    <sheet name="AMF Table - Modded" sheetId="481" r:id="rId17"/>
    <sheet name="0417 - AMF - 201503" sheetId="480" r:id="rId18"/>
    <sheet name="PersistentStorage" sheetId="46" state="veryHidden" r:id="rId19"/>
  </sheets>
  <functionGroups builtInGroupCount="18"/>
  <externalReferences>
    <externalReference r:id="rId20"/>
    <externalReference r:id="rId21"/>
  </externalReferences>
  <definedNames>
    <definedName name="_xlnm._FilterDatabase" localSheetId="3" hidden="1">'HFM Acct - OCF Activity'!$A$1:$C$401</definedName>
    <definedName name="admin_BNS_profit_center_flag">ADMIN!$C$7</definedName>
    <definedName name="admin_Current_Month_AMF_Tab">ADMIN!$C$5</definedName>
    <definedName name="admin_Pre_Close_AMF_Date">ADMIN!$C$3</definedName>
    <definedName name="admin_Pre_Close_AMF_Tab">ADMIN!$C$4</definedName>
    <definedName name="admin_template_version">ADMIN!$C$6</definedName>
    <definedName name="admin_tmp_formula_local">ADMIN!$C$9</definedName>
    <definedName name="ERP_list" localSheetId="13">[1]PersistentStorage!$G$2:$G$4</definedName>
    <definedName name="ERP_list" localSheetId="17">[2]PersistentStorage!$G$2:$G$4</definedName>
    <definedName name="ERP_list" localSheetId="16">[2]PersistentStorage!$G$2:$G$4</definedName>
    <definedName name="ERP_list" localSheetId="12">[1]PersistentStorage!$G$2:$G$4</definedName>
    <definedName name="ERP_list">PersistentStorage!$G$2:$G$4</definedName>
    <definedName name="input_BNS_profit_center_flag">ADMIN!$C$7</definedName>
    <definedName name="input_Contra_BNS_PC">'Input &amp; Assumptions'!$C$13</definedName>
    <definedName name="input_DTDF_Acct">'Input &amp; Assumptions'!$C$14</definedName>
    <definedName name="input_DTDF_PC">'Input &amp; Assumptions'!$C$15</definedName>
    <definedName name="input_ERP_name">'Input &amp; Assumptions'!$C$10</definedName>
    <definedName name="input_SAP_Document_Date">'Input &amp; Assumptions'!$C$11</definedName>
    <definedName name="input_SAP_Posting_Date">'Input &amp; Assumptions'!$C$12</definedName>
  </definedNames>
  <calcPr calcId="152511"/>
  <pivotCaches>
    <pivotCache cacheId="0" r:id="rId22"/>
    <pivotCache cacheId="1" r:id="rId23"/>
  </pivotCaches>
</workbook>
</file>

<file path=xl/calcChain.xml><?xml version="1.0" encoding="utf-8"?>
<calcChain xmlns="http://schemas.openxmlformats.org/spreadsheetml/2006/main">
  <c r="AA3" i="486" l="1"/>
  <c r="AA4" i="486"/>
  <c r="AA5" i="486"/>
  <c r="AA6" i="486"/>
  <c r="AA7" i="486"/>
  <c r="AA8" i="486"/>
  <c r="AA9" i="486"/>
  <c r="AA10" i="486"/>
  <c r="AA11" i="486"/>
  <c r="AA12" i="486"/>
  <c r="AA13" i="486"/>
  <c r="AA14" i="486"/>
  <c r="AA15" i="486"/>
  <c r="AA16" i="486"/>
  <c r="AA17" i="486"/>
  <c r="AA18" i="486"/>
  <c r="AA19" i="486"/>
  <c r="AA20" i="486"/>
  <c r="AA21" i="486"/>
  <c r="AA22" i="486"/>
  <c r="AA23" i="486"/>
  <c r="AA24" i="486"/>
  <c r="AA25" i="486"/>
  <c r="AA26" i="486"/>
  <c r="AA27" i="486"/>
  <c r="AA28" i="486"/>
  <c r="AA29" i="486"/>
  <c r="AA30" i="486"/>
  <c r="AA31" i="486"/>
  <c r="AA32" i="486"/>
  <c r="AA33" i="486"/>
  <c r="AA34" i="486"/>
  <c r="AA35" i="486"/>
  <c r="AA36" i="486"/>
  <c r="AA37" i="486"/>
  <c r="AA38" i="486"/>
  <c r="AA39" i="486"/>
  <c r="AA40" i="486"/>
  <c r="AA41" i="486"/>
  <c r="AA42" i="486"/>
  <c r="AA43" i="486"/>
  <c r="AA44" i="486"/>
  <c r="AA45" i="486"/>
  <c r="AA46" i="486"/>
  <c r="AA47" i="486"/>
  <c r="AA48" i="486"/>
  <c r="AA49" i="486"/>
  <c r="AA50" i="486"/>
  <c r="AA51" i="486"/>
  <c r="AA52" i="486"/>
  <c r="AA53" i="486"/>
  <c r="AA54" i="486"/>
  <c r="AA55" i="486"/>
  <c r="AA56" i="486"/>
  <c r="AA57" i="486"/>
  <c r="AA58" i="486"/>
  <c r="AA59" i="486"/>
  <c r="AA60" i="486"/>
  <c r="AA61" i="486"/>
  <c r="AA62" i="486"/>
  <c r="AA63" i="486"/>
  <c r="AA64" i="486"/>
  <c r="AA65" i="486"/>
  <c r="AA66" i="486"/>
  <c r="AA67" i="486"/>
  <c r="AA68" i="486"/>
  <c r="AA69" i="486"/>
  <c r="AA70" i="486"/>
  <c r="AA71" i="486"/>
  <c r="AA72" i="486"/>
  <c r="AA73" i="486"/>
  <c r="AA74" i="486"/>
  <c r="AA75" i="486"/>
  <c r="AA76" i="486"/>
  <c r="AA77" i="486"/>
  <c r="AA78" i="486"/>
  <c r="AA79" i="486"/>
  <c r="AA80" i="486"/>
  <c r="AA81" i="486"/>
  <c r="AA82" i="486"/>
  <c r="AA83" i="486"/>
  <c r="AA84" i="486"/>
  <c r="AA85" i="486"/>
  <c r="AA86" i="486"/>
  <c r="AA87" i="486"/>
  <c r="AA88" i="486"/>
  <c r="AA89" i="486"/>
  <c r="AA90" i="486"/>
  <c r="AA91" i="486"/>
  <c r="AA92" i="486"/>
  <c r="AA93" i="486"/>
  <c r="AA94" i="486"/>
  <c r="AA95" i="486"/>
  <c r="AA96" i="486"/>
  <c r="AA97" i="486"/>
  <c r="AA98" i="486"/>
  <c r="AA99" i="486"/>
  <c r="AA100" i="486"/>
  <c r="AA101" i="486"/>
  <c r="AA102" i="486"/>
  <c r="AA103" i="486"/>
  <c r="AA104" i="486"/>
  <c r="AA105" i="486"/>
  <c r="AA106" i="486"/>
  <c r="AA107" i="486"/>
  <c r="AA108" i="486"/>
  <c r="AA109" i="486"/>
  <c r="AA110" i="486"/>
  <c r="AA111" i="486"/>
  <c r="AA112" i="486"/>
  <c r="AA113" i="486"/>
  <c r="AA114" i="486"/>
  <c r="AA115" i="486"/>
  <c r="AA116" i="486"/>
  <c r="AA117" i="486"/>
  <c r="AA118" i="486"/>
  <c r="AA119" i="486"/>
  <c r="AA120" i="486"/>
  <c r="AA121" i="486"/>
  <c r="AA122" i="486"/>
  <c r="AA123" i="486"/>
  <c r="AA124" i="486"/>
  <c r="AA125" i="486"/>
  <c r="AA126" i="486"/>
  <c r="AA127" i="486"/>
  <c r="AA128" i="486"/>
  <c r="AA129" i="486"/>
  <c r="AA130" i="486"/>
  <c r="AA131" i="486"/>
  <c r="AA132" i="486"/>
  <c r="AA133" i="486"/>
  <c r="AA134" i="486"/>
  <c r="AA135" i="486"/>
  <c r="AA136" i="486"/>
  <c r="AA137" i="486"/>
  <c r="AA138" i="486"/>
  <c r="AA139" i="486"/>
  <c r="AA140" i="486"/>
  <c r="AA141" i="486"/>
  <c r="AA142" i="486"/>
  <c r="AA143" i="486"/>
  <c r="AA144" i="486"/>
  <c r="AA145" i="486"/>
  <c r="AA146" i="486"/>
  <c r="AA147" i="486"/>
  <c r="AA148" i="486"/>
  <c r="AA149" i="486"/>
  <c r="AA150" i="486"/>
  <c r="AA151" i="486"/>
  <c r="AA152" i="486"/>
  <c r="AA153" i="486"/>
  <c r="AA2" i="486"/>
  <c r="Z3" i="486"/>
  <c r="Z4" i="486"/>
  <c r="Z5" i="486"/>
  <c r="Z6" i="486"/>
  <c r="Z7" i="486"/>
  <c r="Z8" i="486"/>
  <c r="Z9" i="486"/>
  <c r="Z10" i="486"/>
  <c r="Z11" i="486"/>
  <c r="Z12" i="486"/>
  <c r="Z13" i="486"/>
  <c r="Z14" i="486"/>
  <c r="Z15" i="486"/>
  <c r="Z16" i="486"/>
  <c r="Z17" i="486"/>
  <c r="Z18" i="486"/>
  <c r="Z19" i="486"/>
  <c r="Z20" i="486"/>
  <c r="Z21" i="486"/>
  <c r="Z22" i="486"/>
  <c r="Z23" i="486"/>
  <c r="Z24" i="486"/>
  <c r="Z25" i="486"/>
  <c r="Z26" i="486"/>
  <c r="Z27" i="486"/>
  <c r="Z28" i="486"/>
  <c r="Z29" i="486"/>
  <c r="Z30" i="486"/>
  <c r="Z31" i="486"/>
  <c r="Z32" i="486"/>
  <c r="Z33" i="486"/>
  <c r="Z34" i="486"/>
  <c r="Z35" i="486"/>
  <c r="Z36" i="486"/>
  <c r="Z37" i="486"/>
  <c r="Z38" i="486"/>
  <c r="Z39" i="486"/>
  <c r="Z40" i="486"/>
  <c r="Z41" i="486"/>
  <c r="Z42" i="486"/>
  <c r="Z43" i="486"/>
  <c r="Z44" i="486"/>
  <c r="Z45" i="486"/>
  <c r="Z46" i="486"/>
  <c r="Z47" i="486"/>
  <c r="Z48" i="486"/>
  <c r="Z49" i="486"/>
  <c r="Z50" i="486"/>
  <c r="Z51" i="486"/>
  <c r="Z52" i="486"/>
  <c r="Z53" i="486"/>
  <c r="Z54" i="486"/>
  <c r="Z55" i="486"/>
  <c r="Z56" i="486"/>
  <c r="Z57" i="486"/>
  <c r="Z58" i="486"/>
  <c r="Z59" i="486"/>
  <c r="Z60" i="486"/>
  <c r="Z61" i="486"/>
  <c r="Z62" i="486"/>
  <c r="Z63" i="486"/>
  <c r="Z64" i="486"/>
  <c r="Z65" i="486"/>
  <c r="Z66" i="486"/>
  <c r="Z67" i="486"/>
  <c r="Z68" i="486"/>
  <c r="Z69" i="486"/>
  <c r="Z70" i="486"/>
  <c r="Z71" i="486"/>
  <c r="Z72" i="486"/>
  <c r="Z73" i="486"/>
  <c r="Z74" i="486"/>
  <c r="Z75" i="486"/>
  <c r="Z76" i="486"/>
  <c r="Z77" i="486"/>
  <c r="Z78" i="486"/>
  <c r="Z79" i="486"/>
  <c r="Z80" i="486"/>
  <c r="Z81" i="486"/>
  <c r="Z82" i="486"/>
  <c r="Z83" i="486"/>
  <c r="Z84" i="486"/>
  <c r="Z85" i="486"/>
  <c r="Z86" i="486"/>
  <c r="Z87" i="486"/>
  <c r="Z88" i="486"/>
  <c r="Z89" i="486"/>
  <c r="Z90" i="486"/>
  <c r="Z91" i="486"/>
  <c r="Z92" i="486"/>
  <c r="Z93" i="486"/>
  <c r="Z94" i="486"/>
  <c r="Z95" i="486"/>
  <c r="Z96" i="486"/>
  <c r="Z97" i="486"/>
  <c r="Z98" i="486"/>
  <c r="Z99" i="486"/>
  <c r="Z100" i="486"/>
  <c r="Z101" i="486"/>
  <c r="Z102" i="486"/>
  <c r="Z103" i="486"/>
  <c r="Z104" i="486"/>
  <c r="Z105" i="486"/>
  <c r="Z106" i="486"/>
  <c r="Z107" i="486"/>
  <c r="Z108" i="486"/>
  <c r="Z109" i="486"/>
  <c r="Z110" i="486"/>
  <c r="Z111" i="486"/>
  <c r="Z112" i="486"/>
  <c r="Z113" i="486"/>
  <c r="Z114" i="486"/>
  <c r="Z115" i="486"/>
  <c r="Z116" i="486"/>
  <c r="Z117" i="486"/>
  <c r="Z118" i="486"/>
  <c r="Z119" i="486"/>
  <c r="Z120" i="486"/>
  <c r="Z121" i="486"/>
  <c r="Z122" i="486"/>
  <c r="Z123" i="486"/>
  <c r="Z124" i="486"/>
  <c r="Z125" i="486"/>
  <c r="Z126" i="486"/>
  <c r="Z127" i="486"/>
  <c r="Z128" i="486"/>
  <c r="Z129" i="486"/>
  <c r="Z130" i="486"/>
  <c r="Z131" i="486"/>
  <c r="Z132" i="486"/>
  <c r="Z133" i="486"/>
  <c r="Z134" i="486"/>
  <c r="Z135" i="486"/>
  <c r="Z136" i="486"/>
  <c r="Z137" i="486"/>
  <c r="Z138" i="486"/>
  <c r="Z139" i="486"/>
  <c r="Z140" i="486"/>
  <c r="Z141" i="486"/>
  <c r="Z142" i="486"/>
  <c r="Z143" i="486"/>
  <c r="Z144" i="486"/>
  <c r="Z145" i="486"/>
  <c r="Z146" i="486"/>
  <c r="Z147" i="486"/>
  <c r="Z148" i="486"/>
  <c r="Z149" i="486"/>
  <c r="Z150" i="486"/>
  <c r="Z151" i="486"/>
  <c r="Z152" i="486"/>
  <c r="Z153" i="486"/>
  <c r="Z2" i="486"/>
  <c r="Y3" i="486"/>
  <c r="Y4" i="486"/>
  <c r="Y5" i="486"/>
  <c r="Y6" i="486"/>
  <c r="Y7" i="486"/>
  <c r="Y8" i="486"/>
  <c r="Y9" i="486"/>
  <c r="Y10" i="486"/>
  <c r="Y11" i="486"/>
  <c r="Y12" i="486"/>
  <c r="Y13" i="486"/>
  <c r="Y14" i="486"/>
  <c r="Y15" i="486"/>
  <c r="Y16" i="486"/>
  <c r="Y17" i="486"/>
  <c r="Y18" i="486"/>
  <c r="Y19" i="486"/>
  <c r="Y20" i="486"/>
  <c r="Y21" i="486"/>
  <c r="Y22" i="486"/>
  <c r="Y23" i="486"/>
  <c r="Y24" i="486"/>
  <c r="Y25" i="486"/>
  <c r="Y26" i="486"/>
  <c r="Y27" i="486"/>
  <c r="Y28" i="486"/>
  <c r="Y29" i="486"/>
  <c r="Y30" i="486"/>
  <c r="Y31" i="486"/>
  <c r="Y32" i="486"/>
  <c r="Y33" i="486"/>
  <c r="Y34" i="486"/>
  <c r="Y35" i="486"/>
  <c r="Y36" i="486"/>
  <c r="Y37" i="486"/>
  <c r="Y38" i="486"/>
  <c r="Y39" i="486"/>
  <c r="Y40" i="486"/>
  <c r="Y41" i="486"/>
  <c r="Y42" i="486"/>
  <c r="Y43" i="486"/>
  <c r="Y44" i="486"/>
  <c r="Y45" i="486"/>
  <c r="Y46" i="486"/>
  <c r="Y47" i="486"/>
  <c r="Y48" i="486"/>
  <c r="Y49" i="486"/>
  <c r="Y50" i="486"/>
  <c r="Y51" i="486"/>
  <c r="Y52" i="486"/>
  <c r="Y53" i="486"/>
  <c r="Y54" i="486"/>
  <c r="Y55" i="486"/>
  <c r="Y56" i="486"/>
  <c r="Y57" i="486"/>
  <c r="Y58" i="486"/>
  <c r="Y59" i="486"/>
  <c r="Y60" i="486"/>
  <c r="Y61" i="486"/>
  <c r="Y62" i="486"/>
  <c r="Y63" i="486"/>
  <c r="Y64" i="486"/>
  <c r="Y65" i="486"/>
  <c r="Y66" i="486"/>
  <c r="Y67" i="486"/>
  <c r="Y68" i="486"/>
  <c r="Y69" i="486"/>
  <c r="Y70" i="486"/>
  <c r="Y71" i="486"/>
  <c r="Y72" i="486"/>
  <c r="Y73" i="486"/>
  <c r="Y74" i="486"/>
  <c r="Y75" i="486"/>
  <c r="Y76" i="486"/>
  <c r="Y77" i="486"/>
  <c r="Y78" i="486"/>
  <c r="Y79" i="486"/>
  <c r="Y80" i="486"/>
  <c r="Y81" i="486"/>
  <c r="Y82" i="486"/>
  <c r="Y83" i="486"/>
  <c r="Y84" i="486"/>
  <c r="Y85" i="486"/>
  <c r="Y86" i="486"/>
  <c r="Y87" i="486"/>
  <c r="Y88" i="486"/>
  <c r="Y89" i="486"/>
  <c r="Y90" i="486"/>
  <c r="Y91" i="486"/>
  <c r="Y92" i="486"/>
  <c r="Y93" i="486"/>
  <c r="Y94" i="486"/>
  <c r="Y95" i="486"/>
  <c r="Y96" i="486"/>
  <c r="Y97" i="486"/>
  <c r="Y98" i="486"/>
  <c r="Y99" i="486"/>
  <c r="Y100" i="486"/>
  <c r="Y101" i="486"/>
  <c r="Y102" i="486"/>
  <c r="Y103" i="486"/>
  <c r="Y104" i="486"/>
  <c r="Y105" i="486"/>
  <c r="Y106" i="486"/>
  <c r="Y107" i="486"/>
  <c r="Y108" i="486"/>
  <c r="Y109" i="486"/>
  <c r="Y110" i="486"/>
  <c r="Y111" i="486"/>
  <c r="Y112" i="486"/>
  <c r="Y113" i="486"/>
  <c r="Y114" i="486"/>
  <c r="Y115" i="486"/>
  <c r="Y116" i="486"/>
  <c r="Y117" i="486"/>
  <c r="Y118" i="486"/>
  <c r="Y119" i="486"/>
  <c r="Y120" i="486"/>
  <c r="Y121" i="486"/>
  <c r="Y122" i="486"/>
  <c r="Y123" i="486"/>
  <c r="Y124" i="486"/>
  <c r="Y125" i="486"/>
  <c r="Y126" i="486"/>
  <c r="Y127" i="486"/>
  <c r="Y128" i="486"/>
  <c r="Y129" i="486"/>
  <c r="Y130" i="486"/>
  <c r="Y131" i="486"/>
  <c r="Y132" i="486"/>
  <c r="Y133" i="486"/>
  <c r="Y134" i="486"/>
  <c r="Y135" i="486"/>
  <c r="Y136" i="486"/>
  <c r="Y137" i="486"/>
  <c r="Y138" i="486"/>
  <c r="Y139" i="486"/>
  <c r="Y140" i="486"/>
  <c r="Y141" i="486"/>
  <c r="Y142" i="486"/>
  <c r="Y143" i="486"/>
  <c r="Y144" i="486"/>
  <c r="Y145" i="486"/>
  <c r="Y146" i="486"/>
  <c r="Y147" i="486"/>
  <c r="Y148" i="486"/>
  <c r="Y149" i="486"/>
  <c r="Y150" i="486"/>
  <c r="Y151" i="486"/>
  <c r="Y152" i="486"/>
  <c r="Y153" i="486"/>
  <c r="Y2" i="486"/>
  <c r="X2" i="486"/>
  <c r="X3" i="486"/>
  <c r="X4" i="486"/>
  <c r="X5" i="486"/>
  <c r="X6" i="486"/>
  <c r="X7" i="486"/>
  <c r="X8" i="486"/>
  <c r="X9" i="486"/>
  <c r="X10" i="486"/>
  <c r="X11" i="486"/>
  <c r="X12" i="486"/>
  <c r="X13" i="486"/>
  <c r="X14" i="486"/>
  <c r="X15" i="486"/>
  <c r="X16" i="486"/>
  <c r="X17" i="486"/>
  <c r="X18" i="486"/>
  <c r="X19" i="486"/>
  <c r="X20" i="486"/>
  <c r="X21" i="486"/>
  <c r="X22" i="486"/>
  <c r="X23" i="486"/>
  <c r="X24" i="486"/>
  <c r="X25" i="486"/>
  <c r="X26" i="486"/>
  <c r="X27" i="486"/>
  <c r="X28" i="486"/>
  <c r="X29" i="486"/>
  <c r="X30" i="486"/>
  <c r="X31" i="486"/>
  <c r="X32" i="486"/>
  <c r="X33" i="486"/>
  <c r="X34" i="486"/>
  <c r="X35" i="486"/>
  <c r="X36" i="486"/>
  <c r="X37" i="486"/>
  <c r="X38" i="486"/>
  <c r="X39" i="486"/>
  <c r="X40" i="486"/>
  <c r="X41" i="486"/>
  <c r="X42" i="486"/>
  <c r="X43" i="486"/>
  <c r="X44" i="486"/>
  <c r="X45" i="486"/>
  <c r="X46" i="486"/>
  <c r="X47" i="486"/>
  <c r="X48" i="486"/>
  <c r="X49" i="486"/>
  <c r="X50" i="486"/>
  <c r="X51" i="486"/>
  <c r="X52" i="486"/>
  <c r="X53" i="486"/>
  <c r="X54" i="486"/>
  <c r="X55" i="486"/>
  <c r="X56" i="486"/>
  <c r="X57" i="486"/>
  <c r="X58" i="486"/>
  <c r="X59" i="486"/>
  <c r="X60" i="486"/>
  <c r="X61" i="486"/>
  <c r="X62" i="486"/>
  <c r="X63" i="486"/>
  <c r="X64" i="486"/>
  <c r="X65" i="486"/>
  <c r="X66" i="486"/>
  <c r="X67" i="486"/>
  <c r="X68" i="486"/>
  <c r="X69" i="486"/>
  <c r="X70" i="486"/>
  <c r="X71" i="486"/>
  <c r="X72" i="486"/>
  <c r="X73" i="486"/>
  <c r="X74" i="486"/>
  <c r="X75" i="486"/>
  <c r="X76" i="486"/>
  <c r="X77" i="486"/>
  <c r="X78" i="486"/>
  <c r="X79" i="486"/>
  <c r="X80" i="486"/>
  <c r="X81" i="486"/>
  <c r="X82" i="486"/>
  <c r="X83" i="486"/>
  <c r="X84" i="486"/>
  <c r="X85" i="486"/>
  <c r="X86" i="486"/>
  <c r="X87" i="486"/>
  <c r="X88" i="486"/>
  <c r="X89" i="486"/>
  <c r="X90" i="486"/>
  <c r="X91" i="486"/>
  <c r="X92" i="486"/>
  <c r="X93" i="486"/>
  <c r="X94" i="486"/>
  <c r="X95" i="486"/>
  <c r="X96" i="486"/>
  <c r="X97" i="486"/>
  <c r="X98" i="486"/>
  <c r="X99" i="486"/>
  <c r="X100" i="486"/>
  <c r="X101" i="486"/>
  <c r="X102" i="486"/>
  <c r="X103" i="486"/>
  <c r="X104" i="486"/>
  <c r="X105" i="486"/>
  <c r="X106" i="486"/>
  <c r="X107" i="486"/>
  <c r="X108" i="486"/>
  <c r="X109" i="486"/>
  <c r="X110" i="486"/>
  <c r="X111" i="486"/>
  <c r="X112" i="486"/>
  <c r="X113" i="486"/>
  <c r="X114" i="486"/>
  <c r="X115" i="486"/>
  <c r="X116" i="486"/>
  <c r="X117" i="486"/>
  <c r="X118" i="486"/>
  <c r="X119" i="486"/>
  <c r="X120" i="486"/>
  <c r="X121" i="486"/>
  <c r="X122" i="486"/>
  <c r="X123" i="486"/>
  <c r="X124" i="486"/>
  <c r="X125" i="486"/>
  <c r="X126" i="486"/>
  <c r="X127" i="486"/>
  <c r="X128" i="486"/>
  <c r="X129" i="486"/>
  <c r="X130" i="486"/>
  <c r="X131" i="486"/>
  <c r="X132" i="486"/>
  <c r="X133" i="486"/>
  <c r="X134" i="486"/>
  <c r="X135" i="486"/>
  <c r="X136" i="486"/>
  <c r="X137" i="486"/>
  <c r="X138" i="486"/>
  <c r="X139" i="486"/>
  <c r="X140" i="486"/>
  <c r="X141" i="486"/>
  <c r="X142" i="486"/>
  <c r="X143" i="486"/>
  <c r="X144" i="486"/>
  <c r="X145" i="486"/>
  <c r="X146" i="486"/>
  <c r="X147" i="486"/>
  <c r="X148" i="486"/>
  <c r="X149" i="486"/>
  <c r="X150" i="486"/>
  <c r="X151" i="486"/>
  <c r="X152" i="486"/>
  <c r="X153" i="486"/>
  <c r="V3" i="486"/>
  <c r="V4" i="486"/>
  <c r="V5" i="486"/>
  <c r="V6" i="486"/>
  <c r="V7" i="486"/>
  <c r="V8" i="486"/>
  <c r="V9" i="486"/>
  <c r="V10" i="486"/>
  <c r="V11" i="486"/>
  <c r="V12" i="486"/>
  <c r="V13" i="486"/>
  <c r="V14" i="486"/>
  <c r="V15" i="486"/>
  <c r="V16" i="486"/>
  <c r="V17" i="486"/>
  <c r="V18" i="486"/>
  <c r="V19" i="486"/>
  <c r="V20" i="486"/>
  <c r="V21" i="486"/>
  <c r="V22" i="486"/>
  <c r="V23" i="486"/>
  <c r="V24" i="486"/>
  <c r="V25" i="486"/>
  <c r="V26" i="486"/>
  <c r="V27" i="486"/>
  <c r="V28" i="486"/>
  <c r="V29" i="486"/>
  <c r="V30" i="486"/>
  <c r="V31" i="486"/>
  <c r="V32" i="486"/>
  <c r="V33" i="486"/>
  <c r="V34" i="486"/>
  <c r="V35" i="486"/>
  <c r="V36" i="486"/>
  <c r="V37" i="486"/>
  <c r="V38" i="486"/>
  <c r="V39" i="486"/>
  <c r="V40" i="486"/>
  <c r="V41" i="486"/>
  <c r="V42" i="486"/>
  <c r="V43" i="486"/>
  <c r="V44" i="486"/>
  <c r="V45" i="486"/>
  <c r="V46" i="486"/>
  <c r="V47" i="486"/>
  <c r="V48" i="486"/>
  <c r="V49" i="486"/>
  <c r="V50" i="486"/>
  <c r="V51" i="486"/>
  <c r="V52" i="486"/>
  <c r="V53" i="486"/>
  <c r="V54" i="486"/>
  <c r="V55" i="486"/>
  <c r="V56" i="486"/>
  <c r="V57" i="486"/>
  <c r="V58" i="486"/>
  <c r="V59" i="486"/>
  <c r="V60" i="486"/>
  <c r="V61" i="486"/>
  <c r="V62" i="486"/>
  <c r="V63" i="486"/>
  <c r="V64" i="486"/>
  <c r="V65" i="486"/>
  <c r="V66" i="486"/>
  <c r="V67" i="486"/>
  <c r="V68" i="486"/>
  <c r="V69" i="486"/>
  <c r="V70" i="486"/>
  <c r="V71" i="486"/>
  <c r="V72" i="486"/>
  <c r="V73" i="486"/>
  <c r="V74" i="486"/>
  <c r="V75" i="486"/>
  <c r="V76" i="486"/>
  <c r="V77" i="486"/>
  <c r="V78" i="486"/>
  <c r="V79" i="486"/>
  <c r="V80" i="486"/>
  <c r="V81" i="486"/>
  <c r="V82" i="486"/>
  <c r="V83" i="486"/>
  <c r="V84" i="486"/>
  <c r="V85" i="486"/>
  <c r="V86" i="486"/>
  <c r="V87" i="486"/>
  <c r="V88" i="486"/>
  <c r="V89" i="486"/>
  <c r="V90" i="486"/>
  <c r="V91" i="486"/>
  <c r="V92" i="486"/>
  <c r="V93" i="486"/>
  <c r="V94" i="486"/>
  <c r="V95" i="486"/>
  <c r="V96" i="486"/>
  <c r="V97" i="486"/>
  <c r="V98" i="486"/>
  <c r="V99" i="486"/>
  <c r="V100" i="486"/>
  <c r="V101" i="486"/>
  <c r="V102" i="486"/>
  <c r="V103" i="486"/>
  <c r="V104" i="486"/>
  <c r="V105" i="486"/>
  <c r="V106" i="486"/>
  <c r="V107" i="486"/>
  <c r="V108" i="486"/>
  <c r="V109" i="486"/>
  <c r="V110" i="486"/>
  <c r="V111" i="486"/>
  <c r="V112" i="486"/>
  <c r="V113" i="486"/>
  <c r="V114" i="486"/>
  <c r="V115" i="486"/>
  <c r="V116" i="486"/>
  <c r="V117" i="486"/>
  <c r="V118" i="486"/>
  <c r="V119" i="486"/>
  <c r="V120" i="486"/>
  <c r="V121" i="486"/>
  <c r="V122" i="486"/>
  <c r="V123" i="486"/>
  <c r="V124" i="486"/>
  <c r="V125" i="486"/>
  <c r="V126" i="486"/>
  <c r="V127" i="486"/>
  <c r="V128" i="486"/>
  <c r="V129" i="486"/>
  <c r="V130" i="486"/>
  <c r="V131" i="486"/>
  <c r="V132" i="486"/>
  <c r="V133" i="486"/>
  <c r="V134" i="486"/>
  <c r="V135" i="486"/>
  <c r="V136" i="486"/>
  <c r="V137" i="486"/>
  <c r="V138" i="486"/>
  <c r="V139" i="486"/>
  <c r="V140" i="486"/>
  <c r="V141" i="486"/>
  <c r="V142" i="486"/>
  <c r="V143" i="486"/>
  <c r="V144" i="486"/>
  <c r="V145" i="486"/>
  <c r="V146" i="486"/>
  <c r="V147" i="486"/>
  <c r="V148" i="486"/>
  <c r="V149" i="486"/>
  <c r="V150" i="486"/>
  <c r="V151" i="486"/>
  <c r="V152" i="486"/>
  <c r="V153" i="486"/>
  <c r="V2" i="486"/>
  <c r="U3" i="486"/>
  <c r="U4" i="486"/>
  <c r="U5" i="486"/>
  <c r="U6" i="486"/>
  <c r="U7" i="486"/>
  <c r="U8" i="486"/>
  <c r="U9" i="486"/>
  <c r="U10" i="486"/>
  <c r="U11" i="486"/>
  <c r="U12" i="486"/>
  <c r="U13" i="486"/>
  <c r="U14" i="486"/>
  <c r="U15" i="486"/>
  <c r="U16" i="486"/>
  <c r="U17" i="486"/>
  <c r="U18" i="486"/>
  <c r="U19" i="486"/>
  <c r="U20" i="486"/>
  <c r="U21" i="486"/>
  <c r="U22" i="486"/>
  <c r="U23" i="486"/>
  <c r="U24" i="486"/>
  <c r="U25" i="486"/>
  <c r="U26" i="486"/>
  <c r="U27" i="486"/>
  <c r="U28" i="486"/>
  <c r="U29" i="486"/>
  <c r="U30" i="486"/>
  <c r="U31" i="486"/>
  <c r="U32" i="486"/>
  <c r="U33" i="486"/>
  <c r="U34" i="486"/>
  <c r="U35" i="486"/>
  <c r="U36" i="486"/>
  <c r="U37" i="486"/>
  <c r="U38" i="486"/>
  <c r="U39" i="486"/>
  <c r="U40" i="486"/>
  <c r="U41" i="486"/>
  <c r="U42" i="486"/>
  <c r="U43" i="486"/>
  <c r="U44" i="486"/>
  <c r="U45" i="486"/>
  <c r="U46" i="486"/>
  <c r="U47" i="486"/>
  <c r="U48" i="486"/>
  <c r="U49" i="486"/>
  <c r="U50" i="486"/>
  <c r="U51" i="486"/>
  <c r="U52" i="486"/>
  <c r="U53" i="486"/>
  <c r="U54" i="486"/>
  <c r="U55" i="486"/>
  <c r="U56" i="486"/>
  <c r="U57" i="486"/>
  <c r="U58" i="486"/>
  <c r="U59" i="486"/>
  <c r="U60" i="486"/>
  <c r="U61" i="486"/>
  <c r="U62" i="486"/>
  <c r="U63" i="486"/>
  <c r="U64" i="486"/>
  <c r="U65" i="486"/>
  <c r="U66" i="486"/>
  <c r="U67" i="486"/>
  <c r="U68" i="486"/>
  <c r="U69" i="486"/>
  <c r="U70" i="486"/>
  <c r="U71" i="486"/>
  <c r="U72" i="486"/>
  <c r="U73" i="486"/>
  <c r="U74" i="486"/>
  <c r="U75" i="486"/>
  <c r="U76" i="486"/>
  <c r="U77" i="486"/>
  <c r="U78" i="486"/>
  <c r="U79" i="486"/>
  <c r="U80" i="486"/>
  <c r="U81" i="486"/>
  <c r="U82" i="486"/>
  <c r="U83" i="486"/>
  <c r="U84" i="486"/>
  <c r="U85" i="486"/>
  <c r="U86" i="486"/>
  <c r="U87" i="486"/>
  <c r="U88" i="486"/>
  <c r="U89" i="486"/>
  <c r="U90" i="486"/>
  <c r="U91" i="486"/>
  <c r="U92" i="486"/>
  <c r="U93" i="486"/>
  <c r="U94" i="486"/>
  <c r="U95" i="486"/>
  <c r="U96" i="486"/>
  <c r="U97" i="486"/>
  <c r="U98" i="486"/>
  <c r="U99" i="486"/>
  <c r="U100" i="486"/>
  <c r="U101" i="486"/>
  <c r="U102" i="486"/>
  <c r="U103" i="486"/>
  <c r="U104" i="486"/>
  <c r="U105" i="486"/>
  <c r="U106" i="486"/>
  <c r="U107" i="486"/>
  <c r="U108" i="486"/>
  <c r="U109" i="486"/>
  <c r="U110" i="486"/>
  <c r="U111" i="486"/>
  <c r="U112" i="486"/>
  <c r="U113" i="486"/>
  <c r="U114" i="486"/>
  <c r="U115" i="486"/>
  <c r="U116" i="486"/>
  <c r="U117" i="486"/>
  <c r="U118" i="486"/>
  <c r="U119" i="486"/>
  <c r="U120" i="486"/>
  <c r="U121" i="486"/>
  <c r="U122" i="486"/>
  <c r="U123" i="486"/>
  <c r="U124" i="486"/>
  <c r="U125" i="486"/>
  <c r="U126" i="486"/>
  <c r="U127" i="486"/>
  <c r="U128" i="486"/>
  <c r="U129" i="486"/>
  <c r="U130" i="486"/>
  <c r="U131" i="486"/>
  <c r="U132" i="486"/>
  <c r="U133" i="486"/>
  <c r="U134" i="486"/>
  <c r="U135" i="486"/>
  <c r="U136" i="486"/>
  <c r="U137" i="486"/>
  <c r="U138" i="486"/>
  <c r="U139" i="486"/>
  <c r="U140" i="486"/>
  <c r="U141" i="486"/>
  <c r="U142" i="486"/>
  <c r="U143" i="486"/>
  <c r="U144" i="486"/>
  <c r="U145" i="486"/>
  <c r="U146" i="486"/>
  <c r="U147" i="486"/>
  <c r="U148" i="486"/>
  <c r="U149" i="486"/>
  <c r="U150" i="486"/>
  <c r="U151" i="486"/>
  <c r="U152" i="486"/>
  <c r="U153" i="486"/>
  <c r="U2" i="486"/>
  <c r="T3" i="486"/>
  <c r="T4" i="486"/>
  <c r="T5" i="486"/>
  <c r="T6" i="486"/>
  <c r="T7" i="486"/>
  <c r="T8" i="486"/>
  <c r="T9" i="486"/>
  <c r="T10" i="486"/>
  <c r="T11" i="486"/>
  <c r="T12" i="486"/>
  <c r="T13" i="486"/>
  <c r="T14" i="486"/>
  <c r="T15" i="486"/>
  <c r="T16" i="486"/>
  <c r="T17" i="486"/>
  <c r="T18" i="486"/>
  <c r="T19" i="486"/>
  <c r="T20" i="486"/>
  <c r="T21" i="486"/>
  <c r="T22" i="486"/>
  <c r="T23" i="486"/>
  <c r="T24" i="486"/>
  <c r="T25" i="486"/>
  <c r="T26" i="486"/>
  <c r="T27" i="486"/>
  <c r="T28" i="486"/>
  <c r="T29" i="486"/>
  <c r="T30" i="486"/>
  <c r="T31" i="486"/>
  <c r="T32" i="486"/>
  <c r="T33" i="486"/>
  <c r="T34" i="486"/>
  <c r="T35" i="486"/>
  <c r="T36" i="486"/>
  <c r="T37" i="486"/>
  <c r="T38" i="486"/>
  <c r="T39" i="486"/>
  <c r="T40" i="486"/>
  <c r="T41" i="486"/>
  <c r="T42" i="486"/>
  <c r="T43" i="486"/>
  <c r="T44" i="486"/>
  <c r="T45" i="486"/>
  <c r="T46" i="486"/>
  <c r="T47" i="486"/>
  <c r="T48" i="486"/>
  <c r="T49" i="486"/>
  <c r="T50" i="486"/>
  <c r="T51" i="486"/>
  <c r="T52" i="486"/>
  <c r="T53" i="486"/>
  <c r="T54" i="486"/>
  <c r="T55" i="486"/>
  <c r="T56" i="486"/>
  <c r="T57" i="486"/>
  <c r="T58" i="486"/>
  <c r="T59" i="486"/>
  <c r="T60" i="486"/>
  <c r="T61" i="486"/>
  <c r="T62" i="486"/>
  <c r="T63" i="486"/>
  <c r="T64" i="486"/>
  <c r="T65" i="486"/>
  <c r="T66" i="486"/>
  <c r="T67" i="486"/>
  <c r="T68" i="486"/>
  <c r="T69" i="486"/>
  <c r="T70" i="486"/>
  <c r="T71" i="486"/>
  <c r="T72" i="486"/>
  <c r="T73" i="486"/>
  <c r="T74" i="486"/>
  <c r="T75" i="486"/>
  <c r="T76" i="486"/>
  <c r="T77" i="486"/>
  <c r="T78" i="486"/>
  <c r="T79" i="486"/>
  <c r="T80" i="486"/>
  <c r="T81" i="486"/>
  <c r="T82" i="486"/>
  <c r="T83" i="486"/>
  <c r="T84" i="486"/>
  <c r="T85" i="486"/>
  <c r="T86" i="486"/>
  <c r="T87" i="486"/>
  <c r="T88" i="486"/>
  <c r="T89" i="486"/>
  <c r="T90" i="486"/>
  <c r="T91" i="486"/>
  <c r="T92" i="486"/>
  <c r="T93" i="486"/>
  <c r="T94" i="486"/>
  <c r="T95" i="486"/>
  <c r="T96" i="486"/>
  <c r="T97" i="486"/>
  <c r="T98" i="486"/>
  <c r="T99" i="486"/>
  <c r="T100" i="486"/>
  <c r="T101" i="486"/>
  <c r="T102" i="486"/>
  <c r="T103" i="486"/>
  <c r="T104" i="486"/>
  <c r="T105" i="486"/>
  <c r="T106" i="486"/>
  <c r="T107" i="486"/>
  <c r="T108" i="486"/>
  <c r="T109" i="486"/>
  <c r="T110" i="486"/>
  <c r="T111" i="486"/>
  <c r="T112" i="486"/>
  <c r="T113" i="486"/>
  <c r="T114" i="486"/>
  <c r="T115" i="486"/>
  <c r="T116" i="486"/>
  <c r="T117" i="486"/>
  <c r="T118" i="486"/>
  <c r="T119" i="486"/>
  <c r="T120" i="486"/>
  <c r="T121" i="486"/>
  <c r="T122" i="486"/>
  <c r="T123" i="486"/>
  <c r="T124" i="486"/>
  <c r="T125" i="486"/>
  <c r="T126" i="486"/>
  <c r="T127" i="486"/>
  <c r="T128" i="486"/>
  <c r="T129" i="486"/>
  <c r="T130" i="486"/>
  <c r="T131" i="486"/>
  <c r="T132" i="486"/>
  <c r="T133" i="486"/>
  <c r="T134" i="486"/>
  <c r="T135" i="486"/>
  <c r="T136" i="486"/>
  <c r="T137" i="486"/>
  <c r="T138" i="486"/>
  <c r="T139" i="486"/>
  <c r="T140" i="486"/>
  <c r="T141" i="486"/>
  <c r="T142" i="486"/>
  <c r="T143" i="486"/>
  <c r="T144" i="486"/>
  <c r="T145" i="486"/>
  <c r="T146" i="486"/>
  <c r="T147" i="486"/>
  <c r="T148" i="486"/>
  <c r="T149" i="486"/>
  <c r="T150" i="486"/>
  <c r="T151" i="486"/>
  <c r="T152" i="486"/>
  <c r="T153" i="486"/>
  <c r="T2" i="486"/>
  <c r="S3" i="486"/>
  <c r="S4" i="486"/>
  <c r="S5" i="486"/>
  <c r="S6" i="486"/>
  <c r="S7" i="486"/>
  <c r="S8" i="486"/>
  <c r="S9" i="486"/>
  <c r="S10" i="486"/>
  <c r="S11" i="486"/>
  <c r="S12" i="486"/>
  <c r="S13" i="486"/>
  <c r="S14" i="486"/>
  <c r="S15" i="486"/>
  <c r="S16" i="486"/>
  <c r="S17" i="486"/>
  <c r="S18" i="486"/>
  <c r="S19" i="486"/>
  <c r="S20" i="486"/>
  <c r="S21" i="486"/>
  <c r="S22" i="486"/>
  <c r="S23" i="486"/>
  <c r="S24" i="486"/>
  <c r="S25" i="486"/>
  <c r="S26" i="486"/>
  <c r="S27" i="486"/>
  <c r="S28" i="486"/>
  <c r="S29" i="486"/>
  <c r="S30" i="486"/>
  <c r="S31" i="486"/>
  <c r="S32" i="486"/>
  <c r="S33" i="486"/>
  <c r="S34" i="486"/>
  <c r="S35" i="486"/>
  <c r="S36" i="486"/>
  <c r="S37" i="486"/>
  <c r="S38" i="486"/>
  <c r="S39" i="486"/>
  <c r="S40" i="486"/>
  <c r="S41" i="486"/>
  <c r="S42" i="486"/>
  <c r="S43" i="486"/>
  <c r="S44" i="486"/>
  <c r="S45" i="486"/>
  <c r="S46" i="486"/>
  <c r="S47" i="486"/>
  <c r="S48" i="486"/>
  <c r="S49" i="486"/>
  <c r="S50" i="486"/>
  <c r="S51" i="486"/>
  <c r="S52" i="486"/>
  <c r="S53" i="486"/>
  <c r="S54" i="486"/>
  <c r="S55" i="486"/>
  <c r="S56" i="486"/>
  <c r="S57" i="486"/>
  <c r="S58" i="486"/>
  <c r="S59" i="486"/>
  <c r="S60" i="486"/>
  <c r="S61" i="486"/>
  <c r="S62" i="486"/>
  <c r="S63" i="486"/>
  <c r="S64" i="486"/>
  <c r="S65" i="486"/>
  <c r="S66" i="486"/>
  <c r="S67" i="486"/>
  <c r="S68" i="486"/>
  <c r="S69" i="486"/>
  <c r="S70" i="486"/>
  <c r="S71" i="486"/>
  <c r="S72" i="486"/>
  <c r="S73" i="486"/>
  <c r="S74" i="486"/>
  <c r="S75" i="486"/>
  <c r="S76" i="486"/>
  <c r="S77" i="486"/>
  <c r="S78" i="486"/>
  <c r="S79" i="486"/>
  <c r="S80" i="486"/>
  <c r="S81" i="486"/>
  <c r="S82" i="486"/>
  <c r="S83" i="486"/>
  <c r="S84" i="486"/>
  <c r="S85" i="486"/>
  <c r="S86" i="486"/>
  <c r="S87" i="486"/>
  <c r="S88" i="486"/>
  <c r="S89" i="486"/>
  <c r="S90" i="486"/>
  <c r="S91" i="486"/>
  <c r="S92" i="486"/>
  <c r="S93" i="486"/>
  <c r="S94" i="486"/>
  <c r="S95" i="486"/>
  <c r="S96" i="486"/>
  <c r="S97" i="486"/>
  <c r="S98" i="486"/>
  <c r="S99" i="486"/>
  <c r="S100" i="486"/>
  <c r="S101" i="486"/>
  <c r="S102" i="486"/>
  <c r="S103" i="486"/>
  <c r="S104" i="486"/>
  <c r="S105" i="486"/>
  <c r="S106" i="486"/>
  <c r="S107" i="486"/>
  <c r="S108" i="486"/>
  <c r="S109" i="486"/>
  <c r="S110" i="486"/>
  <c r="S111" i="486"/>
  <c r="S112" i="486"/>
  <c r="S113" i="486"/>
  <c r="S114" i="486"/>
  <c r="S115" i="486"/>
  <c r="S116" i="486"/>
  <c r="S117" i="486"/>
  <c r="S118" i="486"/>
  <c r="S119" i="486"/>
  <c r="S120" i="486"/>
  <c r="S121" i="486"/>
  <c r="S122" i="486"/>
  <c r="S123" i="486"/>
  <c r="S124" i="486"/>
  <c r="S125" i="486"/>
  <c r="S126" i="486"/>
  <c r="S127" i="486"/>
  <c r="S128" i="486"/>
  <c r="S129" i="486"/>
  <c r="S130" i="486"/>
  <c r="S131" i="486"/>
  <c r="S132" i="486"/>
  <c r="S133" i="486"/>
  <c r="S134" i="486"/>
  <c r="S135" i="486"/>
  <c r="S136" i="486"/>
  <c r="S137" i="486"/>
  <c r="S138" i="486"/>
  <c r="S139" i="486"/>
  <c r="S140" i="486"/>
  <c r="S141" i="486"/>
  <c r="S142" i="486"/>
  <c r="S143" i="486"/>
  <c r="S144" i="486"/>
  <c r="S145" i="486"/>
  <c r="S146" i="486"/>
  <c r="S147" i="486"/>
  <c r="S148" i="486"/>
  <c r="S149" i="486"/>
  <c r="S150" i="486"/>
  <c r="S151" i="486"/>
  <c r="S152" i="486"/>
  <c r="S153" i="486"/>
  <c r="S2" i="486"/>
  <c r="P3" i="486"/>
  <c r="P4" i="486"/>
  <c r="P5" i="486"/>
  <c r="P6" i="486"/>
  <c r="P7" i="486"/>
  <c r="P8" i="486"/>
  <c r="P9" i="486"/>
  <c r="P10" i="486"/>
  <c r="P11" i="486"/>
  <c r="P12" i="486"/>
  <c r="P13" i="486"/>
  <c r="P14" i="486"/>
  <c r="P15" i="486"/>
  <c r="P16" i="486"/>
  <c r="P17" i="486"/>
  <c r="P18" i="486"/>
  <c r="P19" i="486"/>
  <c r="P20" i="486"/>
  <c r="P21" i="486"/>
  <c r="P22" i="486"/>
  <c r="P23" i="486"/>
  <c r="P24" i="486"/>
  <c r="P25" i="486"/>
  <c r="P26" i="486"/>
  <c r="P27" i="486"/>
  <c r="P28" i="486"/>
  <c r="P29" i="486"/>
  <c r="P30" i="486"/>
  <c r="P31" i="486"/>
  <c r="P32" i="486"/>
  <c r="P33" i="486"/>
  <c r="P34" i="486"/>
  <c r="P35" i="486"/>
  <c r="P36" i="486"/>
  <c r="P37" i="486"/>
  <c r="P38" i="486"/>
  <c r="P39" i="486"/>
  <c r="P40" i="486"/>
  <c r="P41" i="486"/>
  <c r="P42" i="486"/>
  <c r="P43" i="486"/>
  <c r="P44" i="486"/>
  <c r="P45" i="486"/>
  <c r="P46" i="486"/>
  <c r="P47" i="486"/>
  <c r="P48" i="486"/>
  <c r="P49" i="486"/>
  <c r="P50" i="486"/>
  <c r="P51" i="486"/>
  <c r="P52" i="486"/>
  <c r="P53" i="486"/>
  <c r="P54" i="486"/>
  <c r="P55" i="486"/>
  <c r="P56" i="486"/>
  <c r="P57" i="486"/>
  <c r="P58" i="486"/>
  <c r="P59" i="486"/>
  <c r="P60" i="486"/>
  <c r="P61" i="486"/>
  <c r="P62" i="486"/>
  <c r="P63" i="486"/>
  <c r="P64" i="486"/>
  <c r="P65" i="486"/>
  <c r="P66" i="486"/>
  <c r="P67" i="486"/>
  <c r="P68" i="486"/>
  <c r="P69" i="486"/>
  <c r="P70" i="486"/>
  <c r="P71" i="486"/>
  <c r="P72" i="486"/>
  <c r="P73" i="486"/>
  <c r="P74" i="486"/>
  <c r="P75" i="486"/>
  <c r="P76" i="486"/>
  <c r="P77" i="486"/>
  <c r="P78" i="486"/>
  <c r="P79" i="486"/>
  <c r="P80" i="486"/>
  <c r="P81" i="486"/>
  <c r="P82" i="486"/>
  <c r="P83" i="486"/>
  <c r="P84" i="486"/>
  <c r="P85" i="486"/>
  <c r="P86" i="486"/>
  <c r="P87" i="486"/>
  <c r="P88" i="486"/>
  <c r="P89" i="486"/>
  <c r="P90" i="486"/>
  <c r="P91" i="486"/>
  <c r="P92" i="486"/>
  <c r="P93" i="486"/>
  <c r="P94" i="486"/>
  <c r="P95" i="486"/>
  <c r="P96" i="486"/>
  <c r="P97" i="486"/>
  <c r="P98" i="486"/>
  <c r="P99" i="486"/>
  <c r="P100" i="486"/>
  <c r="P101" i="486"/>
  <c r="P102" i="486"/>
  <c r="P103" i="486"/>
  <c r="P104" i="486"/>
  <c r="P105" i="486"/>
  <c r="P106" i="486"/>
  <c r="P107" i="486"/>
  <c r="P108" i="486"/>
  <c r="P109" i="486"/>
  <c r="P110" i="486"/>
  <c r="P111" i="486"/>
  <c r="P112" i="486"/>
  <c r="P113" i="486"/>
  <c r="P114" i="486"/>
  <c r="P115" i="486"/>
  <c r="P116" i="486"/>
  <c r="P117" i="486"/>
  <c r="P118" i="486"/>
  <c r="P119" i="486"/>
  <c r="P120" i="486"/>
  <c r="P121" i="486"/>
  <c r="P122" i="486"/>
  <c r="P123" i="486"/>
  <c r="P124" i="486"/>
  <c r="P125" i="486"/>
  <c r="P126" i="486"/>
  <c r="P127" i="486"/>
  <c r="P128" i="486"/>
  <c r="P129" i="486"/>
  <c r="P130" i="486"/>
  <c r="P131" i="486"/>
  <c r="P132" i="486"/>
  <c r="P133" i="486"/>
  <c r="P134" i="486"/>
  <c r="P135" i="486"/>
  <c r="P136" i="486"/>
  <c r="P137" i="486"/>
  <c r="P138" i="486"/>
  <c r="P139" i="486"/>
  <c r="P140" i="486"/>
  <c r="P141" i="486"/>
  <c r="P142" i="486"/>
  <c r="P143" i="486"/>
  <c r="P144" i="486"/>
  <c r="P145" i="486"/>
  <c r="P146" i="486"/>
  <c r="P147" i="486"/>
  <c r="P148" i="486"/>
  <c r="P149" i="486"/>
  <c r="P150" i="486"/>
  <c r="P151" i="486"/>
  <c r="P152" i="486"/>
  <c r="P153" i="486"/>
  <c r="P2" i="486"/>
  <c r="C9" i="475"/>
  <c r="M3" i="486"/>
  <c r="M4" i="486"/>
  <c r="M5" i="486"/>
  <c r="M6" i="486"/>
  <c r="M7" i="486"/>
  <c r="M8" i="486"/>
  <c r="M9" i="486"/>
  <c r="M10" i="486"/>
  <c r="M11" i="486"/>
  <c r="M12" i="486"/>
  <c r="M13" i="486"/>
  <c r="M14" i="486"/>
  <c r="M15" i="486"/>
  <c r="M16" i="486"/>
  <c r="M17" i="486"/>
  <c r="M18" i="486"/>
  <c r="M19" i="486"/>
  <c r="M20" i="486"/>
  <c r="M21" i="486"/>
  <c r="M22" i="486"/>
  <c r="M23" i="486"/>
  <c r="M24" i="486"/>
  <c r="M25" i="486"/>
  <c r="M26" i="486"/>
  <c r="M27" i="486"/>
  <c r="M28" i="486"/>
  <c r="M29" i="486"/>
  <c r="M30" i="486"/>
  <c r="M31" i="486"/>
  <c r="M32" i="486"/>
  <c r="M33" i="486"/>
  <c r="M34" i="486"/>
  <c r="M35" i="486"/>
  <c r="M36" i="486"/>
  <c r="M37" i="486"/>
  <c r="M38" i="486"/>
  <c r="M39" i="486"/>
  <c r="M40" i="486"/>
  <c r="M41" i="486"/>
  <c r="M42" i="486"/>
  <c r="M43" i="486"/>
  <c r="M44" i="486"/>
  <c r="M45" i="486"/>
  <c r="M46" i="486"/>
  <c r="M47" i="486"/>
  <c r="M48" i="486"/>
  <c r="M49" i="486"/>
  <c r="M50" i="486"/>
  <c r="M51" i="486"/>
  <c r="M52" i="486"/>
  <c r="M53" i="486"/>
  <c r="M54" i="486"/>
  <c r="M55" i="486"/>
  <c r="M56" i="486"/>
  <c r="M57" i="486"/>
  <c r="M58" i="486"/>
  <c r="M59" i="486"/>
  <c r="M60" i="486"/>
  <c r="M61" i="486"/>
  <c r="M62" i="486"/>
  <c r="M63" i="486"/>
  <c r="M64" i="486"/>
  <c r="M65" i="486"/>
  <c r="M66" i="486"/>
  <c r="M67" i="486"/>
  <c r="M68" i="486"/>
  <c r="M69" i="486"/>
  <c r="M70" i="486"/>
  <c r="M71" i="486"/>
  <c r="M72" i="486"/>
  <c r="M73" i="486"/>
  <c r="M74" i="486"/>
  <c r="M75" i="486"/>
  <c r="M76" i="486"/>
  <c r="M77" i="486"/>
  <c r="M78" i="486"/>
  <c r="M79" i="486"/>
  <c r="M80" i="486"/>
  <c r="M81" i="486"/>
  <c r="M82" i="486"/>
  <c r="M83" i="486"/>
  <c r="M84" i="486"/>
  <c r="M85" i="486"/>
  <c r="M86" i="486"/>
  <c r="M87" i="486"/>
  <c r="M88" i="486"/>
  <c r="M89" i="486"/>
  <c r="M90" i="486"/>
  <c r="M91" i="486"/>
  <c r="M92" i="486"/>
  <c r="M93" i="486"/>
  <c r="M94" i="486"/>
  <c r="M95" i="486"/>
  <c r="M96" i="486"/>
  <c r="M97" i="486"/>
  <c r="M98" i="486"/>
  <c r="M99" i="486"/>
  <c r="M100" i="486"/>
  <c r="M101" i="486"/>
  <c r="M102" i="486"/>
  <c r="M103" i="486"/>
  <c r="M104" i="486"/>
  <c r="M105" i="486"/>
  <c r="M106" i="486"/>
  <c r="M107" i="486"/>
  <c r="M108" i="486"/>
  <c r="M109" i="486"/>
  <c r="M110" i="486"/>
  <c r="M111" i="486"/>
  <c r="M112" i="486"/>
  <c r="M113" i="486"/>
  <c r="M114" i="486"/>
  <c r="M115" i="486"/>
  <c r="M116" i="486"/>
  <c r="M117" i="486"/>
  <c r="M118" i="486"/>
  <c r="M119" i="486"/>
  <c r="M120" i="486"/>
  <c r="M121" i="486"/>
  <c r="M122" i="486"/>
  <c r="M123" i="486"/>
  <c r="M124" i="486"/>
  <c r="M125" i="486"/>
  <c r="M126" i="486"/>
  <c r="M127" i="486"/>
  <c r="M128" i="486"/>
  <c r="M129" i="486"/>
  <c r="M130" i="486"/>
  <c r="M131" i="486"/>
  <c r="M132" i="486"/>
  <c r="M133" i="486"/>
  <c r="M134" i="486"/>
  <c r="M135" i="486"/>
  <c r="M136" i="486"/>
  <c r="M137" i="486"/>
  <c r="M138" i="486"/>
  <c r="M139" i="486"/>
  <c r="M140" i="486"/>
  <c r="M141" i="486"/>
  <c r="M142" i="486"/>
  <c r="M143" i="486"/>
  <c r="M144" i="486"/>
  <c r="M145" i="486"/>
  <c r="M146" i="486"/>
  <c r="M147" i="486"/>
  <c r="M148" i="486"/>
  <c r="M149" i="486"/>
  <c r="M150" i="486"/>
  <c r="M151" i="486"/>
  <c r="M152" i="486"/>
  <c r="M153" i="486"/>
  <c r="M2" i="486"/>
  <c r="L3" i="486"/>
  <c r="L4" i="486"/>
  <c r="L5" i="486"/>
  <c r="L6" i="486"/>
  <c r="L7" i="486"/>
  <c r="L8" i="486"/>
  <c r="L9" i="486"/>
  <c r="L10" i="486"/>
  <c r="L11" i="486"/>
  <c r="L12" i="486"/>
  <c r="L13" i="486"/>
  <c r="L14" i="486"/>
  <c r="L15" i="486"/>
  <c r="L16" i="486"/>
  <c r="L17" i="486"/>
  <c r="L18" i="486"/>
  <c r="L19" i="486"/>
  <c r="L20" i="486"/>
  <c r="L21" i="486"/>
  <c r="L22" i="486"/>
  <c r="L23" i="486"/>
  <c r="L24" i="486"/>
  <c r="L25" i="486"/>
  <c r="L26" i="486"/>
  <c r="L27" i="486"/>
  <c r="L28" i="486"/>
  <c r="L29" i="486"/>
  <c r="L30" i="486"/>
  <c r="L31" i="486"/>
  <c r="L32" i="486"/>
  <c r="L33" i="486"/>
  <c r="L34" i="486"/>
  <c r="L35" i="486"/>
  <c r="L36" i="486"/>
  <c r="L37" i="486"/>
  <c r="L38" i="486"/>
  <c r="L39" i="486"/>
  <c r="L40" i="486"/>
  <c r="L41" i="486"/>
  <c r="L42" i="486"/>
  <c r="L43" i="486"/>
  <c r="L44" i="486"/>
  <c r="L45" i="486"/>
  <c r="L46" i="486"/>
  <c r="L47" i="486"/>
  <c r="L48" i="486"/>
  <c r="L49" i="486"/>
  <c r="L50" i="486"/>
  <c r="L51" i="486"/>
  <c r="L52" i="486"/>
  <c r="L53" i="486"/>
  <c r="L54" i="486"/>
  <c r="L55" i="486"/>
  <c r="L56" i="486"/>
  <c r="L57" i="486"/>
  <c r="L58" i="486"/>
  <c r="L59" i="486"/>
  <c r="L60" i="486"/>
  <c r="L61" i="486"/>
  <c r="L62" i="486"/>
  <c r="L63" i="486"/>
  <c r="L64" i="486"/>
  <c r="L65" i="486"/>
  <c r="L66" i="486"/>
  <c r="L67" i="486"/>
  <c r="L68" i="486"/>
  <c r="L69" i="486"/>
  <c r="L70" i="486"/>
  <c r="L71" i="486"/>
  <c r="L72" i="486"/>
  <c r="L73" i="486"/>
  <c r="L74" i="486"/>
  <c r="L75" i="486"/>
  <c r="L76" i="486"/>
  <c r="L77" i="486"/>
  <c r="L78" i="486"/>
  <c r="L79" i="486"/>
  <c r="L80" i="486"/>
  <c r="L81" i="486"/>
  <c r="L82" i="486"/>
  <c r="L83" i="486"/>
  <c r="L84" i="486"/>
  <c r="L85" i="486"/>
  <c r="L86" i="486"/>
  <c r="L87" i="486"/>
  <c r="L88" i="486"/>
  <c r="L89" i="486"/>
  <c r="L90" i="486"/>
  <c r="L91" i="486"/>
  <c r="L92" i="486"/>
  <c r="L93" i="486"/>
  <c r="L94" i="486"/>
  <c r="L95" i="486"/>
  <c r="L96" i="486"/>
  <c r="L97" i="486"/>
  <c r="L98" i="486"/>
  <c r="L99" i="486"/>
  <c r="L100" i="486"/>
  <c r="L101" i="486"/>
  <c r="L102" i="486"/>
  <c r="L103" i="486"/>
  <c r="L104" i="486"/>
  <c r="L105" i="486"/>
  <c r="L106" i="486"/>
  <c r="L107" i="486"/>
  <c r="L108" i="486"/>
  <c r="L109" i="486"/>
  <c r="L110" i="486"/>
  <c r="L111" i="486"/>
  <c r="L112" i="486"/>
  <c r="L113" i="486"/>
  <c r="L114" i="486"/>
  <c r="L115" i="486"/>
  <c r="L116" i="486"/>
  <c r="L117" i="486"/>
  <c r="L118" i="486"/>
  <c r="L119" i="486"/>
  <c r="L120" i="486"/>
  <c r="L121" i="486"/>
  <c r="L122" i="486"/>
  <c r="L123" i="486"/>
  <c r="L124" i="486"/>
  <c r="L125" i="486"/>
  <c r="L126" i="486"/>
  <c r="L127" i="486"/>
  <c r="L128" i="486"/>
  <c r="L129" i="486"/>
  <c r="L130" i="486"/>
  <c r="L131" i="486"/>
  <c r="L132" i="486"/>
  <c r="L133" i="486"/>
  <c r="L134" i="486"/>
  <c r="L135" i="486"/>
  <c r="L136" i="486"/>
  <c r="L137" i="486"/>
  <c r="L138" i="486"/>
  <c r="L139" i="486"/>
  <c r="L140" i="486"/>
  <c r="L141" i="486"/>
  <c r="L142" i="486"/>
  <c r="L143" i="486"/>
  <c r="L144" i="486"/>
  <c r="L145" i="486"/>
  <c r="L146" i="486"/>
  <c r="L147" i="486"/>
  <c r="L148" i="486"/>
  <c r="L149" i="486"/>
  <c r="L150" i="486"/>
  <c r="L151" i="486"/>
  <c r="L152" i="486"/>
  <c r="L153" i="486"/>
  <c r="L2" i="486"/>
  <c r="I2" i="486" a="1"/>
  <c r="I2" i="486" s="1"/>
  <c r="I3" i="486" a="1"/>
  <c r="I3" i="486" s="1"/>
  <c r="I4" i="486" a="1"/>
  <c r="I4" i="486" s="1"/>
  <c r="I5" i="486" a="1"/>
  <c r="I5" i="486" s="1"/>
  <c r="I6" i="486" a="1"/>
  <c r="I6" i="486" s="1"/>
  <c r="I7" i="486" a="1"/>
  <c r="I7" i="486" s="1"/>
  <c r="I8" i="486" a="1"/>
  <c r="I8" i="486" s="1"/>
  <c r="I9" i="486" a="1"/>
  <c r="I9" i="486" s="1"/>
  <c r="I10" i="486" a="1"/>
  <c r="I10" i="486" s="1"/>
  <c r="I11" i="486" a="1"/>
  <c r="I11" i="486" s="1"/>
  <c r="I12" i="486" a="1"/>
  <c r="I12" i="486" s="1"/>
  <c r="I13" i="486" a="1"/>
  <c r="I13" i="486" s="1"/>
  <c r="I14" i="486" a="1"/>
  <c r="I14" i="486" s="1"/>
  <c r="I15" i="486" a="1"/>
  <c r="I15" i="486" s="1"/>
  <c r="I16" i="486" a="1"/>
  <c r="I16" i="486" s="1"/>
  <c r="I17" i="486" a="1"/>
  <c r="I17" i="486" s="1"/>
  <c r="I18" i="486" a="1"/>
  <c r="I18" i="486" s="1"/>
  <c r="I19" i="486" a="1"/>
  <c r="I19" i="486" s="1"/>
  <c r="I20" i="486" a="1"/>
  <c r="I20" i="486" s="1"/>
  <c r="I21" i="486" a="1"/>
  <c r="I21" i="486" s="1"/>
  <c r="I22" i="486" a="1"/>
  <c r="I22" i="486" s="1"/>
  <c r="I23" i="486" a="1"/>
  <c r="I23" i="486" s="1"/>
  <c r="I24" i="486" a="1"/>
  <c r="I24" i="486" s="1"/>
  <c r="I25" i="486" a="1"/>
  <c r="I25" i="486" s="1"/>
  <c r="I26" i="486" a="1"/>
  <c r="I26" i="486" s="1"/>
  <c r="I27" i="486" a="1"/>
  <c r="I27" i="486" s="1"/>
  <c r="I28" i="486" a="1"/>
  <c r="I28" i="486" s="1"/>
  <c r="I29" i="486" a="1"/>
  <c r="I29" i="486" s="1"/>
  <c r="I30" i="486" a="1"/>
  <c r="I30" i="486" s="1"/>
  <c r="I31" i="486" a="1"/>
  <c r="I31" i="486" s="1"/>
  <c r="I32" i="486" a="1"/>
  <c r="I32" i="486" s="1"/>
  <c r="I33" i="486" a="1"/>
  <c r="I33" i="486" s="1"/>
  <c r="I34" i="486" a="1"/>
  <c r="I34" i="486" s="1"/>
  <c r="I35" i="486" a="1"/>
  <c r="I35" i="486" s="1"/>
  <c r="I36" i="486" a="1"/>
  <c r="I36" i="486" s="1"/>
  <c r="I37" i="486" a="1"/>
  <c r="I37" i="486" s="1"/>
  <c r="I38" i="486" a="1"/>
  <c r="I38" i="486" s="1"/>
  <c r="I39" i="486" a="1"/>
  <c r="I39" i="486" s="1"/>
  <c r="I40" i="486" a="1"/>
  <c r="I40" i="486" s="1"/>
  <c r="I41" i="486" a="1"/>
  <c r="I41" i="486" s="1"/>
  <c r="I42" i="486" a="1"/>
  <c r="I42" i="486" s="1"/>
  <c r="I43" i="486" a="1"/>
  <c r="I43" i="486" s="1"/>
  <c r="I44" i="486" a="1"/>
  <c r="I44" i="486" s="1"/>
  <c r="I45" i="486" a="1"/>
  <c r="I45" i="486" s="1"/>
  <c r="I46" i="486" a="1"/>
  <c r="I46" i="486" s="1"/>
  <c r="I47" i="486" a="1"/>
  <c r="I47" i="486" s="1"/>
  <c r="I48" i="486" a="1"/>
  <c r="I48" i="486" s="1"/>
  <c r="I49" i="486" a="1"/>
  <c r="I49" i="486" s="1"/>
  <c r="I50" i="486" a="1"/>
  <c r="I50" i="486" s="1"/>
  <c r="I51" i="486" a="1"/>
  <c r="I51" i="486" s="1"/>
  <c r="I52" i="486" a="1"/>
  <c r="I52" i="486" s="1"/>
  <c r="I53" i="486" a="1"/>
  <c r="I53" i="486" s="1"/>
  <c r="I54" i="486" a="1"/>
  <c r="I54" i="486" s="1"/>
  <c r="I55" i="486" a="1"/>
  <c r="I55" i="486" s="1"/>
  <c r="I56" i="486" a="1"/>
  <c r="I56" i="486" s="1"/>
  <c r="I57" i="486" a="1"/>
  <c r="I57" i="486" s="1"/>
  <c r="I58" i="486" a="1"/>
  <c r="I58" i="486" s="1"/>
  <c r="I59" i="486" a="1"/>
  <c r="I59" i="486" s="1"/>
  <c r="I60" i="486" a="1"/>
  <c r="I60" i="486" s="1"/>
  <c r="I61" i="486" a="1"/>
  <c r="I61" i="486" s="1"/>
  <c r="I62" i="486" a="1"/>
  <c r="I62" i="486" s="1"/>
  <c r="I63" i="486" a="1"/>
  <c r="I63" i="486" s="1"/>
  <c r="I64" i="486" a="1"/>
  <c r="I64" i="486" s="1"/>
  <c r="I65" i="486" a="1"/>
  <c r="I65" i="486" s="1"/>
  <c r="I66" i="486" a="1"/>
  <c r="I66" i="486" s="1"/>
  <c r="I67" i="486" a="1"/>
  <c r="I67" i="486" s="1"/>
  <c r="I68" i="486" a="1"/>
  <c r="I68" i="486" s="1"/>
  <c r="I69" i="486" a="1"/>
  <c r="I69" i="486" s="1"/>
  <c r="I70" i="486" a="1"/>
  <c r="I70" i="486" s="1"/>
  <c r="I71" i="486" a="1"/>
  <c r="I71" i="486" s="1"/>
  <c r="I72" i="486" a="1"/>
  <c r="I72" i="486" s="1"/>
  <c r="I73" i="486" a="1"/>
  <c r="I73" i="486" s="1"/>
  <c r="I74" i="486" a="1"/>
  <c r="I74" i="486" s="1"/>
  <c r="I75" i="486" a="1"/>
  <c r="I75" i="486" s="1"/>
  <c r="I76" i="486" a="1"/>
  <c r="I76" i="486" s="1"/>
  <c r="I77" i="486" a="1"/>
  <c r="I77" i="486" s="1"/>
  <c r="I78" i="486" a="1"/>
  <c r="I78" i="486" s="1"/>
  <c r="I79" i="486" a="1"/>
  <c r="I79" i="486" s="1"/>
  <c r="I80" i="486" a="1"/>
  <c r="I80" i="486" s="1"/>
  <c r="I81" i="486" a="1"/>
  <c r="I81" i="486" s="1"/>
  <c r="I82" i="486" a="1"/>
  <c r="I82" i="486" s="1"/>
  <c r="I83" i="486" a="1"/>
  <c r="I83" i="486" s="1"/>
  <c r="I84" i="486" a="1"/>
  <c r="I84" i="486" s="1"/>
  <c r="I85" i="486" a="1"/>
  <c r="I85" i="486" s="1"/>
  <c r="I86" i="486" a="1"/>
  <c r="I86" i="486" s="1"/>
  <c r="I87" i="486" a="1"/>
  <c r="I87" i="486" s="1"/>
  <c r="I88" i="486" a="1"/>
  <c r="I88" i="486" s="1"/>
  <c r="I89" i="486" a="1"/>
  <c r="I89" i="486" s="1"/>
  <c r="I90" i="486" a="1"/>
  <c r="I90" i="486" s="1"/>
  <c r="I91" i="486" a="1"/>
  <c r="I91" i="486" s="1"/>
  <c r="I92" i="486" a="1"/>
  <c r="I92" i="486" s="1"/>
  <c r="I93" i="486" a="1"/>
  <c r="I93" i="486" s="1"/>
  <c r="I94" i="486" a="1"/>
  <c r="I94" i="486" s="1"/>
  <c r="I95" i="486" a="1"/>
  <c r="I95" i="486" s="1"/>
  <c r="I96" i="486" a="1"/>
  <c r="I96" i="486" s="1"/>
  <c r="I97" i="486" a="1"/>
  <c r="I97" i="486" s="1"/>
  <c r="I98" i="486" a="1"/>
  <c r="I98" i="486" s="1"/>
  <c r="I99" i="486" a="1"/>
  <c r="I99" i="486" s="1"/>
  <c r="I100" i="486" a="1"/>
  <c r="I100" i="486" s="1"/>
  <c r="I101" i="486" a="1"/>
  <c r="I101" i="486" s="1"/>
  <c r="I102" i="486" a="1"/>
  <c r="I102" i="486" s="1"/>
  <c r="I103" i="486" a="1"/>
  <c r="I103" i="486" s="1"/>
  <c r="I104" i="486" a="1"/>
  <c r="I104" i="486" s="1"/>
  <c r="I105" i="486" a="1"/>
  <c r="I105" i="486" s="1"/>
  <c r="I106" i="486" a="1"/>
  <c r="I106" i="486" s="1"/>
  <c r="I107" i="486" a="1"/>
  <c r="I107" i="486" s="1"/>
  <c r="I108" i="486" a="1"/>
  <c r="I108" i="486" s="1"/>
  <c r="I109" i="486" a="1"/>
  <c r="I109" i="486" s="1"/>
  <c r="I110" i="486" a="1"/>
  <c r="I110" i="486" s="1"/>
  <c r="I111" i="486" a="1"/>
  <c r="I111" i="486" s="1"/>
  <c r="I112" i="486" a="1"/>
  <c r="I112" i="486" s="1"/>
  <c r="I113" i="486" a="1"/>
  <c r="I113" i="486" s="1"/>
  <c r="I114" i="486" a="1"/>
  <c r="I114" i="486" s="1"/>
  <c r="I115" i="486" a="1"/>
  <c r="I115" i="486" s="1"/>
  <c r="I116" i="486" a="1"/>
  <c r="I116" i="486" s="1"/>
  <c r="I117" i="486" a="1"/>
  <c r="I117" i="486" s="1"/>
  <c r="I118" i="486" a="1"/>
  <c r="I118" i="486" s="1"/>
  <c r="I119" i="486" a="1"/>
  <c r="I119" i="486" s="1"/>
  <c r="I120" i="486" a="1"/>
  <c r="I120" i="486" s="1"/>
  <c r="I121" i="486" a="1"/>
  <c r="I121" i="486" s="1"/>
  <c r="I122" i="486" a="1"/>
  <c r="I122" i="486" s="1"/>
  <c r="I123" i="486" a="1"/>
  <c r="I123" i="486" s="1"/>
  <c r="I124" i="486" a="1"/>
  <c r="I124" i="486" s="1"/>
  <c r="I125" i="486" a="1"/>
  <c r="I125" i="486" s="1"/>
  <c r="I126" i="486" a="1"/>
  <c r="I126" i="486" s="1"/>
  <c r="I127" i="486" a="1"/>
  <c r="I127" i="486" s="1"/>
  <c r="I128" i="486" a="1"/>
  <c r="I128" i="486" s="1"/>
  <c r="I129" i="486" a="1"/>
  <c r="I129" i="486" s="1"/>
  <c r="I130" i="486" a="1"/>
  <c r="I130" i="486" s="1"/>
  <c r="I131" i="486" a="1"/>
  <c r="I131" i="486" s="1"/>
  <c r="I132" i="486" a="1"/>
  <c r="I132" i="486" s="1"/>
  <c r="I133" i="486" a="1"/>
  <c r="I133" i="486" s="1"/>
  <c r="I134" i="486" a="1"/>
  <c r="I134" i="486" s="1"/>
  <c r="I135" i="486" a="1"/>
  <c r="I135" i="486" s="1"/>
  <c r="I136" i="486" a="1"/>
  <c r="I136" i="486" s="1"/>
  <c r="I137" i="486" a="1"/>
  <c r="I137" i="486" s="1"/>
  <c r="I138" i="486" a="1"/>
  <c r="I138" i="486" s="1"/>
  <c r="I139" i="486" a="1"/>
  <c r="I139" i="486" s="1"/>
  <c r="I140" i="486" a="1"/>
  <c r="I140" i="486" s="1"/>
  <c r="I141" i="486" a="1"/>
  <c r="I141" i="486" s="1"/>
  <c r="I142" i="486" a="1"/>
  <c r="I142" i="486" s="1"/>
  <c r="I143" i="486" a="1"/>
  <c r="I143" i="486" s="1"/>
  <c r="I144" i="486" a="1"/>
  <c r="I144" i="486" s="1"/>
  <c r="I145" i="486" a="1"/>
  <c r="I145" i="486" s="1"/>
  <c r="I146" i="486" a="1"/>
  <c r="I146" i="486" s="1"/>
  <c r="I147" i="486" a="1"/>
  <c r="I147" i="486" s="1"/>
  <c r="I148" i="486" a="1"/>
  <c r="I148" i="486" s="1"/>
  <c r="I149" i="486" a="1"/>
  <c r="I149" i="486" s="1"/>
  <c r="I150" i="486" a="1"/>
  <c r="I150" i="486" s="1"/>
  <c r="I151" i="486" a="1"/>
  <c r="I151" i="486" s="1"/>
  <c r="I152" i="486" a="1"/>
  <c r="I152" i="486" s="1"/>
  <c r="I153" i="486" a="1"/>
  <c r="I153" i="486" s="1"/>
  <c r="H3" i="486" a="1"/>
  <c r="H3" i="486" s="1"/>
  <c r="J3" i="486" s="1"/>
  <c r="H4" i="486" a="1"/>
  <c r="H4" i="486" s="1"/>
  <c r="H5" i="486" a="1"/>
  <c r="H5" i="486" s="1"/>
  <c r="J5" i="486" s="1"/>
  <c r="H6" i="486" a="1"/>
  <c r="H6" i="486" s="1"/>
  <c r="J6" i="486" s="1"/>
  <c r="H7" i="486" a="1"/>
  <c r="H7" i="486" s="1"/>
  <c r="J7" i="486" s="1"/>
  <c r="H8" i="486" a="1"/>
  <c r="H8" i="486" s="1"/>
  <c r="H9" i="486" a="1"/>
  <c r="H9" i="486" s="1"/>
  <c r="J9" i="486" s="1"/>
  <c r="H10" i="486" a="1"/>
  <c r="H10" i="486" s="1"/>
  <c r="J10" i="486" s="1"/>
  <c r="H11" i="486" a="1"/>
  <c r="H11" i="486" s="1"/>
  <c r="J11" i="486" s="1"/>
  <c r="H12" i="486" a="1"/>
  <c r="H12" i="486" s="1"/>
  <c r="H13" i="486" a="1"/>
  <c r="H13" i="486" s="1"/>
  <c r="J13" i="486" s="1"/>
  <c r="H14" i="486" a="1"/>
  <c r="H14" i="486" s="1"/>
  <c r="J14" i="486" s="1"/>
  <c r="H15" i="486" a="1"/>
  <c r="H15" i="486" s="1"/>
  <c r="J15" i="486" s="1"/>
  <c r="H16" i="486" a="1"/>
  <c r="H16" i="486" s="1"/>
  <c r="H17" i="486" a="1"/>
  <c r="H17" i="486" s="1"/>
  <c r="J17" i="486" s="1"/>
  <c r="H18" i="486" a="1"/>
  <c r="H18" i="486" s="1"/>
  <c r="J18" i="486" s="1"/>
  <c r="H19" i="486" a="1"/>
  <c r="H19" i="486" s="1"/>
  <c r="J19" i="486" s="1"/>
  <c r="H20" i="486" a="1"/>
  <c r="H20" i="486" s="1"/>
  <c r="H21" i="486" a="1"/>
  <c r="H21" i="486" s="1"/>
  <c r="J21" i="486" s="1"/>
  <c r="H22" i="486" a="1"/>
  <c r="H22" i="486" s="1"/>
  <c r="J22" i="486" s="1"/>
  <c r="H23" i="486" a="1"/>
  <c r="H23" i="486" s="1"/>
  <c r="J23" i="486" s="1"/>
  <c r="H24" i="486" a="1"/>
  <c r="H24" i="486" s="1"/>
  <c r="H25" i="486" a="1"/>
  <c r="H25" i="486" s="1"/>
  <c r="J25" i="486" s="1"/>
  <c r="H26" i="486" a="1"/>
  <c r="H26" i="486" s="1"/>
  <c r="J26" i="486" s="1"/>
  <c r="H27" i="486" a="1"/>
  <c r="H27" i="486" s="1"/>
  <c r="J27" i="486" s="1"/>
  <c r="H28" i="486" a="1"/>
  <c r="H28" i="486" s="1"/>
  <c r="H29" i="486" a="1"/>
  <c r="H29" i="486" s="1"/>
  <c r="J29" i="486" s="1"/>
  <c r="H30" i="486" a="1"/>
  <c r="H30" i="486" s="1"/>
  <c r="J30" i="486" s="1"/>
  <c r="H31" i="486" a="1"/>
  <c r="H31" i="486" s="1"/>
  <c r="J31" i="486" s="1"/>
  <c r="H32" i="486" a="1"/>
  <c r="H32" i="486" s="1"/>
  <c r="H33" i="486" a="1"/>
  <c r="H33" i="486" s="1"/>
  <c r="J33" i="486" s="1"/>
  <c r="H34" i="486" a="1"/>
  <c r="H34" i="486" s="1"/>
  <c r="J34" i="486" s="1"/>
  <c r="H35" i="486" a="1"/>
  <c r="H35" i="486" s="1"/>
  <c r="J35" i="486" s="1"/>
  <c r="H36" i="486" a="1"/>
  <c r="H36" i="486" s="1"/>
  <c r="H37" i="486" a="1"/>
  <c r="H37" i="486" s="1"/>
  <c r="J37" i="486" s="1"/>
  <c r="H38" i="486" a="1"/>
  <c r="H38" i="486" s="1"/>
  <c r="J38" i="486" s="1"/>
  <c r="H39" i="486" a="1"/>
  <c r="H39" i="486" s="1"/>
  <c r="J39" i="486" s="1"/>
  <c r="H40" i="486" a="1"/>
  <c r="H40" i="486" s="1"/>
  <c r="H41" i="486" a="1"/>
  <c r="H41" i="486" s="1"/>
  <c r="J41" i="486" s="1"/>
  <c r="H42" i="486" a="1"/>
  <c r="H42" i="486" s="1"/>
  <c r="J42" i="486" s="1"/>
  <c r="H43" i="486" a="1"/>
  <c r="H43" i="486" s="1"/>
  <c r="J43" i="486" s="1"/>
  <c r="H44" i="486" a="1"/>
  <c r="H44" i="486" s="1"/>
  <c r="H45" i="486" a="1"/>
  <c r="H45" i="486" s="1"/>
  <c r="J45" i="486" s="1"/>
  <c r="H46" i="486" a="1"/>
  <c r="H46" i="486" s="1"/>
  <c r="J46" i="486" s="1"/>
  <c r="H47" i="486" a="1"/>
  <c r="H47" i="486" s="1"/>
  <c r="J47" i="486" s="1"/>
  <c r="H48" i="486" a="1"/>
  <c r="H48" i="486" s="1"/>
  <c r="H49" i="486" a="1"/>
  <c r="H49" i="486" s="1"/>
  <c r="J49" i="486" s="1"/>
  <c r="H50" i="486" a="1"/>
  <c r="H50" i="486" s="1"/>
  <c r="J50" i="486" s="1"/>
  <c r="H51" i="486" a="1"/>
  <c r="H51" i="486" s="1"/>
  <c r="J51" i="486" s="1"/>
  <c r="H52" i="486" a="1"/>
  <c r="H52" i="486" s="1"/>
  <c r="H53" i="486" a="1"/>
  <c r="H53" i="486" s="1"/>
  <c r="J53" i="486" s="1"/>
  <c r="H54" i="486" a="1"/>
  <c r="H54" i="486" s="1"/>
  <c r="J54" i="486" s="1"/>
  <c r="H55" i="486" a="1"/>
  <c r="H55" i="486" s="1"/>
  <c r="J55" i="486" s="1"/>
  <c r="H56" i="486" a="1"/>
  <c r="H56" i="486" s="1"/>
  <c r="H57" i="486" a="1"/>
  <c r="H57" i="486" s="1"/>
  <c r="J57" i="486" s="1"/>
  <c r="H58" i="486" a="1"/>
  <c r="H58" i="486" s="1"/>
  <c r="J58" i="486" s="1"/>
  <c r="H59" i="486" a="1"/>
  <c r="H59" i="486" s="1"/>
  <c r="J59" i="486" s="1"/>
  <c r="H60" i="486" a="1"/>
  <c r="H60" i="486" s="1"/>
  <c r="H61" i="486" a="1"/>
  <c r="H61" i="486" s="1"/>
  <c r="J61" i="486" s="1"/>
  <c r="H62" i="486" a="1"/>
  <c r="H62" i="486" s="1"/>
  <c r="J62" i="486" s="1"/>
  <c r="H63" i="486" a="1"/>
  <c r="H63" i="486" s="1"/>
  <c r="J63" i="486" s="1"/>
  <c r="H64" i="486" a="1"/>
  <c r="H64" i="486" s="1"/>
  <c r="H65" i="486" a="1"/>
  <c r="H65" i="486" s="1"/>
  <c r="J65" i="486" s="1"/>
  <c r="H66" i="486" a="1"/>
  <c r="H66" i="486" s="1"/>
  <c r="J66" i="486" s="1"/>
  <c r="H67" i="486" a="1"/>
  <c r="H67" i="486" s="1"/>
  <c r="J67" i="486" s="1"/>
  <c r="H68" i="486" a="1"/>
  <c r="H68" i="486" s="1"/>
  <c r="H69" i="486" a="1"/>
  <c r="H69" i="486" s="1"/>
  <c r="J69" i="486" s="1"/>
  <c r="H70" i="486" a="1"/>
  <c r="H70" i="486" s="1"/>
  <c r="J70" i="486" s="1"/>
  <c r="H71" i="486" a="1"/>
  <c r="H71" i="486" s="1"/>
  <c r="J71" i="486" s="1"/>
  <c r="H72" i="486" a="1"/>
  <c r="H72" i="486" s="1"/>
  <c r="H73" i="486" a="1"/>
  <c r="H73" i="486" s="1"/>
  <c r="J73" i="486" s="1"/>
  <c r="H74" i="486" a="1"/>
  <c r="H74" i="486" s="1"/>
  <c r="J74" i="486" s="1"/>
  <c r="H75" i="486" a="1"/>
  <c r="H75" i="486" s="1"/>
  <c r="J75" i="486" s="1"/>
  <c r="H76" i="486" a="1"/>
  <c r="H76" i="486" s="1"/>
  <c r="H77" i="486" a="1"/>
  <c r="H77" i="486" s="1"/>
  <c r="J77" i="486" s="1"/>
  <c r="H78" i="486" a="1"/>
  <c r="H78" i="486" s="1"/>
  <c r="J78" i="486" s="1"/>
  <c r="H79" i="486" a="1"/>
  <c r="H79" i="486" s="1"/>
  <c r="J79" i="486" s="1"/>
  <c r="H80" i="486" a="1"/>
  <c r="H80" i="486" s="1"/>
  <c r="H81" i="486" a="1"/>
  <c r="H81" i="486" s="1"/>
  <c r="J81" i="486" s="1"/>
  <c r="H82" i="486" a="1"/>
  <c r="H82" i="486" s="1"/>
  <c r="J82" i="486" s="1"/>
  <c r="H83" i="486" a="1"/>
  <c r="H83" i="486" s="1"/>
  <c r="J83" i="486" s="1"/>
  <c r="H84" i="486" a="1"/>
  <c r="H84" i="486" s="1"/>
  <c r="H85" i="486" a="1"/>
  <c r="H85" i="486" s="1"/>
  <c r="J85" i="486" s="1"/>
  <c r="H86" i="486" a="1"/>
  <c r="H86" i="486" s="1"/>
  <c r="J86" i="486" s="1"/>
  <c r="H87" i="486" a="1"/>
  <c r="H87" i="486" s="1"/>
  <c r="J87" i="486" s="1"/>
  <c r="H88" i="486" a="1"/>
  <c r="H88" i="486" s="1"/>
  <c r="H89" i="486" a="1"/>
  <c r="H89" i="486" s="1"/>
  <c r="J89" i="486" s="1"/>
  <c r="H90" i="486" a="1"/>
  <c r="H90" i="486" s="1"/>
  <c r="J90" i="486" s="1"/>
  <c r="H91" i="486" a="1"/>
  <c r="H91" i="486" s="1"/>
  <c r="J91" i="486" s="1"/>
  <c r="H92" i="486" a="1"/>
  <c r="H92" i="486" s="1"/>
  <c r="H93" i="486" a="1"/>
  <c r="H93" i="486" s="1"/>
  <c r="J93" i="486" s="1"/>
  <c r="H94" i="486" a="1"/>
  <c r="H94" i="486" s="1"/>
  <c r="J94" i="486" s="1"/>
  <c r="H95" i="486" a="1"/>
  <c r="H95" i="486" s="1"/>
  <c r="J95" i="486" s="1"/>
  <c r="H96" i="486" a="1"/>
  <c r="H96" i="486" s="1"/>
  <c r="H97" i="486" a="1"/>
  <c r="H97" i="486" s="1"/>
  <c r="J97" i="486" s="1"/>
  <c r="H98" i="486" a="1"/>
  <c r="H98" i="486" s="1"/>
  <c r="J98" i="486" s="1"/>
  <c r="H99" i="486" a="1"/>
  <c r="H99" i="486" s="1"/>
  <c r="J99" i="486" s="1"/>
  <c r="H100" i="486" a="1"/>
  <c r="H100" i="486" s="1"/>
  <c r="H101" i="486" a="1"/>
  <c r="H101" i="486" s="1"/>
  <c r="J101" i="486" s="1"/>
  <c r="H102" i="486" a="1"/>
  <c r="H102" i="486" s="1"/>
  <c r="J102" i="486" s="1"/>
  <c r="H103" i="486" a="1"/>
  <c r="H103" i="486" s="1"/>
  <c r="J103" i="486" s="1"/>
  <c r="H104" i="486" a="1"/>
  <c r="H104" i="486" s="1"/>
  <c r="H105" i="486" a="1"/>
  <c r="H105" i="486" s="1"/>
  <c r="J105" i="486" s="1"/>
  <c r="H106" i="486" a="1"/>
  <c r="H106" i="486" s="1"/>
  <c r="J106" i="486" s="1"/>
  <c r="H107" i="486" a="1"/>
  <c r="H107" i="486" s="1"/>
  <c r="J107" i="486" s="1"/>
  <c r="H108" i="486" a="1"/>
  <c r="H108" i="486" s="1"/>
  <c r="H109" i="486" a="1"/>
  <c r="H109" i="486" s="1"/>
  <c r="J109" i="486" s="1"/>
  <c r="H110" i="486" a="1"/>
  <c r="H110" i="486" s="1"/>
  <c r="J110" i="486" s="1"/>
  <c r="H111" i="486" a="1"/>
  <c r="H111" i="486" s="1"/>
  <c r="J111" i="486" s="1"/>
  <c r="H112" i="486" a="1"/>
  <c r="H112" i="486" s="1"/>
  <c r="H113" i="486" a="1"/>
  <c r="H113" i="486" s="1"/>
  <c r="J113" i="486" s="1"/>
  <c r="H114" i="486" a="1"/>
  <c r="H114" i="486" s="1"/>
  <c r="J114" i="486" s="1"/>
  <c r="H115" i="486" a="1"/>
  <c r="H115" i="486" s="1"/>
  <c r="J115" i="486" s="1"/>
  <c r="H116" i="486" a="1"/>
  <c r="H116" i="486" s="1"/>
  <c r="H117" i="486" a="1"/>
  <c r="H117" i="486" s="1"/>
  <c r="J117" i="486" s="1"/>
  <c r="H118" i="486" a="1"/>
  <c r="H118" i="486" s="1"/>
  <c r="J118" i="486" s="1"/>
  <c r="H119" i="486" a="1"/>
  <c r="H119" i="486" s="1"/>
  <c r="J119" i="486" s="1"/>
  <c r="H120" i="486" a="1"/>
  <c r="H120" i="486" s="1"/>
  <c r="H121" i="486" a="1"/>
  <c r="H121" i="486" s="1"/>
  <c r="J121" i="486" s="1"/>
  <c r="H122" i="486" a="1"/>
  <c r="H122" i="486" s="1"/>
  <c r="J122" i="486" s="1"/>
  <c r="H123" i="486" a="1"/>
  <c r="H123" i="486" s="1"/>
  <c r="J123" i="486" s="1"/>
  <c r="H124" i="486" a="1"/>
  <c r="H124" i="486" s="1"/>
  <c r="H125" i="486" a="1"/>
  <c r="H125" i="486" s="1"/>
  <c r="J125" i="486" s="1"/>
  <c r="H126" i="486" a="1"/>
  <c r="H126" i="486" s="1"/>
  <c r="J126" i="486" s="1"/>
  <c r="H127" i="486" a="1"/>
  <c r="H127" i="486" s="1"/>
  <c r="J127" i="486" s="1"/>
  <c r="H128" i="486" a="1"/>
  <c r="H128" i="486" s="1"/>
  <c r="H129" i="486" a="1"/>
  <c r="H129" i="486" s="1"/>
  <c r="J129" i="486" s="1"/>
  <c r="H130" i="486" a="1"/>
  <c r="H130" i="486" s="1"/>
  <c r="J130" i="486" s="1"/>
  <c r="H131" i="486" a="1"/>
  <c r="H131" i="486" s="1"/>
  <c r="J131" i="486" s="1"/>
  <c r="H132" i="486" a="1"/>
  <c r="H132" i="486" s="1"/>
  <c r="H133" i="486" a="1"/>
  <c r="H133" i="486" s="1"/>
  <c r="J133" i="486" s="1"/>
  <c r="H134" i="486" a="1"/>
  <c r="H134" i="486" s="1"/>
  <c r="J134" i="486" s="1"/>
  <c r="H135" i="486" a="1"/>
  <c r="H135" i="486" s="1"/>
  <c r="J135" i="486" s="1"/>
  <c r="H136" i="486" a="1"/>
  <c r="H136" i="486" s="1"/>
  <c r="H137" i="486" a="1"/>
  <c r="H137" i="486" s="1"/>
  <c r="J137" i="486" s="1"/>
  <c r="H138" i="486" a="1"/>
  <c r="H138" i="486" s="1"/>
  <c r="J138" i="486" s="1"/>
  <c r="H139" i="486" a="1"/>
  <c r="H139" i="486" s="1"/>
  <c r="J139" i="486" s="1"/>
  <c r="H140" i="486" a="1"/>
  <c r="H140" i="486" s="1"/>
  <c r="H141" i="486" a="1"/>
  <c r="H141" i="486" s="1"/>
  <c r="J141" i="486" s="1"/>
  <c r="H142" i="486" a="1"/>
  <c r="H142" i="486" s="1"/>
  <c r="J142" i="486" s="1"/>
  <c r="H143" i="486" a="1"/>
  <c r="H143" i="486" s="1"/>
  <c r="J143" i="486" s="1"/>
  <c r="H144" i="486" a="1"/>
  <c r="H144" i="486" s="1"/>
  <c r="H145" i="486" a="1"/>
  <c r="H145" i="486" s="1"/>
  <c r="J145" i="486" s="1"/>
  <c r="H146" i="486" a="1"/>
  <c r="H146" i="486" s="1"/>
  <c r="J146" i="486" s="1"/>
  <c r="H147" i="486" a="1"/>
  <c r="H147" i="486" s="1"/>
  <c r="J147" i="486" s="1"/>
  <c r="H148" i="486" a="1"/>
  <c r="H148" i="486" s="1"/>
  <c r="H149" i="486" a="1"/>
  <c r="H149" i="486" s="1"/>
  <c r="J149" i="486" s="1"/>
  <c r="H150" i="486" a="1"/>
  <c r="H150" i="486" s="1"/>
  <c r="J150" i="486" s="1"/>
  <c r="H151" i="486" a="1"/>
  <c r="H151" i="486" s="1"/>
  <c r="J151" i="486" s="1"/>
  <c r="H152" i="486" a="1"/>
  <c r="H152" i="486" s="1"/>
  <c r="H153" i="486" a="1"/>
  <c r="H153" i="486" s="1"/>
  <c r="J153" i="486" s="1"/>
  <c r="H2" i="486" a="1"/>
  <c r="H2" i="486" s="1"/>
  <c r="J2" i="486" s="1"/>
  <c r="G3" i="486" a="1"/>
  <c r="G3" i="486" s="1"/>
  <c r="G4" i="486" a="1"/>
  <c r="G4" i="486" s="1"/>
  <c r="G5" i="486" a="1"/>
  <c r="G5" i="486" s="1"/>
  <c r="G6" i="486" a="1"/>
  <c r="G6" i="486" s="1"/>
  <c r="G7" i="486" a="1"/>
  <c r="G7" i="486" s="1"/>
  <c r="G8" i="486" a="1"/>
  <c r="G8" i="486" s="1"/>
  <c r="G9" i="486" a="1"/>
  <c r="G9" i="486" s="1"/>
  <c r="G10" i="486" a="1"/>
  <c r="G10" i="486" s="1"/>
  <c r="G11" i="486" a="1"/>
  <c r="G11" i="486" s="1"/>
  <c r="G12" i="486" a="1"/>
  <c r="G12" i="486" s="1"/>
  <c r="G13" i="486" a="1"/>
  <c r="G13" i="486" s="1"/>
  <c r="G14" i="486" a="1"/>
  <c r="G14" i="486" s="1"/>
  <c r="G15" i="486" a="1"/>
  <c r="G15" i="486" s="1"/>
  <c r="G16" i="486" a="1"/>
  <c r="G16" i="486" s="1"/>
  <c r="G17" i="486" a="1"/>
  <c r="G17" i="486" s="1"/>
  <c r="G18" i="486" a="1"/>
  <c r="G18" i="486" s="1"/>
  <c r="G19" i="486" a="1"/>
  <c r="G19" i="486" s="1"/>
  <c r="G20" i="486" a="1"/>
  <c r="G20" i="486" s="1"/>
  <c r="G21" i="486" a="1"/>
  <c r="G21" i="486" s="1"/>
  <c r="G22" i="486" a="1"/>
  <c r="G22" i="486" s="1"/>
  <c r="G23" i="486" a="1"/>
  <c r="G23" i="486" s="1"/>
  <c r="G24" i="486" a="1"/>
  <c r="G24" i="486" s="1"/>
  <c r="G25" i="486" a="1"/>
  <c r="G25" i="486" s="1"/>
  <c r="G26" i="486" a="1"/>
  <c r="G26" i="486" s="1"/>
  <c r="G27" i="486" a="1"/>
  <c r="G27" i="486" s="1"/>
  <c r="G28" i="486" a="1"/>
  <c r="G28" i="486" s="1"/>
  <c r="G29" i="486" a="1"/>
  <c r="G29" i="486" s="1"/>
  <c r="G30" i="486" a="1"/>
  <c r="G30" i="486" s="1"/>
  <c r="G31" i="486" a="1"/>
  <c r="G31" i="486" s="1"/>
  <c r="G32" i="486" a="1"/>
  <c r="G32" i="486" s="1"/>
  <c r="G33" i="486" a="1"/>
  <c r="G33" i="486" s="1"/>
  <c r="G34" i="486" a="1"/>
  <c r="G34" i="486" s="1"/>
  <c r="G35" i="486" a="1"/>
  <c r="G35" i="486" s="1"/>
  <c r="G36" i="486" a="1"/>
  <c r="G36" i="486" s="1"/>
  <c r="G37" i="486" a="1"/>
  <c r="G37" i="486" s="1"/>
  <c r="G38" i="486" a="1"/>
  <c r="G38" i="486" s="1"/>
  <c r="G39" i="486" a="1"/>
  <c r="G39" i="486" s="1"/>
  <c r="G40" i="486" a="1"/>
  <c r="G40" i="486" s="1"/>
  <c r="G41" i="486" a="1"/>
  <c r="G41" i="486" s="1"/>
  <c r="G42" i="486" a="1"/>
  <c r="G42" i="486" s="1"/>
  <c r="G43" i="486" a="1"/>
  <c r="G43" i="486" s="1"/>
  <c r="G44" i="486" a="1"/>
  <c r="G44" i="486" s="1"/>
  <c r="G45" i="486" a="1"/>
  <c r="G45" i="486" s="1"/>
  <c r="G46" i="486" a="1"/>
  <c r="G46" i="486" s="1"/>
  <c r="G47" i="486" a="1"/>
  <c r="G47" i="486" s="1"/>
  <c r="G48" i="486" a="1"/>
  <c r="G48" i="486" s="1"/>
  <c r="G49" i="486" a="1"/>
  <c r="G49" i="486" s="1"/>
  <c r="G50" i="486" a="1"/>
  <c r="G50" i="486" s="1"/>
  <c r="G51" i="486" a="1"/>
  <c r="G51" i="486" s="1"/>
  <c r="G52" i="486" a="1"/>
  <c r="G52" i="486" s="1"/>
  <c r="G53" i="486" a="1"/>
  <c r="G53" i="486" s="1"/>
  <c r="G54" i="486" a="1"/>
  <c r="G54" i="486" s="1"/>
  <c r="G55" i="486" a="1"/>
  <c r="G55" i="486" s="1"/>
  <c r="G56" i="486" a="1"/>
  <c r="G56" i="486" s="1"/>
  <c r="G57" i="486" a="1"/>
  <c r="G57" i="486" s="1"/>
  <c r="G58" i="486" a="1"/>
  <c r="G58" i="486" s="1"/>
  <c r="G59" i="486" a="1"/>
  <c r="G59" i="486" s="1"/>
  <c r="G60" i="486" a="1"/>
  <c r="G60" i="486" s="1"/>
  <c r="G61" i="486" a="1"/>
  <c r="G61" i="486" s="1"/>
  <c r="G62" i="486" a="1"/>
  <c r="G62" i="486" s="1"/>
  <c r="G63" i="486" a="1"/>
  <c r="G63" i="486" s="1"/>
  <c r="G64" i="486" a="1"/>
  <c r="G64" i="486" s="1"/>
  <c r="G65" i="486" a="1"/>
  <c r="G65" i="486" s="1"/>
  <c r="G66" i="486" a="1"/>
  <c r="G66" i="486" s="1"/>
  <c r="G67" i="486" a="1"/>
  <c r="G67" i="486" s="1"/>
  <c r="G68" i="486" a="1"/>
  <c r="G68" i="486" s="1"/>
  <c r="G69" i="486" a="1"/>
  <c r="G69" i="486" s="1"/>
  <c r="G70" i="486" a="1"/>
  <c r="G70" i="486" s="1"/>
  <c r="G71" i="486" a="1"/>
  <c r="G71" i="486" s="1"/>
  <c r="G72" i="486" a="1"/>
  <c r="G72" i="486" s="1"/>
  <c r="G73" i="486" a="1"/>
  <c r="G73" i="486" s="1"/>
  <c r="G74" i="486" a="1"/>
  <c r="G74" i="486" s="1"/>
  <c r="G75" i="486" a="1"/>
  <c r="G75" i="486" s="1"/>
  <c r="G76" i="486" a="1"/>
  <c r="G76" i="486" s="1"/>
  <c r="G77" i="486" a="1"/>
  <c r="G77" i="486" s="1"/>
  <c r="G78" i="486" a="1"/>
  <c r="G78" i="486" s="1"/>
  <c r="G79" i="486" a="1"/>
  <c r="G79" i="486" s="1"/>
  <c r="G80" i="486" a="1"/>
  <c r="G80" i="486" s="1"/>
  <c r="G81" i="486" a="1"/>
  <c r="G81" i="486" s="1"/>
  <c r="G82" i="486" a="1"/>
  <c r="G82" i="486" s="1"/>
  <c r="G83" i="486" a="1"/>
  <c r="G83" i="486" s="1"/>
  <c r="G84" i="486" a="1"/>
  <c r="G84" i="486" s="1"/>
  <c r="G85" i="486" a="1"/>
  <c r="G85" i="486" s="1"/>
  <c r="G86" i="486" a="1"/>
  <c r="G86" i="486" s="1"/>
  <c r="G87" i="486" a="1"/>
  <c r="G87" i="486" s="1"/>
  <c r="G88" i="486" a="1"/>
  <c r="G88" i="486" s="1"/>
  <c r="G89" i="486" a="1"/>
  <c r="G89" i="486" s="1"/>
  <c r="G90" i="486" a="1"/>
  <c r="G90" i="486" s="1"/>
  <c r="G91" i="486" a="1"/>
  <c r="G91" i="486" s="1"/>
  <c r="G92" i="486" a="1"/>
  <c r="G92" i="486" s="1"/>
  <c r="G93" i="486" a="1"/>
  <c r="G93" i="486" s="1"/>
  <c r="G94" i="486" a="1"/>
  <c r="G94" i="486" s="1"/>
  <c r="G95" i="486" a="1"/>
  <c r="G95" i="486" s="1"/>
  <c r="G96" i="486" a="1"/>
  <c r="G96" i="486" s="1"/>
  <c r="G97" i="486" a="1"/>
  <c r="G97" i="486" s="1"/>
  <c r="G98" i="486" a="1"/>
  <c r="G98" i="486" s="1"/>
  <c r="G99" i="486" a="1"/>
  <c r="G99" i="486" s="1"/>
  <c r="G100" i="486" a="1"/>
  <c r="G100" i="486" s="1"/>
  <c r="G101" i="486" a="1"/>
  <c r="G101" i="486" s="1"/>
  <c r="G102" i="486" a="1"/>
  <c r="G102" i="486" s="1"/>
  <c r="G103" i="486" a="1"/>
  <c r="G103" i="486" s="1"/>
  <c r="G104" i="486" a="1"/>
  <c r="G104" i="486" s="1"/>
  <c r="G105" i="486" a="1"/>
  <c r="G105" i="486" s="1"/>
  <c r="G106" i="486" a="1"/>
  <c r="G106" i="486" s="1"/>
  <c r="G107" i="486" a="1"/>
  <c r="G107" i="486" s="1"/>
  <c r="G108" i="486" a="1"/>
  <c r="G108" i="486" s="1"/>
  <c r="G109" i="486" a="1"/>
  <c r="G109" i="486" s="1"/>
  <c r="G110" i="486" a="1"/>
  <c r="G110" i="486" s="1"/>
  <c r="G111" i="486" a="1"/>
  <c r="G111" i="486" s="1"/>
  <c r="G112" i="486" a="1"/>
  <c r="G112" i="486" s="1"/>
  <c r="G113" i="486" a="1"/>
  <c r="G113" i="486" s="1"/>
  <c r="G114" i="486" a="1"/>
  <c r="G114" i="486" s="1"/>
  <c r="G115" i="486" a="1"/>
  <c r="G115" i="486" s="1"/>
  <c r="G116" i="486" a="1"/>
  <c r="G116" i="486" s="1"/>
  <c r="G117" i="486" a="1"/>
  <c r="G117" i="486" s="1"/>
  <c r="G118" i="486" a="1"/>
  <c r="G118" i="486" s="1"/>
  <c r="G119" i="486" a="1"/>
  <c r="G119" i="486" s="1"/>
  <c r="G120" i="486" a="1"/>
  <c r="G120" i="486" s="1"/>
  <c r="G121" i="486" a="1"/>
  <c r="G121" i="486" s="1"/>
  <c r="G122" i="486" a="1"/>
  <c r="G122" i="486" s="1"/>
  <c r="G123" i="486" a="1"/>
  <c r="G123" i="486" s="1"/>
  <c r="G124" i="486" a="1"/>
  <c r="G124" i="486" s="1"/>
  <c r="G125" i="486" a="1"/>
  <c r="G125" i="486" s="1"/>
  <c r="G126" i="486" a="1"/>
  <c r="G126" i="486" s="1"/>
  <c r="G127" i="486" a="1"/>
  <c r="G127" i="486" s="1"/>
  <c r="G128" i="486" a="1"/>
  <c r="G128" i="486" s="1"/>
  <c r="G129" i="486" a="1"/>
  <c r="G129" i="486" s="1"/>
  <c r="G130" i="486" a="1"/>
  <c r="G130" i="486" s="1"/>
  <c r="G131" i="486" a="1"/>
  <c r="G131" i="486" s="1"/>
  <c r="G132" i="486" a="1"/>
  <c r="G132" i="486" s="1"/>
  <c r="G133" i="486" a="1"/>
  <c r="G133" i="486" s="1"/>
  <c r="G134" i="486" a="1"/>
  <c r="G134" i="486" s="1"/>
  <c r="G135" i="486" a="1"/>
  <c r="G135" i="486" s="1"/>
  <c r="G136" i="486" a="1"/>
  <c r="G136" i="486" s="1"/>
  <c r="G137" i="486" a="1"/>
  <c r="G137" i="486" s="1"/>
  <c r="G138" i="486" a="1"/>
  <c r="G138" i="486" s="1"/>
  <c r="G139" i="486" a="1"/>
  <c r="G139" i="486" s="1"/>
  <c r="G140" i="486" a="1"/>
  <c r="G140" i="486" s="1"/>
  <c r="G141" i="486" a="1"/>
  <c r="G141" i="486" s="1"/>
  <c r="G142" i="486" a="1"/>
  <c r="G142" i="486" s="1"/>
  <c r="G143" i="486" a="1"/>
  <c r="G143" i="486" s="1"/>
  <c r="G144" i="486" a="1"/>
  <c r="G144" i="486" s="1"/>
  <c r="G145" i="486" a="1"/>
  <c r="G145" i="486" s="1"/>
  <c r="G146" i="486" a="1"/>
  <c r="G146" i="486" s="1"/>
  <c r="G147" i="486" a="1"/>
  <c r="G147" i="486" s="1"/>
  <c r="G148" i="486" a="1"/>
  <c r="G148" i="486" s="1"/>
  <c r="G149" i="486" a="1"/>
  <c r="G149" i="486" s="1"/>
  <c r="G150" i="486" a="1"/>
  <c r="G150" i="486" s="1"/>
  <c r="G151" i="486" a="1"/>
  <c r="G151" i="486" s="1"/>
  <c r="G152" i="486" a="1"/>
  <c r="G152" i="486" s="1"/>
  <c r="G153" i="486" a="1"/>
  <c r="G153" i="486" s="1"/>
  <c r="G2" i="486" a="1"/>
  <c r="G2" i="486" s="1"/>
  <c r="F3" i="486" a="1"/>
  <c r="F3" i="486" s="1"/>
  <c r="F4" i="486" a="1"/>
  <c r="F4" i="486" s="1"/>
  <c r="F5" i="486" a="1"/>
  <c r="F5" i="486" s="1"/>
  <c r="F6" i="486" a="1"/>
  <c r="F6" i="486" s="1"/>
  <c r="F7" i="486" a="1"/>
  <c r="F7" i="486" s="1"/>
  <c r="F8" i="486" a="1"/>
  <c r="F8" i="486" s="1"/>
  <c r="F9" i="486" a="1"/>
  <c r="F9" i="486" s="1"/>
  <c r="F10" i="486" a="1"/>
  <c r="F10" i="486" s="1"/>
  <c r="F11" i="486" a="1"/>
  <c r="F11" i="486" s="1"/>
  <c r="F12" i="486" a="1"/>
  <c r="F12" i="486" s="1"/>
  <c r="F13" i="486" a="1"/>
  <c r="F13" i="486" s="1"/>
  <c r="F14" i="486" a="1"/>
  <c r="F14" i="486" s="1"/>
  <c r="F15" i="486" a="1"/>
  <c r="F15" i="486" s="1"/>
  <c r="F16" i="486" a="1"/>
  <c r="F16" i="486" s="1"/>
  <c r="F17" i="486" a="1"/>
  <c r="F17" i="486" s="1"/>
  <c r="F18" i="486" a="1"/>
  <c r="F18" i="486" s="1"/>
  <c r="F19" i="486" a="1"/>
  <c r="F19" i="486" s="1"/>
  <c r="F20" i="486" a="1"/>
  <c r="F20" i="486" s="1"/>
  <c r="F21" i="486" a="1"/>
  <c r="F21" i="486" s="1"/>
  <c r="F22" i="486" a="1"/>
  <c r="F22" i="486" s="1"/>
  <c r="F23" i="486" a="1"/>
  <c r="F23" i="486" s="1"/>
  <c r="F24" i="486" a="1"/>
  <c r="F24" i="486" s="1"/>
  <c r="F25" i="486" a="1"/>
  <c r="F25" i="486" s="1"/>
  <c r="F26" i="486" a="1"/>
  <c r="F26" i="486" s="1"/>
  <c r="F27" i="486" a="1"/>
  <c r="F27" i="486" s="1"/>
  <c r="F28" i="486" a="1"/>
  <c r="F28" i="486" s="1"/>
  <c r="F29" i="486" a="1"/>
  <c r="F29" i="486" s="1"/>
  <c r="F30" i="486" a="1"/>
  <c r="F30" i="486" s="1"/>
  <c r="F31" i="486" a="1"/>
  <c r="F31" i="486" s="1"/>
  <c r="F32" i="486" a="1"/>
  <c r="F32" i="486" s="1"/>
  <c r="F33" i="486" a="1"/>
  <c r="F33" i="486" s="1"/>
  <c r="F34" i="486" a="1"/>
  <c r="F34" i="486" s="1"/>
  <c r="F35" i="486" a="1"/>
  <c r="F35" i="486" s="1"/>
  <c r="F36" i="486" a="1"/>
  <c r="F36" i="486" s="1"/>
  <c r="F37" i="486" a="1"/>
  <c r="F37" i="486" s="1"/>
  <c r="F38" i="486" a="1"/>
  <c r="F38" i="486" s="1"/>
  <c r="F39" i="486" a="1"/>
  <c r="F39" i="486" s="1"/>
  <c r="F40" i="486" a="1"/>
  <c r="F40" i="486" s="1"/>
  <c r="F41" i="486" a="1"/>
  <c r="F41" i="486" s="1"/>
  <c r="F42" i="486" a="1"/>
  <c r="F42" i="486" s="1"/>
  <c r="F43" i="486" a="1"/>
  <c r="F43" i="486" s="1"/>
  <c r="F44" i="486" a="1"/>
  <c r="F44" i="486" s="1"/>
  <c r="F45" i="486" a="1"/>
  <c r="F45" i="486" s="1"/>
  <c r="F46" i="486" a="1"/>
  <c r="F46" i="486" s="1"/>
  <c r="F47" i="486" a="1"/>
  <c r="F47" i="486" s="1"/>
  <c r="F48" i="486" a="1"/>
  <c r="F48" i="486" s="1"/>
  <c r="F49" i="486" a="1"/>
  <c r="F49" i="486" s="1"/>
  <c r="F50" i="486" a="1"/>
  <c r="F50" i="486" s="1"/>
  <c r="F51" i="486" a="1"/>
  <c r="F51" i="486" s="1"/>
  <c r="F52" i="486" a="1"/>
  <c r="F52" i="486" s="1"/>
  <c r="F53" i="486" a="1"/>
  <c r="F53" i="486" s="1"/>
  <c r="F54" i="486" a="1"/>
  <c r="F54" i="486" s="1"/>
  <c r="F55" i="486" a="1"/>
  <c r="F55" i="486" s="1"/>
  <c r="F56" i="486" a="1"/>
  <c r="F56" i="486" s="1"/>
  <c r="F57" i="486" a="1"/>
  <c r="F57" i="486" s="1"/>
  <c r="F58" i="486" a="1"/>
  <c r="F58" i="486" s="1"/>
  <c r="F59" i="486" a="1"/>
  <c r="F59" i="486" s="1"/>
  <c r="F60" i="486" a="1"/>
  <c r="F60" i="486" s="1"/>
  <c r="F61" i="486" a="1"/>
  <c r="F61" i="486" s="1"/>
  <c r="F62" i="486" a="1"/>
  <c r="F62" i="486" s="1"/>
  <c r="F63" i="486" a="1"/>
  <c r="F63" i="486" s="1"/>
  <c r="F64" i="486" a="1"/>
  <c r="F64" i="486" s="1"/>
  <c r="F65" i="486" a="1"/>
  <c r="F65" i="486" s="1"/>
  <c r="F66" i="486" a="1"/>
  <c r="F66" i="486" s="1"/>
  <c r="F67" i="486" a="1"/>
  <c r="F67" i="486" s="1"/>
  <c r="F68" i="486" a="1"/>
  <c r="F68" i="486" s="1"/>
  <c r="F69" i="486" a="1"/>
  <c r="F69" i="486" s="1"/>
  <c r="F70" i="486" a="1"/>
  <c r="F70" i="486" s="1"/>
  <c r="F71" i="486" a="1"/>
  <c r="F71" i="486" s="1"/>
  <c r="F72" i="486" a="1"/>
  <c r="F72" i="486" s="1"/>
  <c r="F73" i="486" a="1"/>
  <c r="F73" i="486" s="1"/>
  <c r="F74" i="486" a="1"/>
  <c r="F74" i="486" s="1"/>
  <c r="F75" i="486" a="1"/>
  <c r="F75" i="486" s="1"/>
  <c r="F76" i="486" a="1"/>
  <c r="F76" i="486" s="1"/>
  <c r="F77" i="486" a="1"/>
  <c r="F77" i="486" s="1"/>
  <c r="F78" i="486" a="1"/>
  <c r="F78" i="486" s="1"/>
  <c r="F79" i="486" a="1"/>
  <c r="F79" i="486" s="1"/>
  <c r="F80" i="486" a="1"/>
  <c r="F80" i="486" s="1"/>
  <c r="F81" i="486" a="1"/>
  <c r="F81" i="486" s="1"/>
  <c r="F82" i="486" a="1"/>
  <c r="F82" i="486" s="1"/>
  <c r="F83" i="486" a="1"/>
  <c r="F83" i="486" s="1"/>
  <c r="F84" i="486" a="1"/>
  <c r="F84" i="486" s="1"/>
  <c r="F85" i="486" a="1"/>
  <c r="F85" i="486" s="1"/>
  <c r="F86" i="486" a="1"/>
  <c r="F86" i="486" s="1"/>
  <c r="F87" i="486" a="1"/>
  <c r="F87" i="486" s="1"/>
  <c r="F88" i="486" a="1"/>
  <c r="F88" i="486" s="1"/>
  <c r="F89" i="486" a="1"/>
  <c r="F89" i="486" s="1"/>
  <c r="F90" i="486" a="1"/>
  <c r="F90" i="486" s="1"/>
  <c r="F91" i="486" a="1"/>
  <c r="F91" i="486" s="1"/>
  <c r="F92" i="486" a="1"/>
  <c r="F92" i="486" s="1"/>
  <c r="F93" i="486" a="1"/>
  <c r="F93" i="486" s="1"/>
  <c r="F94" i="486" a="1"/>
  <c r="F94" i="486" s="1"/>
  <c r="F95" i="486" a="1"/>
  <c r="F95" i="486" s="1"/>
  <c r="F96" i="486" a="1"/>
  <c r="F96" i="486" s="1"/>
  <c r="F97" i="486" a="1"/>
  <c r="F97" i="486" s="1"/>
  <c r="F98" i="486" a="1"/>
  <c r="F98" i="486" s="1"/>
  <c r="F99" i="486" a="1"/>
  <c r="F99" i="486" s="1"/>
  <c r="F100" i="486" a="1"/>
  <c r="F100" i="486" s="1"/>
  <c r="F101" i="486" a="1"/>
  <c r="F101" i="486" s="1"/>
  <c r="F102" i="486" a="1"/>
  <c r="F102" i="486" s="1"/>
  <c r="F103" i="486" a="1"/>
  <c r="F103" i="486" s="1"/>
  <c r="F104" i="486" a="1"/>
  <c r="F104" i="486" s="1"/>
  <c r="F105" i="486" a="1"/>
  <c r="F105" i="486" s="1"/>
  <c r="F106" i="486" a="1"/>
  <c r="F106" i="486" s="1"/>
  <c r="F107" i="486" a="1"/>
  <c r="F107" i="486" s="1"/>
  <c r="F108" i="486" a="1"/>
  <c r="F108" i="486" s="1"/>
  <c r="F109" i="486" a="1"/>
  <c r="F109" i="486" s="1"/>
  <c r="F110" i="486" a="1"/>
  <c r="F110" i="486" s="1"/>
  <c r="F111" i="486" a="1"/>
  <c r="F111" i="486" s="1"/>
  <c r="F112" i="486" a="1"/>
  <c r="F112" i="486" s="1"/>
  <c r="F113" i="486" a="1"/>
  <c r="F113" i="486" s="1"/>
  <c r="F114" i="486" a="1"/>
  <c r="F114" i="486" s="1"/>
  <c r="F115" i="486" a="1"/>
  <c r="F115" i="486" s="1"/>
  <c r="F116" i="486" a="1"/>
  <c r="F116" i="486" s="1"/>
  <c r="F117" i="486" a="1"/>
  <c r="F117" i="486" s="1"/>
  <c r="F118" i="486" a="1"/>
  <c r="F118" i="486" s="1"/>
  <c r="F119" i="486" a="1"/>
  <c r="F119" i="486" s="1"/>
  <c r="F120" i="486" a="1"/>
  <c r="F120" i="486" s="1"/>
  <c r="F121" i="486" a="1"/>
  <c r="F121" i="486" s="1"/>
  <c r="F122" i="486" a="1"/>
  <c r="F122" i="486" s="1"/>
  <c r="F123" i="486" a="1"/>
  <c r="F123" i="486" s="1"/>
  <c r="F124" i="486" a="1"/>
  <c r="F124" i="486" s="1"/>
  <c r="F125" i="486" a="1"/>
  <c r="F125" i="486" s="1"/>
  <c r="F126" i="486" a="1"/>
  <c r="F126" i="486" s="1"/>
  <c r="F127" i="486" a="1"/>
  <c r="F127" i="486" s="1"/>
  <c r="F128" i="486" a="1"/>
  <c r="F128" i="486" s="1"/>
  <c r="F129" i="486" a="1"/>
  <c r="F129" i="486" s="1"/>
  <c r="F130" i="486" a="1"/>
  <c r="F130" i="486" s="1"/>
  <c r="F131" i="486" a="1"/>
  <c r="F131" i="486" s="1"/>
  <c r="F132" i="486" a="1"/>
  <c r="F132" i="486" s="1"/>
  <c r="F133" i="486" a="1"/>
  <c r="F133" i="486" s="1"/>
  <c r="F134" i="486" a="1"/>
  <c r="F134" i="486" s="1"/>
  <c r="F135" i="486" a="1"/>
  <c r="F135" i="486" s="1"/>
  <c r="F136" i="486" a="1"/>
  <c r="F136" i="486" s="1"/>
  <c r="F137" i="486" a="1"/>
  <c r="F137" i="486" s="1"/>
  <c r="F138" i="486" a="1"/>
  <c r="F138" i="486" s="1"/>
  <c r="F139" i="486" a="1"/>
  <c r="F139" i="486" s="1"/>
  <c r="F140" i="486" a="1"/>
  <c r="F140" i="486" s="1"/>
  <c r="F141" i="486" a="1"/>
  <c r="F141" i="486" s="1"/>
  <c r="F142" i="486" a="1"/>
  <c r="F142" i="486" s="1"/>
  <c r="F143" i="486" a="1"/>
  <c r="F143" i="486" s="1"/>
  <c r="F144" i="486" a="1"/>
  <c r="F144" i="486" s="1"/>
  <c r="F145" i="486" a="1"/>
  <c r="F145" i="486" s="1"/>
  <c r="F146" i="486" a="1"/>
  <c r="F146" i="486" s="1"/>
  <c r="F147" i="486" a="1"/>
  <c r="F147" i="486" s="1"/>
  <c r="F148" i="486" a="1"/>
  <c r="F148" i="486" s="1"/>
  <c r="F149" i="486" a="1"/>
  <c r="F149" i="486" s="1"/>
  <c r="F150" i="486" a="1"/>
  <c r="F150" i="486" s="1"/>
  <c r="F151" i="486" a="1"/>
  <c r="F151" i="486" s="1"/>
  <c r="F152" i="486" a="1"/>
  <c r="F152" i="486" s="1"/>
  <c r="F153" i="486" a="1"/>
  <c r="F153" i="486" s="1"/>
  <c r="F2" i="486" a="1"/>
  <c r="F2" i="486" s="1"/>
  <c r="D3" i="486"/>
  <c r="D4" i="486"/>
  <c r="D5" i="486"/>
  <c r="D6" i="486"/>
  <c r="D7" i="486"/>
  <c r="D8" i="486"/>
  <c r="D9" i="486"/>
  <c r="D10" i="486"/>
  <c r="D11" i="486"/>
  <c r="D12" i="486"/>
  <c r="D13" i="486"/>
  <c r="D14" i="486"/>
  <c r="D15" i="486"/>
  <c r="D16" i="486"/>
  <c r="D17" i="486"/>
  <c r="D18" i="486"/>
  <c r="D19" i="486"/>
  <c r="D20" i="486"/>
  <c r="D21" i="486"/>
  <c r="D22" i="486"/>
  <c r="D23" i="486"/>
  <c r="D24" i="486"/>
  <c r="D25" i="486"/>
  <c r="D26" i="486"/>
  <c r="D27" i="486"/>
  <c r="D28" i="486"/>
  <c r="D29" i="486"/>
  <c r="D30" i="486"/>
  <c r="D31" i="486"/>
  <c r="D32" i="486"/>
  <c r="D33" i="486"/>
  <c r="D34" i="486"/>
  <c r="D35" i="486"/>
  <c r="D36" i="486"/>
  <c r="D37" i="486"/>
  <c r="D38" i="486"/>
  <c r="D39" i="486"/>
  <c r="D40" i="486"/>
  <c r="D41" i="486"/>
  <c r="D42" i="486"/>
  <c r="D43" i="486"/>
  <c r="D44" i="486"/>
  <c r="D45" i="486"/>
  <c r="D46" i="486"/>
  <c r="D47" i="486"/>
  <c r="D48" i="486"/>
  <c r="D49" i="486"/>
  <c r="D50" i="486"/>
  <c r="D51" i="486"/>
  <c r="D52" i="486"/>
  <c r="D53" i="486"/>
  <c r="D54" i="486"/>
  <c r="D55" i="486"/>
  <c r="D56" i="486"/>
  <c r="D57" i="486"/>
  <c r="D58" i="486"/>
  <c r="D59" i="486"/>
  <c r="D60" i="486"/>
  <c r="D61" i="486"/>
  <c r="D62" i="486"/>
  <c r="D63" i="486"/>
  <c r="D64" i="486"/>
  <c r="D65" i="486"/>
  <c r="D66" i="486"/>
  <c r="D67" i="486"/>
  <c r="D68" i="486"/>
  <c r="D69" i="486"/>
  <c r="D70" i="486"/>
  <c r="D71" i="486"/>
  <c r="D72" i="486"/>
  <c r="D73" i="486"/>
  <c r="D74" i="486"/>
  <c r="D75" i="486"/>
  <c r="D76" i="486"/>
  <c r="D77" i="486"/>
  <c r="D78" i="486"/>
  <c r="D79" i="486"/>
  <c r="D80" i="486"/>
  <c r="D81" i="486"/>
  <c r="D82" i="486"/>
  <c r="D83" i="486"/>
  <c r="D84" i="486"/>
  <c r="D85" i="486"/>
  <c r="D86" i="486"/>
  <c r="D87" i="486"/>
  <c r="D88" i="486"/>
  <c r="D89" i="486"/>
  <c r="D90" i="486"/>
  <c r="D91" i="486"/>
  <c r="D92" i="486"/>
  <c r="D93" i="486"/>
  <c r="D94" i="486"/>
  <c r="D95" i="486"/>
  <c r="D96" i="486"/>
  <c r="D97" i="486"/>
  <c r="D98" i="486"/>
  <c r="D99" i="486"/>
  <c r="D100" i="486"/>
  <c r="D101" i="486"/>
  <c r="D102" i="486"/>
  <c r="D103" i="486"/>
  <c r="D104" i="486"/>
  <c r="D105" i="486"/>
  <c r="D106" i="486"/>
  <c r="D107" i="486"/>
  <c r="D108" i="486"/>
  <c r="D109" i="486"/>
  <c r="D110" i="486"/>
  <c r="D111" i="486"/>
  <c r="D112" i="486"/>
  <c r="D113" i="486"/>
  <c r="D114" i="486"/>
  <c r="D115" i="486"/>
  <c r="D116" i="486"/>
  <c r="D117" i="486"/>
  <c r="D118" i="486"/>
  <c r="D119" i="486"/>
  <c r="D120" i="486"/>
  <c r="D121" i="486"/>
  <c r="D122" i="486"/>
  <c r="D123" i="486"/>
  <c r="D124" i="486"/>
  <c r="D125" i="486"/>
  <c r="D126" i="486"/>
  <c r="D127" i="486"/>
  <c r="D128" i="486"/>
  <c r="D129" i="486"/>
  <c r="D130" i="486"/>
  <c r="D131" i="486"/>
  <c r="D132" i="486"/>
  <c r="D133" i="486"/>
  <c r="D134" i="486"/>
  <c r="D135" i="486"/>
  <c r="D136" i="486"/>
  <c r="D137" i="486"/>
  <c r="D138" i="486"/>
  <c r="D139" i="486"/>
  <c r="D140" i="486"/>
  <c r="D141" i="486"/>
  <c r="D142" i="486"/>
  <c r="D143" i="486"/>
  <c r="D144" i="486"/>
  <c r="D145" i="486"/>
  <c r="D146" i="486"/>
  <c r="D147" i="486"/>
  <c r="D148" i="486"/>
  <c r="D149" i="486"/>
  <c r="D150" i="486"/>
  <c r="D151" i="486"/>
  <c r="D152" i="486"/>
  <c r="D153" i="486"/>
  <c r="D2" i="486"/>
  <c r="K7" i="481"/>
  <c r="K8" i="481"/>
  <c r="K9" i="481"/>
  <c r="K10" i="481"/>
  <c r="K11" i="481"/>
  <c r="K12" i="481"/>
  <c r="K13" i="481"/>
  <c r="K14" i="481"/>
  <c r="K15" i="481"/>
  <c r="K16" i="481"/>
  <c r="K17" i="481"/>
  <c r="K18" i="481"/>
  <c r="K19" i="481"/>
  <c r="K20" i="481"/>
  <c r="K21" i="481"/>
  <c r="K22" i="481"/>
  <c r="K23" i="481"/>
  <c r="K24" i="481"/>
  <c r="K25" i="481"/>
  <c r="K26" i="481"/>
  <c r="K27" i="481"/>
  <c r="K28" i="481"/>
  <c r="K29" i="481"/>
  <c r="K30" i="481"/>
  <c r="K31" i="481"/>
  <c r="K32" i="481"/>
  <c r="K33" i="481"/>
  <c r="K34" i="481"/>
  <c r="K35" i="481"/>
  <c r="K36" i="481"/>
  <c r="K37" i="481"/>
  <c r="K38" i="481"/>
  <c r="K39" i="481"/>
  <c r="K40" i="481"/>
  <c r="K41" i="481"/>
  <c r="K42" i="481"/>
  <c r="K43" i="481"/>
  <c r="K44" i="481"/>
  <c r="K45" i="481"/>
  <c r="K46" i="481"/>
  <c r="K47" i="481"/>
  <c r="K48" i="481"/>
  <c r="K49" i="481"/>
  <c r="K50" i="481"/>
  <c r="K51" i="481"/>
  <c r="K52" i="481"/>
  <c r="K53" i="481"/>
  <c r="K54" i="481"/>
  <c r="K55" i="481"/>
  <c r="K56" i="481"/>
  <c r="K57" i="481"/>
  <c r="K58" i="481"/>
  <c r="K59" i="481"/>
  <c r="K60" i="481"/>
  <c r="K61" i="481"/>
  <c r="K62" i="481"/>
  <c r="K63" i="481"/>
  <c r="K64" i="481"/>
  <c r="K65" i="481"/>
  <c r="K66" i="481"/>
  <c r="K67" i="481"/>
  <c r="K68" i="481"/>
  <c r="K69" i="481"/>
  <c r="K70" i="481"/>
  <c r="K71" i="481"/>
  <c r="K72" i="481"/>
  <c r="K73" i="481"/>
  <c r="K74" i="481"/>
  <c r="K75" i="481"/>
  <c r="K76" i="481"/>
  <c r="K77" i="481"/>
  <c r="K78" i="481"/>
  <c r="K79" i="481"/>
  <c r="K80" i="481"/>
  <c r="K81" i="481"/>
  <c r="K82" i="481"/>
  <c r="K83" i="481"/>
  <c r="K84" i="481"/>
  <c r="K85" i="481"/>
  <c r="K86" i="481"/>
  <c r="K87" i="481"/>
  <c r="K88" i="481"/>
  <c r="K89" i="481"/>
  <c r="K90" i="481"/>
  <c r="K91" i="481"/>
  <c r="K92" i="481"/>
  <c r="K93" i="481"/>
  <c r="K94" i="481"/>
  <c r="K95" i="481"/>
  <c r="K96" i="481"/>
  <c r="K97" i="481"/>
  <c r="K98" i="481"/>
  <c r="K99" i="481"/>
  <c r="K100" i="481"/>
  <c r="K101" i="481"/>
  <c r="K102" i="481"/>
  <c r="K103" i="481"/>
  <c r="K104" i="481"/>
  <c r="K105" i="481"/>
  <c r="K106" i="481"/>
  <c r="K107" i="481"/>
  <c r="K108" i="481"/>
  <c r="K109" i="481"/>
  <c r="K110" i="481"/>
  <c r="K111" i="481"/>
  <c r="K112" i="481"/>
  <c r="K113" i="481"/>
  <c r="K114" i="481"/>
  <c r="K115" i="481"/>
  <c r="K116" i="481"/>
  <c r="K117" i="481"/>
  <c r="K118" i="481"/>
  <c r="K119" i="481"/>
  <c r="K120" i="481"/>
  <c r="K121" i="481"/>
  <c r="K122" i="481"/>
  <c r="K123" i="481"/>
  <c r="K124" i="481"/>
  <c r="K125" i="481"/>
  <c r="K126" i="481"/>
  <c r="K127" i="481"/>
  <c r="K128" i="481"/>
  <c r="K129" i="481"/>
  <c r="K130" i="481"/>
  <c r="K131" i="481"/>
  <c r="K132" i="481"/>
  <c r="K133" i="481"/>
  <c r="K134" i="481"/>
  <c r="K135" i="481"/>
  <c r="K136" i="481"/>
  <c r="K137" i="481"/>
  <c r="K138" i="481"/>
  <c r="K139" i="481"/>
  <c r="K140" i="481"/>
  <c r="K141" i="481"/>
  <c r="K142" i="481"/>
  <c r="K143" i="481"/>
  <c r="K144" i="481"/>
  <c r="K145" i="481"/>
  <c r="K146" i="481"/>
  <c r="K147" i="481"/>
  <c r="K148" i="481"/>
  <c r="K149" i="481"/>
  <c r="K150" i="481"/>
  <c r="K151" i="481"/>
  <c r="K152" i="481"/>
  <c r="K153" i="481"/>
  <c r="K154" i="481"/>
  <c r="K155" i="481"/>
  <c r="K156" i="481"/>
  <c r="K157" i="481"/>
  <c r="K158" i="481"/>
  <c r="K159" i="481"/>
  <c r="K160" i="481"/>
  <c r="K161" i="481"/>
  <c r="K162" i="481"/>
  <c r="K163" i="481"/>
  <c r="K164" i="481"/>
  <c r="K165" i="481"/>
  <c r="K166" i="481"/>
  <c r="K167" i="481"/>
  <c r="K168" i="481"/>
  <c r="K169" i="481"/>
  <c r="K170" i="481"/>
  <c r="K171" i="481"/>
  <c r="K172" i="481"/>
  <c r="K173" i="481"/>
  <c r="K174" i="481"/>
  <c r="K175" i="481"/>
  <c r="K176" i="481"/>
  <c r="K177" i="481"/>
  <c r="K178" i="481"/>
  <c r="K179" i="481"/>
  <c r="K180" i="481"/>
  <c r="K181" i="481"/>
  <c r="K182" i="481"/>
  <c r="K183" i="481"/>
  <c r="K184" i="481"/>
  <c r="K185" i="481"/>
  <c r="K186" i="481"/>
  <c r="K187" i="481"/>
  <c r="K188" i="481"/>
  <c r="K189" i="481"/>
  <c r="K190" i="481"/>
  <c r="K191" i="481"/>
  <c r="K192" i="481"/>
  <c r="K193" i="481"/>
  <c r="K194" i="481"/>
  <c r="K195" i="481"/>
  <c r="K196" i="481"/>
  <c r="K197" i="481"/>
  <c r="K198" i="481"/>
  <c r="K199" i="481"/>
  <c r="K200" i="481"/>
  <c r="K201" i="481"/>
  <c r="K202" i="481"/>
  <c r="K203" i="481"/>
  <c r="K204" i="481"/>
  <c r="K205" i="481"/>
  <c r="K206" i="481"/>
  <c r="K207" i="481"/>
  <c r="K208" i="481"/>
  <c r="K209" i="481"/>
  <c r="K210" i="481"/>
  <c r="K211" i="481"/>
  <c r="K212" i="481"/>
  <c r="K213" i="481"/>
  <c r="K214" i="481"/>
  <c r="K215" i="481"/>
  <c r="K216" i="481"/>
  <c r="K217" i="481"/>
  <c r="K218" i="481"/>
  <c r="K219" i="481"/>
  <c r="K220" i="481"/>
  <c r="K221" i="481"/>
  <c r="K222" i="481"/>
  <c r="K223" i="481"/>
  <c r="K224" i="481"/>
  <c r="K225" i="481"/>
  <c r="K226" i="481"/>
  <c r="K227" i="481"/>
  <c r="K228" i="481"/>
  <c r="K229" i="481"/>
  <c r="K230" i="481"/>
  <c r="K231" i="481"/>
  <c r="K232" i="481"/>
  <c r="K233" i="481"/>
  <c r="K234" i="481"/>
  <c r="K235" i="481"/>
  <c r="K236" i="481"/>
  <c r="K237" i="481"/>
  <c r="K238" i="481"/>
  <c r="K239" i="481"/>
  <c r="K240" i="481"/>
  <c r="K241" i="481"/>
  <c r="K242" i="481"/>
  <c r="K243" i="481"/>
  <c r="K244" i="481"/>
  <c r="K245" i="481"/>
  <c r="K246" i="481"/>
  <c r="K247" i="481"/>
  <c r="K248" i="481"/>
  <c r="K249" i="481"/>
  <c r="K250" i="481"/>
  <c r="K251" i="481"/>
  <c r="K252" i="481"/>
  <c r="K253" i="481"/>
  <c r="K254" i="481"/>
  <c r="K255" i="481"/>
  <c r="K256" i="481"/>
  <c r="K257" i="481"/>
  <c r="K258" i="481"/>
  <c r="K259" i="481"/>
  <c r="K260" i="481"/>
  <c r="K261" i="481"/>
  <c r="K262" i="481"/>
  <c r="K263" i="481"/>
  <c r="K264" i="481"/>
  <c r="K265" i="481"/>
  <c r="K266" i="481"/>
  <c r="K267" i="481"/>
  <c r="K268" i="481"/>
  <c r="K269" i="481"/>
  <c r="K270" i="481"/>
  <c r="K271" i="481"/>
  <c r="K272" i="481"/>
  <c r="K273" i="481"/>
  <c r="K274" i="481"/>
  <c r="K275" i="481"/>
  <c r="K276" i="481"/>
  <c r="K277" i="481"/>
  <c r="K278" i="481"/>
  <c r="K279" i="481"/>
  <c r="K280" i="481"/>
  <c r="K281" i="481"/>
  <c r="K282" i="481"/>
  <c r="K283" i="481"/>
  <c r="K284" i="481"/>
  <c r="K285" i="481"/>
  <c r="K286" i="481"/>
  <c r="K287" i="481"/>
  <c r="K288" i="481"/>
  <c r="K289" i="481"/>
  <c r="K290" i="481"/>
  <c r="K291" i="481"/>
  <c r="K292" i="481"/>
  <c r="K293" i="481"/>
  <c r="K294" i="481"/>
  <c r="K295" i="481"/>
  <c r="K296" i="481"/>
  <c r="K297" i="481"/>
  <c r="K298" i="481"/>
  <c r="K299" i="481"/>
  <c r="K300" i="481"/>
  <c r="K301" i="481"/>
  <c r="K302" i="481"/>
  <c r="K303" i="481"/>
  <c r="K304" i="481"/>
  <c r="K305" i="481"/>
  <c r="K306" i="481"/>
  <c r="K307" i="481"/>
  <c r="K308" i="481"/>
  <c r="K309" i="481"/>
  <c r="K310" i="481"/>
  <c r="K311" i="481"/>
  <c r="K312" i="481"/>
  <c r="K313" i="481"/>
  <c r="K314" i="481"/>
  <c r="K315" i="481"/>
  <c r="K316" i="481"/>
  <c r="K317" i="481"/>
  <c r="K318" i="481"/>
  <c r="K319" i="481"/>
  <c r="K320" i="481"/>
  <c r="K321" i="481"/>
  <c r="K322" i="481"/>
  <c r="K323" i="481"/>
  <c r="K324" i="481"/>
  <c r="K325" i="481"/>
  <c r="K326" i="481"/>
  <c r="K327" i="481"/>
  <c r="K328" i="481"/>
  <c r="K329" i="481"/>
  <c r="K330" i="481"/>
  <c r="K331" i="481"/>
  <c r="K332" i="481"/>
  <c r="K333" i="481"/>
  <c r="K334" i="481"/>
  <c r="K335" i="481"/>
  <c r="K336" i="481"/>
  <c r="K337" i="481"/>
  <c r="K338" i="481"/>
  <c r="K339" i="481"/>
  <c r="K340" i="481"/>
  <c r="K341" i="481"/>
  <c r="K342" i="481"/>
  <c r="K343" i="481"/>
  <c r="K344" i="481"/>
  <c r="K345" i="481"/>
  <c r="K346" i="481"/>
  <c r="K347" i="481"/>
  <c r="K348" i="481"/>
  <c r="K349" i="481"/>
  <c r="K350" i="481"/>
  <c r="K351" i="481"/>
  <c r="K352" i="481"/>
  <c r="K353" i="481"/>
  <c r="K354" i="481"/>
  <c r="K355" i="481"/>
  <c r="K356" i="481"/>
  <c r="K357" i="481"/>
  <c r="K358" i="481"/>
  <c r="K359" i="481"/>
  <c r="K360" i="481"/>
  <c r="K361" i="481"/>
  <c r="K362" i="481"/>
  <c r="K363" i="481"/>
  <c r="K364" i="481"/>
  <c r="K365" i="481"/>
  <c r="K366" i="481"/>
  <c r="K367" i="481"/>
  <c r="K368" i="481"/>
  <c r="K369" i="481"/>
  <c r="K370" i="481"/>
  <c r="K371" i="481"/>
  <c r="K372" i="481"/>
  <c r="K373" i="481"/>
  <c r="K374" i="481"/>
  <c r="K375" i="481"/>
  <c r="K376" i="481"/>
  <c r="H7" i="481"/>
  <c r="H8" i="481"/>
  <c r="H9" i="481"/>
  <c r="H10" i="481"/>
  <c r="H11" i="481"/>
  <c r="H12" i="481"/>
  <c r="H13" i="481"/>
  <c r="H14" i="481"/>
  <c r="H15" i="481"/>
  <c r="H16" i="481"/>
  <c r="H17" i="481"/>
  <c r="H18" i="481"/>
  <c r="H19" i="481"/>
  <c r="H20" i="481"/>
  <c r="H21" i="481"/>
  <c r="H22" i="481"/>
  <c r="H23" i="481"/>
  <c r="H24" i="481"/>
  <c r="H25" i="481"/>
  <c r="H26" i="481"/>
  <c r="H27" i="481"/>
  <c r="H28" i="481"/>
  <c r="H29" i="481"/>
  <c r="H30" i="481"/>
  <c r="H31" i="481"/>
  <c r="H32" i="481"/>
  <c r="H33" i="481"/>
  <c r="H34" i="481"/>
  <c r="H35" i="481"/>
  <c r="H36" i="481"/>
  <c r="H37" i="481"/>
  <c r="H38" i="481"/>
  <c r="H39" i="481"/>
  <c r="H40" i="481"/>
  <c r="H41" i="481"/>
  <c r="H42" i="481"/>
  <c r="H43" i="481"/>
  <c r="H44" i="481"/>
  <c r="H45" i="481"/>
  <c r="H46" i="481"/>
  <c r="H47" i="481"/>
  <c r="H48" i="481"/>
  <c r="H49" i="481"/>
  <c r="H50" i="481"/>
  <c r="H51" i="481"/>
  <c r="H52" i="481"/>
  <c r="H53" i="481"/>
  <c r="H54" i="481"/>
  <c r="H55" i="481"/>
  <c r="H56" i="481"/>
  <c r="H57" i="481"/>
  <c r="H58" i="481"/>
  <c r="H59" i="481"/>
  <c r="H60" i="481"/>
  <c r="H61" i="481"/>
  <c r="H62" i="481"/>
  <c r="H63" i="481"/>
  <c r="H64" i="481"/>
  <c r="H65" i="481"/>
  <c r="H66" i="481"/>
  <c r="H67" i="481"/>
  <c r="H68" i="481"/>
  <c r="H69" i="481"/>
  <c r="H70" i="481"/>
  <c r="H71" i="481"/>
  <c r="H72" i="481"/>
  <c r="H73" i="481"/>
  <c r="H74" i="481"/>
  <c r="H75" i="481"/>
  <c r="H76" i="481"/>
  <c r="H77" i="481"/>
  <c r="H78" i="481"/>
  <c r="H79" i="481"/>
  <c r="H80" i="481"/>
  <c r="H81" i="481"/>
  <c r="H82" i="481"/>
  <c r="H83" i="481"/>
  <c r="H84" i="481"/>
  <c r="H85" i="481"/>
  <c r="H86" i="481"/>
  <c r="H87" i="481"/>
  <c r="H88" i="481"/>
  <c r="H89" i="481"/>
  <c r="H90" i="481"/>
  <c r="H91" i="481"/>
  <c r="H92" i="481"/>
  <c r="H93" i="481"/>
  <c r="H94" i="481"/>
  <c r="H95" i="481"/>
  <c r="H96" i="481"/>
  <c r="H97" i="481"/>
  <c r="H98" i="481"/>
  <c r="H99" i="481"/>
  <c r="H100" i="481"/>
  <c r="H101" i="481"/>
  <c r="H102" i="481"/>
  <c r="H103" i="481"/>
  <c r="H104" i="481"/>
  <c r="H105" i="481"/>
  <c r="H106" i="481"/>
  <c r="H107" i="481"/>
  <c r="H108" i="481"/>
  <c r="H109" i="481"/>
  <c r="H110" i="481"/>
  <c r="H111" i="481"/>
  <c r="H112" i="481"/>
  <c r="H113" i="481"/>
  <c r="H114" i="481"/>
  <c r="H115" i="481"/>
  <c r="H116" i="481"/>
  <c r="H117" i="481"/>
  <c r="H118" i="481"/>
  <c r="H119" i="481"/>
  <c r="H120" i="481"/>
  <c r="H121" i="481"/>
  <c r="H122" i="481"/>
  <c r="H123" i="481"/>
  <c r="H124" i="481"/>
  <c r="H125" i="481"/>
  <c r="H126" i="481"/>
  <c r="H127" i="481"/>
  <c r="H128" i="481"/>
  <c r="H129" i="481"/>
  <c r="H130" i="481"/>
  <c r="H131" i="481"/>
  <c r="H132" i="481"/>
  <c r="H133" i="481"/>
  <c r="H134" i="481"/>
  <c r="H135" i="481"/>
  <c r="H136" i="481"/>
  <c r="H137" i="481"/>
  <c r="H138" i="481"/>
  <c r="H139" i="481"/>
  <c r="H140" i="481"/>
  <c r="H141" i="481"/>
  <c r="H142" i="481"/>
  <c r="H143" i="481"/>
  <c r="H144" i="481"/>
  <c r="H145" i="481"/>
  <c r="H146" i="481"/>
  <c r="H147" i="481"/>
  <c r="H148" i="481"/>
  <c r="H149" i="481"/>
  <c r="H150" i="481"/>
  <c r="H151" i="481"/>
  <c r="H152" i="481"/>
  <c r="H153" i="481"/>
  <c r="H154" i="481"/>
  <c r="H155" i="481"/>
  <c r="H156" i="481"/>
  <c r="H157" i="481"/>
  <c r="H158" i="481"/>
  <c r="H159" i="481"/>
  <c r="H160" i="481"/>
  <c r="H161" i="481"/>
  <c r="H162" i="481"/>
  <c r="H163" i="481"/>
  <c r="H164" i="481"/>
  <c r="H165" i="481"/>
  <c r="H166" i="481"/>
  <c r="H167" i="481"/>
  <c r="H168" i="481"/>
  <c r="H169" i="481"/>
  <c r="H170" i="481"/>
  <c r="H171" i="481"/>
  <c r="H172" i="481"/>
  <c r="H173" i="481"/>
  <c r="H174" i="481"/>
  <c r="H175" i="481"/>
  <c r="H176" i="481"/>
  <c r="H177" i="481"/>
  <c r="H178" i="481"/>
  <c r="H179" i="481"/>
  <c r="H180" i="481"/>
  <c r="H181" i="481"/>
  <c r="H182" i="481"/>
  <c r="H183" i="481"/>
  <c r="H184" i="481"/>
  <c r="H185" i="481"/>
  <c r="H186" i="481"/>
  <c r="H187" i="481"/>
  <c r="H188" i="481"/>
  <c r="H189" i="481"/>
  <c r="H190" i="481"/>
  <c r="H191" i="481"/>
  <c r="H192" i="481"/>
  <c r="H193" i="481"/>
  <c r="H194" i="481"/>
  <c r="H195" i="481"/>
  <c r="H196" i="481"/>
  <c r="H197" i="481"/>
  <c r="H198" i="481"/>
  <c r="H199" i="481"/>
  <c r="H200" i="481"/>
  <c r="H201" i="481"/>
  <c r="H202" i="481"/>
  <c r="H203" i="481"/>
  <c r="H204" i="481"/>
  <c r="H205" i="481"/>
  <c r="H206" i="481"/>
  <c r="H207" i="481"/>
  <c r="H208" i="481"/>
  <c r="H209" i="481"/>
  <c r="H210" i="481"/>
  <c r="H211" i="481"/>
  <c r="H212" i="481"/>
  <c r="H213" i="481"/>
  <c r="H214" i="481"/>
  <c r="H215" i="481"/>
  <c r="H216" i="481"/>
  <c r="H217" i="481"/>
  <c r="H218" i="481"/>
  <c r="H219" i="481"/>
  <c r="H220" i="481"/>
  <c r="H221" i="481"/>
  <c r="H222" i="481"/>
  <c r="H223" i="481"/>
  <c r="H224" i="481"/>
  <c r="H225" i="481"/>
  <c r="H226" i="481"/>
  <c r="H227" i="481"/>
  <c r="H228" i="481"/>
  <c r="H229" i="481"/>
  <c r="H230" i="481"/>
  <c r="H231" i="481"/>
  <c r="H232" i="481"/>
  <c r="H233" i="481"/>
  <c r="H234" i="481"/>
  <c r="H235" i="481"/>
  <c r="H236" i="481"/>
  <c r="H237" i="481"/>
  <c r="H238" i="481"/>
  <c r="H239" i="481"/>
  <c r="H240" i="481"/>
  <c r="H241" i="481"/>
  <c r="H242" i="481"/>
  <c r="H243" i="481"/>
  <c r="H244" i="481"/>
  <c r="H245" i="481"/>
  <c r="H246" i="481"/>
  <c r="H247" i="481"/>
  <c r="H248" i="481"/>
  <c r="H249" i="481"/>
  <c r="H250" i="481"/>
  <c r="H251" i="481"/>
  <c r="H252" i="481"/>
  <c r="H253" i="481"/>
  <c r="H254" i="481"/>
  <c r="H255" i="481"/>
  <c r="H256" i="481"/>
  <c r="H257" i="481"/>
  <c r="H258" i="481"/>
  <c r="H259" i="481"/>
  <c r="H260" i="481"/>
  <c r="H261" i="481"/>
  <c r="H262" i="481"/>
  <c r="H263" i="481"/>
  <c r="H264" i="481"/>
  <c r="H265" i="481"/>
  <c r="H266" i="481"/>
  <c r="H267" i="481"/>
  <c r="H268" i="481"/>
  <c r="H269" i="481"/>
  <c r="H270" i="481"/>
  <c r="H271" i="481"/>
  <c r="H272" i="481"/>
  <c r="H273" i="481"/>
  <c r="H274" i="481"/>
  <c r="H275" i="481"/>
  <c r="H276" i="481"/>
  <c r="H277" i="481"/>
  <c r="H278" i="481"/>
  <c r="H279" i="481"/>
  <c r="H280" i="481"/>
  <c r="H281" i="481"/>
  <c r="H282" i="481"/>
  <c r="H283" i="481"/>
  <c r="H284" i="481"/>
  <c r="H285" i="481"/>
  <c r="H286" i="481"/>
  <c r="H287" i="481"/>
  <c r="H288" i="481"/>
  <c r="H289" i="481"/>
  <c r="H290" i="481"/>
  <c r="H291" i="481"/>
  <c r="H292" i="481"/>
  <c r="H293" i="481"/>
  <c r="H294" i="481"/>
  <c r="H295" i="481"/>
  <c r="H296" i="481"/>
  <c r="H297" i="481"/>
  <c r="H298" i="481"/>
  <c r="H299" i="481"/>
  <c r="H300" i="481"/>
  <c r="H301" i="481"/>
  <c r="H302" i="481"/>
  <c r="H303" i="481"/>
  <c r="H304" i="481"/>
  <c r="H305" i="481"/>
  <c r="H306" i="481"/>
  <c r="H307" i="481"/>
  <c r="H308" i="481"/>
  <c r="H309" i="481"/>
  <c r="H310" i="481"/>
  <c r="H311" i="481"/>
  <c r="H312" i="481"/>
  <c r="H313" i="481"/>
  <c r="H314" i="481"/>
  <c r="H315" i="481"/>
  <c r="H316" i="481"/>
  <c r="H317" i="481"/>
  <c r="H318" i="481"/>
  <c r="H319" i="481"/>
  <c r="H320" i="481"/>
  <c r="H321" i="481"/>
  <c r="H322" i="481"/>
  <c r="H323" i="481"/>
  <c r="H324" i="481"/>
  <c r="H325" i="481"/>
  <c r="H326" i="481"/>
  <c r="H327" i="481"/>
  <c r="H328" i="481"/>
  <c r="H329" i="481"/>
  <c r="H330" i="481"/>
  <c r="H331" i="481"/>
  <c r="H332" i="481"/>
  <c r="H333" i="481"/>
  <c r="H334" i="481"/>
  <c r="H335" i="481"/>
  <c r="H336" i="481"/>
  <c r="H337" i="481"/>
  <c r="H338" i="481"/>
  <c r="H339" i="481"/>
  <c r="H340" i="481"/>
  <c r="H341" i="481"/>
  <c r="H342" i="481"/>
  <c r="H343" i="481"/>
  <c r="H344" i="481"/>
  <c r="H345" i="481"/>
  <c r="H346" i="481"/>
  <c r="H347" i="481"/>
  <c r="H348" i="481"/>
  <c r="H349" i="481"/>
  <c r="H350" i="481"/>
  <c r="H351" i="481"/>
  <c r="H352" i="481"/>
  <c r="H353" i="481"/>
  <c r="H354" i="481"/>
  <c r="H355" i="481"/>
  <c r="H356" i="481"/>
  <c r="H357" i="481"/>
  <c r="H358" i="481"/>
  <c r="H359" i="481"/>
  <c r="H360" i="481"/>
  <c r="H361" i="481"/>
  <c r="H362" i="481"/>
  <c r="H363" i="481"/>
  <c r="H364" i="481"/>
  <c r="H365" i="481"/>
  <c r="H366" i="481"/>
  <c r="H367" i="481"/>
  <c r="H368" i="481"/>
  <c r="H369" i="481"/>
  <c r="H370" i="481"/>
  <c r="H371" i="481"/>
  <c r="H372" i="481"/>
  <c r="H373" i="481"/>
  <c r="H374" i="481"/>
  <c r="H375" i="481"/>
  <c r="H376" i="481"/>
  <c r="D7" i="481"/>
  <c r="D8" i="481"/>
  <c r="D9" i="481"/>
  <c r="D10" i="481"/>
  <c r="D11" i="481"/>
  <c r="D12" i="481"/>
  <c r="D13" i="481"/>
  <c r="D14" i="481"/>
  <c r="D15" i="481"/>
  <c r="D16" i="481"/>
  <c r="D17" i="481"/>
  <c r="D18" i="481"/>
  <c r="D19" i="481"/>
  <c r="D20" i="481"/>
  <c r="D21" i="481"/>
  <c r="D22" i="481"/>
  <c r="D23" i="481"/>
  <c r="D24" i="481"/>
  <c r="D25" i="481"/>
  <c r="D26" i="481"/>
  <c r="D27" i="481"/>
  <c r="D28" i="481"/>
  <c r="D29" i="481"/>
  <c r="D30" i="481"/>
  <c r="D31" i="481"/>
  <c r="D32" i="481"/>
  <c r="D33" i="481"/>
  <c r="D34" i="481"/>
  <c r="D35" i="481"/>
  <c r="D36" i="481"/>
  <c r="D37" i="481"/>
  <c r="D38" i="481"/>
  <c r="D39" i="481"/>
  <c r="D40" i="481"/>
  <c r="D41" i="481"/>
  <c r="D42" i="481"/>
  <c r="D43" i="481"/>
  <c r="D44" i="481"/>
  <c r="D45" i="481"/>
  <c r="D46" i="481"/>
  <c r="D47" i="481"/>
  <c r="D48" i="481"/>
  <c r="D49" i="481"/>
  <c r="D50" i="481"/>
  <c r="D51" i="481"/>
  <c r="D52" i="481"/>
  <c r="D53" i="481"/>
  <c r="D54" i="481"/>
  <c r="D55" i="481"/>
  <c r="D56" i="481"/>
  <c r="D57" i="481"/>
  <c r="D58" i="481"/>
  <c r="D59" i="481"/>
  <c r="D60" i="481"/>
  <c r="D61" i="481"/>
  <c r="D62" i="481"/>
  <c r="D63" i="481"/>
  <c r="D64" i="481"/>
  <c r="D65" i="481"/>
  <c r="D66" i="481"/>
  <c r="D67" i="481"/>
  <c r="D68" i="481"/>
  <c r="D69" i="481"/>
  <c r="D70" i="481"/>
  <c r="D71" i="481"/>
  <c r="D72" i="481"/>
  <c r="D73" i="481"/>
  <c r="D74" i="481"/>
  <c r="D75" i="481"/>
  <c r="D76" i="481"/>
  <c r="D77" i="481"/>
  <c r="D78" i="481"/>
  <c r="D79" i="481"/>
  <c r="D80" i="481"/>
  <c r="D81" i="481"/>
  <c r="D82" i="481"/>
  <c r="D83" i="481"/>
  <c r="D84" i="481"/>
  <c r="D85" i="481"/>
  <c r="D86" i="481"/>
  <c r="D87" i="481"/>
  <c r="D88" i="481"/>
  <c r="D89" i="481"/>
  <c r="D90" i="481"/>
  <c r="D91" i="481"/>
  <c r="D92" i="481"/>
  <c r="D93" i="481"/>
  <c r="D94" i="481"/>
  <c r="D95" i="481"/>
  <c r="D96" i="481"/>
  <c r="D97" i="481"/>
  <c r="D98" i="481"/>
  <c r="D99" i="481"/>
  <c r="D100" i="481"/>
  <c r="D101" i="481"/>
  <c r="D102" i="481"/>
  <c r="D103" i="481"/>
  <c r="D104" i="481"/>
  <c r="D105" i="481"/>
  <c r="D106" i="481"/>
  <c r="D107" i="481"/>
  <c r="D108" i="481"/>
  <c r="D109" i="481"/>
  <c r="D110" i="481"/>
  <c r="D111" i="481"/>
  <c r="D112" i="481"/>
  <c r="D113" i="481"/>
  <c r="D114" i="481"/>
  <c r="D115" i="481"/>
  <c r="D116" i="481"/>
  <c r="D117" i="481"/>
  <c r="D118" i="481"/>
  <c r="D119" i="481"/>
  <c r="D120" i="481"/>
  <c r="D121" i="481"/>
  <c r="D122" i="481"/>
  <c r="D123" i="481"/>
  <c r="D124" i="481"/>
  <c r="D125" i="481"/>
  <c r="D126" i="481"/>
  <c r="D127" i="481"/>
  <c r="D128" i="481"/>
  <c r="D129" i="481"/>
  <c r="D130" i="481"/>
  <c r="D131" i="481"/>
  <c r="D132" i="481"/>
  <c r="D133" i="481"/>
  <c r="D134" i="481"/>
  <c r="D135" i="481"/>
  <c r="D136" i="481"/>
  <c r="D137" i="481"/>
  <c r="D138" i="481"/>
  <c r="D139" i="481"/>
  <c r="D140" i="481"/>
  <c r="D141" i="481"/>
  <c r="D142" i="481"/>
  <c r="D143" i="481"/>
  <c r="D144" i="481"/>
  <c r="D145" i="481"/>
  <c r="D146" i="481"/>
  <c r="D147" i="481"/>
  <c r="D148" i="481"/>
  <c r="D149" i="481"/>
  <c r="D150" i="481"/>
  <c r="D151" i="481"/>
  <c r="D152" i="481"/>
  <c r="D153" i="481"/>
  <c r="D154" i="481"/>
  <c r="D155" i="481"/>
  <c r="D156" i="481"/>
  <c r="D157" i="481"/>
  <c r="D158" i="481"/>
  <c r="D159" i="481"/>
  <c r="D160" i="481"/>
  <c r="D161" i="481"/>
  <c r="D162" i="481"/>
  <c r="D163" i="481"/>
  <c r="D164" i="481"/>
  <c r="D165" i="481"/>
  <c r="D166" i="481"/>
  <c r="D167" i="481"/>
  <c r="D168" i="481"/>
  <c r="D169" i="481"/>
  <c r="D170" i="481"/>
  <c r="D171" i="481"/>
  <c r="D172" i="481"/>
  <c r="D173" i="481"/>
  <c r="D174" i="481"/>
  <c r="D175" i="481"/>
  <c r="D176" i="481"/>
  <c r="D177" i="481"/>
  <c r="D178" i="481"/>
  <c r="D179" i="481"/>
  <c r="D180" i="481"/>
  <c r="D181" i="481"/>
  <c r="D182" i="481"/>
  <c r="D183" i="481"/>
  <c r="D184" i="481"/>
  <c r="D185" i="481"/>
  <c r="D186" i="481"/>
  <c r="D187" i="481"/>
  <c r="D188" i="481"/>
  <c r="D189" i="481"/>
  <c r="D190" i="481"/>
  <c r="D191" i="481"/>
  <c r="D192" i="481"/>
  <c r="D193" i="481"/>
  <c r="D194" i="481"/>
  <c r="D195" i="481"/>
  <c r="D196" i="481"/>
  <c r="D197" i="481"/>
  <c r="D198" i="481"/>
  <c r="D199" i="481"/>
  <c r="D200" i="481"/>
  <c r="D201" i="481"/>
  <c r="D202" i="481"/>
  <c r="D203" i="481"/>
  <c r="D204" i="481"/>
  <c r="D205" i="481"/>
  <c r="D206" i="481"/>
  <c r="D207" i="481"/>
  <c r="D208" i="481"/>
  <c r="D209" i="481"/>
  <c r="D210" i="481"/>
  <c r="D211" i="481"/>
  <c r="D212" i="481"/>
  <c r="D213" i="481"/>
  <c r="D214" i="481"/>
  <c r="D215" i="481"/>
  <c r="D216" i="481"/>
  <c r="D217" i="481"/>
  <c r="D218" i="481"/>
  <c r="D219" i="481"/>
  <c r="D220" i="481"/>
  <c r="D221" i="481"/>
  <c r="D222" i="481"/>
  <c r="D223" i="481"/>
  <c r="D224" i="481"/>
  <c r="D225" i="481"/>
  <c r="D226" i="481"/>
  <c r="D227" i="481"/>
  <c r="D228" i="481"/>
  <c r="D229" i="481"/>
  <c r="D230" i="481"/>
  <c r="D231" i="481"/>
  <c r="D232" i="481"/>
  <c r="D233" i="481"/>
  <c r="D234" i="481"/>
  <c r="D235" i="481"/>
  <c r="D236" i="481"/>
  <c r="D237" i="481"/>
  <c r="D238" i="481"/>
  <c r="D239" i="481"/>
  <c r="D240" i="481"/>
  <c r="D241" i="481"/>
  <c r="D242" i="481"/>
  <c r="D243" i="481"/>
  <c r="D244" i="481"/>
  <c r="D245" i="481"/>
  <c r="D246" i="481"/>
  <c r="D247" i="481"/>
  <c r="D248" i="481"/>
  <c r="D249" i="481"/>
  <c r="D250" i="481"/>
  <c r="D251" i="481"/>
  <c r="D252" i="481"/>
  <c r="D253" i="481"/>
  <c r="D254" i="481"/>
  <c r="D255" i="481"/>
  <c r="D256" i="481"/>
  <c r="D257" i="481"/>
  <c r="D258" i="481"/>
  <c r="D259" i="481"/>
  <c r="D260" i="481"/>
  <c r="D261" i="481"/>
  <c r="D262" i="481"/>
  <c r="D263" i="481"/>
  <c r="D264" i="481"/>
  <c r="D265" i="481"/>
  <c r="D266" i="481"/>
  <c r="D267" i="481"/>
  <c r="D268" i="481"/>
  <c r="D269" i="481"/>
  <c r="D270" i="481"/>
  <c r="D271" i="481"/>
  <c r="D272" i="481"/>
  <c r="D273" i="481"/>
  <c r="D274" i="481"/>
  <c r="D275" i="481"/>
  <c r="D276" i="481"/>
  <c r="D277" i="481"/>
  <c r="D278" i="481"/>
  <c r="D279" i="481"/>
  <c r="D280" i="481"/>
  <c r="D281" i="481"/>
  <c r="D282" i="481"/>
  <c r="D283" i="481"/>
  <c r="D284" i="481"/>
  <c r="D285" i="481"/>
  <c r="D286" i="481"/>
  <c r="D287" i="481"/>
  <c r="D288" i="481"/>
  <c r="D289" i="481"/>
  <c r="D290" i="481"/>
  <c r="D291" i="481"/>
  <c r="D292" i="481"/>
  <c r="D293" i="481"/>
  <c r="D294" i="481"/>
  <c r="D295" i="481"/>
  <c r="D296" i="481"/>
  <c r="D297" i="481"/>
  <c r="D298" i="481"/>
  <c r="D299" i="481"/>
  <c r="D300" i="481"/>
  <c r="D301" i="481"/>
  <c r="D302" i="481"/>
  <c r="D303" i="481"/>
  <c r="D304" i="481"/>
  <c r="D305" i="481"/>
  <c r="D306" i="481"/>
  <c r="D307" i="481"/>
  <c r="D308" i="481"/>
  <c r="D309" i="481"/>
  <c r="D310" i="481"/>
  <c r="D311" i="481"/>
  <c r="D312" i="481"/>
  <c r="D313" i="481"/>
  <c r="D314" i="481"/>
  <c r="D315" i="481"/>
  <c r="D316" i="481"/>
  <c r="D317" i="481"/>
  <c r="D318" i="481"/>
  <c r="D319" i="481"/>
  <c r="D320" i="481"/>
  <c r="D321" i="481"/>
  <c r="D322" i="481"/>
  <c r="D323" i="481"/>
  <c r="D324" i="481"/>
  <c r="D325" i="481"/>
  <c r="D326" i="481"/>
  <c r="D327" i="481"/>
  <c r="D328" i="481"/>
  <c r="D329" i="481"/>
  <c r="D330" i="481"/>
  <c r="D331" i="481"/>
  <c r="D332" i="481"/>
  <c r="D333" i="481"/>
  <c r="D334" i="481"/>
  <c r="D335" i="481"/>
  <c r="D336" i="481"/>
  <c r="D337" i="481"/>
  <c r="D338" i="481"/>
  <c r="D339" i="481"/>
  <c r="D340" i="481"/>
  <c r="D341" i="481"/>
  <c r="D342" i="481"/>
  <c r="D343" i="481"/>
  <c r="D344" i="481"/>
  <c r="D345" i="481"/>
  <c r="D346" i="481"/>
  <c r="D347" i="481"/>
  <c r="D348" i="481"/>
  <c r="D349" i="481"/>
  <c r="D350" i="481"/>
  <c r="D351" i="481"/>
  <c r="D352" i="481"/>
  <c r="D353" i="481"/>
  <c r="D354" i="481"/>
  <c r="D355" i="481"/>
  <c r="D356" i="481"/>
  <c r="D357" i="481"/>
  <c r="D358" i="481"/>
  <c r="D359" i="481"/>
  <c r="D360" i="481"/>
  <c r="D361" i="481"/>
  <c r="D362" i="481"/>
  <c r="D363" i="481"/>
  <c r="D364" i="481"/>
  <c r="D365" i="481"/>
  <c r="D366" i="481"/>
  <c r="D367" i="481"/>
  <c r="D368" i="481"/>
  <c r="D369" i="481"/>
  <c r="D370" i="481"/>
  <c r="D371" i="481"/>
  <c r="D372" i="481"/>
  <c r="D373" i="481"/>
  <c r="D374" i="481"/>
  <c r="D375" i="481"/>
  <c r="D376" i="481"/>
  <c r="K7" i="477"/>
  <c r="K8" i="477"/>
  <c r="K9" i="477"/>
  <c r="K10" i="477"/>
  <c r="K11" i="477"/>
  <c r="K12" i="477"/>
  <c r="K13" i="477"/>
  <c r="K14" i="477"/>
  <c r="K15" i="477"/>
  <c r="K16" i="477"/>
  <c r="K17" i="477"/>
  <c r="K18" i="477"/>
  <c r="K19" i="477"/>
  <c r="K20" i="477"/>
  <c r="K21" i="477"/>
  <c r="K22" i="477"/>
  <c r="K23" i="477"/>
  <c r="K24" i="477"/>
  <c r="K25" i="477"/>
  <c r="K26" i="477"/>
  <c r="K27" i="477"/>
  <c r="K28" i="477"/>
  <c r="K29" i="477"/>
  <c r="K30" i="477"/>
  <c r="K31" i="477"/>
  <c r="K32" i="477"/>
  <c r="K33" i="477"/>
  <c r="K34" i="477"/>
  <c r="K35" i="477"/>
  <c r="K36" i="477"/>
  <c r="K37" i="477"/>
  <c r="K38" i="477"/>
  <c r="K39" i="477"/>
  <c r="K40" i="477"/>
  <c r="K41" i="477"/>
  <c r="K42" i="477"/>
  <c r="K43" i="477"/>
  <c r="K44" i="477"/>
  <c r="K45" i="477"/>
  <c r="K46" i="477"/>
  <c r="K47" i="477"/>
  <c r="K48" i="477"/>
  <c r="K49" i="477"/>
  <c r="K50" i="477"/>
  <c r="K51" i="477"/>
  <c r="K52" i="477"/>
  <c r="K53" i="477"/>
  <c r="K54" i="477"/>
  <c r="K55" i="477"/>
  <c r="K56" i="477"/>
  <c r="K57" i="477"/>
  <c r="K58" i="477"/>
  <c r="K59" i="477"/>
  <c r="K60" i="477"/>
  <c r="K61" i="477"/>
  <c r="K62" i="477"/>
  <c r="K63" i="477"/>
  <c r="K64" i="477"/>
  <c r="K65" i="477"/>
  <c r="K66" i="477"/>
  <c r="K67" i="477"/>
  <c r="K68" i="477"/>
  <c r="K69" i="477"/>
  <c r="K70" i="477"/>
  <c r="K71" i="477"/>
  <c r="K72" i="477"/>
  <c r="K73" i="477"/>
  <c r="K74" i="477"/>
  <c r="K75" i="477"/>
  <c r="K76" i="477"/>
  <c r="K77" i="477"/>
  <c r="K78" i="477"/>
  <c r="K79" i="477"/>
  <c r="K80" i="477"/>
  <c r="K81" i="477"/>
  <c r="K82" i="477"/>
  <c r="K83" i="477"/>
  <c r="K84" i="477"/>
  <c r="K85" i="477"/>
  <c r="K86" i="477"/>
  <c r="K87" i="477"/>
  <c r="K88" i="477"/>
  <c r="K89" i="477"/>
  <c r="K90" i="477"/>
  <c r="K91" i="477"/>
  <c r="K92" i="477"/>
  <c r="K93" i="477"/>
  <c r="K94" i="477"/>
  <c r="K95" i="477"/>
  <c r="K96" i="477"/>
  <c r="K97" i="477"/>
  <c r="K98" i="477"/>
  <c r="K99" i="477"/>
  <c r="K100" i="477"/>
  <c r="K101" i="477"/>
  <c r="K102" i="477"/>
  <c r="K103" i="477"/>
  <c r="K104" i="477"/>
  <c r="K105" i="477"/>
  <c r="K106" i="477"/>
  <c r="K107" i="477"/>
  <c r="K108" i="477"/>
  <c r="K109" i="477"/>
  <c r="K110" i="477"/>
  <c r="K111" i="477"/>
  <c r="K112" i="477"/>
  <c r="K113" i="477"/>
  <c r="K114" i="477"/>
  <c r="K115" i="477"/>
  <c r="K116" i="477"/>
  <c r="K117" i="477"/>
  <c r="K118" i="477"/>
  <c r="K119" i="477"/>
  <c r="K120" i="477"/>
  <c r="K121" i="477"/>
  <c r="K122" i="477"/>
  <c r="K123" i="477"/>
  <c r="K124" i="477"/>
  <c r="K125" i="477"/>
  <c r="K126" i="477"/>
  <c r="K127" i="477"/>
  <c r="K128" i="477"/>
  <c r="K129" i="477"/>
  <c r="K130" i="477"/>
  <c r="K131" i="477"/>
  <c r="K132" i="477"/>
  <c r="K133" i="477"/>
  <c r="K134" i="477"/>
  <c r="K135" i="477"/>
  <c r="K136" i="477"/>
  <c r="K137" i="477"/>
  <c r="K138" i="477"/>
  <c r="K139" i="477"/>
  <c r="K140" i="477"/>
  <c r="K141" i="477"/>
  <c r="K142" i="477"/>
  <c r="K143" i="477"/>
  <c r="K144" i="477"/>
  <c r="K145" i="477"/>
  <c r="K188" i="477"/>
  <c r="K189" i="477"/>
  <c r="K190" i="477"/>
  <c r="K191" i="477"/>
  <c r="K192" i="477"/>
  <c r="K193" i="477"/>
  <c r="K194" i="477"/>
  <c r="K195" i="477"/>
  <c r="K196" i="477"/>
  <c r="K197" i="477"/>
  <c r="K198" i="477"/>
  <c r="K199" i="477"/>
  <c r="K200" i="477"/>
  <c r="K201" i="477"/>
  <c r="K202" i="477"/>
  <c r="K203" i="477"/>
  <c r="K204" i="477"/>
  <c r="K205" i="477"/>
  <c r="K206" i="477"/>
  <c r="K207" i="477"/>
  <c r="K208" i="477"/>
  <c r="K209" i="477"/>
  <c r="K210" i="477"/>
  <c r="K211" i="477"/>
  <c r="K212" i="477"/>
  <c r="K213" i="477"/>
  <c r="K214" i="477"/>
  <c r="K215" i="477"/>
  <c r="K216" i="477"/>
  <c r="K217" i="477"/>
  <c r="K218" i="477"/>
  <c r="K219" i="477"/>
  <c r="K220" i="477"/>
  <c r="K221" i="477"/>
  <c r="K222" i="477"/>
  <c r="K223" i="477"/>
  <c r="K224" i="477"/>
  <c r="K225" i="477"/>
  <c r="K226" i="477"/>
  <c r="K227" i="477"/>
  <c r="K228" i="477"/>
  <c r="K229" i="477"/>
  <c r="K230" i="477"/>
  <c r="K231" i="477"/>
  <c r="K232" i="477"/>
  <c r="K233" i="477"/>
  <c r="K234" i="477"/>
  <c r="K235" i="477"/>
  <c r="K236" i="477"/>
  <c r="K237" i="477"/>
  <c r="K238" i="477"/>
  <c r="K239" i="477"/>
  <c r="K240" i="477"/>
  <c r="K241" i="477"/>
  <c r="K242" i="477"/>
  <c r="K243" i="477"/>
  <c r="K244" i="477"/>
  <c r="K245" i="477"/>
  <c r="K246" i="477"/>
  <c r="K247" i="477"/>
  <c r="K248" i="477"/>
  <c r="K249" i="477"/>
  <c r="K250" i="477"/>
  <c r="K251" i="477"/>
  <c r="K252" i="477"/>
  <c r="K253" i="477"/>
  <c r="K254" i="477"/>
  <c r="K255" i="477"/>
  <c r="K256" i="477"/>
  <c r="K258" i="477"/>
  <c r="K260" i="477"/>
  <c r="K261" i="477"/>
  <c r="K263" i="477"/>
  <c r="K265" i="477"/>
  <c r="K266" i="477"/>
  <c r="K267" i="477"/>
  <c r="K268" i="477"/>
  <c r="K270" i="477"/>
  <c r="K272" i="477"/>
  <c r="K273" i="477"/>
  <c r="K274" i="477"/>
  <c r="K275" i="477"/>
  <c r="K277" i="477"/>
  <c r="K279" i="477"/>
  <c r="K280" i="477"/>
  <c r="K282" i="477"/>
  <c r="K284" i="477"/>
  <c r="K285" i="477"/>
  <c r="K286" i="477"/>
  <c r="K287" i="477"/>
  <c r="K288" i="477"/>
  <c r="K289" i="477"/>
  <c r="K291" i="477"/>
  <c r="K293" i="477"/>
  <c r="K294" i="477"/>
  <c r="K296" i="477"/>
  <c r="K298" i="477"/>
  <c r="K299" i="477"/>
  <c r="K300" i="477"/>
  <c r="K301" i="477"/>
  <c r="K302" i="477"/>
  <c r="K303" i="477"/>
  <c r="K304" i="477"/>
  <c r="K305" i="477"/>
  <c r="K306" i="477"/>
  <c r="K307" i="477"/>
  <c r="K308" i="477"/>
  <c r="K309" i="477"/>
  <c r="K310" i="477"/>
  <c r="K311" i="477"/>
  <c r="K312" i="477"/>
  <c r="K313" i="477"/>
  <c r="K314" i="477"/>
  <c r="K315" i="477"/>
  <c r="K316" i="477"/>
  <c r="K317" i="477"/>
  <c r="K318" i="477"/>
  <c r="K319" i="477"/>
  <c r="K320" i="477"/>
  <c r="K321" i="477"/>
  <c r="K322" i="477"/>
  <c r="K323" i="477"/>
  <c r="K324" i="477"/>
  <c r="K325" i="477"/>
  <c r="K326" i="477"/>
  <c r="K327" i="477"/>
  <c r="K328" i="477"/>
  <c r="K329" i="477"/>
  <c r="K330" i="477"/>
  <c r="K331" i="477"/>
  <c r="K332" i="477"/>
  <c r="K333" i="477"/>
  <c r="K334" i="477"/>
  <c r="K335" i="477"/>
  <c r="K336" i="477"/>
  <c r="K337" i="477"/>
  <c r="K338" i="477"/>
  <c r="K339" i="477"/>
  <c r="K340" i="477"/>
  <c r="K341" i="477"/>
  <c r="K342" i="477"/>
  <c r="K343" i="477"/>
  <c r="K344" i="477"/>
  <c r="K345" i="477"/>
  <c r="K346" i="477"/>
  <c r="K347" i="477"/>
  <c r="K348" i="477"/>
  <c r="K349" i="477"/>
  <c r="K350" i="477"/>
  <c r="H7" i="477"/>
  <c r="H8" i="477"/>
  <c r="H9" i="477"/>
  <c r="H10" i="477"/>
  <c r="H11" i="477"/>
  <c r="H12" i="477"/>
  <c r="H13" i="477"/>
  <c r="H14" i="477"/>
  <c r="H15" i="477"/>
  <c r="H16" i="477"/>
  <c r="H17" i="477"/>
  <c r="H18" i="477"/>
  <c r="H19" i="477"/>
  <c r="H20" i="477"/>
  <c r="H21" i="477"/>
  <c r="H22" i="477"/>
  <c r="H23" i="477"/>
  <c r="H24" i="477"/>
  <c r="H25" i="477"/>
  <c r="H26" i="477"/>
  <c r="H27" i="477"/>
  <c r="H28" i="477"/>
  <c r="H29" i="477"/>
  <c r="H30" i="477"/>
  <c r="H31" i="477"/>
  <c r="H32" i="477"/>
  <c r="H33" i="477"/>
  <c r="H34" i="477"/>
  <c r="H35" i="477"/>
  <c r="H36" i="477"/>
  <c r="H37" i="477"/>
  <c r="H38" i="477"/>
  <c r="H39" i="477"/>
  <c r="H40" i="477"/>
  <c r="H41" i="477"/>
  <c r="H42" i="477"/>
  <c r="H43" i="477"/>
  <c r="H44" i="477"/>
  <c r="H45" i="477"/>
  <c r="H46" i="477"/>
  <c r="H47" i="477"/>
  <c r="H48" i="477"/>
  <c r="H49" i="477"/>
  <c r="H50" i="477"/>
  <c r="H51" i="477"/>
  <c r="H52" i="477"/>
  <c r="H53" i="477"/>
  <c r="H54" i="477"/>
  <c r="H55" i="477"/>
  <c r="H56" i="477"/>
  <c r="H57" i="477"/>
  <c r="H58" i="477"/>
  <c r="H59" i="477"/>
  <c r="H60" i="477"/>
  <c r="H61" i="477"/>
  <c r="H62" i="477"/>
  <c r="H63" i="477"/>
  <c r="H64" i="477"/>
  <c r="H65" i="477"/>
  <c r="H66" i="477"/>
  <c r="H67" i="477"/>
  <c r="H68" i="477"/>
  <c r="H69" i="477"/>
  <c r="H70" i="477"/>
  <c r="H71" i="477"/>
  <c r="H72" i="477"/>
  <c r="H73" i="477"/>
  <c r="H74" i="477"/>
  <c r="H75" i="477"/>
  <c r="H76" i="477"/>
  <c r="H77" i="477"/>
  <c r="H78" i="477"/>
  <c r="H79" i="477"/>
  <c r="H80" i="477"/>
  <c r="H81" i="477"/>
  <c r="H82" i="477"/>
  <c r="H83" i="477"/>
  <c r="H84" i="477"/>
  <c r="H85" i="477"/>
  <c r="H86" i="477"/>
  <c r="H87" i="477"/>
  <c r="H88" i="477"/>
  <c r="H89" i="477"/>
  <c r="H90" i="477"/>
  <c r="H91" i="477"/>
  <c r="H92" i="477"/>
  <c r="H93" i="477"/>
  <c r="H94" i="477"/>
  <c r="H95" i="477"/>
  <c r="H96" i="477"/>
  <c r="H97" i="477"/>
  <c r="H98" i="477"/>
  <c r="H99" i="477"/>
  <c r="H100" i="477"/>
  <c r="H101" i="477"/>
  <c r="H102" i="477"/>
  <c r="H103" i="477"/>
  <c r="H104" i="477"/>
  <c r="H105" i="477"/>
  <c r="H106" i="477"/>
  <c r="H107" i="477"/>
  <c r="H108" i="477"/>
  <c r="H109" i="477"/>
  <c r="H110" i="477"/>
  <c r="H111" i="477"/>
  <c r="H112" i="477"/>
  <c r="H113" i="477"/>
  <c r="H114" i="477"/>
  <c r="H115" i="477"/>
  <c r="H116" i="477"/>
  <c r="H117" i="477"/>
  <c r="H118" i="477"/>
  <c r="H119" i="477"/>
  <c r="H120" i="477"/>
  <c r="H121" i="477"/>
  <c r="H122" i="477"/>
  <c r="H123" i="477"/>
  <c r="H124" i="477"/>
  <c r="H125" i="477"/>
  <c r="H126" i="477"/>
  <c r="H127" i="477"/>
  <c r="H128" i="477"/>
  <c r="H129" i="477"/>
  <c r="H130" i="477"/>
  <c r="H131" i="477"/>
  <c r="H132" i="477"/>
  <c r="H133" i="477"/>
  <c r="H134" i="477"/>
  <c r="H135" i="477"/>
  <c r="H136" i="477"/>
  <c r="H137" i="477"/>
  <c r="H138" i="477"/>
  <c r="H139" i="477"/>
  <c r="H140" i="477"/>
  <c r="H141" i="477"/>
  <c r="H142" i="477"/>
  <c r="H143" i="477"/>
  <c r="H144" i="477"/>
  <c r="H145" i="477"/>
  <c r="H146" i="477"/>
  <c r="H147" i="477"/>
  <c r="H148" i="477"/>
  <c r="H149" i="477"/>
  <c r="H150" i="477"/>
  <c r="H151" i="477"/>
  <c r="H152" i="477"/>
  <c r="H153" i="477"/>
  <c r="H154" i="477"/>
  <c r="H155" i="477"/>
  <c r="H156" i="477"/>
  <c r="H157" i="477"/>
  <c r="H158" i="477"/>
  <c r="H159" i="477"/>
  <c r="H160" i="477"/>
  <c r="H161" i="477"/>
  <c r="H162" i="477"/>
  <c r="H163" i="477"/>
  <c r="H164" i="477"/>
  <c r="H165" i="477"/>
  <c r="H166" i="477"/>
  <c r="H167" i="477"/>
  <c r="H168" i="477"/>
  <c r="H169" i="477"/>
  <c r="H170" i="477"/>
  <c r="H171" i="477"/>
  <c r="H172" i="477"/>
  <c r="H173" i="477"/>
  <c r="H174" i="477"/>
  <c r="H175" i="477"/>
  <c r="H176" i="477"/>
  <c r="H177" i="477"/>
  <c r="H178" i="477"/>
  <c r="H179" i="477"/>
  <c r="H180" i="477"/>
  <c r="H181" i="477"/>
  <c r="H182" i="477"/>
  <c r="H183" i="477"/>
  <c r="H184" i="477"/>
  <c r="H185" i="477"/>
  <c r="H186" i="477"/>
  <c r="H187" i="477"/>
  <c r="H188" i="477"/>
  <c r="H189" i="477"/>
  <c r="H190" i="477"/>
  <c r="H191" i="477"/>
  <c r="H192" i="477"/>
  <c r="H193" i="477"/>
  <c r="H194" i="477"/>
  <c r="H195" i="477"/>
  <c r="H196" i="477"/>
  <c r="H197" i="477"/>
  <c r="H198" i="477"/>
  <c r="H199" i="477"/>
  <c r="H200" i="477"/>
  <c r="H201" i="477"/>
  <c r="H202" i="477"/>
  <c r="H203" i="477"/>
  <c r="H204" i="477"/>
  <c r="H205" i="477"/>
  <c r="H206" i="477"/>
  <c r="H207" i="477"/>
  <c r="H208" i="477"/>
  <c r="H209" i="477"/>
  <c r="H210" i="477"/>
  <c r="H211" i="477"/>
  <c r="H212" i="477"/>
  <c r="H213" i="477"/>
  <c r="H214" i="477"/>
  <c r="H215" i="477"/>
  <c r="H216" i="477"/>
  <c r="H217" i="477"/>
  <c r="H218" i="477"/>
  <c r="H219" i="477"/>
  <c r="H220" i="477"/>
  <c r="H221" i="477"/>
  <c r="H222" i="477"/>
  <c r="H223" i="477"/>
  <c r="H224" i="477"/>
  <c r="H225" i="477"/>
  <c r="H226" i="477"/>
  <c r="H227" i="477"/>
  <c r="H228" i="477"/>
  <c r="H229" i="477"/>
  <c r="H230" i="477"/>
  <c r="H231" i="477"/>
  <c r="H232" i="477"/>
  <c r="H233" i="477"/>
  <c r="H234" i="477"/>
  <c r="H235" i="477"/>
  <c r="H236" i="477"/>
  <c r="H237" i="477"/>
  <c r="H238" i="477"/>
  <c r="H239" i="477"/>
  <c r="H240" i="477"/>
  <c r="H241" i="477"/>
  <c r="H242" i="477"/>
  <c r="H243" i="477"/>
  <c r="H244" i="477"/>
  <c r="H245" i="477"/>
  <c r="H246" i="477"/>
  <c r="H247" i="477"/>
  <c r="H248" i="477"/>
  <c r="H249" i="477"/>
  <c r="H250" i="477"/>
  <c r="H251" i="477"/>
  <c r="H252" i="477"/>
  <c r="H253" i="477"/>
  <c r="H254" i="477"/>
  <c r="H255" i="477"/>
  <c r="H256" i="477"/>
  <c r="H257" i="477"/>
  <c r="H258" i="477"/>
  <c r="H259" i="477"/>
  <c r="H260" i="477"/>
  <c r="H261" i="477"/>
  <c r="H262" i="477"/>
  <c r="H263" i="477"/>
  <c r="H264" i="477"/>
  <c r="H265" i="477"/>
  <c r="H266" i="477"/>
  <c r="H267" i="477"/>
  <c r="H268" i="477"/>
  <c r="H269" i="477"/>
  <c r="H270" i="477"/>
  <c r="H271" i="477"/>
  <c r="H272" i="477"/>
  <c r="H273" i="477"/>
  <c r="H274" i="477"/>
  <c r="H275" i="477"/>
  <c r="H276" i="477"/>
  <c r="H277" i="477"/>
  <c r="H278" i="477"/>
  <c r="H279" i="477"/>
  <c r="H280" i="477"/>
  <c r="H281" i="477"/>
  <c r="H282" i="477"/>
  <c r="H283" i="477"/>
  <c r="H284" i="477"/>
  <c r="H285" i="477"/>
  <c r="H286" i="477"/>
  <c r="H287" i="477"/>
  <c r="H288" i="477"/>
  <c r="H289" i="477"/>
  <c r="H290" i="477"/>
  <c r="H291" i="477"/>
  <c r="H292" i="477"/>
  <c r="H293" i="477"/>
  <c r="H294" i="477"/>
  <c r="H295" i="477"/>
  <c r="H296" i="477"/>
  <c r="H297" i="477"/>
  <c r="H298" i="477"/>
  <c r="H299" i="477"/>
  <c r="H300" i="477"/>
  <c r="H301" i="477"/>
  <c r="H302" i="477"/>
  <c r="H303" i="477"/>
  <c r="H304" i="477"/>
  <c r="H305" i="477"/>
  <c r="H306" i="477"/>
  <c r="H307" i="477"/>
  <c r="H308" i="477"/>
  <c r="H309" i="477"/>
  <c r="H310" i="477"/>
  <c r="H311" i="477"/>
  <c r="H312" i="477"/>
  <c r="H313" i="477"/>
  <c r="H314" i="477"/>
  <c r="H315" i="477"/>
  <c r="H316" i="477"/>
  <c r="H317" i="477"/>
  <c r="H318" i="477"/>
  <c r="H319" i="477"/>
  <c r="H320" i="477"/>
  <c r="H321" i="477"/>
  <c r="H322" i="477"/>
  <c r="H323" i="477"/>
  <c r="H324" i="477"/>
  <c r="H325" i="477"/>
  <c r="H326" i="477"/>
  <c r="H327" i="477"/>
  <c r="H328" i="477"/>
  <c r="H329" i="477"/>
  <c r="H330" i="477"/>
  <c r="H331" i="477"/>
  <c r="H332" i="477"/>
  <c r="H333" i="477"/>
  <c r="H334" i="477"/>
  <c r="H335" i="477"/>
  <c r="H336" i="477"/>
  <c r="H337" i="477"/>
  <c r="H338" i="477"/>
  <c r="H339" i="477"/>
  <c r="H340" i="477"/>
  <c r="H341" i="477"/>
  <c r="H342" i="477"/>
  <c r="H343" i="477"/>
  <c r="H344" i="477"/>
  <c r="H345" i="477"/>
  <c r="H346" i="477"/>
  <c r="H347" i="477"/>
  <c r="H348" i="477"/>
  <c r="H349" i="477"/>
  <c r="H350" i="477"/>
  <c r="D7" i="477"/>
  <c r="D8" i="477"/>
  <c r="D9" i="477"/>
  <c r="D10" i="477"/>
  <c r="D11" i="477"/>
  <c r="D12" i="477"/>
  <c r="D13" i="477"/>
  <c r="D14" i="477"/>
  <c r="D15" i="477"/>
  <c r="D16" i="477"/>
  <c r="D17" i="477"/>
  <c r="D18" i="477"/>
  <c r="D19" i="477"/>
  <c r="D20" i="477"/>
  <c r="D21" i="477"/>
  <c r="D22" i="477"/>
  <c r="D23" i="477"/>
  <c r="D24" i="477"/>
  <c r="D25" i="477"/>
  <c r="D26" i="477"/>
  <c r="D27" i="477"/>
  <c r="D28" i="477"/>
  <c r="D29" i="477"/>
  <c r="D30" i="477"/>
  <c r="D31" i="477"/>
  <c r="D32" i="477"/>
  <c r="D33" i="477"/>
  <c r="D34" i="477"/>
  <c r="D35" i="477"/>
  <c r="D36" i="477"/>
  <c r="D37" i="477"/>
  <c r="D38" i="477"/>
  <c r="D39" i="477"/>
  <c r="D40" i="477"/>
  <c r="D41" i="477"/>
  <c r="D42" i="477"/>
  <c r="D43" i="477"/>
  <c r="D44" i="477"/>
  <c r="D45" i="477"/>
  <c r="D46" i="477"/>
  <c r="D47" i="477"/>
  <c r="D48" i="477"/>
  <c r="D49" i="477"/>
  <c r="D50" i="477"/>
  <c r="D51" i="477"/>
  <c r="D52" i="477"/>
  <c r="D53" i="477"/>
  <c r="D54" i="477"/>
  <c r="D55" i="477"/>
  <c r="D56" i="477"/>
  <c r="D57" i="477"/>
  <c r="D58" i="477"/>
  <c r="D59" i="477"/>
  <c r="D60" i="477"/>
  <c r="D61" i="477"/>
  <c r="D62" i="477"/>
  <c r="D63" i="477"/>
  <c r="D64" i="477"/>
  <c r="D65" i="477"/>
  <c r="D66" i="477"/>
  <c r="D67" i="477"/>
  <c r="D68" i="477"/>
  <c r="D69" i="477"/>
  <c r="D70" i="477"/>
  <c r="D71" i="477"/>
  <c r="D72" i="477"/>
  <c r="D73" i="477"/>
  <c r="D74" i="477"/>
  <c r="D75" i="477"/>
  <c r="D76" i="477"/>
  <c r="D77" i="477"/>
  <c r="D78" i="477"/>
  <c r="D79" i="477"/>
  <c r="D80" i="477"/>
  <c r="D81" i="477"/>
  <c r="D82" i="477"/>
  <c r="D83" i="477"/>
  <c r="D84" i="477"/>
  <c r="D85" i="477"/>
  <c r="D86" i="477"/>
  <c r="D87" i="477"/>
  <c r="D88" i="477"/>
  <c r="D89" i="477"/>
  <c r="D90" i="477"/>
  <c r="D91" i="477"/>
  <c r="D92" i="477"/>
  <c r="D93" i="477"/>
  <c r="D94" i="477"/>
  <c r="D95" i="477"/>
  <c r="D96" i="477"/>
  <c r="D97" i="477"/>
  <c r="D98" i="477"/>
  <c r="D99" i="477"/>
  <c r="D100" i="477"/>
  <c r="D101" i="477"/>
  <c r="D102" i="477"/>
  <c r="D103" i="477"/>
  <c r="D104" i="477"/>
  <c r="D105" i="477"/>
  <c r="D106" i="477"/>
  <c r="D107" i="477"/>
  <c r="D108" i="477"/>
  <c r="D109" i="477"/>
  <c r="D110" i="477"/>
  <c r="D111" i="477"/>
  <c r="D112" i="477"/>
  <c r="D113" i="477"/>
  <c r="D114" i="477"/>
  <c r="D115" i="477"/>
  <c r="D116" i="477"/>
  <c r="D117" i="477"/>
  <c r="D118" i="477"/>
  <c r="D119" i="477"/>
  <c r="D120" i="477"/>
  <c r="D121" i="477"/>
  <c r="D122" i="477"/>
  <c r="D123" i="477"/>
  <c r="D124" i="477"/>
  <c r="D125" i="477"/>
  <c r="D126" i="477"/>
  <c r="D127" i="477"/>
  <c r="D128" i="477"/>
  <c r="D129" i="477"/>
  <c r="D130" i="477"/>
  <c r="D131" i="477"/>
  <c r="D132" i="477"/>
  <c r="D133" i="477"/>
  <c r="D134" i="477"/>
  <c r="D135" i="477"/>
  <c r="D136" i="477"/>
  <c r="D137" i="477"/>
  <c r="D138" i="477"/>
  <c r="D139" i="477"/>
  <c r="D140" i="477"/>
  <c r="D141" i="477"/>
  <c r="D142" i="477"/>
  <c r="D143" i="477"/>
  <c r="D144" i="477"/>
  <c r="D145" i="477"/>
  <c r="D146" i="477"/>
  <c r="D147" i="477"/>
  <c r="D148" i="477"/>
  <c r="D149" i="477"/>
  <c r="D150" i="477"/>
  <c r="D151" i="477"/>
  <c r="D152" i="477"/>
  <c r="D153" i="477"/>
  <c r="D154" i="477"/>
  <c r="D155" i="477"/>
  <c r="D156" i="477"/>
  <c r="D157" i="477"/>
  <c r="D158" i="477"/>
  <c r="D159" i="477"/>
  <c r="D160" i="477"/>
  <c r="D161" i="477"/>
  <c r="D162" i="477"/>
  <c r="D163" i="477"/>
  <c r="D164" i="477"/>
  <c r="D165" i="477"/>
  <c r="D166" i="477"/>
  <c r="D167" i="477"/>
  <c r="D168" i="477"/>
  <c r="D169" i="477"/>
  <c r="D170" i="477"/>
  <c r="D171" i="477"/>
  <c r="D172" i="477"/>
  <c r="D173" i="477"/>
  <c r="D174" i="477"/>
  <c r="D175" i="477"/>
  <c r="D176" i="477"/>
  <c r="D177" i="477"/>
  <c r="D178" i="477"/>
  <c r="D179" i="477"/>
  <c r="D180" i="477"/>
  <c r="D181" i="477"/>
  <c r="D182" i="477"/>
  <c r="D183" i="477"/>
  <c r="D184" i="477"/>
  <c r="D185" i="477"/>
  <c r="D186" i="477"/>
  <c r="D187" i="477"/>
  <c r="D188" i="477"/>
  <c r="D189" i="477"/>
  <c r="D190" i="477"/>
  <c r="D191" i="477"/>
  <c r="D192" i="477"/>
  <c r="D193" i="477"/>
  <c r="D194" i="477"/>
  <c r="D195" i="477"/>
  <c r="D196" i="477"/>
  <c r="D197" i="477"/>
  <c r="D198" i="477"/>
  <c r="D199" i="477"/>
  <c r="D200" i="477"/>
  <c r="D201" i="477"/>
  <c r="D202" i="477"/>
  <c r="D203" i="477"/>
  <c r="D204" i="477"/>
  <c r="D205" i="477"/>
  <c r="D206" i="477"/>
  <c r="D207" i="477"/>
  <c r="D208" i="477"/>
  <c r="D209" i="477"/>
  <c r="D210" i="477"/>
  <c r="D211" i="477"/>
  <c r="D212" i="477"/>
  <c r="D213" i="477"/>
  <c r="D214" i="477"/>
  <c r="D215" i="477"/>
  <c r="D216" i="477"/>
  <c r="D217" i="477"/>
  <c r="D218" i="477"/>
  <c r="D219" i="477"/>
  <c r="D220" i="477"/>
  <c r="D221" i="477"/>
  <c r="D222" i="477"/>
  <c r="D223" i="477"/>
  <c r="D224" i="477"/>
  <c r="D225" i="477"/>
  <c r="D226" i="477"/>
  <c r="D227" i="477"/>
  <c r="D228" i="477"/>
  <c r="D229" i="477"/>
  <c r="D230" i="477"/>
  <c r="D231" i="477"/>
  <c r="D232" i="477"/>
  <c r="D233" i="477"/>
  <c r="D234" i="477"/>
  <c r="D235" i="477"/>
  <c r="D236" i="477"/>
  <c r="D237" i="477"/>
  <c r="D238" i="477"/>
  <c r="D239" i="477"/>
  <c r="D240" i="477"/>
  <c r="D241" i="477"/>
  <c r="D242" i="477"/>
  <c r="D243" i="477"/>
  <c r="D244" i="477"/>
  <c r="D245" i="477"/>
  <c r="D246" i="477"/>
  <c r="D247" i="477"/>
  <c r="D248" i="477"/>
  <c r="D249" i="477"/>
  <c r="D250" i="477"/>
  <c r="D251" i="477"/>
  <c r="D252" i="477"/>
  <c r="D253" i="477"/>
  <c r="D254" i="477"/>
  <c r="D255" i="477"/>
  <c r="D256" i="477"/>
  <c r="D257" i="477"/>
  <c r="D258" i="477"/>
  <c r="D259" i="477"/>
  <c r="D260" i="477"/>
  <c r="D261" i="477"/>
  <c r="D262" i="477"/>
  <c r="D263" i="477"/>
  <c r="D264" i="477"/>
  <c r="D265" i="477"/>
  <c r="D266" i="477"/>
  <c r="D267" i="477"/>
  <c r="D268" i="477"/>
  <c r="D269" i="477"/>
  <c r="D270" i="477"/>
  <c r="D271" i="477"/>
  <c r="D272" i="477"/>
  <c r="D273" i="477"/>
  <c r="D274" i="477"/>
  <c r="D275" i="477"/>
  <c r="D276" i="477"/>
  <c r="D277" i="477"/>
  <c r="D278" i="477"/>
  <c r="D279" i="477"/>
  <c r="D280" i="477"/>
  <c r="D281" i="477"/>
  <c r="D282" i="477"/>
  <c r="D283" i="477"/>
  <c r="D284" i="477"/>
  <c r="D285" i="477"/>
  <c r="D286" i="477"/>
  <c r="D287" i="477"/>
  <c r="D288" i="477"/>
  <c r="D289" i="477"/>
  <c r="D290" i="477"/>
  <c r="D291" i="477"/>
  <c r="D292" i="477"/>
  <c r="D293" i="477"/>
  <c r="D294" i="477"/>
  <c r="D295" i="477"/>
  <c r="D296" i="477"/>
  <c r="D297" i="477"/>
  <c r="D298" i="477"/>
  <c r="D299" i="477"/>
  <c r="D300" i="477"/>
  <c r="D301" i="477"/>
  <c r="D302" i="477"/>
  <c r="D303" i="477"/>
  <c r="D304" i="477"/>
  <c r="D305" i="477"/>
  <c r="D306" i="477"/>
  <c r="D307" i="477"/>
  <c r="D308" i="477"/>
  <c r="D309" i="477"/>
  <c r="D310" i="477"/>
  <c r="D311" i="477"/>
  <c r="D312" i="477"/>
  <c r="D313" i="477"/>
  <c r="D314" i="477"/>
  <c r="D315" i="477"/>
  <c r="D316" i="477"/>
  <c r="D317" i="477"/>
  <c r="D318" i="477"/>
  <c r="D319" i="477"/>
  <c r="D320" i="477"/>
  <c r="D321" i="477"/>
  <c r="D322" i="477"/>
  <c r="D323" i="477"/>
  <c r="D324" i="477"/>
  <c r="D325" i="477"/>
  <c r="D326" i="477"/>
  <c r="D327" i="477"/>
  <c r="D328" i="477"/>
  <c r="D329" i="477"/>
  <c r="D330" i="477"/>
  <c r="D331" i="477"/>
  <c r="D332" i="477"/>
  <c r="D333" i="477"/>
  <c r="D334" i="477"/>
  <c r="D335" i="477"/>
  <c r="D336" i="477"/>
  <c r="D337" i="477"/>
  <c r="D338" i="477"/>
  <c r="D339" i="477"/>
  <c r="D340" i="477"/>
  <c r="D341" i="477"/>
  <c r="D342" i="477"/>
  <c r="D343" i="477"/>
  <c r="D344" i="477"/>
  <c r="D345" i="477"/>
  <c r="D346" i="477"/>
  <c r="D347" i="477"/>
  <c r="D348" i="477"/>
  <c r="D349" i="477"/>
  <c r="D350" i="477"/>
  <c r="J152" i="486" l="1"/>
  <c r="J148" i="486"/>
  <c r="J144" i="486"/>
  <c r="J140" i="486"/>
  <c r="J136" i="486"/>
  <c r="J132" i="486"/>
  <c r="J128" i="486"/>
  <c r="J124" i="486"/>
  <c r="J120" i="486"/>
  <c r="J116" i="486"/>
  <c r="J112" i="486"/>
  <c r="J108" i="486"/>
  <c r="J104" i="486"/>
  <c r="J100" i="486"/>
  <c r="J96" i="486"/>
  <c r="J92" i="486"/>
  <c r="J88" i="486"/>
  <c r="J84" i="486"/>
  <c r="J80" i="486"/>
  <c r="J76" i="486"/>
  <c r="J72" i="486"/>
  <c r="J68" i="486"/>
  <c r="J64" i="486"/>
  <c r="J60" i="486"/>
  <c r="J56" i="486"/>
  <c r="J52" i="486"/>
  <c r="J48" i="486"/>
  <c r="J44" i="486"/>
  <c r="J40" i="486"/>
  <c r="J36" i="486"/>
  <c r="J32" i="486"/>
  <c r="J28" i="486"/>
  <c r="J24" i="486"/>
  <c r="J20" i="486"/>
  <c r="J16" i="486"/>
  <c r="J12" i="486"/>
  <c r="J8" i="486"/>
  <c r="J4" i="486"/>
  <c r="B22" i="21" l="1"/>
  <c r="B23" i="21"/>
  <c r="B24" i="21"/>
  <c r="B2" i="21" l="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K259" i="477" l="1"/>
  <c r="K271" i="477"/>
  <c r="K295" i="477"/>
  <c r="K281" i="477"/>
  <c r="K262" i="477"/>
  <c r="K278" i="477"/>
  <c r="K292" i="477"/>
  <c r="K147" i="477"/>
  <c r="K151" i="477"/>
  <c r="K155" i="477"/>
  <c r="K159" i="477"/>
  <c r="K163" i="477"/>
  <c r="K167" i="477"/>
  <c r="K171" i="477"/>
  <c r="K175" i="477"/>
  <c r="K179" i="477"/>
  <c r="K183" i="477"/>
  <c r="K187" i="477"/>
  <c r="K149" i="477"/>
  <c r="K157" i="477"/>
  <c r="K165" i="477"/>
  <c r="K173" i="477"/>
  <c r="K181" i="477"/>
  <c r="K146" i="477"/>
  <c r="K154" i="477"/>
  <c r="K166" i="477"/>
  <c r="K174" i="477"/>
  <c r="K178" i="477"/>
  <c r="K186" i="477"/>
  <c r="K148" i="477"/>
  <c r="K152" i="477"/>
  <c r="K156" i="477"/>
  <c r="K160" i="477"/>
  <c r="K164" i="477"/>
  <c r="K168" i="477"/>
  <c r="K172" i="477"/>
  <c r="K176" i="477"/>
  <c r="K180" i="477"/>
  <c r="K184" i="477"/>
  <c r="K153" i="477"/>
  <c r="K161" i="477"/>
  <c r="K169" i="477"/>
  <c r="K177" i="477"/>
  <c r="K185" i="477"/>
  <c r="K150" i="477"/>
  <c r="K158" i="477"/>
  <c r="K162" i="477"/>
  <c r="K170" i="477"/>
  <c r="K182" i="477"/>
  <c r="K283" i="477"/>
  <c r="K297" i="477"/>
  <c r="K264" i="477"/>
  <c r="K276" i="477"/>
  <c r="K257" i="477"/>
  <c r="K269" i="477"/>
  <c r="K290" i="477"/>
</calcChain>
</file>

<file path=xl/sharedStrings.xml><?xml version="1.0" encoding="utf-8"?>
<sst xmlns="http://schemas.openxmlformats.org/spreadsheetml/2006/main" count="21289" uniqueCount="1606">
  <si>
    <t>Ignore</t>
  </si>
  <si>
    <t>6MfgVar</t>
  </si>
  <si>
    <t>6DistShipDir</t>
  </si>
  <si>
    <t>6DistShipIndir</t>
  </si>
  <si>
    <t>6RnDDir</t>
  </si>
  <si>
    <t>6EngrDir</t>
  </si>
  <si>
    <t>6RnDIndir</t>
  </si>
  <si>
    <t>6EngrIndir</t>
  </si>
  <si>
    <t>6GnAIndir</t>
  </si>
  <si>
    <t>6GnADir</t>
  </si>
  <si>
    <t>6SellingDir</t>
  </si>
  <si>
    <t>6SellingIndir</t>
  </si>
  <si>
    <t>OCF Activity</t>
  </si>
  <si>
    <t>GL_Account</t>
  </si>
  <si>
    <t>Non-Controlling Interest Tax Provision</t>
  </si>
  <si>
    <t>7039000</t>
  </si>
  <si>
    <t>Non-Controlling Interest Gross Expense</t>
  </si>
  <si>
    <t>7033000</t>
  </si>
  <si>
    <t>Accounting Change Tax Provision</t>
  </si>
  <si>
    <t>7046000</t>
  </si>
  <si>
    <t>Accounting Change Gross Expense</t>
  </si>
  <si>
    <t>7038000</t>
  </si>
  <si>
    <t>Extraordinary Tax Provision</t>
  </si>
  <si>
    <t>7045000</t>
  </si>
  <si>
    <t>Extraordinary Gross Expense</t>
  </si>
  <si>
    <t>7037000</t>
  </si>
  <si>
    <t>Discontinued Operations Tax Expense</t>
  </si>
  <si>
    <t>7058000</t>
  </si>
  <si>
    <t>Discontinued Operations Gross Loss (Gain) on Sale</t>
  </si>
  <si>
    <t>7057100</t>
  </si>
  <si>
    <t>Discontinued Operations Gross Loss (Income) from Operations</t>
  </si>
  <si>
    <t>7057000</t>
  </si>
  <si>
    <t>Deferred Income Tax Expense - Non-US</t>
  </si>
  <si>
    <t>7087000</t>
  </si>
  <si>
    <t>Deferred Income Tax Expense - US State</t>
  </si>
  <si>
    <t>7086000</t>
  </si>
  <si>
    <t>Deferred Income Tax Expense - US Federal</t>
  </si>
  <si>
    <t>7085000</t>
  </si>
  <si>
    <t>Current Income Tax Expense - US State</t>
  </si>
  <si>
    <t>7027000</t>
  </si>
  <si>
    <t>Current Income Tax Expense - Non-US</t>
  </si>
  <si>
    <t>7024000</t>
  </si>
  <si>
    <t>Withholding Tax Expense</t>
  </si>
  <si>
    <t>7061000</t>
  </si>
  <si>
    <t>Current Income Tax Expense - US Federal</t>
  </si>
  <si>
    <t>7084000</t>
  </si>
  <si>
    <t>Intercompany</t>
  </si>
  <si>
    <t>Intercompany Interest Income</t>
  </si>
  <si>
    <t>7031800</t>
  </si>
  <si>
    <t>Intercompany Interest Expense</t>
  </si>
  <si>
    <t>7003000</t>
  </si>
  <si>
    <t>Premium Accretion</t>
  </si>
  <si>
    <t>7099000</t>
  </si>
  <si>
    <t>Other Interest Income - Cash Settled</t>
  </si>
  <si>
    <t>7001000</t>
  </si>
  <si>
    <t>Interest Expense Other - Non Cash</t>
  </si>
  <si>
    <t>7041000</t>
  </si>
  <si>
    <t>External Rate Swaps - Fixed-to-Variable</t>
  </si>
  <si>
    <t>7083000</t>
  </si>
  <si>
    <t>External Debt - Fixed Rate</t>
  </si>
  <si>
    <t>7082000</t>
  </si>
  <si>
    <t>Other - Cash Settled</t>
  </si>
  <si>
    <t>7002000</t>
  </si>
  <si>
    <t>Debt Cost Amortization</t>
  </si>
  <si>
    <t>7002600</t>
  </si>
  <si>
    <t>Discount Amortization</t>
  </si>
  <si>
    <t>7071000</t>
  </si>
  <si>
    <t>Interest Rate Swaps</t>
  </si>
  <si>
    <t>7081000</t>
  </si>
  <si>
    <t>Debt Coupons</t>
  </si>
  <si>
    <t>7002200</t>
  </si>
  <si>
    <t>Unrealized Gain on Investments</t>
  </si>
  <si>
    <t>7090000</t>
  </si>
  <si>
    <t>Tax Sharing Income</t>
  </si>
  <si>
    <t>7073000</t>
  </si>
  <si>
    <t>Gain on Non-Operating Equity</t>
  </si>
  <si>
    <t>7056000</t>
  </si>
  <si>
    <t>Gain on Sale of Investment</t>
  </si>
  <si>
    <t>7055000</t>
  </si>
  <si>
    <t>Debt Extinguishment - Financing Costs and Hedge Impacts</t>
  </si>
  <si>
    <t>7054000</t>
  </si>
  <si>
    <t>Gain on Extinguishment of Debt - Cash Paid vs Book Basis</t>
  </si>
  <si>
    <t>7052000</t>
  </si>
  <si>
    <t>Direct</t>
  </si>
  <si>
    <t>Corp FPnA Expense Allocation</t>
  </si>
  <si>
    <t>7049500</t>
  </si>
  <si>
    <t>Divestiture-related expense</t>
  </si>
  <si>
    <t>7047500</t>
  </si>
  <si>
    <t>Divestiture GL on Sale of Business</t>
  </si>
  <si>
    <t>7047000</t>
  </si>
  <si>
    <t>Impairments - Other</t>
  </si>
  <si>
    <t>7070000</t>
  </si>
  <si>
    <t>Impairments - Goodwill</t>
  </si>
  <si>
    <t>7098000</t>
  </si>
  <si>
    <t>Impairments - Intangibles</t>
  </si>
  <si>
    <t>7093000</t>
  </si>
  <si>
    <t>Impairments - PP&amp;E</t>
  </si>
  <si>
    <t>7069000</t>
  </si>
  <si>
    <t>Non Cash Restructuring - Other</t>
  </si>
  <si>
    <t>7106000</t>
  </si>
  <si>
    <t>NonCash Restructuring - PPE</t>
  </si>
  <si>
    <t>7105000</t>
  </si>
  <si>
    <t>Modifications and Reversals</t>
  </si>
  <si>
    <t>7104000</t>
  </si>
  <si>
    <t>Restructuring Accretion Expense</t>
  </si>
  <si>
    <t>7103000</t>
  </si>
  <si>
    <t>Severance - Nonretirement postemployment benefit</t>
  </si>
  <si>
    <t>7102000</t>
  </si>
  <si>
    <t>Other Restructuring Expense</t>
  </si>
  <si>
    <t>7101000</t>
  </si>
  <si>
    <t>Facility Closings</t>
  </si>
  <si>
    <t>7100000</t>
  </si>
  <si>
    <t>Restructuring Usage</t>
  </si>
  <si>
    <t>7019000</t>
  </si>
  <si>
    <t>Corp FPnA Acquisition Cost Allocation</t>
  </si>
  <si>
    <t>7095500</t>
  </si>
  <si>
    <t>Integration Costs</t>
  </si>
  <si>
    <t>7095000</t>
  </si>
  <si>
    <t>Transaction Costs</t>
  </si>
  <si>
    <t>7094000</t>
  </si>
  <si>
    <t>FX Loss - Intercompany Loans and Deposits</t>
  </si>
  <si>
    <t>7080000</t>
  </si>
  <si>
    <t>FX GL on Hedges</t>
  </si>
  <si>
    <t>7053000</t>
  </si>
  <si>
    <t>Exchange GL - Allocated</t>
  </si>
  <si>
    <t>7006600</t>
  </si>
  <si>
    <t>Exchange GL - Direct</t>
  </si>
  <si>
    <t>7006000</t>
  </si>
  <si>
    <t>Exchange - Intercompany</t>
  </si>
  <si>
    <t>7006400</t>
  </si>
  <si>
    <t>TEG Management Fee</t>
  </si>
  <si>
    <t>7097000</t>
  </si>
  <si>
    <t>EMEA FSS Service Fee</t>
  </si>
  <si>
    <t>7096000</t>
  </si>
  <si>
    <t>Trademark Royalties</t>
  </si>
  <si>
    <t>7089000</t>
  </si>
  <si>
    <t>Corporate Services</t>
  </si>
  <si>
    <t>7079000</t>
  </si>
  <si>
    <t>Transfer Price Adjustment</t>
  </si>
  <si>
    <t>7078000</t>
  </si>
  <si>
    <t>TEG Royalty</t>
  </si>
  <si>
    <t>7077000</t>
  </si>
  <si>
    <t>TESOG Service Fee</t>
  </si>
  <si>
    <t>7076000</t>
  </si>
  <si>
    <t>GL Intracompany Investment in Subsidiary</t>
  </si>
  <si>
    <t>7075000</t>
  </si>
  <si>
    <t>Options Exercised</t>
  </si>
  <si>
    <t>7074000</t>
  </si>
  <si>
    <t>Intercompany Service Charges - Direct</t>
  </si>
  <si>
    <t>7032700</t>
  </si>
  <si>
    <t>Intercompany Service Charges - Allocated</t>
  </si>
  <si>
    <t>7031600</t>
  </si>
  <si>
    <t>Loss on Commodity Hedges - Copper</t>
  </si>
  <si>
    <t>7088300</t>
  </si>
  <si>
    <t>Loss on Commodity Hedges - Silver</t>
  </si>
  <si>
    <t>7088100</t>
  </si>
  <si>
    <t>Loss on Commodity Hedges - Gold</t>
  </si>
  <si>
    <t>7088000</t>
  </si>
  <si>
    <t>G and A Hedge Amortization - FX Hedges</t>
  </si>
  <si>
    <t>7091000</t>
  </si>
  <si>
    <t>Intercompany PPE Transfer</t>
  </si>
  <si>
    <t>7018200</t>
  </si>
  <si>
    <t>Gain or loss on Fixed Assets Disposals</t>
  </si>
  <si>
    <t>7018300</t>
  </si>
  <si>
    <t>Upstream Validation Account</t>
  </si>
  <si>
    <t>7999998</t>
  </si>
  <si>
    <t>Stock Options and Restricted Stock Expense FA</t>
  </si>
  <si>
    <t>7062000</t>
  </si>
  <si>
    <t>Bank Service Fees</t>
  </si>
  <si>
    <t>7059000</t>
  </si>
  <si>
    <t>Loss on Disposals - Assets Held for Sale</t>
  </si>
  <si>
    <t>7043000</t>
  </si>
  <si>
    <t>Gain or Loss on Equity Investments - Opening Balances</t>
  </si>
  <si>
    <t>7034400</t>
  </si>
  <si>
    <t>Sale of Scrap</t>
  </si>
  <si>
    <t>7031900</t>
  </si>
  <si>
    <t>Other G and A</t>
  </si>
  <si>
    <t>7028000</t>
  </si>
  <si>
    <t>Royalty Income</t>
  </si>
  <si>
    <t>7022000</t>
  </si>
  <si>
    <t>NQDC swap Gain/Loss</t>
  </si>
  <si>
    <t>7012000</t>
  </si>
  <si>
    <t>Lease Income</t>
  </si>
  <si>
    <t>7032100</t>
  </si>
  <si>
    <t>General and Administrative - Indirect</t>
  </si>
  <si>
    <t>General and Administrative - Direct</t>
  </si>
  <si>
    <t>Selling Expense - Indirect</t>
  </si>
  <si>
    <t>Selling Expense - Direct</t>
  </si>
  <si>
    <t>Engineering - Indirect</t>
  </si>
  <si>
    <t>Research and Development - Indirect</t>
  </si>
  <si>
    <t>Engineering - Direct</t>
  </si>
  <si>
    <t>Research and Development  - Direct</t>
  </si>
  <si>
    <t>Amortization Exp - Other Intangibles</t>
  </si>
  <si>
    <t>7011300</t>
  </si>
  <si>
    <t>Amortization Exp - Customer Relationships</t>
  </si>
  <si>
    <t>7011100</t>
  </si>
  <si>
    <t>Amortization Exp - Intellectual Property</t>
  </si>
  <si>
    <t>7011000</t>
  </si>
  <si>
    <t>CoS Inventory Restructuring impairment</t>
  </si>
  <si>
    <t>5058000</t>
  </si>
  <si>
    <t>Corp FpnA Cost of Sales Allocation</t>
  </si>
  <si>
    <t>5070000</t>
  </si>
  <si>
    <t>Gain or Loss on Disposal of Fixed Assets</t>
  </si>
  <si>
    <t>7018000</t>
  </si>
  <si>
    <t>Commodity Hedge</t>
  </si>
  <si>
    <t>5032000</t>
  </si>
  <si>
    <t>FX Hedge</t>
  </si>
  <si>
    <t>5031000</t>
  </si>
  <si>
    <t>Inv Adj - Capitalized Variance</t>
  </si>
  <si>
    <t>5036000</t>
  </si>
  <si>
    <t>Inv Adj - Other</t>
  </si>
  <si>
    <t>5014000</t>
  </si>
  <si>
    <t>Inv Adj - Scrap</t>
  </si>
  <si>
    <t>5013000</t>
  </si>
  <si>
    <t>Inv Adj - Physical Write</t>
  </si>
  <si>
    <t>5012000</t>
  </si>
  <si>
    <t>Inv Adj - Prov for Obsolescence</t>
  </si>
  <si>
    <t>5011000</t>
  </si>
  <si>
    <t>Inv Adj - Std Cost Revision</t>
  </si>
  <si>
    <t>5010000</t>
  </si>
  <si>
    <t>Other CoS - Customer Complaints</t>
  </si>
  <si>
    <t>5063000</t>
  </si>
  <si>
    <t>Other CoS - Royalty Expense</t>
  </si>
  <si>
    <t>5062000</t>
  </si>
  <si>
    <t>Other CoS - Product Liability</t>
  </si>
  <si>
    <t>5061000</t>
  </si>
  <si>
    <t>Other CoS - Warranty</t>
  </si>
  <si>
    <t>5060000</t>
  </si>
  <si>
    <t>Purchase Discounts</t>
  </si>
  <si>
    <t>5021000</t>
  </si>
  <si>
    <t>Other Cost of Sales</t>
  </si>
  <si>
    <t>5009000</t>
  </si>
  <si>
    <t>Distribution and Shipping - Indirect</t>
  </si>
  <si>
    <t>Distribution and Shipping - Direct</t>
  </si>
  <si>
    <t>Other Mfg Variances</t>
  </si>
  <si>
    <t>5007000</t>
  </si>
  <si>
    <t>Functional Manufacturing Variance</t>
  </si>
  <si>
    <t>FX External PPV</t>
  </si>
  <si>
    <t>5033000</t>
  </si>
  <si>
    <t>FX Interco PPV</t>
  </si>
  <si>
    <t>5030000</t>
  </si>
  <si>
    <t>Purchase Price Variances</t>
  </si>
  <si>
    <t>5006000</t>
  </si>
  <si>
    <t>Interco Offset - Elims Only Incl in Perf Measure</t>
  </si>
  <si>
    <t>5035000</t>
  </si>
  <si>
    <t>Intercompany Profit Incl in Perf Measure</t>
  </si>
  <si>
    <t>5019000</t>
  </si>
  <si>
    <t>Intercompany CoS Inc in Perf Measure</t>
  </si>
  <si>
    <t>5018000</t>
  </si>
  <si>
    <t>CoS Service</t>
  </si>
  <si>
    <t>5024000</t>
  </si>
  <si>
    <t>Functional CoS - Service</t>
  </si>
  <si>
    <t>6SvcCoS</t>
  </si>
  <si>
    <t>Intercompany Offset - Elims Only</t>
  </si>
  <si>
    <t>5034000</t>
  </si>
  <si>
    <t>Other Intercompany Cost of Sales</t>
  </si>
  <si>
    <t>5029000</t>
  </si>
  <si>
    <t>Intercompany Profit on Intercompany Sourced Products</t>
  </si>
  <si>
    <t>5005000</t>
  </si>
  <si>
    <t>Standard Cost of Intercompany Sales - Manual Adjustments</t>
  </si>
  <si>
    <t>5026000</t>
  </si>
  <si>
    <t>Standard Cost of Intercompany Sales</t>
  </si>
  <si>
    <t>5004000</t>
  </si>
  <si>
    <t>Standard Cost of Trade Sales - Manual Adjustments</t>
  </si>
  <si>
    <t>5022000</t>
  </si>
  <si>
    <t>Interco ASG Fees</t>
  </si>
  <si>
    <t>5017000</t>
  </si>
  <si>
    <t>Standard Cost of Trade Sales</t>
  </si>
  <si>
    <t>5016000</t>
  </si>
  <si>
    <t>Corp FPnA Net Sales Allocation</t>
  </si>
  <si>
    <t>4011000</t>
  </si>
  <si>
    <t>Interco Sales Incl in Perf Measures</t>
  </si>
  <si>
    <t>4010000</t>
  </si>
  <si>
    <t>Interco Sales</t>
  </si>
  <si>
    <t>4007000</t>
  </si>
  <si>
    <t>Sales Discounts on Product Revenue</t>
  </si>
  <si>
    <t>4009000</t>
  </si>
  <si>
    <t>Sales Discounts on Product Revenue - Manual Adj</t>
  </si>
  <si>
    <t>4008000</t>
  </si>
  <si>
    <t>Sales - Service</t>
  </si>
  <si>
    <t>4005000</t>
  </si>
  <si>
    <t>Sales - Contracts</t>
  </si>
  <si>
    <t>4004000</t>
  </si>
  <si>
    <t>Sales - Product Manual ADJ</t>
  </si>
  <si>
    <t>4003000</t>
  </si>
  <si>
    <t>Sales - Product Direct</t>
  </si>
  <si>
    <t>4001000</t>
  </si>
  <si>
    <t>Description</t>
  </si>
  <si>
    <t>1000000</t>
  </si>
  <si>
    <t>Cash</t>
  </si>
  <si>
    <t>1025000</t>
  </si>
  <si>
    <t>Cash Equivalents</t>
  </si>
  <si>
    <t>1040000</t>
  </si>
  <si>
    <t>AR Trade</t>
  </si>
  <si>
    <t>1050000</t>
  </si>
  <si>
    <t>Reserve for Doubtful Accounts</t>
  </si>
  <si>
    <t>1052000</t>
  </si>
  <si>
    <t>Reserve for Returns, Rebates, Sales Allowances</t>
  </si>
  <si>
    <t>1101000</t>
  </si>
  <si>
    <t>Raw Materials</t>
  </si>
  <si>
    <t>1113600</t>
  </si>
  <si>
    <t>Reserve for Raw Materials</t>
  </si>
  <si>
    <t>1103000</t>
  </si>
  <si>
    <t>Work in Process</t>
  </si>
  <si>
    <t>1109000</t>
  </si>
  <si>
    <t>Purchased and Manufactured Parts</t>
  </si>
  <si>
    <t>1113800</t>
  </si>
  <si>
    <t>Reserve for Work In Process</t>
  </si>
  <si>
    <t>1159000</t>
  </si>
  <si>
    <t>Contracts in Process - Asset</t>
  </si>
  <si>
    <t>Indirect</t>
  </si>
  <si>
    <t>1308000</t>
  </si>
  <si>
    <t>Unbilled Revenue</t>
  </si>
  <si>
    <t>1105000</t>
  </si>
  <si>
    <t>Finished Goods</t>
  </si>
  <si>
    <t>1111000</t>
  </si>
  <si>
    <t>Inventory In Transit</t>
  </si>
  <si>
    <t>1106000</t>
  </si>
  <si>
    <t>Cap Variance</t>
  </si>
  <si>
    <t>1113000</t>
  </si>
  <si>
    <t>Reserve for Finished Goods</t>
  </si>
  <si>
    <t>1112000</t>
  </si>
  <si>
    <t>Intercompany AR AP (Elims only)</t>
  </si>
  <si>
    <t>1201000</t>
  </si>
  <si>
    <t>Prepaid Insurance</t>
  </si>
  <si>
    <t>1202000</t>
  </si>
  <si>
    <t>Prepaid Rent</t>
  </si>
  <si>
    <t>1204000</t>
  </si>
  <si>
    <t>Prepaid Taxes</t>
  </si>
  <si>
    <t>1206000</t>
  </si>
  <si>
    <t>Prepaid Other</t>
  </si>
  <si>
    <t>1333000</t>
  </si>
  <si>
    <t>Prepaid Interest</t>
  </si>
  <si>
    <t>1200000</t>
  </si>
  <si>
    <t>Prepaid Contracts</t>
  </si>
  <si>
    <t>1035000</t>
  </si>
  <si>
    <t>Restricted Cash</t>
  </si>
  <si>
    <t>1090000</t>
  </si>
  <si>
    <t>Other Receivables</t>
  </si>
  <si>
    <t>1099000</t>
  </si>
  <si>
    <t>Subcontracting Chargeable Components</t>
  </si>
  <si>
    <t>1207000</t>
  </si>
  <si>
    <t>Interest Receivable</t>
  </si>
  <si>
    <t>1208000</t>
  </si>
  <si>
    <t>Deposits</t>
  </si>
  <si>
    <t>1304000</t>
  </si>
  <si>
    <t>Advances to Suppliers</t>
  </si>
  <si>
    <t>1305000</t>
  </si>
  <si>
    <t>Advances against Salaries</t>
  </si>
  <si>
    <t>1306000</t>
  </si>
  <si>
    <t>Advances for Travel</t>
  </si>
  <si>
    <t>1307000</t>
  </si>
  <si>
    <t>Service Deposits</t>
  </si>
  <si>
    <t>1309000</t>
  </si>
  <si>
    <t>Other CA</t>
  </si>
  <si>
    <t>1310016</t>
  </si>
  <si>
    <t>Grants Received from Gov Agencies - Environment</t>
  </si>
  <si>
    <t>1318000</t>
  </si>
  <si>
    <t>Scrap Recovery</t>
  </si>
  <si>
    <t>1330000</t>
  </si>
  <si>
    <t>Short Term Investments</t>
  </si>
  <si>
    <t>1334000</t>
  </si>
  <si>
    <t>Current Debt Issuance Fees</t>
  </si>
  <si>
    <t>1336000</t>
  </si>
  <si>
    <t>Current SAB101 Deferred Cost</t>
  </si>
  <si>
    <t>1337000</t>
  </si>
  <si>
    <t>VAT/Sales Recoverable</t>
  </si>
  <si>
    <t>1313000</t>
  </si>
  <si>
    <t>FX Hedge Receivables</t>
  </si>
  <si>
    <t>1315000</t>
  </si>
  <si>
    <t>Current Commodity Hedge Asset - Gold</t>
  </si>
  <si>
    <t>1315100</t>
  </si>
  <si>
    <t>Current Commodity Hedge Asset - Silver</t>
  </si>
  <si>
    <t>1315300</t>
  </si>
  <si>
    <t>Current Commodity Hedge Asset - Copper</t>
  </si>
  <si>
    <t>1316000</t>
  </si>
  <si>
    <t>NQDC Swap Assets</t>
  </si>
  <si>
    <t>1317000</t>
  </si>
  <si>
    <t>IR Swap Assets</t>
  </si>
  <si>
    <t>1060000</t>
  </si>
  <si>
    <t>ISC Accounts Receivables</t>
  </si>
  <si>
    <t>1070000</t>
  </si>
  <si>
    <t>Taxes Receivable from Affiliates</t>
  </si>
  <si>
    <t>1080000</t>
  </si>
  <si>
    <t>ISC Royalty Receivable</t>
  </si>
  <si>
    <t>1550000</t>
  </si>
  <si>
    <t>Exercised Options/Restricted Stock</t>
  </si>
  <si>
    <t>1560000</t>
  </si>
  <si>
    <t>ICO Service Fee Account</t>
  </si>
  <si>
    <t>1314000</t>
  </si>
  <si>
    <t>Current Receivable from Tyco/Covidian</t>
  </si>
  <si>
    <t>1332000</t>
  </si>
  <si>
    <t>Current Income Tax Receivables - US Federal</t>
  </si>
  <si>
    <t>1338000</t>
  </si>
  <si>
    <t>Current Income Tax Receivables - US State</t>
  </si>
  <si>
    <t>1339000</t>
  </si>
  <si>
    <t>Cur Income Tax Receivables - Non-US</t>
  </si>
  <si>
    <t>1340000</t>
  </si>
  <si>
    <t>Assets of Discontinued Operations</t>
  </si>
  <si>
    <t>1400000</t>
  </si>
  <si>
    <t>Current Deferred Income Tax Assets - Non-US</t>
  </si>
  <si>
    <t>1401000</t>
  </si>
  <si>
    <t>Current Deferred Income Tax Assets - US Federal</t>
  </si>
  <si>
    <t>1402000</t>
  </si>
  <si>
    <t>Current Deferred Income Tax Assets - US State</t>
  </si>
  <si>
    <t>1303000</t>
  </si>
  <si>
    <t>Assets Held for Sale</t>
  </si>
  <si>
    <t>1600000</t>
  </si>
  <si>
    <t>Land</t>
  </si>
  <si>
    <t>1601000</t>
  </si>
  <si>
    <t>Buildings</t>
  </si>
  <si>
    <t>1601100</t>
  </si>
  <si>
    <t>Leasehold Improvements</t>
  </si>
  <si>
    <t>1603000</t>
  </si>
  <si>
    <t>Molds and Dies</t>
  </si>
  <si>
    <t>1605000</t>
  </si>
  <si>
    <t>Machinery and Equipment</t>
  </si>
  <si>
    <t>1607000</t>
  </si>
  <si>
    <t>Furniture and Fixtures</t>
  </si>
  <si>
    <t>1608000</t>
  </si>
  <si>
    <t>Ships and Submersibles</t>
  </si>
  <si>
    <t>1609000</t>
  </si>
  <si>
    <t>Information Systems</t>
  </si>
  <si>
    <t>1611000</t>
  </si>
  <si>
    <t>Machines and Tools with Customers</t>
  </si>
  <si>
    <t>1620000</t>
  </si>
  <si>
    <t>Construction in Progress</t>
  </si>
  <si>
    <t>1701000</t>
  </si>
  <si>
    <t>Accumulated Depreciation - Buildings</t>
  </si>
  <si>
    <t>1701200</t>
  </si>
  <si>
    <t>Accumulated Depreciation - Leasehold Improvements</t>
  </si>
  <si>
    <t>1703000</t>
  </si>
  <si>
    <t>Accumulated Depreciation - Molds and Dies</t>
  </si>
  <si>
    <t>1705000</t>
  </si>
  <si>
    <t>Accumulated  Depreciation - Machinery</t>
  </si>
  <si>
    <t>1707000</t>
  </si>
  <si>
    <t>Accumulated Depreciation - Furniture and Fixtures</t>
  </si>
  <si>
    <t>1708000</t>
  </si>
  <si>
    <t>Accumulated Depreciation - Ships and Submersibles</t>
  </si>
  <si>
    <t>1709000</t>
  </si>
  <si>
    <t>Accumulated Depreciation - Information Systems</t>
  </si>
  <si>
    <t>1711000</t>
  </si>
  <si>
    <t>Accumulated Depreciation - Machines and Tools with Customers</t>
  </si>
  <si>
    <t>1630000</t>
  </si>
  <si>
    <t>Corp FPnA Net FA Allocation</t>
  </si>
  <si>
    <t>1801000</t>
  </si>
  <si>
    <t>Goodwill</t>
  </si>
  <si>
    <t>1802000</t>
  </si>
  <si>
    <t>Accumulated Goodwill Impairment Losses</t>
  </si>
  <si>
    <t>1802500</t>
  </si>
  <si>
    <t>Corp FPnA Goodwill Allocation</t>
  </si>
  <si>
    <t>1803000</t>
  </si>
  <si>
    <t>Intellectual Property</t>
  </si>
  <si>
    <t>1803100</t>
  </si>
  <si>
    <t>Customer Lists</t>
  </si>
  <si>
    <t>1803300</t>
  </si>
  <si>
    <t>Other Intangibles</t>
  </si>
  <si>
    <t>1804000</t>
  </si>
  <si>
    <t>Accumulated Amortization - Intellectual Property</t>
  </si>
  <si>
    <t>1804100</t>
  </si>
  <si>
    <t>Accumulated Amortization - Customer Lists</t>
  </si>
  <si>
    <t>1804300</t>
  </si>
  <si>
    <t>Accumulated Amortization - Other Intangibles</t>
  </si>
  <si>
    <t>1450000</t>
  </si>
  <si>
    <t>Non Current Deferred Tax Assets - Non-US</t>
  </si>
  <si>
    <t>1451000</t>
  </si>
  <si>
    <t>Non Current Deferred Tax Assets - US Federal</t>
  </si>
  <si>
    <t>1452000</t>
  </si>
  <si>
    <t>Non Current Deferred Tax Assets - US State</t>
  </si>
  <si>
    <t>1829000</t>
  </si>
  <si>
    <t>Non-Current Receivable from Tyco/Covidian</t>
  </si>
  <si>
    <t>1813000</t>
  </si>
  <si>
    <t>Investments</t>
  </si>
  <si>
    <t>1500000</t>
  </si>
  <si>
    <t>Investments in Affiliates</t>
  </si>
  <si>
    <t>1540000</t>
  </si>
  <si>
    <t>Investments - Intercompany</t>
  </si>
  <si>
    <t>1510000</t>
  </si>
  <si>
    <t>Intradivision Loan Receivable</t>
  </si>
  <si>
    <t>1814200</t>
  </si>
  <si>
    <t>Non Current Debt Issuance Fees</t>
  </si>
  <si>
    <t>1815000</t>
  </si>
  <si>
    <t>Trust Assets</t>
  </si>
  <si>
    <t>1817000</t>
  </si>
  <si>
    <t>Refundable Deposits</t>
  </si>
  <si>
    <t>1818000</t>
  </si>
  <si>
    <t>Captive Insurance</t>
  </si>
  <si>
    <t>1819000</t>
  </si>
  <si>
    <t>Non-Trust Pension Assets</t>
  </si>
  <si>
    <t>1821000</t>
  </si>
  <si>
    <t>Non Current Restricted Cash</t>
  </si>
  <si>
    <t>1826000</t>
  </si>
  <si>
    <t>Overfunded Pension Asset</t>
  </si>
  <si>
    <t>1823000</t>
  </si>
  <si>
    <t>Long - term IR Swap Asset</t>
  </si>
  <si>
    <t>1825000</t>
  </si>
  <si>
    <t>Long - term Commodity Hedge Asset - Gold</t>
  </si>
  <si>
    <t>1825100</t>
  </si>
  <si>
    <t>Long - term Commodity Hedge Asset - Silver</t>
  </si>
  <si>
    <t>1825300</t>
  </si>
  <si>
    <t>Long - term Commodity Hedge Asset - Copper</t>
  </si>
  <si>
    <t>1833000</t>
  </si>
  <si>
    <t>Long - term FX hedge receivable</t>
  </si>
  <si>
    <t>1834000</t>
  </si>
  <si>
    <t>Long - term NQDC swap asset</t>
  </si>
  <si>
    <t>1830000</t>
  </si>
  <si>
    <t>Non Current Income Tax Receivable - US Federal</t>
  </si>
  <si>
    <t>1831000</t>
  </si>
  <si>
    <t>Non Current Income Tax Receivable - US State</t>
  </si>
  <si>
    <t>1832000</t>
  </si>
  <si>
    <t>Non Current Income Tax Receivable - Non-US</t>
  </si>
  <si>
    <t>1820000</t>
  </si>
  <si>
    <t>Other Non Current Assets</t>
  </si>
  <si>
    <t>2020000</t>
  </si>
  <si>
    <t>Notes Payable</t>
  </si>
  <si>
    <t>2030000</t>
  </si>
  <si>
    <t>Accounts Payable - Trade</t>
  </si>
  <si>
    <t>2040000</t>
  </si>
  <si>
    <t>AP Other</t>
  </si>
  <si>
    <t>2041000</t>
  </si>
  <si>
    <t>Bank and Book Overdrafts</t>
  </si>
  <si>
    <t>2107000</t>
  </si>
  <si>
    <t>Payroll Tax and Withholdings</t>
  </si>
  <si>
    <t>2042000</t>
  </si>
  <si>
    <t>Corp FPnA AP Allocation</t>
  </si>
  <si>
    <t>2101000</t>
  </si>
  <si>
    <t>Accrued Salaries &amp; Wages - Payroll</t>
  </si>
  <si>
    <t>2106000</t>
  </si>
  <si>
    <t>Accrued Vacations and Holidays</t>
  </si>
  <si>
    <t>2303000</t>
  </si>
  <si>
    <t>Accrued Interest</t>
  </si>
  <si>
    <t>2325000</t>
  </si>
  <si>
    <t>Legal Reserve</t>
  </si>
  <si>
    <t>2326000</t>
  </si>
  <si>
    <t>Audit Fees</t>
  </si>
  <si>
    <t>2310000</t>
  </si>
  <si>
    <t>Professional Fees</t>
  </si>
  <si>
    <t>2304000</t>
  </si>
  <si>
    <t>Import Duties and Freight</t>
  </si>
  <si>
    <t>2309000</t>
  </si>
  <si>
    <t>Accrued Utilities</t>
  </si>
  <si>
    <t>2312000</t>
  </si>
  <si>
    <t>Other Accrued Liabilities</t>
  </si>
  <si>
    <t>2351000</t>
  </si>
  <si>
    <t>Short Term Litigation Accrual</t>
  </si>
  <si>
    <t>2352000</t>
  </si>
  <si>
    <t>3rd Party Royalty Payable</t>
  </si>
  <si>
    <t>2353000</t>
  </si>
  <si>
    <t>Accrued Outside Services</t>
  </si>
  <si>
    <t>2111000</t>
  </si>
  <si>
    <t>Other Accrued Emp Pay and Benefits</t>
  </si>
  <si>
    <t>2312011</t>
  </si>
  <si>
    <t>Accrued Gold Leased Liabilities</t>
  </si>
  <si>
    <t>2312012</t>
  </si>
  <si>
    <t>Accrued Silver Leased Liabilities</t>
  </si>
  <si>
    <t>2312013</t>
  </si>
  <si>
    <t>Accrued Palladium Leased Liabilities</t>
  </si>
  <si>
    <t>2108000</t>
  </si>
  <si>
    <t>Accrued Ins - Workers Comp - Current</t>
  </si>
  <si>
    <t>2109000</t>
  </si>
  <si>
    <t>Accrued Ins - Medical &amp; Group Health</t>
  </si>
  <si>
    <t>2301000</t>
  </si>
  <si>
    <t>Accrued Pension</t>
  </si>
  <si>
    <t>2306000</t>
  </si>
  <si>
    <t>Accrued Warranty Expense</t>
  </si>
  <si>
    <t>2311000</t>
  </si>
  <si>
    <t>Accrued Ins - Gen, Prdct, Auto</t>
  </si>
  <si>
    <t>2103000</t>
  </si>
  <si>
    <t>Bonus - PBP</t>
  </si>
  <si>
    <t>2104000</t>
  </si>
  <si>
    <t>Bonus - Legal Statutory</t>
  </si>
  <si>
    <t>2105000</t>
  </si>
  <si>
    <t>Bonus - AIP</t>
  </si>
  <si>
    <t>2113000</t>
  </si>
  <si>
    <t>Bonus - Other</t>
  </si>
  <si>
    <t>2330000</t>
  </si>
  <si>
    <t>Accrued Operating Lease Obligation</t>
  </si>
  <si>
    <t>2110000</t>
  </si>
  <si>
    <t>Accrued Severance</t>
  </si>
  <si>
    <t>2302500</t>
  </si>
  <si>
    <t>Accrued Consulting</t>
  </si>
  <si>
    <t>2302000</t>
  </si>
  <si>
    <t>Accrued Environmental</t>
  </si>
  <si>
    <t>2410000</t>
  </si>
  <si>
    <t>Accrued Dividends - Corporate Use Only</t>
  </si>
  <si>
    <t>2102000</t>
  </si>
  <si>
    <t>Sales Commissions and Incentives Payable</t>
  </si>
  <si>
    <t>2305000</t>
  </si>
  <si>
    <t>Other Taxes</t>
  </si>
  <si>
    <t>2336000</t>
  </si>
  <si>
    <t>Accrued State Franchise Tax</t>
  </si>
  <si>
    <t>2317000</t>
  </si>
  <si>
    <t>Severance</t>
  </si>
  <si>
    <t>2346000</t>
  </si>
  <si>
    <t>Facility Closing</t>
  </si>
  <si>
    <t>2347000</t>
  </si>
  <si>
    <t>Other Accrued Restructuring</t>
  </si>
  <si>
    <t>2322000</t>
  </si>
  <si>
    <t>Accrued SERP</t>
  </si>
  <si>
    <t>2318000</t>
  </si>
  <si>
    <t>Holdback Liability</t>
  </si>
  <si>
    <t>2335000</t>
  </si>
  <si>
    <t>Current FX Hedge Payable</t>
  </si>
  <si>
    <t>2342000</t>
  </si>
  <si>
    <t>Current Commodity Hedge Liability - Gold</t>
  </si>
  <si>
    <t>2342100</t>
  </si>
  <si>
    <t>Current Commodity Hedge Liability - Silver</t>
  </si>
  <si>
    <t>2342300</t>
  </si>
  <si>
    <t>Current Commodity Hedge Liability - Copper</t>
  </si>
  <si>
    <t>2348000</t>
  </si>
  <si>
    <t>Current NQDC Swap Liability</t>
  </si>
  <si>
    <t>2349000</t>
  </si>
  <si>
    <t>Current IR Swap Liability</t>
  </si>
  <si>
    <t>2337000</t>
  </si>
  <si>
    <t>Current Asset Retirement Obligations</t>
  </si>
  <si>
    <t>2338000</t>
  </si>
  <si>
    <t>Accrued Product Liability</t>
  </si>
  <si>
    <t>2210000</t>
  </si>
  <si>
    <t>Current Income Taxes Payable - Non-US</t>
  </si>
  <si>
    <t>2230000</t>
  </si>
  <si>
    <t>Withholding Tax Payable</t>
  </si>
  <si>
    <t>2460000</t>
  </si>
  <si>
    <t>Current Income Taxes Payable - US State</t>
  </si>
  <si>
    <t>2470000</t>
  </si>
  <si>
    <t>Current Income Taxes Payable - US</t>
  </si>
  <si>
    <t>2221000</t>
  </si>
  <si>
    <t>Current Deferred Income Taxes Liab - US Federal</t>
  </si>
  <si>
    <t>2222000</t>
  </si>
  <si>
    <t>Current Deferred Income Taxes Liab - US State</t>
  </si>
  <si>
    <t>2220000</t>
  </si>
  <si>
    <t>Current Deferred Income Taxes Liab - Non-US</t>
  </si>
  <si>
    <t>2321000</t>
  </si>
  <si>
    <t>VAT and Sales Tax Payable</t>
  </si>
  <si>
    <t>2340000</t>
  </si>
  <si>
    <t>Other Current Liability</t>
  </si>
  <si>
    <t>2350000</t>
  </si>
  <si>
    <t>Liability Held for Sale</t>
  </si>
  <si>
    <t>2341000</t>
  </si>
  <si>
    <t>Current Payable to TycoInt/Cov - Tax Only</t>
  </si>
  <si>
    <t>2050000</t>
  </si>
  <si>
    <t>ISC AP Intracompany</t>
  </si>
  <si>
    <t>2430000</t>
  </si>
  <si>
    <t>IC Royalty Payment</t>
  </si>
  <si>
    <t>2440000</t>
  </si>
  <si>
    <t>Taxes Payable to Parent</t>
  </si>
  <si>
    <t>2630000</t>
  </si>
  <si>
    <t>Exercised Options/Rest Stock Withholding</t>
  </si>
  <si>
    <t>2640000</t>
  </si>
  <si>
    <t>ICO Service Fee Accrual Account</t>
  </si>
  <si>
    <t>ARAPPlug</t>
  </si>
  <si>
    <t>AR_AP Plug Account</t>
  </si>
  <si>
    <t>2354000</t>
  </si>
  <si>
    <t>Interco Royalty Elims Only</t>
  </si>
  <si>
    <t>2355000</t>
  </si>
  <si>
    <t>Interco Taxes Elims Only</t>
  </si>
  <si>
    <t>2450000</t>
  </si>
  <si>
    <t>Current Portion - LT Debt</t>
  </si>
  <si>
    <t>2307000</t>
  </si>
  <si>
    <t>Customer Advances</t>
  </si>
  <si>
    <t>2308000</t>
  </si>
  <si>
    <t>Deferred - Unearned Revenue</t>
  </si>
  <si>
    <t>2345000</t>
  </si>
  <si>
    <t>Contracts in Progress - Liability</t>
  </si>
  <si>
    <t>2324000</t>
  </si>
  <si>
    <t>Liabilities of Discontinued Operations</t>
  </si>
  <si>
    <t>2600000</t>
  </si>
  <si>
    <t>Other Long Term Debt</t>
  </si>
  <si>
    <t>2601000</t>
  </si>
  <si>
    <t>TE Public Debt</t>
  </si>
  <si>
    <t>LTDebt</t>
  </si>
  <si>
    <t>Long-Term Debt</t>
  </si>
  <si>
    <t>2901000</t>
  </si>
  <si>
    <t>Non Current ASC 715-30 Liability</t>
  </si>
  <si>
    <t>2906000</t>
  </si>
  <si>
    <t>Non Current ASC 715-60 Liability</t>
  </si>
  <si>
    <t>2800000</t>
  </si>
  <si>
    <t>Non Current Deferred Income Tax Liability - Non-US</t>
  </si>
  <si>
    <t>2801000</t>
  </si>
  <si>
    <t>Non Current Deferred Income Tax Liability - US</t>
  </si>
  <si>
    <t>2802000</t>
  </si>
  <si>
    <t>Non Current Deferred Income Tax Liability - US State</t>
  </si>
  <si>
    <t>2950000</t>
  </si>
  <si>
    <t>Non Current Income Tax Payable - US Federal</t>
  </si>
  <si>
    <t>2951000</t>
  </si>
  <si>
    <t>Non Current Income Tax Payable - US State</t>
  </si>
  <si>
    <t>2952000</t>
  </si>
  <si>
    <t>Non Current Income Tax Payable - Non-US</t>
  </si>
  <si>
    <t>2902000</t>
  </si>
  <si>
    <t>Non Current Environmental Liability</t>
  </si>
  <si>
    <t>2903000</t>
  </si>
  <si>
    <t>Non Current ASC 712 Liability</t>
  </si>
  <si>
    <t>2904000</t>
  </si>
  <si>
    <t>Non Current Deferred Comp</t>
  </si>
  <si>
    <t>2907000</t>
  </si>
  <si>
    <t>Litigation Reserve</t>
  </si>
  <si>
    <t>2910000</t>
  </si>
  <si>
    <t>Other Liabilities</t>
  </si>
  <si>
    <t>2911000</t>
  </si>
  <si>
    <t>Non Current Holdback Liability</t>
  </si>
  <si>
    <t>2913000</t>
  </si>
  <si>
    <t>Accd Ins - Worker Comp - Non Current</t>
  </si>
  <si>
    <t>2914000</t>
  </si>
  <si>
    <t>Accd Ins - Gen, Prod, Auto - Non Current</t>
  </si>
  <si>
    <t>2921000</t>
  </si>
  <si>
    <t>Other Non Current FAS87 Liability</t>
  </si>
  <si>
    <t>2923000</t>
  </si>
  <si>
    <t>Non Current Warranty Liability</t>
  </si>
  <si>
    <t>2924000</t>
  </si>
  <si>
    <t>Non Current SERP</t>
  </si>
  <si>
    <t>2925000</t>
  </si>
  <si>
    <t>Non Current Deferred Comp Interest</t>
  </si>
  <si>
    <t>2934000</t>
  </si>
  <si>
    <t>Non-Current Restructuring - Severance</t>
  </si>
  <si>
    <t>2935000</t>
  </si>
  <si>
    <t>Non-Current Restructuring - Facility Closing</t>
  </si>
  <si>
    <t>2926000</t>
  </si>
  <si>
    <t>Long Term FX Hedge Payable</t>
  </si>
  <si>
    <t>2922000</t>
  </si>
  <si>
    <t>Long-term Commodity Hedge Liability - Gold</t>
  </si>
  <si>
    <t>2922100</t>
  </si>
  <si>
    <t>Long-term Commodity Hedge Liability - Silver</t>
  </si>
  <si>
    <t>2922300</t>
  </si>
  <si>
    <t>Long-term Commodity Hedge Liability - Copper</t>
  </si>
  <si>
    <t>2927000</t>
  </si>
  <si>
    <t>Long Term NQDC Swap Liability</t>
  </si>
  <si>
    <t>2916000</t>
  </si>
  <si>
    <t>Long Term IR Swap Liability</t>
  </si>
  <si>
    <t>2932000</t>
  </si>
  <si>
    <t>Long Term Asset Retirement Obligations</t>
  </si>
  <si>
    <t>2945000</t>
  </si>
  <si>
    <t>Long Term Litigation Accrual</t>
  </si>
  <si>
    <t>2944000</t>
  </si>
  <si>
    <t>FIN45 Obligation TycoIntl/Cov - Tax Only</t>
  </si>
  <si>
    <t>2912000</t>
  </si>
  <si>
    <t>Non Current Deferred Revenue</t>
  </si>
  <si>
    <t>2970000</t>
  </si>
  <si>
    <t>Equip Sale/Lease Residual Value Guarantee</t>
  </si>
  <si>
    <t>2500000</t>
  </si>
  <si>
    <t>Intradivision Loan Payable</t>
  </si>
  <si>
    <t>3100000</t>
  </si>
  <si>
    <t>…</t>
  </si>
  <si>
    <t>1150000</t>
  </si>
  <si>
    <t>Corp FPnA Inventory Allocation</t>
  </si>
  <si>
    <t>Capital Stock</t>
  </si>
  <si>
    <t>3250000</t>
  </si>
  <si>
    <t>Contributed Surplus</t>
  </si>
  <si>
    <t>3255000</t>
  </si>
  <si>
    <t>Share Premium - Corp Use Only</t>
  </si>
  <si>
    <t>3800000</t>
  </si>
  <si>
    <t>Treasury Stock</t>
  </si>
  <si>
    <t>3801000</t>
  </si>
  <si>
    <t>Treasury Shares - Contributed Surplus</t>
  </si>
  <si>
    <t>BegRE</t>
  </si>
  <si>
    <t>Beginning Retained Earnings</t>
  </si>
  <si>
    <t>3741000</t>
  </si>
  <si>
    <t>Intercompany Dividends</t>
  </si>
  <si>
    <t>3200000</t>
  </si>
  <si>
    <t>Other RE Adjustments</t>
  </si>
  <si>
    <t>3351000</t>
  </si>
  <si>
    <t>Tax pushdown - Other RE Adj</t>
  </si>
  <si>
    <t>3690000</t>
  </si>
  <si>
    <t>Other RE Adjustments - Acquisitions</t>
  </si>
  <si>
    <t>3500000</t>
  </si>
  <si>
    <t>Unrealized GL on Marketable Securities - Gross Amount</t>
  </si>
  <si>
    <t>3501000</t>
  </si>
  <si>
    <t>Unrealized GL on Marketable Securities - Amortized Amount</t>
  </si>
  <si>
    <t>3600000</t>
  </si>
  <si>
    <t>Unrealized GL on Marketable Securities - Tax Effect Amount</t>
  </si>
  <si>
    <t>3601000</t>
  </si>
  <si>
    <t>Unrealized GL on Marketable Securities - Amortized Tax Effect Amount</t>
  </si>
  <si>
    <t>3610000</t>
  </si>
  <si>
    <t>Mark to Market Cash Flow Hedge - Gross Amount</t>
  </si>
  <si>
    <t>3611000</t>
  </si>
  <si>
    <t>Mark to Market Cash Flow Hedge - Amortized Amount</t>
  </si>
  <si>
    <t>3620000</t>
  </si>
  <si>
    <t>Mark to Market Cash Flow Hedge - Tax Effect Amount</t>
  </si>
  <si>
    <t>3621000</t>
  </si>
  <si>
    <t>Mark to Market Cash Flow Hedge - Amortized Tax Effect Amount</t>
  </si>
  <si>
    <t>3450000</t>
  </si>
  <si>
    <t>Unrecognized Pension Costs - Tax Effect Amount</t>
  </si>
  <si>
    <t>3450500</t>
  </si>
  <si>
    <t>Unrecognized Pension Costs - Gross Amount</t>
  </si>
  <si>
    <t>3451000</t>
  </si>
  <si>
    <t>Unrecognized Pension Costs - Amortized Amount</t>
  </si>
  <si>
    <t>3452000</t>
  </si>
  <si>
    <t>Unrecognized Pension Costs - Amortized Tax Effect Amount</t>
  </si>
  <si>
    <t>3300000</t>
  </si>
  <si>
    <t>Input CTA Account</t>
  </si>
  <si>
    <t>3301000</t>
  </si>
  <si>
    <t>Calculated CTA</t>
  </si>
  <si>
    <t>3305000</t>
  </si>
  <si>
    <t>CTA - IC Permanent Loans</t>
  </si>
  <si>
    <t>3306000</t>
  </si>
  <si>
    <t>CTA - Hedge of Net Investment</t>
  </si>
  <si>
    <t>3302000</t>
  </si>
  <si>
    <t>CTA - Interco Loans (Elims Only)</t>
  </si>
  <si>
    <t>3050000</t>
  </si>
  <si>
    <t>Noncontrolling Interest</t>
  </si>
  <si>
    <t>SupB4001000</t>
  </si>
  <si>
    <t>SupB4007000</t>
  </si>
  <si>
    <t>6SvcCos</t>
  </si>
  <si>
    <t>6Restructuring</t>
  </si>
  <si>
    <t>BNS / TE</t>
  </si>
  <si>
    <t>BNS</t>
  </si>
  <si>
    <t>Intercompany/Indirect</t>
  </si>
  <si>
    <t>All transactions are tagged with a profit center, allowing for direct identification of BNS activity.  Modifications identified should be made in the GL so that they feed to the relevant HFM accounts upon refresh.</t>
  </si>
  <si>
    <t>Beyond the scope of the OCF process.</t>
  </si>
  <si>
    <t>Manual analysis required to identify BNS activity.  Analysis should be consistent with Discontinued Operaqtions methodology previously used.</t>
  </si>
  <si>
    <t>Intercompany Services Center ("ISC") will provide data on product-related transactions to identify of BNS activity.  Manual analysis required for non-product transactions to identify BNS activity.</t>
  </si>
  <si>
    <t>Manual analysis required to identify BNS activity.</t>
  </si>
  <si>
    <t>Exclude - Topside</t>
  </si>
  <si>
    <t>No action required by legal entity.  Consolidation team will make top-side entries to account for restructuring impact to OCF.</t>
  </si>
  <si>
    <t>Clearing Acct</t>
  </si>
  <si>
    <t>* This table reflects exceptions where a specific clearing account is used for clearing entries</t>
  </si>
  <si>
    <t>* For any of the *FC GL accounts, we need a table which maps these exception-based GL accounts to a cost center</t>
  </si>
  <si>
    <t>** "Clearing Acct" is used to determine whether a GL account in the activity template is a clearing account</t>
  </si>
  <si>
    <t>Adjustment to BNS* / Total BNS**</t>
  </si>
  <si>
    <t>Field</t>
  </si>
  <si>
    <t>Variable</t>
  </si>
  <si>
    <t>Value</t>
  </si>
  <si>
    <t>HFM Acct - OCF Activity</t>
  </si>
  <si>
    <t>Table Name</t>
  </si>
  <si>
    <t>Last Updated</t>
  </si>
  <si>
    <t>Updated with Greg Mitstifer's revised Inter-Company account activity mapping</t>
  </si>
  <si>
    <t>N/A - Excluded</t>
  </si>
  <si>
    <t>HFM Account</t>
  </si>
  <si>
    <t>Update Notes</t>
  </si>
  <si>
    <t>HFM account to OCF activity ("Direct", "Indirect", etc.) mapping table</t>
  </si>
  <si>
    <t>Sheet Name</t>
  </si>
  <si>
    <t>HFM_Acct_OCF_Activity</t>
  </si>
  <si>
    <t>BNS Profit Centers</t>
  </si>
  <si>
    <t>BNS_Profit_Centers</t>
  </si>
  <si>
    <t>BNS profit centers in SAP PR2</t>
  </si>
  <si>
    <t>OCF Template Worksheet &amp; Table Tracker</t>
  </si>
  <si>
    <t>Total BNS Balance (YTD)</t>
  </si>
  <si>
    <t>For Indirect accounts, users should input the total balance YTD for BNS in this field</t>
  </si>
  <si>
    <t xml:space="preserve">For Direct accounts, this field is used to make adjustments to the BNS balance as shown in the "BNS" field
</t>
  </si>
  <si>
    <t>Adjustment to BNS Balance</t>
  </si>
  <si>
    <t>SAP Document Date</t>
  </si>
  <si>
    <t>SAP Posting Date</t>
  </si>
  <si>
    <t>Worksheet</t>
  </si>
  <si>
    <t>OCF Activity Template</t>
  </si>
  <si>
    <t>For Direct accounts, this field is used to make adjustments to the BNS balance as shown in the "BNS" field</t>
  </si>
  <si>
    <t>Cost Center</t>
  </si>
  <si>
    <t>"Contra-BNS" Profit Center</t>
  </si>
  <si>
    <t>Due-To / Due-From GL Acct</t>
  </si>
  <si>
    <t>Updated to reflect audit performed by Patrick &amp; Sheldon</t>
  </si>
  <si>
    <t>Due-To / Due-From Profit Center</t>
  </si>
  <si>
    <t>User Inputs</t>
  </si>
  <si>
    <t>Administrative Inputs</t>
  </si>
  <si>
    <t>Pre-Close AMF Tab</t>
  </si>
  <si>
    <t>Current Month AMF Tab</t>
  </si>
  <si>
    <t>0048 - AMF - 022015</t>
  </si>
  <si>
    <t>AMF_RAW_DATA_SHEET_NAME</t>
  </si>
  <si>
    <t>All Mapping File raw data worksheet name</t>
  </si>
  <si>
    <t>rngHeaders</t>
  </si>
  <si>
    <t>$A$6:$O$6</t>
  </si>
  <si>
    <t>Address of the header row of the modified AMF table.</t>
  </si>
  <si>
    <t>Pre-Close AMF Month</t>
  </si>
  <si>
    <t>* Updated automatically by user GUI</t>
  </si>
  <si>
    <t>* Admin must input as date</t>
  </si>
  <si>
    <t>Temp Formula Localization</t>
  </si>
  <si>
    <t>ERP Platform</t>
  </si>
  <si>
    <t>ERP Name</t>
  </si>
  <si>
    <t>SAP PR2</t>
  </si>
  <si>
    <t>C1</t>
  </si>
  <si>
    <t>Profit Center</t>
  </si>
  <si>
    <t>AMPICS</t>
  </si>
  <si>
    <t>1300 - AMF - 201502</t>
  </si>
  <si>
    <t>1300 - AMF - 201503</t>
  </si>
  <si>
    <t>1824 - AMF - 201502</t>
  </si>
  <si>
    <t>1824 - AMF - 201503</t>
  </si>
  <si>
    <t>2340100</t>
  </si>
  <si>
    <t>Due-to/from Account</t>
  </si>
  <si>
    <t>TBD</t>
  </si>
  <si>
    <t>1040009</t>
  </si>
  <si>
    <t>1040008</t>
  </si>
  <si>
    <t>1040010</t>
  </si>
  <si>
    <t>1040012</t>
  </si>
  <si>
    <t>1040100</t>
  </si>
  <si>
    <t>1040899</t>
  </si>
  <si>
    <t>1050899</t>
  </si>
  <si>
    <t>1060899</t>
  </si>
  <si>
    <t>1060050</t>
  </si>
  <si>
    <t>1060898</t>
  </si>
  <si>
    <t>1099002</t>
  </si>
  <si>
    <t>1099899</t>
  </si>
  <si>
    <t>1101100</t>
  </si>
  <si>
    <t>1101899</t>
  </si>
  <si>
    <t>1103500</t>
  </si>
  <si>
    <t>1103899</t>
  </si>
  <si>
    <t>1105100</t>
  </si>
  <si>
    <t>1105899</t>
  </si>
  <si>
    <t>1109200</t>
  </si>
  <si>
    <t>1109899</t>
  </si>
  <si>
    <t>1111030</t>
  </si>
  <si>
    <t>1111898</t>
  </si>
  <si>
    <t>1304899</t>
  </si>
  <si>
    <t>1601899</t>
  </si>
  <si>
    <t>1601200</t>
  </si>
  <si>
    <t>1601898</t>
  </si>
  <si>
    <t>1601400</t>
  </si>
  <si>
    <t>1601896</t>
  </si>
  <si>
    <t>1603100</t>
  </si>
  <si>
    <t>1603899</t>
  </si>
  <si>
    <t>1603200</t>
  </si>
  <si>
    <t>1603898</t>
  </si>
  <si>
    <t>1605100</t>
  </si>
  <si>
    <t>1605899</t>
  </si>
  <si>
    <t>1605200</t>
  </si>
  <si>
    <t>1605898</t>
  </si>
  <si>
    <t>1605300</t>
  </si>
  <si>
    <t>1605897</t>
  </si>
  <si>
    <t>1607100</t>
  </si>
  <si>
    <t>1607899</t>
  </si>
  <si>
    <t>1607200</t>
  </si>
  <si>
    <t>1607898</t>
  </si>
  <si>
    <t>1609100</t>
  </si>
  <si>
    <t>1609899</t>
  </si>
  <si>
    <t>1620001</t>
  </si>
  <si>
    <t>1620899</t>
  </si>
  <si>
    <t>1620200</t>
  </si>
  <si>
    <t>1620898</t>
  </si>
  <si>
    <t>1701100</t>
  </si>
  <si>
    <t>1701899</t>
  </si>
  <si>
    <t>1701898</t>
  </si>
  <si>
    <t>1703100</t>
  </si>
  <si>
    <t>1703899</t>
  </si>
  <si>
    <t>1705100</t>
  </si>
  <si>
    <t>1705899</t>
  </si>
  <si>
    <t>1705200</t>
  </si>
  <si>
    <t>1705898</t>
  </si>
  <si>
    <t>1707100</t>
  </si>
  <si>
    <t>1707899</t>
  </si>
  <si>
    <t>1707200</t>
  </si>
  <si>
    <t>1707898</t>
  </si>
  <si>
    <t>1709100</t>
  </si>
  <si>
    <t>1709899</t>
  </si>
  <si>
    <t>2030899</t>
  </si>
  <si>
    <t>2030113</t>
  </si>
  <si>
    <t>2030898</t>
  </si>
  <si>
    <t>2030115</t>
  </si>
  <si>
    <t>2030897</t>
  </si>
  <si>
    <t>2050899</t>
  </si>
  <si>
    <t>2050050</t>
  </si>
  <si>
    <t>2050898</t>
  </si>
  <si>
    <t>2307010</t>
  </si>
  <si>
    <t>2307899</t>
  </si>
  <si>
    <t>4001001</t>
  </si>
  <si>
    <t>4001899</t>
  </si>
  <si>
    <t>4007001</t>
  </si>
  <si>
    <t>4007899</t>
  </si>
  <si>
    <t>4010005</t>
  </si>
  <si>
    <t>4010899</t>
  </si>
  <si>
    <t>5004001</t>
  </si>
  <si>
    <t>5004899</t>
  </si>
  <si>
    <t>5006200</t>
  </si>
  <si>
    <t>5006899</t>
  </si>
  <si>
    <t>5016001</t>
  </si>
  <si>
    <t>5016899</t>
  </si>
  <si>
    <t>5018005</t>
  </si>
  <si>
    <t>5018899</t>
  </si>
  <si>
    <t>5100200</t>
  </si>
  <si>
    <t>5006898</t>
  </si>
  <si>
    <t>5100501</t>
  </si>
  <si>
    <t>5007899</t>
  </si>
  <si>
    <t>5100502</t>
  </si>
  <si>
    <t>5007898</t>
  </si>
  <si>
    <t>5100503</t>
  </si>
  <si>
    <t>5007897</t>
  </si>
  <si>
    <t>5100504</t>
  </si>
  <si>
    <t>5007896</t>
  </si>
  <si>
    <t>5200000</t>
  </si>
  <si>
    <t>5013898</t>
  </si>
  <si>
    <t>5200100</t>
  </si>
  <si>
    <t>5013897</t>
  </si>
  <si>
    <t>5200250</t>
  </si>
  <si>
    <t>5007895</t>
  </si>
  <si>
    <t>5200251</t>
  </si>
  <si>
    <t>5007894</t>
  </si>
  <si>
    <t>5200400</t>
  </si>
  <si>
    <t>5007893</t>
  </si>
  <si>
    <t>5200450</t>
  </si>
  <si>
    <t>5007892</t>
  </si>
  <si>
    <t>5200460</t>
  </si>
  <si>
    <t>5007891</t>
  </si>
  <si>
    <t>5200480</t>
  </si>
  <si>
    <t>5007890</t>
  </si>
  <si>
    <t>5200500</t>
  </si>
  <si>
    <t>5007889</t>
  </si>
  <si>
    <t>5200530</t>
  </si>
  <si>
    <t>5007888</t>
  </si>
  <si>
    <t>5200540</t>
  </si>
  <si>
    <t>5007887</t>
  </si>
  <si>
    <t>5200545</t>
  </si>
  <si>
    <t>5007886</t>
  </si>
  <si>
    <t>5200550</t>
  </si>
  <si>
    <t>5007885</t>
  </si>
  <si>
    <t>5310500</t>
  </si>
  <si>
    <t>5010899</t>
  </si>
  <si>
    <t>5330050</t>
  </si>
  <si>
    <t>5012899</t>
  </si>
  <si>
    <t>5330055</t>
  </si>
  <si>
    <t>5012898</t>
  </si>
  <si>
    <t>5340050</t>
  </si>
  <si>
    <t>5013899</t>
  </si>
  <si>
    <t>5350200</t>
  </si>
  <si>
    <t>5014899</t>
  </si>
  <si>
    <t>6050110</t>
  </si>
  <si>
    <t>6050189</t>
  </si>
  <si>
    <t>6050120</t>
  </si>
  <si>
    <t>6050188</t>
  </si>
  <si>
    <t>6050210</t>
  </si>
  <si>
    <t>6050289</t>
  </si>
  <si>
    <t>6050310</t>
  </si>
  <si>
    <t>6050389</t>
  </si>
  <si>
    <t>6050320</t>
  </si>
  <si>
    <t>6050388</t>
  </si>
  <si>
    <t>6050410</t>
  </si>
  <si>
    <t>6050489</t>
  </si>
  <si>
    <t>6050420</t>
  </si>
  <si>
    <t>6050488</t>
  </si>
  <si>
    <t>6050710</t>
  </si>
  <si>
    <t>6050789</t>
  </si>
  <si>
    <t>9000001</t>
  </si>
  <si>
    <t>6999899</t>
  </si>
  <si>
    <t>9000002</t>
  </si>
  <si>
    <t>6999898</t>
  </si>
  <si>
    <t>9000003</t>
  </si>
  <si>
    <t>6999897</t>
  </si>
  <si>
    <t>9000004</t>
  </si>
  <si>
    <t>6999896</t>
  </si>
  <si>
    <t>9000007</t>
  </si>
  <si>
    <t>6999895</t>
  </si>
  <si>
    <t>9000008</t>
  </si>
  <si>
    <t>6999894</t>
  </si>
  <si>
    <t>9000009</t>
  </si>
  <si>
    <t>6999893</t>
  </si>
  <si>
    <t>9000012</t>
  </si>
  <si>
    <t>6999892</t>
  </si>
  <si>
    <t>9000013</t>
  </si>
  <si>
    <t>6999891</t>
  </si>
  <si>
    <t>9000023</t>
  </si>
  <si>
    <t>6999890</t>
  </si>
  <si>
    <t>9000024</t>
  </si>
  <si>
    <t>6999889</t>
  </si>
  <si>
    <t>9000025</t>
  </si>
  <si>
    <t>6999888</t>
  </si>
  <si>
    <t>9000026</t>
  </si>
  <si>
    <t>6999887</t>
  </si>
  <si>
    <t>9000027</t>
  </si>
  <si>
    <t>6999886</t>
  </si>
  <si>
    <t>9000028</t>
  </si>
  <si>
    <t>6999885</t>
  </si>
  <si>
    <t>9000029</t>
  </si>
  <si>
    <t>6999884</t>
  </si>
  <si>
    <t>9000030</t>
  </si>
  <si>
    <t>6999883</t>
  </si>
  <si>
    <t>9000037</t>
  </si>
  <si>
    <t>6999882</t>
  </si>
  <si>
    <t>9000047</t>
  </si>
  <si>
    <t>6999881</t>
  </si>
  <si>
    <t>9000050</t>
  </si>
  <si>
    <t>6999880</t>
  </si>
  <si>
    <t>9000055</t>
  </si>
  <si>
    <t>6999879</t>
  </si>
  <si>
    <t>9000258</t>
  </si>
  <si>
    <t>6999878</t>
  </si>
  <si>
    <t>9000265</t>
  </si>
  <si>
    <t>6999877</t>
  </si>
  <si>
    <t>9000272</t>
  </si>
  <si>
    <t>6999876</t>
  </si>
  <si>
    <t>9000279</t>
  </si>
  <si>
    <t>6999875</t>
  </si>
  <si>
    <t>9000280</t>
  </si>
  <si>
    <t>6999874</t>
  </si>
  <si>
    <t>9000281</t>
  </si>
  <si>
    <t>6999873</t>
  </si>
  <si>
    <t>9000316</t>
  </si>
  <si>
    <t>6999872</t>
  </si>
  <si>
    <t>9000341</t>
  </si>
  <si>
    <t>6999871</t>
  </si>
  <si>
    <t>9000354</t>
  </si>
  <si>
    <t>6999870</t>
  </si>
  <si>
    <t>9000411</t>
  </si>
  <si>
    <t>6999869</t>
  </si>
  <si>
    <t>9000412</t>
  </si>
  <si>
    <t>6999868</t>
  </si>
  <si>
    <t>9000413</t>
  </si>
  <si>
    <t>6999867</t>
  </si>
  <si>
    <t>9000510</t>
  </si>
  <si>
    <t>6999866</t>
  </si>
  <si>
    <t>9000968</t>
  </si>
  <si>
    <t>6999865</t>
  </si>
  <si>
    <t>9000973</t>
  </si>
  <si>
    <t>6999864</t>
  </si>
  <si>
    <t>9000976</t>
  </si>
  <si>
    <t>6999863</t>
  </si>
  <si>
    <t>9001007</t>
  </si>
  <si>
    <t>6999862</t>
  </si>
  <si>
    <t>9001023</t>
  </si>
  <si>
    <t>6999861</t>
  </si>
  <si>
    <t>9001025</t>
  </si>
  <si>
    <t>6999860</t>
  </si>
  <si>
    <t>9002003</t>
  </si>
  <si>
    <t>6999859</t>
  </si>
  <si>
    <t>9002007</t>
  </si>
  <si>
    <t>6999858</t>
  </si>
  <si>
    <t>9002010</t>
  </si>
  <si>
    <t>6999857</t>
  </si>
  <si>
    <t>9002012</t>
  </si>
  <si>
    <t>6999856</t>
  </si>
  <si>
    <t>9300002</t>
  </si>
  <si>
    <t>6999855</t>
  </si>
  <si>
    <t>9300003</t>
  </si>
  <si>
    <t>6999854</t>
  </si>
  <si>
    <t>9400200</t>
  </si>
  <si>
    <t>6999853</t>
  </si>
  <si>
    <t>6070010</t>
  </si>
  <si>
    <t>6070899</t>
  </si>
  <si>
    <t>1111035</t>
  </si>
  <si>
    <t>1111897</t>
  </si>
  <si>
    <t>1600100</t>
  </si>
  <si>
    <t>1600189</t>
  </si>
  <si>
    <t>1601300</t>
  </si>
  <si>
    <t>1620897</t>
  </si>
  <si>
    <t>2030120</t>
  </si>
  <si>
    <t>2030896</t>
  </si>
  <si>
    <t>1306002</t>
  </si>
  <si>
    <t>1306899</t>
  </si>
  <si>
    <t>2040001</t>
  </si>
  <si>
    <t>2040899</t>
  </si>
  <si>
    <t>2105002</t>
  </si>
  <si>
    <t>2105899</t>
  </si>
  <si>
    <t>5006019</t>
  </si>
  <si>
    <t>5006897</t>
  </si>
  <si>
    <t>9000019</t>
  </si>
  <si>
    <t>6999852</t>
  </si>
  <si>
    <t>1151 - AMF - 201502</t>
  </si>
  <si>
    <t>1151 - AMF - 201503</t>
  </si>
  <si>
    <t>Current Template Version</t>
  </si>
  <si>
    <t>0404 - AMF - 201502</t>
  </si>
  <si>
    <t>0404 - AMF - 201503</t>
  </si>
  <si>
    <t>BNS Profit Center Classifier</t>
  </si>
  <si>
    <t>1151 - AMF - 201504</t>
  </si>
  <si>
    <t>1300 - AMF - 201505</t>
  </si>
  <si>
    <t>1300 - AMF - 201506</t>
  </si>
  <si>
    <t>1300 - AMF - 201507</t>
  </si>
  <si>
    <t>2030001</t>
  </si>
  <si>
    <t>2040200</t>
  </si>
  <si>
    <t>0417 - AMF - 201502</t>
  </si>
  <si>
    <t>0417 - AMF - 201504</t>
  </si>
  <si>
    <t>1040105</t>
  </si>
  <si>
    <t>1040897</t>
  </si>
  <si>
    <t>1040170</t>
  </si>
  <si>
    <t>1040898</t>
  </si>
  <si>
    <t>1090900</t>
  </si>
  <si>
    <t>1090899</t>
  </si>
  <si>
    <t>1091002</t>
  </si>
  <si>
    <t>1090898</t>
  </si>
  <si>
    <t>1111005</t>
  </si>
  <si>
    <t>1111896</t>
  </si>
  <si>
    <t>1305899</t>
  </si>
  <si>
    <t>1305001</t>
  </si>
  <si>
    <t>1305898</t>
  </si>
  <si>
    <t>1306898</t>
  </si>
  <si>
    <t>1309189</t>
  </si>
  <si>
    <t>1309899</t>
  </si>
  <si>
    <t>1803899</t>
  </si>
  <si>
    <t>1803189</t>
  </si>
  <si>
    <t>1804899</t>
  </si>
  <si>
    <t>1804189</t>
  </si>
  <si>
    <t>2020005</t>
  </si>
  <si>
    <t>2020899</t>
  </si>
  <si>
    <t>2020080</t>
  </si>
  <si>
    <t>2020898</t>
  </si>
  <si>
    <t>2030895</t>
  </si>
  <si>
    <t>2040898</t>
  </si>
  <si>
    <t>2040897</t>
  </si>
  <si>
    <t>2040300</t>
  </si>
  <si>
    <t>2040896</t>
  </si>
  <si>
    <t>CLEARING ACCOUNT OVERRIDE</t>
  </si>
  <si>
    <t>GL Acct - Clearing</t>
  </si>
  <si>
    <t>Cost Centers</t>
  </si>
  <si>
    <t>GL_Acct_to_Clearing_Acct</t>
  </si>
  <si>
    <t>HFM_Acct_to_CC</t>
  </si>
  <si>
    <t>Mapping of "clearing accounts" for reconciliation / sub-ledger GL accounts (SAP only)</t>
  </si>
  <si>
    <t>N/A</t>
  </si>
  <si>
    <t>Cost center mapping to 6-series accounts</t>
  </si>
  <si>
    <t>Must be updated by legal entity as these aren't centrally managed</t>
  </si>
  <si>
    <t>0417 - AMF - 201503</t>
  </si>
  <si>
    <t>Exclude</t>
  </si>
  <si>
    <t>E0417_Feb-FY15_TBCurLocMainDims</t>
  </si>
  <si>
    <t>Partition:</t>
  </si>
  <si>
    <t>E0417</t>
  </si>
  <si>
    <t>User ID:</t>
  </si>
  <si>
    <t>EZ005032</t>
  </si>
  <si>
    <t>GL_AcctDesc</t>
  </si>
  <si>
    <t>HFM_Account</t>
  </si>
  <si>
    <t>GL_Entity</t>
  </si>
  <si>
    <t>HFM_Entity</t>
  </si>
  <si>
    <t>GL_ICP</t>
  </si>
  <si>
    <t>HFM_ICP</t>
  </si>
  <si>
    <t>GL_PC</t>
  </si>
  <si>
    <t>HFM_PC</t>
  </si>
  <si>
    <t>GL_Other</t>
  </si>
  <si>
    <t>HFM_Other</t>
  </si>
  <si>
    <t>Amount</t>
  </si>
  <si>
    <t>1016940</t>
  </si>
  <si>
    <t>Nordea</t>
  </si>
  <si>
    <t>0417</t>
  </si>
  <si>
    <t>1016940.NoICP</t>
  </si>
  <si>
    <t>[ICP None]</t>
  </si>
  <si>
    <t>997</t>
  </si>
  <si>
    <t>EndBal</t>
  </si>
  <si>
    <t>1035000.NoICP</t>
  </si>
  <si>
    <t>ISC Accounts Receivable</t>
  </si>
  <si>
    <t>ZZ0048</t>
  </si>
  <si>
    <t>E0048</t>
  </si>
  <si>
    <t>ZZ0436</t>
  </si>
  <si>
    <t>E0436</t>
  </si>
  <si>
    <t>1111001</t>
  </si>
  <si>
    <t>ISC Goods Invoiced Not Received Clearing Account</t>
  </si>
  <si>
    <t>1111001.NoICP</t>
  </si>
  <si>
    <t>165</t>
  </si>
  <si>
    <t>998</t>
  </si>
  <si>
    <t>Ppd Insurance</t>
  </si>
  <si>
    <t>1201000.NoICP</t>
  </si>
  <si>
    <t>Prepaid Rent/Lease</t>
  </si>
  <si>
    <t>1202000.NoICP</t>
  </si>
  <si>
    <t>1206135</t>
  </si>
  <si>
    <t>Prepaid - Dues &amp; Subscriptions</t>
  </si>
  <si>
    <t>1206135.NoICP</t>
  </si>
  <si>
    <t>1206170</t>
  </si>
  <si>
    <t>Ppd Voucher</t>
  </si>
  <si>
    <t>1206170.NoICP</t>
  </si>
  <si>
    <t>1206180</t>
  </si>
  <si>
    <t>Ppd - Other</t>
  </si>
  <si>
    <t>1206180.NoICP</t>
  </si>
  <si>
    <t>1206802</t>
  </si>
  <si>
    <t>Ppd Pension Fund Recharge</t>
  </si>
  <si>
    <t>1206802.NoICP</t>
  </si>
  <si>
    <t>1337001</t>
  </si>
  <si>
    <t>VAT/Sales Tax Recoverable</t>
  </si>
  <si>
    <t>1337001.NoICP</t>
  </si>
  <si>
    <t>Current Deferred Inc Taxes Asset-NonUS-</t>
  </si>
  <si>
    <t>1400000.NoICP</t>
  </si>
  <si>
    <t>1519990</t>
  </si>
  <si>
    <t>I/C Loans Receivable - CMA</t>
  </si>
  <si>
    <t>ZZ1797</t>
  </si>
  <si>
    <t>E1797</t>
  </si>
  <si>
    <t>ICO Service Fee Receivable</t>
  </si>
  <si>
    <t>ZZ1151</t>
  </si>
  <si>
    <t>E1151</t>
  </si>
  <si>
    <t>1601200.NoICP</t>
  </si>
  <si>
    <t>Machinery &amp; Equipment</t>
  </si>
  <si>
    <t>1605100.NoICP</t>
  </si>
  <si>
    <t>Furniture</t>
  </si>
  <si>
    <t>1607100.NoICP</t>
  </si>
  <si>
    <t>Info Systems (Hardware &amp; Software)</t>
  </si>
  <si>
    <t>1609100.NoICP</t>
  </si>
  <si>
    <t>A/D Leasehold Improvements</t>
  </si>
  <si>
    <t>1701200.NoICP</t>
  </si>
  <si>
    <t>A/D Machinery &amp; Equipment</t>
  </si>
  <si>
    <t>1705100.NoICP</t>
  </si>
  <si>
    <t>A/D Furniture</t>
  </si>
  <si>
    <t>1707100.NoICP</t>
  </si>
  <si>
    <t>A/D Info Systems (Hardwr &amp; Softwr)</t>
  </si>
  <si>
    <t>1709100.NoICP</t>
  </si>
  <si>
    <t>2030000.NoICP</t>
  </si>
  <si>
    <t>Accounts Payable - Employees</t>
  </si>
  <si>
    <t>2030001.NoICP</t>
  </si>
  <si>
    <t>Output Equalisation Tax (ESA)</t>
  </si>
  <si>
    <t>2040200.NoICP</t>
  </si>
  <si>
    <t>2040420</t>
  </si>
  <si>
    <t>Input Equalisation Tax (ESE)</t>
  </si>
  <si>
    <t>2040420.NoICP</t>
  </si>
  <si>
    <t>ISC A/P Intracompany</t>
  </si>
  <si>
    <t>ZZ1798</t>
  </si>
  <si>
    <t>E1798</t>
  </si>
  <si>
    <t>2050001</t>
  </si>
  <si>
    <t>ISC A/P Exchange Gain / Loss</t>
  </si>
  <si>
    <t>2102001</t>
  </si>
  <si>
    <t>Sales Bonus Incentive</t>
  </si>
  <si>
    <t>2102001.NoICP</t>
  </si>
  <si>
    <t>2106110</t>
  </si>
  <si>
    <t>Accd Vacation</t>
  </si>
  <si>
    <t>2106110.NoICP</t>
  </si>
  <si>
    <t>2107320</t>
  </si>
  <si>
    <t>Payroll w/h Wage Tax</t>
  </si>
  <si>
    <t>2107320.NoICP</t>
  </si>
  <si>
    <t>2107500</t>
  </si>
  <si>
    <t>Accrued Payroll Tax - Social Security</t>
  </si>
  <si>
    <t>2107500.NoICP</t>
  </si>
  <si>
    <t>Current Income Taxes Payable - NonUS -</t>
  </si>
  <si>
    <t>2210000.NoICP</t>
  </si>
  <si>
    <t>2210210</t>
  </si>
  <si>
    <t>Reserve Income Tax Current Yr</t>
  </si>
  <si>
    <t>2210210.NoICP</t>
  </si>
  <si>
    <t>2309004</t>
  </si>
  <si>
    <t>Accd Electric</t>
  </si>
  <si>
    <t>2309004.NoICP</t>
  </si>
  <si>
    <t>2309007</t>
  </si>
  <si>
    <t>Accd -Telephone &amp; Fax</t>
  </si>
  <si>
    <t>2309007.NoICP</t>
  </si>
  <si>
    <t>2312000.NoICP</t>
  </si>
  <si>
    <t>2312024</t>
  </si>
  <si>
    <t>Accd Travel</t>
  </si>
  <si>
    <t>2312024.NoICP</t>
  </si>
  <si>
    <t>2326001</t>
  </si>
  <si>
    <t>2326001.NoICP</t>
  </si>
  <si>
    <t>NonCurrent Deferred Inc Tax Liab-NonUS-</t>
  </si>
  <si>
    <t>2800000.NoICP</t>
  </si>
  <si>
    <t>2921001</t>
  </si>
  <si>
    <t>Other Non-Current - FAS 87 Liability</t>
  </si>
  <si>
    <t>2921001.NoICP</t>
  </si>
  <si>
    <t>3100030</t>
  </si>
  <si>
    <t>Common Stock ICO</t>
  </si>
  <si>
    <t>3100030.NoICP</t>
  </si>
  <si>
    <t>3700000</t>
  </si>
  <si>
    <t>Retained Earnings</t>
  </si>
  <si>
    <t>IGNORE</t>
  </si>
  <si>
    <t>3700000.NoICP</t>
  </si>
  <si>
    <t>3720000</t>
  </si>
  <si>
    <t>Retained Earnings-Net Income</t>
  </si>
  <si>
    <t>3720000.NoICP</t>
  </si>
  <si>
    <t>6FC</t>
  </si>
  <si>
    <t>Salaries or Wages</t>
  </si>
  <si>
    <t>6023000.NoICP</t>
  </si>
  <si>
    <t>251</t>
  </si>
  <si>
    <t>6023000</t>
  </si>
  <si>
    <t>Salary - Vacation Average</t>
  </si>
  <si>
    <t>6023014.NoICP</t>
  </si>
  <si>
    <t>6023014</t>
  </si>
  <si>
    <t>6049000</t>
  </si>
  <si>
    <t>Salary - Absence Average</t>
  </si>
  <si>
    <t>6023015.NoICP</t>
  </si>
  <si>
    <t>6023015</t>
  </si>
  <si>
    <t>Personal Benefits- Cafeteria</t>
  </si>
  <si>
    <t>6049010.NoICP</t>
  </si>
  <si>
    <t>6049010</t>
  </si>
  <si>
    <t>Personal Benefits- Other</t>
  </si>
  <si>
    <t>6049070.NoICP</t>
  </si>
  <si>
    <t>6049070</t>
  </si>
  <si>
    <t>Equipment Rental - Computer</t>
  </si>
  <si>
    <t>6051045.NoICP</t>
  </si>
  <si>
    <t>6051045</t>
  </si>
  <si>
    <t>6051000</t>
  </si>
  <si>
    <t>Telephone - Data</t>
  </si>
  <si>
    <t>6056020.NoICP</t>
  </si>
  <si>
    <t>6056020</t>
  </si>
  <si>
    <t>6053000</t>
  </si>
  <si>
    <t>Telephone - Mobile</t>
  </si>
  <si>
    <t>6056030.NoICP</t>
  </si>
  <si>
    <t>6056030</t>
  </si>
  <si>
    <t>Telephone - Privat</t>
  </si>
  <si>
    <t>6056090.NoICP</t>
  </si>
  <si>
    <t>6056090</t>
  </si>
  <si>
    <t>Social Security Indirect</t>
  </si>
  <si>
    <t>6062110.NoICP</t>
  </si>
  <si>
    <t>6062110</t>
  </si>
  <si>
    <t>6062100</t>
  </si>
  <si>
    <t>Payroll Expenses - Bonus</t>
  </si>
  <si>
    <t>6062200.NoICP</t>
  </si>
  <si>
    <t>6062200</t>
  </si>
  <si>
    <t>SIP Expense - Current Year</t>
  </si>
  <si>
    <t>6062202.NoICP</t>
  </si>
  <si>
    <t>6062202</t>
  </si>
  <si>
    <t>6062700</t>
  </si>
  <si>
    <t>SIP Expense - Previous Year</t>
  </si>
  <si>
    <t>6062203.NoICP</t>
  </si>
  <si>
    <t>6062203</t>
  </si>
  <si>
    <t>Payroll Expenses - Pensions</t>
  </si>
  <si>
    <t>6062300.NoICP</t>
  </si>
  <si>
    <t>6062300</t>
  </si>
  <si>
    <t>Pension Cost Voluntary</t>
  </si>
  <si>
    <t>6062310.NoICP</t>
  </si>
  <si>
    <t>6062310</t>
  </si>
  <si>
    <t>Payroll Expenses - Other</t>
  </si>
  <si>
    <t>6062400.NoICP</t>
  </si>
  <si>
    <t>6062400</t>
  </si>
  <si>
    <t>Payroll Expenses - Vacation</t>
  </si>
  <si>
    <t>6062410.NoICP</t>
  </si>
  <si>
    <t>6062410</t>
  </si>
  <si>
    <t>Outbound Freight</t>
  </si>
  <si>
    <t>6063000.NoICP</t>
  </si>
  <si>
    <t>6063000</t>
  </si>
  <si>
    <t>Flight/Transport Expenses</t>
  </si>
  <si>
    <t>6065005.NoICP</t>
  </si>
  <si>
    <t>6065005</t>
  </si>
  <si>
    <t>6065000</t>
  </si>
  <si>
    <t>Hotels and Meals</t>
  </si>
  <si>
    <t>6065045.NoICP</t>
  </si>
  <si>
    <t>6065045</t>
  </si>
  <si>
    <t>Travel Expense Fixed Allowance</t>
  </si>
  <si>
    <t>6065115.NoICP</t>
  </si>
  <si>
    <t>6065115</t>
  </si>
  <si>
    <t>Customer Entertainment</t>
  </si>
  <si>
    <t>6065120.NoICP</t>
  </si>
  <si>
    <t>6065120</t>
  </si>
  <si>
    <t>Employee Entertainment</t>
  </si>
  <si>
    <t>6065130.NoICP</t>
  </si>
  <si>
    <t>6065130</t>
  </si>
  <si>
    <t>Transportation</t>
  </si>
  <si>
    <t>6065150.NoICP</t>
  </si>
  <si>
    <t>6065150</t>
  </si>
  <si>
    <t>Business Conference - With Food</t>
  </si>
  <si>
    <t>6065180.NoICP</t>
  </si>
  <si>
    <t>6065180</t>
  </si>
  <si>
    <t>Travel-Accrued</t>
  </si>
  <si>
    <t>6065995.NoICP</t>
  </si>
  <si>
    <t>6065995</t>
  </si>
  <si>
    <t>Truck &amp; Auto &amp; Airline - Others</t>
  </si>
  <si>
    <t>6066020.NoICP</t>
  </si>
  <si>
    <t>6066020</t>
  </si>
  <si>
    <t>6066000</t>
  </si>
  <si>
    <t>Company Cars - Lease Costs</t>
  </si>
  <si>
    <t>6066202.NoICP</t>
  </si>
  <si>
    <t>6066202</t>
  </si>
  <si>
    <t>Office Supplies</t>
  </si>
  <si>
    <t>6068000.NoICP</t>
  </si>
  <si>
    <t>6068000</t>
  </si>
  <si>
    <t>Computer Equipment &amp; Accessories</t>
  </si>
  <si>
    <t>6078000.NoICP</t>
  </si>
  <si>
    <t>6078000</t>
  </si>
  <si>
    <t>140</t>
  </si>
  <si>
    <t>Truck &amp; Auto &amp; Airline - Fuel</t>
  </si>
  <si>
    <t>6066010.NoICP</t>
  </si>
  <si>
    <t>6066010</t>
  </si>
  <si>
    <t>Sales Samples</t>
  </si>
  <si>
    <t>6075000.NoICP</t>
  </si>
  <si>
    <t>6075000</t>
  </si>
  <si>
    <t>6082000</t>
  </si>
  <si>
    <t>Outside Services - Other</t>
  </si>
  <si>
    <t>6081320.NoICP</t>
  </si>
  <si>
    <t>6081320</t>
  </si>
  <si>
    <t>6081300</t>
  </si>
  <si>
    <t>Advertising</t>
  </si>
  <si>
    <t>6082000.NoICP</t>
  </si>
  <si>
    <t>Dues &amp; Subscriptions</t>
  </si>
  <si>
    <t>6086000.NoICP</t>
  </si>
  <si>
    <t>6086000</t>
  </si>
  <si>
    <t>Employee Training</t>
  </si>
  <si>
    <t>6087000.NoICP</t>
  </si>
  <si>
    <t>6087000</t>
  </si>
  <si>
    <t>268</t>
  </si>
  <si>
    <t>273</t>
  </si>
  <si>
    <t>Salary - Sickleave</t>
  </si>
  <si>
    <t>6023012.NoICP</t>
  </si>
  <si>
    <t>6023012</t>
  </si>
  <si>
    <t>Salary - Special Pay</t>
  </si>
  <si>
    <t>6023013.NoICP</t>
  </si>
  <si>
    <t>6023013</t>
  </si>
  <si>
    <t>Depreciation Mach &amp; Equipment</t>
  </si>
  <si>
    <t>6050310.NoICP</t>
  </si>
  <si>
    <t>6050300</t>
  </si>
  <si>
    <t>Special Bonus Programs</t>
  </si>
  <si>
    <t>6062240.NoICP</t>
  </si>
  <si>
    <t>6062240</t>
  </si>
  <si>
    <t>Safety &amp; Health</t>
  </si>
  <si>
    <t>6064000.NoICP</t>
  </si>
  <si>
    <t>6064000</t>
  </si>
  <si>
    <t>Travel Expenses Credit Card</t>
  </si>
  <si>
    <t>6065240.NoICP</t>
  </si>
  <si>
    <t>6065240</t>
  </si>
  <si>
    <t>Communication Equipment</t>
  </si>
  <si>
    <t>6078020.NoICP</t>
  </si>
  <si>
    <t>6078020</t>
  </si>
  <si>
    <t>Customer Visit and Training</t>
  </si>
  <si>
    <t>6085040.NoICP</t>
  </si>
  <si>
    <t>6085040</t>
  </si>
  <si>
    <t>Promotion - Trade Shows</t>
  </si>
  <si>
    <t>6085070.NoICP</t>
  </si>
  <si>
    <t>6085070</t>
  </si>
  <si>
    <t>279</t>
  </si>
  <si>
    <t>Home Office Allowance</t>
  </si>
  <si>
    <t>6049067.NoICP</t>
  </si>
  <si>
    <t>6049067</t>
  </si>
  <si>
    <t>284</t>
  </si>
  <si>
    <t>7001100</t>
  </si>
  <si>
    <t>Interest Income - Bank Interest</t>
  </si>
  <si>
    <t>7001100.NoICP</t>
  </si>
  <si>
    <t>[None]</t>
  </si>
  <si>
    <t>7002160</t>
  </si>
  <si>
    <t>Interest Expense Paid</t>
  </si>
  <si>
    <t>7002160.NoICP</t>
  </si>
  <si>
    <t>7006204</t>
  </si>
  <si>
    <t>Exch.Loss Real.on Trd.A/P</t>
  </si>
  <si>
    <t>7006204.NoICP</t>
  </si>
  <si>
    <t>252</t>
  </si>
  <si>
    <t>141</t>
  </si>
  <si>
    <t>253</t>
  </si>
  <si>
    <t>139</t>
  </si>
  <si>
    <t>7006211</t>
  </si>
  <si>
    <t>Unrealised Exchange Gain</t>
  </si>
  <si>
    <t>7006211.NoICP</t>
  </si>
  <si>
    <t>7006212</t>
  </si>
  <si>
    <t>Unrealised Exchange Loss</t>
  </si>
  <si>
    <t>7006212.NoICP</t>
  </si>
  <si>
    <t>7006401</t>
  </si>
  <si>
    <t>Exch.Gain Real.on ICO A/R</t>
  </si>
  <si>
    <t>7006401.NoICP</t>
  </si>
  <si>
    <t>7006407</t>
  </si>
  <si>
    <t>Exch Gain - Unrealised on IntraCO A/P</t>
  </si>
  <si>
    <t>7006407.NoICP</t>
  </si>
  <si>
    <t>7006408</t>
  </si>
  <si>
    <t>Exch Loss - Unrealised on IntraCO A/P</t>
  </si>
  <si>
    <t>7006408.NoICP</t>
  </si>
  <si>
    <t>Current Income Tax Expense-NonUS</t>
  </si>
  <si>
    <t>7024000.NoICP</t>
  </si>
  <si>
    <t>7031808</t>
  </si>
  <si>
    <t>Interest Income Intracompany TE Affiliates</t>
  </si>
  <si>
    <t>7032514</t>
  </si>
  <si>
    <t>Small Differences Gains/(Losses)</t>
  </si>
  <si>
    <t>7032514.NoICP</t>
  </si>
  <si>
    <t>7059001</t>
  </si>
  <si>
    <t>Bank Service Fees - Other</t>
  </si>
  <si>
    <t>7059001.NoICP</t>
  </si>
  <si>
    <t>7076001</t>
  </si>
  <si>
    <t>TESOG Service Fees Accrual</t>
  </si>
  <si>
    <t>7FC</t>
  </si>
  <si>
    <t>121</t>
  </si>
  <si>
    <t>Audit Expense</t>
  </si>
  <si>
    <t>6069000.NoICP</t>
  </si>
  <si>
    <t>6069000</t>
  </si>
  <si>
    <t>Legal Expense</t>
  </si>
  <si>
    <t>6069010.NoICP</t>
  </si>
  <si>
    <t>6069010</t>
  </si>
  <si>
    <t>6069500</t>
  </si>
  <si>
    <t>Outside Services - Consultants &amp; Advisors</t>
  </si>
  <si>
    <t>6081100.NoICP</t>
  </si>
  <si>
    <t>6081100</t>
  </si>
  <si>
    <t>Other Personnel Expenses - Catering</t>
  </si>
  <si>
    <t>6049009.NoICP</t>
  </si>
  <si>
    <t>122</t>
  </si>
  <si>
    <t>6049009</t>
  </si>
  <si>
    <t>Depreciation Furniture</t>
  </si>
  <si>
    <t>6050410.NoICP</t>
  </si>
  <si>
    <t>6050400</t>
  </si>
  <si>
    <t>Equipment Rental - Data Processing</t>
  </si>
  <si>
    <t>6051020.NoICP</t>
  </si>
  <si>
    <t>6051020</t>
  </si>
  <si>
    <t>Equipment Rental - Other</t>
  </si>
  <si>
    <t>6051030.NoICP</t>
  </si>
  <si>
    <t>6051030</t>
  </si>
  <si>
    <t>Electric</t>
  </si>
  <si>
    <t>6054000.NoICP</t>
  </si>
  <si>
    <t>6054000</t>
  </si>
  <si>
    <t>Insurance - Premiums</t>
  </si>
  <si>
    <t>6055030.NoICP</t>
  </si>
  <si>
    <t>6055030</t>
  </si>
  <si>
    <t>6055000</t>
  </si>
  <si>
    <t>Telephone - Regular</t>
  </si>
  <si>
    <t>6056010.NoICP</t>
  </si>
  <si>
    <t>6056010</t>
  </si>
  <si>
    <t>Property Rent</t>
  </si>
  <si>
    <t>6057000.NoICP</t>
  </si>
  <si>
    <t>6057000</t>
  </si>
  <si>
    <t>Other Use &amp; Occupancy</t>
  </si>
  <si>
    <t>6057100.NoICP</t>
  </si>
  <si>
    <t>6057100</t>
  </si>
  <si>
    <t>Postage</t>
  </si>
  <si>
    <t>6067000.NoICP</t>
  </si>
  <si>
    <t>6067000</t>
  </si>
  <si>
    <t>Outsourcing</t>
  </si>
  <si>
    <t>6077000.NoICP</t>
  </si>
  <si>
    <t>6077000</t>
  </si>
  <si>
    <t>Outside Services - Facilities Services</t>
  </si>
  <si>
    <t>6081310.NoICP</t>
  </si>
  <si>
    <t>6081310</t>
  </si>
  <si>
    <t>Outside Services - Surveillance</t>
  </si>
  <si>
    <t>6081340.NoICP</t>
  </si>
  <si>
    <t>6081340</t>
  </si>
  <si>
    <t>Cost Recovery</t>
  </si>
  <si>
    <t>6098000.NoICP</t>
  </si>
  <si>
    <t>6098000</t>
  </si>
  <si>
    <t>AFC</t>
  </si>
  <si>
    <t>Corp TEIS Allocation</t>
  </si>
  <si>
    <t>6095352.NoICP</t>
  </si>
  <si>
    <t>6095352</t>
  </si>
  <si>
    <t>OCF_Activity</t>
  </si>
  <si>
    <t>Trading_Partner</t>
  </si>
  <si>
    <t>TE / BNS PC</t>
  </si>
  <si>
    <t>(All)</t>
  </si>
  <si>
    <t>Balance</t>
  </si>
  <si>
    <t>TE</t>
  </si>
  <si>
    <t>TE &amp; BNS Balance</t>
  </si>
  <si>
    <t>E0417_Mar-FY15_TBCurLocMainDims</t>
  </si>
  <si>
    <t>319</t>
  </si>
  <si>
    <t>GL_Account_Description</t>
  </si>
  <si>
    <t>BNS PRE-Close Income - TE</t>
  </si>
  <si>
    <t>CS-Owned BNS Balance</t>
  </si>
  <si>
    <t>Contra-BNS PC</t>
  </si>
  <si>
    <t>Is Clearing Acct?</t>
  </si>
  <si>
    <t>Has Clearing Acct?</t>
  </si>
  <si>
    <t>Clearing Acct Balance</t>
  </si>
  <si>
    <t>Total BNS Balance</t>
  </si>
  <si>
    <t>BNS Amount to Clear</t>
  </si>
  <si>
    <t>Doc Date</t>
  </si>
  <si>
    <t>Posting Date</t>
  </si>
  <si>
    <t>PK</t>
  </si>
  <si>
    <t>Account</t>
  </si>
  <si>
    <t>PC</t>
  </si>
  <si>
    <t>CC</t>
  </si>
  <si>
    <t>Trad Ptr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</si>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</sst>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* #,##0.00_ ;_ * \-#,##0.00_ ;_ * &quot;-&quot;??_ ;_ @_ "/>
    <numFmt numFmtId="165" formatCode="_(* #,##0.00_);_(* \(#,##0.00\);_(* &quot; - 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rial"/>
      <family val="2"/>
    </font>
    <font>
      <b/>
      <sz val="1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0000"/>
      <name val="Calibri"/>
      <scheme val="minor"/>
    </font>
    <font>
      <b/>
      <sz val="11"/>
      <color rgb="FFFFFFF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theme="4" tint="0.79998168889431442"/>
      </patternFill>
    </fill>
    <fill>
      <patternFill patternType="solid">
        <fgColor rgb="FFC5D9F1"/>
        <bgColor indexed="64"/>
      </patternFill>
    </fill>
    <fill>
      <patternFill patternType="solid">
        <fgColor rgb="FF4F81BD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164" fontId="10" fillId="0" borderId="0" applyFont="0" applyFill="0" applyBorder="0" applyAlignment="0" applyProtection="0"/>
  </cellStyleXfs>
  <cellXfs count="65">
    <xf numFmtId="0" fontId="0" fillId="0" borderId="0" xfId="0"/>
    <xf numFmtId="49" fontId="0" fillId="0" borderId="0" xfId="0" applyNumberFormat="1"/>
    <xf numFmtId="0" fontId="0" fillId="0" borderId="0" xfId="0" applyFill="1"/>
    <xf numFmtId="49" fontId="0" fillId="0" borderId="0" xfId="0" applyNumberFormat="1" applyBorder="1"/>
    <xf numFmtId="49" fontId="0" fillId="0" borderId="0" xfId="0" applyNumberFormat="1" applyFill="1" applyBorder="1"/>
    <xf numFmtId="49" fontId="2" fillId="0" borderId="0" xfId="0" applyNumberFormat="1" applyFont="1" applyFill="1" applyBorder="1"/>
    <xf numFmtId="0" fontId="2" fillId="0" borderId="0" xfId="0" applyFont="1"/>
    <xf numFmtId="49" fontId="2" fillId="0" borderId="0" xfId="0" applyNumberFormat="1" applyFont="1" applyBorder="1"/>
    <xf numFmtId="49" fontId="0" fillId="3" borderId="0" xfId="0" applyNumberFormat="1" applyFill="1"/>
    <xf numFmtId="0" fontId="0" fillId="3" borderId="0" xfId="0" applyFill="1"/>
    <xf numFmtId="0" fontId="3" fillId="0" borderId="0" xfId="0" applyFont="1"/>
    <xf numFmtId="0" fontId="1" fillId="2" borderId="0" xfId="0" applyFont="1" applyFill="1" applyAlignment="1">
      <alignment horizontal="center"/>
    </xf>
    <xf numFmtId="0" fontId="0" fillId="0" borderId="0" xfId="0" applyAlignment="1">
      <alignment vertical="center" wrapText="1"/>
    </xf>
    <xf numFmtId="49" fontId="0" fillId="0" borderId="0" xfId="0" applyNumberFormat="1" applyFill="1"/>
    <xf numFmtId="0" fontId="0" fillId="5" borderId="0" xfId="0" applyFont="1" applyFill="1" applyBorder="1" applyAlignment="1">
      <alignment horizontal="center" vertical="center"/>
    </xf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6" fillId="0" borderId="0" xfId="5"/>
    <xf numFmtId="0" fontId="7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5" fillId="2" borderId="0" xfId="0" applyFont="1" applyFill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14" fontId="9" fillId="6" borderId="0" xfId="0" applyNumberFormat="1" applyFont="1" applyFill="1"/>
    <xf numFmtId="0" fontId="9" fillId="6" borderId="0" xfId="0" applyFont="1" applyFill="1"/>
    <xf numFmtId="164" fontId="0" fillId="0" borderId="0" xfId="6" applyFont="1"/>
    <xf numFmtId="0" fontId="8" fillId="3" borderId="0" xfId="0" applyFont="1" applyFill="1" applyAlignment="1">
      <alignment vertical="center"/>
    </xf>
    <xf numFmtId="0" fontId="8" fillId="4" borderId="2" xfId="0" applyFont="1" applyFill="1" applyBorder="1" applyAlignment="1">
      <alignment vertical="center"/>
    </xf>
    <xf numFmtId="14" fontId="9" fillId="6" borderId="0" xfId="0" quotePrefix="1" applyNumberFormat="1" applyFont="1" applyFill="1"/>
    <xf numFmtId="0" fontId="9" fillId="6" borderId="0" xfId="0" quotePrefix="1" applyFont="1" applyFill="1"/>
    <xf numFmtId="0" fontId="3" fillId="0" borderId="3" xfId="0" applyFont="1" applyBorder="1"/>
    <xf numFmtId="0" fontId="3" fillId="0" borderId="4" xfId="0" applyFont="1" applyBorder="1"/>
    <xf numFmtId="14" fontId="9" fillId="6" borderId="4" xfId="0" applyNumberFormat="1" applyFont="1" applyFill="1" applyBorder="1"/>
    <xf numFmtId="0" fontId="0" fillId="0" borderId="0" xfId="0" applyNumberFormat="1"/>
    <xf numFmtId="0" fontId="9" fillId="6" borderId="4" xfId="0" applyFont="1" applyFill="1" applyBorder="1" applyProtection="1"/>
    <xf numFmtId="0" fontId="3" fillId="0" borderId="5" xfId="0" applyFont="1" applyBorder="1"/>
    <xf numFmtId="14" fontId="9" fillId="6" borderId="5" xfId="0" applyNumberFormat="1" applyFont="1" applyFill="1" applyBorder="1"/>
    <xf numFmtId="14" fontId="9" fillId="6" borderId="3" xfId="0" applyNumberFormat="1" applyFont="1" applyFill="1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Font="1" applyFill="1"/>
    <xf numFmtId="0" fontId="0" fillId="0" borderId="6" xfId="0" applyNumberFormat="1" applyBorder="1"/>
    <xf numFmtId="0" fontId="3" fillId="0" borderId="0" xfId="0" applyFont="1" applyAlignment="1">
      <alignment horizontal="center"/>
    </xf>
    <xf numFmtId="2" fontId="9" fillId="6" borderId="0" xfId="0" applyNumberFormat="1" applyFont="1" applyFill="1"/>
    <xf numFmtId="0" fontId="12" fillId="0" borderId="0" xfId="0" applyFont="1"/>
    <xf numFmtId="0" fontId="13" fillId="0" borderId="0" xfId="0" applyFont="1"/>
    <xf numFmtId="0" fontId="3" fillId="0" borderId="7" xfId="0" applyFont="1" applyBorder="1"/>
    <xf numFmtId="0" fontId="3" fillId="0" borderId="7" xfId="0" applyNumberFormat="1" applyFont="1" applyBorder="1"/>
    <xf numFmtId="0" fontId="3" fillId="0" borderId="8" xfId="0" applyFont="1" applyBorder="1"/>
    <xf numFmtId="0" fontId="3" fillId="0" borderId="8" xfId="0" applyNumberFormat="1" applyFont="1" applyBorder="1"/>
    <xf numFmtId="0" fontId="14" fillId="7" borderId="8" xfId="0" applyFont="1" applyFill="1" applyBorder="1"/>
    <xf numFmtId="0" fontId="0" fillId="0" borderId="0" xfId="0" pivotButton="1"/>
    <xf numFmtId="165" fontId="0" fillId="0" borderId="0" xfId="0" applyNumberFormat="1"/>
    <xf numFmtId="0" fontId="3" fillId="4" borderId="2" xfId="0" applyFont="1" applyFill="1" applyBorder="1"/>
    <xf numFmtId="0" fontId="3" fillId="0" borderId="2" xfId="0" applyFont="1" applyBorder="1"/>
    <xf numFmtId="0" fontId="14" fillId="4" borderId="2" xfId="0" applyFont="1" applyFill="1" applyBorder="1"/>
    <xf numFmtId="0" fontId="14" fillId="8" borderId="2" xfId="0" applyFont="1" applyFill="1" applyBorder="1"/>
    <xf numFmtId="0" fontId="15" fillId="4" borderId="2" xfId="0" applyFont="1" applyFill="1" applyBorder="1"/>
    <xf numFmtId="0" fontId="16" fillId="10" borderId="0" xfId="0" applyFont="1" applyFill="1"/>
    <xf numFmtId="165" fontId="0" fillId="9" borderId="0" xfId="0" applyNumberFormat="1" applyFill="1" applyProtection="1">
      <protection locked="0"/>
    </xf>
    <xf numFmtId="0" fontId="0" fillId="0" borderId="0" xfId="0" applyProtection="1">
      <protection locked="0"/>
    </xf>
    <xf numFmtId="0" fontId="14" fillId="8" borderId="2" xfId="0" applyFont="1" applyFill="1" applyBorder="1" applyProtection="1"/>
    <xf numFmtId="165" fontId="0" fillId="9" borderId="0" xfId="0" applyNumberFormat="1" applyFill="1" applyProtection="1"/>
    <xf numFmtId="0" fontId="4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</cellXfs>
  <cellStyles count="7">
    <cellStyle name="Comma" xfId="6" builtinId="3"/>
    <cellStyle name="Comma 2" xfId="2"/>
    <cellStyle name="Hyperlink" xfId="5" builtinId="8"/>
    <cellStyle name="Normal" xfId="0" builtinId="0"/>
    <cellStyle name="Normal 10 3" xfId="3"/>
    <cellStyle name="Normal 2" xfId="1"/>
    <cellStyle name="Normal 21" xfId="4"/>
  </cellStyles>
  <dxfs count="6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_(* #,##0.00_);_(* \(#,##0.00\);_(* &quot; - &quot;??_);_(@_)"/>
    </dxf>
    <dxf>
      <numFmt numFmtId="165" formatCode="_(* #,##0.00_);_(* \(#,##0.00\);_(* &quot; - &quot;??_);_(@_)"/>
    </dxf>
    <dxf>
      <numFmt numFmtId="165" formatCode="_(* #,##0.00_);_(* \(#,##0.00\);_(* &quot; - 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_(* #,##0.00_);_(* \(#,##0.00\);_(* &quot; - &quot;??_);_(@_)"/>
    </dxf>
    <dxf>
      <numFmt numFmtId="165" formatCode="_(* #,##0.00_);_(* \(#,##0.00\);_(* &quot; - &quot;??_);_(@_)"/>
    </dxf>
    <dxf>
      <numFmt numFmtId="165" formatCode="_(* #,##0.00_);_(* \(#,##0.00\);_(* &quot; - 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indexed="64"/>
          <bgColor rgb="FF4F81BD"/>
        </patternFill>
      </fill>
    </dxf>
    <dxf>
      <numFmt numFmtId="165" formatCode="_(* #,##0.00_);_(* \(#,##0.00\);_(* &quot; - &quot;??_);_(@_)"/>
    </dxf>
    <dxf>
      <numFmt numFmtId="165" formatCode="_(* #,##0.00_);_(* \(#,##0.00\);_(* &quot; - &quot;??_);_(@_)"/>
      <fill>
        <patternFill patternType="solid">
          <fgColor indexed="64"/>
          <bgColor rgb="FFC5D9F1"/>
        </patternFill>
      </fill>
      <protection locked="0" hidden="0"/>
    </dxf>
    <dxf>
      <numFmt numFmtId="165" formatCode="_(* #,##0.00_);_(* \(#,##0.00\);_(* &quot; - &quot;??_);_(@_)"/>
    </dxf>
    <dxf>
      <numFmt numFmtId="165" formatCode="_(* #,##0.00_);_(* \(#,##0.00\);_(* &quot; - &quot;??_);_(@_)"/>
    </dxf>
    <dxf>
      <numFmt numFmtId="165" formatCode="_(* #,##0.00_);_(* \(#,##0.00\);_(* &quot; - &quot;??_);_(@_)"/>
    </dxf>
    <dxf>
      <numFmt numFmtId="165" formatCode="_(* #,##0.00_);_(* \(#,##0.00\);_(* &quot; - &quot;??_);_(@_)"/>
    </dxf>
    <dxf>
      <numFmt numFmtId="165" formatCode="_(* #,##0.00_);_(* \(#,##0.00\);_(* &quot; - &quot;??_);_(@_)"/>
    </dxf>
    <dxf>
      <numFmt numFmtId="165" formatCode="_(* #,##0.00_);_(* \(#,##0.00\);_(* &quot; - &quot;??_);_(@_)"/>
    </dxf>
    <dxf>
      <numFmt numFmtId="165" formatCode="_(* #,##0.00_);_(* \(#,##0.00\);_(* &quot; - &quot;??_);_(@_)"/>
    </dxf>
    <dxf>
      <numFmt numFmtId="165" formatCode="_(* #,##0.00_);_(* \(#,##0.00\);_(* &quot; - &quot;??_);_(@_)"/>
    </dxf>
    <dxf>
      <numFmt numFmtId="165" formatCode="_(* #,##0.00_);_(* \(#,##0.00\);_(* &quot; - 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ill>
        <patternFill patternType="mediumGray"/>
      </fill>
    </dxf>
    <dxf>
      <fill>
        <patternFill patternType="mediumGray"/>
      </fill>
    </dxf>
    <dxf>
      <font>
        <b/>
        <strike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30" formatCode="@"/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3025588</xdr:colOff>
      <xdr:row>2</xdr:row>
      <xdr:rowOff>33618</xdr:rowOff>
    </xdr:from>
    <xdr:to>
      <xdr:col>3</xdr:col>
      <xdr:colOff>4549588</xdr:colOff>
      <xdr:row>4</xdr:row>
      <xdr:rowOff>135871</xdr:rowOff>
    </xdr:to>
    <xdr:sp macro="[0]!HideAdminWorksheets" textlink="">
      <xdr:nvSpPr>
        <xdr:cNvPr id="2" name="Rounded Rectangle 1"/>
        <xdr:cNvSpPr/>
      </xdr:nvSpPr>
      <xdr:spPr>
        <a:xfrm>
          <a:off x="7026088" y="414618"/>
          <a:ext cx="1524000" cy="483253"/>
        </a:xfrm>
        <a:prstGeom prst="roundRect">
          <a:avLst/>
        </a:prstGeom>
        <a:solidFill>
          <a:schemeClr val="tx2"/>
        </a:solidFill>
        <a:ln w="22225">
          <a:solidFill>
            <a:schemeClr val="tx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r>
            <a:rPr lang="en-US" sz="1100" b="1">
              <a:solidFill>
                <a:schemeClr val="bg1"/>
              </a:solidFill>
            </a:rPr>
            <a:t>HIDE</a:t>
          </a:r>
        </a:p>
        <a:p>
          <a:pPr algn="ctr"/>
          <a:r>
            <a:rPr lang="en-US" sz="1100" b="1">
              <a:solidFill>
                <a:schemeClr val="bg1"/>
              </a:solidFill>
            </a:rPr>
            <a:t>Admin</a:t>
          </a:r>
          <a:r>
            <a:rPr lang="en-US" sz="1100" b="1" baseline="0">
              <a:solidFill>
                <a:schemeClr val="bg1"/>
              </a:solidFill>
            </a:rPr>
            <a:t> Sheets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0</xdr:row>
      <xdr:rowOff>156882</xdr:rowOff>
    </xdr:from>
    <xdr:to>
      <xdr:col>6</xdr:col>
      <xdr:colOff>963703</xdr:colOff>
      <xdr:row>6</xdr:row>
      <xdr:rowOff>179294</xdr:rowOff>
    </xdr:to>
    <xdr:grpSp>
      <xdr:nvGrpSpPr>
        <xdr:cNvPr id="13" name="Group 12"/>
        <xdr:cNvGrpSpPr/>
      </xdr:nvGrpSpPr>
      <xdr:grpSpPr>
        <a:xfrm>
          <a:off x="235325" y="156882"/>
          <a:ext cx="9625849" cy="1165412"/>
          <a:chOff x="235325" y="156882"/>
          <a:chExt cx="9625849" cy="1165412"/>
        </a:xfrm>
      </xdr:grpSpPr>
      <xdr:grpSp>
        <xdr:nvGrpSpPr>
          <xdr:cNvPr id="2" name="Group 1"/>
          <xdr:cNvGrpSpPr/>
        </xdr:nvGrpSpPr>
        <xdr:grpSpPr>
          <a:xfrm>
            <a:off x="235325" y="156882"/>
            <a:ext cx="6039970" cy="1165412"/>
            <a:chOff x="235325" y="156882"/>
            <a:chExt cx="6039970" cy="1165412"/>
          </a:xfrm>
        </xdr:grpSpPr>
        <xdr:sp macro="" textlink="">
          <xdr:nvSpPr>
            <xdr:cNvPr id="4" name="Rectangle 3"/>
            <xdr:cNvSpPr/>
          </xdr:nvSpPr>
          <xdr:spPr>
            <a:xfrm>
              <a:off x="235325" y="156882"/>
              <a:ext cx="6039970" cy="1165412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200" b="1">
                  <a:solidFill>
                    <a:schemeClr val="tx1"/>
                  </a:solidFill>
                </a:rPr>
                <a:t>OPERATING</a:t>
              </a:r>
              <a:r>
                <a:rPr lang="en-US" sz="1200" b="1" baseline="0">
                  <a:solidFill>
                    <a:schemeClr val="tx1"/>
                  </a:solidFill>
                </a:rPr>
                <a:t> CASH FLOW TEMPLATE - </a:t>
              </a:r>
              <a:r>
                <a:rPr lang="en-US" sz="1200" b="1">
                  <a:solidFill>
                    <a:schemeClr val="tx1"/>
                  </a:solidFill>
                </a:rPr>
                <a:t>CONTROL PANEL</a:t>
              </a:r>
            </a:p>
          </xdr:txBody>
        </xdr:sp>
        <xdr:sp macro="[0]!RunExtractJournalEntries" textlink="">
          <xdr:nvSpPr>
            <xdr:cNvPr id="5" name="Rounded Rectangle 4"/>
            <xdr:cNvSpPr/>
          </xdr:nvSpPr>
          <xdr:spPr>
            <a:xfrm>
              <a:off x="4636427" y="499081"/>
              <a:ext cx="1524000" cy="483253"/>
            </a:xfrm>
            <a:prstGeom prst="roundRect">
              <a:avLst/>
            </a:prstGeom>
            <a:solidFill>
              <a:srgbClr val="00B050"/>
            </a:solidFill>
            <a:ln w="22225">
              <a:solidFill>
                <a:srgbClr val="00B05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>
              <a:noAutofit/>
            </a:bodyPr>
            <a:lstStyle/>
            <a:p>
              <a:pPr algn="ctr"/>
              <a:r>
                <a:rPr lang="en-US" sz="1100" b="1">
                  <a:solidFill>
                    <a:schemeClr val="bg1"/>
                  </a:solidFill>
                </a:rPr>
                <a:t>EXTRACT</a:t>
              </a:r>
            </a:p>
            <a:p>
              <a:pPr algn="ctr"/>
              <a:r>
                <a:rPr lang="en-US" sz="1100" b="1">
                  <a:solidFill>
                    <a:schemeClr val="bg1"/>
                  </a:solidFill>
                </a:rPr>
                <a:t>Journal Entries</a:t>
              </a:r>
            </a:p>
          </xdr:txBody>
        </xdr:sp>
        <xdr:sp macro="[0]!DisplaySelectAMFPeriodForm" textlink="">
          <xdr:nvSpPr>
            <xdr:cNvPr id="7" name="Pentagon 6"/>
            <xdr:cNvSpPr/>
          </xdr:nvSpPr>
          <xdr:spPr>
            <a:xfrm>
              <a:off x="336176" y="477369"/>
              <a:ext cx="1770529" cy="549088"/>
            </a:xfrm>
            <a:prstGeom prst="homePlate">
              <a:avLst/>
            </a:prstGeom>
            <a:solidFill>
              <a:schemeClr val="tx1">
                <a:lumMod val="65000"/>
                <a:lumOff val="35000"/>
              </a:schemeClr>
            </a:solidFill>
            <a:ln w="22225">
              <a:solidFill>
                <a:schemeClr val="tx1">
                  <a:lumMod val="65000"/>
                  <a:lumOff val="3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91440" bIns="91440" rtlCol="0" anchor="t">
              <a:noAutofit/>
            </a:bodyPr>
            <a:lstStyle/>
            <a:p>
              <a:pPr marL="0" indent="0" algn="ctr"/>
              <a:r>
                <a:rPr lang="en-US" sz="1100" b="1">
                  <a:solidFill>
                    <a:schemeClr val="bg1"/>
                  </a:solidFill>
                  <a:latin typeface="+mn-lt"/>
                  <a:ea typeface="+mn-ea"/>
                  <a:cs typeface="+mn-cs"/>
                </a:rPr>
                <a:t>IMPORT</a:t>
              </a:r>
            </a:p>
            <a:p>
              <a:pPr marL="0" indent="0" algn="ctr"/>
              <a:r>
                <a:rPr lang="en-US" sz="1100" b="1">
                  <a:solidFill>
                    <a:schemeClr val="bg1"/>
                  </a:solidFill>
                  <a:latin typeface="+mn-lt"/>
                  <a:ea typeface="+mn-ea"/>
                  <a:cs typeface="+mn-cs"/>
                </a:rPr>
                <a:t>All</a:t>
              </a:r>
              <a:r>
                <a:rPr lang="en-US" sz="1100" b="1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rPr>
                <a:t> Mapping File</a:t>
              </a:r>
              <a:endParaRPr lang="en-US" sz="1100" b="1">
                <a:solidFill>
                  <a:schemeClr val="bg1"/>
                </a:solidFill>
                <a:latin typeface="+mn-lt"/>
                <a:ea typeface="+mn-ea"/>
                <a:cs typeface="+mn-cs"/>
              </a:endParaRPr>
            </a:p>
          </xdr:txBody>
        </xdr:sp>
        <xdr:sp macro="[0]!aa_PrepareOCFActivityTemplate" textlink="">
          <xdr:nvSpPr>
            <xdr:cNvPr id="9" name="Pentagon 8"/>
            <xdr:cNvSpPr/>
          </xdr:nvSpPr>
          <xdr:spPr>
            <a:xfrm>
              <a:off x="2486302" y="477369"/>
              <a:ext cx="1770529" cy="549088"/>
            </a:xfrm>
            <a:prstGeom prst="homePlate">
              <a:avLst/>
            </a:prstGeom>
            <a:solidFill>
              <a:schemeClr val="accent1"/>
            </a:solidFill>
            <a:ln w="22225">
              <a:solidFill>
                <a:schemeClr val="accent1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91440" bIns="91440" rtlCol="0" anchor="t">
              <a:noAutofit/>
            </a:bodyPr>
            <a:lstStyle/>
            <a:p>
              <a:pPr marL="0" indent="0" algn="ctr"/>
              <a:r>
                <a:rPr lang="en-US" sz="1100" b="1">
                  <a:solidFill>
                    <a:schemeClr val="bg1"/>
                  </a:solidFill>
                  <a:latin typeface="+mn-lt"/>
                  <a:ea typeface="+mn-ea"/>
                  <a:cs typeface="+mn-cs"/>
                </a:rPr>
                <a:t>PREPARE</a:t>
              </a:r>
            </a:p>
            <a:p>
              <a:pPr marL="0" indent="0" algn="ctr"/>
              <a:r>
                <a:rPr lang="en-US" sz="1100" b="1">
                  <a:solidFill>
                    <a:schemeClr val="bg1"/>
                  </a:solidFill>
                  <a:latin typeface="+mn-lt"/>
                  <a:ea typeface="+mn-ea"/>
                  <a:cs typeface="+mn-cs"/>
                </a:rPr>
                <a:t>OCF Activity Template</a:t>
              </a:r>
            </a:p>
          </xdr:txBody>
        </xdr:sp>
      </xdr:grpSp>
      <xdr:grpSp>
        <xdr:nvGrpSpPr>
          <xdr:cNvPr id="8" name="Group 7"/>
          <xdr:cNvGrpSpPr/>
        </xdr:nvGrpSpPr>
        <xdr:grpSpPr>
          <a:xfrm>
            <a:off x="8079438" y="156882"/>
            <a:ext cx="1781736" cy="1165412"/>
            <a:chOff x="8079438" y="156882"/>
            <a:chExt cx="1781736" cy="1165412"/>
          </a:xfrm>
        </xdr:grpSpPr>
        <xdr:sp macro="" textlink="">
          <xdr:nvSpPr>
            <xdr:cNvPr id="10" name="Rectangle 9"/>
            <xdr:cNvSpPr/>
          </xdr:nvSpPr>
          <xdr:spPr>
            <a:xfrm>
              <a:off x="8079438" y="156882"/>
              <a:ext cx="1781736" cy="1165412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  <a:ln>
              <a:solidFill>
                <a:schemeClr val="tx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200" b="1">
                <a:solidFill>
                  <a:schemeClr val="tx1"/>
                </a:solidFill>
              </a:endParaRPr>
            </a:p>
          </xdr:txBody>
        </xdr:sp>
        <xdr:sp macro="[0]!zz_ResetOCFActivityTemplate" textlink="">
          <xdr:nvSpPr>
            <xdr:cNvPr id="3" name="Rounded Rectangle 2"/>
            <xdr:cNvSpPr/>
          </xdr:nvSpPr>
          <xdr:spPr>
            <a:xfrm>
              <a:off x="8208306" y="497962"/>
              <a:ext cx="1524000" cy="483253"/>
            </a:xfrm>
            <a:prstGeom prst="roundRect">
              <a:avLst/>
            </a:prstGeom>
            <a:solidFill>
              <a:srgbClr val="FF0000"/>
            </a:solidFill>
            <a:ln w="22225">
              <a:solidFill>
                <a:srgbClr val="FF000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>
              <a:noAutofit/>
            </a:bodyPr>
            <a:lstStyle/>
            <a:p>
              <a:pPr algn="ctr"/>
              <a:r>
                <a:rPr lang="en-US" sz="1100" b="1">
                  <a:solidFill>
                    <a:schemeClr val="bg1"/>
                  </a:solidFill>
                </a:rPr>
                <a:t>RESET</a:t>
              </a:r>
            </a:p>
            <a:p>
              <a:pPr algn="ctr"/>
              <a:r>
                <a:rPr lang="en-US" sz="1100" b="1" baseline="0">
                  <a:solidFill>
                    <a:schemeClr val="bg1"/>
                  </a:solidFill>
                </a:rPr>
                <a:t>OCF Template</a:t>
              </a:r>
              <a:endParaRPr lang="en-US" sz="1100" b="1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6" name="Group 5"/>
          <xdr:cNvGrpSpPr/>
        </xdr:nvGrpSpPr>
        <xdr:grpSpPr>
          <a:xfrm>
            <a:off x="6282015" y="156882"/>
            <a:ext cx="1781736" cy="1165412"/>
            <a:chOff x="6282015" y="156882"/>
            <a:chExt cx="1781736" cy="1165412"/>
          </a:xfrm>
        </xdr:grpSpPr>
        <xdr:sp macro="" textlink="">
          <xdr:nvSpPr>
            <xdr:cNvPr id="12" name="Rectangle 11"/>
            <xdr:cNvSpPr/>
          </xdr:nvSpPr>
          <xdr:spPr>
            <a:xfrm>
              <a:off x="6282015" y="156882"/>
              <a:ext cx="1781736" cy="1165412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200" b="1">
                <a:solidFill>
                  <a:schemeClr val="tx1"/>
                </a:solidFill>
              </a:endParaRPr>
            </a:p>
          </xdr:txBody>
        </xdr:sp>
        <xdr:sp macro="[0]!ZeroesBasedValidation" textlink="">
          <xdr:nvSpPr>
            <xdr:cNvPr id="11" name="Rounded Rectangle 10"/>
            <xdr:cNvSpPr/>
          </xdr:nvSpPr>
          <xdr:spPr>
            <a:xfrm>
              <a:off x="6410883" y="499081"/>
              <a:ext cx="1524000" cy="483253"/>
            </a:xfrm>
            <a:prstGeom prst="roundRect">
              <a:avLst/>
            </a:prstGeom>
            <a:solidFill>
              <a:schemeClr val="accent6">
                <a:lumMod val="75000"/>
              </a:schemeClr>
            </a:solidFill>
            <a:ln w="22225">
              <a:solidFill>
                <a:schemeClr val="accent6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>
              <a:noAutofit/>
            </a:bodyPr>
            <a:lstStyle/>
            <a:p>
              <a:pPr algn="ctr"/>
              <a:r>
                <a:rPr lang="en-US" sz="1100" b="1">
                  <a:solidFill>
                    <a:schemeClr val="bg1"/>
                  </a:solidFill>
                </a:rPr>
                <a:t>VALIDATE</a:t>
              </a:r>
            </a:p>
            <a:p>
              <a:pPr algn="ctr"/>
              <a:r>
                <a:rPr lang="en-US" sz="1100" b="1">
                  <a:solidFill>
                    <a:schemeClr val="bg1"/>
                  </a:solidFill>
                </a:rPr>
                <a:t>Post-OCF</a:t>
              </a:r>
              <a:r>
                <a:rPr lang="en-US" sz="1100" b="1" baseline="0">
                  <a:solidFill>
                    <a:schemeClr val="bg1"/>
                  </a:solidFill>
                </a:rPr>
                <a:t> AMF</a:t>
              </a:r>
              <a:endParaRPr lang="en-US" sz="11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 editAs="absolute">
    <xdr:from>
      <xdr:col>4</xdr:col>
      <xdr:colOff>11207</xdr:colOff>
      <xdr:row>9</xdr:row>
      <xdr:rowOff>11207</xdr:rowOff>
    </xdr:from>
    <xdr:to>
      <xdr:col>5</xdr:col>
      <xdr:colOff>11208</xdr:colOff>
      <xdr:row>15</xdr:row>
      <xdr:rowOff>33619</xdr:rowOff>
    </xdr:to>
    <xdr:grpSp>
      <xdr:nvGrpSpPr>
        <xdr:cNvPr id="16" name="Group 15"/>
        <xdr:cNvGrpSpPr/>
      </xdr:nvGrpSpPr>
      <xdr:grpSpPr>
        <a:xfrm>
          <a:off x="6286501" y="1736913"/>
          <a:ext cx="1781736" cy="1165412"/>
          <a:chOff x="6286501" y="1333500"/>
          <a:chExt cx="1781736" cy="1165412"/>
        </a:xfrm>
      </xdr:grpSpPr>
      <xdr:sp macro="" textlink="">
        <xdr:nvSpPr>
          <xdr:cNvPr id="15" name="Rectangle 14"/>
          <xdr:cNvSpPr/>
        </xdr:nvSpPr>
        <xdr:spPr>
          <a:xfrm>
            <a:off x="6286501" y="1333500"/>
            <a:ext cx="1781736" cy="1165412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2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ZeroClearingAccountBal" textlink="">
        <xdr:nvSpPr>
          <xdr:cNvPr id="14" name="Rounded Rectangle 13"/>
          <xdr:cNvSpPr/>
        </xdr:nvSpPr>
        <xdr:spPr>
          <a:xfrm>
            <a:off x="6415369" y="1674580"/>
            <a:ext cx="1524000" cy="483253"/>
          </a:xfrm>
          <a:prstGeom prst="roundRect">
            <a:avLst/>
          </a:prstGeom>
          <a:solidFill>
            <a:schemeClr val="accent4"/>
          </a:solidFill>
          <a:ln w="22225">
            <a:solidFill>
              <a:schemeClr val="accent4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>
            <a:noAutofit/>
          </a:bodyPr>
          <a:lstStyle/>
          <a:p>
            <a:pPr algn="ctr"/>
            <a:r>
              <a:rPr lang="en-US" sz="1100" b="1">
                <a:solidFill>
                  <a:schemeClr val="bg1"/>
                </a:solidFill>
              </a:rPr>
              <a:t>ZERO-OUT</a:t>
            </a:r>
          </a:p>
          <a:p>
            <a:pPr algn="ctr"/>
            <a:r>
              <a:rPr lang="en-US" sz="1100" b="1">
                <a:solidFill>
                  <a:schemeClr val="bg1"/>
                </a:solidFill>
              </a:rPr>
              <a:t>Clearing Account</a:t>
            </a:r>
            <a:r>
              <a:rPr lang="en-US" sz="1100" b="1" baseline="0">
                <a:solidFill>
                  <a:schemeClr val="bg1"/>
                </a:solidFill>
              </a:rPr>
              <a:t> Bal.</a:t>
            </a:r>
            <a:endParaRPr lang="en-US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0</xdr:colOff>
      <xdr:row>52</xdr:row>
      <xdr:rowOff>145677</xdr:rowOff>
    </xdr:from>
    <xdr:to>
      <xdr:col>1</xdr:col>
      <xdr:colOff>1781736</xdr:colOff>
      <xdr:row>58</xdr:row>
      <xdr:rowOff>168089</xdr:rowOff>
    </xdr:to>
    <xdr:grpSp>
      <xdr:nvGrpSpPr>
        <xdr:cNvPr id="24" name="Group 23"/>
        <xdr:cNvGrpSpPr/>
      </xdr:nvGrpSpPr>
      <xdr:grpSpPr>
        <a:xfrm>
          <a:off x="235324" y="10062883"/>
          <a:ext cx="1781736" cy="1165412"/>
          <a:chOff x="235324" y="8012206"/>
          <a:chExt cx="1781736" cy="1165412"/>
        </a:xfrm>
      </xdr:grpSpPr>
      <xdr:sp macro="" textlink="">
        <xdr:nvSpPr>
          <xdr:cNvPr id="22" name="Rectangle 21"/>
          <xdr:cNvSpPr/>
        </xdr:nvSpPr>
        <xdr:spPr>
          <a:xfrm>
            <a:off x="235324" y="8012206"/>
            <a:ext cx="1781736" cy="1165412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2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UnHideAdminWorksheets" textlink="">
        <xdr:nvSpPr>
          <xdr:cNvPr id="23" name="Rounded Rectangle 22"/>
          <xdr:cNvSpPr/>
        </xdr:nvSpPr>
        <xdr:spPr>
          <a:xfrm>
            <a:off x="364192" y="8353286"/>
            <a:ext cx="1524000" cy="483253"/>
          </a:xfrm>
          <a:prstGeom prst="roundRect">
            <a:avLst/>
          </a:prstGeom>
          <a:solidFill>
            <a:schemeClr val="tx2"/>
          </a:solidFill>
          <a:ln w="22225">
            <a:solidFill>
              <a:schemeClr val="tx2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>
            <a:noAutofit/>
          </a:bodyPr>
          <a:lstStyle/>
          <a:p>
            <a:pPr algn="ctr"/>
            <a:r>
              <a:rPr lang="en-US" sz="1100" b="1">
                <a:solidFill>
                  <a:schemeClr val="bg1"/>
                </a:solidFill>
              </a:rPr>
              <a:t>UNHIDE</a:t>
            </a:r>
          </a:p>
          <a:p>
            <a:pPr algn="ctr"/>
            <a:r>
              <a:rPr lang="en-US" sz="1100" b="1">
                <a:solidFill>
                  <a:schemeClr val="bg1"/>
                </a:solidFill>
              </a:rPr>
              <a:t>Admin Sheets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ilots/04_july_dry_run/01_SAP/0417/0417_07_2015_OCF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ilots/04_july_dry_run/01_SAP/0417/0417_06_2015_OC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O"/>
      <sheetName val="ADMIN"/>
      <sheetName val="Input &amp; Assumptions"/>
      <sheetName val="Data Dictionary"/>
      <sheetName val="HFM Acct - OCF Activity"/>
      <sheetName val="BNS Profit Centers"/>
      <sheetName val="Contra-BNS PC"/>
      <sheetName val="GL Acct - Clearing"/>
      <sheetName val="Cost Centers"/>
      <sheetName val="Journal Entries"/>
      <sheetName val="OCF Activity Template"/>
      <sheetName val="All_Accounts"/>
      <sheetName val="All_Accounts_Pivot"/>
      <sheetName val="Pre-Close BNS Income"/>
      <sheetName val="Pre-Close AMF Pivot"/>
      <sheetName val="Pre-Close 0417 - AMF - 201502"/>
      <sheetName val="0417 - AMF - 201502"/>
      <sheetName val="Modded_AMF_Pivot_Accounts"/>
      <sheetName val="Modded AMF Pivot"/>
      <sheetName val="Contra-BNS PC Pivot"/>
      <sheetName val="AMF Table - Modded"/>
      <sheetName val="0417 - AMF - 201504"/>
      <sheetName val="PersistentStorag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2">
          <cell r="G2" t="str">
            <v>SAP PR2</v>
          </cell>
        </row>
        <row r="3">
          <cell r="G3" t="str">
            <v>C1</v>
          </cell>
        </row>
        <row r="4">
          <cell r="G4" t="str">
            <v>AMPICS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O"/>
      <sheetName val="ADMIN"/>
      <sheetName val="Input &amp; Assumptions"/>
      <sheetName val="Data Dictionary"/>
      <sheetName val="HFM Acct - OCF Activity"/>
      <sheetName val="BNS Profit Centers"/>
      <sheetName val="GL Acct - Clearing"/>
      <sheetName val="Cost Centers"/>
      <sheetName val="Journal Entries"/>
      <sheetName val="OCF Activity Template"/>
      <sheetName val="All_Accounts"/>
      <sheetName val="All_Accounts_Pivot"/>
      <sheetName val="Pre-Close BNS Income"/>
      <sheetName val="Pre-Close AMF Pivot"/>
      <sheetName val="Pre-Close 0417 - AMF - 201502"/>
      <sheetName val="0417 - AMF - 201502"/>
      <sheetName val="Modded_AMF_Pivot_Accounts"/>
      <sheetName val="Modded AMF Pivot"/>
      <sheetName val="AMF Table - Modded"/>
      <sheetName val="0417 - AMF - 201503"/>
      <sheetName val="PersistentStorag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2">
          <cell r="G2" t="str">
            <v>SAP PR2</v>
          </cell>
        </row>
        <row r="3">
          <cell r="G3" t="str">
            <v>C1</v>
          </cell>
        </row>
        <row r="4">
          <cell r="G4" t="str">
            <v>AMPICS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rey J. Gallon" refreshedDate="42230.479656828706" createdVersion="3" refreshedVersion="5" minRefreshableVersion="3" recordCount="344">
  <cacheSource type="worksheet">
    <worksheetSource ref="A6:O350" sheet="Pre-Close 0417 - AMF - 201502"/>
  </cacheSource>
  <cacheFields count="15">
    <cacheField name="GL_Account" numFmtId="0">
      <sharedItems count="62">
        <s v="1016940"/>
        <s v="1035000"/>
        <s v="1060000"/>
        <s v="1111001"/>
        <s v="1201000"/>
        <s v="1202000"/>
        <s v="1206135"/>
        <s v="1206170"/>
        <s v="1206180"/>
        <s v="1206802"/>
        <s v="1337001"/>
        <s v="1400000"/>
        <s v="1519990"/>
        <s v="1560000"/>
        <s v="1601200"/>
        <s v="1605100"/>
        <s v="1607100"/>
        <s v="1609100"/>
        <s v="1701200"/>
        <s v="1705100"/>
        <s v="1707100"/>
        <s v="1709100"/>
        <s v="2030000"/>
        <s v="2030001"/>
        <s v="2040200"/>
        <s v="2040420"/>
        <s v="2050000"/>
        <s v="2050001"/>
        <s v="2102001"/>
        <s v="2106110"/>
        <s v="2107320"/>
        <s v="2107500"/>
        <s v="2210000"/>
        <s v="2210210"/>
        <s v="2309004"/>
        <s v="2309007"/>
        <s v="2312000"/>
        <s v="2312024"/>
        <s v="2326001"/>
        <s v="2800000"/>
        <s v="2921001"/>
        <s v="3100030"/>
        <s v="3700000"/>
        <s v="3720000"/>
        <s v="6FC"/>
        <s v="7001100"/>
        <s v="7002160"/>
        <s v="7006204"/>
        <s v="7006211"/>
        <s v="7006212"/>
        <s v="7006401"/>
        <s v="7006407"/>
        <s v="7006408"/>
        <s v="7024000"/>
        <s v="7031808"/>
        <s v="7032514"/>
        <s v="7059001"/>
        <s v="7076000"/>
        <s v="7076001"/>
        <s v="7096000"/>
        <s v="7FC"/>
        <s v="AFC"/>
      </sharedItems>
    </cacheField>
    <cacheField name="GL_AcctDesc" numFmtId="0">
      <sharedItems count="123">
        <s v="Nordea"/>
        <s v="Restricted Cash"/>
        <s v="ISC Accounts Receivable"/>
        <s v="ISC Goods Invoiced Not Received Clearing Account"/>
        <s v="Ppd Insurance"/>
        <s v="Prepaid Rent/Lease"/>
        <s v="Prepaid - Dues &amp; Subscriptions"/>
        <s v="Ppd Voucher"/>
        <s v="Ppd - Other"/>
        <s v="Ppd Pension Fund Recharge"/>
        <s v="VAT/Sales Tax Recoverable"/>
        <s v="Current Deferred Inc Taxes Asset-NonUS-"/>
        <s v="I/C Loans Receivable - CMA"/>
        <s v="ICO Service Fee Receivable"/>
        <s v="Leasehold Improvements"/>
        <s v="Machinery &amp; Equipment"/>
        <s v="Furniture"/>
        <s v="Info Systems (Hardware &amp; Software)"/>
        <s v="A/D Leasehold Improvements"/>
        <s v="A/D Machinery &amp; Equipment"/>
        <s v="A/D Furniture"/>
        <s v="A/D Info Systems (Hardwr &amp; Softwr)"/>
        <s v="Accounts Payable - Trade"/>
        <s v="Accounts Payable - Employees"/>
        <s v="Output Equalisation Tax (ESA)"/>
        <s v="Input Equalisation Tax (ESE)"/>
        <s v="ISC A/P Intracompany"/>
        <s v="ISC A/P Exchange Gain / Loss"/>
        <s v="Sales Bonus Incentive"/>
        <s v="Accd Vacation"/>
        <s v="Payroll w/h Wage Tax"/>
        <s v="Accrued Payroll Tax - Social Security"/>
        <s v="Current Income Taxes Payable - NonUS -"/>
        <s v="Reserve Income Tax Current Yr"/>
        <s v="Accd Electric"/>
        <s v="Accd -Telephone &amp; Fax"/>
        <s v="Other Accrued Liabilities"/>
        <s v="Accd Travel"/>
        <s v="Audit Fees"/>
        <s v="NonCurrent Deferred Inc Tax Liab-NonUS-"/>
        <s v="Other Non-Current - FAS 87 Liability"/>
        <s v="Common Stock ICO"/>
        <s v="Retained Earnings"/>
        <s v="Retained Earnings-Net Income"/>
        <s v="Salaries or Wages"/>
        <s v="Salary - Vacation Average"/>
        <s v="Salary - Absence Average"/>
        <s v="Personal Benefits- Cafeteria"/>
        <s v="Personal Benefits- Other"/>
        <s v="Equipment Rental - Computer"/>
        <s v="Telephone - Data"/>
        <s v="Telephone - Mobile"/>
        <s v="Telephone - Privat"/>
        <s v="Social Security Indirect"/>
        <s v="Payroll Expenses - Bonus"/>
        <s v="SIP Expense - Current Year"/>
        <s v="SIP Expense - Previous Year"/>
        <s v="Payroll Expenses - Pensions"/>
        <s v="Pension Cost Voluntary"/>
        <s v="Payroll Expenses - Other"/>
        <s v="Payroll Expenses - Vacation"/>
        <s v="Outbound Freight"/>
        <s v="Flight/Transport Expenses"/>
        <s v="Hotels and Meals"/>
        <s v="Travel Expense Fixed Allowance"/>
        <s v="Customer Entertainment"/>
        <s v="Employee Entertainment"/>
        <s v="Transportation"/>
        <s v="Business Conference - With Food"/>
        <s v="Travel-Accrued"/>
        <s v="Truck &amp; Auto &amp; Airline - Others"/>
        <s v="Company Cars - Lease Costs"/>
        <s v="Office Supplies"/>
        <s v="Computer Equipment &amp; Accessories"/>
        <s v="Truck &amp; Auto &amp; Airline - Fuel"/>
        <s v="Sales Samples"/>
        <s v="Outside Services - Other"/>
        <s v="Advertising"/>
        <s v="Dues &amp; Subscriptions"/>
        <s v="Employee Training"/>
        <s v="Salary - Sickleave"/>
        <s v="Salary - Special Pay"/>
        <s v="Depreciation Mach &amp; Equipment"/>
        <s v="Special Bonus Programs"/>
        <s v="Safety &amp; Health"/>
        <s v="Travel Expenses Credit Card"/>
        <s v="Communication Equipment"/>
        <s v="Customer Visit and Training"/>
        <s v="Promotion - Trade Shows"/>
        <s v="Home Office Allowance"/>
        <s v="Interest Income - Bank Interest"/>
        <s v="Interest Expense Paid"/>
        <s v="Exch.Loss Real.on Trd.A/P"/>
        <s v="Unrealised Exchange Gain"/>
        <s v="Unrealised Exchange Loss"/>
        <s v="Exch.Gain Real.on ICO A/R"/>
        <s v="Exch Gain - Unrealised on IntraCO A/P"/>
        <s v="Exch Loss - Unrealised on IntraCO A/P"/>
        <s v="Current Income Tax Expense-NonUS"/>
        <s v="Interest Income Intracompany TE Affiliates"/>
        <s v="Small Differences Gains/(Losses)"/>
        <s v="Bank Service Fees - Other"/>
        <s v="TESOG Service Fee"/>
        <s v="TESOG Service Fees Accrual"/>
        <s v="EMEA FSS Service Fee"/>
        <s v="Audit Expense"/>
        <s v="Legal Expense"/>
        <s v="Outside Services - Consultants &amp; Advisors"/>
        <s v="Other Personnel Expenses - Catering"/>
        <s v="Depreciation Furniture"/>
        <s v="Equipment Rental - Data Processing"/>
        <s v="Equipment Rental - Other"/>
        <s v="Electric"/>
        <s v="Insurance - Premiums"/>
        <s v="Telephone - Regular"/>
        <s v="Property Rent"/>
        <s v="Other Use &amp; Occupancy"/>
        <s v="Postage"/>
        <s v="Outsourcing"/>
        <s v="Outside Services - Facilities Services"/>
        <s v="Outside Services - Surveillance"/>
        <s v="Cost Recovery"/>
        <s v="Corp TEIS Allocation"/>
      </sharedItems>
    </cacheField>
    <cacheField name="HFM_Account" numFmtId="0">
      <sharedItems count="46">
        <s v="1000000"/>
        <s v="1035000"/>
        <s v="1060000"/>
        <s v="1111000"/>
        <s v="1201000"/>
        <s v="1202000"/>
        <s v="1206000"/>
        <s v="1337000"/>
        <s v="1400000"/>
        <s v="1510000"/>
        <s v="1560000"/>
        <s v="1601100"/>
        <s v="1605000"/>
        <s v="1607000"/>
        <s v="1609000"/>
        <s v="1701200"/>
        <s v="1705000"/>
        <s v="1707000"/>
        <s v="1709000"/>
        <s v="2030000"/>
        <s v="2040000"/>
        <s v="2050000"/>
        <s v="2102000"/>
        <s v="2106000"/>
        <s v="2107000"/>
        <s v="2210000"/>
        <s v="2309000"/>
        <s v="2312000"/>
        <s v="2326000"/>
        <s v="2800000"/>
        <s v="2921000"/>
        <s v="3100000"/>
        <s v="IGNORE"/>
        <s v="6SellingDir"/>
        <s v="7001000"/>
        <s v="7002000"/>
        <s v="7006000"/>
        <s v="7006400"/>
        <s v="7024000"/>
        <s v="7031800"/>
        <s v="7028000"/>
        <s v="7059000"/>
        <s v="7076000"/>
        <s v="7096000"/>
        <s v="6GnADir"/>
        <s v="6GnAIndir"/>
      </sharedItems>
    </cacheField>
    <cacheField name="OCF_Activity" numFmtId="0">
      <sharedItems count="4">
        <s v="Exclude"/>
        <s v="Indirect"/>
        <s v="Intercompany"/>
        <s v="Direct"/>
      </sharedItems>
    </cacheField>
    <cacheField name="GL_Entity" numFmtId="0">
      <sharedItems count="1">
        <s v="0417"/>
      </sharedItems>
    </cacheField>
    <cacheField name="HFM_Entity" numFmtId="0">
      <sharedItems count="1">
        <s v="E0417"/>
      </sharedItems>
    </cacheField>
    <cacheField name="GL_ICP" numFmtId="0">
      <sharedItems count="119">
        <s v="1016940.NoICP"/>
        <s v="1035000.NoICP"/>
        <s v="ZZ0048"/>
        <s v="ZZ0436"/>
        <s v="1111001.NoICP"/>
        <s v="1201000.NoICP"/>
        <s v="1202000.NoICP"/>
        <s v="1206135.NoICP"/>
        <s v="1206170.NoICP"/>
        <s v="1206180.NoICP"/>
        <s v="1206802.NoICP"/>
        <s v="1337001.NoICP"/>
        <s v="1400000.NoICP"/>
        <s v="ZZ1797"/>
        <s v="ZZ1151"/>
        <s v="1601200.NoICP"/>
        <s v="1605100.NoICP"/>
        <s v="1607100.NoICP"/>
        <s v="1609100.NoICP"/>
        <s v="1701200.NoICP"/>
        <s v="1705100.NoICP"/>
        <s v="1707100.NoICP"/>
        <s v="1709100.NoICP"/>
        <s v="2030000.NoICP"/>
        <s v="2030001.NoICP"/>
        <s v="2040200.NoICP"/>
        <s v="2040420.NoICP"/>
        <s v="ZZ1798"/>
        <s v="2102001.NoICP"/>
        <s v="2106110.NoICP"/>
        <s v="2107320.NoICP"/>
        <s v="2107500.NoICP"/>
        <s v="2210000.NoICP"/>
        <s v="2210210.NoICP"/>
        <s v="2309004.NoICP"/>
        <s v="2309007.NoICP"/>
        <s v="2312000.NoICP"/>
        <s v="2312024.NoICP"/>
        <s v="2326001.NoICP"/>
        <s v="2800000.NoICP"/>
        <s v="2921001.NoICP"/>
        <s v="3100030.NoICP"/>
        <s v="3700000.NoICP"/>
        <s v="3720000.NoICP"/>
        <s v="6023000.NoICP"/>
        <s v="6023014.NoICP"/>
        <s v="6023015.NoICP"/>
        <s v="6049010.NoICP"/>
        <s v="6049070.NoICP"/>
        <s v="6051045.NoICP"/>
        <s v="6056020.NoICP"/>
        <s v="6056030.NoICP"/>
        <s v="6056090.NoICP"/>
        <s v="6062110.NoICP"/>
        <s v="6062200.NoICP"/>
        <s v="6062202.NoICP"/>
        <s v="6062203.NoICP"/>
        <s v="6062300.NoICP"/>
        <s v="6062310.NoICP"/>
        <s v="6062400.NoICP"/>
        <s v="6062410.NoICP"/>
        <s v="6063000.NoICP"/>
        <s v="6065005.NoICP"/>
        <s v="6065045.NoICP"/>
        <s v="6065115.NoICP"/>
        <s v="6065120.NoICP"/>
        <s v="6065130.NoICP"/>
        <s v="6065150.NoICP"/>
        <s v="6065180.NoICP"/>
        <s v="6065995.NoICP"/>
        <s v="6066020.NoICP"/>
        <s v="6066202.NoICP"/>
        <s v="6068000.NoICP"/>
        <s v="6078000.NoICP"/>
        <s v="6066010.NoICP"/>
        <s v="6075000.NoICP"/>
        <s v="6081320.NoICP"/>
        <s v="6082000.NoICP"/>
        <s v="6086000.NoICP"/>
        <s v="6087000.NoICP"/>
        <s v="6023012.NoICP"/>
        <s v="6023013.NoICP"/>
        <s v="6050310.NoICP"/>
        <s v="6062240.NoICP"/>
        <s v="6064000.NoICP"/>
        <s v="6065240.NoICP"/>
        <s v="6078020.NoICP"/>
        <s v="6085040.NoICP"/>
        <s v="6085070.NoICP"/>
        <s v="6049067.NoICP"/>
        <s v="7001100.NoICP"/>
        <s v="7002160.NoICP"/>
        <s v="7006204.NoICP"/>
        <s v="7006211.NoICP"/>
        <s v="7006212.NoICP"/>
        <s v="7006401.NoICP"/>
        <s v="7006407.NoICP"/>
        <s v="7006408.NoICP"/>
        <s v="7024000.NoICP"/>
        <s v="7032514.NoICP"/>
        <s v="7059001.NoICP"/>
        <s v="6069000.NoICP"/>
        <s v="6069010.NoICP"/>
        <s v="6081100.NoICP"/>
        <s v="6049009.NoICP"/>
        <s v="6050410.NoICP"/>
        <s v="6051020.NoICP"/>
        <s v="6051030.NoICP"/>
        <s v="6054000.NoICP"/>
        <s v="6055030.NoICP"/>
        <s v="6056010.NoICP"/>
        <s v="6057000.NoICP"/>
        <s v="6057100.NoICP"/>
        <s v="6067000.NoICP"/>
        <s v="6077000.NoICP"/>
        <s v="6081310.NoICP"/>
        <s v="6081340.NoICP"/>
        <s v="6098000.NoICP"/>
        <s v="6095352.NoICP"/>
      </sharedItems>
    </cacheField>
    <cacheField name="Trading_Partner" numFmtId="0">
      <sharedItems count="6">
        <s v=""/>
        <s v="ZZ0048"/>
        <s v="ZZ0436"/>
        <s v="ZZ1797"/>
        <s v="ZZ1151"/>
        <s v="ZZ1798"/>
      </sharedItems>
    </cacheField>
    <cacheField name="HFM_ICP" numFmtId="0">
      <sharedItems count="6">
        <s v="[ICP None]"/>
        <s v="E0048"/>
        <s v="E0436"/>
        <s v="E1797"/>
        <s v="E1151"/>
        <s v="E1798"/>
      </sharedItems>
    </cacheField>
    <cacheField name="GL_PC" numFmtId="0">
      <sharedItems count="15">
        <s v="997"/>
        <s v="165"/>
        <s v="998"/>
        <s v="251"/>
        <s v="140"/>
        <s v="268"/>
        <s v="273"/>
        <s v="279"/>
        <s v="284"/>
        <s v="252"/>
        <s v="141"/>
        <s v="253"/>
        <s v="139"/>
        <s v="121"/>
        <s v="122"/>
      </sharedItems>
    </cacheField>
    <cacheField name="TE / BNS PC" numFmtId="0">
      <sharedItems count="2">
        <s v="TE"/>
        <s v="BNS"/>
      </sharedItems>
    </cacheField>
    <cacheField name="HFM_PC" numFmtId="0">
      <sharedItems count="15">
        <s v="997"/>
        <s v="165"/>
        <s v="998"/>
        <s v="251"/>
        <s v="140"/>
        <s v="268"/>
        <s v="273"/>
        <s v="279"/>
        <s v="284"/>
        <s v="252"/>
        <s v="141"/>
        <s v="253"/>
        <s v="139"/>
        <s v="121"/>
        <s v="122"/>
      </sharedItems>
    </cacheField>
    <cacheField name="GL_Other" numFmtId="0">
      <sharedItems count="123">
        <s v="1016940"/>
        <s v="1035000"/>
        <s v="1060000"/>
        <s v="1111001"/>
        <s v="1201000"/>
        <s v="1202000"/>
        <s v="1206135"/>
        <s v="1206170"/>
        <s v="1206180"/>
        <s v="1206802"/>
        <s v="1337001"/>
        <s v="1400000"/>
        <s v="1519990"/>
        <s v="1560000"/>
        <s v="1601200"/>
        <s v="1605100"/>
        <s v="1607100"/>
        <s v="1609100"/>
        <s v="1701200"/>
        <s v="1705100"/>
        <s v="1707100"/>
        <s v="1709100"/>
        <s v="2030000"/>
        <s v="2030001"/>
        <s v="2040200"/>
        <s v="2040420"/>
        <s v="2050000"/>
        <s v="2050001"/>
        <s v="2102001"/>
        <s v="2106110"/>
        <s v="2107320"/>
        <s v="2107500"/>
        <s v="2210000"/>
        <s v="2210210"/>
        <s v="2309004"/>
        <s v="2309007"/>
        <s v="2312000"/>
        <s v="2312024"/>
        <s v="2326001"/>
        <s v="2800000"/>
        <s v="2921001"/>
        <s v="3100030"/>
        <s v="3700000"/>
        <s v="3720000"/>
        <s v="6023000"/>
        <s v="6023014"/>
        <s v="6023015"/>
        <s v="6049010"/>
        <s v="6049070"/>
        <s v="6051045"/>
        <s v="6056020"/>
        <s v="6056030"/>
        <s v="6056090"/>
        <s v="6062110"/>
        <s v="6062200"/>
        <s v="6062202"/>
        <s v="6062203"/>
        <s v="6062300"/>
        <s v="6062310"/>
        <s v="6062400"/>
        <s v="6062410"/>
        <s v="6063000"/>
        <s v="6065005"/>
        <s v="6065045"/>
        <s v="6065115"/>
        <s v="6065120"/>
        <s v="6065130"/>
        <s v="6065150"/>
        <s v="6065180"/>
        <s v="6065995"/>
        <s v="6066020"/>
        <s v="6066202"/>
        <s v="6068000"/>
        <s v="6078000"/>
        <s v="6066010"/>
        <s v="6075000"/>
        <s v="6081320"/>
        <s v="6082000"/>
        <s v="6086000"/>
        <s v="6087000"/>
        <s v="6023012"/>
        <s v="6023013"/>
        <s v="6050310"/>
        <s v="6062240"/>
        <s v="6064000"/>
        <s v="6065240"/>
        <s v="6078020"/>
        <s v="6085040"/>
        <s v="6085070"/>
        <s v="6049067"/>
        <s v="7001100"/>
        <s v="7002160"/>
        <s v="7006204"/>
        <s v="7006211"/>
        <s v="7006212"/>
        <s v="7006401"/>
        <s v="7006407"/>
        <s v="7006408"/>
        <s v="7024000"/>
        <s v="7031808"/>
        <s v="7032514"/>
        <s v="7059001"/>
        <s v="7076000"/>
        <s v="7076001"/>
        <s v="7096000"/>
        <s v="6069000"/>
        <s v="6069010"/>
        <s v="6081100"/>
        <s v="6049009"/>
        <s v="6050410"/>
        <s v="6051020"/>
        <s v="6051030"/>
        <s v="6054000"/>
        <s v="6055030"/>
        <s v="6056010"/>
        <s v="6057000"/>
        <s v="6057100"/>
        <s v="6067000"/>
        <s v="6077000"/>
        <s v="6081310"/>
        <s v="6081340"/>
        <s v="6098000"/>
        <s v="6095352"/>
      </sharedItems>
    </cacheField>
    <cacheField name="HFM_Other" numFmtId="0">
      <sharedItems count="31">
        <s v="EndBal"/>
        <s v="6023000"/>
        <s v="6049000"/>
        <s v="6051000"/>
        <s v="6053000"/>
        <s v="6062100"/>
        <s v="6062200"/>
        <s v="6062700"/>
        <s v="6062300"/>
        <s v="6062400"/>
        <s v="6063000"/>
        <s v="6065000"/>
        <s v="6066000"/>
        <s v="6068000"/>
        <s v="6078000"/>
        <s v="6082000"/>
        <s v="6081300"/>
        <s v="6086000"/>
        <s v="6087000"/>
        <s v="6050300"/>
        <s v="6064000"/>
        <s v="[None]"/>
        <s v="6069000"/>
        <s v="6069500"/>
        <s v="6081100"/>
        <s v="6050400"/>
        <s v="6055000"/>
        <s v="6057000"/>
        <s v="6077000"/>
        <s v="6098000"/>
        <s v="6095352"/>
      </sharedItems>
    </cacheField>
    <cacheField name="Amount" numFmtId="0">
      <sharedItems containsSemiMixedTypes="0" containsString="0" containsNumber="1" minValue="-7317915.46" maxValue="6201180.4299999997" count="331">
        <n v="367.77"/>
        <n v="1846.75"/>
        <n v="195"/>
        <n v="6852.92"/>
        <n v="-0.01"/>
        <n v="0.01"/>
        <n v="41346.65"/>
        <n v="21843.91"/>
        <n v="11465.21"/>
        <n v="11430"/>
        <n v="4008.05"/>
        <n v="30209.88"/>
        <n v="9948.58"/>
        <n v="52417"/>
        <n v="3353703.31"/>
        <n v="538200"/>
        <n v="132993.57"/>
        <n v="8513.2099999999991"/>
        <n v="110423.83"/>
        <n v="5131.92"/>
        <n v="-132993.57"/>
        <n v="-8513.2099999999991"/>
        <n v="-104161.83"/>
        <n v="-5131.92"/>
        <n v="-25564.39"/>
        <n v="-102.5"/>
        <n v="-18666.2"/>
        <n v="18666.2"/>
        <n v="-6700.11"/>
        <n v="-24.94"/>
        <n v="-6098.44"/>
        <n v="-89.65"/>
        <n v="-79.42"/>
        <n v="-46700"/>
        <n v="-186668.03"/>
        <n v="-30147.77"/>
        <n v="-1852.42"/>
        <n v="73916.55"/>
        <n v="-105106"/>
        <n v="-380"/>
        <n v="-533.05999999999995"/>
        <n v="-1650"/>
        <n v="-1529"/>
        <n v="-14450"/>
        <n v="-174"/>
        <n v="-22412"/>
        <n v="-2354630.6"/>
        <n v="6201180.4299999997"/>
        <n v="-7317915.46"/>
        <n v="32835"/>
        <n v="2519.7600000000002"/>
        <n v="-1628.75"/>
        <n v="176"/>
        <n v="223.34"/>
        <n v="200"/>
        <n v="147.5"/>
        <n v="963.45"/>
        <n v="124"/>
        <n v="878.12"/>
        <n v="-1036.8"/>
        <n v="8400"/>
        <n v="-16607.2"/>
        <n v="6948.37"/>
        <n v="9107.58"/>
        <n v="-29.26"/>
        <n v="3926.78"/>
        <n v="229.66"/>
        <n v="573.25"/>
        <n v="1628.1"/>
        <n v="1610"/>
        <n v="932.35"/>
        <n v="6.84"/>
        <n v="580.37"/>
        <n v="1135.75"/>
        <n v="120"/>
        <n v="1624.05"/>
        <n v="5681.69"/>
        <n v="51.3"/>
        <n v="365.08"/>
        <n v="82794"/>
        <n v="5569.97"/>
        <n v="-3252"/>
        <n v="419"/>
        <n v="460"/>
        <n v="600"/>
        <n v="516.09"/>
        <n v="331.23"/>
        <n v="372"/>
        <n v="3221.38"/>
        <n v="-17633.099999999999"/>
        <n v="76410.100000000006"/>
        <n v="25237.71"/>
        <n v="10334.36"/>
        <n v="247.35"/>
        <n v="9779.25"/>
        <n v="439.8"/>
        <n v="1350.69"/>
        <n v="2141.87"/>
        <n v="1700"/>
        <n v="2547.41"/>
        <n v="334.16"/>
        <n v="775.55"/>
        <n v="2545.6999999999998"/>
        <n v="810"/>
        <n v="128.04"/>
        <n v="5952.46"/>
        <n v="11868.55"/>
        <n v="1023.23"/>
        <n v="153.58000000000001"/>
        <n v="663.26"/>
        <n v="880"/>
        <n v="1549.36"/>
        <n v="750"/>
        <n v="33970"/>
        <n v="132"/>
        <n v="150"/>
        <n v="862.28"/>
        <n v="1797.78"/>
        <n v="-13731"/>
        <n v="8000"/>
        <n v="-6399"/>
        <n v="15252.03"/>
        <n v="1690.5"/>
        <n v="220.93"/>
        <n v="6454.9"/>
        <n v="231.02"/>
        <n v="789.63"/>
        <n v="2836.01"/>
        <n v="1856"/>
        <n v="344.12"/>
        <n v="88.5"/>
        <n v="1176.24"/>
        <n v="363.18"/>
        <n v="2357.9499999999998"/>
        <n v="6719.64"/>
        <n v="127.5"/>
        <n v="118468"/>
        <n v="911.4"/>
        <n v="-911.4"/>
        <n v="3474.68"/>
        <n v="-2189.25"/>
        <n v="794"/>
        <n v="450"/>
        <n v="203"/>
        <n v="800"/>
        <n v="445.49"/>
        <n v="1116.79"/>
        <n v="496"/>
        <n v="3053.98"/>
        <n v="-3575.9"/>
        <n v="1793.74"/>
        <n v="733.35"/>
        <n v="25072.75"/>
        <n v="10498.25"/>
        <n v="-48.55"/>
        <n v="10343.19"/>
        <n v="308.88"/>
        <n v="94"/>
        <n v="3155.31"/>
        <n v="2945.08"/>
        <n v="2598"/>
        <n v="454.51"/>
        <n v="1111.26"/>
        <n v="1415.69"/>
        <n v="1516.8"/>
        <n v="24"/>
        <n v="9"/>
        <n v="25.01"/>
        <n v="7898.68"/>
        <n v="15225.5"/>
        <n v="120.53"/>
        <n v="5651.27"/>
        <n v="1661.31"/>
        <n v="720.12"/>
        <n v="300"/>
        <n v="16385.25"/>
        <n v="3148"/>
        <n v="2532"/>
        <n v="61388.7"/>
        <n v="1408.41"/>
        <n v="-1408.41"/>
        <n v="2021.74"/>
        <n v="-1444.1"/>
        <n v="221"/>
        <n v="1250"/>
        <n v="400"/>
        <n v="98.56"/>
        <n v="228.42"/>
        <n v="248"/>
        <n v="1610.33"/>
        <n v="-2407.5"/>
        <n v="13700"/>
        <n v="-1867.5"/>
        <n v="13062.65"/>
        <n v="13061.03"/>
        <n v="-69.819999999999993"/>
        <n v="9968.76"/>
        <n v="202.85"/>
        <n v="422.49"/>
        <n v="1813.47"/>
        <n v="973"/>
        <n v="504.3"/>
        <n v="147.77000000000001"/>
        <n v="490.25"/>
        <n v="2327.7399999999998"/>
        <n v="50"/>
        <n v="-300"/>
        <n v="2416"/>
        <n v="5692.5"/>
        <n v="57.4"/>
        <n v="4.07"/>
        <n v="31.45"/>
        <n v="33331"/>
        <n v="5061.7299999999996"/>
        <n v="-2556.81"/>
        <n v="199"/>
        <n v="369.65"/>
        <n v="1689.8"/>
        <n v="-11526.41"/>
        <n v="16600"/>
        <n v="-12952.22"/>
        <n v="13185.62"/>
        <n v="9737.57"/>
        <n v="186.64"/>
        <n v="5948.64"/>
        <n v="201.66"/>
        <n v="3538.59"/>
        <n v="958.15"/>
        <n v="1362"/>
        <n v="252.7"/>
        <n v="15.96"/>
        <n v="1209.24"/>
        <n v="575.78"/>
        <n v="60"/>
        <n v="291"/>
        <n v="2787.74"/>
        <n v="5857.14"/>
        <n v="21.77"/>
        <n v="35.14"/>
        <n v="-7.9"/>
        <n v="7.25"/>
        <n v="-0.42"/>
        <n v="-0.86"/>
        <n v="-1.21"/>
        <n v="-0.21"/>
        <n v="-0.79"/>
        <n v="956.91"/>
        <n v="254.69"/>
        <n v="1446.14"/>
        <n v="1040.3"/>
        <n v="509.39"/>
        <n v="-2267.7399999999998"/>
        <n v="16358"/>
        <n v="-2602.85"/>
        <n v="-5315.46"/>
        <n v="-7388.97"/>
        <n v="-1301.42"/>
        <n v="-4889.3999999999996"/>
        <n v="1073.92"/>
        <n v="-1.26"/>
        <n v="0.15"/>
        <n v="0.31"/>
        <n v="0.28999999999999998"/>
        <n v="0.08"/>
        <n v="0.43"/>
        <n v="-69.78"/>
        <n v="-12.28"/>
        <n v="-46.17"/>
        <n v="-50.19"/>
        <n v="-24.58"/>
        <n v="163.38999999999999"/>
        <n v="68069"/>
        <n v="-1343.21"/>
        <n v="-0.04"/>
        <n v="-0.08"/>
        <n v="-0.02"/>
        <n v="-0.11"/>
        <n v="211.61"/>
        <n v="37.26"/>
        <n v="140.03"/>
        <n v="152.22999999999999"/>
        <n v="109.55"/>
        <n v="235.5"/>
        <n v="-715474.5"/>
        <n v="-538200"/>
        <n v="24466.959999999999"/>
        <n v="13715.56"/>
        <n v="556.5"/>
        <n v="-556.5"/>
        <n v="66.5"/>
        <n v="39.799999999999997"/>
        <n v="291.69"/>
        <n v="2542"/>
        <n v="12.85"/>
        <n v="4838.17"/>
        <n v="19.63"/>
        <n v="231"/>
        <n v="16.670000000000002"/>
        <n v="4270"/>
        <n v="2328.4699999999998"/>
        <n v="7.94"/>
        <n v="607.04"/>
        <n v="22.89"/>
        <n v="1197.03"/>
        <n v="2637.41"/>
        <n v="582"/>
        <n v="3140.66"/>
        <n v="645.02"/>
        <n v="-2600"/>
        <n v="1012.42"/>
        <n v="1421.7"/>
        <n v="1937.12"/>
        <n v="895.02"/>
        <n v="319.39"/>
        <n v="24472.6"/>
        <n v="263"/>
        <n v="13.32"/>
        <n v="449.41"/>
        <n v="147.11000000000001"/>
        <n v="405.3"/>
        <n v="67.540000000000006"/>
        <n v="95.47"/>
        <n v="1323.85"/>
        <n v="426.34"/>
        <n v="7863.2"/>
        <n v="1465.39"/>
        <n v="8207.2000000000007"/>
        <n v="335"/>
        <n v="1214.4100000000001"/>
        <n v="-1328"/>
        <n v="33921.91000000000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orey J. Gallon" refreshedDate="42230.479961805555" createdVersion="3" refreshedVersion="5" minRefreshableVersion="3" recordCount="370">
  <cacheSource type="worksheet">
    <worksheetSource ref="A6:O376" sheet="AMF Table - Modded"/>
  </cacheSource>
  <cacheFields count="15">
    <cacheField name="GL_Account" numFmtId="0">
      <sharedItems count="62">
        <s v="1016940"/>
        <s v="1035000"/>
        <s v="1060000"/>
        <s v="1111001"/>
        <s v="1201000"/>
        <s v="1202000"/>
        <s v="1206135"/>
        <s v="1206170"/>
        <s v="1206180"/>
        <s v="1206802"/>
        <s v="1337001"/>
        <s v="1400000"/>
        <s v="1519990"/>
        <s v="1560000"/>
        <s v="1601200"/>
        <s v="1605100"/>
        <s v="1607100"/>
        <s v="1609100"/>
        <s v="1701200"/>
        <s v="1705100"/>
        <s v="1707100"/>
        <s v="1709100"/>
        <s v="2030000"/>
        <s v="2030001"/>
        <s v="2040200"/>
        <s v="2040420"/>
        <s v="2050000"/>
        <s v="2050001"/>
        <s v="2102001"/>
        <s v="2106110"/>
        <s v="2107320"/>
        <s v="2107500"/>
        <s v="2210000"/>
        <s v="2210210"/>
        <s v="2309004"/>
        <s v="2309007"/>
        <s v="2312000"/>
        <s v="2312024"/>
        <s v="2326001"/>
        <s v="2800000"/>
        <s v="2921001"/>
        <s v="3100030"/>
        <s v="3700000"/>
        <s v="3720000"/>
        <s v="6FC"/>
        <s v="7001100"/>
        <s v="7002160"/>
        <s v="7006204"/>
        <s v="7006211"/>
        <s v="7006212"/>
        <s v="7006401"/>
        <s v="7006407"/>
        <s v="7006408"/>
        <s v="7024000"/>
        <s v="7031808"/>
        <s v="7032514"/>
        <s v="7059001"/>
        <s v="7076000"/>
        <s v="7076001"/>
        <s v="7096000"/>
        <s v="7FC"/>
        <s v="AFC"/>
      </sharedItems>
    </cacheField>
    <cacheField name="GL_AcctDesc" numFmtId="0">
      <sharedItems count="123">
        <s v="Nordea"/>
        <s v="Restricted Cash"/>
        <s v="ISC Accounts Receivable"/>
        <s v="ISC Goods Invoiced Not Received Clearing Account"/>
        <s v="Ppd Insurance"/>
        <s v="Prepaid Rent/Lease"/>
        <s v="Prepaid - Dues &amp; Subscriptions"/>
        <s v="Ppd Voucher"/>
        <s v="Ppd - Other"/>
        <s v="Ppd Pension Fund Recharge"/>
        <s v="VAT/Sales Tax Recoverable"/>
        <s v="Current Deferred Inc Taxes Asset-NonUS-"/>
        <s v="I/C Loans Receivable - CMA"/>
        <s v="ICO Service Fee Receivable"/>
        <s v="Leasehold Improvements"/>
        <s v="Machinery &amp; Equipment"/>
        <s v="Furniture"/>
        <s v="Info Systems (Hardware &amp; Software)"/>
        <s v="A/D Leasehold Improvements"/>
        <s v="A/D Machinery &amp; Equipment"/>
        <s v="A/D Furniture"/>
        <s v="A/D Info Systems (Hardwr &amp; Softwr)"/>
        <s v="Accounts Payable - Trade"/>
        <s v="Accounts Payable - Employees"/>
        <s v="Output Equalisation Tax (ESA)"/>
        <s v="Input Equalisation Tax (ESE)"/>
        <s v="ISC A/P Intracompany"/>
        <s v="ISC A/P Exchange Gain / Loss"/>
        <s v="Sales Bonus Incentive"/>
        <s v="Accd Vacation"/>
        <s v="Payroll w/h Wage Tax"/>
        <s v="Accrued Payroll Tax - Social Security"/>
        <s v="Current Income Taxes Payable - NonUS -"/>
        <s v="Reserve Income Tax Current Yr"/>
        <s v="Accd Electric"/>
        <s v="Accd -Telephone &amp; Fax"/>
        <s v="Other Accrued Liabilities"/>
        <s v="Accd Travel"/>
        <s v="Audit Fees"/>
        <s v="NonCurrent Deferred Inc Tax Liab-NonUS-"/>
        <s v="Other Non-Current - FAS 87 Liability"/>
        <s v="Common Stock ICO"/>
        <s v="Retained Earnings"/>
        <s v="Retained Earnings-Net Income"/>
        <s v="Salaries or Wages"/>
        <s v="Salary - Vacation Average"/>
        <s v="Salary - Absence Average"/>
        <s v="Personal Benefits- Cafeteria"/>
        <s v="Personal Benefits- Other"/>
        <s v="Equipment Rental - Computer"/>
        <s v="Telephone - Data"/>
        <s v="Telephone - Mobile"/>
        <s v="Telephone - Privat"/>
        <s v="Social Security Indirect"/>
        <s v="Payroll Expenses - Bonus"/>
        <s v="SIP Expense - Current Year"/>
        <s v="SIP Expense - Previous Year"/>
        <s v="Payroll Expenses - Pensions"/>
        <s v="Pension Cost Voluntary"/>
        <s v="Payroll Expenses - Other"/>
        <s v="Payroll Expenses - Vacation"/>
        <s v="Outbound Freight"/>
        <s v="Flight/Transport Expenses"/>
        <s v="Hotels and Meals"/>
        <s v="Travel Expense Fixed Allowance"/>
        <s v="Customer Entertainment"/>
        <s v="Employee Entertainment"/>
        <s v="Transportation"/>
        <s v="Business Conference - With Food"/>
        <s v="Travel-Accrued"/>
        <s v="Truck &amp; Auto &amp; Airline - Others"/>
        <s v="Company Cars - Lease Costs"/>
        <s v="Office Supplies"/>
        <s v="Computer Equipment &amp; Accessories"/>
        <s v="Truck &amp; Auto &amp; Airline - Fuel"/>
        <s v="Sales Samples"/>
        <s v="Outside Services - Other"/>
        <s v="Advertising"/>
        <s v="Promotion - Trade Shows"/>
        <s v="Dues &amp; Subscriptions"/>
        <s v="Employee Training"/>
        <s v="Travel Expenses Credit Card"/>
        <s v="Salary - Sickleave"/>
        <s v="Salary - Special Pay"/>
        <s v="Depreciation Mach &amp; Equipment"/>
        <s v="Special Bonus Programs"/>
        <s v="Safety &amp; Health"/>
        <s v="Postage"/>
        <s v="Communication Equipment"/>
        <s v="Customer Visit and Training"/>
        <s v="Home Office Allowance"/>
        <s v="Interest Income - Bank Interest"/>
        <s v="Interest Expense Paid"/>
        <s v="Exch.Loss Real.on Trd.A/P"/>
        <s v="Unrealised Exchange Gain"/>
        <s v="Unrealised Exchange Loss"/>
        <s v="Exch.Gain Real.on ICO A/R"/>
        <s v="Exch Gain - Unrealised on IntraCO A/P"/>
        <s v="Exch Loss - Unrealised on IntraCO A/P"/>
        <s v="Current Income Tax Expense-NonUS"/>
        <s v="Interest Income Intracompany TE Affiliates"/>
        <s v="Small Differences Gains/(Losses)"/>
        <s v="Bank Service Fees - Other"/>
        <s v="TESOG Service Fee"/>
        <s v="TESOG Service Fees Accrual"/>
        <s v="EMEA FSS Service Fee"/>
        <s v="Audit Expense"/>
        <s v="Legal Expense"/>
        <s v="Outside Services - Consultants &amp; Advisors"/>
        <s v="Other Personnel Expenses - Catering"/>
        <s v="Depreciation Furniture"/>
        <s v="Equipment Rental - Data Processing"/>
        <s v="Equipment Rental - Other"/>
        <s v="Electric"/>
        <s v="Insurance - Premiums"/>
        <s v="Telephone - Regular"/>
        <s v="Property Rent"/>
        <s v="Other Use &amp; Occupancy"/>
        <s v="Outsourcing"/>
        <s v="Outside Services - Facilities Services"/>
        <s v="Outside Services - Surveillance"/>
        <s v="Cost Recovery"/>
        <s v="Corp TEIS Allocation"/>
      </sharedItems>
    </cacheField>
    <cacheField name="HFM_Account" numFmtId="0">
      <sharedItems count="46">
        <s v="1000000"/>
        <s v="1035000"/>
        <s v="1060000"/>
        <s v="1111000"/>
        <s v="1201000"/>
        <s v="1202000"/>
        <s v="1206000"/>
        <s v="1337000"/>
        <s v="1400000"/>
        <s v="1510000"/>
        <s v="1560000"/>
        <s v="1601100"/>
        <s v="1605000"/>
        <s v="1607000"/>
        <s v="1609000"/>
        <s v="1701200"/>
        <s v="1705000"/>
        <s v="1707000"/>
        <s v="1709000"/>
        <s v="2030000"/>
        <s v="2040000"/>
        <s v="2050000"/>
        <s v="2102000"/>
        <s v="2106000"/>
        <s v="2107000"/>
        <s v="2210000"/>
        <s v="2309000"/>
        <s v="2312000"/>
        <s v="2326000"/>
        <s v="2800000"/>
        <s v="2921000"/>
        <s v="3100000"/>
        <s v="IGNORE"/>
        <s v="6SellingDir"/>
        <s v="7001000"/>
        <s v="7002000"/>
        <s v="7006000"/>
        <s v="7006400"/>
        <s v="7024000"/>
        <s v="7031800"/>
        <s v="7028000"/>
        <s v="7059000"/>
        <s v="7076000"/>
        <s v="7096000"/>
        <s v="6GnADir"/>
        <s v="6GnAIndir"/>
      </sharedItems>
    </cacheField>
    <cacheField name="OCF_Activity" numFmtId="0">
      <sharedItems count="4">
        <s v="Exclude"/>
        <s v="Indirect"/>
        <s v="Intercompany"/>
        <s v="Direct"/>
      </sharedItems>
    </cacheField>
    <cacheField name="GL_Entity" numFmtId="0">
      <sharedItems count="1">
        <s v="0417"/>
      </sharedItems>
    </cacheField>
    <cacheField name="HFM_Entity" numFmtId="0">
      <sharedItems count="1">
        <s v="E0417"/>
      </sharedItems>
    </cacheField>
    <cacheField name="GL_ICP" numFmtId="0">
      <sharedItems count="118">
        <s v="1016940.NoICP"/>
        <s v="1035000.NoICP"/>
        <s v="ZZ0048"/>
        <s v="ZZ1151"/>
        <s v="1111001.NoICP"/>
        <s v="1201000.NoICP"/>
        <s v="1202000.NoICP"/>
        <s v="1206135.NoICP"/>
        <s v="1206170.NoICP"/>
        <s v="1206180.NoICP"/>
        <s v="1206802.NoICP"/>
        <s v="1337001.NoICP"/>
        <s v="1400000.NoICP"/>
        <s v="ZZ1797"/>
        <s v="1601200.NoICP"/>
        <s v="1605100.NoICP"/>
        <s v="1607100.NoICP"/>
        <s v="1609100.NoICP"/>
        <s v="1701200.NoICP"/>
        <s v="1705100.NoICP"/>
        <s v="1707100.NoICP"/>
        <s v="1709100.NoICP"/>
        <s v="2030000.NoICP"/>
        <s v="2030001.NoICP"/>
        <s v="2040200.NoICP"/>
        <s v="2040420.NoICP"/>
        <s v="ZZ1798"/>
        <s v="2102001.NoICP"/>
        <s v="2106110.NoICP"/>
        <s v="2107320.NoICP"/>
        <s v="2107500.NoICP"/>
        <s v="2210000.NoICP"/>
        <s v="2210210.NoICP"/>
        <s v="2309004.NoICP"/>
        <s v="2309007.NoICP"/>
        <s v="2312000.NoICP"/>
        <s v="2312024.NoICP"/>
        <s v="2326001.NoICP"/>
        <s v="2800000.NoICP"/>
        <s v="2921001.NoICP"/>
        <s v="3100030.NoICP"/>
        <s v="3700000.NoICP"/>
        <s v="3720000.NoICP"/>
        <s v="6023000.NoICP"/>
        <s v="6023014.NoICP"/>
        <s v="6023015.NoICP"/>
        <s v="6049010.NoICP"/>
        <s v="6049070.NoICP"/>
        <s v="6051045.NoICP"/>
        <s v="6056020.NoICP"/>
        <s v="6056030.NoICP"/>
        <s v="6056090.NoICP"/>
        <s v="6062110.NoICP"/>
        <s v="6062200.NoICP"/>
        <s v="6062202.NoICP"/>
        <s v="6062203.NoICP"/>
        <s v="6062300.NoICP"/>
        <s v="6062310.NoICP"/>
        <s v="6062400.NoICP"/>
        <s v="6062410.NoICP"/>
        <s v="6063000.NoICP"/>
        <s v="6065005.NoICP"/>
        <s v="6065045.NoICP"/>
        <s v="6065115.NoICP"/>
        <s v="6065120.NoICP"/>
        <s v="6065130.NoICP"/>
        <s v="6065150.NoICP"/>
        <s v="6065180.NoICP"/>
        <s v="6065995.NoICP"/>
        <s v="6066020.NoICP"/>
        <s v="6066202.NoICP"/>
        <s v="6068000.NoICP"/>
        <s v="6078000.NoICP"/>
        <s v="6066010.NoICP"/>
        <s v="6075000.NoICP"/>
        <s v="6081320.NoICP"/>
        <s v="6082000.NoICP"/>
        <s v="6085070.NoICP"/>
        <s v="6086000.NoICP"/>
        <s v="6087000.NoICP"/>
        <s v="6065240.NoICP"/>
        <s v="6023012.NoICP"/>
        <s v="6023013.NoICP"/>
        <s v="6050310.NoICP"/>
        <s v="6062240.NoICP"/>
        <s v="6064000.NoICP"/>
        <s v="6067000.NoICP"/>
        <s v="6078020.NoICP"/>
        <s v="6085040.NoICP"/>
        <s v="6049067.NoICP"/>
        <s v="7001100.NoICP"/>
        <s v="7002160.NoICP"/>
        <s v="7006204.NoICP"/>
        <s v="7006211.NoICP"/>
        <s v="7006212.NoICP"/>
        <s v="7006401.NoICP"/>
        <s v="7006407.NoICP"/>
        <s v="7006408.NoICP"/>
        <s v="7024000.NoICP"/>
        <s v="7032514.NoICP"/>
        <s v="7059001.NoICP"/>
        <s v="6069000.NoICP"/>
        <s v="6069010.NoICP"/>
        <s v="6081100.NoICP"/>
        <s v="6049009.NoICP"/>
        <s v="6050410.NoICP"/>
        <s v="6051020.NoICP"/>
        <s v="6051030.NoICP"/>
        <s v="6054000.NoICP"/>
        <s v="6055030.NoICP"/>
        <s v="6056010.NoICP"/>
        <s v="6057000.NoICP"/>
        <s v="6057100.NoICP"/>
        <s v="6077000.NoICP"/>
        <s v="6081310.NoICP"/>
        <s v="6081340.NoICP"/>
        <s v="6098000.NoICP"/>
        <s v="6095352.NoICP"/>
      </sharedItems>
    </cacheField>
    <cacheField name="Trading_Partner" numFmtId="0">
      <sharedItems count="5">
        <s v=""/>
        <s v="ZZ0048"/>
        <s v="ZZ1151"/>
        <s v="ZZ1797"/>
        <s v="ZZ1798"/>
      </sharedItems>
    </cacheField>
    <cacheField name="HFM_ICP" numFmtId="0">
      <sharedItems count="5">
        <s v="[ICP None]"/>
        <s v="E0048"/>
        <s v="E1151"/>
        <s v="E1797"/>
        <s v="E1798"/>
      </sharedItems>
    </cacheField>
    <cacheField name="GL_PC" numFmtId="0">
      <sharedItems count="16">
        <s v="997"/>
        <s v="165"/>
        <s v="998"/>
        <s v="251"/>
        <s v="140"/>
        <s v="268"/>
        <s v="273"/>
        <s v="279"/>
        <s v="284"/>
        <s v="252"/>
        <s v="141"/>
        <s v="253"/>
        <s v="139"/>
        <s v="121"/>
        <s v="122"/>
        <s v="319"/>
      </sharedItems>
    </cacheField>
    <cacheField name="TE / BNS PC" numFmtId="0">
      <sharedItems count="2">
        <s v="TE"/>
        <s v="BNS"/>
      </sharedItems>
    </cacheField>
    <cacheField name="HFM_PC" numFmtId="0">
      <sharedItems count="16">
        <s v="997"/>
        <s v="165"/>
        <s v="998"/>
        <s v="251"/>
        <s v="140"/>
        <s v="268"/>
        <s v="273"/>
        <s v="279"/>
        <s v="284"/>
        <s v="252"/>
        <s v="141"/>
        <s v="253"/>
        <s v="139"/>
        <s v="121"/>
        <s v="122"/>
        <s v="319"/>
      </sharedItems>
    </cacheField>
    <cacheField name="GL_Other" numFmtId="0">
      <sharedItems count="123">
        <s v="1016940"/>
        <s v="1035000"/>
        <s v="1060000"/>
        <s v="1111001"/>
        <s v="1201000"/>
        <s v="1202000"/>
        <s v="1206135"/>
        <s v="1206170"/>
        <s v="1206180"/>
        <s v="1206802"/>
        <s v="1337001"/>
        <s v="1400000"/>
        <s v="1519990"/>
        <s v="1560000"/>
        <s v="1601200"/>
        <s v="1605100"/>
        <s v="1607100"/>
        <s v="1609100"/>
        <s v="1701200"/>
        <s v="1705100"/>
        <s v="1707100"/>
        <s v="1709100"/>
        <s v="2030000"/>
        <s v="2030001"/>
        <s v="2040200"/>
        <s v="2040420"/>
        <s v="2050000"/>
        <s v="2050001"/>
        <s v="2102001"/>
        <s v="2106110"/>
        <s v="2107320"/>
        <s v="2107500"/>
        <s v="2210000"/>
        <s v="2210210"/>
        <s v="2309004"/>
        <s v="2309007"/>
        <s v="2312000"/>
        <s v="2312024"/>
        <s v="2326001"/>
        <s v="2800000"/>
        <s v="2921001"/>
        <s v="3100030"/>
        <s v="3700000"/>
        <s v="3720000"/>
        <s v="6023000"/>
        <s v="6023014"/>
        <s v="6023015"/>
        <s v="6049010"/>
        <s v="6049070"/>
        <s v="6051045"/>
        <s v="6056020"/>
        <s v="6056030"/>
        <s v="6056090"/>
        <s v="6062110"/>
        <s v="6062200"/>
        <s v="6062202"/>
        <s v="6062203"/>
        <s v="6062300"/>
        <s v="6062310"/>
        <s v="6062400"/>
        <s v="6062410"/>
        <s v="6063000"/>
        <s v="6065005"/>
        <s v="6065045"/>
        <s v="6065115"/>
        <s v="6065120"/>
        <s v="6065130"/>
        <s v="6065150"/>
        <s v="6065180"/>
        <s v="6065995"/>
        <s v="6066020"/>
        <s v="6066202"/>
        <s v="6068000"/>
        <s v="6078000"/>
        <s v="6066010"/>
        <s v="6075000"/>
        <s v="6081320"/>
        <s v="6082000"/>
        <s v="6085070"/>
        <s v="6086000"/>
        <s v="6087000"/>
        <s v="6065240"/>
        <s v="6023012"/>
        <s v="6023013"/>
        <s v="6050310"/>
        <s v="6062240"/>
        <s v="6064000"/>
        <s v="6067000"/>
        <s v="6078020"/>
        <s v="6085040"/>
        <s v="6049067"/>
        <s v="7001100"/>
        <s v="7002160"/>
        <s v="7006204"/>
        <s v="7006211"/>
        <s v="7006212"/>
        <s v="7006401"/>
        <s v="7006407"/>
        <s v="7006408"/>
        <s v="7024000"/>
        <s v="7031808"/>
        <s v="7032514"/>
        <s v="7059001"/>
        <s v="7076000"/>
        <s v="7076001"/>
        <s v="7096000"/>
        <s v="6069000"/>
        <s v="6069010"/>
        <s v="6081100"/>
        <s v="6049009"/>
        <s v="6050410"/>
        <s v="6051020"/>
        <s v="6051030"/>
        <s v="6054000"/>
        <s v="6055030"/>
        <s v="6056010"/>
        <s v="6057000"/>
        <s v="6057100"/>
        <s v="6077000"/>
        <s v="6081310"/>
        <s v="6081340"/>
        <s v="6098000"/>
        <s v="6095352"/>
      </sharedItems>
    </cacheField>
    <cacheField name="HFM_Other" numFmtId="0">
      <sharedItems count="31">
        <s v="EndBal"/>
        <s v="6023000"/>
        <s v="6049000"/>
        <s v="6051000"/>
        <s v="6053000"/>
        <s v="6062100"/>
        <s v="6062200"/>
        <s v="6062700"/>
        <s v="6062300"/>
        <s v="6062400"/>
        <s v="6063000"/>
        <s v="6065000"/>
        <s v="6066000"/>
        <s v="6068000"/>
        <s v="6078000"/>
        <s v="6082000"/>
        <s v="6081300"/>
        <s v="6086000"/>
        <s v="6087000"/>
        <s v="6050300"/>
        <s v="6064000"/>
        <s v="[None]"/>
        <s v="6069000"/>
        <s v="6069500"/>
        <s v="6081100"/>
        <s v="6050400"/>
        <s v="6055000"/>
        <s v="6057000"/>
        <s v="6077000"/>
        <s v="6098000"/>
        <s v="6095352"/>
      </sharedItems>
    </cacheField>
    <cacheField name="Amount" numFmtId="0">
      <sharedItems containsSemiMixedTypes="0" containsString="0" containsNumber="1" minValue="-7317915.46" maxValue="6201180.4299999997" count="358">
        <n v="151.81"/>
        <n v="1846.75"/>
        <n v="194.57"/>
        <n v="4320.16"/>
        <n v="-0.01"/>
        <n v="0.01"/>
        <n v="17867.580000000002"/>
        <n v="19192.66"/>
        <n v="11856.61"/>
        <n v="9270"/>
        <n v="6362.35"/>
        <n v="32152.16"/>
        <n v="5859.81"/>
        <n v="52417"/>
        <n v="3190081.38"/>
        <n v="777400"/>
        <n v="132993.57"/>
        <n v="8513.2099999999991"/>
        <n v="110423.83"/>
        <n v="5131.92"/>
        <n v="-132993.57"/>
        <n v="-8513.2099999999991"/>
        <n v="-104276.83"/>
        <n v="-5131.92"/>
        <n v="-28850.37"/>
        <n v="-1166.6500000000001"/>
        <n v="-18666.2"/>
        <n v="18666.2"/>
        <n v="-7210.59"/>
        <n v="-390.15"/>
        <n v="-8970.83"/>
        <n v="149.16999999999999"/>
        <n v="-77.53"/>
        <n v="-47800"/>
        <n v="-181778.18"/>
        <n v="-31773.37"/>
        <n v="-1940.14"/>
        <n v="80993.259999999995"/>
        <n v="-105106"/>
        <n v="-550"/>
        <n v="-533.05999999999995"/>
        <n v="-2700"/>
        <n v="-2967"/>
        <n v="-14100"/>
        <n v="-174"/>
        <n v="-33618"/>
        <n v="-2354630.6"/>
        <n v="6201180.4299999997"/>
        <n v="-7317915.46"/>
        <n v="39480"/>
        <n v="3485.46"/>
        <n v="-2232.84"/>
        <n v="221"/>
        <n v="253.34"/>
        <n v="240"/>
        <n v="177"/>
        <n v="1089.95"/>
        <n v="148.80000000000001"/>
        <n v="1040.5"/>
        <n v="-1036.8"/>
        <n v="10100"/>
        <n v="-16607.2"/>
        <n v="8314.5300000000007"/>
        <n v="10982.58"/>
        <n v="2172.7399999999998"/>
        <n v="4053.27"/>
        <n v="395.63"/>
        <n v="903.4"/>
        <n v="1628.1"/>
        <n v="1730"/>
        <n v="932.35"/>
        <n v="6.84"/>
        <n v="584.92999999999995"/>
        <n v="1161.95"/>
        <n v="1232"/>
        <n v="2230.17"/>
        <n v="6818.02"/>
        <n v="59.2"/>
        <n v="365.08"/>
        <n v="99566"/>
        <n v="8790.2999999999993"/>
        <n v="-5248.7"/>
        <n v="486.5"/>
        <n v="550"/>
        <n v="720"/>
        <n v="619.30999999999995"/>
        <n v="406.07"/>
        <n v="446.4"/>
        <n v="3627.65"/>
        <n v="-17633.099999999999"/>
        <n v="76410.100000000006"/>
        <n v="28655.87"/>
        <n v="12462.36"/>
        <n v="6119.73"/>
        <n v="9002.3799999999992"/>
        <n v="512.95000000000005"/>
        <n v="1350.69"/>
        <n v="2531.92"/>
        <n v="2052"/>
        <n v="3491.21"/>
        <n v="334.16"/>
        <n v="885.95"/>
        <n v="3431.7"/>
        <n v="950"/>
        <n v="220.09"/>
        <n v="7078.46"/>
        <n v="14242.26"/>
        <n v="1224.8900000000001"/>
        <n v="295.42"/>
        <n v="663.26"/>
        <n v="880"/>
        <n v="1500"/>
        <n v="2215.33"/>
        <n v="750"/>
        <n v="40764"/>
        <n v="2551.1"/>
        <n v="-1544.09"/>
        <n v="180"/>
        <n v="1004.31"/>
        <n v="1983.86"/>
        <n v="-13731"/>
        <n v="9600"/>
        <n v="-6399"/>
        <n v="16951.77"/>
        <n v="2038.5"/>
        <n v="2427.9299999999998"/>
        <n v="4477.92"/>
        <n v="289.99"/>
        <n v="913.13"/>
        <n v="2836.01"/>
        <n v="1936"/>
        <n v="344.12"/>
        <n v="88.5"/>
        <n v="1176.24"/>
        <n v="363.18"/>
        <n v="170"/>
        <n v="228"/>
        <n v="2539.8200000000002"/>
        <n v="7676.74"/>
        <n v="127.5"/>
        <n v="142376"/>
        <n v="911.4"/>
        <n v="-911.4"/>
        <n v="9099.65"/>
        <n v="-5875.83"/>
        <n v="974"/>
        <n v="540"/>
        <n v="203"/>
        <n v="960"/>
        <n v="533.99"/>
        <n v="1287"/>
        <n v="595.20000000000005"/>
        <n v="3641.96"/>
        <n v="-3575.9"/>
        <n v="1793.74"/>
        <n v="733.35"/>
        <n v="30129.49"/>
        <n v="12659.25"/>
        <n v="7056.45"/>
        <n v="11184.98"/>
        <n v="476.14"/>
        <n v="94"/>
        <n v="5433"/>
        <n v="3027.48"/>
        <n v="3246"/>
        <n v="454.51"/>
        <n v="1235.1600000000001"/>
        <n v="1728.02"/>
        <n v="1550.45"/>
        <n v="24"/>
        <n v="-44"/>
        <n v="25.01"/>
        <n v="9111.68"/>
        <n v="18231.68"/>
        <n v="50.9"/>
        <n v="120.53"/>
        <n v="1442.6"/>
        <n v="140.13"/>
        <n v="2241.3000000000002"/>
        <n v="300"/>
        <n v="16385.25"/>
        <n v="3755.54"/>
        <n v="2532"/>
        <n v="73850.7"/>
        <n v="1618.86"/>
        <n v="-1618.86"/>
        <n v="5495.1"/>
        <n v="-3319.78"/>
        <n v="288.5"/>
        <n v="360"/>
        <n v="480"/>
        <n v="98.56"/>
        <n v="239.64"/>
        <n v="297.60000000000002"/>
        <n v="1983.97"/>
        <n v="-3220.5"/>
        <n v="11722"/>
        <n v="-1867.5"/>
        <n v="16269.73"/>
        <n v="15750.03"/>
        <n v="3864.17"/>
        <n v="8453.6200000000008"/>
        <n v="230.32"/>
        <n v="422.49"/>
        <n v="2146.64"/>
        <n v="1142"/>
        <n v="789.34"/>
        <n v="228.08"/>
        <n v="507.99"/>
        <n v="2458.54"/>
        <n v="50"/>
        <n v="-460"/>
        <n v="2896"/>
        <n v="6831"/>
        <n v="57.4"/>
        <n v="4.07"/>
        <n v="31.45"/>
        <n v="734.68"/>
        <n v="40077"/>
        <n v="5061.7299999999996"/>
        <n v="-2556.81"/>
        <n v="244"/>
        <n v="420.16"/>
        <n v="1851.44"/>
        <n v="-11526.41"/>
        <n v="19900"/>
        <n v="-12952.22"/>
        <n v="14545.54"/>
        <n v="11742.57"/>
        <n v="2388.64"/>
        <n v="3818.73"/>
        <n v="236.99"/>
        <n v="4893.0600000000004"/>
        <n v="1065.18"/>
        <n v="1412"/>
        <n v="252.7"/>
        <n v="15.96"/>
        <n v="1259.72"/>
        <n v="575.78"/>
        <n v="60"/>
        <n v="3366.74"/>
        <n v="7028.76"/>
        <n v="23.25"/>
        <n v="35.14"/>
        <n v="462"/>
        <n v="-7.9"/>
        <n v="38.68"/>
        <n v="-0.42"/>
        <n v="-0.86"/>
        <n v="-1.21"/>
        <n v="-0.21"/>
        <n v="-0.79"/>
        <n v="956.91"/>
        <n v="254.69"/>
        <n v="1446.14"/>
        <n v="1040.3"/>
        <n v="509.39"/>
        <n v="-2267.7399999999998"/>
        <n v="16358"/>
        <n v="-2602.85"/>
        <n v="-5315.46"/>
        <n v="-7388.97"/>
        <n v="-1301.42"/>
        <n v="-4889.3999999999996"/>
        <n v="1977.53"/>
        <n v="-1.26"/>
        <n v="-17.920000000000002"/>
        <n v="-36.57"/>
        <n v="-33.64"/>
        <n v="-8.9499999999999993"/>
        <n v="-50.83"/>
        <n v="-101.24"/>
        <n v="-17.82"/>
        <n v="-66.989999999999995"/>
        <n v="-72.819999999999993"/>
        <n v="-35.67"/>
        <n v="163.38999999999999"/>
        <n v="73010"/>
        <n v="-1599.13"/>
        <n v="-0.05"/>
        <n v="-0.09"/>
        <n v="-0.02"/>
        <n v="-0.14000000000000001"/>
        <n v="259.02"/>
        <n v="45.61"/>
        <n v="171.41"/>
        <n v="186.34"/>
        <n v="126.26"/>
        <n v="235.5"/>
        <n v="-715474.5"/>
        <n v="-777400"/>
        <n v="33437.79"/>
        <n v="13715.56"/>
        <n v="556.5"/>
        <n v="-556.5"/>
        <n v="66.5"/>
        <n v="150"/>
        <n v="200"/>
        <n v="39.799999999999997"/>
        <n v="124"/>
        <n v="291.69"/>
        <n v="2542"/>
        <n v="12.85"/>
        <n v="4838.17"/>
        <n v="19.63"/>
        <n v="231"/>
        <n v="16.670000000000002"/>
        <n v="4270"/>
        <n v="2328.4699999999998"/>
        <n v="7.94"/>
        <n v="607.04"/>
        <n v="22.89"/>
        <n v="1427.77"/>
        <n v="2637.41"/>
        <n v="697"/>
        <n v="3561.41"/>
        <n v="769.01"/>
        <n v="-3120"/>
        <n v="1202.47"/>
        <n v="2497.9899999999998"/>
        <n v="2343.71"/>
        <n v="1074.02"/>
        <n v="365.37"/>
        <n v="29442.84"/>
        <n v="346.02"/>
        <n v="13.32"/>
        <n v="966.56"/>
        <n v="147.11000000000001"/>
        <n v="405.3"/>
        <n v="67.540000000000006"/>
        <n v="95.47"/>
        <n v="1507.04"/>
        <n v="426.34"/>
        <n v="8854.4699999999993"/>
        <n v="1972.57"/>
        <n v="8207.2000000000007"/>
        <n v="402"/>
        <n v="1387.23"/>
        <n v="-1522.57"/>
        <n v="2968"/>
        <n v="296.8"/>
        <n v="-296.8"/>
        <n v="30"/>
        <n v="40"/>
        <n v="10.78"/>
        <n v="24.8"/>
        <n v="62.15"/>
        <n v="567.71"/>
        <n v="975.23"/>
        <n v="540.77"/>
        <n v="250"/>
        <n v="47.79"/>
        <n v="10116.6"/>
        <n v="804.21"/>
        <n v="155"/>
        <n v="-560.41"/>
        <n v="13.81"/>
        <n v="41132.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4">
  <r>
    <x v="0"/>
    <x v="0"/>
    <x v="0"/>
    <x v="0"/>
    <x v="0"/>
    <x v="0"/>
    <x v="0"/>
    <x v="0"/>
    <x v="0"/>
    <x v="0"/>
    <x v="0"/>
    <x v="0"/>
    <x v="0"/>
    <x v="0"/>
    <x v="0"/>
  </r>
  <r>
    <x v="1"/>
    <x v="1"/>
    <x v="1"/>
    <x v="1"/>
    <x v="0"/>
    <x v="0"/>
    <x v="1"/>
    <x v="0"/>
    <x v="0"/>
    <x v="0"/>
    <x v="0"/>
    <x v="0"/>
    <x v="1"/>
    <x v="0"/>
    <x v="1"/>
  </r>
  <r>
    <x v="2"/>
    <x v="2"/>
    <x v="2"/>
    <x v="2"/>
    <x v="0"/>
    <x v="0"/>
    <x v="2"/>
    <x v="1"/>
    <x v="1"/>
    <x v="0"/>
    <x v="0"/>
    <x v="0"/>
    <x v="2"/>
    <x v="0"/>
    <x v="2"/>
  </r>
  <r>
    <x v="2"/>
    <x v="2"/>
    <x v="2"/>
    <x v="2"/>
    <x v="0"/>
    <x v="0"/>
    <x v="3"/>
    <x v="2"/>
    <x v="2"/>
    <x v="0"/>
    <x v="0"/>
    <x v="0"/>
    <x v="2"/>
    <x v="0"/>
    <x v="3"/>
  </r>
  <r>
    <x v="3"/>
    <x v="3"/>
    <x v="3"/>
    <x v="3"/>
    <x v="0"/>
    <x v="0"/>
    <x v="4"/>
    <x v="0"/>
    <x v="0"/>
    <x v="1"/>
    <x v="0"/>
    <x v="1"/>
    <x v="3"/>
    <x v="0"/>
    <x v="4"/>
  </r>
  <r>
    <x v="3"/>
    <x v="3"/>
    <x v="3"/>
    <x v="3"/>
    <x v="0"/>
    <x v="0"/>
    <x v="4"/>
    <x v="0"/>
    <x v="0"/>
    <x v="2"/>
    <x v="0"/>
    <x v="2"/>
    <x v="3"/>
    <x v="0"/>
    <x v="5"/>
  </r>
  <r>
    <x v="4"/>
    <x v="4"/>
    <x v="4"/>
    <x v="1"/>
    <x v="0"/>
    <x v="0"/>
    <x v="5"/>
    <x v="0"/>
    <x v="0"/>
    <x v="0"/>
    <x v="0"/>
    <x v="0"/>
    <x v="4"/>
    <x v="0"/>
    <x v="6"/>
  </r>
  <r>
    <x v="5"/>
    <x v="5"/>
    <x v="5"/>
    <x v="1"/>
    <x v="0"/>
    <x v="0"/>
    <x v="6"/>
    <x v="0"/>
    <x v="0"/>
    <x v="0"/>
    <x v="0"/>
    <x v="0"/>
    <x v="5"/>
    <x v="0"/>
    <x v="7"/>
  </r>
  <r>
    <x v="6"/>
    <x v="6"/>
    <x v="6"/>
    <x v="1"/>
    <x v="0"/>
    <x v="0"/>
    <x v="7"/>
    <x v="0"/>
    <x v="0"/>
    <x v="0"/>
    <x v="0"/>
    <x v="0"/>
    <x v="6"/>
    <x v="0"/>
    <x v="8"/>
  </r>
  <r>
    <x v="7"/>
    <x v="7"/>
    <x v="6"/>
    <x v="1"/>
    <x v="0"/>
    <x v="0"/>
    <x v="8"/>
    <x v="0"/>
    <x v="0"/>
    <x v="0"/>
    <x v="0"/>
    <x v="0"/>
    <x v="7"/>
    <x v="0"/>
    <x v="9"/>
  </r>
  <r>
    <x v="8"/>
    <x v="8"/>
    <x v="6"/>
    <x v="1"/>
    <x v="0"/>
    <x v="0"/>
    <x v="9"/>
    <x v="0"/>
    <x v="0"/>
    <x v="0"/>
    <x v="0"/>
    <x v="0"/>
    <x v="8"/>
    <x v="0"/>
    <x v="10"/>
  </r>
  <r>
    <x v="9"/>
    <x v="9"/>
    <x v="6"/>
    <x v="1"/>
    <x v="0"/>
    <x v="0"/>
    <x v="10"/>
    <x v="0"/>
    <x v="0"/>
    <x v="0"/>
    <x v="0"/>
    <x v="0"/>
    <x v="9"/>
    <x v="0"/>
    <x v="11"/>
  </r>
  <r>
    <x v="10"/>
    <x v="10"/>
    <x v="7"/>
    <x v="1"/>
    <x v="0"/>
    <x v="0"/>
    <x v="11"/>
    <x v="0"/>
    <x v="0"/>
    <x v="0"/>
    <x v="0"/>
    <x v="0"/>
    <x v="10"/>
    <x v="0"/>
    <x v="12"/>
  </r>
  <r>
    <x v="11"/>
    <x v="11"/>
    <x v="8"/>
    <x v="0"/>
    <x v="0"/>
    <x v="0"/>
    <x v="12"/>
    <x v="0"/>
    <x v="0"/>
    <x v="0"/>
    <x v="0"/>
    <x v="0"/>
    <x v="11"/>
    <x v="0"/>
    <x v="13"/>
  </r>
  <r>
    <x v="12"/>
    <x v="12"/>
    <x v="9"/>
    <x v="0"/>
    <x v="0"/>
    <x v="0"/>
    <x v="13"/>
    <x v="3"/>
    <x v="3"/>
    <x v="0"/>
    <x v="0"/>
    <x v="0"/>
    <x v="12"/>
    <x v="0"/>
    <x v="14"/>
  </r>
  <r>
    <x v="13"/>
    <x v="13"/>
    <x v="10"/>
    <x v="0"/>
    <x v="0"/>
    <x v="0"/>
    <x v="14"/>
    <x v="4"/>
    <x v="4"/>
    <x v="0"/>
    <x v="0"/>
    <x v="0"/>
    <x v="13"/>
    <x v="0"/>
    <x v="15"/>
  </r>
  <r>
    <x v="14"/>
    <x v="14"/>
    <x v="11"/>
    <x v="1"/>
    <x v="0"/>
    <x v="0"/>
    <x v="15"/>
    <x v="0"/>
    <x v="0"/>
    <x v="0"/>
    <x v="0"/>
    <x v="0"/>
    <x v="14"/>
    <x v="0"/>
    <x v="16"/>
  </r>
  <r>
    <x v="15"/>
    <x v="15"/>
    <x v="12"/>
    <x v="1"/>
    <x v="0"/>
    <x v="0"/>
    <x v="16"/>
    <x v="0"/>
    <x v="0"/>
    <x v="0"/>
    <x v="0"/>
    <x v="0"/>
    <x v="15"/>
    <x v="0"/>
    <x v="17"/>
  </r>
  <r>
    <x v="16"/>
    <x v="16"/>
    <x v="13"/>
    <x v="1"/>
    <x v="0"/>
    <x v="0"/>
    <x v="17"/>
    <x v="0"/>
    <x v="0"/>
    <x v="0"/>
    <x v="0"/>
    <x v="0"/>
    <x v="16"/>
    <x v="0"/>
    <x v="18"/>
  </r>
  <r>
    <x v="17"/>
    <x v="17"/>
    <x v="14"/>
    <x v="1"/>
    <x v="0"/>
    <x v="0"/>
    <x v="18"/>
    <x v="0"/>
    <x v="0"/>
    <x v="0"/>
    <x v="0"/>
    <x v="0"/>
    <x v="17"/>
    <x v="0"/>
    <x v="19"/>
  </r>
  <r>
    <x v="18"/>
    <x v="18"/>
    <x v="15"/>
    <x v="1"/>
    <x v="0"/>
    <x v="0"/>
    <x v="19"/>
    <x v="0"/>
    <x v="0"/>
    <x v="0"/>
    <x v="0"/>
    <x v="0"/>
    <x v="18"/>
    <x v="0"/>
    <x v="20"/>
  </r>
  <r>
    <x v="19"/>
    <x v="19"/>
    <x v="16"/>
    <x v="1"/>
    <x v="0"/>
    <x v="0"/>
    <x v="20"/>
    <x v="0"/>
    <x v="0"/>
    <x v="0"/>
    <x v="0"/>
    <x v="0"/>
    <x v="19"/>
    <x v="0"/>
    <x v="21"/>
  </r>
  <r>
    <x v="20"/>
    <x v="20"/>
    <x v="17"/>
    <x v="1"/>
    <x v="0"/>
    <x v="0"/>
    <x v="21"/>
    <x v="0"/>
    <x v="0"/>
    <x v="0"/>
    <x v="0"/>
    <x v="0"/>
    <x v="20"/>
    <x v="0"/>
    <x v="22"/>
  </r>
  <r>
    <x v="21"/>
    <x v="21"/>
    <x v="18"/>
    <x v="1"/>
    <x v="0"/>
    <x v="0"/>
    <x v="22"/>
    <x v="0"/>
    <x v="0"/>
    <x v="0"/>
    <x v="0"/>
    <x v="0"/>
    <x v="21"/>
    <x v="0"/>
    <x v="23"/>
  </r>
  <r>
    <x v="22"/>
    <x v="22"/>
    <x v="19"/>
    <x v="1"/>
    <x v="0"/>
    <x v="0"/>
    <x v="23"/>
    <x v="0"/>
    <x v="0"/>
    <x v="0"/>
    <x v="0"/>
    <x v="0"/>
    <x v="22"/>
    <x v="0"/>
    <x v="24"/>
  </r>
  <r>
    <x v="23"/>
    <x v="23"/>
    <x v="19"/>
    <x v="1"/>
    <x v="0"/>
    <x v="0"/>
    <x v="24"/>
    <x v="0"/>
    <x v="0"/>
    <x v="0"/>
    <x v="0"/>
    <x v="0"/>
    <x v="23"/>
    <x v="0"/>
    <x v="25"/>
  </r>
  <r>
    <x v="24"/>
    <x v="24"/>
    <x v="20"/>
    <x v="1"/>
    <x v="0"/>
    <x v="0"/>
    <x v="25"/>
    <x v="0"/>
    <x v="0"/>
    <x v="0"/>
    <x v="0"/>
    <x v="0"/>
    <x v="24"/>
    <x v="0"/>
    <x v="26"/>
  </r>
  <r>
    <x v="25"/>
    <x v="25"/>
    <x v="20"/>
    <x v="1"/>
    <x v="0"/>
    <x v="0"/>
    <x v="26"/>
    <x v="0"/>
    <x v="0"/>
    <x v="0"/>
    <x v="0"/>
    <x v="0"/>
    <x v="25"/>
    <x v="0"/>
    <x v="27"/>
  </r>
  <r>
    <x v="26"/>
    <x v="26"/>
    <x v="21"/>
    <x v="2"/>
    <x v="0"/>
    <x v="0"/>
    <x v="2"/>
    <x v="1"/>
    <x v="1"/>
    <x v="0"/>
    <x v="0"/>
    <x v="0"/>
    <x v="26"/>
    <x v="0"/>
    <x v="28"/>
  </r>
  <r>
    <x v="26"/>
    <x v="26"/>
    <x v="21"/>
    <x v="2"/>
    <x v="0"/>
    <x v="0"/>
    <x v="14"/>
    <x v="4"/>
    <x v="4"/>
    <x v="0"/>
    <x v="0"/>
    <x v="0"/>
    <x v="26"/>
    <x v="0"/>
    <x v="29"/>
  </r>
  <r>
    <x v="26"/>
    <x v="26"/>
    <x v="21"/>
    <x v="2"/>
    <x v="0"/>
    <x v="0"/>
    <x v="27"/>
    <x v="5"/>
    <x v="5"/>
    <x v="0"/>
    <x v="0"/>
    <x v="0"/>
    <x v="26"/>
    <x v="0"/>
    <x v="30"/>
  </r>
  <r>
    <x v="27"/>
    <x v="27"/>
    <x v="21"/>
    <x v="2"/>
    <x v="0"/>
    <x v="0"/>
    <x v="2"/>
    <x v="1"/>
    <x v="1"/>
    <x v="0"/>
    <x v="0"/>
    <x v="0"/>
    <x v="27"/>
    <x v="0"/>
    <x v="31"/>
  </r>
  <r>
    <x v="27"/>
    <x v="27"/>
    <x v="21"/>
    <x v="2"/>
    <x v="0"/>
    <x v="0"/>
    <x v="27"/>
    <x v="5"/>
    <x v="5"/>
    <x v="0"/>
    <x v="0"/>
    <x v="0"/>
    <x v="27"/>
    <x v="0"/>
    <x v="32"/>
  </r>
  <r>
    <x v="28"/>
    <x v="28"/>
    <x v="22"/>
    <x v="1"/>
    <x v="0"/>
    <x v="0"/>
    <x v="28"/>
    <x v="0"/>
    <x v="0"/>
    <x v="0"/>
    <x v="0"/>
    <x v="0"/>
    <x v="28"/>
    <x v="0"/>
    <x v="33"/>
  </r>
  <r>
    <x v="29"/>
    <x v="29"/>
    <x v="23"/>
    <x v="1"/>
    <x v="0"/>
    <x v="0"/>
    <x v="29"/>
    <x v="0"/>
    <x v="0"/>
    <x v="0"/>
    <x v="0"/>
    <x v="0"/>
    <x v="29"/>
    <x v="0"/>
    <x v="34"/>
  </r>
  <r>
    <x v="30"/>
    <x v="30"/>
    <x v="24"/>
    <x v="1"/>
    <x v="0"/>
    <x v="0"/>
    <x v="30"/>
    <x v="0"/>
    <x v="0"/>
    <x v="0"/>
    <x v="0"/>
    <x v="0"/>
    <x v="30"/>
    <x v="0"/>
    <x v="35"/>
  </r>
  <r>
    <x v="31"/>
    <x v="31"/>
    <x v="24"/>
    <x v="1"/>
    <x v="0"/>
    <x v="0"/>
    <x v="31"/>
    <x v="0"/>
    <x v="0"/>
    <x v="0"/>
    <x v="0"/>
    <x v="0"/>
    <x v="31"/>
    <x v="0"/>
    <x v="36"/>
  </r>
  <r>
    <x v="32"/>
    <x v="32"/>
    <x v="25"/>
    <x v="0"/>
    <x v="0"/>
    <x v="0"/>
    <x v="32"/>
    <x v="0"/>
    <x v="0"/>
    <x v="0"/>
    <x v="0"/>
    <x v="0"/>
    <x v="32"/>
    <x v="0"/>
    <x v="37"/>
  </r>
  <r>
    <x v="33"/>
    <x v="33"/>
    <x v="25"/>
    <x v="0"/>
    <x v="0"/>
    <x v="0"/>
    <x v="33"/>
    <x v="0"/>
    <x v="0"/>
    <x v="0"/>
    <x v="0"/>
    <x v="0"/>
    <x v="33"/>
    <x v="0"/>
    <x v="38"/>
  </r>
  <r>
    <x v="34"/>
    <x v="34"/>
    <x v="26"/>
    <x v="1"/>
    <x v="0"/>
    <x v="0"/>
    <x v="34"/>
    <x v="0"/>
    <x v="0"/>
    <x v="0"/>
    <x v="0"/>
    <x v="0"/>
    <x v="34"/>
    <x v="0"/>
    <x v="39"/>
  </r>
  <r>
    <x v="35"/>
    <x v="35"/>
    <x v="26"/>
    <x v="1"/>
    <x v="0"/>
    <x v="0"/>
    <x v="35"/>
    <x v="0"/>
    <x v="0"/>
    <x v="0"/>
    <x v="0"/>
    <x v="0"/>
    <x v="35"/>
    <x v="0"/>
    <x v="40"/>
  </r>
  <r>
    <x v="36"/>
    <x v="36"/>
    <x v="27"/>
    <x v="1"/>
    <x v="0"/>
    <x v="0"/>
    <x v="36"/>
    <x v="0"/>
    <x v="0"/>
    <x v="0"/>
    <x v="0"/>
    <x v="0"/>
    <x v="36"/>
    <x v="0"/>
    <x v="41"/>
  </r>
  <r>
    <x v="37"/>
    <x v="37"/>
    <x v="27"/>
    <x v="1"/>
    <x v="0"/>
    <x v="0"/>
    <x v="37"/>
    <x v="0"/>
    <x v="0"/>
    <x v="0"/>
    <x v="0"/>
    <x v="0"/>
    <x v="37"/>
    <x v="0"/>
    <x v="42"/>
  </r>
  <r>
    <x v="38"/>
    <x v="38"/>
    <x v="28"/>
    <x v="1"/>
    <x v="0"/>
    <x v="0"/>
    <x v="38"/>
    <x v="0"/>
    <x v="0"/>
    <x v="0"/>
    <x v="0"/>
    <x v="0"/>
    <x v="38"/>
    <x v="0"/>
    <x v="43"/>
  </r>
  <r>
    <x v="39"/>
    <x v="39"/>
    <x v="29"/>
    <x v="0"/>
    <x v="0"/>
    <x v="0"/>
    <x v="39"/>
    <x v="0"/>
    <x v="0"/>
    <x v="0"/>
    <x v="0"/>
    <x v="0"/>
    <x v="39"/>
    <x v="0"/>
    <x v="44"/>
  </r>
  <r>
    <x v="40"/>
    <x v="40"/>
    <x v="30"/>
    <x v="1"/>
    <x v="0"/>
    <x v="0"/>
    <x v="40"/>
    <x v="0"/>
    <x v="0"/>
    <x v="0"/>
    <x v="0"/>
    <x v="0"/>
    <x v="40"/>
    <x v="0"/>
    <x v="45"/>
  </r>
  <r>
    <x v="41"/>
    <x v="41"/>
    <x v="31"/>
    <x v="0"/>
    <x v="0"/>
    <x v="0"/>
    <x v="41"/>
    <x v="0"/>
    <x v="0"/>
    <x v="0"/>
    <x v="0"/>
    <x v="0"/>
    <x v="41"/>
    <x v="0"/>
    <x v="46"/>
  </r>
  <r>
    <x v="42"/>
    <x v="42"/>
    <x v="32"/>
    <x v="0"/>
    <x v="0"/>
    <x v="0"/>
    <x v="42"/>
    <x v="0"/>
    <x v="0"/>
    <x v="0"/>
    <x v="0"/>
    <x v="0"/>
    <x v="42"/>
    <x v="0"/>
    <x v="47"/>
  </r>
  <r>
    <x v="43"/>
    <x v="43"/>
    <x v="32"/>
    <x v="0"/>
    <x v="0"/>
    <x v="0"/>
    <x v="43"/>
    <x v="0"/>
    <x v="0"/>
    <x v="0"/>
    <x v="0"/>
    <x v="0"/>
    <x v="43"/>
    <x v="0"/>
    <x v="48"/>
  </r>
  <r>
    <x v="44"/>
    <x v="44"/>
    <x v="33"/>
    <x v="3"/>
    <x v="0"/>
    <x v="0"/>
    <x v="44"/>
    <x v="0"/>
    <x v="0"/>
    <x v="3"/>
    <x v="0"/>
    <x v="3"/>
    <x v="44"/>
    <x v="1"/>
    <x v="49"/>
  </r>
  <r>
    <x v="44"/>
    <x v="45"/>
    <x v="33"/>
    <x v="3"/>
    <x v="0"/>
    <x v="0"/>
    <x v="45"/>
    <x v="0"/>
    <x v="0"/>
    <x v="3"/>
    <x v="0"/>
    <x v="3"/>
    <x v="45"/>
    <x v="2"/>
    <x v="50"/>
  </r>
  <r>
    <x v="44"/>
    <x v="46"/>
    <x v="33"/>
    <x v="3"/>
    <x v="0"/>
    <x v="0"/>
    <x v="46"/>
    <x v="0"/>
    <x v="0"/>
    <x v="3"/>
    <x v="0"/>
    <x v="3"/>
    <x v="46"/>
    <x v="2"/>
    <x v="51"/>
  </r>
  <r>
    <x v="44"/>
    <x v="47"/>
    <x v="33"/>
    <x v="3"/>
    <x v="0"/>
    <x v="0"/>
    <x v="47"/>
    <x v="0"/>
    <x v="0"/>
    <x v="3"/>
    <x v="0"/>
    <x v="3"/>
    <x v="47"/>
    <x v="2"/>
    <x v="52"/>
  </r>
  <r>
    <x v="44"/>
    <x v="48"/>
    <x v="33"/>
    <x v="3"/>
    <x v="0"/>
    <x v="0"/>
    <x v="48"/>
    <x v="0"/>
    <x v="0"/>
    <x v="3"/>
    <x v="0"/>
    <x v="3"/>
    <x v="48"/>
    <x v="2"/>
    <x v="53"/>
  </r>
  <r>
    <x v="44"/>
    <x v="49"/>
    <x v="33"/>
    <x v="3"/>
    <x v="0"/>
    <x v="0"/>
    <x v="49"/>
    <x v="0"/>
    <x v="0"/>
    <x v="3"/>
    <x v="0"/>
    <x v="3"/>
    <x v="49"/>
    <x v="3"/>
    <x v="54"/>
  </r>
  <r>
    <x v="44"/>
    <x v="50"/>
    <x v="33"/>
    <x v="3"/>
    <x v="0"/>
    <x v="0"/>
    <x v="50"/>
    <x v="0"/>
    <x v="0"/>
    <x v="3"/>
    <x v="0"/>
    <x v="3"/>
    <x v="50"/>
    <x v="4"/>
    <x v="55"/>
  </r>
  <r>
    <x v="44"/>
    <x v="51"/>
    <x v="33"/>
    <x v="3"/>
    <x v="0"/>
    <x v="0"/>
    <x v="51"/>
    <x v="0"/>
    <x v="0"/>
    <x v="3"/>
    <x v="0"/>
    <x v="3"/>
    <x v="51"/>
    <x v="4"/>
    <x v="56"/>
  </r>
  <r>
    <x v="44"/>
    <x v="52"/>
    <x v="33"/>
    <x v="3"/>
    <x v="0"/>
    <x v="0"/>
    <x v="52"/>
    <x v="0"/>
    <x v="0"/>
    <x v="3"/>
    <x v="0"/>
    <x v="3"/>
    <x v="52"/>
    <x v="4"/>
    <x v="57"/>
  </r>
  <r>
    <x v="44"/>
    <x v="53"/>
    <x v="33"/>
    <x v="3"/>
    <x v="0"/>
    <x v="0"/>
    <x v="53"/>
    <x v="0"/>
    <x v="0"/>
    <x v="3"/>
    <x v="0"/>
    <x v="3"/>
    <x v="53"/>
    <x v="5"/>
    <x v="58"/>
  </r>
  <r>
    <x v="44"/>
    <x v="54"/>
    <x v="33"/>
    <x v="3"/>
    <x v="0"/>
    <x v="0"/>
    <x v="54"/>
    <x v="0"/>
    <x v="0"/>
    <x v="3"/>
    <x v="0"/>
    <x v="3"/>
    <x v="54"/>
    <x v="6"/>
    <x v="59"/>
  </r>
  <r>
    <x v="44"/>
    <x v="55"/>
    <x v="33"/>
    <x v="3"/>
    <x v="0"/>
    <x v="0"/>
    <x v="55"/>
    <x v="0"/>
    <x v="0"/>
    <x v="3"/>
    <x v="0"/>
    <x v="3"/>
    <x v="55"/>
    <x v="7"/>
    <x v="60"/>
  </r>
  <r>
    <x v="44"/>
    <x v="56"/>
    <x v="33"/>
    <x v="3"/>
    <x v="0"/>
    <x v="0"/>
    <x v="56"/>
    <x v="0"/>
    <x v="0"/>
    <x v="3"/>
    <x v="0"/>
    <x v="3"/>
    <x v="56"/>
    <x v="7"/>
    <x v="61"/>
  </r>
  <r>
    <x v="44"/>
    <x v="57"/>
    <x v="33"/>
    <x v="3"/>
    <x v="0"/>
    <x v="0"/>
    <x v="57"/>
    <x v="0"/>
    <x v="0"/>
    <x v="3"/>
    <x v="0"/>
    <x v="3"/>
    <x v="57"/>
    <x v="8"/>
    <x v="62"/>
  </r>
  <r>
    <x v="44"/>
    <x v="58"/>
    <x v="33"/>
    <x v="3"/>
    <x v="0"/>
    <x v="0"/>
    <x v="58"/>
    <x v="0"/>
    <x v="0"/>
    <x v="3"/>
    <x v="0"/>
    <x v="3"/>
    <x v="58"/>
    <x v="8"/>
    <x v="63"/>
  </r>
  <r>
    <x v="44"/>
    <x v="59"/>
    <x v="33"/>
    <x v="3"/>
    <x v="0"/>
    <x v="0"/>
    <x v="59"/>
    <x v="0"/>
    <x v="0"/>
    <x v="3"/>
    <x v="0"/>
    <x v="3"/>
    <x v="59"/>
    <x v="9"/>
    <x v="64"/>
  </r>
  <r>
    <x v="44"/>
    <x v="60"/>
    <x v="33"/>
    <x v="3"/>
    <x v="0"/>
    <x v="0"/>
    <x v="60"/>
    <x v="0"/>
    <x v="0"/>
    <x v="3"/>
    <x v="0"/>
    <x v="3"/>
    <x v="60"/>
    <x v="2"/>
    <x v="65"/>
  </r>
  <r>
    <x v="44"/>
    <x v="61"/>
    <x v="33"/>
    <x v="3"/>
    <x v="0"/>
    <x v="0"/>
    <x v="61"/>
    <x v="0"/>
    <x v="0"/>
    <x v="3"/>
    <x v="0"/>
    <x v="3"/>
    <x v="61"/>
    <x v="10"/>
    <x v="66"/>
  </r>
  <r>
    <x v="44"/>
    <x v="62"/>
    <x v="33"/>
    <x v="3"/>
    <x v="0"/>
    <x v="0"/>
    <x v="62"/>
    <x v="0"/>
    <x v="0"/>
    <x v="3"/>
    <x v="0"/>
    <x v="3"/>
    <x v="62"/>
    <x v="11"/>
    <x v="67"/>
  </r>
  <r>
    <x v="44"/>
    <x v="63"/>
    <x v="33"/>
    <x v="3"/>
    <x v="0"/>
    <x v="0"/>
    <x v="63"/>
    <x v="0"/>
    <x v="0"/>
    <x v="3"/>
    <x v="0"/>
    <x v="3"/>
    <x v="63"/>
    <x v="11"/>
    <x v="68"/>
  </r>
  <r>
    <x v="44"/>
    <x v="64"/>
    <x v="33"/>
    <x v="3"/>
    <x v="0"/>
    <x v="0"/>
    <x v="64"/>
    <x v="0"/>
    <x v="0"/>
    <x v="3"/>
    <x v="0"/>
    <x v="3"/>
    <x v="64"/>
    <x v="11"/>
    <x v="69"/>
  </r>
  <r>
    <x v="44"/>
    <x v="65"/>
    <x v="33"/>
    <x v="3"/>
    <x v="0"/>
    <x v="0"/>
    <x v="65"/>
    <x v="0"/>
    <x v="0"/>
    <x v="3"/>
    <x v="0"/>
    <x v="3"/>
    <x v="65"/>
    <x v="11"/>
    <x v="70"/>
  </r>
  <r>
    <x v="44"/>
    <x v="66"/>
    <x v="33"/>
    <x v="3"/>
    <x v="0"/>
    <x v="0"/>
    <x v="66"/>
    <x v="0"/>
    <x v="0"/>
    <x v="3"/>
    <x v="0"/>
    <x v="3"/>
    <x v="66"/>
    <x v="11"/>
    <x v="71"/>
  </r>
  <r>
    <x v="44"/>
    <x v="67"/>
    <x v="33"/>
    <x v="3"/>
    <x v="0"/>
    <x v="0"/>
    <x v="67"/>
    <x v="0"/>
    <x v="0"/>
    <x v="3"/>
    <x v="0"/>
    <x v="3"/>
    <x v="67"/>
    <x v="11"/>
    <x v="72"/>
  </r>
  <r>
    <x v="44"/>
    <x v="68"/>
    <x v="33"/>
    <x v="3"/>
    <x v="0"/>
    <x v="0"/>
    <x v="68"/>
    <x v="0"/>
    <x v="0"/>
    <x v="3"/>
    <x v="0"/>
    <x v="3"/>
    <x v="68"/>
    <x v="11"/>
    <x v="73"/>
  </r>
  <r>
    <x v="44"/>
    <x v="69"/>
    <x v="33"/>
    <x v="3"/>
    <x v="0"/>
    <x v="0"/>
    <x v="69"/>
    <x v="0"/>
    <x v="0"/>
    <x v="3"/>
    <x v="0"/>
    <x v="3"/>
    <x v="69"/>
    <x v="11"/>
    <x v="74"/>
  </r>
  <r>
    <x v="44"/>
    <x v="70"/>
    <x v="33"/>
    <x v="3"/>
    <x v="0"/>
    <x v="0"/>
    <x v="70"/>
    <x v="0"/>
    <x v="0"/>
    <x v="3"/>
    <x v="0"/>
    <x v="3"/>
    <x v="70"/>
    <x v="12"/>
    <x v="75"/>
  </r>
  <r>
    <x v="44"/>
    <x v="71"/>
    <x v="33"/>
    <x v="3"/>
    <x v="0"/>
    <x v="0"/>
    <x v="71"/>
    <x v="0"/>
    <x v="0"/>
    <x v="3"/>
    <x v="0"/>
    <x v="3"/>
    <x v="71"/>
    <x v="12"/>
    <x v="76"/>
  </r>
  <r>
    <x v="44"/>
    <x v="72"/>
    <x v="33"/>
    <x v="3"/>
    <x v="0"/>
    <x v="0"/>
    <x v="72"/>
    <x v="0"/>
    <x v="0"/>
    <x v="3"/>
    <x v="0"/>
    <x v="3"/>
    <x v="72"/>
    <x v="13"/>
    <x v="77"/>
  </r>
  <r>
    <x v="44"/>
    <x v="73"/>
    <x v="33"/>
    <x v="3"/>
    <x v="0"/>
    <x v="0"/>
    <x v="73"/>
    <x v="0"/>
    <x v="0"/>
    <x v="3"/>
    <x v="0"/>
    <x v="3"/>
    <x v="73"/>
    <x v="14"/>
    <x v="78"/>
  </r>
  <r>
    <x v="44"/>
    <x v="44"/>
    <x v="33"/>
    <x v="3"/>
    <x v="0"/>
    <x v="0"/>
    <x v="44"/>
    <x v="0"/>
    <x v="0"/>
    <x v="4"/>
    <x v="0"/>
    <x v="4"/>
    <x v="44"/>
    <x v="1"/>
    <x v="79"/>
  </r>
  <r>
    <x v="44"/>
    <x v="45"/>
    <x v="33"/>
    <x v="3"/>
    <x v="0"/>
    <x v="0"/>
    <x v="45"/>
    <x v="0"/>
    <x v="0"/>
    <x v="4"/>
    <x v="0"/>
    <x v="4"/>
    <x v="45"/>
    <x v="2"/>
    <x v="80"/>
  </r>
  <r>
    <x v="44"/>
    <x v="46"/>
    <x v="33"/>
    <x v="3"/>
    <x v="0"/>
    <x v="0"/>
    <x v="46"/>
    <x v="0"/>
    <x v="0"/>
    <x v="4"/>
    <x v="0"/>
    <x v="4"/>
    <x v="46"/>
    <x v="2"/>
    <x v="81"/>
  </r>
  <r>
    <x v="44"/>
    <x v="47"/>
    <x v="33"/>
    <x v="3"/>
    <x v="0"/>
    <x v="0"/>
    <x v="47"/>
    <x v="0"/>
    <x v="0"/>
    <x v="4"/>
    <x v="0"/>
    <x v="4"/>
    <x v="47"/>
    <x v="2"/>
    <x v="82"/>
  </r>
  <r>
    <x v="44"/>
    <x v="48"/>
    <x v="33"/>
    <x v="3"/>
    <x v="0"/>
    <x v="0"/>
    <x v="48"/>
    <x v="0"/>
    <x v="0"/>
    <x v="4"/>
    <x v="0"/>
    <x v="4"/>
    <x v="48"/>
    <x v="2"/>
    <x v="83"/>
  </r>
  <r>
    <x v="44"/>
    <x v="49"/>
    <x v="33"/>
    <x v="3"/>
    <x v="0"/>
    <x v="0"/>
    <x v="49"/>
    <x v="0"/>
    <x v="0"/>
    <x v="4"/>
    <x v="0"/>
    <x v="4"/>
    <x v="49"/>
    <x v="3"/>
    <x v="84"/>
  </r>
  <r>
    <x v="44"/>
    <x v="50"/>
    <x v="33"/>
    <x v="3"/>
    <x v="0"/>
    <x v="0"/>
    <x v="50"/>
    <x v="0"/>
    <x v="0"/>
    <x v="4"/>
    <x v="0"/>
    <x v="4"/>
    <x v="50"/>
    <x v="4"/>
    <x v="85"/>
  </r>
  <r>
    <x v="44"/>
    <x v="51"/>
    <x v="33"/>
    <x v="3"/>
    <x v="0"/>
    <x v="0"/>
    <x v="51"/>
    <x v="0"/>
    <x v="0"/>
    <x v="4"/>
    <x v="0"/>
    <x v="4"/>
    <x v="51"/>
    <x v="4"/>
    <x v="86"/>
  </r>
  <r>
    <x v="44"/>
    <x v="52"/>
    <x v="33"/>
    <x v="3"/>
    <x v="0"/>
    <x v="0"/>
    <x v="52"/>
    <x v="0"/>
    <x v="0"/>
    <x v="4"/>
    <x v="0"/>
    <x v="4"/>
    <x v="52"/>
    <x v="4"/>
    <x v="87"/>
  </r>
  <r>
    <x v="44"/>
    <x v="53"/>
    <x v="33"/>
    <x v="3"/>
    <x v="0"/>
    <x v="0"/>
    <x v="53"/>
    <x v="0"/>
    <x v="0"/>
    <x v="4"/>
    <x v="0"/>
    <x v="4"/>
    <x v="53"/>
    <x v="5"/>
    <x v="88"/>
  </r>
  <r>
    <x v="44"/>
    <x v="54"/>
    <x v="33"/>
    <x v="3"/>
    <x v="0"/>
    <x v="0"/>
    <x v="54"/>
    <x v="0"/>
    <x v="0"/>
    <x v="4"/>
    <x v="0"/>
    <x v="4"/>
    <x v="54"/>
    <x v="6"/>
    <x v="89"/>
  </r>
  <r>
    <x v="44"/>
    <x v="56"/>
    <x v="33"/>
    <x v="3"/>
    <x v="0"/>
    <x v="0"/>
    <x v="56"/>
    <x v="0"/>
    <x v="0"/>
    <x v="4"/>
    <x v="0"/>
    <x v="4"/>
    <x v="56"/>
    <x v="7"/>
    <x v="90"/>
  </r>
  <r>
    <x v="44"/>
    <x v="57"/>
    <x v="33"/>
    <x v="3"/>
    <x v="0"/>
    <x v="0"/>
    <x v="57"/>
    <x v="0"/>
    <x v="0"/>
    <x v="4"/>
    <x v="0"/>
    <x v="4"/>
    <x v="57"/>
    <x v="8"/>
    <x v="91"/>
  </r>
  <r>
    <x v="44"/>
    <x v="58"/>
    <x v="33"/>
    <x v="3"/>
    <x v="0"/>
    <x v="0"/>
    <x v="58"/>
    <x v="0"/>
    <x v="0"/>
    <x v="4"/>
    <x v="0"/>
    <x v="4"/>
    <x v="58"/>
    <x v="8"/>
    <x v="92"/>
  </r>
  <r>
    <x v="44"/>
    <x v="59"/>
    <x v="33"/>
    <x v="3"/>
    <x v="0"/>
    <x v="0"/>
    <x v="59"/>
    <x v="0"/>
    <x v="0"/>
    <x v="4"/>
    <x v="0"/>
    <x v="4"/>
    <x v="59"/>
    <x v="9"/>
    <x v="93"/>
  </r>
  <r>
    <x v="44"/>
    <x v="60"/>
    <x v="33"/>
    <x v="3"/>
    <x v="0"/>
    <x v="0"/>
    <x v="60"/>
    <x v="0"/>
    <x v="0"/>
    <x v="4"/>
    <x v="0"/>
    <x v="4"/>
    <x v="60"/>
    <x v="2"/>
    <x v="94"/>
  </r>
  <r>
    <x v="44"/>
    <x v="61"/>
    <x v="33"/>
    <x v="3"/>
    <x v="0"/>
    <x v="0"/>
    <x v="61"/>
    <x v="0"/>
    <x v="0"/>
    <x v="4"/>
    <x v="0"/>
    <x v="4"/>
    <x v="61"/>
    <x v="10"/>
    <x v="95"/>
  </r>
  <r>
    <x v="44"/>
    <x v="62"/>
    <x v="33"/>
    <x v="3"/>
    <x v="0"/>
    <x v="0"/>
    <x v="62"/>
    <x v="0"/>
    <x v="0"/>
    <x v="4"/>
    <x v="0"/>
    <x v="4"/>
    <x v="62"/>
    <x v="11"/>
    <x v="96"/>
  </r>
  <r>
    <x v="44"/>
    <x v="63"/>
    <x v="33"/>
    <x v="3"/>
    <x v="0"/>
    <x v="0"/>
    <x v="63"/>
    <x v="0"/>
    <x v="0"/>
    <x v="4"/>
    <x v="0"/>
    <x v="4"/>
    <x v="63"/>
    <x v="11"/>
    <x v="97"/>
  </r>
  <r>
    <x v="44"/>
    <x v="64"/>
    <x v="33"/>
    <x v="3"/>
    <x v="0"/>
    <x v="0"/>
    <x v="64"/>
    <x v="0"/>
    <x v="0"/>
    <x v="4"/>
    <x v="0"/>
    <x v="4"/>
    <x v="64"/>
    <x v="11"/>
    <x v="98"/>
  </r>
  <r>
    <x v="44"/>
    <x v="65"/>
    <x v="33"/>
    <x v="3"/>
    <x v="0"/>
    <x v="0"/>
    <x v="65"/>
    <x v="0"/>
    <x v="0"/>
    <x v="4"/>
    <x v="0"/>
    <x v="4"/>
    <x v="65"/>
    <x v="11"/>
    <x v="99"/>
  </r>
  <r>
    <x v="44"/>
    <x v="66"/>
    <x v="33"/>
    <x v="3"/>
    <x v="0"/>
    <x v="0"/>
    <x v="66"/>
    <x v="0"/>
    <x v="0"/>
    <x v="4"/>
    <x v="0"/>
    <x v="4"/>
    <x v="66"/>
    <x v="11"/>
    <x v="100"/>
  </r>
  <r>
    <x v="44"/>
    <x v="67"/>
    <x v="33"/>
    <x v="3"/>
    <x v="0"/>
    <x v="0"/>
    <x v="67"/>
    <x v="0"/>
    <x v="0"/>
    <x v="4"/>
    <x v="0"/>
    <x v="4"/>
    <x v="67"/>
    <x v="11"/>
    <x v="101"/>
  </r>
  <r>
    <x v="44"/>
    <x v="68"/>
    <x v="33"/>
    <x v="3"/>
    <x v="0"/>
    <x v="0"/>
    <x v="68"/>
    <x v="0"/>
    <x v="0"/>
    <x v="4"/>
    <x v="0"/>
    <x v="4"/>
    <x v="68"/>
    <x v="11"/>
    <x v="102"/>
  </r>
  <r>
    <x v="44"/>
    <x v="69"/>
    <x v="33"/>
    <x v="3"/>
    <x v="0"/>
    <x v="0"/>
    <x v="69"/>
    <x v="0"/>
    <x v="0"/>
    <x v="4"/>
    <x v="0"/>
    <x v="4"/>
    <x v="69"/>
    <x v="11"/>
    <x v="103"/>
  </r>
  <r>
    <x v="44"/>
    <x v="74"/>
    <x v="33"/>
    <x v="3"/>
    <x v="0"/>
    <x v="0"/>
    <x v="74"/>
    <x v="0"/>
    <x v="0"/>
    <x v="4"/>
    <x v="0"/>
    <x v="4"/>
    <x v="74"/>
    <x v="12"/>
    <x v="104"/>
  </r>
  <r>
    <x v="44"/>
    <x v="70"/>
    <x v="33"/>
    <x v="3"/>
    <x v="0"/>
    <x v="0"/>
    <x v="70"/>
    <x v="0"/>
    <x v="0"/>
    <x v="4"/>
    <x v="0"/>
    <x v="4"/>
    <x v="70"/>
    <x v="12"/>
    <x v="105"/>
  </r>
  <r>
    <x v="44"/>
    <x v="71"/>
    <x v="33"/>
    <x v="3"/>
    <x v="0"/>
    <x v="0"/>
    <x v="71"/>
    <x v="0"/>
    <x v="0"/>
    <x v="4"/>
    <x v="0"/>
    <x v="4"/>
    <x v="71"/>
    <x v="12"/>
    <x v="106"/>
  </r>
  <r>
    <x v="44"/>
    <x v="75"/>
    <x v="33"/>
    <x v="3"/>
    <x v="0"/>
    <x v="0"/>
    <x v="75"/>
    <x v="0"/>
    <x v="0"/>
    <x v="4"/>
    <x v="0"/>
    <x v="4"/>
    <x v="75"/>
    <x v="15"/>
    <x v="107"/>
  </r>
  <r>
    <x v="44"/>
    <x v="73"/>
    <x v="33"/>
    <x v="3"/>
    <x v="0"/>
    <x v="0"/>
    <x v="73"/>
    <x v="0"/>
    <x v="0"/>
    <x v="4"/>
    <x v="0"/>
    <x v="4"/>
    <x v="73"/>
    <x v="14"/>
    <x v="108"/>
  </r>
  <r>
    <x v="44"/>
    <x v="76"/>
    <x v="33"/>
    <x v="3"/>
    <x v="0"/>
    <x v="0"/>
    <x v="76"/>
    <x v="0"/>
    <x v="0"/>
    <x v="4"/>
    <x v="0"/>
    <x v="4"/>
    <x v="76"/>
    <x v="16"/>
    <x v="109"/>
  </r>
  <r>
    <x v="44"/>
    <x v="77"/>
    <x v="33"/>
    <x v="3"/>
    <x v="0"/>
    <x v="0"/>
    <x v="77"/>
    <x v="0"/>
    <x v="0"/>
    <x v="4"/>
    <x v="0"/>
    <x v="4"/>
    <x v="77"/>
    <x v="15"/>
    <x v="110"/>
  </r>
  <r>
    <x v="44"/>
    <x v="78"/>
    <x v="33"/>
    <x v="3"/>
    <x v="0"/>
    <x v="0"/>
    <x v="78"/>
    <x v="0"/>
    <x v="0"/>
    <x v="4"/>
    <x v="0"/>
    <x v="4"/>
    <x v="78"/>
    <x v="17"/>
    <x v="111"/>
  </r>
  <r>
    <x v="44"/>
    <x v="79"/>
    <x v="33"/>
    <x v="3"/>
    <x v="0"/>
    <x v="0"/>
    <x v="79"/>
    <x v="0"/>
    <x v="0"/>
    <x v="4"/>
    <x v="0"/>
    <x v="4"/>
    <x v="79"/>
    <x v="18"/>
    <x v="112"/>
  </r>
  <r>
    <x v="44"/>
    <x v="44"/>
    <x v="33"/>
    <x v="3"/>
    <x v="0"/>
    <x v="0"/>
    <x v="44"/>
    <x v="0"/>
    <x v="0"/>
    <x v="5"/>
    <x v="0"/>
    <x v="5"/>
    <x v="44"/>
    <x v="1"/>
    <x v="113"/>
  </r>
  <r>
    <x v="44"/>
    <x v="47"/>
    <x v="33"/>
    <x v="3"/>
    <x v="0"/>
    <x v="0"/>
    <x v="47"/>
    <x v="0"/>
    <x v="0"/>
    <x v="5"/>
    <x v="0"/>
    <x v="5"/>
    <x v="47"/>
    <x v="2"/>
    <x v="114"/>
  </r>
  <r>
    <x v="44"/>
    <x v="48"/>
    <x v="33"/>
    <x v="3"/>
    <x v="0"/>
    <x v="0"/>
    <x v="48"/>
    <x v="0"/>
    <x v="0"/>
    <x v="5"/>
    <x v="0"/>
    <x v="5"/>
    <x v="48"/>
    <x v="2"/>
    <x v="115"/>
  </r>
  <r>
    <x v="44"/>
    <x v="49"/>
    <x v="33"/>
    <x v="3"/>
    <x v="0"/>
    <x v="0"/>
    <x v="49"/>
    <x v="0"/>
    <x v="0"/>
    <x v="5"/>
    <x v="0"/>
    <x v="5"/>
    <x v="49"/>
    <x v="3"/>
    <x v="54"/>
  </r>
  <r>
    <x v="44"/>
    <x v="50"/>
    <x v="33"/>
    <x v="3"/>
    <x v="0"/>
    <x v="0"/>
    <x v="50"/>
    <x v="0"/>
    <x v="0"/>
    <x v="5"/>
    <x v="0"/>
    <x v="5"/>
    <x v="50"/>
    <x v="4"/>
    <x v="55"/>
  </r>
  <r>
    <x v="44"/>
    <x v="51"/>
    <x v="33"/>
    <x v="3"/>
    <x v="0"/>
    <x v="0"/>
    <x v="51"/>
    <x v="0"/>
    <x v="0"/>
    <x v="5"/>
    <x v="0"/>
    <x v="5"/>
    <x v="51"/>
    <x v="4"/>
    <x v="116"/>
  </r>
  <r>
    <x v="44"/>
    <x v="52"/>
    <x v="33"/>
    <x v="3"/>
    <x v="0"/>
    <x v="0"/>
    <x v="52"/>
    <x v="0"/>
    <x v="0"/>
    <x v="5"/>
    <x v="0"/>
    <x v="5"/>
    <x v="52"/>
    <x v="4"/>
    <x v="57"/>
  </r>
  <r>
    <x v="44"/>
    <x v="53"/>
    <x v="33"/>
    <x v="3"/>
    <x v="0"/>
    <x v="0"/>
    <x v="53"/>
    <x v="0"/>
    <x v="0"/>
    <x v="5"/>
    <x v="0"/>
    <x v="5"/>
    <x v="53"/>
    <x v="5"/>
    <x v="117"/>
  </r>
  <r>
    <x v="44"/>
    <x v="54"/>
    <x v="33"/>
    <x v="3"/>
    <x v="0"/>
    <x v="0"/>
    <x v="54"/>
    <x v="0"/>
    <x v="0"/>
    <x v="5"/>
    <x v="0"/>
    <x v="5"/>
    <x v="54"/>
    <x v="6"/>
    <x v="118"/>
  </r>
  <r>
    <x v="44"/>
    <x v="55"/>
    <x v="33"/>
    <x v="3"/>
    <x v="0"/>
    <x v="0"/>
    <x v="55"/>
    <x v="0"/>
    <x v="0"/>
    <x v="5"/>
    <x v="0"/>
    <x v="5"/>
    <x v="55"/>
    <x v="7"/>
    <x v="119"/>
  </r>
  <r>
    <x v="44"/>
    <x v="56"/>
    <x v="33"/>
    <x v="3"/>
    <x v="0"/>
    <x v="0"/>
    <x v="56"/>
    <x v="0"/>
    <x v="0"/>
    <x v="5"/>
    <x v="0"/>
    <x v="5"/>
    <x v="56"/>
    <x v="7"/>
    <x v="120"/>
  </r>
  <r>
    <x v="44"/>
    <x v="57"/>
    <x v="33"/>
    <x v="3"/>
    <x v="0"/>
    <x v="0"/>
    <x v="57"/>
    <x v="0"/>
    <x v="0"/>
    <x v="5"/>
    <x v="0"/>
    <x v="5"/>
    <x v="57"/>
    <x v="8"/>
    <x v="121"/>
  </r>
  <r>
    <x v="44"/>
    <x v="58"/>
    <x v="33"/>
    <x v="3"/>
    <x v="0"/>
    <x v="0"/>
    <x v="58"/>
    <x v="0"/>
    <x v="0"/>
    <x v="5"/>
    <x v="0"/>
    <x v="5"/>
    <x v="58"/>
    <x v="8"/>
    <x v="122"/>
  </r>
  <r>
    <x v="44"/>
    <x v="59"/>
    <x v="33"/>
    <x v="3"/>
    <x v="0"/>
    <x v="0"/>
    <x v="59"/>
    <x v="0"/>
    <x v="0"/>
    <x v="5"/>
    <x v="0"/>
    <x v="5"/>
    <x v="59"/>
    <x v="9"/>
    <x v="123"/>
  </r>
  <r>
    <x v="44"/>
    <x v="60"/>
    <x v="33"/>
    <x v="3"/>
    <x v="0"/>
    <x v="0"/>
    <x v="60"/>
    <x v="0"/>
    <x v="0"/>
    <x v="5"/>
    <x v="0"/>
    <x v="5"/>
    <x v="60"/>
    <x v="2"/>
    <x v="124"/>
  </r>
  <r>
    <x v="44"/>
    <x v="61"/>
    <x v="33"/>
    <x v="3"/>
    <x v="0"/>
    <x v="0"/>
    <x v="61"/>
    <x v="0"/>
    <x v="0"/>
    <x v="5"/>
    <x v="0"/>
    <x v="5"/>
    <x v="61"/>
    <x v="10"/>
    <x v="125"/>
  </r>
  <r>
    <x v="44"/>
    <x v="62"/>
    <x v="33"/>
    <x v="3"/>
    <x v="0"/>
    <x v="0"/>
    <x v="62"/>
    <x v="0"/>
    <x v="0"/>
    <x v="5"/>
    <x v="0"/>
    <x v="5"/>
    <x v="62"/>
    <x v="11"/>
    <x v="126"/>
  </r>
  <r>
    <x v="44"/>
    <x v="63"/>
    <x v="33"/>
    <x v="3"/>
    <x v="0"/>
    <x v="0"/>
    <x v="63"/>
    <x v="0"/>
    <x v="0"/>
    <x v="5"/>
    <x v="0"/>
    <x v="5"/>
    <x v="63"/>
    <x v="11"/>
    <x v="127"/>
  </r>
  <r>
    <x v="44"/>
    <x v="64"/>
    <x v="33"/>
    <x v="3"/>
    <x v="0"/>
    <x v="0"/>
    <x v="64"/>
    <x v="0"/>
    <x v="0"/>
    <x v="5"/>
    <x v="0"/>
    <x v="5"/>
    <x v="64"/>
    <x v="11"/>
    <x v="128"/>
  </r>
  <r>
    <x v="44"/>
    <x v="65"/>
    <x v="33"/>
    <x v="3"/>
    <x v="0"/>
    <x v="0"/>
    <x v="65"/>
    <x v="0"/>
    <x v="0"/>
    <x v="5"/>
    <x v="0"/>
    <x v="5"/>
    <x v="65"/>
    <x v="11"/>
    <x v="129"/>
  </r>
  <r>
    <x v="44"/>
    <x v="66"/>
    <x v="33"/>
    <x v="3"/>
    <x v="0"/>
    <x v="0"/>
    <x v="66"/>
    <x v="0"/>
    <x v="0"/>
    <x v="5"/>
    <x v="0"/>
    <x v="5"/>
    <x v="66"/>
    <x v="11"/>
    <x v="130"/>
  </r>
  <r>
    <x v="44"/>
    <x v="67"/>
    <x v="33"/>
    <x v="3"/>
    <x v="0"/>
    <x v="0"/>
    <x v="67"/>
    <x v="0"/>
    <x v="0"/>
    <x v="5"/>
    <x v="0"/>
    <x v="5"/>
    <x v="67"/>
    <x v="11"/>
    <x v="131"/>
  </r>
  <r>
    <x v="44"/>
    <x v="68"/>
    <x v="33"/>
    <x v="3"/>
    <x v="0"/>
    <x v="0"/>
    <x v="68"/>
    <x v="0"/>
    <x v="0"/>
    <x v="5"/>
    <x v="0"/>
    <x v="5"/>
    <x v="68"/>
    <x v="11"/>
    <x v="132"/>
  </r>
  <r>
    <x v="44"/>
    <x v="70"/>
    <x v="33"/>
    <x v="3"/>
    <x v="0"/>
    <x v="0"/>
    <x v="70"/>
    <x v="0"/>
    <x v="0"/>
    <x v="5"/>
    <x v="0"/>
    <x v="5"/>
    <x v="70"/>
    <x v="12"/>
    <x v="133"/>
  </r>
  <r>
    <x v="44"/>
    <x v="71"/>
    <x v="33"/>
    <x v="3"/>
    <x v="0"/>
    <x v="0"/>
    <x v="71"/>
    <x v="0"/>
    <x v="0"/>
    <x v="5"/>
    <x v="0"/>
    <x v="5"/>
    <x v="71"/>
    <x v="12"/>
    <x v="134"/>
  </r>
  <r>
    <x v="44"/>
    <x v="72"/>
    <x v="33"/>
    <x v="3"/>
    <x v="0"/>
    <x v="0"/>
    <x v="72"/>
    <x v="0"/>
    <x v="0"/>
    <x v="5"/>
    <x v="0"/>
    <x v="5"/>
    <x v="72"/>
    <x v="13"/>
    <x v="135"/>
  </r>
  <r>
    <x v="44"/>
    <x v="44"/>
    <x v="33"/>
    <x v="3"/>
    <x v="0"/>
    <x v="0"/>
    <x v="44"/>
    <x v="0"/>
    <x v="0"/>
    <x v="6"/>
    <x v="1"/>
    <x v="6"/>
    <x v="44"/>
    <x v="1"/>
    <x v="136"/>
  </r>
  <r>
    <x v="44"/>
    <x v="80"/>
    <x v="33"/>
    <x v="3"/>
    <x v="0"/>
    <x v="0"/>
    <x v="80"/>
    <x v="0"/>
    <x v="0"/>
    <x v="6"/>
    <x v="1"/>
    <x v="6"/>
    <x v="80"/>
    <x v="2"/>
    <x v="137"/>
  </r>
  <r>
    <x v="44"/>
    <x v="81"/>
    <x v="33"/>
    <x v="3"/>
    <x v="0"/>
    <x v="0"/>
    <x v="81"/>
    <x v="0"/>
    <x v="0"/>
    <x v="6"/>
    <x v="1"/>
    <x v="6"/>
    <x v="81"/>
    <x v="1"/>
    <x v="138"/>
  </r>
  <r>
    <x v="44"/>
    <x v="45"/>
    <x v="33"/>
    <x v="3"/>
    <x v="0"/>
    <x v="0"/>
    <x v="45"/>
    <x v="0"/>
    <x v="0"/>
    <x v="6"/>
    <x v="1"/>
    <x v="6"/>
    <x v="45"/>
    <x v="2"/>
    <x v="139"/>
  </r>
  <r>
    <x v="44"/>
    <x v="46"/>
    <x v="33"/>
    <x v="3"/>
    <x v="0"/>
    <x v="0"/>
    <x v="46"/>
    <x v="0"/>
    <x v="0"/>
    <x v="6"/>
    <x v="1"/>
    <x v="6"/>
    <x v="46"/>
    <x v="2"/>
    <x v="140"/>
  </r>
  <r>
    <x v="44"/>
    <x v="47"/>
    <x v="33"/>
    <x v="3"/>
    <x v="0"/>
    <x v="0"/>
    <x v="47"/>
    <x v="0"/>
    <x v="0"/>
    <x v="6"/>
    <x v="1"/>
    <x v="6"/>
    <x v="47"/>
    <x v="2"/>
    <x v="141"/>
  </r>
  <r>
    <x v="44"/>
    <x v="48"/>
    <x v="33"/>
    <x v="3"/>
    <x v="0"/>
    <x v="0"/>
    <x v="48"/>
    <x v="0"/>
    <x v="0"/>
    <x v="6"/>
    <x v="1"/>
    <x v="6"/>
    <x v="48"/>
    <x v="2"/>
    <x v="142"/>
  </r>
  <r>
    <x v="44"/>
    <x v="82"/>
    <x v="33"/>
    <x v="3"/>
    <x v="0"/>
    <x v="0"/>
    <x v="82"/>
    <x v="0"/>
    <x v="0"/>
    <x v="6"/>
    <x v="1"/>
    <x v="6"/>
    <x v="82"/>
    <x v="19"/>
    <x v="143"/>
  </r>
  <r>
    <x v="44"/>
    <x v="49"/>
    <x v="33"/>
    <x v="3"/>
    <x v="0"/>
    <x v="0"/>
    <x v="49"/>
    <x v="0"/>
    <x v="0"/>
    <x v="6"/>
    <x v="1"/>
    <x v="6"/>
    <x v="49"/>
    <x v="3"/>
    <x v="144"/>
  </r>
  <r>
    <x v="44"/>
    <x v="50"/>
    <x v="33"/>
    <x v="3"/>
    <x v="0"/>
    <x v="0"/>
    <x v="50"/>
    <x v="0"/>
    <x v="0"/>
    <x v="6"/>
    <x v="1"/>
    <x v="6"/>
    <x v="50"/>
    <x v="4"/>
    <x v="145"/>
  </r>
  <r>
    <x v="44"/>
    <x v="51"/>
    <x v="33"/>
    <x v="3"/>
    <x v="0"/>
    <x v="0"/>
    <x v="51"/>
    <x v="0"/>
    <x v="0"/>
    <x v="6"/>
    <x v="1"/>
    <x v="6"/>
    <x v="51"/>
    <x v="4"/>
    <x v="146"/>
  </r>
  <r>
    <x v="44"/>
    <x v="52"/>
    <x v="33"/>
    <x v="3"/>
    <x v="0"/>
    <x v="0"/>
    <x v="52"/>
    <x v="0"/>
    <x v="0"/>
    <x v="6"/>
    <x v="1"/>
    <x v="6"/>
    <x v="52"/>
    <x v="4"/>
    <x v="147"/>
  </r>
  <r>
    <x v="44"/>
    <x v="53"/>
    <x v="33"/>
    <x v="3"/>
    <x v="0"/>
    <x v="0"/>
    <x v="53"/>
    <x v="0"/>
    <x v="0"/>
    <x v="6"/>
    <x v="1"/>
    <x v="6"/>
    <x v="53"/>
    <x v="5"/>
    <x v="148"/>
  </r>
  <r>
    <x v="44"/>
    <x v="54"/>
    <x v="33"/>
    <x v="3"/>
    <x v="0"/>
    <x v="0"/>
    <x v="54"/>
    <x v="0"/>
    <x v="0"/>
    <x v="6"/>
    <x v="1"/>
    <x v="6"/>
    <x v="54"/>
    <x v="6"/>
    <x v="149"/>
  </r>
  <r>
    <x v="44"/>
    <x v="56"/>
    <x v="33"/>
    <x v="3"/>
    <x v="0"/>
    <x v="0"/>
    <x v="56"/>
    <x v="0"/>
    <x v="0"/>
    <x v="6"/>
    <x v="1"/>
    <x v="6"/>
    <x v="56"/>
    <x v="7"/>
    <x v="150"/>
  </r>
  <r>
    <x v="44"/>
    <x v="83"/>
    <x v="33"/>
    <x v="3"/>
    <x v="0"/>
    <x v="0"/>
    <x v="83"/>
    <x v="0"/>
    <x v="0"/>
    <x v="6"/>
    <x v="1"/>
    <x v="6"/>
    <x v="83"/>
    <x v="6"/>
    <x v="151"/>
  </r>
  <r>
    <x v="44"/>
    <x v="57"/>
    <x v="33"/>
    <x v="3"/>
    <x v="0"/>
    <x v="0"/>
    <x v="57"/>
    <x v="0"/>
    <x v="0"/>
    <x v="6"/>
    <x v="1"/>
    <x v="6"/>
    <x v="57"/>
    <x v="8"/>
    <x v="152"/>
  </r>
  <r>
    <x v="44"/>
    <x v="58"/>
    <x v="33"/>
    <x v="3"/>
    <x v="0"/>
    <x v="0"/>
    <x v="58"/>
    <x v="0"/>
    <x v="0"/>
    <x v="6"/>
    <x v="1"/>
    <x v="6"/>
    <x v="58"/>
    <x v="8"/>
    <x v="153"/>
  </r>
  <r>
    <x v="44"/>
    <x v="59"/>
    <x v="33"/>
    <x v="3"/>
    <x v="0"/>
    <x v="0"/>
    <x v="59"/>
    <x v="0"/>
    <x v="0"/>
    <x v="6"/>
    <x v="1"/>
    <x v="6"/>
    <x v="59"/>
    <x v="9"/>
    <x v="154"/>
  </r>
  <r>
    <x v="44"/>
    <x v="60"/>
    <x v="33"/>
    <x v="3"/>
    <x v="0"/>
    <x v="0"/>
    <x v="60"/>
    <x v="0"/>
    <x v="0"/>
    <x v="6"/>
    <x v="1"/>
    <x v="6"/>
    <x v="60"/>
    <x v="2"/>
    <x v="155"/>
  </r>
  <r>
    <x v="44"/>
    <x v="61"/>
    <x v="33"/>
    <x v="3"/>
    <x v="0"/>
    <x v="0"/>
    <x v="61"/>
    <x v="0"/>
    <x v="0"/>
    <x v="6"/>
    <x v="1"/>
    <x v="6"/>
    <x v="61"/>
    <x v="10"/>
    <x v="156"/>
  </r>
  <r>
    <x v="44"/>
    <x v="84"/>
    <x v="33"/>
    <x v="3"/>
    <x v="0"/>
    <x v="0"/>
    <x v="84"/>
    <x v="0"/>
    <x v="0"/>
    <x v="6"/>
    <x v="1"/>
    <x v="6"/>
    <x v="84"/>
    <x v="20"/>
    <x v="157"/>
  </r>
  <r>
    <x v="44"/>
    <x v="62"/>
    <x v="33"/>
    <x v="3"/>
    <x v="0"/>
    <x v="0"/>
    <x v="62"/>
    <x v="0"/>
    <x v="0"/>
    <x v="6"/>
    <x v="1"/>
    <x v="6"/>
    <x v="62"/>
    <x v="11"/>
    <x v="158"/>
  </r>
  <r>
    <x v="44"/>
    <x v="63"/>
    <x v="33"/>
    <x v="3"/>
    <x v="0"/>
    <x v="0"/>
    <x v="63"/>
    <x v="0"/>
    <x v="0"/>
    <x v="6"/>
    <x v="1"/>
    <x v="6"/>
    <x v="63"/>
    <x v="11"/>
    <x v="159"/>
  </r>
  <r>
    <x v="44"/>
    <x v="64"/>
    <x v="33"/>
    <x v="3"/>
    <x v="0"/>
    <x v="0"/>
    <x v="64"/>
    <x v="0"/>
    <x v="0"/>
    <x v="6"/>
    <x v="1"/>
    <x v="6"/>
    <x v="64"/>
    <x v="11"/>
    <x v="160"/>
  </r>
  <r>
    <x v="44"/>
    <x v="65"/>
    <x v="33"/>
    <x v="3"/>
    <x v="0"/>
    <x v="0"/>
    <x v="65"/>
    <x v="0"/>
    <x v="0"/>
    <x v="6"/>
    <x v="1"/>
    <x v="6"/>
    <x v="65"/>
    <x v="11"/>
    <x v="161"/>
  </r>
  <r>
    <x v="44"/>
    <x v="66"/>
    <x v="33"/>
    <x v="3"/>
    <x v="0"/>
    <x v="0"/>
    <x v="66"/>
    <x v="0"/>
    <x v="0"/>
    <x v="6"/>
    <x v="1"/>
    <x v="6"/>
    <x v="66"/>
    <x v="11"/>
    <x v="162"/>
  </r>
  <r>
    <x v="44"/>
    <x v="67"/>
    <x v="33"/>
    <x v="3"/>
    <x v="0"/>
    <x v="0"/>
    <x v="67"/>
    <x v="0"/>
    <x v="0"/>
    <x v="6"/>
    <x v="1"/>
    <x v="6"/>
    <x v="67"/>
    <x v="11"/>
    <x v="163"/>
  </r>
  <r>
    <x v="44"/>
    <x v="68"/>
    <x v="33"/>
    <x v="3"/>
    <x v="0"/>
    <x v="0"/>
    <x v="68"/>
    <x v="0"/>
    <x v="0"/>
    <x v="6"/>
    <x v="1"/>
    <x v="6"/>
    <x v="68"/>
    <x v="11"/>
    <x v="164"/>
  </r>
  <r>
    <x v="44"/>
    <x v="85"/>
    <x v="33"/>
    <x v="3"/>
    <x v="0"/>
    <x v="0"/>
    <x v="85"/>
    <x v="0"/>
    <x v="0"/>
    <x v="6"/>
    <x v="1"/>
    <x v="6"/>
    <x v="85"/>
    <x v="11"/>
    <x v="165"/>
  </r>
  <r>
    <x v="44"/>
    <x v="69"/>
    <x v="33"/>
    <x v="3"/>
    <x v="0"/>
    <x v="0"/>
    <x v="69"/>
    <x v="0"/>
    <x v="0"/>
    <x v="6"/>
    <x v="1"/>
    <x v="6"/>
    <x v="69"/>
    <x v="11"/>
    <x v="166"/>
  </r>
  <r>
    <x v="44"/>
    <x v="74"/>
    <x v="33"/>
    <x v="3"/>
    <x v="0"/>
    <x v="0"/>
    <x v="74"/>
    <x v="0"/>
    <x v="0"/>
    <x v="6"/>
    <x v="1"/>
    <x v="6"/>
    <x v="74"/>
    <x v="12"/>
    <x v="167"/>
  </r>
  <r>
    <x v="44"/>
    <x v="70"/>
    <x v="33"/>
    <x v="3"/>
    <x v="0"/>
    <x v="0"/>
    <x v="70"/>
    <x v="0"/>
    <x v="0"/>
    <x v="6"/>
    <x v="1"/>
    <x v="6"/>
    <x v="70"/>
    <x v="12"/>
    <x v="168"/>
  </r>
  <r>
    <x v="44"/>
    <x v="71"/>
    <x v="33"/>
    <x v="3"/>
    <x v="0"/>
    <x v="0"/>
    <x v="71"/>
    <x v="0"/>
    <x v="0"/>
    <x v="6"/>
    <x v="1"/>
    <x v="6"/>
    <x v="71"/>
    <x v="12"/>
    <x v="169"/>
  </r>
  <r>
    <x v="44"/>
    <x v="72"/>
    <x v="33"/>
    <x v="3"/>
    <x v="0"/>
    <x v="0"/>
    <x v="72"/>
    <x v="0"/>
    <x v="0"/>
    <x v="6"/>
    <x v="1"/>
    <x v="6"/>
    <x v="72"/>
    <x v="13"/>
    <x v="170"/>
  </r>
  <r>
    <x v="44"/>
    <x v="75"/>
    <x v="33"/>
    <x v="3"/>
    <x v="0"/>
    <x v="0"/>
    <x v="75"/>
    <x v="0"/>
    <x v="0"/>
    <x v="6"/>
    <x v="1"/>
    <x v="6"/>
    <x v="75"/>
    <x v="15"/>
    <x v="171"/>
  </r>
  <r>
    <x v="44"/>
    <x v="73"/>
    <x v="33"/>
    <x v="3"/>
    <x v="0"/>
    <x v="0"/>
    <x v="73"/>
    <x v="0"/>
    <x v="0"/>
    <x v="6"/>
    <x v="1"/>
    <x v="6"/>
    <x v="73"/>
    <x v="14"/>
    <x v="172"/>
  </r>
  <r>
    <x v="44"/>
    <x v="86"/>
    <x v="33"/>
    <x v="3"/>
    <x v="0"/>
    <x v="0"/>
    <x v="86"/>
    <x v="0"/>
    <x v="0"/>
    <x v="6"/>
    <x v="1"/>
    <x v="6"/>
    <x v="86"/>
    <x v="14"/>
    <x v="173"/>
  </r>
  <r>
    <x v="44"/>
    <x v="87"/>
    <x v="33"/>
    <x v="3"/>
    <x v="0"/>
    <x v="0"/>
    <x v="87"/>
    <x v="0"/>
    <x v="0"/>
    <x v="6"/>
    <x v="1"/>
    <x v="6"/>
    <x v="87"/>
    <x v="15"/>
    <x v="174"/>
  </r>
  <r>
    <x v="44"/>
    <x v="88"/>
    <x v="33"/>
    <x v="3"/>
    <x v="0"/>
    <x v="0"/>
    <x v="88"/>
    <x v="0"/>
    <x v="0"/>
    <x v="6"/>
    <x v="1"/>
    <x v="6"/>
    <x v="88"/>
    <x v="15"/>
    <x v="175"/>
  </r>
  <r>
    <x v="44"/>
    <x v="78"/>
    <x v="33"/>
    <x v="3"/>
    <x v="0"/>
    <x v="0"/>
    <x v="78"/>
    <x v="0"/>
    <x v="0"/>
    <x v="6"/>
    <x v="1"/>
    <x v="6"/>
    <x v="78"/>
    <x v="17"/>
    <x v="176"/>
  </r>
  <r>
    <x v="44"/>
    <x v="79"/>
    <x v="33"/>
    <x v="3"/>
    <x v="0"/>
    <x v="0"/>
    <x v="79"/>
    <x v="0"/>
    <x v="0"/>
    <x v="6"/>
    <x v="1"/>
    <x v="6"/>
    <x v="79"/>
    <x v="18"/>
    <x v="177"/>
  </r>
  <r>
    <x v="44"/>
    <x v="44"/>
    <x v="33"/>
    <x v="3"/>
    <x v="0"/>
    <x v="0"/>
    <x v="44"/>
    <x v="0"/>
    <x v="0"/>
    <x v="7"/>
    <x v="0"/>
    <x v="7"/>
    <x v="44"/>
    <x v="1"/>
    <x v="178"/>
  </r>
  <r>
    <x v="44"/>
    <x v="80"/>
    <x v="33"/>
    <x v="3"/>
    <x v="0"/>
    <x v="0"/>
    <x v="80"/>
    <x v="0"/>
    <x v="0"/>
    <x v="7"/>
    <x v="0"/>
    <x v="7"/>
    <x v="80"/>
    <x v="2"/>
    <x v="179"/>
  </r>
  <r>
    <x v="44"/>
    <x v="81"/>
    <x v="33"/>
    <x v="3"/>
    <x v="0"/>
    <x v="0"/>
    <x v="81"/>
    <x v="0"/>
    <x v="0"/>
    <x v="7"/>
    <x v="0"/>
    <x v="7"/>
    <x v="81"/>
    <x v="1"/>
    <x v="180"/>
  </r>
  <r>
    <x v="44"/>
    <x v="45"/>
    <x v="33"/>
    <x v="3"/>
    <x v="0"/>
    <x v="0"/>
    <x v="45"/>
    <x v="0"/>
    <x v="0"/>
    <x v="7"/>
    <x v="0"/>
    <x v="7"/>
    <x v="45"/>
    <x v="2"/>
    <x v="181"/>
  </r>
  <r>
    <x v="44"/>
    <x v="46"/>
    <x v="33"/>
    <x v="3"/>
    <x v="0"/>
    <x v="0"/>
    <x v="46"/>
    <x v="0"/>
    <x v="0"/>
    <x v="7"/>
    <x v="0"/>
    <x v="7"/>
    <x v="46"/>
    <x v="2"/>
    <x v="182"/>
  </r>
  <r>
    <x v="44"/>
    <x v="47"/>
    <x v="33"/>
    <x v="3"/>
    <x v="0"/>
    <x v="0"/>
    <x v="47"/>
    <x v="0"/>
    <x v="0"/>
    <x v="7"/>
    <x v="0"/>
    <x v="7"/>
    <x v="47"/>
    <x v="2"/>
    <x v="183"/>
  </r>
  <r>
    <x v="44"/>
    <x v="89"/>
    <x v="33"/>
    <x v="3"/>
    <x v="0"/>
    <x v="0"/>
    <x v="89"/>
    <x v="0"/>
    <x v="0"/>
    <x v="7"/>
    <x v="0"/>
    <x v="7"/>
    <x v="89"/>
    <x v="2"/>
    <x v="184"/>
  </r>
  <r>
    <x v="44"/>
    <x v="48"/>
    <x v="33"/>
    <x v="3"/>
    <x v="0"/>
    <x v="0"/>
    <x v="48"/>
    <x v="0"/>
    <x v="0"/>
    <x v="7"/>
    <x v="0"/>
    <x v="7"/>
    <x v="48"/>
    <x v="2"/>
    <x v="174"/>
  </r>
  <r>
    <x v="44"/>
    <x v="49"/>
    <x v="33"/>
    <x v="3"/>
    <x v="0"/>
    <x v="0"/>
    <x v="49"/>
    <x v="0"/>
    <x v="0"/>
    <x v="7"/>
    <x v="0"/>
    <x v="7"/>
    <x v="49"/>
    <x v="3"/>
    <x v="185"/>
  </r>
  <r>
    <x v="44"/>
    <x v="50"/>
    <x v="33"/>
    <x v="3"/>
    <x v="0"/>
    <x v="0"/>
    <x v="50"/>
    <x v="0"/>
    <x v="0"/>
    <x v="7"/>
    <x v="0"/>
    <x v="7"/>
    <x v="50"/>
    <x v="4"/>
    <x v="186"/>
  </r>
  <r>
    <x v="44"/>
    <x v="51"/>
    <x v="33"/>
    <x v="3"/>
    <x v="0"/>
    <x v="0"/>
    <x v="51"/>
    <x v="0"/>
    <x v="0"/>
    <x v="7"/>
    <x v="0"/>
    <x v="7"/>
    <x v="51"/>
    <x v="4"/>
    <x v="187"/>
  </r>
  <r>
    <x v="44"/>
    <x v="52"/>
    <x v="33"/>
    <x v="3"/>
    <x v="0"/>
    <x v="0"/>
    <x v="52"/>
    <x v="0"/>
    <x v="0"/>
    <x v="7"/>
    <x v="0"/>
    <x v="7"/>
    <x v="52"/>
    <x v="4"/>
    <x v="188"/>
  </r>
  <r>
    <x v="44"/>
    <x v="53"/>
    <x v="33"/>
    <x v="3"/>
    <x v="0"/>
    <x v="0"/>
    <x v="53"/>
    <x v="0"/>
    <x v="0"/>
    <x v="7"/>
    <x v="0"/>
    <x v="7"/>
    <x v="53"/>
    <x v="5"/>
    <x v="189"/>
  </r>
  <r>
    <x v="44"/>
    <x v="54"/>
    <x v="33"/>
    <x v="3"/>
    <x v="0"/>
    <x v="0"/>
    <x v="54"/>
    <x v="0"/>
    <x v="0"/>
    <x v="7"/>
    <x v="0"/>
    <x v="7"/>
    <x v="54"/>
    <x v="6"/>
    <x v="190"/>
  </r>
  <r>
    <x v="44"/>
    <x v="55"/>
    <x v="33"/>
    <x v="3"/>
    <x v="0"/>
    <x v="0"/>
    <x v="55"/>
    <x v="0"/>
    <x v="0"/>
    <x v="7"/>
    <x v="0"/>
    <x v="7"/>
    <x v="55"/>
    <x v="7"/>
    <x v="191"/>
  </r>
  <r>
    <x v="44"/>
    <x v="56"/>
    <x v="33"/>
    <x v="3"/>
    <x v="0"/>
    <x v="0"/>
    <x v="56"/>
    <x v="0"/>
    <x v="0"/>
    <x v="7"/>
    <x v="0"/>
    <x v="7"/>
    <x v="56"/>
    <x v="7"/>
    <x v="192"/>
  </r>
  <r>
    <x v="44"/>
    <x v="57"/>
    <x v="33"/>
    <x v="3"/>
    <x v="0"/>
    <x v="0"/>
    <x v="57"/>
    <x v="0"/>
    <x v="0"/>
    <x v="7"/>
    <x v="0"/>
    <x v="7"/>
    <x v="57"/>
    <x v="8"/>
    <x v="193"/>
  </r>
  <r>
    <x v="44"/>
    <x v="58"/>
    <x v="33"/>
    <x v="3"/>
    <x v="0"/>
    <x v="0"/>
    <x v="58"/>
    <x v="0"/>
    <x v="0"/>
    <x v="7"/>
    <x v="0"/>
    <x v="7"/>
    <x v="58"/>
    <x v="8"/>
    <x v="194"/>
  </r>
  <r>
    <x v="44"/>
    <x v="59"/>
    <x v="33"/>
    <x v="3"/>
    <x v="0"/>
    <x v="0"/>
    <x v="59"/>
    <x v="0"/>
    <x v="0"/>
    <x v="7"/>
    <x v="0"/>
    <x v="7"/>
    <x v="59"/>
    <x v="9"/>
    <x v="195"/>
  </r>
  <r>
    <x v="44"/>
    <x v="60"/>
    <x v="33"/>
    <x v="3"/>
    <x v="0"/>
    <x v="0"/>
    <x v="60"/>
    <x v="0"/>
    <x v="0"/>
    <x v="7"/>
    <x v="0"/>
    <x v="7"/>
    <x v="60"/>
    <x v="2"/>
    <x v="196"/>
  </r>
  <r>
    <x v="44"/>
    <x v="61"/>
    <x v="33"/>
    <x v="3"/>
    <x v="0"/>
    <x v="0"/>
    <x v="61"/>
    <x v="0"/>
    <x v="0"/>
    <x v="7"/>
    <x v="0"/>
    <x v="7"/>
    <x v="61"/>
    <x v="10"/>
    <x v="197"/>
  </r>
  <r>
    <x v="44"/>
    <x v="62"/>
    <x v="33"/>
    <x v="3"/>
    <x v="0"/>
    <x v="0"/>
    <x v="62"/>
    <x v="0"/>
    <x v="0"/>
    <x v="7"/>
    <x v="0"/>
    <x v="7"/>
    <x v="62"/>
    <x v="11"/>
    <x v="198"/>
  </r>
  <r>
    <x v="44"/>
    <x v="63"/>
    <x v="33"/>
    <x v="3"/>
    <x v="0"/>
    <x v="0"/>
    <x v="63"/>
    <x v="0"/>
    <x v="0"/>
    <x v="7"/>
    <x v="0"/>
    <x v="7"/>
    <x v="63"/>
    <x v="11"/>
    <x v="199"/>
  </r>
  <r>
    <x v="44"/>
    <x v="64"/>
    <x v="33"/>
    <x v="3"/>
    <x v="0"/>
    <x v="0"/>
    <x v="64"/>
    <x v="0"/>
    <x v="0"/>
    <x v="7"/>
    <x v="0"/>
    <x v="7"/>
    <x v="64"/>
    <x v="11"/>
    <x v="200"/>
  </r>
  <r>
    <x v="44"/>
    <x v="65"/>
    <x v="33"/>
    <x v="3"/>
    <x v="0"/>
    <x v="0"/>
    <x v="65"/>
    <x v="0"/>
    <x v="0"/>
    <x v="7"/>
    <x v="0"/>
    <x v="7"/>
    <x v="65"/>
    <x v="11"/>
    <x v="201"/>
  </r>
  <r>
    <x v="44"/>
    <x v="66"/>
    <x v="33"/>
    <x v="3"/>
    <x v="0"/>
    <x v="0"/>
    <x v="66"/>
    <x v="0"/>
    <x v="0"/>
    <x v="7"/>
    <x v="0"/>
    <x v="7"/>
    <x v="66"/>
    <x v="11"/>
    <x v="202"/>
  </r>
  <r>
    <x v="44"/>
    <x v="67"/>
    <x v="33"/>
    <x v="3"/>
    <x v="0"/>
    <x v="0"/>
    <x v="67"/>
    <x v="0"/>
    <x v="0"/>
    <x v="7"/>
    <x v="0"/>
    <x v="7"/>
    <x v="67"/>
    <x v="11"/>
    <x v="203"/>
  </r>
  <r>
    <x v="44"/>
    <x v="68"/>
    <x v="33"/>
    <x v="3"/>
    <x v="0"/>
    <x v="0"/>
    <x v="68"/>
    <x v="0"/>
    <x v="0"/>
    <x v="7"/>
    <x v="0"/>
    <x v="7"/>
    <x v="68"/>
    <x v="11"/>
    <x v="204"/>
  </r>
  <r>
    <x v="44"/>
    <x v="85"/>
    <x v="33"/>
    <x v="3"/>
    <x v="0"/>
    <x v="0"/>
    <x v="85"/>
    <x v="0"/>
    <x v="0"/>
    <x v="7"/>
    <x v="0"/>
    <x v="7"/>
    <x v="85"/>
    <x v="11"/>
    <x v="205"/>
  </r>
  <r>
    <x v="44"/>
    <x v="69"/>
    <x v="33"/>
    <x v="3"/>
    <x v="0"/>
    <x v="0"/>
    <x v="69"/>
    <x v="0"/>
    <x v="0"/>
    <x v="7"/>
    <x v="0"/>
    <x v="7"/>
    <x v="69"/>
    <x v="11"/>
    <x v="206"/>
  </r>
  <r>
    <x v="44"/>
    <x v="70"/>
    <x v="33"/>
    <x v="3"/>
    <x v="0"/>
    <x v="0"/>
    <x v="70"/>
    <x v="0"/>
    <x v="0"/>
    <x v="7"/>
    <x v="0"/>
    <x v="7"/>
    <x v="70"/>
    <x v="12"/>
    <x v="207"/>
  </r>
  <r>
    <x v="44"/>
    <x v="71"/>
    <x v="33"/>
    <x v="3"/>
    <x v="0"/>
    <x v="0"/>
    <x v="71"/>
    <x v="0"/>
    <x v="0"/>
    <x v="7"/>
    <x v="0"/>
    <x v="7"/>
    <x v="71"/>
    <x v="12"/>
    <x v="208"/>
  </r>
  <r>
    <x v="44"/>
    <x v="72"/>
    <x v="33"/>
    <x v="3"/>
    <x v="0"/>
    <x v="0"/>
    <x v="72"/>
    <x v="0"/>
    <x v="0"/>
    <x v="7"/>
    <x v="0"/>
    <x v="7"/>
    <x v="72"/>
    <x v="13"/>
    <x v="209"/>
  </r>
  <r>
    <x v="44"/>
    <x v="75"/>
    <x v="33"/>
    <x v="3"/>
    <x v="0"/>
    <x v="0"/>
    <x v="75"/>
    <x v="0"/>
    <x v="0"/>
    <x v="7"/>
    <x v="0"/>
    <x v="7"/>
    <x v="75"/>
    <x v="15"/>
    <x v="210"/>
  </r>
  <r>
    <x v="44"/>
    <x v="73"/>
    <x v="33"/>
    <x v="3"/>
    <x v="0"/>
    <x v="0"/>
    <x v="73"/>
    <x v="0"/>
    <x v="0"/>
    <x v="7"/>
    <x v="0"/>
    <x v="7"/>
    <x v="73"/>
    <x v="14"/>
    <x v="211"/>
  </r>
  <r>
    <x v="44"/>
    <x v="44"/>
    <x v="33"/>
    <x v="3"/>
    <x v="0"/>
    <x v="0"/>
    <x v="44"/>
    <x v="0"/>
    <x v="0"/>
    <x v="8"/>
    <x v="0"/>
    <x v="8"/>
    <x v="44"/>
    <x v="1"/>
    <x v="212"/>
  </r>
  <r>
    <x v="44"/>
    <x v="45"/>
    <x v="33"/>
    <x v="3"/>
    <x v="0"/>
    <x v="0"/>
    <x v="45"/>
    <x v="0"/>
    <x v="0"/>
    <x v="8"/>
    <x v="0"/>
    <x v="8"/>
    <x v="45"/>
    <x v="2"/>
    <x v="213"/>
  </r>
  <r>
    <x v="44"/>
    <x v="46"/>
    <x v="33"/>
    <x v="3"/>
    <x v="0"/>
    <x v="0"/>
    <x v="46"/>
    <x v="0"/>
    <x v="0"/>
    <x v="8"/>
    <x v="0"/>
    <x v="8"/>
    <x v="46"/>
    <x v="2"/>
    <x v="214"/>
  </r>
  <r>
    <x v="44"/>
    <x v="47"/>
    <x v="33"/>
    <x v="3"/>
    <x v="0"/>
    <x v="0"/>
    <x v="47"/>
    <x v="0"/>
    <x v="0"/>
    <x v="8"/>
    <x v="0"/>
    <x v="8"/>
    <x v="47"/>
    <x v="2"/>
    <x v="215"/>
  </r>
  <r>
    <x v="44"/>
    <x v="48"/>
    <x v="33"/>
    <x v="3"/>
    <x v="0"/>
    <x v="0"/>
    <x v="48"/>
    <x v="0"/>
    <x v="0"/>
    <x v="8"/>
    <x v="0"/>
    <x v="8"/>
    <x v="48"/>
    <x v="2"/>
    <x v="115"/>
  </r>
  <r>
    <x v="44"/>
    <x v="49"/>
    <x v="33"/>
    <x v="3"/>
    <x v="0"/>
    <x v="0"/>
    <x v="49"/>
    <x v="0"/>
    <x v="0"/>
    <x v="8"/>
    <x v="0"/>
    <x v="8"/>
    <x v="49"/>
    <x v="3"/>
    <x v="54"/>
  </r>
  <r>
    <x v="44"/>
    <x v="50"/>
    <x v="33"/>
    <x v="3"/>
    <x v="0"/>
    <x v="0"/>
    <x v="50"/>
    <x v="0"/>
    <x v="0"/>
    <x v="8"/>
    <x v="0"/>
    <x v="8"/>
    <x v="50"/>
    <x v="4"/>
    <x v="55"/>
  </r>
  <r>
    <x v="44"/>
    <x v="51"/>
    <x v="33"/>
    <x v="3"/>
    <x v="0"/>
    <x v="0"/>
    <x v="51"/>
    <x v="0"/>
    <x v="0"/>
    <x v="8"/>
    <x v="0"/>
    <x v="8"/>
    <x v="51"/>
    <x v="4"/>
    <x v="216"/>
  </r>
  <r>
    <x v="44"/>
    <x v="52"/>
    <x v="33"/>
    <x v="3"/>
    <x v="0"/>
    <x v="0"/>
    <x v="52"/>
    <x v="0"/>
    <x v="0"/>
    <x v="8"/>
    <x v="0"/>
    <x v="8"/>
    <x v="52"/>
    <x v="4"/>
    <x v="57"/>
  </r>
  <r>
    <x v="44"/>
    <x v="53"/>
    <x v="33"/>
    <x v="3"/>
    <x v="0"/>
    <x v="0"/>
    <x v="53"/>
    <x v="0"/>
    <x v="0"/>
    <x v="8"/>
    <x v="0"/>
    <x v="8"/>
    <x v="53"/>
    <x v="5"/>
    <x v="217"/>
  </r>
  <r>
    <x v="44"/>
    <x v="54"/>
    <x v="33"/>
    <x v="3"/>
    <x v="0"/>
    <x v="0"/>
    <x v="54"/>
    <x v="0"/>
    <x v="0"/>
    <x v="8"/>
    <x v="0"/>
    <x v="8"/>
    <x v="54"/>
    <x v="6"/>
    <x v="218"/>
  </r>
  <r>
    <x v="44"/>
    <x v="55"/>
    <x v="33"/>
    <x v="3"/>
    <x v="0"/>
    <x v="0"/>
    <x v="55"/>
    <x v="0"/>
    <x v="0"/>
    <x v="8"/>
    <x v="0"/>
    <x v="8"/>
    <x v="55"/>
    <x v="7"/>
    <x v="219"/>
  </r>
  <r>
    <x v="44"/>
    <x v="56"/>
    <x v="33"/>
    <x v="3"/>
    <x v="0"/>
    <x v="0"/>
    <x v="56"/>
    <x v="0"/>
    <x v="0"/>
    <x v="8"/>
    <x v="0"/>
    <x v="8"/>
    <x v="56"/>
    <x v="7"/>
    <x v="220"/>
  </r>
  <r>
    <x v="44"/>
    <x v="57"/>
    <x v="33"/>
    <x v="3"/>
    <x v="0"/>
    <x v="0"/>
    <x v="57"/>
    <x v="0"/>
    <x v="0"/>
    <x v="8"/>
    <x v="0"/>
    <x v="8"/>
    <x v="57"/>
    <x v="8"/>
    <x v="221"/>
  </r>
  <r>
    <x v="44"/>
    <x v="58"/>
    <x v="33"/>
    <x v="3"/>
    <x v="0"/>
    <x v="0"/>
    <x v="58"/>
    <x v="0"/>
    <x v="0"/>
    <x v="8"/>
    <x v="0"/>
    <x v="8"/>
    <x v="58"/>
    <x v="8"/>
    <x v="222"/>
  </r>
  <r>
    <x v="44"/>
    <x v="59"/>
    <x v="33"/>
    <x v="3"/>
    <x v="0"/>
    <x v="0"/>
    <x v="59"/>
    <x v="0"/>
    <x v="0"/>
    <x v="8"/>
    <x v="0"/>
    <x v="8"/>
    <x v="59"/>
    <x v="9"/>
    <x v="223"/>
  </r>
  <r>
    <x v="44"/>
    <x v="60"/>
    <x v="33"/>
    <x v="3"/>
    <x v="0"/>
    <x v="0"/>
    <x v="60"/>
    <x v="0"/>
    <x v="0"/>
    <x v="8"/>
    <x v="0"/>
    <x v="8"/>
    <x v="60"/>
    <x v="2"/>
    <x v="224"/>
  </r>
  <r>
    <x v="44"/>
    <x v="61"/>
    <x v="33"/>
    <x v="3"/>
    <x v="0"/>
    <x v="0"/>
    <x v="61"/>
    <x v="0"/>
    <x v="0"/>
    <x v="8"/>
    <x v="0"/>
    <x v="8"/>
    <x v="61"/>
    <x v="10"/>
    <x v="225"/>
  </r>
  <r>
    <x v="44"/>
    <x v="62"/>
    <x v="33"/>
    <x v="3"/>
    <x v="0"/>
    <x v="0"/>
    <x v="62"/>
    <x v="0"/>
    <x v="0"/>
    <x v="8"/>
    <x v="0"/>
    <x v="8"/>
    <x v="62"/>
    <x v="11"/>
    <x v="226"/>
  </r>
  <r>
    <x v="44"/>
    <x v="63"/>
    <x v="33"/>
    <x v="3"/>
    <x v="0"/>
    <x v="0"/>
    <x v="63"/>
    <x v="0"/>
    <x v="0"/>
    <x v="8"/>
    <x v="0"/>
    <x v="8"/>
    <x v="63"/>
    <x v="11"/>
    <x v="227"/>
  </r>
  <r>
    <x v="44"/>
    <x v="64"/>
    <x v="33"/>
    <x v="3"/>
    <x v="0"/>
    <x v="0"/>
    <x v="64"/>
    <x v="0"/>
    <x v="0"/>
    <x v="8"/>
    <x v="0"/>
    <x v="8"/>
    <x v="64"/>
    <x v="11"/>
    <x v="228"/>
  </r>
  <r>
    <x v="44"/>
    <x v="65"/>
    <x v="33"/>
    <x v="3"/>
    <x v="0"/>
    <x v="0"/>
    <x v="65"/>
    <x v="0"/>
    <x v="0"/>
    <x v="8"/>
    <x v="0"/>
    <x v="8"/>
    <x v="65"/>
    <x v="11"/>
    <x v="229"/>
  </r>
  <r>
    <x v="44"/>
    <x v="66"/>
    <x v="33"/>
    <x v="3"/>
    <x v="0"/>
    <x v="0"/>
    <x v="66"/>
    <x v="0"/>
    <x v="0"/>
    <x v="8"/>
    <x v="0"/>
    <x v="8"/>
    <x v="66"/>
    <x v="11"/>
    <x v="230"/>
  </r>
  <r>
    <x v="44"/>
    <x v="67"/>
    <x v="33"/>
    <x v="3"/>
    <x v="0"/>
    <x v="0"/>
    <x v="67"/>
    <x v="0"/>
    <x v="0"/>
    <x v="8"/>
    <x v="0"/>
    <x v="8"/>
    <x v="67"/>
    <x v="11"/>
    <x v="231"/>
  </r>
  <r>
    <x v="44"/>
    <x v="68"/>
    <x v="33"/>
    <x v="3"/>
    <x v="0"/>
    <x v="0"/>
    <x v="68"/>
    <x v="0"/>
    <x v="0"/>
    <x v="8"/>
    <x v="0"/>
    <x v="8"/>
    <x v="68"/>
    <x v="11"/>
    <x v="232"/>
  </r>
  <r>
    <x v="44"/>
    <x v="85"/>
    <x v="33"/>
    <x v="3"/>
    <x v="0"/>
    <x v="0"/>
    <x v="85"/>
    <x v="0"/>
    <x v="0"/>
    <x v="8"/>
    <x v="0"/>
    <x v="8"/>
    <x v="85"/>
    <x v="11"/>
    <x v="233"/>
  </r>
  <r>
    <x v="44"/>
    <x v="69"/>
    <x v="33"/>
    <x v="3"/>
    <x v="0"/>
    <x v="0"/>
    <x v="69"/>
    <x v="0"/>
    <x v="0"/>
    <x v="8"/>
    <x v="0"/>
    <x v="8"/>
    <x v="69"/>
    <x v="11"/>
    <x v="234"/>
  </r>
  <r>
    <x v="44"/>
    <x v="70"/>
    <x v="33"/>
    <x v="3"/>
    <x v="0"/>
    <x v="0"/>
    <x v="70"/>
    <x v="0"/>
    <x v="0"/>
    <x v="8"/>
    <x v="0"/>
    <x v="8"/>
    <x v="70"/>
    <x v="12"/>
    <x v="235"/>
  </r>
  <r>
    <x v="44"/>
    <x v="71"/>
    <x v="33"/>
    <x v="3"/>
    <x v="0"/>
    <x v="0"/>
    <x v="71"/>
    <x v="0"/>
    <x v="0"/>
    <x v="8"/>
    <x v="0"/>
    <x v="8"/>
    <x v="71"/>
    <x v="12"/>
    <x v="236"/>
  </r>
  <r>
    <x v="44"/>
    <x v="75"/>
    <x v="33"/>
    <x v="3"/>
    <x v="0"/>
    <x v="0"/>
    <x v="75"/>
    <x v="0"/>
    <x v="0"/>
    <x v="8"/>
    <x v="0"/>
    <x v="8"/>
    <x v="75"/>
    <x v="15"/>
    <x v="237"/>
  </r>
  <r>
    <x v="44"/>
    <x v="73"/>
    <x v="33"/>
    <x v="3"/>
    <x v="0"/>
    <x v="0"/>
    <x v="73"/>
    <x v="0"/>
    <x v="0"/>
    <x v="8"/>
    <x v="0"/>
    <x v="8"/>
    <x v="73"/>
    <x v="14"/>
    <x v="238"/>
  </r>
  <r>
    <x v="45"/>
    <x v="90"/>
    <x v="34"/>
    <x v="0"/>
    <x v="0"/>
    <x v="0"/>
    <x v="90"/>
    <x v="0"/>
    <x v="0"/>
    <x v="0"/>
    <x v="0"/>
    <x v="0"/>
    <x v="90"/>
    <x v="21"/>
    <x v="239"/>
  </r>
  <r>
    <x v="46"/>
    <x v="91"/>
    <x v="35"/>
    <x v="1"/>
    <x v="0"/>
    <x v="0"/>
    <x v="91"/>
    <x v="0"/>
    <x v="0"/>
    <x v="0"/>
    <x v="0"/>
    <x v="0"/>
    <x v="91"/>
    <x v="21"/>
    <x v="240"/>
  </r>
  <r>
    <x v="47"/>
    <x v="92"/>
    <x v="36"/>
    <x v="3"/>
    <x v="0"/>
    <x v="0"/>
    <x v="92"/>
    <x v="0"/>
    <x v="0"/>
    <x v="9"/>
    <x v="0"/>
    <x v="9"/>
    <x v="92"/>
    <x v="21"/>
    <x v="241"/>
  </r>
  <r>
    <x v="47"/>
    <x v="92"/>
    <x v="36"/>
    <x v="3"/>
    <x v="0"/>
    <x v="0"/>
    <x v="92"/>
    <x v="0"/>
    <x v="0"/>
    <x v="10"/>
    <x v="1"/>
    <x v="10"/>
    <x v="92"/>
    <x v="21"/>
    <x v="242"/>
  </r>
  <r>
    <x v="47"/>
    <x v="92"/>
    <x v="36"/>
    <x v="3"/>
    <x v="0"/>
    <x v="0"/>
    <x v="92"/>
    <x v="0"/>
    <x v="0"/>
    <x v="11"/>
    <x v="0"/>
    <x v="11"/>
    <x v="92"/>
    <x v="21"/>
    <x v="243"/>
  </r>
  <r>
    <x v="47"/>
    <x v="92"/>
    <x v="36"/>
    <x v="3"/>
    <x v="0"/>
    <x v="0"/>
    <x v="92"/>
    <x v="0"/>
    <x v="0"/>
    <x v="12"/>
    <x v="1"/>
    <x v="12"/>
    <x v="92"/>
    <x v="21"/>
    <x v="244"/>
  </r>
  <r>
    <x v="47"/>
    <x v="92"/>
    <x v="36"/>
    <x v="3"/>
    <x v="0"/>
    <x v="0"/>
    <x v="92"/>
    <x v="0"/>
    <x v="0"/>
    <x v="4"/>
    <x v="0"/>
    <x v="4"/>
    <x v="92"/>
    <x v="21"/>
    <x v="245"/>
  </r>
  <r>
    <x v="48"/>
    <x v="93"/>
    <x v="36"/>
    <x v="3"/>
    <x v="0"/>
    <x v="0"/>
    <x v="93"/>
    <x v="0"/>
    <x v="0"/>
    <x v="4"/>
    <x v="0"/>
    <x v="4"/>
    <x v="93"/>
    <x v="21"/>
    <x v="246"/>
  </r>
  <r>
    <x v="48"/>
    <x v="93"/>
    <x v="36"/>
    <x v="3"/>
    <x v="0"/>
    <x v="0"/>
    <x v="93"/>
    <x v="0"/>
    <x v="0"/>
    <x v="12"/>
    <x v="1"/>
    <x v="12"/>
    <x v="93"/>
    <x v="21"/>
    <x v="247"/>
  </r>
  <r>
    <x v="48"/>
    <x v="93"/>
    <x v="36"/>
    <x v="3"/>
    <x v="0"/>
    <x v="0"/>
    <x v="93"/>
    <x v="0"/>
    <x v="0"/>
    <x v="11"/>
    <x v="0"/>
    <x v="11"/>
    <x v="93"/>
    <x v="21"/>
    <x v="248"/>
  </r>
  <r>
    <x v="48"/>
    <x v="93"/>
    <x v="36"/>
    <x v="3"/>
    <x v="0"/>
    <x v="0"/>
    <x v="93"/>
    <x v="0"/>
    <x v="0"/>
    <x v="10"/>
    <x v="1"/>
    <x v="10"/>
    <x v="93"/>
    <x v="21"/>
    <x v="249"/>
  </r>
  <r>
    <x v="48"/>
    <x v="93"/>
    <x v="36"/>
    <x v="3"/>
    <x v="0"/>
    <x v="0"/>
    <x v="93"/>
    <x v="0"/>
    <x v="0"/>
    <x v="9"/>
    <x v="0"/>
    <x v="9"/>
    <x v="93"/>
    <x v="21"/>
    <x v="250"/>
  </r>
  <r>
    <x v="48"/>
    <x v="93"/>
    <x v="36"/>
    <x v="3"/>
    <x v="0"/>
    <x v="0"/>
    <x v="93"/>
    <x v="0"/>
    <x v="0"/>
    <x v="0"/>
    <x v="0"/>
    <x v="0"/>
    <x v="93"/>
    <x v="21"/>
    <x v="251"/>
  </r>
  <r>
    <x v="49"/>
    <x v="94"/>
    <x v="36"/>
    <x v="3"/>
    <x v="0"/>
    <x v="0"/>
    <x v="94"/>
    <x v="0"/>
    <x v="0"/>
    <x v="0"/>
    <x v="0"/>
    <x v="0"/>
    <x v="94"/>
    <x v="21"/>
    <x v="252"/>
  </r>
  <r>
    <x v="49"/>
    <x v="94"/>
    <x v="36"/>
    <x v="3"/>
    <x v="0"/>
    <x v="0"/>
    <x v="94"/>
    <x v="0"/>
    <x v="0"/>
    <x v="9"/>
    <x v="0"/>
    <x v="9"/>
    <x v="94"/>
    <x v="21"/>
    <x v="253"/>
  </r>
  <r>
    <x v="49"/>
    <x v="94"/>
    <x v="36"/>
    <x v="3"/>
    <x v="0"/>
    <x v="0"/>
    <x v="94"/>
    <x v="0"/>
    <x v="0"/>
    <x v="10"/>
    <x v="1"/>
    <x v="10"/>
    <x v="94"/>
    <x v="21"/>
    <x v="254"/>
  </r>
  <r>
    <x v="49"/>
    <x v="94"/>
    <x v="36"/>
    <x v="3"/>
    <x v="0"/>
    <x v="0"/>
    <x v="94"/>
    <x v="0"/>
    <x v="0"/>
    <x v="11"/>
    <x v="0"/>
    <x v="11"/>
    <x v="94"/>
    <x v="21"/>
    <x v="255"/>
  </r>
  <r>
    <x v="49"/>
    <x v="94"/>
    <x v="36"/>
    <x v="3"/>
    <x v="0"/>
    <x v="0"/>
    <x v="94"/>
    <x v="0"/>
    <x v="0"/>
    <x v="12"/>
    <x v="1"/>
    <x v="12"/>
    <x v="94"/>
    <x v="21"/>
    <x v="256"/>
  </r>
  <r>
    <x v="49"/>
    <x v="94"/>
    <x v="36"/>
    <x v="3"/>
    <x v="0"/>
    <x v="0"/>
    <x v="94"/>
    <x v="0"/>
    <x v="0"/>
    <x v="4"/>
    <x v="0"/>
    <x v="4"/>
    <x v="94"/>
    <x v="21"/>
    <x v="257"/>
  </r>
  <r>
    <x v="50"/>
    <x v="95"/>
    <x v="37"/>
    <x v="3"/>
    <x v="0"/>
    <x v="0"/>
    <x v="95"/>
    <x v="0"/>
    <x v="0"/>
    <x v="0"/>
    <x v="0"/>
    <x v="0"/>
    <x v="95"/>
    <x v="21"/>
    <x v="258"/>
  </r>
  <r>
    <x v="51"/>
    <x v="96"/>
    <x v="37"/>
    <x v="3"/>
    <x v="0"/>
    <x v="0"/>
    <x v="96"/>
    <x v="0"/>
    <x v="0"/>
    <x v="0"/>
    <x v="0"/>
    <x v="0"/>
    <x v="96"/>
    <x v="21"/>
    <x v="259"/>
  </r>
  <r>
    <x v="51"/>
    <x v="96"/>
    <x v="37"/>
    <x v="3"/>
    <x v="0"/>
    <x v="0"/>
    <x v="96"/>
    <x v="0"/>
    <x v="0"/>
    <x v="9"/>
    <x v="0"/>
    <x v="9"/>
    <x v="96"/>
    <x v="21"/>
    <x v="260"/>
  </r>
  <r>
    <x v="51"/>
    <x v="96"/>
    <x v="37"/>
    <x v="3"/>
    <x v="0"/>
    <x v="0"/>
    <x v="96"/>
    <x v="0"/>
    <x v="0"/>
    <x v="10"/>
    <x v="1"/>
    <x v="10"/>
    <x v="96"/>
    <x v="21"/>
    <x v="261"/>
  </r>
  <r>
    <x v="51"/>
    <x v="96"/>
    <x v="37"/>
    <x v="3"/>
    <x v="0"/>
    <x v="0"/>
    <x v="96"/>
    <x v="0"/>
    <x v="0"/>
    <x v="4"/>
    <x v="0"/>
    <x v="4"/>
    <x v="96"/>
    <x v="21"/>
    <x v="262"/>
  </r>
  <r>
    <x v="51"/>
    <x v="96"/>
    <x v="37"/>
    <x v="3"/>
    <x v="0"/>
    <x v="0"/>
    <x v="96"/>
    <x v="0"/>
    <x v="0"/>
    <x v="12"/>
    <x v="1"/>
    <x v="12"/>
    <x v="96"/>
    <x v="21"/>
    <x v="263"/>
  </r>
  <r>
    <x v="51"/>
    <x v="96"/>
    <x v="37"/>
    <x v="3"/>
    <x v="0"/>
    <x v="0"/>
    <x v="96"/>
    <x v="0"/>
    <x v="0"/>
    <x v="11"/>
    <x v="0"/>
    <x v="11"/>
    <x v="96"/>
    <x v="21"/>
    <x v="264"/>
  </r>
  <r>
    <x v="52"/>
    <x v="97"/>
    <x v="37"/>
    <x v="3"/>
    <x v="0"/>
    <x v="0"/>
    <x v="97"/>
    <x v="0"/>
    <x v="0"/>
    <x v="11"/>
    <x v="0"/>
    <x v="11"/>
    <x v="97"/>
    <x v="21"/>
    <x v="265"/>
  </r>
  <r>
    <x v="52"/>
    <x v="97"/>
    <x v="37"/>
    <x v="3"/>
    <x v="0"/>
    <x v="0"/>
    <x v="97"/>
    <x v="0"/>
    <x v="0"/>
    <x v="12"/>
    <x v="1"/>
    <x v="12"/>
    <x v="97"/>
    <x v="21"/>
    <x v="266"/>
  </r>
  <r>
    <x v="52"/>
    <x v="97"/>
    <x v="37"/>
    <x v="3"/>
    <x v="0"/>
    <x v="0"/>
    <x v="97"/>
    <x v="0"/>
    <x v="0"/>
    <x v="4"/>
    <x v="0"/>
    <x v="4"/>
    <x v="97"/>
    <x v="21"/>
    <x v="267"/>
  </r>
  <r>
    <x v="52"/>
    <x v="97"/>
    <x v="37"/>
    <x v="3"/>
    <x v="0"/>
    <x v="0"/>
    <x v="97"/>
    <x v="0"/>
    <x v="0"/>
    <x v="10"/>
    <x v="1"/>
    <x v="10"/>
    <x v="97"/>
    <x v="21"/>
    <x v="268"/>
  </r>
  <r>
    <x v="52"/>
    <x v="97"/>
    <x v="37"/>
    <x v="3"/>
    <x v="0"/>
    <x v="0"/>
    <x v="97"/>
    <x v="0"/>
    <x v="0"/>
    <x v="9"/>
    <x v="0"/>
    <x v="9"/>
    <x v="97"/>
    <x v="21"/>
    <x v="269"/>
  </r>
  <r>
    <x v="52"/>
    <x v="97"/>
    <x v="37"/>
    <x v="3"/>
    <x v="0"/>
    <x v="0"/>
    <x v="97"/>
    <x v="0"/>
    <x v="0"/>
    <x v="0"/>
    <x v="0"/>
    <x v="0"/>
    <x v="97"/>
    <x v="21"/>
    <x v="270"/>
  </r>
  <r>
    <x v="53"/>
    <x v="98"/>
    <x v="38"/>
    <x v="0"/>
    <x v="0"/>
    <x v="0"/>
    <x v="98"/>
    <x v="0"/>
    <x v="0"/>
    <x v="0"/>
    <x v="0"/>
    <x v="0"/>
    <x v="98"/>
    <x v="21"/>
    <x v="271"/>
  </r>
  <r>
    <x v="54"/>
    <x v="99"/>
    <x v="39"/>
    <x v="0"/>
    <x v="0"/>
    <x v="0"/>
    <x v="13"/>
    <x v="3"/>
    <x v="3"/>
    <x v="0"/>
    <x v="0"/>
    <x v="0"/>
    <x v="99"/>
    <x v="21"/>
    <x v="272"/>
  </r>
  <r>
    <x v="55"/>
    <x v="100"/>
    <x v="40"/>
    <x v="3"/>
    <x v="0"/>
    <x v="0"/>
    <x v="99"/>
    <x v="0"/>
    <x v="0"/>
    <x v="0"/>
    <x v="0"/>
    <x v="0"/>
    <x v="100"/>
    <x v="21"/>
    <x v="4"/>
  </r>
  <r>
    <x v="55"/>
    <x v="100"/>
    <x v="40"/>
    <x v="3"/>
    <x v="0"/>
    <x v="0"/>
    <x v="99"/>
    <x v="0"/>
    <x v="0"/>
    <x v="9"/>
    <x v="0"/>
    <x v="9"/>
    <x v="100"/>
    <x v="21"/>
    <x v="273"/>
  </r>
  <r>
    <x v="55"/>
    <x v="100"/>
    <x v="40"/>
    <x v="3"/>
    <x v="0"/>
    <x v="0"/>
    <x v="99"/>
    <x v="0"/>
    <x v="0"/>
    <x v="10"/>
    <x v="1"/>
    <x v="10"/>
    <x v="100"/>
    <x v="21"/>
    <x v="274"/>
  </r>
  <r>
    <x v="55"/>
    <x v="100"/>
    <x v="40"/>
    <x v="3"/>
    <x v="0"/>
    <x v="0"/>
    <x v="99"/>
    <x v="0"/>
    <x v="0"/>
    <x v="4"/>
    <x v="0"/>
    <x v="4"/>
    <x v="100"/>
    <x v="21"/>
    <x v="274"/>
  </r>
  <r>
    <x v="55"/>
    <x v="100"/>
    <x v="40"/>
    <x v="3"/>
    <x v="0"/>
    <x v="0"/>
    <x v="99"/>
    <x v="0"/>
    <x v="0"/>
    <x v="12"/>
    <x v="1"/>
    <x v="12"/>
    <x v="100"/>
    <x v="21"/>
    <x v="275"/>
  </r>
  <r>
    <x v="55"/>
    <x v="100"/>
    <x v="40"/>
    <x v="3"/>
    <x v="0"/>
    <x v="0"/>
    <x v="99"/>
    <x v="0"/>
    <x v="0"/>
    <x v="11"/>
    <x v="0"/>
    <x v="11"/>
    <x v="100"/>
    <x v="21"/>
    <x v="276"/>
  </r>
  <r>
    <x v="56"/>
    <x v="101"/>
    <x v="41"/>
    <x v="3"/>
    <x v="0"/>
    <x v="0"/>
    <x v="100"/>
    <x v="0"/>
    <x v="0"/>
    <x v="11"/>
    <x v="0"/>
    <x v="11"/>
    <x v="101"/>
    <x v="21"/>
    <x v="277"/>
  </r>
  <r>
    <x v="56"/>
    <x v="101"/>
    <x v="41"/>
    <x v="3"/>
    <x v="0"/>
    <x v="0"/>
    <x v="100"/>
    <x v="0"/>
    <x v="0"/>
    <x v="12"/>
    <x v="1"/>
    <x v="12"/>
    <x v="101"/>
    <x v="21"/>
    <x v="278"/>
  </r>
  <r>
    <x v="56"/>
    <x v="101"/>
    <x v="41"/>
    <x v="3"/>
    <x v="0"/>
    <x v="0"/>
    <x v="100"/>
    <x v="0"/>
    <x v="0"/>
    <x v="4"/>
    <x v="0"/>
    <x v="4"/>
    <x v="101"/>
    <x v="21"/>
    <x v="279"/>
  </r>
  <r>
    <x v="56"/>
    <x v="101"/>
    <x v="41"/>
    <x v="3"/>
    <x v="0"/>
    <x v="0"/>
    <x v="100"/>
    <x v="0"/>
    <x v="0"/>
    <x v="10"/>
    <x v="1"/>
    <x v="10"/>
    <x v="101"/>
    <x v="21"/>
    <x v="280"/>
  </r>
  <r>
    <x v="56"/>
    <x v="101"/>
    <x v="41"/>
    <x v="3"/>
    <x v="0"/>
    <x v="0"/>
    <x v="100"/>
    <x v="0"/>
    <x v="0"/>
    <x v="9"/>
    <x v="0"/>
    <x v="9"/>
    <x v="101"/>
    <x v="21"/>
    <x v="281"/>
  </r>
  <r>
    <x v="56"/>
    <x v="101"/>
    <x v="41"/>
    <x v="3"/>
    <x v="0"/>
    <x v="0"/>
    <x v="100"/>
    <x v="0"/>
    <x v="0"/>
    <x v="0"/>
    <x v="0"/>
    <x v="0"/>
    <x v="101"/>
    <x v="21"/>
    <x v="282"/>
  </r>
  <r>
    <x v="57"/>
    <x v="102"/>
    <x v="42"/>
    <x v="0"/>
    <x v="0"/>
    <x v="0"/>
    <x v="14"/>
    <x v="4"/>
    <x v="4"/>
    <x v="0"/>
    <x v="0"/>
    <x v="0"/>
    <x v="102"/>
    <x v="21"/>
    <x v="283"/>
  </r>
  <r>
    <x v="58"/>
    <x v="103"/>
    <x v="42"/>
    <x v="0"/>
    <x v="0"/>
    <x v="0"/>
    <x v="14"/>
    <x v="4"/>
    <x v="4"/>
    <x v="0"/>
    <x v="0"/>
    <x v="0"/>
    <x v="103"/>
    <x v="21"/>
    <x v="284"/>
  </r>
  <r>
    <x v="59"/>
    <x v="104"/>
    <x v="43"/>
    <x v="0"/>
    <x v="0"/>
    <x v="0"/>
    <x v="27"/>
    <x v="5"/>
    <x v="5"/>
    <x v="0"/>
    <x v="0"/>
    <x v="0"/>
    <x v="104"/>
    <x v="21"/>
    <x v="285"/>
  </r>
  <r>
    <x v="60"/>
    <x v="44"/>
    <x v="44"/>
    <x v="3"/>
    <x v="0"/>
    <x v="0"/>
    <x v="44"/>
    <x v="0"/>
    <x v="0"/>
    <x v="13"/>
    <x v="0"/>
    <x v="13"/>
    <x v="44"/>
    <x v="1"/>
    <x v="286"/>
  </r>
  <r>
    <x v="60"/>
    <x v="80"/>
    <x v="44"/>
    <x v="3"/>
    <x v="0"/>
    <x v="0"/>
    <x v="80"/>
    <x v="0"/>
    <x v="0"/>
    <x v="13"/>
    <x v="0"/>
    <x v="13"/>
    <x v="80"/>
    <x v="2"/>
    <x v="287"/>
  </r>
  <r>
    <x v="60"/>
    <x v="81"/>
    <x v="44"/>
    <x v="3"/>
    <x v="0"/>
    <x v="0"/>
    <x v="81"/>
    <x v="0"/>
    <x v="0"/>
    <x v="13"/>
    <x v="0"/>
    <x v="13"/>
    <x v="81"/>
    <x v="1"/>
    <x v="288"/>
  </r>
  <r>
    <x v="60"/>
    <x v="47"/>
    <x v="44"/>
    <x v="3"/>
    <x v="0"/>
    <x v="0"/>
    <x v="47"/>
    <x v="0"/>
    <x v="0"/>
    <x v="13"/>
    <x v="0"/>
    <x v="13"/>
    <x v="47"/>
    <x v="2"/>
    <x v="289"/>
  </r>
  <r>
    <x v="60"/>
    <x v="48"/>
    <x v="44"/>
    <x v="3"/>
    <x v="0"/>
    <x v="0"/>
    <x v="48"/>
    <x v="0"/>
    <x v="0"/>
    <x v="13"/>
    <x v="0"/>
    <x v="13"/>
    <x v="48"/>
    <x v="2"/>
    <x v="115"/>
  </r>
  <r>
    <x v="60"/>
    <x v="49"/>
    <x v="44"/>
    <x v="3"/>
    <x v="0"/>
    <x v="0"/>
    <x v="49"/>
    <x v="0"/>
    <x v="0"/>
    <x v="13"/>
    <x v="0"/>
    <x v="13"/>
    <x v="49"/>
    <x v="3"/>
    <x v="54"/>
  </r>
  <r>
    <x v="60"/>
    <x v="51"/>
    <x v="44"/>
    <x v="3"/>
    <x v="0"/>
    <x v="0"/>
    <x v="51"/>
    <x v="0"/>
    <x v="0"/>
    <x v="13"/>
    <x v="0"/>
    <x v="13"/>
    <x v="51"/>
    <x v="4"/>
    <x v="290"/>
  </r>
  <r>
    <x v="60"/>
    <x v="52"/>
    <x v="44"/>
    <x v="3"/>
    <x v="0"/>
    <x v="0"/>
    <x v="52"/>
    <x v="0"/>
    <x v="0"/>
    <x v="13"/>
    <x v="0"/>
    <x v="13"/>
    <x v="52"/>
    <x v="4"/>
    <x v="57"/>
  </r>
  <r>
    <x v="60"/>
    <x v="53"/>
    <x v="44"/>
    <x v="3"/>
    <x v="0"/>
    <x v="0"/>
    <x v="53"/>
    <x v="0"/>
    <x v="0"/>
    <x v="13"/>
    <x v="0"/>
    <x v="13"/>
    <x v="53"/>
    <x v="5"/>
    <x v="291"/>
  </r>
  <r>
    <x v="60"/>
    <x v="57"/>
    <x v="44"/>
    <x v="3"/>
    <x v="0"/>
    <x v="0"/>
    <x v="57"/>
    <x v="0"/>
    <x v="0"/>
    <x v="13"/>
    <x v="0"/>
    <x v="13"/>
    <x v="57"/>
    <x v="8"/>
    <x v="292"/>
  </r>
  <r>
    <x v="60"/>
    <x v="59"/>
    <x v="44"/>
    <x v="3"/>
    <x v="0"/>
    <x v="0"/>
    <x v="59"/>
    <x v="0"/>
    <x v="0"/>
    <x v="13"/>
    <x v="0"/>
    <x v="13"/>
    <x v="59"/>
    <x v="9"/>
    <x v="293"/>
  </r>
  <r>
    <x v="60"/>
    <x v="60"/>
    <x v="44"/>
    <x v="3"/>
    <x v="0"/>
    <x v="0"/>
    <x v="60"/>
    <x v="0"/>
    <x v="0"/>
    <x v="13"/>
    <x v="0"/>
    <x v="13"/>
    <x v="60"/>
    <x v="2"/>
    <x v="294"/>
  </r>
  <r>
    <x v="60"/>
    <x v="61"/>
    <x v="44"/>
    <x v="3"/>
    <x v="0"/>
    <x v="0"/>
    <x v="61"/>
    <x v="0"/>
    <x v="0"/>
    <x v="13"/>
    <x v="0"/>
    <x v="13"/>
    <x v="61"/>
    <x v="10"/>
    <x v="295"/>
  </r>
  <r>
    <x v="60"/>
    <x v="64"/>
    <x v="44"/>
    <x v="3"/>
    <x v="0"/>
    <x v="0"/>
    <x v="64"/>
    <x v="0"/>
    <x v="0"/>
    <x v="13"/>
    <x v="0"/>
    <x v="13"/>
    <x v="64"/>
    <x v="11"/>
    <x v="296"/>
  </r>
  <r>
    <x v="60"/>
    <x v="66"/>
    <x v="44"/>
    <x v="3"/>
    <x v="0"/>
    <x v="0"/>
    <x v="66"/>
    <x v="0"/>
    <x v="0"/>
    <x v="13"/>
    <x v="0"/>
    <x v="13"/>
    <x v="66"/>
    <x v="11"/>
    <x v="297"/>
  </r>
  <r>
    <x v="60"/>
    <x v="105"/>
    <x v="44"/>
    <x v="3"/>
    <x v="0"/>
    <x v="0"/>
    <x v="101"/>
    <x v="0"/>
    <x v="0"/>
    <x v="13"/>
    <x v="0"/>
    <x v="13"/>
    <x v="105"/>
    <x v="22"/>
    <x v="298"/>
  </r>
  <r>
    <x v="60"/>
    <x v="106"/>
    <x v="44"/>
    <x v="3"/>
    <x v="0"/>
    <x v="0"/>
    <x v="102"/>
    <x v="0"/>
    <x v="0"/>
    <x v="13"/>
    <x v="0"/>
    <x v="13"/>
    <x v="106"/>
    <x v="23"/>
    <x v="299"/>
  </r>
  <r>
    <x v="60"/>
    <x v="107"/>
    <x v="44"/>
    <x v="3"/>
    <x v="0"/>
    <x v="0"/>
    <x v="103"/>
    <x v="0"/>
    <x v="0"/>
    <x v="13"/>
    <x v="0"/>
    <x v="13"/>
    <x v="107"/>
    <x v="24"/>
    <x v="300"/>
  </r>
  <r>
    <x v="60"/>
    <x v="76"/>
    <x v="44"/>
    <x v="3"/>
    <x v="0"/>
    <x v="0"/>
    <x v="76"/>
    <x v="0"/>
    <x v="0"/>
    <x v="13"/>
    <x v="0"/>
    <x v="13"/>
    <x v="76"/>
    <x v="16"/>
    <x v="301"/>
  </r>
  <r>
    <x v="60"/>
    <x v="78"/>
    <x v="44"/>
    <x v="3"/>
    <x v="0"/>
    <x v="0"/>
    <x v="78"/>
    <x v="0"/>
    <x v="0"/>
    <x v="13"/>
    <x v="0"/>
    <x v="13"/>
    <x v="78"/>
    <x v="17"/>
    <x v="302"/>
  </r>
  <r>
    <x v="60"/>
    <x v="108"/>
    <x v="44"/>
    <x v="3"/>
    <x v="0"/>
    <x v="0"/>
    <x v="104"/>
    <x v="0"/>
    <x v="0"/>
    <x v="14"/>
    <x v="0"/>
    <x v="14"/>
    <x v="108"/>
    <x v="2"/>
    <x v="303"/>
  </r>
  <r>
    <x v="60"/>
    <x v="48"/>
    <x v="44"/>
    <x v="3"/>
    <x v="0"/>
    <x v="0"/>
    <x v="48"/>
    <x v="0"/>
    <x v="0"/>
    <x v="14"/>
    <x v="0"/>
    <x v="14"/>
    <x v="48"/>
    <x v="2"/>
    <x v="304"/>
  </r>
  <r>
    <x v="60"/>
    <x v="109"/>
    <x v="44"/>
    <x v="3"/>
    <x v="0"/>
    <x v="0"/>
    <x v="105"/>
    <x v="0"/>
    <x v="0"/>
    <x v="14"/>
    <x v="0"/>
    <x v="14"/>
    <x v="109"/>
    <x v="25"/>
    <x v="305"/>
  </r>
  <r>
    <x v="60"/>
    <x v="110"/>
    <x v="44"/>
    <x v="3"/>
    <x v="0"/>
    <x v="0"/>
    <x v="106"/>
    <x v="0"/>
    <x v="0"/>
    <x v="14"/>
    <x v="0"/>
    <x v="14"/>
    <x v="110"/>
    <x v="3"/>
    <x v="306"/>
  </r>
  <r>
    <x v="60"/>
    <x v="111"/>
    <x v="44"/>
    <x v="3"/>
    <x v="0"/>
    <x v="0"/>
    <x v="107"/>
    <x v="0"/>
    <x v="0"/>
    <x v="14"/>
    <x v="0"/>
    <x v="14"/>
    <x v="111"/>
    <x v="3"/>
    <x v="307"/>
  </r>
  <r>
    <x v="60"/>
    <x v="49"/>
    <x v="44"/>
    <x v="3"/>
    <x v="0"/>
    <x v="0"/>
    <x v="49"/>
    <x v="0"/>
    <x v="0"/>
    <x v="14"/>
    <x v="0"/>
    <x v="14"/>
    <x v="49"/>
    <x v="3"/>
    <x v="308"/>
  </r>
  <r>
    <x v="60"/>
    <x v="112"/>
    <x v="44"/>
    <x v="3"/>
    <x v="0"/>
    <x v="0"/>
    <x v="108"/>
    <x v="0"/>
    <x v="0"/>
    <x v="14"/>
    <x v="0"/>
    <x v="14"/>
    <x v="112"/>
    <x v="4"/>
    <x v="309"/>
  </r>
  <r>
    <x v="60"/>
    <x v="113"/>
    <x v="44"/>
    <x v="3"/>
    <x v="0"/>
    <x v="0"/>
    <x v="109"/>
    <x v="0"/>
    <x v="0"/>
    <x v="14"/>
    <x v="0"/>
    <x v="14"/>
    <x v="113"/>
    <x v="26"/>
    <x v="310"/>
  </r>
  <r>
    <x v="60"/>
    <x v="114"/>
    <x v="44"/>
    <x v="3"/>
    <x v="0"/>
    <x v="0"/>
    <x v="110"/>
    <x v="0"/>
    <x v="0"/>
    <x v="14"/>
    <x v="0"/>
    <x v="14"/>
    <x v="114"/>
    <x v="4"/>
    <x v="311"/>
  </r>
  <r>
    <x v="60"/>
    <x v="50"/>
    <x v="44"/>
    <x v="3"/>
    <x v="0"/>
    <x v="0"/>
    <x v="50"/>
    <x v="0"/>
    <x v="0"/>
    <x v="14"/>
    <x v="0"/>
    <x v="14"/>
    <x v="50"/>
    <x v="4"/>
    <x v="312"/>
  </r>
  <r>
    <x v="60"/>
    <x v="51"/>
    <x v="44"/>
    <x v="3"/>
    <x v="0"/>
    <x v="0"/>
    <x v="51"/>
    <x v="0"/>
    <x v="0"/>
    <x v="14"/>
    <x v="0"/>
    <x v="14"/>
    <x v="51"/>
    <x v="4"/>
    <x v="313"/>
  </r>
  <r>
    <x v="60"/>
    <x v="115"/>
    <x v="44"/>
    <x v="3"/>
    <x v="0"/>
    <x v="0"/>
    <x v="111"/>
    <x v="0"/>
    <x v="0"/>
    <x v="14"/>
    <x v="0"/>
    <x v="14"/>
    <x v="115"/>
    <x v="27"/>
    <x v="314"/>
  </r>
  <r>
    <x v="60"/>
    <x v="116"/>
    <x v="44"/>
    <x v="3"/>
    <x v="0"/>
    <x v="0"/>
    <x v="112"/>
    <x v="0"/>
    <x v="0"/>
    <x v="14"/>
    <x v="0"/>
    <x v="14"/>
    <x v="116"/>
    <x v="27"/>
    <x v="315"/>
  </r>
  <r>
    <x v="60"/>
    <x v="61"/>
    <x v="44"/>
    <x v="3"/>
    <x v="0"/>
    <x v="0"/>
    <x v="61"/>
    <x v="0"/>
    <x v="0"/>
    <x v="14"/>
    <x v="0"/>
    <x v="14"/>
    <x v="61"/>
    <x v="10"/>
    <x v="316"/>
  </r>
  <r>
    <x v="60"/>
    <x v="84"/>
    <x v="44"/>
    <x v="3"/>
    <x v="0"/>
    <x v="0"/>
    <x v="84"/>
    <x v="0"/>
    <x v="0"/>
    <x v="14"/>
    <x v="0"/>
    <x v="14"/>
    <x v="84"/>
    <x v="20"/>
    <x v="317"/>
  </r>
  <r>
    <x v="60"/>
    <x v="62"/>
    <x v="44"/>
    <x v="3"/>
    <x v="0"/>
    <x v="0"/>
    <x v="62"/>
    <x v="0"/>
    <x v="0"/>
    <x v="14"/>
    <x v="0"/>
    <x v="14"/>
    <x v="62"/>
    <x v="11"/>
    <x v="318"/>
  </r>
  <r>
    <x v="60"/>
    <x v="63"/>
    <x v="44"/>
    <x v="3"/>
    <x v="0"/>
    <x v="0"/>
    <x v="63"/>
    <x v="0"/>
    <x v="0"/>
    <x v="14"/>
    <x v="0"/>
    <x v="14"/>
    <x v="63"/>
    <x v="11"/>
    <x v="319"/>
  </r>
  <r>
    <x v="60"/>
    <x v="66"/>
    <x v="44"/>
    <x v="3"/>
    <x v="0"/>
    <x v="0"/>
    <x v="66"/>
    <x v="0"/>
    <x v="0"/>
    <x v="14"/>
    <x v="0"/>
    <x v="14"/>
    <x v="66"/>
    <x v="11"/>
    <x v="320"/>
  </r>
  <r>
    <x v="60"/>
    <x v="67"/>
    <x v="44"/>
    <x v="3"/>
    <x v="0"/>
    <x v="0"/>
    <x v="67"/>
    <x v="0"/>
    <x v="0"/>
    <x v="14"/>
    <x v="0"/>
    <x v="14"/>
    <x v="67"/>
    <x v="11"/>
    <x v="321"/>
  </r>
  <r>
    <x v="60"/>
    <x v="117"/>
    <x v="44"/>
    <x v="3"/>
    <x v="0"/>
    <x v="0"/>
    <x v="113"/>
    <x v="0"/>
    <x v="0"/>
    <x v="14"/>
    <x v="0"/>
    <x v="14"/>
    <x v="117"/>
    <x v="13"/>
    <x v="322"/>
  </r>
  <r>
    <x v="60"/>
    <x v="72"/>
    <x v="44"/>
    <x v="3"/>
    <x v="0"/>
    <x v="0"/>
    <x v="72"/>
    <x v="0"/>
    <x v="0"/>
    <x v="14"/>
    <x v="0"/>
    <x v="14"/>
    <x v="72"/>
    <x v="13"/>
    <x v="323"/>
  </r>
  <r>
    <x v="60"/>
    <x v="118"/>
    <x v="44"/>
    <x v="3"/>
    <x v="0"/>
    <x v="0"/>
    <x v="114"/>
    <x v="0"/>
    <x v="0"/>
    <x v="14"/>
    <x v="0"/>
    <x v="14"/>
    <x v="118"/>
    <x v="28"/>
    <x v="324"/>
  </r>
  <r>
    <x v="60"/>
    <x v="119"/>
    <x v="44"/>
    <x v="3"/>
    <x v="0"/>
    <x v="0"/>
    <x v="115"/>
    <x v="0"/>
    <x v="0"/>
    <x v="14"/>
    <x v="0"/>
    <x v="14"/>
    <x v="119"/>
    <x v="16"/>
    <x v="325"/>
  </r>
  <r>
    <x v="60"/>
    <x v="76"/>
    <x v="44"/>
    <x v="3"/>
    <x v="0"/>
    <x v="0"/>
    <x v="76"/>
    <x v="0"/>
    <x v="0"/>
    <x v="14"/>
    <x v="0"/>
    <x v="14"/>
    <x v="76"/>
    <x v="16"/>
    <x v="326"/>
  </r>
  <r>
    <x v="60"/>
    <x v="120"/>
    <x v="44"/>
    <x v="3"/>
    <x v="0"/>
    <x v="0"/>
    <x v="116"/>
    <x v="0"/>
    <x v="0"/>
    <x v="14"/>
    <x v="0"/>
    <x v="14"/>
    <x v="120"/>
    <x v="24"/>
    <x v="327"/>
  </r>
  <r>
    <x v="60"/>
    <x v="78"/>
    <x v="44"/>
    <x v="3"/>
    <x v="0"/>
    <x v="0"/>
    <x v="78"/>
    <x v="0"/>
    <x v="0"/>
    <x v="14"/>
    <x v="0"/>
    <x v="14"/>
    <x v="78"/>
    <x v="17"/>
    <x v="328"/>
  </r>
  <r>
    <x v="60"/>
    <x v="121"/>
    <x v="44"/>
    <x v="3"/>
    <x v="0"/>
    <x v="0"/>
    <x v="117"/>
    <x v="0"/>
    <x v="0"/>
    <x v="14"/>
    <x v="0"/>
    <x v="14"/>
    <x v="121"/>
    <x v="29"/>
    <x v="329"/>
  </r>
  <r>
    <x v="61"/>
    <x v="122"/>
    <x v="45"/>
    <x v="3"/>
    <x v="0"/>
    <x v="0"/>
    <x v="118"/>
    <x v="0"/>
    <x v="0"/>
    <x v="13"/>
    <x v="0"/>
    <x v="13"/>
    <x v="122"/>
    <x v="30"/>
    <x v="33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70">
  <r>
    <x v="0"/>
    <x v="0"/>
    <x v="0"/>
    <x v="0"/>
    <x v="0"/>
    <x v="0"/>
    <x v="0"/>
    <x v="0"/>
    <x v="0"/>
    <x v="0"/>
    <x v="0"/>
    <x v="0"/>
    <x v="0"/>
    <x v="0"/>
    <x v="0"/>
  </r>
  <r>
    <x v="1"/>
    <x v="1"/>
    <x v="1"/>
    <x v="1"/>
    <x v="0"/>
    <x v="0"/>
    <x v="1"/>
    <x v="0"/>
    <x v="0"/>
    <x v="0"/>
    <x v="0"/>
    <x v="0"/>
    <x v="1"/>
    <x v="0"/>
    <x v="1"/>
  </r>
  <r>
    <x v="2"/>
    <x v="2"/>
    <x v="2"/>
    <x v="2"/>
    <x v="0"/>
    <x v="0"/>
    <x v="2"/>
    <x v="1"/>
    <x v="1"/>
    <x v="0"/>
    <x v="0"/>
    <x v="0"/>
    <x v="2"/>
    <x v="0"/>
    <x v="2"/>
  </r>
  <r>
    <x v="2"/>
    <x v="2"/>
    <x v="2"/>
    <x v="2"/>
    <x v="0"/>
    <x v="0"/>
    <x v="3"/>
    <x v="2"/>
    <x v="2"/>
    <x v="0"/>
    <x v="0"/>
    <x v="0"/>
    <x v="2"/>
    <x v="0"/>
    <x v="3"/>
  </r>
  <r>
    <x v="3"/>
    <x v="3"/>
    <x v="3"/>
    <x v="3"/>
    <x v="0"/>
    <x v="0"/>
    <x v="4"/>
    <x v="0"/>
    <x v="0"/>
    <x v="1"/>
    <x v="0"/>
    <x v="1"/>
    <x v="3"/>
    <x v="0"/>
    <x v="4"/>
  </r>
  <r>
    <x v="3"/>
    <x v="3"/>
    <x v="3"/>
    <x v="3"/>
    <x v="0"/>
    <x v="0"/>
    <x v="4"/>
    <x v="0"/>
    <x v="0"/>
    <x v="2"/>
    <x v="0"/>
    <x v="2"/>
    <x v="3"/>
    <x v="0"/>
    <x v="5"/>
  </r>
  <r>
    <x v="4"/>
    <x v="4"/>
    <x v="4"/>
    <x v="1"/>
    <x v="0"/>
    <x v="0"/>
    <x v="5"/>
    <x v="0"/>
    <x v="0"/>
    <x v="0"/>
    <x v="0"/>
    <x v="0"/>
    <x v="4"/>
    <x v="0"/>
    <x v="6"/>
  </r>
  <r>
    <x v="5"/>
    <x v="5"/>
    <x v="5"/>
    <x v="1"/>
    <x v="0"/>
    <x v="0"/>
    <x v="6"/>
    <x v="0"/>
    <x v="0"/>
    <x v="0"/>
    <x v="0"/>
    <x v="0"/>
    <x v="5"/>
    <x v="0"/>
    <x v="7"/>
  </r>
  <r>
    <x v="6"/>
    <x v="6"/>
    <x v="6"/>
    <x v="1"/>
    <x v="0"/>
    <x v="0"/>
    <x v="7"/>
    <x v="0"/>
    <x v="0"/>
    <x v="0"/>
    <x v="0"/>
    <x v="0"/>
    <x v="6"/>
    <x v="0"/>
    <x v="8"/>
  </r>
  <r>
    <x v="7"/>
    <x v="7"/>
    <x v="6"/>
    <x v="1"/>
    <x v="0"/>
    <x v="0"/>
    <x v="8"/>
    <x v="0"/>
    <x v="0"/>
    <x v="0"/>
    <x v="0"/>
    <x v="0"/>
    <x v="7"/>
    <x v="0"/>
    <x v="9"/>
  </r>
  <r>
    <x v="8"/>
    <x v="8"/>
    <x v="6"/>
    <x v="1"/>
    <x v="0"/>
    <x v="0"/>
    <x v="9"/>
    <x v="0"/>
    <x v="0"/>
    <x v="0"/>
    <x v="0"/>
    <x v="0"/>
    <x v="8"/>
    <x v="0"/>
    <x v="10"/>
  </r>
  <r>
    <x v="9"/>
    <x v="9"/>
    <x v="6"/>
    <x v="1"/>
    <x v="0"/>
    <x v="0"/>
    <x v="10"/>
    <x v="0"/>
    <x v="0"/>
    <x v="0"/>
    <x v="0"/>
    <x v="0"/>
    <x v="9"/>
    <x v="0"/>
    <x v="11"/>
  </r>
  <r>
    <x v="10"/>
    <x v="10"/>
    <x v="7"/>
    <x v="1"/>
    <x v="0"/>
    <x v="0"/>
    <x v="11"/>
    <x v="0"/>
    <x v="0"/>
    <x v="0"/>
    <x v="0"/>
    <x v="0"/>
    <x v="10"/>
    <x v="0"/>
    <x v="12"/>
  </r>
  <r>
    <x v="11"/>
    <x v="11"/>
    <x v="8"/>
    <x v="0"/>
    <x v="0"/>
    <x v="0"/>
    <x v="12"/>
    <x v="0"/>
    <x v="0"/>
    <x v="0"/>
    <x v="0"/>
    <x v="0"/>
    <x v="11"/>
    <x v="0"/>
    <x v="13"/>
  </r>
  <r>
    <x v="12"/>
    <x v="12"/>
    <x v="9"/>
    <x v="0"/>
    <x v="0"/>
    <x v="0"/>
    <x v="13"/>
    <x v="3"/>
    <x v="3"/>
    <x v="0"/>
    <x v="0"/>
    <x v="0"/>
    <x v="12"/>
    <x v="0"/>
    <x v="14"/>
  </r>
  <r>
    <x v="13"/>
    <x v="13"/>
    <x v="10"/>
    <x v="0"/>
    <x v="0"/>
    <x v="0"/>
    <x v="3"/>
    <x v="2"/>
    <x v="2"/>
    <x v="0"/>
    <x v="0"/>
    <x v="0"/>
    <x v="13"/>
    <x v="0"/>
    <x v="15"/>
  </r>
  <r>
    <x v="14"/>
    <x v="14"/>
    <x v="11"/>
    <x v="1"/>
    <x v="0"/>
    <x v="0"/>
    <x v="14"/>
    <x v="0"/>
    <x v="0"/>
    <x v="0"/>
    <x v="0"/>
    <x v="0"/>
    <x v="14"/>
    <x v="0"/>
    <x v="16"/>
  </r>
  <r>
    <x v="15"/>
    <x v="15"/>
    <x v="12"/>
    <x v="1"/>
    <x v="0"/>
    <x v="0"/>
    <x v="15"/>
    <x v="0"/>
    <x v="0"/>
    <x v="0"/>
    <x v="0"/>
    <x v="0"/>
    <x v="15"/>
    <x v="0"/>
    <x v="17"/>
  </r>
  <r>
    <x v="16"/>
    <x v="16"/>
    <x v="13"/>
    <x v="1"/>
    <x v="0"/>
    <x v="0"/>
    <x v="16"/>
    <x v="0"/>
    <x v="0"/>
    <x v="0"/>
    <x v="0"/>
    <x v="0"/>
    <x v="16"/>
    <x v="0"/>
    <x v="18"/>
  </r>
  <r>
    <x v="17"/>
    <x v="17"/>
    <x v="14"/>
    <x v="1"/>
    <x v="0"/>
    <x v="0"/>
    <x v="17"/>
    <x v="0"/>
    <x v="0"/>
    <x v="0"/>
    <x v="0"/>
    <x v="0"/>
    <x v="17"/>
    <x v="0"/>
    <x v="19"/>
  </r>
  <r>
    <x v="18"/>
    <x v="18"/>
    <x v="15"/>
    <x v="1"/>
    <x v="0"/>
    <x v="0"/>
    <x v="18"/>
    <x v="0"/>
    <x v="0"/>
    <x v="0"/>
    <x v="0"/>
    <x v="0"/>
    <x v="18"/>
    <x v="0"/>
    <x v="20"/>
  </r>
  <r>
    <x v="19"/>
    <x v="19"/>
    <x v="16"/>
    <x v="1"/>
    <x v="0"/>
    <x v="0"/>
    <x v="19"/>
    <x v="0"/>
    <x v="0"/>
    <x v="0"/>
    <x v="0"/>
    <x v="0"/>
    <x v="19"/>
    <x v="0"/>
    <x v="21"/>
  </r>
  <r>
    <x v="20"/>
    <x v="20"/>
    <x v="17"/>
    <x v="1"/>
    <x v="0"/>
    <x v="0"/>
    <x v="20"/>
    <x v="0"/>
    <x v="0"/>
    <x v="0"/>
    <x v="0"/>
    <x v="0"/>
    <x v="20"/>
    <x v="0"/>
    <x v="22"/>
  </r>
  <r>
    <x v="21"/>
    <x v="21"/>
    <x v="18"/>
    <x v="1"/>
    <x v="0"/>
    <x v="0"/>
    <x v="21"/>
    <x v="0"/>
    <x v="0"/>
    <x v="0"/>
    <x v="0"/>
    <x v="0"/>
    <x v="21"/>
    <x v="0"/>
    <x v="23"/>
  </r>
  <r>
    <x v="22"/>
    <x v="22"/>
    <x v="19"/>
    <x v="1"/>
    <x v="0"/>
    <x v="0"/>
    <x v="22"/>
    <x v="0"/>
    <x v="0"/>
    <x v="0"/>
    <x v="0"/>
    <x v="0"/>
    <x v="22"/>
    <x v="0"/>
    <x v="24"/>
  </r>
  <r>
    <x v="23"/>
    <x v="23"/>
    <x v="19"/>
    <x v="1"/>
    <x v="0"/>
    <x v="0"/>
    <x v="23"/>
    <x v="0"/>
    <x v="0"/>
    <x v="0"/>
    <x v="0"/>
    <x v="0"/>
    <x v="23"/>
    <x v="0"/>
    <x v="25"/>
  </r>
  <r>
    <x v="24"/>
    <x v="24"/>
    <x v="20"/>
    <x v="1"/>
    <x v="0"/>
    <x v="0"/>
    <x v="24"/>
    <x v="0"/>
    <x v="0"/>
    <x v="0"/>
    <x v="0"/>
    <x v="0"/>
    <x v="24"/>
    <x v="0"/>
    <x v="26"/>
  </r>
  <r>
    <x v="25"/>
    <x v="25"/>
    <x v="20"/>
    <x v="1"/>
    <x v="0"/>
    <x v="0"/>
    <x v="25"/>
    <x v="0"/>
    <x v="0"/>
    <x v="0"/>
    <x v="0"/>
    <x v="0"/>
    <x v="25"/>
    <x v="0"/>
    <x v="27"/>
  </r>
  <r>
    <x v="26"/>
    <x v="26"/>
    <x v="21"/>
    <x v="2"/>
    <x v="0"/>
    <x v="0"/>
    <x v="2"/>
    <x v="1"/>
    <x v="1"/>
    <x v="0"/>
    <x v="0"/>
    <x v="0"/>
    <x v="26"/>
    <x v="0"/>
    <x v="28"/>
  </r>
  <r>
    <x v="26"/>
    <x v="26"/>
    <x v="21"/>
    <x v="2"/>
    <x v="0"/>
    <x v="0"/>
    <x v="3"/>
    <x v="2"/>
    <x v="2"/>
    <x v="0"/>
    <x v="0"/>
    <x v="0"/>
    <x v="26"/>
    <x v="0"/>
    <x v="29"/>
  </r>
  <r>
    <x v="26"/>
    <x v="26"/>
    <x v="21"/>
    <x v="2"/>
    <x v="0"/>
    <x v="0"/>
    <x v="26"/>
    <x v="4"/>
    <x v="4"/>
    <x v="0"/>
    <x v="0"/>
    <x v="0"/>
    <x v="26"/>
    <x v="0"/>
    <x v="30"/>
  </r>
  <r>
    <x v="27"/>
    <x v="27"/>
    <x v="21"/>
    <x v="2"/>
    <x v="0"/>
    <x v="0"/>
    <x v="2"/>
    <x v="1"/>
    <x v="1"/>
    <x v="0"/>
    <x v="0"/>
    <x v="0"/>
    <x v="27"/>
    <x v="0"/>
    <x v="31"/>
  </r>
  <r>
    <x v="27"/>
    <x v="27"/>
    <x v="21"/>
    <x v="2"/>
    <x v="0"/>
    <x v="0"/>
    <x v="26"/>
    <x v="4"/>
    <x v="4"/>
    <x v="0"/>
    <x v="0"/>
    <x v="0"/>
    <x v="27"/>
    <x v="0"/>
    <x v="32"/>
  </r>
  <r>
    <x v="28"/>
    <x v="28"/>
    <x v="22"/>
    <x v="1"/>
    <x v="0"/>
    <x v="0"/>
    <x v="27"/>
    <x v="0"/>
    <x v="0"/>
    <x v="0"/>
    <x v="0"/>
    <x v="0"/>
    <x v="28"/>
    <x v="0"/>
    <x v="33"/>
  </r>
  <r>
    <x v="29"/>
    <x v="29"/>
    <x v="23"/>
    <x v="1"/>
    <x v="0"/>
    <x v="0"/>
    <x v="28"/>
    <x v="0"/>
    <x v="0"/>
    <x v="0"/>
    <x v="0"/>
    <x v="0"/>
    <x v="29"/>
    <x v="0"/>
    <x v="34"/>
  </r>
  <r>
    <x v="30"/>
    <x v="30"/>
    <x v="24"/>
    <x v="1"/>
    <x v="0"/>
    <x v="0"/>
    <x v="29"/>
    <x v="0"/>
    <x v="0"/>
    <x v="0"/>
    <x v="0"/>
    <x v="0"/>
    <x v="30"/>
    <x v="0"/>
    <x v="35"/>
  </r>
  <r>
    <x v="31"/>
    <x v="31"/>
    <x v="24"/>
    <x v="1"/>
    <x v="0"/>
    <x v="0"/>
    <x v="30"/>
    <x v="0"/>
    <x v="0"/>
    <x v="0"/>
    <x v="0"/>
    <x v="0"/>
    <x v="31"/>
    <x v="0"/>
    <x v="36"/>
  </r>
  <r>
    <x v="32"/>
    <x v="32"/>
    <x v="25"/>
    <x v="0"/>
    <x v="0"/>
    <x v="0"/>
    <x v="31"/>
    <x v="0"/>
    <x v="0"/>
    <x v="0"/>
    <x v="0"/>
    <x v="0"/>
    <x v="32"/>
    <x v="0"/>
    <x v="37"/>
  </r>
  <r>
    <x v="33"/>
    <x v="33"/>
    <x v="25"/>
    <x v="0"/>
    <x v="0"/>
    <x v="0"/>
    <x v="32"/>
    <x v="0"/>
    <x v="0"/>
    <x v="0"/>
    <x v="0"/>
    <x v="0"/>
    <x v="33"/>
    <x v="0"/>
    <x v="38"/>
  </r>
  <r>
    <x v="34"/>
    <x v="34"/>
    <x v="26"/>
    <x v="1"/>
    <x v="0"/>
    <x v="0"/>
    <x v="33"/>
    <x v="0"/>
    <x v="0"/>
    <x v="0"/>
    <x v="0"/>
    <x v="0"/>
    <x v="34"/>
    <x v="0"/>
    <x v="39"/>
  </r>
  <r>
    <x v="35"/>
    <x v="35"/>
    <x v="26"/>
    <x v="1"/>
    <x v="0"/>
    <x v="0"/>
    <x v="34"/>
    <x v="0"/>
    <x v="0"/>
    <x v="0"/>
    <x v="0"/>
    <x v="0"/>
    <x v="35"/>
    <x v="0"/>
    <x v="40"/>
  </r>
  <r>
    <x v="36"/>
    <x v="36"/>
    <x v="27"/>
    <x v="1"/>
    <x v="0"/>
    <x v="0"/>
    <x v="35"/>
    <x v="0"/>
    <x v="0"/>
    <x v="0"/>
    <x v="0"/>
    <x v="0"/>
    <x v="36"/>
    <x v="0"/>
    <x v="41"/>
  </r>
  <r>
    <x v="37"/>
    <x v="37"/>
    <x v="27"/>
    <x v="1"/>
    <x v="0"/>
    <x v="0"/>
    <x v="36"/>
    <x v="0"/>
    <x v="0"/>
    <x v="0"/>
    <x v="0"/>
    <x v="0"/>
    <x v="37"/>
    <x v="0"/>
    <x v="42"/>
  </r>
  <r>
    <x v="38"/>
    <x v="38"/>
    <x v="28"/>
    <x v="1"/>
    <x v="0"/>
    <x v="0"/>
    <x v="37"/>
    <x v="0"/>
    <x v="0"/>
    <x v="0"/>
    <x v="0"/>
    <x v="0"/>
    <x v="38"/>
    <x v="0"/>
    <x v="43"/>
  </r>
  <r>
    <x v="39"/>
    <x v="39"/>
    <x v="29"/>
    <x v="0"/>
    <x v="0"/>
    <x v="0"/>
    <x v="38"/>
    <x v="0"/>
    <x v="0"/>
    <x v="0"/>
    <x v="0"/>
    <x v="0"/>
    <x v="39"/>
    <x v="0"/>
    <x v="44"/>
  </r>
  <r>
    <x v="40"/>
    <x v="40"/>
    <x v="30"/>
    <x v="1"/>
    <x v="0"/>
    <x v="0"/>
    <x v="39"/>
    <x v="0"/>
    <x v="0"/>
    <x v="0"/>
    <x v="0"/>
    <x v="0"/>
    <x v="40"/>
    <x v="0"/>
    <x v="45"/>
  </r>
  <r>
    <x v="41"/>
    <x v="41"/>
    <x v="31"/>
    <x v="0"/>
    <x v="0"/>
    <x v="0"/>
    <x v="40"/>
    <x v="0"/>
    <x v="0"/>
    <x v="0"/>
    <x v="0"/>
    <x v="0"/>
    <x v="41"/>
    <x v="0"/>
    <x v="46"/>
  </r>
  <r>
    <x v="42"/>
    <x v="42"/>
    <x v="32"/>
    <x v="0"/>
    <x v="0"/>
    <x v="0"/>
    <x v="41"/>
    <x v="0"/>
    <x v="0"/>
    <x v="0"/>
    <x v="0"/>
    <x v="0"/>
    <x v="42"/>
    <x v="0"/>
    <x v="47"/>
  </r>
  <r>
    <x v="43"/>
    <x v="43"/>
    <x v="32"/>
    <x v="0"/>
    <x v="0"/>
    <x v="0"/>
    <x v="42"/>
    <x v="0"/>
    <x v="0"/>
    <x v="0"/>
    <x v="0"/>
    <x v="0"/>
    <x v="43"/>
    <x v="0"/>
    <x v="48"/>
  </r>
  <r>
    <x v="44"/>
    <x v="44"/>
    <x v="33"/>
    <x v="3"/>
    <x v="0"/>
    <x v="0"/>
    <x v="43"/>
    <x v="0"/>
    <x v="0"/>
    <x v="3"/>
    <x v="0"/>
    <x v="3"/>
    <x v="44"/>
    <x v="1"/>
    <x v="49"/>
  </r>
  <r>
    <x v="44"/>
    <x v="45"/>
    <x v="33"/>
    <x v="3"/>
    <x v="0"/>
    <x v="0"/>
    <x v="44"/>
    <x v="0"/>
    <x v="0"/>
    <x v="3"/>
    <x v="0"/>
    <x v="3"/>
    <x v="45"/>
    <x v="2"/>
    <x v="50"/>
  </r>
  <r>
    <x v="44"/>
    <x v="46"/>
    <x v="33"/>
    <x v="3"/>
    <x v="0"/>
    <x v="0"/>
    <x v="45"/>
    <x v="0"/>
    <x v="0"/>
    <x v="3"/>
    <x v="0"/>
    <x v="3"/>
    <x v="46"/>
    <x v="2"/>
    <x v="51"/>
  </r>
  <r>
    <x v="44"/>
    <x v="47"/>
    <x v="33"/>
    <x v="3"/>
    <x v="0"/>
    <x v="0"/>
    <x v="46"/>
    <x v="0"/>
    <x v="0"/>
    <x v="3"/>
    <x v="0"/>
    <x v="3"/>
    <x v="47"/>
    <x v="2"/>
    <x v="52"/>
  </r>
  <r>
    <x v="44"/>
    <x v="48"/>
    <x v="33"/>
    <x v="3"/>
    <x v="0"/>
    <x v="0"/>
    <x v="47"/>
    <x v="0"/>
    <x v="0"/>
    <x v="3"/>
    <x v="0"/>
    <x v="3"/>
    <x v="48"/>
    <x v="2"/>
    <x v="53"/>
  </r>
  <r>
    <x v="44"/>
    <x v="49"/>
    <x v="33"/>
    <x v="3"/>
    <x v="0"/>
    <x v="0"/>
    <x v="48"/>
    <x v="0"/>
    <x v="0"/>
    <x v="3"/>
    <x v="0"/>
    <x v="3"/>
    <x v="49"/>
    <x v="3"/>
    <x v="54"/>
  </r>
  <r>
    <x v="44"/>
    <x v="50"/>
    <x v="33"/>
    <x v="3"/>
    <x v="0"/>
    <x v="0"/>
    <x v="49"/>
    <x v="0"/>
    <x v="0"/>
    <x v="3"/>
    <x v="0"/>
    <x v="3"/>
    <x v="50"/>
    <x v="4"/>
    <x v="55"/>
  </r>
  <r>
    <x v="44"/>
    <x v="51"/>
    <x v="33"/>
    <x v="3"/>
    <x v="0"/>
    <x v="0"/>
    <x v="50"/>
    <x v="0"/>
    <x v="0"/>
    <x v="3"/>
    <x v="0"/>
    <x v="3"/>
    <x v="51"/>
    <x v="4"/>
    <x v="56"/>
  </r>
  <r>
    <x v="44"/>
    <x v="52"/>
    <x v="33"/>
    <x v="3"/>
    <x v="0"/>
    <x v="0"/>
    <x v="51"/>
    <x v="0"/>
    <x v="0"/>
    <x v="3"/>
    <x v="0"/>
    <x v="3"/>
    <x v="52"/>
    <x v="4"/>
    <x v="57"/>
  </r>
  <r>
    <x v="44"/>
    <x v="53"/>
    <x v="33"/>
    <x v="3"/>
    <x v="0"/>
    <x v="0"/>
    <x v="52"/>
    <x v="0"/>
    <x v="0"/>
    <x v="3"/>
    <x v="0"/>
    <x v="3"/>
    <x v="53"/>
    <x v="5"/>
    <x v="58"/>
  </r>
  <r>
    <x v="44"/>
    <x v="54"/>
    <x v="33"/>
    <x v="3"/>
    <x v="0"/>
    <x v="0"/>
    <x v="53"/>
    <x v="0"/>
    <x v="0"/>
    <x v="3"/>
    <x v="0"/>
    <x v="3"/>
    <x v="54"/>
    <x v="6"/>
    <x v="59"/>
  </r>
  <r>
    <x v="44"/>
    <x v="55"/>
    <x v="33"/>
    <x v="3"/>
    <x v="0"/>
    <x v="0"/>
    <x v="54"/>
    <x v="0"/>
    <x v="0"/>
    <x v="3"/>
    <x v="0"/>
    <x v="3"/>
    <x v="55"/>
    <x v="7"/>
    <x v="60"/>
  </r>
  <r>
    <x v="44"/>
    <x v="56"/>
    <x v="33"/>
    <x v="3"/>
    <x v="0"/>
    <x v="0"/>
    <x v="55"/>
    <x v="0"/>
    <x v="0"/>
    <x v="3"/>
    <x v="0"/>
    <x v="3"/>
    <x v="56"/>
    <x v="7"/>
    <x v="61"/>
  </r>
  <r>
    <x v="44"/>
    <x v="57"/>
    <x v="33"/>
    <x v="3"/>
    <x v="0"/>
    <x v="0"/>
    <x v="56"/>
    <x v="0"/>
    <x v="0"/>
    <x v="3"/>
    <x v="0"/>
    <x v="3"/>
    <x v="57"/>
    <x v="8"/>
    <x v="62"/>
  </r>
  <r>
    <x v="44"/>
    <x v="58"/>
    <x v="33"/>
    <x v="3"/>
    <x v="0"/>
    <x v="0"/>
    <x v="57"/>
    <x v="0"/>
    <x v="0"/>
    <x v="3"/>
    <x v="0"/>
    <x v="3"/>
    <x v="58"/>
    <x v="8"/>
    <x v="63"/>
  </r>
  <r>
    <x v="44"/>
    <x v="59"/>
    <x v="33"/>
    <x v="3"/>
    <x v="0"/>
    <x v="0"/>
    <x v="58"/>
    <x v="0"/>
    <x v="0"/>
    <x v="3"/>
    <x v="0"/>
    <x v="3"/>
    <x v="59"/>
    <x v="9"/>
    <x v="64"/>
  </r>
  <r>
    <x v="44"/>
    <x v="60"/>
    <x v="33"/>
    <x v="3"/>
    <x v="0"/>
    <x v="0"/>
    <x v="59"/>
    <x v="0"/>
    <x v="0"/>
    <x v="3"/>
    <x v="0"/>
    <x v="3"/>
    <x v="60"/>
    <x v="2"/>
    <x v="65"/>
  </r>
  <r>
    <x v="44"/>
    <x v="61"/>
    <x v="33"/>
    <x v="3"/>
    <x v="0"/>
    <x v="0"/>
    <x v="60"/>
    <x v="0"/>
    <x v="0"/>
    <x v="3"/>
    <x v="0"/>
    <x v="3"/>
    <x v="61"/>
    <x v="10"/>
    <x v="66"/>
  </r>
  <r>
    <x v="44"/>
    <x v="62"/>
    <x v="33"/>
    <x v="3"/>
    <x v="0"/>
    <x v="0"/>
    <x v="61"/>
    <x v="0"/>
    <x v="0"/>
    <x v="3"/>
    <x v="0"/>
    <x v="3"/>
    <x v="62"/>
    <x v="11"/>
    <x v="67"/>
  </r>
  <r>
    <x v="44"/>
    <x v="63"/>
    <x v="33"/>
    <x v="3"/>
    <x v="0"/>
    <x v="0"/>
    <x v="62"/>
    <x v="0"/>
    <x v="0"/>
    <x v="3"/>
    <x v="0"/>
    <x v="3"/>
    <x v="63"/>
    <x v="11"/>
    <x v="68"/>
  </r>
  <r>
    <x v="44"/>
    <x v="64"/>
    <x v="33"/>
    <x v="3"/>
    <x v="0"/>
    <x v="0"/>
    <x v="63"/>
    <x v="0"/>
    <x v="0"/>
    <x v="3"/>
    <x v="0"/>
    <x v="3"/>
    <x v="64"/>
    <x v="11"/>
    <x v="69"/>
  </r>
  <r>
    <x v="44"/>
    <x v="65"/>
    <x v="33"/>
    <x v="3"/>
    <x v="0"/>
    <x v="0"/>
    <x v="64"/>
    <x v="0"/>
    <x v="0"/>
    <x v="3"/>
    <x v="0"/>
    <x v="3"/>
    <x v="65"/>
    <x v="11"/>
    <x v="70"/>
  </r>
  <r>
    <x v="44"/>
    <x v="66"/>
    <x v="33"/>
    <x v="3"/>
    <x v="0"/>
    <x v="0"/>
    <x v="65"/>
    <x v="0"/>
    <x v="0"/>
    <x v="3"/>
    <x v="0"/>
    <x v="3"/>
    <x v="66"/>
    <x v="11"/>
    <x v="71"/>
  </r>
  <r>
    <x v="44"/>
    <x v="67"/>
    <x v="33"/>
    <x v="3"/>
    <x v="0"/>
    <x v="0"/>
    <x v="66"/>
    <x v="0"/>
    <x v="0"/>
    <x v="3"/>
    <x v="0"/>
    <x v="3"/>
    <x v="67"/>
    <x v="11"/>
    <x v="72"/>
  </r>
  <r>
    <x v="44"/>
    <x v="68"/>
    <x v="33"/>
    <x v="3"/>
    <x v="0"/>
    <x v="0"/>
    <x v="67"/>
    <x v="0"/>
    <x v="0"/>
    <x v="3"/>
    <x v="0"/>
    <x v="3"/>
    <x v="68"/>
    <x v="11"/>
    <x v="73"/>
  </r>
  <r>
    <x v="44"/>
    <x v="69"/>
    <x v="33"/>
    <x v="3"/>
    <x v="0"/>
    <x v="0"/>
    <x v="68"/>
    <x v="0"/>
    <x v="0"/>
    <x v="3"/>
    <x v="0"/>
    <x v="3"/>
    <x v="69"/>
    <x v="11"/>
    <x v="74"/>
  </r>
  <r>
    <x v="44"/>
    <x v="70"/>
    <x v="33"/>
    <x v="3"/>
    <x v="0"/>
    <x v="0"/>
    <x v="69"/>
    <x v="0"/>
    <x v="0"/>
    <x v="3"/>
    <x v="0"/>
    <x v="3"/>
    <x v="70"/>
    <x v="12"/>
    <x v="75"/>
  </r>
  <r>
    <x v="44"/>
    <x v="71"/>
    <x v="33"/>
    <x v="3"/>
    <x v="0"/>
    <x v="0"/>
    <x v="70"/>
    <x v="0"/>
    <x v="0"/>
    <x v="3"/>
    <x v="0"/>
    <x v="3"/>
    <x v="71"/>
    <x v="12"/>
    <x v="76"/>
  </r>
  <r>
    <x v="44"/>
    <x v="72"/>
    <x v="33"/>
    <x v="3"/>
    <x v="0"/>
    <x v="0"/>
    <x v="71"/>
    <x v="0"/>
    <x v="0"/>
    <x v="3"/>
    <x v="0"/>
    <x v="3"/>
    <x v="72"/>
    <x v="13"/>
    <x v="77"/>
  </r>
  <r>
    <x v="44"/>
    <x v="73"/>
    <x v="33"/>
    <x v="3"/>
    <x v="0"/>
    <x v="0"/>
    <x v="72"/>
    <x v="0"/>
    <x v="0"/>
    <x v="3"/>
    <x v="0"/>
    <x v="3"/>
    <x v="73"/>
    <x v="14"/>
    <x v="78"/>
  </r>
  <r>
    <x v="44"/>
    <x v="44"/>
    <x v="33"/>
    <x v="3"/>
    <x v="0"/>
    <x v="0"/>
    <x v="43"/>
    <x v="0"/>
    <x v="0"/>
    <x v="4"/>
    <x v="0"/>
    <x v="4"/>
    <x v="44"/>
    <x v="1"/>
    <x v="79"/>
  </r>
  <r>
    <x v="44"/>
    <x v="45"/>
    <x v="33"/>
    <x v="3"/>
    <x v="0"/>
    <x v="0"/>
    <x v="44"/>
    <x v="0"/>
    <x v="0"/>
    <x v="4"/>
    <x v="0"/>
    <x v="4"/>
    <x v="45"/>
    <x v="2"/>
    <x v="80"/>
  </r>
  <r>
    <x v="44"/>
    <x v="46"/>
    <x v="33"/>
    <x v="3"/>
    <x v="0"/>
    <x v="0"/>
    <x v="45"/>
    <x v="0"/>
    <x v="0"/>
    <x v="4"/>
    <x v="0"/>
    <x v="4"/>
    <x v="46"/>
    <x v="2"/>
    <x v="81"/>
  </r>
  <r>
    <x v="44"/>
    <x v="47"/>
    <x v="33"/>
    <x v="3"/>
    <x v="0"/>
    <x v="0"/>
    <x v="46"/>
    <x v="0"/>
    <x v="0"/>
    <x v="4"/>
    <x v="0"/>
    <x v="4"/>
    <x v="47"/>
    <x v="2"/>
    <x v="82"/>
  </r>
  <r>
    <x v="44"/>
    <x v="48"/>
    <x v="33"/>
    <x v="3"/>
    <x v="0"/>
    <x v="0"/>
    <x v="47"/>
    <x v="0"/>
    <x v="0"/>
    <x v="4"/>
    <x v="0"/>
    <x v="4"/>
    <x v="48"/>
    <x v="2"/>
    <x v="83"/>
  </r>
  <r>
    <x v="44"/>
    <x v="49"/>
    <x v="33"/>
    <x v="3"/>
    <x v="0"/>
    <x v="0"/>
    <x v="48"/>
    <x v="0"/>
    <x v="0"/>
    <x v="4"/>
    <x v="0"/>
    <x v="4"/>
    <x v="49"/>
    <x v="3"/>
    <x v="84"/>
  </r>
  <r>
    <x v="44"/>
    <x v="50"/>
    <x v="33"/>
    <x v="3"/>
    <x v="0"/>
    <x v="0"/>
    <x v="49"/>
    <x v="0"/>
    <x v="0"/>
    <x v="4"/>
    <x v="0"/>
    <x v="4"/>
    <x v="50"/>
    <x v="4"/>
    <x v="85"/>
  </r>
  <r>
    <x v="44"/>
    <x v="51"/>
    <x v="33"/>
    <x v="3"/>
    <x v="0"/>
    <x v="0"/>
    <x v="50"/>
    <x v="0"/>
    <x v="0"/>
    <x v="4"/>
    <x v="0"/>
    <x v="4"/>
    <x v="51"/>
    <x v="4"/>
    <x v="86"/>
  </r>
  <r>
    <x v="44"/>
    <x v="52"/>
    <x v="33"/>
    <x v="3"/>
    <x v="0"/>
    <x v="0"/>
    <x v="51"/>
    <x v="0"/>
    <x v="0"/>
    <x v="4"/>
    <x v="0"/>
    <x v="4"/>
    <x v="52"/>
    <x v="4"/>
    <x v="87"/>
  </r>
  <r>
    <x v="44"/>
    <x v="53"/>
    <x v="33"/>
    <x v="3"/>
    <x v="0"/>
    <x v="0"/>
    <x v="52"/>
    <x v="0"/>
    <x v="0"/>
    <x v="4"/>
    <x v="0"/>
    <x v="4"/>
    <x v="53"/>
    <x v="5"/>
    <x v="88"/>
  </r>
  <r>
    <x v="44"/>
    <x v="54"/>
    <x v="33"/>
    <x v="3"/>
    <x v="0"/>
    <x v="0"/>
    <x v="53"/>
    <x v="0"/>
    <x v="0"/>
    <x v="4"/>
    <x v="0"/>
    <x v="4"/>
    <x v="54"/>
    <x v="6"/>
    <x v="89"/>
  </r>
  <r>
    <x v="44"/>
    <x v="56"/>
    <x v="33"/>
    <x v="3"/>
    <x v="0"/>
    <x v="0"/>
    <x v="55"/>
    <x v="0"/>
    <x v="0"/>
    <x v="4"/>
    <x v="0"/>
    <x v="4"/>
    <x v="56"/>
    <x v="7"/>
    <x v="90"/>
  </r>
  <r>
    <x v="44"/>
    <x v="57"/>
    <x v="33"/>
    <x v="3"/>
    <x v="0"/>
    <x v="0"/>
    <x v="56"/>
    <x v="0"/>
    <x v="0"/>
    <x v="4"/>
    <x v="0"/>
    <x v="4"/>
    <x v="57"/>
    <x v="8"/>
    <x v="91"/>
  </r>
  <r>
    <x v="44"/>
    <x v="58"/>
    <x v="33"/>
    <x v="3"/>
    <x v="0"/>
    <x v="0"/>
    <x v="57"/>
    <x v="0"/>
    <x v="0"/>
    <x v="4"/>
    <x v="0"/>
    <x v="4"/>
    <x v="58"/>
    <x v="8"/>
    <x v="92"/>
  </r>
  <r>
    <x v="44"/>
    <x v="59"/>
    <x v="33"/>
    <x v="3"/>
    <x v="0"/>
    <x v="0"/>
    <x v="58"/>
    <x v="0"/>
    <x v="0"/>
    <x v="4"/>
    <x v="0"/>
    <x v="4"/>
    <x v="59"/>
    <x v="9"/>
    <x v="93"/>
  </r>
  <r>
    <x v="44"/>
    <x v="60"/>
    <x v="33"/>
    <x v="3"/>
    <x v="0"/>
    <x v="0"/>
    <x v="59"/>
    <x v="0"/>
    <x v="0"/>
    <x v="4"/>
    <x v="0"/>
    <x v="4"/>
    <x v="60"/>
    <x v="2"/>
    <x v="94"/>
  </r>
  <r>
    <x v="44"/>
    <x v="61"/>
    <x v="33"/>
    <x v="3"/>
    <x v="0"/>
    <x v="0"/>
    <x v="60"/>
    <x v="0"/>
    <x v="0"/>
    <x v="4"/>
    <x v="0"/>
    <x v="4"/>
    <x v="61"/>
    <x v="10"/>
    <x v="95"/>
  </r>
  <r>
    <x v="44"/>
    <x v="62"/>
    <x v="33"/>
    <x v="3"/>
    <x v="0"/>
    <x v="0"/>
    <x v="61"/>
    <x v="0"/>
    <x v="0"/>
    <x v="4"/>
    <x v="0"/>
    <x v="4"/>
    <x v="62"/>
    <x v="11"/>
    <x v="96"/>
  </r>
  <r>
    <x v="44"/>
    <x v="63"/>
    <x v="33"/>
    <x v="3"/>
    <x v="0"/>
    <x v="0"/>
    <x v="62"/>
    <x v="0"/>
    <x v="0"/>
    <x v="4"/>
    <x v="0"/>
    <x v="4"/>
    <x v="63"/>
    <x v="11"/>
    <x v="97"/>
  </r>
  <r>
    <x v="44"/>
    <x v="64"/>
    <x v="33"/>
    <x v="3"/>
    <x v="0"/>
    <x v="0"/>
    <x v="63"/>
    <x v="0"/>
    <x v="0"/>
    <x v="4"/>
    <x v="0"/>
    <x v="4"/>
    <x v="64"/>
    <x v="11"/>
    <x v="98"/>
  </r>
  <r>
    <x v="44"/>
    <x v="65"/>
    <x v="33"/>
    <x v="3"/>
    <x v="0"/>
    <x v="0"/>
    <x v="64"/>
    <x v="0"/>
    <x v="0"/>
    <x v="4"/>
    <x v="0"/>
    <x v="4"/>
    <x v="65"/>
    <x v="11"/>
    <x v="99"/>
  </r>
  <r>
    <x v="44"/>
    <x v="66"/>
    <x v="33"/>
    <x v="3"/>
    <x v="0"/>
    <x v="0"/>
    <x v="65"/>
    <x v="0"/>
    <x v="0"/>
    <x v="4"/>
    <x v="0"/>
    <x v="4"/>
    <x v="66"/>
    <x v="11"/>
    <x v="100"/>
  </r>
  <r>
    <x v="44"/>
    <x v="67"/>
    <x v="33"/>
    <x v="3"/>
    <x v="0"/>
    <x v="0"/>
    <x v="66"/>
    <x v="0"/>
    <x v="0"/>
    <x v="4"/>
    <x v="0"/>
    <x v="4"/>
    <x v="67"/>
    <x v="11"/>
    <x v="101"/>
  </r>
  <r>
    <x v="44"/>
    <x v="68"/>
    <x v="33"/>
    <x v="3"/>
    <x v="0"/>
    <x v="0"/>
    <x v="67"/>
    <x v="0"/>
    <x v="0"/>
    <x v="4"/>
    <x v="0"/>
    <x v="4"/>
    <x v="68"/>
    <x v="11"/>
    <x v="102"/>
  </r>
  <r>
    <x v="44"/>
    <x v="69"/>
    <x v="33"/>
    <x v="3"/>
    <x v="0"/>
    <x v="0"/>
    <x v="68"/>
    <x v="0"/>
    <x v="0"/>
    <x v="4"/>
    <x v="0"/>
    <x v="4"/>
    <x v="69"/>
    <x v="11"/>
    <x v="103"/>
  </r>
  <r>
    <x v="44"/>
    <x v="74"/>
    <x v="33"/>
    <x v="3"/>
    <x v="0"/>
    <x v="0"/>
    <x v="73"/>
    <x v="0"/>
    <x v="0"/>
    <x v="4"/>
    <x v="0"/>
    <x v="4"/>
    <x v="74"/>
    <x v="12"/>
    <x v="104"/>
  </r>
  <r>
    <x v="44"/>
    <x v="70"/>
    <x v="33"/>
    <x v="3"/>
    <x v="0"/>
    <x v="0"/>
    <x v="69"/>
    <x v="0"/>
    <x v="0"/>
    <x v="4"/>
    <x v="0"/>
    <x v="4"/>
    <x v="70"/>
    <x v="12"/>
    <x v="105"/>
  </r>
  <r>
    <x v="44"/>
    <x v="71"/>
    <x v="33"/>
    <x v="3"/>
    <x v="0"/>
    <x v="0"/>
    <x v="70"/>
    <x v="0"/>
    <x v="0"/>
    <x v="4"/>
    <x v="0"/>
    <x v="4"/>
    <x v="71"/>
    <x v="12"/>
    <x v="106"/>
  </r>
  <r>
    <x v="44"/>
    <x v="75"/>
    <x v="33"/>
    <x v="3"/>
    <x v="0"/>
    <x v="0"/>
    <x v="74"/>
    <x v="0"/>
    <x v="0"/>
    <x v="4"/>
    <x v="0"/>
    <x v="4"/>
    <x v="75"/>
    <x v="15"/>
    <x v="107"/>
  </r>
  <r>
    <x v="44"/>
    <x v="73"/>
    <x v="33"/>
    <x v="3"/>
    <x v="0"/>
    <x v="0"/>
    <x v="72"/>
    <x v="0"/>
    <x v="0"/>
    <x v="4"/>
    <x v="0"/>
    <x v="4"/>
    <x v="73"/>
    <x v="14"/>
    <x v="108"/>
  </r>
  <r>
    <x v="44"/>
    <x v="76"/>
    <x v="33"/>
    <x v="3"/>
    <x v="0"/>
    <x v="0"/>
    <x v="75"/>
    <x v="0"/>
    <x v="0"/>
    <x v="4"/>
    <x v="0"/>
    <x v="4"/>
    <x v="76"/>
    <x v="16"/>
    <x v="109"/>
  </r>
  <r>
    <x v="44"/>
    <x v="77"/>
    <x v="33"/>
    <x v="3"/>
    <x v="0"/>
    <x v="0"/>
    <x v="76"/>
    <x v="0"/>
    <x v="0"/>
    <x v="4"/>
    <x v="0"/>
    <x v="4"/>
    <x v="77"/>
    <x v="15"/>
    <x v="110"/>
  </r>
  <r>
    <x v="44"/>
    <x v="78"/>
    <x v="33"/>
    <x v="3"/>
    <x v="0"/>
    <x v="0"/>
    <x v="77"/>
    <x v="0"/>
    <x v="0"/>
    <x v="4"/>
    <x v="0"/>
    <x v="4"/>
    <x v="78"/>
    <x v="15"/>
    <x v="111"/>
  </r>
  <r>
    <x v="44"/>
    <x v="79"/>
    <x v="33"/>
    <x v="3"/>
    <x v="0"/>
    <x v="0"/>
    <x v="78"/>
    <x v="0"/>
    <x v="0"/>
    <x v="4"/>
    <x v="0"/>
    <x v="4"/>
    <x v="79"/>
    <x v="17"/>
    <x v="112"/>
  </r>
  <r>
    <x v="44"/>
    <x v="80"/>
    <x v="33"/>
    <x v="3"/>
    <x v="0"/>
    <x v="0"/>
    <x v="79"/>
    <x v="0"/>
    <x v="0"/>
    <x v="4"/>
    <x v="0"/>
    <x v="4"/>
    <x v="80"/>
    <x v="18"/>
    <x v="113"/>
  </r>
  <r>
    <x v="44"/>
    <x v="44"/>
    <x v="33"/>
    <x v="3"/>
    <x v="0"/>
    <x v="0"/>
    <x v="43"/>
    <x v="0"/>
    <x v="0"/>
    <x v="5"/>
    <x v="0"/>
    <x v="5"/>
    <x v="44"/>
    <x v="1"/>
    <x v="114"/>
  </r>
  <r>
    <x v="44"/>
    <x v="45"/>
    <x v="33"/>
    <x v="3"/>
    <x v="0"/>
    <x v="0"/>
    <x v="44"/>
    <x v="0"/>
    <x v="0"/>
    <x v="5"/>
    <x v="0"/>
    <x v="5"/>
    <x v="45"/>
    <x v="2"/>
    <x v="115"/>
  </r>
  <r>
    <x v="44"/>
    <x v="46"/>
    <x v="33"/>
    <x v="3"/>
    <x v="0"/>
    <x v="0"/>
    <x v="45"/>
    <x v="0"/>
    <x v="0"/>
    <x v="5"/>
    <x v="0"/>
    <x v="5"/>
    <x v="46"/>
    <x v="2"/>
    <x v="116"/>
  </r>
  <r>
    <x v="44"/>
    <x v="47"/>
    <x v="33"/>
    <x v="3"/>
    <x v="0"/>
    <x v="0"/>
    <x v="46"/>
    <x v="0"/>
    <x v="0"/>
    <x v="5"/>
    <x v="0"/>
    <x v="5"/>
    <x v="47"/>
    <x v="2"/>
    <x v="55"/>
  </r>
  <r>
    <x v="44"/>
    <x v="48"/>
    <x v="33"/>
    <x v="3"/>
    <x v="0"/>
    <x v="0"/>
    <x v="47"/>
    <x v="0"/>
    <x v="0"/>
    <x v="5"/>
    <x v="0"/>
    <x v="5"/>
    <x v="48"/>
    <x v="2"/>
    <x v="117"/>
  </r>
  <r>
    <x v="44"/>
    <x v="49"/>
    <x v="33"/>
    <x v="3"/>
    <x v="0"/>
    <x v="0"/>
    <x v="48"/>
    <x v="0"/>
    <x v="0"/>
    <x v="5"/>
    <x v="0"/>
    <x v="5"/>
    <x v="49"/>
    <x v="3"/>
    <x v="54"/>
  </r>
  <r>
    <x v="44"/>
    <x v="50"/>
    <x v="33"/>
    <x v="3"/>
    <x v="0"/>
    <x v="0"/>
    <x v="49"/>
    <x v="0"/>
    <x v="0"/>
    <x v="5"/>
    <x v="0"/>
    <x v="5"/>
    <x v="50"/>
    <x v="4"/>
    <x v="55"/>
  </r>
  <r>
    <x v="44"/>
    <x v="51"/>
    <x v="33"/>
    <x v="3"/>
    <x v="0"/>
    <x v="0"/>
    <x v="50"/>
    <x v="0"/>
    <x v="0"/>
    <x v="5"/>
    <x v="0"/>
    <x v="5"/>
    <x v="51"/>
    <x v="4"/>
    <x v="118"/>
  </r>
  <r>
    <x v="44"/>
    <x v="52"/>
    <x v="33"/>
    <x v="3"/>
    <x v="0"/>
    <x v="0"/>
    <x v="51"/>
    <x v="0"/>
    <x v="0"/>
    <x v="5"/>
    <x v="0"/>
    <x v="5"/>
    <x v="52"/>
    <x v="4"/>
    <x v="57"/>
  </r>
  <r>
    <x v="44"/>
    <x v="53"/>
    <x v="33"/>
    <x v="3"/>
    <x v="0"/>
    <x v="0"/>
    <x v="52"/>
    <x v="0"/>
    <x v="0"/>
    <x v="5"/>
    <x v="0"/>
    <x v="5"/>
    <x v="53"/>
    <x v="5"/>
    <x v="119"/>
  </r>
  <r>
    <x v="44"/>
    <x v="54"/>
    <x v="33"/>
    <x v="3"/>
    <x v="0"/>
    <x v="0"/>
    <x v="53"/>
    <x v="0"/>
    <x v="0"/>
    <x v="5"/>
    <x v="0"/>
    <x v="5"/>
    <x v="54"/>
    <x v="6"/>
    <x v="120"/>
  </r>
  <r>
    <x v="44"/>
    <x v="55"/>
    <x v="33"/>
    <x v="3"/>
    <x v="0"/>
    <x v="0"/>
    <x v="54"/>
    <x v="0"/>
    <x v="0"/>
    <x v="5"/>
    <x v="0"/>
    <x v="5"/>
    <x v="55"/>
    <x v="7"/>
    <x v="121"/>
  </r>
  <r>
    <x v="44"/>
    <x v="56"/>
    <x v="33"/>
    <x v="3"/>
    <x v="0"/>
    <x v="0"/>
    <x v="55"/>
    <x v="0"/>
    <x v="0"/>
    <x v="5"/>
    <x v="0"/>
    <x v="5"/>
    <x v="56"/>
    <x v="7"/>
    <x v="122"/>
  </r>
  <r>
    <x v="44"/>
    <x v="57"/>
    <x v="33"/>
    <x v="3"/>
    <x v="0"/>
    <x v="0"/>
    <x v="56"/>
    <x v="0"/>
    <x v="0"/>
    <x v="5"/>
    <x v="0"/>
    <x v="5"/>
    <x v="57"/>
    <x v="8"/>
    <x v="123"/>
  </r>
  <r>
    <x v="44"/>
    <x v="58"/>
    <x v="33"/>
    <x v="3"/>
    <x v="0"/>
    <x v="0"/>
    <x v="57"/>
    <x v="0"/>
    <x v="0"/>
    <x v="5"/>
    <x v="0"/>
    <x v="5"/>
    <x v="58"/>
    <x v="8"/>
    <x v="124"/>
  </r>
  <r>
    <x v="44"/>
    <x v="59"/>
    <x v="33"/>
    <x v="3"/>
    <x v="0"/>
    <x v="0"/>
    <x v="58"/>
    <x v="0"/>
    <x v="0"/>
    <x v="5"/>
    <x v="0"/>
    <x v="5"/>
    <x v="59"/>
    <x v="9"/>
    <x v="125"/>
  </r>
  <r>
    <x v="44"/>
    <x v="60"/>
    <x v="33"/>
    <x v="3"/>
    <x v="0"/>
    <x v="0"/>
    <x v="59"/>
    <x v="0"/>
    <x v="0"/>
    <x v="5"/>
    <x v="0"/>
    <x v="5"/>
    <x v="60"/>
    <x v="2"/>
    <x v="126"/>
  </r>
  <r>
    <x v="44"/>
    <x v="61"/>
    <x v="33"/>
    <x v="3"/>
    <x v="0"/>
    <x v="0"/>
    <x v="60"/>
    <x v="0"/>
    <x v="0"/>
    <x v="5"/>
    <x v="0"/>
    <x v="5"/>
    <x v="61"/>
    <x v="10"/>
    <x v="127"/>
  </r>
  <r>
    <x v="44"/>
    <x v="62"/>
    <x v="33"/>
    <x v="3"/>
    <x v="0"/>
    <x v="0"/>
    <x v="61"/>
    <x v="0"/>
    <x v="0"/>
    <x v="5"/>
    <x v="0"/>
    <x v="5"/>
    <x v="62"/>
    <x v="11"/>
    <x v="128"/>
  </r>
  <r>
    <x v="44"/>
    <x v="63"/>
    <x v="33"/>
    <x v="3"/>
    <x v="0"/>
    <x v="0"/>
    <x v="62"/>
    <x v="0"/>
    <x v="0"/>
    <x v="5"/>
    <x v="0"/>
    <x v="5"/>
    <x v="63"/>
    <x v="11"/>
    <x v="129"/>
  </r>
  <r>
    <x v="44"/>
    <x v="64"/>
    <x v="33"/>
    <x v="3"/>
    <x v="0"/>
    <x v="0"/>
    <x v="63"/>
    <x v="0"/>
    <x v="0"/>
    <x v="5"/>
    <x v="0"/>
    <x v="5"/>
    <x v="64"/>
    <x v="11"/>
    <x v="130"/>
  </r>
  <r>
    <x v="44"/>
    <x v="65"/>
    <x v="33"/>
    <x v="3"/>
    <x v="0"/>
    <x v="0"/>
    <x v="64"/>
    <x v="0"/>
    <x v="0"/>
    <x v="5"/>
    <x v="0"/>
    <x v="5"/>
    <x v="65"/>
    <x v="11"/>
    <x v="131"/>
  </r>
  <r>
    <x v="44"/>
    <x v="66"/>
    <x v="33"/>
    <x v="3"/>
    <x v="0"/>
    <x v="0"/>
    <x v="65"/>
    <x v="0"/>
    <x v="0"/>
    <x v="5"/>
    <x v="0"/>
    <x v="5"/>
    <x v="66"/>
    <x v="11"/>
    <x v="132"/>
  </r>
  <r>
    <x v="44"/>
    <x v="67"/>
    <x v="33"/>
    <x v="3"/>
    <x v="0"/>
    <x v="0"/>
    <x v="66"/>
    <x v="0"/>
    <x v="0"/>
    <x v="5"/>
    <x v="0"/>
    <x v="5"/>
    <x v="67"/>
    <x v="11"/>
    <x v="133"/>
  </r>
  <r>
    <x v="44"/>
    <x v="68"/>
    <x v="33"/>
    <x v="3"/>
    <x v="0"/>
    <x v="0"/>
    <x v="67"/>
    <x v="0"/>
    <x v="0"/>
    <x v="5"/>
    <x v="0"/>
    <x v="5"/>
    <x v="68"/>
    <x v="11"/>
    <x v="134"/>
  </r>
  <r>
    <x v="44"/>
    <x v="81"/>
    <x v="33"/>
    <x v="3"/>
    <x v="0"/>
    <x v="0"/>
    <x v="80"/>
    <x v="0"/>
    <x v="0"/>
    <x v="5"/>
    <x v="0"/>
    <x v="5"/>
    <x v="81"/>
    <x v="11"/>
    <x v="135"/>
  </r>
  <r>
    <x v="44"/>
    <x v="69"/>
    <x v="33"/>
    <x v="3"/>
    <x v="0"/>
    <x v="0"/>
    <x v="68"/>
    <x v="0"/>
    <x v="0"/>
    <x v="5"/>
    <x v="0"/>
    <x v="5"/>
    <x v="69"/>
    <x v="11"/>
    <x v="136"/>
  </r>
  <r>
    <x v="44"/>
    <x v="70"/>
    <x v="33"/>
    <x v="3"/>
    <x v="0"/>
    <x v="0"/>
    <x v="69"/>
    <x v="0"/>
    <x v="0"/>
    <x v="5"/>
    <x v="0"/>
    <x v="5"/>
    <x v="70"/>
    <x v="12"/>
    <x v="137"/>
  </r>
  <r>
    <x v="44"/>
    <x v="71"/>
    <x v="33"/>
    <x v="3"/>
    <x v="0"/>
    <x v="0"/>
    <x v="70"/>
    <x v="0"/>
    <x v="0"/>
    <x v="5"/>
    <x v="0"/>
    <x v="5"/>
    <x v="71"/>
    <x v="12"/>
    <x v="138"/>
  </r>
  <r>
    <x v="44"/>
    <x v="72"/>
    <x v="33"/>
    <x v="3"/>
    <x v="0"/>
    <x v="0"/>
    <x v="71"/>
    <x v="0"/>
    <x v="0"/>
    <x v="5"/>
    <x v="0"/>
    <x v="5"/>
    <x v="72"/>
    <x v="13"/>
    <x v="139"/>
  </r>
  <r>
    <x v="44"/>
    <x v="44"/>
    <x v="33"/>
    <x v="3"/>
    <x v="0"/>
    <x v="0"/>
    <x v="43"/>
    <x v="0"/>
    <x v="0"/>
    <x v="6"/>
    <x v="1"/>
    <x v="6"/>
    <x v="44"/>
    <x v="1"/>
    <x v="140"/>
  </r>
  <r>
    <x v="44"/>
    <x v="82"/>
    <x v="33"/>
    <x v="3"/>
    <x v="0"/>
    <x v="0"/>
    <x v="81"/>
    <x v="0"/>
    <x v="0"/>
    <x v="6"/>
    <x v="1"/>
    <x v="6"/>
    <x v="82"/>
    <x v="2"/>
    <x v="141"/>
  </r>
  <r>
    <x v="44"/>
    <x v="83"/>
    <x v="33"/>
    <x v="3"/>
    <x v="0"/>
    <x v="0"/>
    <x v="82"/>
    <x v="0"/>
    <x v="0"/>
    <x v="6"/>
    <x v="1"/>
    <x v="6"/>
    <x v="83"/>
    <x v="1"/>
    <x v="142"/>
  </r>
  <r>
    <x v="44"/>
    <x v="45"/>
    <x v="33"/>
    <x v="3"/>
    <x v="0"/>
    <x v="0"/>
    <x v="44"/>
    <x v="0"/>
    <x v="0"/>
    <x v="6"/>
    <x v="1"/>
    <x v="6"/>
    <x v="45"/>
    <x v="2"/>
    <x v="143"/>
  </r>
  <r>
    <x v="44"/>
    <x v="46"/>
    <x v="33"/>
    <x v="3"/>
    <x v="0"/>
    <x v="0"/>
    <x v="45"/>
    <x v="0"/>
    <x v="0"/>
    <x v="6"/>
    <x v="1"/>
    <x v="6"/>
    <x v="46"/>
    <x v="2"/>
    <x v="144"/>
  </r>
  <r>
    <x v="44"/>
    <x v="47"/>
    <x v="33"/>
    <x v="3"/>
    <x v="0"/>
    <x v="0"/>
    <x v="46"/>
    <x v="0"/>
    <x v="0"/>
    <x v="6"/>
    <x v="1"/>
    <x v="6"/>
    <x v="47"/>
    <x v="2"/>
    <x v="145"/>
  </r>
  <r>
    <x v="44"/>
    <x v="48"/>
    <x v="33"/>
    <x v="3"/>
    <x v="0"/>
    <x v="0"/>
    <x v="47"/>
    <x v="0"/>
    <x v="0"/>
    <x v="6"/>
    <x v="1"/>
    <x v="6"/>
    <x v="48"/>
    <x v="2"/>
    <x v="146"/>
  </r>
  <r>
    <x v="44"/>
    <x v="84"/>
    <x v="33"/>
    <x v="3"/>
    <x v="0"/>
    <x v="0"/>
    <x v="83"/>
    <x v="0"/>
    <x v="0"/>
    <x v="6"/>
    <x v="1"/>
    <x v="6"/>
    <x v="84"/>
    <x v="19"/>
    <x v="147"/>
  </r>
  <r>
    <x v="44"/>
    <x v="49"/>
    <x v="33"/>
    <x v="3"/>
    <x v="0"/>
    <x v="0"/>
    <x v="48"/>
    <x v="0"/>
    <x v="0"/>
    <x v="6"/>
    <x v="1"/>
    <x v="6"/>
    <x v="49"/>
    <x v="3"/>
    <x v="148"/>
  </r>
  <r>
    <x v="44"/>
    <x v="50"/>
    <x v="33"/>
    <x v="3"/>
    <x v="0"/>
    <x v="0"/>
    <x v="49"/>
    <x v="0"/>
    <x v="0"/>
    <x v="6"/>
    <x v="1"/>
    <x v="6"/>
    <x v="50"/>
    <x v="4"/>
    <x v="149"/>
  </r>
  <r>
    <x v="44"/>
    <x v="51"/>
    <x v="33"/>
    <x v="3"/>
    <x v="0"/>
    <x v="0"/>
    <x v="50"/>
    <x v="0"/>
    <x v="0"/>
    <x v="6"/>
    <x v="1"/>
    <x v="6"/>
    <x v="51"/>
    <x v="4"/>
    <x v="150"/>
  </r>
  <r>
    <x v="44"/>
    <x v="52"/>
    <x v="33"/>
    <x v="3"/>
    <x v="0"/>
    <x v="0"/>
    <x v="51"/>
    <x v="0"/>
    <x v="0"/>
    <x v="6"/>
    <x v="1"/>
    <x v="6"/>
    <x v="52"/>
    <x v="4"/>
    <x v="151"/>
  </r>
  <r>
    <x v="44"/>
    <x v="53"/>
    <x v="33"/>
    <x v="3"/>
    <x v="0"/>
    <x v="0"/>
    <x v="52"/>
    <x v="0"/>
    <x v="0"/>
    <x v="6"/>
    <x v="1"/>
    <x v="6"/>
    <x v="53"/>
    <x v="5"/>
    <x v="152"/>
  </r>
  <r>
    <x v="44"/>
    <x v="54"/>
    <x v="33"/>
    <x v="3"/>
    <x v="0"/>
    <x v="0"/>
    <x v="53"/>
    <x v="0"/>
    <x v="0"/>
    <x v="6"/>
    <x v="1"/>
    <x v="6"/>
    <x v="54"/>
    <x v="6"/>
    <x v="153"/>
  </r>
  <r>
    <x v="44"/>
    <x v="56"/>
    <x v="33"/>
    <x v="3"/>
    <x v="0"/>
    <x v="0"/>
    <x v="55"/>
    <x v="0"/>
    <x v="0"/>
    <x v="6"/>
    <x v="1"/>
    <x v="6"/>
    <x v="56"/>
    <x v="7"/>
    <x v="154"/>
  </r>
  <r>
    <x v="44"/>
    <x v="85"/>
    <x v="33"/>
    <x v="3"/>
    <x v="0"/>
    <x v="0"/>
    <x v="84"/>
    <x v="0"/>
    <x v="0"/>
    <x v="6"/>
    <x v="1"/>
    <x v="6"/>
    <x v="85"/>
    <x v="6"/>
    <x v="155"/>
  </r>
  <r>
    <x v="44"/>
    <x v="57"/>
    <x v="33"/>
    <x v="3"/>
    <x v="0"/>
    <x v="0"/>
    <x v="56"/>
    <x v="0"/>
    <x v="0"/>
    <x v="6"/>
    <x v="1"/>
    <x v="6"/>
    <x v="57"/>
    <x v="8"/>
    <x v="156"/>
  </r>
  <r>
    <x v="44"/>
    <x v="58"/>
    <x v="33"/>
    <x v="3"/>
    <x v="0"/>
    <x v="0"/>
    <x v="57"/>
    <x v="0"/>
    <x v="0"/>
    <x v="6"/>
    <x v="1"/>
    <x v="6"/>
    <x v="58"/>
    <x v="8"/>
    <x v="157"/>
  </r>
  <r>
    <x v="44"/>
    <x v="59"/>
    <x v="33"/>
    <x v="3"/>
    <x v="0"/>
    <x v="0"/>
    <x v="58"/>
    <x v="0"/>
    <x v="0"/>
    <x v="6"/>
    <x v="1"/>
    <x v="6"/>
    <x v="59"/>
    <x v="9"/>
    <x v="158"/>
  </r>
  <r>
    <x v="44"/>
    <x v="60"/>
    <x v="33"/>
    <x v="3"/>
    <x v="0"/>
    <x v="0"/>
    <x v="59"/>
    <x v="0"/>
    <x v="0"/>
    <x v="6"/>
    <x v="1"/>
    <x v="6"/>
    <x v="60"/>
    <x v="2"/>
    <x v="159"/>
  </r>
  <r>
    <x v="44"/>
    <x v="61"/>
    <x v="33"/>
    <x v="3"/>
    <x v="0"/>
    <x v="0"/>
    <x v="60"/>
    <x v="0"/>
    <x v="0"/>
    <x v="6"/>
    <x v="1"/>
    <x v="6"/>
    <x v="61"/>
    <x v="10"/>
    <x v="160"/>
  </r>
  <r>
    <x v="44"/>
    <x v="86"/>
    <x v="33"/>
    <x v="3"/>
    <x v="0"/>
    <x v="0"/>
    <x v="85"/>
    <x v="0"/>
    <x v="0"/>
    <x v="6"/>
    <x v="1"/>
    <x v="6"/>
    <x v="86"/>
    <x v="20"/>
    <x v="161"/>
  </r>
  <r>
    <x v="44"/>
    <x v="62"/>
    <x v="33"/>
    <x v="3"/>
    <x v="0"/>
    <x v="0"/>
    <x v="61"/>
    <x v="0"/>
    <x v="0"/>
    <x v="6"/>
    <x v="1"/>
    <x v="6"/>
    <x v="62"/>
    <x v="11"/>
    <x v="162"/>
  </r>
  <r>
    <x v="44"/>
    <x v="63"/>
    <x v="33"/>
    <x v="3"/>
    <x v="0"/>
    <x v="0"/>
    <x v="62"/>
    <x v="0"/>
    <x v="0"/>
    <x v="6"/>
    <x v="1"/>
    <x v="6"/>
    <x v="63"/>
    <x v="11"/>
    <x v="163"/>
  </r>
  <r>
    <x v="44"/>
    <x v="64"/>
    <x v="33"/>
    <x v="3"/>
    <x v="0"/>
    <x v="0"/>
    <x v="63"/>
    <x v="0"/>
    <x v="0"/>
    <x v="6"/>
    <x v="1"/>
    <x v="6"/>
    <x v="64"/>
    <x v="11"/>
    <x v="164"/>
  </r>
  <r>
    <x v="44"/>
    <x v="65"/>
    <x v="33"/>
    <x v="3"/>
    <x v="0"/>
    <x v="0"/>
    <x v="64"/>
    <x v="0"/>
    <x v="0"/>
    <x v="6"/>
    <x v="1"/>
    <x v="6"/>
    <x v="65"/>
    <x v="11"/>
    <x v="165"/>
  </r>
  <r>
    <x v="44"/>
    <x v="66"/>
    <x v="33"/>
    <x v="3"/>
    <x v="0"/>
    <x v="0"/>
    <x v="65"/>
    <x v="0"/>
    <x v="0"/>
    <x v="6"/>
    <x v="1"/>
    <x v="6"/>
    <x v="66"/>
    <x v="11"/>
    <x v="166"/>
  </r>
  <r>
    <x v="44"/>
    <x v="67"/>
    <x v="33"/>
    <x v="3"/>
    <x v="0"/>
    <x v="0"/>
    <x v="66"/>
    <x v="0"/>
    <x v="0"/>
    <x v="6"/>
    <x v="1"/>
    <x v="6"/>
    <x v="67"/>
    <x v="11"/>
    <x v="167"/>
  </r>
  <r>
    <x v="44"/>
    <x v="68"/>
    <x v="33"/>
    <x v="3"/>
    <x v="0"/>
    <x v="0"/>
    <x v="67"/>
    <x v="0"/>
    <x v="0"/>
    <x v="6"/>
    <x v="1"/>
    <x v="6"/>
    <x v="68"/>
    <x v="11"/>
    <x v="168"/>
  </r>
  <r>
    <x v="44"/>
    <x v="81"/>
    <x v="33"/>
    <x v="3"/>
    <x v="0"/>
    <x v="0"/>
    <x v="80"/>
    <x v="0"/>
    <x v="0"/>
    <x v="6"/>
    <x v="1"/>
    <x v="6"/>
    <x v="81"/>
    <x v="11"/>
    <x v="169"/>
  </r>
  <r>
    <x v="44"/>
    <x v="69"/>
    <x v="33"/>
    <x v="3"/>
    <x v="0"/>
    <x v="0"/>
    <x v="68"/>
    <x v="0"/>
    <x v="0"/>
    <x v="6"/>
    <x v="1"/>
    <x v="6"/>
    <x v="69"/>
    <x v="11"/>
    <x v="170"/>
  </r>
  <r>
    <x v="44"/>
    <x v="74"/>
    <x v="33"/>
    <x v="3"/>
    <x v="0"/>
    <x v="0"/>
    <x v="73"/>
    <x v="0"/>
    <x v="0"/>
    <x v="6"/>
    <x v="1"/>
    <x v="6"/>
    <x v="74"/>
    <x v="12"/>
    <x v="171"/>
  </r>
  <r>
    <x v="44"/>
    <x v="70"/>
    <x v="33"/>
    <x v="3"/>
    <x v="0"/>
    <x v="0"/>
    <x v="69"/>
    <x v="0"/>
    <x v="0"/>
    <x v="6"/>
    <x v="1"/>
    <x v="6"/>
    <x v="70"/>
    <x v="12"/>
    <x v="172"/>
  </r>
  <r>
    <x v="44"/>
    <x v="71"/>
    <x v="33"/>
    <x v="3"/>
    <x v="0"/>
    <x v="0"/>
    <x v="70"/>
    <x v="0"/>
    <x v="0"/>
    <x v="6"/>
    <x v="1"/>
    <x v="6"/>
    <x v="71"/>
    <x v="12"/>
    <x v="173"/>
  </r>
  <r>
    <x v="44"/>
    <x v="87"/>
    <x v="33"/>
    <x v="3"/>
    <x v="0"/>
    <x v="0"/>
    <x v="86"/>
    <x v="0"/>
    <x v="0"/>
    <x v="6"/>
    <x v="1"/>
    <x v="6"/>
    <x v="87"/>
    <x v="13"/>
    <x v="174"/>
  </r>
  <r>
    <x v="44"/>
    <x v="72"/>
    <x v="33"/>
    <x v="3"/>
    <x v="0"/>
    <x v="0"/>
    <x v="71"/>
    <x v="0"/>
    <x v="0"/>
    <x v="6"/>
    <x v="1"/>
    <x v="6"/>
    <x v="72"/>
    <x v="13"/>
    <x v="175"/>
  </r>
  <r>
    <x v="44"/>
    <x v="75"/>
    <x v="33"/>
    <x v="3"/>
    <x v="0"/>
    <x v="0"/>
    <x v="74"/>
    <x v="0"/>
    <x v="0"/>
    <x v="6"/>
    <x v="1"/>
    <x v="6"/>
    <x v="75"/>
    <x v="15"/>
    <x v="176"/>
  </r>
  <r>
    <x v="44"/>
    <x v="73"/>
    <x v="33"/>
    <x v="3"/>
    <x v="0"/>
    <x v="0"/>
    <x v="72"/>
    <x v="0"/>
    <x v="0"/>
    <x v="6"/>
    <x v="1"/>
    <x v="6"/>
    <x v="73"/>
    <x v="14"/>
    <x v="177"/>
  </r>
  <r>
    <x v="44"/>
    <x v="88"/>
    <x v="33"/>
    <x v="3"/>
    <x v="0"/>
    <x v="0"/>
    <x v="87"/>
    <x v="0"/>
    <x v="0"/>
    <x v="6"/>
    <x v="1"/>
    <x v="6"/>
    <x v="88"/>
    <x v="14"/>
    <x v="178"/>
  </r>
  <r>
    <x v="44"/>
    <x v="89"/>
    <x v="33"/>
    <x v="3"/>
    <x v="0"/>
    <x v="0"/>
    <x v="88"/>
    <x v="0"/>
    <x v="0"/>
    <x v="6"/>
    <x v="1"/>
    <x v="6"/>
    <x v="89"/>
    <x v="15"/>
    <x v="179"/>
  </r>
  <r>
    <x v="44"/>
    <x v="78"/>
    <x v="33"/>
    <x v="3"/>
    <x v="0"/>
    <x v="0"/>
    <x v="77"/>
    <x v="0"/>
    <x v="0"/>
    <x v="6"/>
    <x v="1"/>
    <x v="6"/>
    <x v="78"/>
    <x v="15"/>
    <x v="180"/>
  </r>
  <r>
    <x v="44"/>
    <x v="79"/>
    <x v="33"/>
    <x v="3"/>
    <x v="0"/>
    <x v="0"/>
    <x v="78"/>
    <x v="0"/>
    <x v="0"/>
    <x v="6"/>
    <x v="1"/>
    <x v="6"/>
    <x v="79"/>
    <x v="17"/>
    <x v="181"/>
  </r>
  <r>
    <x v="44"/>
    <x v="80"/>
    <x v="33"/>
    <x v="3"/>
    <x v="0"/>
    <x v="0"/>
    <x v="79"/>
    <x v="0"/>
    <x v="0"/>
    <x v="6"/>
    <x v="1"/>
    <x v="6"/>
    <x v="80"/>
    <x v="18"/>
    <x v="182"/>
  </r>
  <r>
    <x v="44"/>
    <x v="44"/>
    <x v="33"/>
    <x v="3"/>
    <x v="0"/>
    <x v="0"/>
    <x v="43"/>
    <x v="0"/>
    <x v="0"/>
    <x v="7"/>
    <x v="0"/>
    <x v="7"/>
    <x v="44"/>
    <x v="1"/>
    <x v="183"/>
  </r>
  <r>
    <x v="44"/>
    <x v="82"/>
    <x v="33"/>
    <x v="3"/>
    <x v="0"/>
    <x v="0"/>
    <x v="81"/>
    <x v="0"/>
    <x v="0"/>
    <x v="7"/>
    <x v="0"/>
    <x v="7"/>
    <x v="82"/>
    <x v="2"/>
    <x v="184"/>
  </r>
  <r>
    <x v="44"/>
    <x v="83"/>
    <x v="33"/>
    <x v="3"/>
    <x v="0"/>
    <x v="0"/>
    <x v="82"/>
    <x v="0"/>
    <x v="0"/>
    <x v="7"/>
    <x v="0"/>
    <x v="7"/>
    <x v="83"/>
    <x v="1"/>
    <x v="185"/>
  </r>
  <r>
    <x v="44"/>
    <x v="45"/>
    <x v="33"/>
    <x v="3"/>
    <x v="0"/>
    <x v="0"/>
    <x v="44"/>
    <x v="0"/>
    <x v="0"/>
    <x v="7"/>
    <x v="0"/>
    <x v="7"/>
    <x v="45"/>
    <x v="2"/>
    <x v="186"/>
  </r>
  <r>
    <x v="44"/>
    <x v="46"/>
    <x v="33"/>
    <x v="3"/>
    <x v="0"/>
    <x v="0"/>
    <x v="45"/>
    <x v="0"/>
    <x v="0"/>
    <x v="7"/>
    <x v="0"/>
    <x v="7"/>
    <x v="46"/>
    <x v="2"/>
    <x v="187"/>
  </r>
  <r>
    <x v="44"/>
    <x v="47"/>
    <x v="33"/>
    <x v="3"/>
    <x v="0"/>
    <x v="0"/>
    <x v="46"/>
    <x v="0"/>
    <x v="0"/>
    <x v="7"/>
    <x v="0"/>
    <x v="7"/>
    <x v="47"/>
    <x v="2"/>
    <x v="188"/>
  </r>
  <r>
    <x v="44"/>
    <x v="90"/>
    <x v="33"/>
    <x v="3"/>
    <x v="0"/>
    <x v="0"/>
    <x v="89"/>
    <x v="0"/>
    <x v="0"/>
    <x v="7"/>
    <x v="0"/>
    <x v="7"/>
    <x v="90"/>
    <x v="2"/>
    <x v="111"/>
  </r>
  <r>
    <x v="44"/>
    <x v="48"/>
    <x v="33"/>
    <x v="3"/>
    <x v="0"/>
    <x v="0"/>
    <x v="47"/>
    <x v="0"/>
    <x v="0"/>
    <x v="7"/>
    <x v="0"/>
    <x v="7"/>
    <x v="48"/>
    <x v="2"/>
    <x v="189"/>
  </r>
  <r>
    <x v="44"/>
    <x v="49"/>
    <x v="33"/>
    <x v="3"/>
    <x v="0"/>
    <x v="0"/>
    <x v="48"/>
    <x v="0"/>
    <x v="0"/>
    <x v="7"/>
    <x v="0"/>
    <x v="7"/>
    <x v="49"/>
    <x v="3"/>
    <x v="190"/>
  </r>
  <r>
    <x v="44"/>
    <x v="50"/>
    <x v="33"/>
    <x v="3"/>
    <x v="0"/>
    <x v="0"/>
    <x v="49"/>
    <x v="0"/>
    <x v="0"/>
    <x v="7"/>
    <x v="0"/>
    <x v="7"/>
    <x v="50"/>
    <x v="4"/>
    <x v="191"/>
  </r>
  <r>
    <x v="44"/>
    <x v="51"/>
    <x v="33"/>
    <x v="3"/>
    <x v="0"/>
    <x v="0"/>
    <x v="50"/>
    <x v="0"/>
    <x v="0"/>
    <x v="7"/>
    <x v="0"/>
    <x v="7"/>
    <x v="51"/>
    <x v="4"/>
    <x v="192"/>
  </r>
  <r>
    <x v="44"/>
    <x v="52"/>
    <x v="33"/>
    <x v="3"/>
    <x v="0"/>
    <x v="0"/>
    <x v="51"/>
    <x v="0"/>
    <x v="0"/>
    <x v="7"/>
    <x v="0"/>
    <x v="7"/>
    <x v="52"/>
    <x v="4"/>
    <x v="193"/>
  </r>
  <r>
    <x v="44"/>
    <x v="53"/>
    <x v="33"/>
    <x v="3"/>
    <x v="0"/>
    <x v="0"/>
    <x v="52"/>
    <x v="0"/>
    <x v="0"/>
    <x v="7"/>
    <x v="0"/>
    <x v="7"/>
    <x v="53"/>
    <x v="5"/>
    <x v="194"/>
  </r>
  <r>
    <x v="44"/>
    <x v="54"/>
    <x v="33"/>
    <x v="3"/>
    <x v="0"/>
    <x v="0"/>
    <x v="53"/>
    <x v="0"/>
    <x v="0"/>
    <x v="7"/>
    <x v="0"/>
    <x v="7"/>
    <x v="54"/>
    <x v="6"/>
    <x v="195"/>
  </r>
  <r>
    <x v="44"/>
    <x v="55"/>
    <x v="33"/>
    <x v="3"/>
    <x v="0"/>
    <x v="0"/>
    <x v="54"/>
    <x v="0"/>
    <x v="0"/>
    <x v="7"/>
    <x v="0"/>
    <x v="7"/>
    <x v="55"/>
    <x v="7"/>
    <x v="196"/>
  </r>
  <r>
    <x v="44"/>
    <x v="56"/>
    <x v="33"/>
    <x v="3"/>
    <x v="0"/>
    <x v="0"/>
    <x v="55"/>
    <x v="0"/>
    <x v="0"/>
    <x v="7"/>
    <x v="0"/>
    <x v="7"/>
    <x v="56"/>
    <x v="7"/>
    <x v="197"/>
  </r>
  <r>
    <x v="44"/>
    <x v="57"/>
    <x v="33"/>
    <x v="3"/>
    <x v="0"/>
    <x v="0"/>
    <x v="56"/>
    <x v="0"/>
    <x v="0"/>
    <x v="7"/>
    <x v="0"/>
    <x v="7"/>
    <x v="57"/>
    <x v="8"/>
    <x v="198"/>
  </r>
  <r>
    <x v="44"/>
    <x v="58"/>
    <x v="33"/>
    <x v="3"/>
    <x v="0"/>
    <x v="0"/>
    <x v="57"/>
    <x v="0"/>
    <x v="0"/>
    <x v="7"/>
    <x v="0"/>
    <x v="7"/>
    <x v="58"/>
    <x v="8"/>
    <x v="199"/>
  </r>
  <r>
    <x v="44"/>
    <x v="59"/>
    <x v="33"/>
    <x v="3"/>
    <x v="0"/>
    <x v="0"/>
    <x v="58"/>
    <x v="0"/>
    <x v="0"/>
    <x v="7"/>
    <x v="0"/>
    <x v="7"/>
    <x v="59"/>
    <x v="9"/>
    <x v="200"/>
  </r>
  <r>
    <x v="44"/>
    <x v="60"/>
    <x v="33"/>
    <x v="3"/>
    <x v="0"/>
    <x v="0"/>
    <x v="59"/>
    <x v="0"/>
    <x v="0"/>
    <x v="7"/>
    <x v="0"/>
    <x v="7"/>
    <x v="60"/>
    <x v="2"/>
    <x v="201"/>
  </r>
  <r>
    <x v="44"/>
    <x v="61"/>
    <x v="33"/>
    <x v="3"/>
    <x v="0"/>
    <x v="0"/>
    <x v="60"/>
    <x v="0"/>
    <x v="0"/>
    <x v="7"/>
    <x v="0"/>
    <x v="7"/>
    <x v="61"/>
    <x v="10"/>
    <x v="202"/>
  </r>
  <r>
    <x v="44"/>
    <x v="62"/>
    <x v="33"/>
    <x v="3"/>
    <x v="0"/>
    <x v="0"/>
    <x v="61"/>
    <x v="0"/>
    <x v="0"/>
    <x v="7"/>
    <x v="0"/>
    <x v="7"/>
    <x v="62"/>
    <x v="11"/>
    <x v="203"/>
  </r>
  <r>
    <x v="44"/>
    <x v="63"/>
    <x v="33"/>
    <x v="3"/>
    <x v="0"/>
    <x v="0"/>
    <x v="62"/>
    <x v="0"/>
    <x v="0"/>
    <x v="7"/>
    <x v="0"/>
    <x v="7"/>
    <x v="63"/>
    <x v="11"/>
    <x v="204"/>
  </r>
  <r>
    <x v="44"/>
    <x v="64"/>
    <x v="33"/>
    <x v="3"/>
    <x v="0"/>
    <x v="0"/>
    <x v="63"/>
    <x v="0"/>
    <x v="0"/>
    <x v="7"/>
    <x v="0"/>
    <x v="7"/>
    <x v="64"/>
    <x v="11"/>
    <x v="205"/>
  </r>
  <r>
    <x v="44"/>
    <x v="65"/>
    <x v="33"/>
    <x v="3"/>
    <x v="0"/>
    <x v="0"/>
    <x v="64"/>
    <x v="0"/>
    <x v="0"/>
    <x v="7"/>
    <x v="0"/>
    <x v="7"/>
    <x v="65"/>
    <x v="11"/>
    <x v="206"/>
  </r>
  <r>
    <x v="44"/>
    <x v="66"/>
    <x v="33"/>
    <x v="3"/>
    <x v="0"/>
    <x v="0"/>
    <x v="65"/>
    <x v="0"/>
    <x v="0"/>
    <x v="7"/>
    <x v="0"/>
    <x v="7"/>
    <x v="66"/>
    <x v="11"/>
    <x v="207"/>
  </r>
  <r>
    <x v="44"/>
    <x v="67"/>
    <x v="33"/>
    <x v="3"/>
    <x v="0"/>
    <x v="0"/>
    <x v="66"/>
    <x v="0"/>
    <x v="0"/>
    <x v="7"/>
    <x v="0"/>
    <x v="7"/>
    <x v="67"/>
    <x v="11"/>
    <x v="208"/>
  </r>
  <r>
    <x v="44"/>
    <x v="68"/>
    <x v="33"/>
    <x v="3"/>
    <x v="0"/>
    <x v="0"/>
    <x v="67"/>
    <x v="0"/>
    <x v="0"/>
    <x v="7"/>
    <x v="0"/>
    <x v="7"/>
    <x v="68"/>
    <x v="11"/>
    <x v="209"/>
  </r>
  <r>
    <x v="44"/>
    <x v="81"/>
    <x v="33"/>
    <x v="3"/>
    <x v="0"/>
    <x v="0"/>
    <x v="80"/>
    <x v="0"/>
    <x v="0"/>
    <x v="7"/>
    <x v="0"/>
    <x v="7"/>
    <x v="81"/>
    <x v="11"/>
    <x v="210"/>
  </r>
  <r>
    <x v="44"/>
    <x v="69"/>
    <x v="33"/>
    <x v="3"/>
    <x v="0"/>
    <x v="0"/>
    <x v="68"/>
    <x v="0"/>
    <x v="0"/>
    <x v="7"/>
    <x v="0"/>
    <x v="7"/>
    <x v="69"/>
    <x v="11"/>
    <x v="211"/>
  </r>
  <r>
    <x v="44"/>
    <x v="70"/>
    <x v="33"/>
    <x v="3"/>
    <x v="0"/>
    <x v="0"/>
    <x v="69"/>
    <x v="0"/>
    <x v="0"/>
    <x v="7"/>
    <x v="0"/>
    <x v="7"/>
    <x v="70"/>
    <x v="12"/>
    <x v="212"/>
  </r>
  <r>
    <x v="44"/>
    <x v="71"/>
    <x v="33"/>
    <x v="3"/>
    <x v="0"/>
    <x v="0"/>
    <x v="70"/>
    <x v="0"/>
    <x v="0"/>
    <x v="7"/>
    <x v="0"/>
    <x v="7"/>
    <x v="71"/>
    <x v="12"/>
    <x v="213"/>
  </r>
  <r>
    <x v="44"/>
    <x v="72"/>
    <x v="33"/>
    <x v="3"/>
    <x v="0"/>
    <x v="0"/>
    <x v="71"/>
    <x v="0"/>
    <x v="0"/>
    <x v="7"/>
    <x v="0"/>
    <x v="7"/>
    <x v="72"/>
    <x v="13"/>
    <x v="214"/>
  </r>
  <r>
    <x v="44"/>
    <x v="75"/>
    <x v="33"/>
    <x v="3"/>
    <x v="0"/>
    <x v="0"/>
    <x v="74"/>
    <x v="0"/>
    <x v="0"/>
    <x v="7"/>
    <x v="0"/>
    <x v="7"/>
    <x v="75"/>
    <x v="15"/>
    <x v="215"/>
  </r>
  <r>
    <x v="44"/>
    <x v="73"/>
    <x v="33"/>
    <x v="3"/>
    <x v="0"/>
    <x v="0"/>
    <x v="72"/>
    <x v="0"/>
    <x v="0"/>
    <x v="7"/>
    <x v="0"/>
    <x v="7"/>
    <x v="73"/>
    <x v="14"/>
    <x v="216"/>
  </r>
  <r>
    <x v="44"/>
    <x v="88"/>
    <x v="33"/>
    <x v="3"/>
    <x v="0"/>
    <x v="0"/>
    <x v="87"/>
    <x v="0"/>
    <x v="0"/>
    <x v="7"/>
    <x v="0"/>
    <x v="7"/>
    <x v="88"/>
    <x v="14"/>
    <x v="217"/>
  </r>
  <r>
    <x v="44"/>
    <x v="44"/>
    <x v="33"/>
    <x v="3"/>
    <x v="0"/>
    <x v="0"/>
    <x v="43"/>
    <x v="0"/>
    <x v="0"/>
    <x v="8"/>
    <x v="0"/>
    <x v="8"/>
    <x v="44"/>
    <x v="1"/>
    <x v="218"/>
  </r>
  <r>
    <x v="44"/>
    <x v="45"/>
    <x v="33"/>
    <x v="3"/>
    <x v="0"/>
    <x v="0"/>
    <x v="44"/>
    <x v="0"/>
    <x v="0"/>
    <x v="8"/>
    <x v="0"/>
    <x v="8"/>
    <x v="45"/>
    <x v="2"/>
    <x v="219"/>
  </r>
  <r>
    <x v="44"/>
    <x v="46"/>
    <x v="33"/>
    <x v="3"/>
    <x v="0"/>
    <x v="0"/>
    <x v="45"/>
    <x v="0"/>
    <x v="0"/>
    <x v="8"/>
    <x v="0"/>
    <x v="8"/>
    <x v="46"/>
    <x v="2"/>
    <x v="220"/>
  </r>
  <r>
    <x v="44"/>
    <x v="47"/>
    <x v="33"/>
    <x v="3"/>
    <x v="0"/>
    <x v="0"/>
    <x v="46"/>
    <x v="0"/>
    <x v="0"/>
    <x v="8"/>
    <x v="0"/>
    <x v="8"/>
    <x v="47"/>
    <x v="2"/>
    <x v="221"/>
  </r>
  <r>
    <x v="44"/>
    <x v="48"/>
    <x v="33"/>
    <x v="3"/>
    <x v="0"/>
    <x v="0"/>
    <x v="47"/>
    <x v="0"/>
    <x v="0"/>
    <x v="8"/>
    <x v="0"/>
    <x v="8"/>
    <x v="48"/>
    <x v="2"/>
    <x v="117"/>
  </r>
  <r>
    <x v="44"/>
    <x v="49"/>
    <x v="33"/>
    <x v="3"/>
    <x v="0"/>
    <x v="0"/>
    <x v="48"/>
    <x v="0"/>
    <x v="0"/>
    <x v="8"/>
    <x v="0"/>
    <x v="8"/>
    <x v="49"/>
    <x v="3"/>
    <x v="54"/>
  </r>
  <r>
    <x v="44"/>
    <x v="50"/>
    <x v="33"/>
    <x v="3"/>
    <x v="0"/>
    <x v="0"/>
    <x v="49"/>
    <x v="0"/>
    <x v="0"/>
    <x v="8"/>
    <x v="0"/>
    <x v="8"/>
    <x v="50"/>
    <x v="4"/>
    <x v="55"/>
  </r>
  <r>
    <x v="44"/>
    <x v="51"/>
    <x v="33"/>
    <x v="3"/>
    <x v="0"/>
    <x v="0"/>
    <x v="50"/>
    <x v="0"/>
    <x v="0"/>
    <x v="8"/>
    <x v="0"/>
    <x v="8"/>
    <x v="51"/>
    <x v="4"/>
    <x v="222"/>
  </r>
  <r>
    <x v="44"/>
    <x v="52"/>
    <x v="33"/>
    <x v="3"/>
    <x v="0"/>
    <x v="0"/>
    <x v="51"/>
    <x v="0"/>
    <x v="0"/>
    <x v="8"/>
    <x v="0"/>
    <x v="8"/>
    <x v="52"/>
    <x v="4"/>
    <x v="57"/>
  </r>
  <r>
    <x v="44"/>
    <x v="53"/>
    <x v="33"/>
    <x v="3"/>
    <x v="0"/>
    <x v="0"/>
    <x v="52"/>
    <x v="0"/>
    <x v="0"/>
    <x v="8"/>
    <x v="0"/>
    <x v="8"/>
    <x v="53"/>
    <x v="5"/>
    <x v="223"/>
  </r>
  <r>
    <x v="44"/>
    <x v="54"/>
    <x v="33"/>
    <x v="3"/>
    <x v="0"/>
    <x v="0"/>
    <x v="53"/>
    <x v="0"/>
    <x v="0"/>
    <x v="8"/>
    <x v="0"/>
    <x v="8"/>
    <x v="54"/>
    <x v="6"/>
    <x v="224"/>
  </r>
  <r>
    <x v="44"/>
    <x v="55"/>
    <x v="33"/>
    <x v="3"/>
    <x v="0"/>
    <x v="0"/>
    <x v="54"/>
    <x v="0"/>
    <x v="0"/>
    <x v="8"/>
    <x v="0"/>
    <x v="8"/>
    <x v="55"/>
    <x v="7"/>
    <x v="225"/>
  </r>
  <r>
    <x v="44"/>
    <x v="56"/>
    <x v="33"/>
    <x v="3"/>
    <x v="0"/>
    <x v="0"/>
    <x v="55"/>
    <x v="0"/>
    <x v="0"/>
    <x v="8"/>
    <x v="0"/>
    <x v="8"/>
    <x v="56"/>
    <x v="7"/>
    <x v="226"/>
  </r>
  <r>
    <x v="44"/>
    <x v="57"/>
    <x v="33"/>
    <x v="3"/>
    <x v="0"/>
    <x v="0"/>
    <x v="56"/>
    <x v="0"/>
    <x v="0"/>
    <x v="8"/>
    <x v="0"/>
    <x v="8"/>
    <x v="57"/>
    <x v="8"/>
    <x v="227"/>
  </r>
  <r>
    <x v="44"/>
    <x v="58"/>
    <x v="33"/>
    <x v="3"/>
    <x v="0"/>
    <x v="0"/>
    <x v="57"/>
    <x v="0"/>
    <x v="0"/>
    <x v="8"/>
    <x v="0"/>
    <x v="8"/>
    <x v="58"/>
    <x v="8"/>
    <x v="228"/>
  </r>
  <r>
    <x v="44"/>
    <x v="59"/>
    <x v="33"/>
    <x v="3"/>
    <x v="0"/>
    <x v="0"/>
    <x v="58"/>
    <x v="0"/>
    <x v="0"/>
    <x v="8"/>
    <x v="0"/>
    <x v="8"/>
    <x v="59"/>
    <x v="9"/>
    <x v="229"/>
  </r>
  <r>
    <x v="44"/>
    <x v="60"/>
    <x v="33"/>
    <x v="3"/>
    <x v="0"/>
    <x v="0"/>
    <x v="59"/>
    <x v="0"/>
    <x v="0"/>
    <x v="8"/>
    <x v="0"/>
    <x v="8"/>
    <x v="60"/>
    <x v="2"/>
    <x v="230"/>
  </r>
  <r>
    <x v="44"/>
    <x v="61"/>
    <x v="33"/>
    <x v="3"/>
    <x v="0"/>
    <x v="0"/>
    <x v="60"/>
    <x v="0"/>
    <x v="0"/>
    <x v="8"/>
    <x v="0"/>
    <x v="8"/>
    <x v="61"/>
    <x v="10"/>
    <x v="231"/>
  </r>
  <r>
    <x v="44"/>
    <x v="62"/>
    <x v="33"/>
    <x v="3"/>
    <x v="0"/>
    <x v="0"/>
    <x v="61"/>
    <x v="0"/>
    <x v="0"/>
    <x v="8"/>
    <x v="0"/>
    <x v="8"/>
    <x v="62"/>
    <x v="11"/>
    <x v="232"/>
  </r>
  <r>
    <x v="44"/>
    <x v="63"/>
    <x v="33"/>
    <x v="3"/>
    <x v="0"/>
    <x v="0"/>
    <x v="62"/>
    <x v="0"/>
    <x v="0"/>
    <x v="8"/>
    <x v="0"/>
    <x v="8"/>
    <x v="63"/>
    <x v="11"/>
    <x v="233"/>
  </r>
  <r>
    <x v="44"/>
    <x v="64"/>
    <x v="33"/>
    <x v="3"/>
    <x v="0"/>
    <x v="0"/>
    <x v="63"/>
    <x v="0"/>
    <x v="0"/>
    <x v="8"/>
    <x v="0"/>
    <x v="8"/>
    <x v="64"/>
    <x v="11"/>
    <x v="234"/>
  </r>
  <r>
    <x v="44"/>
    <x v="65"/>
    <x v="33"/>
    <x v="3"/>
    <x v="0"/>
    <x v="0"/>
    <x v="64"/>
    <x v="0"/>
    <x v="0"/>
    <x v="8"/>
    <x v="0"/>
    <x v="8"/>
    <x v="65"/>
    <x v="11"/>
    <x v="235"/>
  </r>
  <r>
    <x v="44"/>
    <x v="66"/>
    <x v="33"/>
    <x v="3"/>
    <x v="0"/>
    <x v="0"/>
    <x v="65"/>
    <x v="0"/>
    <x v="0"/>
    <x v="8"/>
    <x v="0"/>
    <x v="8"/>
    <x v="66"/>
    <x v="11"/>
    <x v="236"/>
  </r>
  <r>
    <x v="44"/>
    <x v="67"/>
    <x v="33"/>
    <x v="3"/>
    <x v="0"/>
    <x v="0"/>
    <x v="66"/>
    <x v="0"/>
    <x v="0"/>
    <x v="8"/>
    <x v="0"/>
    <x v="8"/>
    <x v="67"/>
    <x v="11"/>
    <x v="237"/>
  </r>
  <r>
    <x v="44"/>
    <x v="68"/>
    <x v="33"/>
    <x v="3"/>
    <x v="0"/>
    <x v="0"/>
    <x v="67"/>
    <x v="0"/>
    <x v="0"/>
    <x v="8"/>
    <x v="0"/>
    <x v="8"/>
    <x v="68"/>
    <x v="11"/>
    <x v="238"/>
  </r>
  <r>
    <x v="44"/>
    <x v="81"/>
    <x v="33"/>
    <x v="3"/>
    <x v="0"/>
    <x v="0"/>
    <x v="80"/>
    <x v="0"/>
    <x v="0"/>
    <x v="8"/>
    <x v="0"/>
    <x v="8"/>
    <x v="81"/>
    <x v="11"/>
    <x v="239"/>
  </r>
  <r>
    <x v="44"/>
    <x v="70"/>
    <x v="33"/>
    <x v="3"/>
    <x v="0"/>
    <x v="0"/>
    <x v="69"/>
    <x v="0"/>
    <x v="0"/>
    <x v="8"/>
    <x v="0"/>
    <x v="8"/>
    <x v="70"/>
    <x v="12"/>
    <x v="240"/>
  </r>
  <r>
    <x v="44"/>
    <x v="71"/>
    <x v="33"/>
    <x v="3"/>
    <x v="0"/>
    <x v="0"/>
    <x v="70"/>
    <x v="0"/>
    <x v="0"/>
    <x v="8"/>
    <x v="0"/>
    <x v="8"/>
    <x v="71"/>
    <x v="12"/>
    <x v="241"/>
  </r>
  <r>
    <x v="44"/>
    <x v="75"/>
    <x v="33"/>
    <x v="3"/>
    <x v="0"/>
    <x v="0"/>
    <x v="74"/>
    <x v="0"/>
    <x v="0"/>
    <x v="8"/>
    <x v="0"/>
    <x v="8"/>
    <x v="75"/>
    <x v="15"/>
    <x v="242"/>
  </r>
  <r>
    <x v="44"/>
    <x v="73"/>
    <x v="33"/>
    <x v="3"/>
    <x v="0"/>
    <x v="0"/>
    <x v="72"/>
    <x v="0"/>
    <x v="0"/>
    <x v="8"/>
    <x v="0"/>
    <x v="8"/>
    <x v="73"/>
    <x v="14"/>
    <x v="243"/>
  </r>
  <r>
    <x v="44"/>
    <x v="69"/>
    <x v="33"/>
    <x v="3"/>
    <x v="0"/>
    <x v="0"/>
    <x v="68"/>
    <x v="0"/>
    <x v="0"/>
    <x v="9"/>
    <x v="0"/>
    <x v="9"/>
    <x v="69"/>
    <x v="11"/>
    <x v="244"/>
  </r>
  <r>
    <x v="45"/>
    <x v="91"/>
    <x v="34"/>
    <x v="0"/>
    <x v="0"/>
    <x v="0"/>
    <x v="90"/>
    <x v="0"/>
    <x v="0"/>
    <x v="0"/>
    <x v="0"/>
    <x v="0"/>
    <x v="91"/>
    <x v="21"/>
    <x v="245"/>
  </r>
  <r>
    <x v="46"/>
    <x v="92"/>
    <x v="35"/>
    <x v="1"/>
    <x v="0"/>
    <x v="0"/>
    <x v="91"/>
    <x v="0"/>
    <x v="0"/>
    <x v="0"/>
    <x v="0"/>
    <x v="0"/>
    <x v="92"/>
    <x v="21"/>
    <x v="246"/>
  </r>
  <r>
    <x v="47"/>
    <x v="93"/>
    <x v="36"/>
    <x v="3"/>
    <x v="0"/>
    <x v="0"/>
    <x v="92"/>
    <x v="0"/>
    <x v="0"/>
    <x v="9"/>
    <x v="0"/>
    <x v="9"/>
    <x v="93"/>
    <x v="21"/>
    <x v="247"/>
  </r>
  <r>
    <x v="47"/>
    <x v="93"/>
    <x v="36"/>
    <x v="3"/>
    <x v="0"/>
    <x v="0"/>
    <x v="92"/>
    <x v="0"/>
    <x v="0"/>
    <x v="10"/>
    <x v="1"/>
    <x v="10"/>
    <x v="93"/>
    <x v="21"/>
    <x v="248"/>
  </r>
  <r>
    <x v="47"/>
    <x v="93"/>
    <x v="36"/>
    <x v="3"/>
    <x v="0"/>
    <x v="0"/>
    <x v="92"/>
    <x v="0"/>
    <x v="0"/>
    <x v="11"/>
    <x v="0"/>
    <x v="11"/>
    <x v="93"/>
    <x v="21"/>
    <x v="249"/>
  </r>
  <r>
    <x v="47"/>
    <x v="93"/>
    <x v="36"/>
    <x v="3"/>
    <x v="0"/>
    <x v="0"/>
    <x v="92"/>
    <x v="0"/>
    <x v="0"/>
    <x v="12"/>
    <x v="1"/>
    <x v="12"/>
    <x v="93"/>
    <x v="21"/>
    <x v="250"/>
  </r>
  <r>
    <x v="47"/>
    <x v="93"/>
    <x v="36"/>
    <x v="3"/>
    <x v="0"/>
    <x v="0"/>
    <x v="92"/>
    <x v="0"/>
    <x v="0"/>
    <x v="4"/>
    <x v="0"/>
    <x v="4"/>
    <x v="93"/>
    <x v="21"/>
    <x v="251"/>
  </r>
  <r>
    <x v="48"/>
    <x v="94"/>
    <x v="36"/>
    <x v="3"/>
    <x v="0"/>
    <x v="0"/>
    <x v="93"/>
    <x v="0"/>
    <x v="0"/>
    <x v="4"/>
    <x v="0"/>
    <x v="4"/>
    <x v="94"/>
    <x v="21"/>
    <x v="252"/>
  </r>
  <r>
    <x v="48"/>
    <x v="94"/>
    <x v="36"/>
    <x v="3"/>
    <x v="0"/>
    <x v="0"/>
    <x v="93"/>
    <x v="0"/>
    <x v="0"/>
    <x v="12"/>
    <x v="1"/>
    <x v="12"/>
    <x v="94"/>
    <x v="21"/>
    <x v="253"/>
  </r>
  <r>
    <x v="48"/>
    <x v="94"/>
    <x v="36"/>
    <x v="3"/>
    <x v="0"/>
    <x v="0"/>
    <x v="93"/>
    <x v="0"/>
    <x v="0"/>
    <x v="11"/>
    <x v="0"/>
    <x v="11"/>
    <x v="94"/>
    <x v="21"/>
    <x v="254"/>
  </r>
  <r>
    <x v="48"/>
    <x v="94"/>
    <x v="36"/>
    <x v="3"/>
    <x v="0"/>
    <x v="0"/>
    <x v="93"/>
    <x v="0"/>
    <x v="0"/>
    <x v="10"/>
    <x v="1"/>
    <x v="10"/>
    <x v="94"/>
    <x v="21"/>
    <x v="255"/>
  </r>
  <r>
    <x v="48"/>
    <x v="94"/>
    <x v="36"/>
    <x v="3"/>
    <x v="0"/>
    <x v="0"/>
    <x v="93"/>
    <x v="0"/>
    <x v="0"/>
    <x v="9"/>
    <x v="0"/>
    <x v="9"/>
    <x v="94"/>
    <x v="21"/>
    <x v="256"/>
  </r>
  <r>
    <x v="48"/>
    <x v="94"/>
    <x v="36"/>
    <x v="3"/>
    <x v="0"/>
    <x v="0"/>
    <x v="93"/>
    <x v="0"/>
    <x v="0"/>
    <x v="0"/>
    <x v="0"/>
    <x v="0"/>
    <x v="94"/>
    <x v="21"/>
    <x v="257"/>
  </r>
  <r>
    <x v="49"/>
    <x v="95"/>
    <x v="36"/>
    <x v="3"/>
    <x v="0"/>
    <x v="0"/>
    <x v="94"/>
    <x v="0"/>
    <x v="0"/>
    <x v="0"/>
    <x v="0"/>
    <x v="0"/>
    <x v="95"/>
    <x v="21"/>
    <x v="258"/>
  </r>
  <r>
    <x v="49"/>
    <x v="95"/>
    <x v="36"/>
    <x v="3"/>
    <x v="0"/>
    <x v="0"/>
    <x v="94"/>
    <x v="0"/>
    <x v="0"/>
    <x v="9"/>
    <x v="0"/>
    <x v="9"/>
    <x v="95"/>
    <x v="21"/>
    <x v="259"/>
  </r>
  <r>
    <x v="49"/>
    <x v="95"/>
    <x v="36"/>
    <x v="3"/>
    <x v="0"/>
    <x v="0"/>
    <x v="94"/>
    <x v="0"/>
    <x v="0"/>
    <x v="10"/>
    <x v="1"/>
    <x v="10"/>
    <x v="95"/>
    <x v="21"/>
    <x v="260"/>
  </r>
  <r>
    <x v="49"/>
    <x v="95"/>
    <x v="36"/>
    <x v="3"/>
    <x v="0"/>
    <x v="0"/>
    <x v="94"/>
    <x v="0"/>
    <x v="0"/>
    <x v="11"/>
    <x v="0"/>
    <x v="11"/>
    <x v="95"/>
    <x v="21"/>
    <x v="261"/>
  </r>
  <r>
    <x v="49"/>
    <x v="95"/>
    <x v="36"/>
    <x v="3"/>
    <x v="0"/>
    <x v="0"/>
    <x v="94"/>
    <x v="0"/>
    <x v="0"/>
    <x v="12"/>
    <x v="1"/>
    <x v="12"/>
    <x v="95"/>
    <x v="21"/>
    <x v="262"/>
  </r>
  <r>
    <x v="49"/>
    <x v="95"/>
    <x v="36"/>
    <x v="3"/>
    <x v="0"/>
    <x v="0"/>
    <x v="94"/>
    <x v="0"/>
    <x v="0"/>
    <x v="4"/>
    <x v="0"/>
    <x v="4"/>
    <x v="95"/>
    <x v="21"/>
    <x v="263"/>
  </r>
  <r>
    <x v="50"/>
    <x v="96"/>
    <x v="37"/>
    <x v="3"/>
    <x v="0"/>
    <x v="0"/>
    <x v="95"/>
    <x v="0"/>
    <x v="0"/>
    <x v="0"/>
    <x v="0"/>
    <x v="0"/>
    <x v="96"/>
    <x v="21"/>
    <x v="264"/>
  </r>
  <r>
    <x v="51"/>
    <x v="97"/>
    <x v="37"/>
    <x v="3"/>
    <x v="0"/>
    <x v="0"/>
    <x v="96"/>
    <x v="0"/>
    <x v="0"/>
    <x v="0"/>
    <x v="0"/>
    <x v="0"/>
    <x v="97"/>
    <x v="21"/>
    <x v="265"/>
  </r>
  <r>
    <x v="51"/>
    <x v="97"/>
    <x v="37"/>
    <x v="3"/>
    <x v="0"/>
    <x v="0"/>
    <x v="96"/>
    <x v="0"/>
    <x v="0"/>
    <x v="9"/>
    <x v="0"/>
    <x v="9"/>
    <x v="97"/>
    <x v="21"/>
    <x v="266"/>
  </r>
  <r>
    <x v="51"/>
    <x v="97"/>
    <x v="37"/>
    <x v="3"/>
    <x v="0"/>
    <x v="0"/>
    <x v="96"/>
    <x v="0"/>
    <x v="0"/>
    <x v="10"/>
    <x v="1"/>
    <x v="10"/>
    <x v="97"/>
    <x v="21"/>
    <x v="267"/>
  </r>
  <r>
    <x v="51"/>
    <x v="97"/>
    <x v="37"/>
    <x v="3"/>
    <x v="0"/>
    <x v="0"/>
    <x v="96"/>
    <x v="0"/>
    <x v="0"/>
    <x v="4"/>
    <x v="0"/>
    <x v="4"/>
    <x v="97"/>
    <x v="21"/>
    <x v="268"/>
  </r>
  <r>
    <x v="51"/>
    <x v="97"/>
    <x v="37"/>
    <x v="3"/>
    <x v="0"/>
    <x v="0"/>
    <x v="96"/>
    <x v="0"/>
    <x v="0"/>
    <x v="12"/>
    <x v="1"/>
    <x v="12"/>
    <x v="97"/>
    <x v="21"/>
    <x v="269"/>
  </r>
  <r>
    <x v="51"/>
    <x v="97"/>
    <x v="37"/>
    <x v="3"/>
    <x v="0"/>
    <x v="0"/>
    <x v="96"/>
    <x v="0"/>
    <x v="0"/>
    <x v="11"/>
    <x v="0"/>
    <x v="11"/>
    <x v="97"/>
    <x v="21"/>
    <x v="270"/>
  </r>
  <r>
    <x v="52"/>
    <x v="98"/>
    <x v="37"/>
    <x v="3"/>
    <x v="0"/>
    <x v="0"/>
    <x v="97"/>
    <x v="0"/>
    <x v="0"/>
    <x v="11"/>
    <x v="0"/>
    <x v="11"/>
    <x v="98"/>
    <x v="21"/>
    <x v="271"/>
  </r>
  <r>
    <x v="52"/>
    <x v="98"/>
    <x v="37"/>
    <x v="3"/>
    <x v="0"/>
    <x v="0"/>
    <x v="97"/>
    <x v="0"/>
    <x v="0"/>
    <x v="12"/>
    <x v="1"/>
    <x v="12"/>
    <x v="98"/>
    <x v="21"/>
    <x v="272"/>
  </r>
  <r>
    <x v="52"/>
    <x v="98"/>
    <x v="37"/>
    <x v="3"/>
    <x v="0"/>
    <x v="0"/>
    <x v="97"/>
    <x v="0"/>
    <x v="0"/>
    <x v="4"/>
    <x v="0"/>
    <x v="4"/>
    <x v="98"/>
    <x v="21"/>
    <x v="273"/>
  </r>
  <r>
    <x v="52"/>
    <x v="98"/>
    <x v="37"/>
    <x v="3"/>
    <x v="0"/>
    <x v="0"/>
    <x v="97"/>
    <x v="0"/>
    <x v="0"/>
    <x v="10"/>
    <x v="1"/>
    <x v="10"/>
    <x v="98"/>
    <x v="21"/>
    <x v="274"/>
  </r>
  <r>
    <x v="52"/>
    <x v="98"/>
    <x v="37"/>
    <x v="3"/>
    <x v="0"/>
    <x v="0"/>
    <x v="97"/>
    <x v="0"/>
    <x v="0"/>
    <x v="9"/>
    <x v="0"/>
    <x v="9"/>
    <x v="98"/>
    <x v="21"/>
    <x v="275"/>
  </r>
  <r>
    <x v="52"/>
    <x v="98"/>
    <x v="37"/>
    <x v="3"/>
    <x v="0"/>
    <x v="0"/>
    <x v="97"/>
    <x v="0"/>
    <x v="0"/>
    <x v="0"/>
    <x v="0"/>
    <x v="0"/>
    <x v="98"/>
    <x v="21"/>
    <x v="276"/>
  </r>
  <r>
    <x v="53"/>
    <x v="99"/>
    <x v="38"/>
    <x v="0"/>
    <x v="0"/>
    <x v="0"/>
    <x v="98"/>
    <x v="0"/>
    <x v="0"/>
    <x v="0"/>
    <x v="0"/>
    <x v="0"/>
    <x v="99"/>
    <x v="21"/>
    <x v="277"/>
  </r>
  <r>
    <x v="54"/>
    <x v="100"/>
    <x v="39"/>
    <x v="0"/>
    <x v="0"/>
    <x v="0"/>
    <x v="13"/>
    <x v="3"/>
    <x v="3"/>
    <x v="0"/>
    <x v="0"/>
    <x v="0"/>
    <x v="100"/>
    <x v="21"/>
    <x v="278"/>
  </r>
  <r>
    <x v="55"/>
    <x v="101"/>
    <x v="40"/>
    <x v="3"/>
    <x v="0"/>
    <x v="0"/>
    <x v="99"/>
    <x v="0"/>
    <x v="0"/>
    <x v="0"/>
    <x v="0"/>
    <x v="0"/>
    <x v="101"/>
    <x v="21"/>
    <x v="4"/>
  </r>
  <r>
    <x v="55"/>
    <x v="101"/>
    <x v="40"/>
    <x v="3"/>
    <x v="0"/>
    <x v="0"/>
    <x v="99"/>
    <x v="0"/>
    <x v="0"/>
    <x v="9"/>
    <x v="0"/>
    <x v="9"/>
    <x v="101"/>
    <x v="21"/>
    <x v="279"/>
  </r>
  <r>
    <x v="55"/>
    <x v="101"/>
    <x v="40"/>
    <x v="3"/>
    <x v="0"/>
    <x v="0"/>
    <x v="99"/>
    <x v="0"/>
    <x v="0"/>
    <x v="10"/>
    <x v="1"/>
    <x v="10"/>
    <x v="101"/>
    <x v="21"/>
    <x v="280"/>
  </r>
  <r>
    <x v="55"/>
    <x v="101"/>
    <x v="40"/>
    <x v="3"/>
    <x v="0"/>
    <x v="0"/>
    <x v="99"/>
    <x v="0"/>
    <x v="0"/>
    <x v="4"/>
    <x v="0"/>
    <x v="4"/>
    <x v="101"/>
    <x v="21"/>
    <x v="280"/>
  </r>
  <r>
    <x v="55"/>
    <x v="101"/>
    <x v="40"/>
    <x v="3"/>
    <x v="0"/>
    <x v="0"/>
    <x v="99"/>
    <x v="0"/>
    <x v="0"/>
    <x v="12"/>
    <x v="1"/>
    <x v="12"/>
    <x v="101"/>
    <x v="21"/>
    <x v="281"/>
  </r>
  <r>
    <x v="55"/>
    <x v="101"/>
    <x v="40"/>
    <x v="3"/>
    <x v="0"/>
    <x v="0"/>
    <x v="99"/>
    <x v="0"/>
    <x v="0"/>
    <x v="11"/>
    <x v="0"/>
    <x v="11"/>
    <x v="101"/>
    <x v="21"/>
    <x v="282"/>
  </r>
  <r>
    <x v="56"/>
    <x v="102"/>
    <x v="41"/>
    <x v="3"/>
    <x v="0"/>
    <x v="0"/>
    <x v="100"/>
    <x v="0"/>
    <x v="0"/>
    <x v="11"/>
    <x v="0"/>
    <x v="11"/>
    <x v="102"/>
    <x v="21"/>
    <x v="283"/>
  </r>
  <r>
    <x v="56"/>
    <x v="102"/>
    <x v="41"/>
    <x v="3"/>
    <x v="0"/>
    <x v="0"/>
    <x v="100"/>
    <x v="0"/>
    <x v="0"/>
    <x v="12"/>
    <x v="1"/>
    <x v="12"/>
    <x v="102"/>
    <x v="21"/>
    <x v="284"/>
  </r>
  <r>
    <x v="56"/>
    <x v="102"/>
    <x v="41"/>
    <x v="3"/>
    <x v="0"/>
    <x v="0"/>
    <x v="100"/>
    <x v="0"/>
    <x v="0"/>
    <x v="4"/>
    <x v="0"/>
    <x v="4"/>
    <x v="102"/>
    <x v="21"/>
    <x v="285"/>
  </r>
  <r>
    <x v="56"/>
    <x v="102"/>
    <x v="41"/>
    <x v="3"/>
    <x v="0"/>
    <x v="0"/>
    <x v="100"/>
    <x v="0"/>
    <x v="0"/>
    <x v="10"/>
    <x v="1"/>
    <x v="10"/>
    <x v="102"/>
    <x v="21"/>
    <x v="286"/>
  </r>
  <r>
    <x v="56"/>
    <x v="102"/>
    <x v="41"/>
    <x v="3"/>
    <x v="0"/>
    <x v="0"/>
    <x v="100"/>
    <x v="0"/>
    <x v="0"/>
    <x v="9"/>
    <x v="0"/>
    <x v="9"/>
    <x v="102"/>
    <x v="21"/>
    <x v="287"/>
  </r>
  <r>
    <x v="56"/>
    <x v="102"/>
    <x v="41"/>
    <x v="3"/>
    <x v="0"/>
    <x v="0"/>
    <x v="100"/>
    <x v="0"/>
    <x v="0"/>
    <x v="0"/>
    <x v="0"/>
    <x v="0"/>
    <x v="102"/>
    <x v="21"/>
    <x v="288"/>
  </r>
  <r>
    <x v="57"/>
    <x v="103"/>
    <x v="42"/>
    <x v="0"/>
    <x v="0"/>
    <x v="0"/>
    <x v="3"/>
    <x v="2"/>
    <x v="2"/>
    <x v="0"/>
    <x v="0"/>
    <x v="0"/>
    <x v="103"/>
    <x v="21"/>
    <x v="289"/>
  </r>
  <r>
    <x v="58"/>
    <x v="104"/>
    <x v="42"/>
    <x v="0"/>
    <x v="0"/>
    <x v="0"/>
    <x v="3"/>
    <x v="2"/>
    <x v="2"/>
    <x v="0"/>
    <x v="0"/>
    <x v="0"/>
    <x v="104"/>
    <x v="21"/>
    <x v="290"/>
  </r>
  <r>
    <x v="59"/>
    <x v="105"/>
    <x v="43"/>
    <x v="0"/>
    <x v="0"/>
    <x v="0"/>
    <x v="26"/>
    <x v="4"/>
    <x v="4"/>
    <x v="0"/>
    <x v="0"/>
    <x v="0"/>
    <x v="105"/>
    <x v="21"/>
    <x v="291"/>
  </r>
  <r>
    <x v="60"/>
    <x v="44"/>
    <x v="44"/>
    <x v="3"/>
    <x v="0"/>
    <x v="0"/>
    <x v="43"/>
    <x v="0"/>
    <x v="0"/>
    <x v="13"/>
    <x v="0"/>
    <x v="13"/>
    <x v="44"/>
    <x v="1"/>
    <x v="292"/>
  </r>
  <r>
    <x v="60"/>
    <x v="82"/>
    <x v="44"/>
    <x v="3"/>
    <x v="0"/>
    <x v="0"/>
    <x v="81"/>
    <x v="0"/>
    <x v="0"/>
    <x v="13"/>
    <x v="0"/>
    <x v="13"/>
    <x v="82"/>
    <x v="2"/>
    <x v="293"/>
  </r>
  <r>
    <x v="60"/>
    <x v="83"/>
    <x v="44"/>
    <x v="3"/>
    <x v="0"/>
    <x v="0"/>
    <x v="82"/>
    <x v="0"/>
    <x v="0"/>
    <x v="13"/>
    <x v="0"/>
    <x v="13"/>
    <x v="83"/>
    <x v="1"/>
    <x v="294"/>
  </r>
  <r>
    <x v="60"/>
    <x v="47"/>
    <x v="44"/>
    <x v="3"/>
    <x v="0"/>
    <x v="0"/>
    <x v="46"/>
    <x v="0"/>
    <x v="0"/>
    <x v="13"/>
    <x v="0"/>
    <x v="13"/>
    <x v="47"/>
    <x v="2"/>
    <x v="295"/>
  </r>
  <r>
    <x v="60"/>
    <x v="48"/>
    <x v="44"/>
    <x v="3"/>
    <x v="0"/>
    <x v="0"/>
    <x v="47"/>
    <x v="0"/>
    <x v="0"/>
    <x v="13"/>
    <x v="0"/>
    <x v="13"/>
    <x v="48"/>
    <x v="2"/>
    <x v="296"/>
  </r>
  <r>
    <x v="60"/>
    <x v="49"/>
    <x v="44"/>
    <x v="3"/>
    <x v="0"/>
    <x v="0"/>
    <x v="48"/>
    <x v="0"/>
    <x v="0"/>
    <x v="13"/>
    <x v="0"/>
    <x v="13"/>
    <x v="49"/>
    <x v="3"/>
    <x v="297"/>
  </r>
  <r>
    <x v="60"/>
    <x v="51"/>
    <x v="44"/>
    <x v="3"/>
    <x v="0"/>
    <x v="0"/>
    <x v="50"/>
    <x v="0"/>
    <x v="0"/>
    <x v="13"/>
    <x v="0"/>
    <x v="13"/>
    <x v="51"/>
    <x v="4"/>
    <x v="298"/>
  </r>
  <r>
    <x v="60"/>
    <x v="52"/>
    <x v="44"/>
    <x v="3"/>
    <x v="0"/>
    <x v="0"/>
    <x v="51"/>
    <x v="0"/>
    <x v="0"/>
    <x v="13"/>
    <x v="0"/>
    <x v="13"/>
    <x v="52"/>
    <x v="4"/>
    <x v="299"/>
  </r>
  <r>
    <x v="60"/>
    <x v="53"/>
    <x v="44"/>
    <x v="3"/>
    <x v="0"/>
    <x v="0"/>
    <x v="52"/>
    <x v="0"/>
    <x v="0"/>
    <x v="13"/>
    <x v="0"/>
    <x v="13"/>
    <x v="53"/>
    <x v="5"/>
    <x v="300"/>
  </r>
  <r>
    <x v="60"/>
    <x v="57"/>
    <x v="44"/>
    <x v="3"/>
    <x v="0"/>
    <x v="0"/>
    <x v="56"/>
    <x v="0"/>
    <x v="0"/>
    <x v="13"/>
    <x v="0"/>
    <x v="13"/>
    <x v="57"/>
    <x v="8"/>
    <x v="301"/>
  </r>
  <r>
    <x v="60"/>
    <x v="59"/>
    <x v="44"/>
    <x v="3"/>
    <x v="0"/>
    <x v="0"/>
    <x v="58"/>
    <x v="0"/>
    <x v="0"/>
    <x v="13"/>
    <x v="0"/>
    <x v="13"/>
    <x v="59"/>
    <x v="9"/>
    <x v="302"/>
  </r>
  <r>
    <x v="60"/>
    <x v="60"/>
    <x v="44"/>
    <x v="3"/>
    <x v="0"/>
    <x v="0"/>
    <x v="59"/>
    <x v="0"/>
    <x v="0"/>
    <x v="13"/>
    <x v="0"/>
    <x v="13"/>
    <x v="60"/>
    <x v="2"/>
    <x v="303"/>
  </r>
  <r>
    <x v="60"/>
    <x v="61"/>
    <x v="44"/>
    <x v="3"/>
    <x v="0"/>
    <x v="0"/>
    <x v="60"/>
    <x v="0"/>
    <x v="0"/>
    <x v="13"/>
    <x v="0"/>
    <x v="13"/>
    <x v="61"/>
    <x v="10"/>
    <x v="304"/>
  </r>
  <r>
    <x v="60"/>
    <x v="64"/>
    <x v="44"/>
    <x v="3"/>
    <x v="0"/>
    <x v="0"/>
    <x v="63"/>
    <x v="0"/>
    <x v="0"/>
    <x v="13"/>
    <x v="0"/>
    <x v="13"/>
    <x v="64"/>
    <x v="11"/>
    <x v="305"/>
  </r>
  <r>
    <x v="60"/>
    <x v="66"/>
    <x v="44"/>
    <x v="3"/>
    <x v="0"/>
    <x v="0"/>
    <x v="65"/>
    <x v="0"/>
    <x v="0"/>
    <x v="13"/>
    <x v="0"/>
    <x v="13"/>
    <x v="66"/>
    <x v="11"/>
    <x v="306"/>
  </r>
  <r>
    <x v="60"/>
    <x v="106"/>
    <x v="44"/>
    <x v="3"/>
    <x v="0"/>
    <x v="0"/>
    <x v="101"/>
    <x v="0"/>
    <x v="0"/>
    <x v="13"/>
    <x v="0"/>
    <x v="13"/>
    <x v="106"/>
    <x v="22"/>
    <x v="307"/>
  </r>
  <r>
    <x v="60"/>
    <x v="107"/>
    <x v="44"/>
    <x v="3"/>
    <x v="0"/>
    <x v="0"/>
    <x v="102"/>
    <x v="0"/>
    <x v="0"/>
    <x v="13"/>
    <x v="0"/>
    <x v="13"/>
    <x v="107"/>
    <x v="23"/>
    <x v="308"/>
  </r>
  <r>
    <x v="60"/>
    <x v="108"/>
    <x v="44"/>
    <x v="3"/>
    <x v="0"/>
    <x v="0"/>
    <x v="103"/>
    <x v="0"/>
    <x v="0"/>
    <x v="13"/>
    <x v="0"/>
    <x v="13"/>
    <x v="108"/>
    <x v="24"/>
    <x v="309"/>
  </r>
  <r>
    <x v="60"/>
    <x v="76"/>
    <x v="44"/>
    <x v="3"/>
    <x v="0"/>
    <x v="0"/>
    <x v="75"/>
    <x v="0"/>
    <x v="0"/>
    <x v="13"/>
    <x v="0"/>
    <x v="13"/>
    <x v="76"/>
    <x v="16"/>
    <x v="310"/>
  </r>
  <r>
    <x v="60"/>
    <x v="79"/>
    <x v="44"/>
    <x v="3"/>
    <x v="0"/>
    <x v="0"/>
    <x v="78"/>
    <x v="0"/>
    <x v="0"/>
    <x v="13"/>
    <x v="0"/>
    <x v="13"/>
    <x v="79"/>
    <x v="17"/>
    <x v="311"/>
  </r>
  <r>
    <x v="60"/>
    <x v="109"/>
    <x v="44"/>
    <x v="3"/>
    <x v="0"/>
    <x v="0"/>
    <x v="104"/>
    <x v="0"/>
    <x v="0"/>
    <x v="14"/>
    <x v="0"/>
    <x v="14"/>
    <x v="109"/>
    <x v="2"/>
    <x v="312"/>
  </r>
  <r>
    <x v="60"/>
    <x v="48"/>
    <x v="44"/>
    <x v="3"/>
    <x v="0"/>
    <x v="0"/>
    <x v="47"/>
    <x v="0"/>
    <x v="0"/>
    <x v="14"/>
    <x v="0"/>
    <x v="14"/>
    <x v="48"/>
    <x v="2"/>
    <x v="313"/>
  </r>
  <r>
    <x v="60"/>
    <x v="110"/>
    <x v="44"/>
    <x v="3"/>
    <x v="0"/>
    <x v="0"/>
    <x v="105"/>
    <x v="0"/>
    <x v="0"/>
    <x v="14"/>
    <x v="0"/>
    <x v="14"/>
    <x v="110"/>
    <x v="25"/>
    <x v="314"/>
  </r>
  <r>
    <x v="60"/>
    <x v="111"/>
    <x v="44"/>
    <x v="3"/>
    <x v="0"/>
    <x v="0"/>
    <x v="106"/>
    <x v="0"/>
    <x v="0"/>
    <x v="14"/>
    <x v="0"/>
    <x v="14"/>
    <x v="111"/>
    <x v="3"/>
    <x v="315"/>
  </r>
  <r>
    <x v="60"/>
    <x v="112"/>
    <x v="44"/>
    <x v="3"/>
    <x v="0"/>
    <x v="0"/>
    <x v="107"/>
    <x v="0"/>
    <x v="0"/>
    <x v="14"/>
    <x v="0"/>
    <x v="14"/>
    <x v="112"/>
    <x v="3"/>
    <x v="316"/>
  </r>
  <r>
    <x v="60"/>
    <x v="49"/>
    <x v="44"/>
    <x v="3"/>
    <x v="0"/>
    <x v="0"/>
    <x v="48"/>
    <x v="0"/>
    <x v="0"/>
    <x v="14"/>
    <x v="0"/>
    <x v="14"/>
    <x v="49"/>
    <x v="3"/>
    <x v="317"/>
  </r>
  <r>
    <x v="60"/>
    <x v="113"/>
    <x v="44"/>
    <x v="3"/>
    <x v="0"/>
    <x v="0"/>
    <x v="108"/>
    <x v="0"/>
    <x v="0"/>
    <x v="14"/>
    <x v="0"/>
    <x v="14"/>
    <x v="113"/>
    <x v="4"/>
    <x v="318"/>
  </r>
  <r>
    <x v="60"/>
    <x v="114"/>
    <x v="44"/>
    <x v="3"/>
    <x v="0"/>
    <x v="0"/>
    <x v="109"/>
    <x v="0"/>
    <x v="0"/>
    <x v="14"/>
    <x v="0"/>
    <x v="14"/>
    <x v="114"/>
    <x v="26"/>
    <x v="319"/>
  </r>
  <r>
    <x v="60"/>
    <x v="115"/>
    <x v="44"/>
    <x v="3"/>
    <x v="0"/>
    <x v="0"/>
    <x v="110"/>
    <x v="0"/>
    <x v="0"/>
    <x v="14"/>
    <x v="0"/>
    <x v="14"/>
    <x v="115"/>
    <x v="4"/>
    <x v="320"/>
  </r>
  <r>
    <x v="60"/>
    <x v="50"/>
    <x v="44"/>
    <x v="3"/>
    <x v="0"/>
    <x v="0"/>
    <x v="49"/>
    <x v="0"/>
    <x v="0"/>
    <x v="14"/>
    <x v="0"/>
    <x v="14"/>
    <x v="50"/>
    <x v="4"/>
    <x v="321"/>
  </r>
  <r>
    <x v="60"/>
    <x v="51"/>
    <x v="44"/>
    <x v="3"/>
    <x v="0"/>
    <x v="0"/>
    <x v="50"/>
    <x v="0"/>
    <x v="0"/>
    <x v="14"/>
    <x v="0"/>
    <x v="14"/>
    <x v="51"/>
    <x v="4"/>
    <x v="322"/>
  </r>
  <r>
    <x v="60"/>
    <x v="116"/>
    <x v="44"/>
    <x v="3"/>
    <x v="0"/>
    <x v="0"/>
    <x v="111"/>
    <x v="0"/>
    <x v="0"/>
    <x v="14"/>
    <x v="0"/>
    <x v="14"/>
    <x v="116"/>
    <x v="27"/>
    <x v="323"/>
  </r>
  <r>
    <x v="60"/>
    <x v="117"/>
    <x v="44"/>
    <x v="3"/>
    <x v="0"/>
    <x v="0"/>
    <x v="112"/>
    <x v="0"/>
    <x v="0"/>
    <x v="14"/>
    <x v="0"/>
    <x v="14"/>
    <x v="117"/>
    <x v="27"/>
    <x v="324"/>
  </r>
  <r>
    <x v="60"/>
    <x v="61"/>
    <x v="44"/>
    <x v="3"/>
    <x v="0"/>
    <x v="0"/>
    <x v="60"/>
    <x v="0"/>
    <x v="0"/>
    <x v="14"/>
    <x v="0"/>
    <x v="14"/>
    <x v="61"/>
    <x v="10"/>
    <x v="325"/>
  </r>
  <r>
    <x v="60"/>
    <x v="86"/>
    <x v="44"/>
    <x v="3"/>
    <x v="0"/>
    <x v="0"/>
    <x v="85"/>
    <x v="0"/>
    <x v="0"/>
    <x v="14"/>
    <x v="0"/>
    <x v="14"/>
    <x v="86"/>
    <x v="20"/>
    <x v="326"/>
  </r>
  <r>
    <x v="60"/>
    <x v="62"/>
    <x v="44"/>
    <x v="3"/>
    <x v="0"/>
    <x v="0"/>
    <x v="61"/>
    <x v="0"/>
    <x v="0"/>
    <x v="14"/>
    <x v="0"/>
    <x v="14"/>
    <x v="62"/>
    <x v="11"/>
    <x v="327"/>
  </r>
  <r>
    <x v="60"/>
    <x v="63"/>
    <x v="44"/>
    <x v="3"/>
    <x v="0"/>
    <x v="0"/>
    <x v="62"/>
    <x v="0"/>
    <x v="0"/>
    <x v="14"/>
    <x v="0"/>
    <x v="14"/>
    <x v="63"/>
    <x v="11"/>
    <x v="328"/>
  </r>
  <r>
    <x v="60"/>
    <x v="66"/>
    <x v="44"/>
    <x v="3"/>
    <x v="0"/>
    <x v="0"/>
    <x v="65"/>
    <x v="0"/>
    <x v="0"/>
    <x v="14"/>
    <x v="0"/>
    <x v="14"/>
    <x v="66"/>
    <x v="11"/>
    <x v="329"/>
  </r>
  <r>
    <x v="60"/>
    <x v="67"/>
    <x v="44"/>
    <x v="3"/>
    <x v="0"/>
    <x v="0"/>
    <x v="66"/>
    <x v="0"/>
    <x v="0"/>
    <x v="14"/>
    <x v="0"/>
    <x v="14"/>
    <x v="67"/>
    <x v="11"/>
    <x v="330"/>
  </r>
  <r>
    <x v="60"/>
    <x v="87"/>
    <x v="44"/>
    <x v="3"/>
    <x v="0"/>
    <x v="0"/>
    <x v="86"/>
    <x v="0"/>
    <x v="0"/>
    <x v="14"/>
    <x v="0"/>
    <x v="14"/>
    <x v="87"/>
    <x v="13"/>
    <x v="331"/>
  </r>
  <r>
    <x v="60"/>
    <x v="72"/>
    <x v="44"/>
    <x v="3"/>
    <x v="0"/>
    <x v="0"/>
    <x v="71"/>
    <x v="0"/>
    <x v="0"/>
    <x v="14"/>
    <x v="0"/>
    <x v="14"/>
    <x v="72"/>
    <x v="13"/>
    <x v="332"/>
  </r>
  <r>
    <x v="60"/>
    <x v="118"/>
    <x v="44"/>
    <x v="3"/>
    <x v="0"/>
    <x v="0"/>
    <x v="113"/>
    <x v="0"/>
    <x v="0"/>
    <x v="14"/>
    <x v="0"/>
    <x v="14"/>
    <x v="118"/>
    <x v="28"/>
    <x v="333"/>
  </r>
  <r>
    <x v="60"/>
    <x v="119"/>
    <x v="44"/>
    <x v="3"/>
    <x v="0"/>
    <x v="0"/>
    <x v="114"/>
    <x v="0"/>
    <x v="0"/>
    <x v="14"/>
    <x v="0"/>
    <x v="14"/>
    <x v="119"/>
    <x v="16"/>
    <x v="334"/>
  </r>
  <r>
    <x v="60"/>
    <x v="76"/>
    <x v="44"/>
    <x v="3"/>
    <x v="0"/>
    <x v="0"/>
    <x v="75"/>
    <x v="0"/>
    <x v="0"/>
    <x v="14"/>
    <x v="0"/>
    <x v="14"/>
    <x v="76"/>
    <x v="16"/>
    <x v="335"/>
  </r>
  <r>
    <x v="60"/>
    <x v="120"/>
    <x v="44"/>
    <x v="3"/>
    <x v="0"/>
    <x v="0"/>
    <x v="115"/>
    <x v="0"/>
    <x v="0"/>
    <x v="14"/>
    <x v="0"/>
    <x v="14"/>
    <x v="120"/>
    <x v="24"/>
    <x v="336"/>
  </r>
  <r>
    <x v="60"/>
    <x v="79"/>
    <x v="44"/>
    <x v="3"/>
    <x v="0"/>
    <x v="0"/>
    <x v="78"/>
    <x v="0"/>
    <x v="0"/>
    <x v="14"/>
    <x v="0"/>
    <x v="14"/>
    <x v="79"/>
    <x v="17"/>
    <x v="337"/>
  </r>
  <r>
    <x v="60"/>
    <x v="121"/>
    <x v="44"/>
    <x v="3"/>
    <x v="0"/>
    <x v="0"/>
    <x v="116"/>
    <x v="0"/>
    <x v="0"/>
    <x v="14"/>
    <x v="0"/>
    <x v="14"/>
    <x v="121"/>
    <x v="29"/>
    <x v="338"/>
  </r>
  <r>
    <x v="60"/>
    <x v="44"/>
    <x v="44"/>
    <x v="3"/>
    <x v="0"/>
    <x v="0"/>
    <x v="43"/>
    <x v="0"/>
    <x v="0"/>
    <x v="15"/>
    <x v="0"/>
    <x v="15"/>
    <x v="44"/>
    <x v="1"/>
    <x v="339"/>
  </r>
  <r>
    <x v="60"/>
    <x v="82"/>
    <x v="44"/>
    <x v="3"/>
    <x v="0"/>
    <x v="0"/>
    <x v="81"/>
    <x v="0"/>
    <x v="0"/>
    <x v="15"/>
    <x v="0"/>
    <x v="15"/>
    <x v="82"/>
    <x v="2"/>
    <x v="340"/>
  </r>
  <r>
    <x v="60"/>
    <x v="83"/>
    <x v="44"/>
    <x v="3"/>
    <x v="0"/>
    <x v="0"/>
    <x v="82"/>
    <x v="0"/>
    <x v="0"/>
    <x v="15"/>
    <x v="0"/>
    <x v="15"/>
    <x v="83"/>
    <x v="1"/>
    <x v="341"/>
  </r>
  <r>
    <x v="60"/>
    <x v="48"/>
    <x v="44"/>
    <x v="3"/>
    <x v="0"/>
    <x v="0"/>
    <x v="47"/>
    <x v="0"/>
    <x v="0"/>
    <x v="15"/>
    <x v="0"/>
    <x v="15"/>
    <x v="48"/>
    <x v="2"/>
    <x v="342"/>
  </r>
  <r>
    <x v="60"/>
    <x v="49"/>
    <x v="44"/>
    <x v="3"/>
    <x v="0"/>
    <x v="0"/>
    <x v="48"/>
    <x v="0"/>
    <x v="0"/>
    <x v="15"/>
    <x v="0"/>
    <x v="15"/>
    <x v="49"/>
    <x v="3"/>
    <x v="343"/>
  </r>
  <r>
    <x v="60"/>
    <x v="51"/>
    <x v="44"/>
    <x v="3"/>
    <x v="0"/>
    <x v="0"/>
    <x v="50"/>
    <x v="0"/>
    <x v="0"/>
    <x v="15"/>
    <x v="0"/>
    <x v="15"/>
    <x v="51"/>
    <x v="4"/>
    <x v="344"/>
  </r>
  <r>
    <x v="60"/>
    <x v="52"/>
    <x v="44"/>
    <x v="3"/>
    <x v="0"/>
    <x v="0"/>
    <x v="51"/>
    <x v="0"/>
    <x v="0"/>
    <x v="15"/>
    <x v="0"/>
    <x v="15"/>
    <x v="52"/>
    <x v="4"/>
    <x v="345"/>
  </r>
  <r>
    <x v="60"/>
    <x v="53"/>
    <x v="44"/>
    <x v="3"/>
    <x v="0"/>
    <x v="0"/>
    <x v="52"/>
    <x v="0"/>
    <x v="0"/>
    <x v="15"/>
    <x v="0"/>
    <x v="15"/>
    <x v="53"/>
    <x v="5"/>
    <x v="346"/>
  </r>
  <r>
    <x v="60"/>
    <x v="57"/>
    <x v="44"/>
    <x v="3"/>
    <x v="0"/>
    <x v="0"/>
    <x v="56"/>
    <x v="0"/>
    <x v="0"/>
    <x v="15"/>
    <x v="0"/>
    <x v="15"/>
    <x v="57"/>
    <x v="8"/>
    <x v="347"/>
  </r>
  <r>
    <x v="60"/>
    <x v="59"/>
    <x v="44"/>
    <x v="3"/>
    <x v="0"/>
    <x v="0"/>
    <x v="58"/>
    <x v="0"/>
    <x v="0"/>
    <x v="15"/>
    <x v="0"/>
    <x v="15"/>
    <x v="59"/>
    <x v="9"/>
    <x v="348"/>
  </r>
  <r>
    <x v="60"/>
    <x v="60"/>
    <x v="44"/>
    <x v="3"/>
    <x v="0"/>
    <x v="0"/>
    <x v="59"/>
    <x v="0"/>
    <x v="0"/>
    <x v="15"/>
    <x v="0"/>
    <x v="15"/>
    <x v="60"/>
    <x v="2"/>
    <x v="349"/>
  </r>
  <r>
    <x v="60"/>
    <x v="86"/>
    <x v="44"/>
    <x v="3"/>
    <x v="0"/>
    <x v="0"/>
    <x v="85"/>
    <x v="0"/>
    <x v="0"/>
    <x v="15"/>
    <x v="0"/>
    <x v="15"/>
    <x v="86"/>
    <x v="20"/>
    <x v="350"/>
  </r>
  <r>
    <x v="60"/>
    <x v="72"/>
    <x v="44"/>
    <x v="3"/>
    <x v="0"/>
    <x v="0"/>
    <x v="71"/>
    <x v="0"/>
    <x v="0"/>
    <x v="15"/>
    <x v="0"/>
    <x v="15"/>
    <x v="72"/>
    <x v="13"/>
    <x v="351"/>
  </r>
  <r>
    <x v="60"/>
    <x v="106"/>
    <x v="44"/>
    <x v="3"/>
    <x v="0"/>
    <x v="0"/>
    <x v="101"/>
    <x v="0"/>
    <x v="0"/>
    <x v="15"/>
    <x v="0"/>
    <x v="15"/>
    <x v="106"/>
    <x v="22"/>
    <x v="352"/>
  </r>
  <r>
    <x v="60"/>
    <x v="107"/>
    <x v="44"/>
    <x v="3"/>
    <x v="0"/>
    <x v="0"/>
    <x v="102"/>
    <x v="0"/>
    <x v="0"/>
    <x v="15"/>
    <x v="0"/>
    <x v="15"/>
    <x v="107"/>
    <x v="23"/>
    <x v="353"/>
  </r>
  <r>
    <x v="60"/>
    <x v="108"/>
    <x v="44"/>
    <x v="3"/>
    <x v="0"/>
    <x v="0"/>
    <x v="103"/>
    <x v="0"/>
    <x v="0"/>
    <x v="15"/>
    <x v="0"/>
    <x v="15"/>
    <x v="108"/>
    <x v="24"/>
    <x v="354"/>
  </r>
  <r>
    <x v="60"/>
    <x v="76"/>
    <x v="44"/>
    <x v="3"/>
    <x v="0"/>
    <x v="0"/>
    <x v="75"/>
    <x v="0"/>
    <x v="0"/>
    <x v="15"/>
    <x v="0"/>
    <x v="15"/>
    <x v="76"/>
    <x v="16"/>
    <x v="355"/>
  </r>
  <r>
    <x v="60"/>
    <x v="79"/>
    <x v="44"/>
    <x v="3"/>
    <x v="0"/>
    <x v="0"/>
    <x v="78"/>
    <x v="0"/>
    <x v="0"/>
    <x v="15"/>
    <x v="0"/>
    <x v="15"/>
    <x v="79"/>
    <x v="17"/>
    <x v="356"/>
  </r>
  <r>
    <x v="60"/>
    <x v="80"/>
    <x v="44"/>
    <x v="3"/>
    <x v="0"/>
    <x v="0"/>
    <x v="79"/>
    <x v="0"/>
    <x v="0"/>
    <x v="15"/>
    <x v="0"/>
    <x v="15"/>
    <x v="80"/>
    <x v="18"/>
    <x v="83"/>
  </r>
  <r>
    <x v="61"/>
    <x v="122"/>
    <x v="45"/>
    <x v="3"/>
    <x v="0"/>
    <x v="0"/>
    <x v="117"/>
    <x v="0"/>
    <x v="0"/>
    <x v="13"/>
    <x v="0"/>
    <x v="13"/>
    <x v="122"/>
    <x v="30"/>
    <x v="35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All_Accounts_Pivot" cacheId="1" applyNumberFormats="0" applyBorderFormats="0" applyFontFormats="0" applyPatternFormats="0" applyAlignmentFormats="0" applyWidthHeightFormats="1" dataCaption="Values" grandTotalCaption="TE &amp; BNS Balance" updatedVersion="5" minRefreshableVersion="3" showCalcMbrs="0" useAutoFormatting="1" rowGrandTotals="0" itemPrintTitles="1" createdVersion="3" indent="0" compact="0" compactData="0" multipleFieldFilters="0">
  <location ref="A3:G156" firstHeaderRow="1" firstDataRow="2" firstDataCol="4"/>
  <pivotFields count="15">
    <pivotField compact="0" outline="0" showAll="0" defaultSubtotal="0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23">
        <item x="20"/>
        <item x="21"/>
        <item x="18"/>
        <item x="19"/>
        <item x="34"/>
        <item x="35"/>
        <item x="37"/>
        <item x="29"/>
        <item x="23"/>
        <item x="22"/>
        <item x="31"/>
        <item x="77"/>
        <item x="106"/>
        <item x="38"/>
        <item x="102"/>
        <item x="68"/>
        <item x="41"/>
        <item x="88"/>
        <item x="71"/>
        <item x="73"/>
        <item x="122"/>
        <item x="121"/>
        <item x="11"/>
        <item x="99"/>
        <item x="32"/>
        <item x="65"/>
        <item x="89"/>
        <item x="110"/>
        <item x="84"/>
        <item x="79"/>
        <item x="113"/>
        <item x="105"/>
        <item x="66"/>
        <item x="80"/>
        <item x="49"/>
        <item x="111"/>
        <item x="112"/>
        <item x="97"/>
        <item x="98"/>
        <item x="96"/>
        <item x="93"/>
        <item x="62"/>
        <item x="16"/>
        <item x="90"/>
        <item x="63"/>
        <item x="12"/>
        <item x="13"/>
        <item x="17"/>
        <item x="25"/>
        <item x="114"/>
        <item x="92"/>
        <item x="91"/>
        <item x="100"/>
        <item x="27"/>
        <item x="26"/>
        <item x="2"/>
        <item x="3"/>
        <item x="14"/>
        <item x="107"/>
        <item x="15"/>
        <item x="39"/>
        <item x="0"/>
        <item x="72"/>
        <item x="36"/>
        <item x="40"/>
        <item x="109"/>
        <item x="117"/>
        <item x="61"/>
        <item x="24"/>
        <item x="108"/>
        <item x="119"/>
        <item x="76"/>
        <item x="120"/>
        <item x="118"/>
        <item x="54"/>
        <item x="59"/>
        <item x="57"/>
        <item x="60"/>
        <item x="30"/>
        <item x="58"/>
        <item x="47"/>
        <item x="48"/>
        <item x="87"/>
        <item x="8"/>
        <item x="4"/>
        <item x="9"/>
        <item x="7"/>
        <item x="6"/>
        <item x="5"/>
        <item x="78"/>
        <item x="116"/>
        <item x="33"/>
        <item x="1"/>
        <item x="42"/>
        <item x="43"/>
        <item x="86"/>
        <item x="44"/>
        <item x="46"/>
        <item x="82"/>
        <item x="83"/>
        <item x="45"/>
        <item x="28"/>
        <item x="75"/>
        <item x="55"/>
        <item x="56"/>
        <item x="101"/>
        <item x="53"/>
        <item x="85"/>
        <item x="50"/>
        <item x="51"/>
        <item x="52"/>
        <item x="115"/>
        <item x="103"/>
        <item x="104"/>
        <item x="67"/>
        <item x="64"/>
        <item x="81"/>
        <item x="69"/>
        <item x="74"/>
        <item x="70"/>
        <item x="94"/>
        <item x="95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44"/>
        <item x="45"/>
        <item x="33"/>
        <item x="34"/>
        <item x="35"/>
        <item x="36"/>
        <item x="37"/>
        <item x="38"/>
        <item x="40"/>
        <item x="39"/>
        <item x="41"/>
        <item x="42"/>
        <item x="43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18">
        <item x="0"/>
        <item x="1"/>
        <item x="4"/>
        <item x="5"/>
        <item x="6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81"/>
        <item x="82"/>
        <item x="44"/>
        <item x="45"/>
        <item x="104"/>
        <item x="46"/>
        <item x="89"/>
        <item x="47"/>
        <item x="83"/>
        <item x="105"/>
        <item x="106"/>
        <item x="107"/>
        <item x="48"/>
        <item x="108"/>
        <item x="109"/>
        <item x="110"/>
        <item x="49"/>
        <item x="50"/>
        <item x="51"/>
        <item x="111"/>
        <item x="112"/>
        <item x="52"/>
        <item x="53"/>
        <item x="54"/>
        <item x="55"/>
        <item x="84"/>
        <item x="56"/>
        <item x="57"/>
        <item x="58"/>
        <item x="59"/>
        <item x="60"/>
        <item x="85"/>
        <item x="61"/>
        <item x="62"/>
        <item x="63"/>
        <item x="64"/>
        <item x="65"/>
        <item x="66"/>
        <item x="67"/>
        <item x="80"/>
        <item x="68"/>
        <item x="73"/>
        <item x="69"/>
        <item x="70"/>
        <item x="86"/>
        <item x="71"/>
        <item x="101"/>
        <item x="102"/>
        <item x="74"/>
        <item x="113"/>
        <item x="72"/>
        <item x="87"/>
        <item x="103"/>
        <item x="114"/>
        <item x="75"/>
        <item x="115"/>
        <item x="76"/>
        <item x="88"/>
        <item x="77"/>
        <item x="78"/>
        <item x="79"/>
        <item x="117"/>
        <item x="116"/>
        <item x="90"/>
        <item x="91"/>
        <item x="92"/>
        <item x="93"/>
        <item x="94"/>
        <item x="95"/>
        <item x="96"/>
        <item x="97"/>
        <item x="98"/>
        <item x="99"/>
        <item x="100"/>
        <item x="2"/>
        <item x="3"/>
        <item x="13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6">
        <item x="13"/>
        <item x="14"/>
        <item x="12"/>
        <item x="4"/>
        <item x="10"/>
        <item x="1"/>
        <item x="3"/>
        <item x="9"/>
        <item x="11"/>
        <item x="5"/>
        <item x="6"/>
        <item x="7"/>
        <item x="8"/>
        <item x="15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6">
        <item x="13"/>
        <item x="14"/>
        <item x="12"/>
        <item x="4"/>
        <item x="10"/>
        <item x="1"/>
        <item x="3"/>
        <item x="9"/>
        <item x="11"/>
        <item x="5"/>
        <item x="6"/>
        <item x="7"/>
        <item x="8"/>
        <item x="15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82"/>
        <item x="83"/>
        <item x="45"/>
        <item x="46"/>
        <item x="109"/>
        <item x="47"/>
        <item x="90"/>
        <item x="48"/>
        <item x="84"/>
        <item x="110"/>
        <item x="111"/>
        <item x="112"/>
        <item x="49"/>
        <item x="113"/>
        <item x="114"/>
        <item x="115"/>
        <item x="50"/>
        <item x="51"/>
        <item x="52"/>
        <item x="116"/>
        <item x="117"/>
        <item x="53"/>
        <item x="54"/>
        <item x="55"/>
        <item x="56"/>
        <item x="85"/>
        <item x="57"/>
        <item x="58"/>
        <item x="59"/>
        <item x="60"/>
        <item x="61"/>
        <item x="86"/>
        <item x="62"/>
        <item x="63"/>
        <item x="64"/>
        <item x="65"/>
        <item x="66"/>
        <item x="67"/>
        <item x="68"/>
        <item x="81"/>
        <item x="69"/>
        <item x="74"/>
        <item x="70"/>
        <item x="71"/>
        <item x="87"/>
        <item x="72"/>
        <item x="106"/>
        <item x="107"/>
        <item x="75"/>
        <item x="118"/>
        <item x="73"/>
        <item x="88"/>
        <item x="108"/>
        <item x="119"/>
        <item x="76"/>
        <item x="120"/>
        <item x="77"/>
        <item x="89"/>
        <item x="78"/>
        <item x="79"/>
        <item x="80"/>
        <item x="122"/>
        <item x="121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1">
        <item x="21"/>
        <item x="1"/>
        <item x="2"/>
        <item x="19"/>
        <item x="25"/>
        <item x="3"/>
        <item x="4"/>
        <item x="26"/>
        <item x="27"/>
        <item x="5"/>
        <item x="6"/>
        <item x="8"/>
        <item x="9"/>
        <item x="7"/>
        <item x="10"/>
        <item x="20"/>
        <item x="11"/>
        <item x="12"/>
        <item x="13"/>
        <item x="22"/>
        <item x="23"/>
        <item x="28"/>
        <item x="14"/>
        <item x="24"/>
        <item x="16"/>
        <item x="15"/>
        <item x="17"/>
        <item x="18"/>
        <item x="30"/>
        <item x="2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58">
        <item x="48"/>
        <item x="46"/>
        <item x="290"/>
        <item x="289"/>
        <item x="34"/>
        <item x="20"/>
        <item x="38"/>
        <item x="22"/>
        <item x="33"/>
        <item x="45"/>
        <item x="35"/>
        <item x="24"/>
        <item x="26"/>
        <item x="89"/>
        <item x="61"/>
        <item x="43"/>
        <item x="120"/>
        <item x="226"/>
        <item x="224"/>
        <item x="30"/>
        <item x="21"/>
        <item x="261"/>
        <item x="28"/>
        <item x="122"/>
        <item x="144"/>
        <item x="260"/>
        <item x="81"/>
        <item x="23"/>
        <item x="263"/>
        <item x="153"/>
        <item x="187"/>
        <item x="195"/>
        <item x="317"/>
        <item x="42"/>
        <item x="41"/>
        <item x="259"/>
        <item x="220"/>
        <item x="257"/>
        <item x="51"/>
        <item x="36"/>
        <item x="197"/>
        <item x="185"/>
        <item x="278"/>
        <item x="116"/>
        <item x="338"/>
        <item x="262"/>
        <item x="25"/>
        <item x="59"/>
        <item x="142"/>
        <item x="355"/>
        <item x="294"/>
        <item x="39"/>
        <item x="40"/>
        <item x="211"/>
        <item x="29"/>
        <item x="341"/>
        <item x="44"/>
        <item x="271"/>
        <item x="32"/>
        <item x="274"/>
        <item x="273"/>
        <item x="270"/>
        <item x="170"/>
        <item x="267"/>
        <item x="275"/>
        <item x="268"/>
        <item x="266"/>
        <item x="272"/>
        <item x="269"/>
        <item x="245"/>
        <item x="265"/>
        <item x="249"/>
        <item x="248"/>
        <item x="251"/>
        <item x="247"/>
        <item x="250"/>
        <item x="282"/>
        <item x="280"/>
        <item x="279"/>
        <item x="281"/>
        <item x="4"/>
        <item x="5"/>
        <item x="215"/>
        <item x="71"/>
        <item x="309"/>
        <item x="344"/>
        <item x="302"/>
        <item x="325"/>
        <item x="356"/>
        <item x="236"/>
        <item x="306"/>
        <item x="304"/>
        <item x="311"/>
        <item x="242"/>
        <item x="169"/>
        <item x="345"/>
        <item x="171"/>
        <item x="342"/>
        <item x="216"/>
        <item x="243"/>
        <item x="246"/>
        <item x="298"/>
        <item x="343"/>
        <item x="284"/>
        <item x="351"/>
        <item x="210"/>
        <item x="174"/>
        <item x="214"/>
        <item x="77"/>
        <item x="239"/>
        <item x="346"/>
        <item x="295"/>
        <item x="329"/>
        <item x="132"/>
        <item x="161"/>
        <item x="330"/>
        <item x="191"/>
        <item x="175"/>
        <item x="299"/>
        <item x="287"/>
        <item x="139"/>
        <item x="177"/>
        <item x="327"/>
        <item x="57"/>
        <item x="31"/>
        <item x="296"/>
        <item x="0"/>
        <item x="354"/>
        <item x="276"/>
        <item x="135"/>
        <item x="285"/>
        <item x="55"/>
        <item x="117"/>
        <item x="286"/>
        <item x="2"/>
        <item x="297"/>
        <item x="147"/>
        <item x="104"/>
        <item x="52"/>
        <item x="136"/>
        <item x="207"/>
        <item x="202"/>
        <item x="305"/>
        <item x="288"/>
        <item x="231"/>
        <item x="192"/>
        <item x="54"/>
        <item x="221"/>
        <item x="350"/>
        <item x="235"/>
        <item x="53"/>
        <item x="253"/>
        <item x="283"/>
        <item x="188"/>
        <item x="127"/>
        <item x="300"/>
        <item x="108"/>
        <item x="340"/>
        <item x="193"/>
        <item x="179"/>
        <item x="100"/>
        <item x="131"/>
        <item x="324"/>
        <item x="189"/>
        <item x="134"/>
        <item x="78"/>
        <item x="322"/>
        <item x="66"/>
        <item x="336"/>
        <item x="328"/>
        <item x="86"/>
        <item x="222"/>
        <item x="203"/>
        <item x="332"/>
        <item x="87"/>
        <item x="165"/>
        <item x="244"/>
        <item x="160"/>
        <item x="190"/>
        <item x="82"/>
        <item x="208"/>
        <item x="256"/>
        <item x="95"/>
        <item x="149"/>
        <item x="146"/>
        <item x="349"/>
        <item x="83"/>
        <item x="293"/>
        <item x="347"/>
        <item x="238"/>
        <item x="72"/>
        <item x="151"/>
        <item x="310"/>
        <item x="85"/>
        <item x="109"/>
        <item x="314"/>
        <item x="84"/>
        <item x="155"/>
        <item x="217"/>
        <item x="113"/>
        <item x="316"/>
        <item x="206"/>
        <item x="353"/>
        <item x="110"/>
        <item x="101"/>
        <item x="67"/>
        <item x="141"/>
        <item x="128"/>
        <item x="70"/>
        <item x="103"/>
        <item x="252"/>
        <item x="148"/>
        <item x="326"/>
        <item x="145"/>
        <item x="348"/>
        <item x="118"/>
        <item x="255"/>
        <item x="58"/>
        <item x="233"/>
        <item x="321"/>
        <item x="56"/>
        <item x="205"/>
        <item x="73"/>
        <item x="133"/>
        <item x="318"/>
        <item x="107"/>
        <item x="74"/>
        <item x="166"/>
        <item x="237"/>
        <item x="150"/>
        <item x="96"/>
        <item x="337"/>
        <item x="234"/>
        <item x="312"/>
        <item x="176"/>
        <item x="254"/>
        <item x="111"/>
        <item x="331"/>
        <item x="168"/>
        <item x="184"/>
        <item x="68"/>
        <item x="167"/>
        <item x="69"/>
        <item x="154"/>
        <item x="1"/>
        <item x="223"/>
        <item x="130"/>
        <item x="334"/>
        <item x="264"/>
        <item x="119"/>
        <item x="194"/>
        <item x="124"/>
        <item x="98"/>
        <item x="204"/>
        <item x="64"/>
        <item x="112"/>
        <item x="75"/>
        <item x="178"/>
        <item x="308"/>
        <item x="320"/>
        <item x="229"/>
        <item x="125"/>
        <item x="209"/>
        <item x="319"/>
        <item x="97"/>
        <item x="182"/>
        <item x="137"/>
        <item x="301"/>
        <item x="115"/>
        <item x="313"/>
        <item x="129"/>
        <item x="212"/>
        <item x="339"/>
        <item x="163"/>
        <item x="164"/>
        <item x="240"/>
        <item x="102"/>
        <item x="50"/>
        <item x="99"/>
        <item x="315"/>
        <item x="88"/>
        <item x="152"/>
        <item x="181"/>
        <item x="230"/>
        <item x="200"/>
        <item x="65"/>
        <item x="307"/>
        <item x="3"/>
        <item x="126"/>
        <item x="303"/>
        <item x="232"/>
        <item x="219"/>
        <item x="19"/>
        <item x="162"/>
        <item x="186"/>
        <item x="12"/>
        <item x="93"/>
        <item x="10"/>
        <item x="76"/>
        <item x="213"/>
        <item x="241"/>
        <item x="158"/>
        <item x="105"/>
        <item x="138"/>
        <item x="335"/>
        <item x="62"/>
        <item x="201"/>
        <item x="17"/>
        <item x="80"/>
        <item x="333"/>
        <item x="94"/>
        <item x="143"/>
        <item x="172"/>
        <item x="9"/>
        <item x="121"/>
        <item x="60"/>
        <item x="352"/>
        <item x="63"/>
        <item x="159"/>
        <item x="196"/>
        <item x="228"/>
        <item x="8"/>
        <item x="92"/>
        <item x="157"/>
        <item x="292"/>
        <item x="106"/>
        <item x="227"/>
        <item x="199"/>
        <item x="198"/>
        <item x="258"/>
        <item x="180"/>
        <item x="123"/>
        <item x="6"/>
        <item x="173"/>
        <item x="27"/>
        <item x="7"/>
        <item x="225"/>
        <item x="91"/>
        <item x="323"/>
        <item x="156"/>
        <item x="11"/>
        <item x="291"/>
        <item x="49"/>
        <item x="218"/>
        <item x="114"/>
        <item x="357"/>
        <item x="13"/>
        <item x="277"/>
        <item x="183"/>
        <item x="90"/>
        <item x="37"/>
        <item x="79"/>
        <item x="18"/>
        <item x="16"/>
        <item x="140"/>
        <item x="15"/>
        <item x="14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3"/>
    <field x="2"/>
    <field x="12"/>
    <field x="7"/>
  </rowFields>
  <rowItems count="152">
    <i>
      <x/>
      <x v="3"/>
      <x v="3"/>
      <x/>
    </i>
    <i r="1">
      <x v="32"/>
      <x v="44"/>
      <x/>
    </i>
    <i r="2">
      <x v="45"/>
      <x/>
    </i>
    <i r="2">
      <x v="46"/>
      <x/>
    </i>
    <i r="2">
      <x v="49"/>
      <x/>
    </i>
    <i r="2">
      <x v="50"/>
      <x/>
    </i>
    <i r="2">
      <x v="52"/>
      <x/>
    </i>
    <i r="2">
      <x v="54"/>
      <x/>
    </i>
    <i r="2">
      <x v="55"/>
      <x/>
    </i>
    <i r="2">
      <x v="56"/>
      <x/>
    </i>
    <i r="2">
      <x v="57"/>
      <x/>
    </i>
    <i r="2">
      <x v="58"/>
      <x/>
    </i>
    <i r="2">
      <x v="59"/>
      <x/>
    </i>
    <i r="2">
      <x v="60"/>
      <x/>
    </i>
    <i r="2">
      <x v="61"/>
      <x/>
    </i>
    <i r="2">
      <x v="62"/>
      <x/>
    </i>
    <i r="2">
      <x v="63"/>
      <x/>
    </i>
    <i r="2">
      <x v="64"/>
      <x/>
    </i>
    <i r="2">
      <x v="65"/>
      <x/>
    </i>
    <i r="2">
      <x v="66"/>
      <x/>
    </i>
    <i r="2">
      <x v="71"/>
      <x/>
    </i>
    <i r="2">
      <x v="73"/>
      <x/>
    </i>
    <i r="2">
      <x v="74"/>
      <x/>
    </i>
    <i r="2">
      <x v="75"/>
      <x/>
    </i>
    <i r="2">
      <x v="76"/>
      <x/>
    </i>
    <i r="2">
      <x v="77"/>
      <x/>
    </i>
    <i r="2">
      <x v="78"/>
      <x/>
    </i>
    <i r="2">
      <x v="79"/>
      <x/>
    </i>
    <i r="2">
      <x v="81"/>
      <x/>
    </i>
    <i r="2">
      <x v="82"/>
      <x/>
    </i>
    <i r="2">
      <x v="89"/>
      <x/>
    </i>
    <i r="2">
      <x v="90"/>
      <x/>
    </i>
    <i r="2">
      <x v="91"/>
      <x/>
    </i>
    <i r="2">
      <x v="92"/>
      <x/>
    </i>
    <i r="2">
      <x v="94"/>
      <x/>
    </i>
    <i r="2">
      <x v="97"/>
      <x/>
    </i>
    <i r="2">
      <x v="98"/>
      <x/>
    </i>
    <i r="2">
      <x v="99"/>
      <x/>
    </i>
    <i r="2">
      <x v="100"/>
      <x/>
    </i>
    <i r="2">
      <x v="104"/>
      <x/>
    </i>
    <i r="2">
      <x v="105"/>
      <x/>
    </i>
    <i r="2">
      <x v="107"/>
      <x/>
    </i>
    <i r="1">
      <x v="33"/>
      <x v="106"/>
      <x/>
    </i>
    <i r="1">
      <x v="34"/>
      <x v="44"/>
      <x/>
    </i>
    <i r="2">
      <x v="45"/>
      <x/>
    </i>
    <i r="2">
      <x v="46"/>
      <x/>
    </i>
    <i r="2">
      <x v="47"/>
      <x/>
    </i>
    <i r="2">
      <x v="48"/>
      <x/>
    </i>
    <i r="2">
      <x v="50"/>
      <x/>
    </i>
    <i r="2">
      <x v="51"/>
      <x/>
    </i>
    <i r="2">
      <x v="52"/>
      <x/>
    </i>
    <i r="2">
      <x v="53"/>
      <x/>
    </i>
    <i r="2">
      <x v="57"/>
      <x/>
    </i>
    <i r="2">
      <x v="61"/>
      <x/>
    </i>
    <i r="2">
      <x v="62"/>
      <x/>
    </i>
    <i r="2">
      <x v="63"/>
      <x/>
    </i>
    <i r="2">
      <x v="66"/>
      <x/>
    </i>
    <i r="2">
      <x v="67"/>
      <x/>
    </i>
    <i r="2">
      <x v="68"/>
      <x/>
    </i>
    <i r="2">
      <x v="69"/>
      <x/>
    </i>
    <i r="2">
      <x v="70"/>
      <x/>
    </i>
    <i r="2">
      <x v="71"/>
      <x/>
    </i>
    <i r="2">
      <x v="72"/>
      <x/>
    </i>
    <i r="2">
      <x v="73"/>
      <x/>
    </i>
    <i r="2">
      <x v="74"/>
      <x/>
    </i>
    <i r="2">
      <x v="75"/>
      <x/>
    </i>
    <i r="2">
      <x v="76"/>
      <x/>
    </i>
    <i r="2">
      <x v="77"/>
      <x/>
    </i>
    <i r="2">
      <x v="78"/>
      <x/>
    </i>
    <i r="2">
      <x v="79"/>
      <x/>
    </i>
    <i r="2">
      <x v="80"/>
      <x/>
    </i>
    <i r="2">
      <x v="81"/>
      <x/>
    </i>
    <i r="2">
      <x v="82"/>
      <x/>
    </i>
    <i r="2">
      <x v="83"/>
      <x/>
    </i>
    <i r="2">
      <x v="84"/>
      <x/>
    </i>
    <i r="2">
      <x v="85"/>
      <x/>
    </i>
    <i r="2">
      <x v="86"/>
      <x/>
    </i>
    <i r="2">
      <x v="87"/>
      <x/>
    </i>
    <i r="2">
      <x v="88"/>
      <x/>
    </i>
    <i r="2">
      <x v="89"/>
      <x/>
    </i>
    <i r="2">
      <x v="90"/>
      <x/>
    </i>
    <i r="2">
      <x v="93"/>
      <x/>
    </i>
    <i r="2">
      <x v="95"/>
      <x/>
    </i>
    <i r="2">
      <x v="96"/>
      <x/>
    </i>
    <i r="2">
      <x v="99"/>
      <x/>
    </i>
    <i r="2">
      <x v="101"/>
      <x/>
    </i>
    <i r="2">
      <x v="102"/>
      <x/>
    </i>
    <i r="2">
      <x v="103"/>
      <x/>
    </i>
    <i r="2">
      <x v="104"/>
      <x/>
    </i>
    <i r="2">
      <x v="105"/>
      <x/>
    </i>
    <i r="1">
      <x v="37"/>
      <x v="110"/>
      <x/>
    </i>
    <i r="2">
      <x v="111"/>
      <x/>
    </i>
    <i r="2">
      <x v="112"/>
      <x/>
    </i>
    <i r="1">
      <x v="38"/>
      <x v="113"/>
      <x/>
    </i>
    <i r="2">
      <x v="114"/>
      <x/>
    </i>
    <i r="2">
      <x v="115"/>
      <x/>
    </i>
    <i r="1">
      <x v="40"/>
      <x v="118"/>
      <x/>
    </i>
    <i r="1">
      <x v="42"/>
      <x v="119"/>
      <x/>
    </i>
    <i>
      <x v="1"/>
      <x/>
      <x/>
      <x/>
    </i>
    <i r="1">
      <x v="8"/>
      <x v="11"/>
      <x/>
    </i>
    <i r="1">
      <x v="9"/>
      <x v="12"/>
      <x v="3"/>
    </i>
    <i r="1">
      <x v="10"/>
      <x v="13"/>
      <x v="2"/>
    </i>
    <i r="1">
      <x v="25"/>
      <x v="32"/>
      <x/>
    </i>
    <i r="2">
      <x v="33"/>
      <x/>
    </i>
    <i r="1">
      <x v="29"/>
      <x v="39"/>
      <x/>
    </i>
    <i r="1">
      <x v="31"/>
      <x v="41"/>
      <x/>
    </i>
    <i r="1">
      <x v="35"/>
      <x v="108"/>
      <x/>
    </i>
    <i r="1">
      <x v="39"/>
      <x v="116"/>
      <x/>
    </i>
    <i r="1">
      <x v="41"/>
      <x v="117"/>
      <x v="3"/>
    </i>
    <i r="1">
      <x v="43"/>
      <x v="120"/>
      <x v="2"/>
    </i>
    <i r="2">
      <x v="121"/>
      <x v="2"/>
    </i>
    <i r="1">
      <x v="44"/>
      <x v="122"/>
      <x v="4"/>
    </i>
    <i r="1">
      <x v="45"/>
      <x v="42"/>
      <x/>
    </i>
    <i r="2">
      <x v="43"/>
      <x/>
    </i>
    <i>
      <x v="2"/>
      <x v="1"/>
      <x v="1"/>
      <x/>
    </i>
    <i r="1">
      <x v="4"/>
      <x v="4"/>
      <x/>
    </i>
    <i r="1">
      <x v="5"/>
      <x v="5"/>
      <x/>
    </i>
    <i r="1">
      <x v="6"/>
      <x v="6"/>
      <x/>
    </i>
    <i r="2">
      <x v="7"/>
      <x/>
    </i>
    <i r="2">
      <x v="8"/>
      <x/>
    </i>
    <i r="2">
      <x v="9"/>
      <x/>
    </i>
    <i r="1">
      <x v="7"/>
      <x v="10"/>
      <x/>
    </i>
    <i r="1">
      <x v="11"/>
      <x v="14"/>
      <x/>
    </i>
    <i r="1">
      <x v="12"/>
      <x v="15"/>
      <x/>
    </i>
    <i r="1">
      <x v="13"/>
      <x v="16"/>
      <x/>
    </i>
    <i r="1">
      <x v="14"/>
      <x v="17"/>
      <x/>
    </i>
    <i r="1">
      <x v="15"/>
      <x v="18"/>
      <x/>
    </i>
    <i r="1">
      <x v="16"/>
      <x v="19"/>
      <x/>
    </i>
    <i r="1">
      <x v="17"/>
      <x v="20"/>
      <x/>
    </i>
    <i r="1">
      <x v="18"/>
      <x v="21"/>
      <x/>
    </i>
    <i r="1">
      <x v="19"/>
      <x v="22"/>
      <x/>
    </i>
    <i r="2">
      <x v="23"/>
      <x/>
    </i>
    <i r="1">
      <x v="20"/>
      <x v="24"/>
      <x/>
    </i>
    <i r="2">
      <x v="25"/>
      <x/>
    </i>
    <i r="1">
      <x v="22"/>
      <x v="28"/>
      <x/>
    </i>
    <i r="1">
      <x v="23"/>
      <x v="29"/>
      <x/>
    </i>
    <i r="1">
      <x v="24"/>
      <x v="30"/>
      <x/>
    </i>
    <i r="2">
      <x v="31"/>
      <x/>
    </i>
    <i r="1">
      <x v="26"/>
      <x v="34"/>
      <x/>
    </i>
    <i r="2">
      <x v="35"/>
      <x/>
    </i>
    <i r="1">
      <x v="27"/>
      <x v="36"/>
      <x/>
    </i>
    <i r="2">
      <x v="37"/>
      <x/>
    </i>
    <i r="1">
      <x v="28"/>
      <x v="38"/>
      <x/>
    </i>
    <i r="1">
      <x v="30"/>
      <x v="40"/>
      <x/>
    </i>
    <i r="1">
      <x v="36"/>
      <x v="109"/>
      <x/>
    </i>
    <i>
      <x v="3"/>
      <x v="2"/>
      <x v="2"/>
      <x v="1"/>
    </i>
    <i r="3">
      <x v="2"/>
    </i>
    <i r="1">
      <x v="21"/>
      <x v="26"/>
      <x v="1"/>
    </i>
    <i r="3">
      <x v="2"/>
    </i>
    <i r="3">
      <x v="4"/>
    </i>
    <i r="2">
      <x v="27"/>
      <x v="1"/>
    </i>
    <i r="3">
      <x v="4"/>
    </i>
  </rowItems>
  <colFields count="1">
    <field x="10"/>
  </colFields>
  <colItems count="3">
    <i>
      <x/>
    </i>
    <i>
      <x v="1"/>
    </i>
    <i t="grand">
      <x/>
    </i>
  </colItems>
  <dataFields count="1">
    <dataField name="Balance" fld="14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</extLst>
</pivotTableDefinition>
</file>

<file path=xl/pivotTables/pivotTable2.xml><?xml version="1.0" encoding="utf-8"?>
<pivotTableDefinition xmlns="http://schemas.openxmlformats.org/spreadsheetml/2006/main" name="Pre_Close_AMF_Pivot" cacheId="0" applyNumberFormats="0" applyBorderFormats="0" applyFontFormats="0" applyPatternFormats="0" applyAlignmentFormats="0" applyWidthHeightFormats="1" dataCaption="Values" grandTotalCaption="TE &amp; BNS Balance" updatedVersion="5" minRefreshableVersion="3" showCalcMbrs="0" useAutoFormatting="1" rowGrandTotals="0" itemPrintTitles="1" createdVersion="3" indent="0" compact="0" compactData="0" multipleFieldFilters="0">
  <location ref="A3:G108" firstHeaderRow="1" firstDataRow="2" firstDataCol="4" rowPageCount="1" colPageCount="1"/>
  <pivotFields count="15">
    <pivotField compact="0" outline="0" showAll="0" defaultSubtotal="0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23">
        <item x="20"/>
        <item x="21"/>
        <item x="18"/>
        <item x="19"/>
        <item x="34"/>
        <item x="35"/>
        <item x="37"/>
        <item x="29"/>
        <item x="23"/>
        <item x="22"/>
        <item x="31"/>
        <item x="77"/>
        <item x="105"/>
        <item x="38"/>
        <item x="101"/>
        <item x="68"/>
        <item x="41"/>
        <item x="86"/>
        <item x="71"/>
        <item x="73"/>
        <item x="122"/>
        <item x="121"/>
        <item x="11"/>
        <item x="98"/>
        <item x="32"/>
        <item x="65"/>
        <item x="87"/>
        <item x="109"/>
        <item x="82"/>
        <item x="78"/>
        <item x="112"/>
        <item x="104"/>
        <item x="66"/>
        <item x="79"/>
        <item x="49"/>
        <item x="110"/>
        <item x="111"/>
        <item x="96"/>
        <item x="97"/>
        <item x="95"/>
        <item x="92"/>
        <item x="62"/>
        <item x="16"/>
        <item x="89"/>
        <item x="63"/>
        <item x="12"/>
        <item x="13"/>
        <item x="17"/>
        <item x="25"/>
        <item x="113"/>
        <item x="91"/>
        <item x="90"/>
        <item x="99"/>
        <item x="27"/>
        <item x="26"/>
        <item x="2"/>
        <item x="3"/>
        <item x="14"/>
        <item x="106"/>
        <item x="15"/>
        <item x="39"/>
        <item x="0"/>
        <item x="72"/>
        <item x="36"/>
        <item x="40"/>
        <item x="108"/>
        <item x="116"/>
        <item x="61"/>
        <item x="24"/>
        <item x="107"/>
        <item x="119"/>
        <item x="76"/>
        <item x="120"/>
        <item x="118"/>
        <item x="54"/>
        <item x="59"/>
        <item x="57"/>
        <item x="60"/>
        <item x="30"/>
        <item x="58"/>
        <item x="47"/>
        <item x="48"/>
        <item x="117"/>
        <item x="8"/>
        <item x="4"/>
        <item x="9"/>
        <item x="7"/>
        <item x="6"/>
        <item x="5"/>
        <item x="88"/>
        <item x="115"/>
        <item x="33"/>
        <item x="1"/>
        <item x="42"/>
        <item x="43"/>
        <item x="84"/>
        <item x="44"/>
        <item x="46"/>
        <item x="80"/>
        <item x="81"/>
        <item x="45"/>
        <item x="28"/>
        <item x="75"/>
        <item x="55"/>
        <item x="56"/>
        <item x="100"/>
        <item x="53"/>
        <item x="83"/>
        <item x="50"/>
        <item x="51"/>
        <item x="52"/>
        <item x="114"/>
        <item x="102"/>
        <item x="103"/>
        <item x="67"/>
        <item x="64"/>
        <item x="85"/>
        <item x="69"/>
        <item x="74"/>
        <item x="70"/>
        <item x="93"/>
        <item x="94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44"/>
        <item x="45"/>
        <item x="33"/>
        <item x="34"/>
        <item x="35"/>
        <item x="36"/>
        <item x="37"/>
        <item x="38"/>
        <item x="40"/>
        <item x="39"/>
        <item x="41"/>
        <item x="42"/>
        <item x="43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19">
        <item x="0"/>
        <item x="1"/>
        <item x="4"/>
        <item x="5"/>
        <item x="6"/>
        <item x="7"/>
        <item x="8"/>
        <item x="9"/>
        <item x="10"/>
        <item x="11"/>
        <item x="12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80"/>
        <item x="81"/>
        <item x="45"/>
        <item x="46"/>
        <item x="104"/>
        <item x="47"/>
        <item x="89"/>
        <item x="48"/>
        <item x="82"/>
        <item x="105"/>
        <item x="106"/>
        <item x="107"/>
        <item x="49"/>
        <item x="108"/>
        <item x="109"/>
        <item x="110"/>
        <item x="50"/>
        <item x="51"/>
        <item x="52"/>
        <item x="111"/>
        <item x="112"/>
        <item x="53"/>
        <item x="54"/>
        <item x="55"/>
        <item x="56"/>
        <item x="83"/>
        <item x="57"/>
        <item x="58"/>
        <item x="59"/>
        <item x="60"/>
        <item x="61"/>
        <item x="84"/>
        <item x="62"/>
        <item x="63"/>
        <item x="64"/>
        <item x="65"/>
        <item x="66"/>
        <item x="67"/>
        <item x="68"/>
        <item x="85"/>
        <item x="69"/>
        <item x="74"/>
        <item x="70"/>
        <item x="71"/>
        <item x="113"/>
        <item x="72"/>
        <item x="101"/>
        <item x="102"/>
        <item x="75"/>
        <item x="114"/>
        <item x="73"/>
        <item x="86"/>
        <item x="103"/>
        <item x="115"/>
        <item x="76"/>
        <item x="116"/>
        <item x="77"/>
        <item x="87"/>
        <item x="88"/>
        <item x="78"/>
        <item x="79"/>
        <item x="118"/>
        <item x="117"/>
        <item x="90"/>
        <item x="91"/>
        <item x="92"/>
        <item x="93"/>
        <item x="94"/>
        <item x="95"/>
        <item x="96"/>
        <item x="97"/>
        <item x="98"/>
        <item x="99"/>
        <item x="100"/>
        <item x="2"/>
        <item x="3"/>
        <item x="14"/>
        <item x="13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2"/>
        <item x="4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x="0"/>
        <item x="1"/>
        <item x="2"/>
        <item x="4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15">
        <item x="13"/>
        <item x="14"/>
        <item x="12"/>
        <item x="4"/>
        <item x="10"/>
        <item x="1"/>
        <item x="3"/>
        <item x="9"/>
        <item x="11"/>
        <item x="5"/>
        <item x="6"/>
        <item x="7"/>
        <item x="8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5">
        <item x="13"/>
        <item x="14"/>
        <item x="12"/>
        <item x="4"/>
        <item x="10"/>
        <item x="1"/>
        <item x="3"/>
        <item x="9"/>
        <item x="11"/>
        <item x="5"/>
        <item x="6"/>
        <item x="7"/>
        <item x="8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80"/>
        <item x="81"/>
        <item x="45"/>
        <item x="46"/>
        <item x="108"/>
        <item x="47"/>
        <item x="89"/>
        <item x="48"/>
        <item x="82"/>
        <item x="109"/>
        <item x="110"/>
        <item x="111"/>
        <item x="49"/>
        <item x="112"/>
        <item x="113"/>
        <item x="114"/>
        <item x="50"/>
        <item x="51"/>
        <item x="52"/>
        <item x="115"/>
        <item x="116"/>
        <item x="53"/>
        <item x="54"/>
        <item x="55"/>
        <item x="56"/>
        <item x="83"/>
        <item x="57"/>
        <item x="58"/>
        <item x="59"/>
        <item x="60"/>
        <item x="61"/>
        <item x="84"/>
        <item x="62"/>
        <item x="63"/>
        <item x="64"/>
        <item x="65"/>
        <item x="66"/>
        <item x="67"/>
        <item x="68"/>
        <item x="85"/>
        <item x="69"/>
        <item x="74"/>
        <item x="70"/>
        <item x="71"/>
        <item x="117"/>
        <item x="72"/>
        <item x="105"/>
        <item x="106"/>
        <item x="75"/>
        <item x="118"/>
        <item x="73"/>
        <item x="86"/>
        <item x="107"/>
        <item x="119"/>
        <item x="76"/>
        <item x="120"/>
        <item x="77"/>
        <item x="87"/>
        <item x="88"/>
        <item x="78"/>
        <item x="79"/>
        <item x="122"/>
        <item x="121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1">
        <item x="21"/>
        <item x="1"/>
        <item x="2"/>
        <item x="19"/>
        <item x="25"/>
        <item x="3"/>
        <item x="4"/>
        <item x="26"/>
        <item x="27"/>
        <item x="5"/>
        <item x="6"/>
        <item x="8"/>
        <item x="9"/>
        <item x="7"/>
        <item x="10"/>
        <item x="20"/>
        <item x="11"/>
        <item x="12"/>
        <item x="13"/>
        <item x="22"/>
        <item x="23"/>
        <item x="28"/>
        <item x="14"/>
        <item x="24"/>
        <item x="16"/>
        <item x="15"/>
        <item x="17"/>
        <item x="18"/>
        <item x="30"/>
        <item x="2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31">
        <item x="48"/>
        <item x="46"/>
        <item x="283"/>
        <item x="284"/>
        <item x="34"/>
        <item x="20"/>
        <item x="38"/>
        <item x="22"/>
        <item x="33"/>
        <item x="35"/>
        <item x="24"/>
        <item x="45"/>
        <item x="26"/>
        <item x="89"/>
        <item x="61"/>
        <item x="43"/>
        <item x="118"/>
        <item x="220"/>
        <item x="218"/>
        <item x="21"/>
        <item x="255"/>
        <item x="28"/>
        <item x="120"/>
        <item x="30"/>
        <item x="254"/>
        <item x="23"/>
        <item x="257"/>
        <item x="149"/>
        <item x="81"/>
        <item x="253"/>
        <item x="308"/>
        <item x="214"/>
        <item x="190"/>
        <item x="251"/>
        <item x="140"/>
        <item x="192"/>
        <item x="36"/>
        <item x="41"/>
        <item x="51"/>
        <item x="42"/>
        <item x="182"/>
        <item x="180"/>
        <item x="272"/>
        <item x="329"/>
        <item x="256"/>
        <item x="59"/>
        <item x="138"/>
        <item x="288"/>
        <item x="40"/>
        <item x="39"/>
        <item x="206"/>
        <item x="44"/>
        <item x="25"/>
        <item x="31"/>
        <item x="32"/>
        <item x="195"/>
        <item x="265"/>
        <item x="268"/>
        <item x="154"/>
        <item x="267"/>
        <item x="64"/>
        <item x="29"/>
        <item x="269"/>
        <item x="266"/>
        <item x="239"/>
        <item x="259"/>
        <item x="243"/>
        <item x="242"/>
        <item x="245"/>
        <item x="241"/>
        <item x="244"/>
        <item x="276"/>
        <item x="274"/>
        <item x="273"/>
        <item x="275"/>
        <item x="4"/>
        <item x="5"/>
        <item x="263"/>
        <item x="260"/>
        <item x="262"/>
        <item x="261"/>
        <item x="264"/>
        <item x="210"/>
        <item x="71"/>
        <item x="240"/>
        <item x="300"/>
        <item x="166"/>
        <item x="293"/>
        <item x="316"/>
        <item x="230"/>
        <item x="297"/>
        <item x="295"/>
        <item x="237"/>
        <item x="302"/>
        <item x="165"/>
        <item x="167"/>
        <item x="211"/>
        <item x="238"/>
        <item x="278"/>
        <item x="290"/>
        <item x="205"/>
        <item x="77"/>
        <item x="209"/>
        <item x="233"/>
        <item x="289"/>
        <item x="320"/>
        <item x="130"/>
        <item x="157"/>
        <item x="321"/>
        <item x="186"/>
        <item x="281"/>
        <item x="74"/>
        <item x="170"/>
        <item x="57"/>
        <item x="135"/>
        <item x="104"/>
        <item x="114"/>
        <item x="279"/>
        <item x="318"/>
        <item x="55"/>
        <item x="202"/>
        <item x="115"/>
        <item x="280"/>
        <item x="108"/>
        <item x="270"/>
        <item x="52"/>
        <item x="223"/>
        <item x="2"/>
        <item x="215"/>
        <item x="54"/>
        <item x="225"/>
        <item x="197"/>
        <item x="143"/>
        <item x="277"/>
        <item x="123"/>
        <item x="183"/>
        <item x="53"/>
        <item x="187"/>
        <item x="66"/>
        <item x="296"/>
        <item x="125"/>
        <item x="282"/>
        <item x="93"/>
        <item x="188"/>
        <item x="229"/>
        <item x="247"/>
        <item x="315"/>
        <item x="234"/>
        <item x="291"/>
        <item x="174"/>
        <item x="156"/>
        <item x="313"/>
        <item x="86"/>
        <item x="100"/>
        <item x="327"/>
        <item x="129"/>
        <item x="132"/>
        <item x="78"/>
        <item x="0"/>
        <item x="216"/>
        <item x="87"/>
        <item x="185"/>
        <item x="319"/>
        <item x="82"/>
        <item x="198"/>
        <item x="323"/>
        <item x="95"/>
        <item x="145"/>
        <item x="317"/>
        <item x="142"/>
        <item x="161"/>
        <item x="83"/>
        <item x="203"/>
        <item x="147"/>
        <item x="201"/>
        <item x="250"/>
        <item x="85"/>
        <item x="287"/>
        <item x="67"/>
        <item x="232"/>
        <item x="72"/>
        <item x="305"/>
        <item x="84"/>
        <item x="301"/>
        <item x="307"/>
        <item x="109"/>
        <item x="173"/>
        <item x="151"/>
        <item x="112"/>
        <item x="101"/>
        <item x="126"/>
        <item x="141"/>
        <item x="144"/>
        <item x="103"/>
        <item x="116"/>
        <item x="58"/>
        <item x="110"/>
        <item x="312"/>
        <item x="137"/>
        <item x="70"/>
        <item x="246"/>
        <item x="227"/>
        <item x="56"/>
        <item x="200"/>
        <item x="309"/>
        <item x="107"/>
        <item x="249"/>
        <item x="258"/>
        <item x="162"/>
        <item x="146"/>
        <item x="73"/>
        <item x="131"/>
        <item x="303"/>
        <item x="231"/>
        <item x="328"/>
        <item x="184"/>
        <item x="322"/>
        <item x="96"/>
        <item x="228"/>
        <item x="179"/>
        <item x="163"/>
        <item x="310"/>
        <item x="248"/>
        <item x="325"/>
        <item x="164"/>
        <item x="111"/>
        <item x="69"/>
        <item x="189"/>
        <item x="75"/>
        <item x="68"/>
        <item x="172"/>
        <item x="217"/>
        <item x="122"/>
        <item x="98"/>
        <item x="150"/>
        <item x="117"/>
        <item x="199"/>
        <item x="1"/>
        <item x="128"/>
        <item x="311"/>
        <item x="181"/>
        <item x="97"/>
        <item x="204"/>
        <item x="299"/>
        <item x="133"/>
        <item x="207"/>
        <item x="50"/>
        <item x="177"/>
        <item x="292"/>
        <item x="102"/>
        <item x="99"/>
        <item x="160"/>
        <item x="304"/>
        <item x="235"/>
        <item x="127"/>
        <item x="159"/>
        <item x="148"/>
        <item x="306"/>
        <item x="176"/>
        <item x="158"/>
        <item x="88"/>
        <item x="139"/>
        <item x="226"/>
        <item x="65"/>
        <item x="10"/>
        <item x="298"/>
        <item x="294"/>
        <item x="213"/>
        <item x="19"/>
        <item x="80"/>
        <item x="171"/>
        <item x="76"/>
        <item x="208"/>
        <item x="236"/>
        <item x="224"/>
        <item x="105"/>
        <item x="124"/>
        <item x="134"/>
        <item x="3"/>
        <item x="62"/>
        <item x="324"/>
        <item x="168"/>
        <item x="119"/>
        <item x="326"/>
        <item x="60"/>
        <item x="17"/>
        <item x="63"/>
        <item x="222"/>
        <item x="94"/>
        <item x="12"/>
        <item x="196"/>
        <item x="92"/>
        <item x="155"/>
        <item x="153"/>
        <item x="9"/>
        <item x="8"/>
        <item x="106"/>
        <item x="194"/>
        <item x="193"/>
        <item x="221"/>
        <item x="191"/>
        <item x="286"/>
        <item x="169"/>
        <item x="121"/>
        <item x="252"/>
        <item x="175"/>
        <item x="219"/>
        <item x="27"/>
        <item x="7"/>
        <item x="285"/>
        <item x="314"/>
        <item x="152"/>
        <item x="91"/>
        <item x="11"/>
        <item x="49"/>
        <item x="212"/>
        <item x="330"/>
        <item x="113"/>
        <item x="6"/>
        <item x="13"/>
        <item x="178"/>
        <item x="271"/>
        <item x="37"/>
        <item x="90"/>
        <item x="79"/>
        <item x="18"/>
        <item x="136"/>
        <item x="16"/>
        <item x="15"/>
        <item x="14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3"/>
    <field x="2"/>
    <field x="12"/>
    <field x="7"/>
  </rowFields>
  <rowItems count="104">
    <i>
      <x/>
      <x v="32"/>
      <x v="44"/>
      <x/>
    </i>
    <i r="2">
      <x v="45"/>
      <x/>
    </i>
    <i r="2">
      <x v="46"/>
      <x/>
    </i>
    <i r="2">
      <x v="49"/>
      <x/>
    </i>
    <i r="2">
      <x v="50"/>
      <x/>
    </i>
    <i r="2">
      <x v="52"/>
      <x/>
    </i>
    <i r="2">
      <x v="54"/>
      <x/>
    </i>
    <i r="2">
      <x v="55"/>
      <x/>
    </i>
    <i r="2">
      <x v="56"/>
      <x/>
    </i>
    <i r="2">
      <x v="57"/>
      <x/>
    </i>
    <i r="2">
      <x v="58"/>
      <x/>
    </i>
    <i r="2">
      <x v="59"/>
      <x/>
    </i>
    <i r="2">
      <x v="60"/>
      <x/>
    </i>
    <i r="2">
      <x v="61"/>
      <x/>
    </i>
    <i r="2">
      <x v="62"/>
      <x/>
    </i>
    <i r="2">
      <x v="63"/>
      <x/>
    </i>
    <i r="2">
      <x v="64"/>
      <x/>
    </i>
    <i r="2">
      <x v="65"/>
      <x/>
    </i>
    <i r="2">
      <x v="66"/>
      <x/>
    </i>
    <i r="2">
      <x v="71"/>
      <x/>
    </i>
    <i r="2">
      <x v="73"/>
      <x/>
    </i>
    <i r="2">
      <x v="74"/>
      <x/>
    </i>
    <i r="2">
      <x v="75"/>
      <x/>
    </i>
    <i r="2">
      <x v="76"/>
      <x/>
    </i>
    <i r="2">
      <x v="77"/>
      <x/>
    </i>
    <i r="2">
      <x v="78"/>
      <x/>
    </i>
    <i r="2">
      <x v="79"/>
      <x/>
    </i>
    <i r="2">
      <x v="81"/>
      <x/>
    </i>
    <i r="2">
      <x v="82"/>
      <x/>
    </i>
    <i r="2">
      <x v="89"/>
      <x/>
    </i>
    <i r="2">
      <x v="90"/>
      <x/>
    </i>
    <i r="2">
      <x v="91"/>
      <x/>
    </i>
    <i r="2">
      <x v="92"/>
      <x/>
    </i>
    <i r="2">
      <x v="94"/>
      <x/>
    </i>
    <i r="2">
      <x v="97"/>
      <x/>
    </i>
    <i r="2">
      <x v="98"/>
      <x/>
    </i>
    <i r="2">
      <x v="99"/>
      <x/>
    </i>
    <i r="2">
      <x v="100"/>
      <x/>
    </i>
    <i r="2">
      <x v="104"/>
      <x/>
    </i>
    <i r="2">
      <x v="107"/>
      <x/>
    </i>
    <i r="1">
      <x v="33"/>
      <x v="106"/>
      <x/>
    </i>
    <i r="1">
      <x v="34"/>
      <x v="44"/>
      <x/>
    </i>
    <i r="2">
      <x v="45"/>
      <x/>
    </i>
    <i r="2">
      <x v="46"/>
      <x/>
    </i>
    <i r="2">
      <x v="47"/>
      <x/>
    </i>
    <i r="2">
      <x v="48"/>
      <x/>
    </i>
    <i r="2">
      <x v="50"/>
      <x/>
    </i>
    <i r="2">
      <x v="51"/>
      <x/>
    </i>
    <i r="2">
      <x v="52"/>
      <x/>
    </i>
    <i r="2">
      <x v="53"/>
      <x/>
    </i>
    <i r="2">
      <x v="57"/>
      <x/>
    </i>
    <i r="2">
      <x v="61"/>
      <x/>
    </i>
    <i r="2">
      <x v="62"/>
      <x/>
    </i>
    <i r="2">
      <x v="63"/>
      <x/>
    </i>
    <i r="2">
      <x v="66"/>
      <x/>
    </i>
    <i r="2">
      <x v="67"/>
      <x/>
    </i>
    <i r="2">
      <x v="68"/>
      <x/>
    </i>
    <i r="2">
      <x v="69"/>
      <x/>
    </i>
    <i r="2">
      <x v="70"/>
      <x/>
    </i>
    <i r="2">
      <x v="71"/>
      <x/>
    </i>
    <i r="2">
      <x v="72"/>
      <x/>
    </i>
    <i r="2">
      <x v="73"/>
      <x/>
    </i>
    <i r="2">
      <x v="74"/>
      <x/>
    </i>
    <i r="2">
      <x v="75"/>
      <x/>
    </i>
    <i r="2">
      <x v="76"/>
      <x/>
    </i>
    <i r="2">
      <x v="77"/>
      <x/>
    </i>
    <i r="2">
      <x v="78"/>
      <x/>
    </i>
    <i r="2">
      <x v="79"/>
      <x/>
    </i>
    <i r="2">
      <x v="80"/>
      <x/>
    </i>
    <i r="2">
      <x v="81"/>
      <x/>
    </i>
    <i r="2">
      <x v="82"/>
      <x/>
    </i>
    <i r="2">
      <x v="83"/>
      <x/>
    </i>
    <i r="2">
      <x v="84"/>
      <x/>
    </i>
    <i r="2">
      <x v="85"/>
      <x/>
    </i>
    <i r="2">
      <x v="86"/>
      <x/>
    </i>
    <i r="2">
      <x v="87"/>
      <x/>
    </i>
    <i r="2">
      <x v="88"/>
      <x/>
    </i>
    <i r="2">
      <x v="90"/>
      <x/>
    </i>
    <i r="2">
      <x v="93"/>
      <x/>
    </i>
    <i r="2">
      <x v="95"/>
      <x/>
    </i>
    <i r="2">
      <x v="96"/>
      <x/>
    </i>
    <i r="2">
      <x v="99"/>
      <x/>
    </i>
    <i r="2">
      <x v="101"/>
      <x/>
    </i>
    <i r="2">
      <x v="102"/>
      <x/>
    </i>
    <i r="2">
      <x v="103"/>
      <x/>
    </i>
    <i r="2">
      <x v="104"/>
      <x/>
    </i>
    <i r="2">
      <x v="105"/>
      <x/>
    </i>
    <i r="1">
      <x v="37"/>
      <x v="110"/>
      <x/>
    </i>
    <i r="2">
      <x v="111"/>
      <x/>
    </i>
    <i r="2">
      <x v="112"/>
      <x/>
    </i>
    <i r="1">
      <x v="38"/>
      <x v="113"/>
      <x/>
    </i>
    <i r="2">
      <x v="114"/>
      <x/>
    </i>
    <i r="2">
      <x v="115"/>
      <x/>
    </i>
    <i r="1">
      <x v="40"/>
      <x v="118"/>
      <x/>
    </i>
    <i r="1">
      <x v="42"/>
      <x v="119"/>
      <x/>
    </i>
    <i>
      <x v="1"/>
      <x v="35"/>
      <x v="108"/>
      <x/>
    </i>
    <i r="1">
      <x v="39"/>
      <x v="116"/>
      <x/>
    </i>
    <i r="1">
      <x v="41"/>
      <x v="117"/>
      <x v="4"/>
    </i>
    <i r="1">
      <x v="43"/>
      <x v="120"/>
      <x v="3"/>
    </i>
    <i r="2">
      <x v="121"/>
      <x v="3"/>
    </i>
    <i r="1">
      <x v="44"/>
      <x v="122"/>
      <x v="5"/>
    </i>
    <i r="1">
      <x v="45"/>
      <x v="42"/>
      <x/>
    </i>
    <i r="2">
      <x v="43"/>
      <x/>
    </i>
    <i>
      <x v="2"/>
      <x v="36"/>
      <x v="109"/>
      <x/>
    </i>
  </rowItems>
  <colFields count="1">
    <field x="10"/>
  </colFields>
  <colItems count="3">
    <i>
      <x/>
    </i>
    <i>
      <x v="1"/>
    </i>
    <i t="grand">
      <x/>
    </i>
  </colItems>
  <pageFields count="1">
    <pageField fld="9" hier="-1"/>
  </pageFields>
  <dataFields count="1">
    <dataField name="Balance" fld="14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</extLst>
</pivotTableDefinition>
</file>

<file path=xl/pivotTables/pivotTable3.xml><?xml version="1.0" encoding="utf-8"?>
<pivotTableDefinition xmlns="http://schemas.openxmlformats.org/spreadsheetml/2006/main" name="AMF_Pivot_Table" cacheId="1" applyNumberFormats="0" applyBorderFormats="0" applyFontFormats="0" applyPatternFormats="0" applyAlignmentFormats="0" applyWidthHeightFormats="1" dataCaption="Values" grandTotalCaption="TE &amp; BNS Balance" updatedVersion="5" minRefreshableVersion="3" showCalcMbrs="0" useAutoFormatting="1" rowGrandTotals="0" itemPrintTitles="1" createdVersion="3" indent="0" compact="0" compactData="0" multipleFieldFilters="0">
  <location ref="A3:G156" firstHeaderRow="1" firstDataRow="2" firstDataCol="4" rowPageCount="1" colPageCount="1"/>
  <pivotFields count="15">
    <pivotField compact="0" outline="0" showAll="0" defaultSubtotal="0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23">
        <item x="20"/>
        <item x="21"/>
        <item x="18"/>
        <item x="19"/>
        <item x="34"/>
        <item x="35"/>
        <item x="37"/>
        <item x="29"/>
        <item x="23"/>
        <item x="22"/>
        <item x="31"/>
        <item x="77"/>
        <item x="106"/>
        <item x="38"/>
        <item x="102"/>
        <item x="68"/>
        <item x="41"/>
        <item x="88"/>
        <item x="71"/>
        <item x="73"/>
        <item x="122"/>
        <item x="121"/>
        <item x="11"/>
        <item x="99"/>
        <item x="32"/>
        <item x="65"/>
        <item x="89"/>
        <item x="110"/>
        <item x="84"/>
        <item x="79"/>
        <item x="113"/>
        <item x="105"/>
        <item x="66"/>
        <item x="80"/>
        <item x="49"/>
        <item x="111"/>
        <item x="112"/>
        <item x="97"/>
        <item x="98"/>
        <item x="96"/>
        <item x="93"/>
        <item x="62"/>
        <item x="16"/>
        <item x="90"/>
        <item x="63"/>
        <item x="12"/>
        <item x="13"/>
        <item x="17"/>
        <item x="25"/>
        <item x="114"/>
        <item x="92"/>
        <item x="91"/>
        <item x="100"/>
        <item x="27"/>
        <item x="26"/>
        <item x="2"/>
        <item x="3"/>
        <item x="14"/>
        <item x="107"/>
        <item x="15"/>
        <item x="39"/>
        <item x="0"/>
        <item x="72"/>
        <item x="36"/>
        <item x="40"/>
        <item x="109"/>
        <item x="117"/>
        <item x="61"/>
        <item x="24"/>
        <item x="108"/>
        <item x="119"/>
        <item x="76"/>
        <item x="120"/>
        <item x="118"/>
        <item x="54"/>
        <item x="59"/>
        <item x="57"/>
        <item x="60"/>
        <item x="30"/>
        <item x="58"/>
        <item x="47"/>
        <item x="48"/>
        <item x="87"/>
        <item x="8"/>
        <item x="4"/>
        <item x="9"/>
        <item x="7"/>
        <item x="6"/>
        <item x="5"/>
        <item x="78"/>
        <item x="116"/>
        <item x="33"/>
        <item x="1"/>
        <item x="42"/>
        <item x="43"/>
        <item x="86"/>
        <item x="44"/>
        <item x="46"/>
        <item x="82"/>
        <item x="83"/>
        <item x="45"/>
        <item x="28"/>
        <item x="75"/>
        <item x="55"/>
        <item x="56"/>
        <item x="101"/>
        <item x="53"/>
        <item x="85"/>
        <item x="50"/>
        <item x="51"/>
        <item x="52"/>
        <item x="115"/>
        <item x="103"/>
        <item x="104"/>
        <item x="67"/>
        <item x="64"/>
        <item x="81"/>
        <item x="69"/>
        <item x="74"/>
        <item x="70"/>
        <item x="94"/>
        <item x="95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44"/>
        <item x="45"/>
        <item x="33"/>
        <item x="34"/>
        <item x="35"/>
        <item x="36"/>
        <item x="37"/>
        <item x="38"/>
        <item x="40"/>
        <item x="39"/>
        <item x="41"/>
        <item x="42"/>
        <item x="43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18">
        <item x="0"/>
        <item x="1"/>
        <item x="4"/>
        <item x="5"/>
        <item x="6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81"/>
        <item x="82"/>
        <item x="44"/>
        <item x="45"/>
        <item x="104"/>
        <item x="46"/>
        <item x="89"/>
        <item x="47"/>
        <item x="83"/>
        <item x="105"/>
        <item x="106"/>
        <item x="107"/>
        <item x="48"/>
        <item x="108"/>
        <item x="109"/>
        <item x="110"/>
        <item x="49"/>
        <item x="50"/>
        <item x="51"/>
        <item x="111"/>
        <item x="112"/>
        <item x="52"/>
        <item x="53"/>
        <item x="54"/>
        <item x="55"/>
        <item x="84"/>
        <item x="56"/>
        <item x="57"/>
        <item x="58"/>
        <item x="59"/>
        <item x="60"/>
        <item x="85"/>
        <item x="61"/>
        <item x="62"/>
        <item x="63"/>
        <item x="64"/>
        <item x="65"/>
        <item x="66"/>
        <item x="67"/>
        <item x="80"/>
        <item x="68"/>
        <item x="73"/>
        <item x="69"/>
        <item x="70"/>
        <item x="86"/>
        <item x="71"/>
        <item x="101"/>
        <item x="102"/>
        <item x="74"/>
        <item x="113"/>
        <item x="72"/>
        <item x="87"/>
        <item x="103"/>
        <item x="114"/>
        <item x="75"/>
        <item x="115"/>
        <item x="76"/>
        <item x="88"/>
        <item x="77"/>
        <item x="78"/>
        <item x="79"/>
        <item x="117"/>
        <item x="116"/>
        <item x="90"/>
        <item x="91"/>
        <item x="92"/>
        <item x="93"/>
        <item x="94"/>
        <item x="95"/>
        <item x="96"/>
        <item x="97"/>
        <item x="98"/>
        <item x="99"/>
        <item x="100"/>
        <item x="2"/>
        <item x="3"/>
        <item x="13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16">
        <item x="13"/>
        <item x="14"/>
        <item x="12"/>
        <item x="4"/>
        <item x="10"/>
        <item x="1"/>
        <item x="3"/>
        <item x="9"/>
        <item x="11"/>
        <item x="5"/>
        <item x="6"/>
        <item x="7"/>
        <item x="8"/>
        <item x="15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6">
        <item x="13"/>
        <item x="14"/>
        <item x="12"/>
        <item x="4"/>
        <item x="10"/>
        <item x="1"/>
        <item x="3"/>
        <item x="9"/>
        <item x="11"/>
        <item x="5"/>
        <item x="6"/>
        <item x="7"/>
        <item x="8"/>
        <item x="15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82"/>
        <item x="83"/>
        <item x="45"/>
        <item x="46"/>
        <item x="109"/>
        <item x="47"/>
        <item x="90"/>
        <item x="48"/>
        <item x="84"/>
        <item x="110"/>
        <item x="111"/>
        <item x="112"/>
        <item x="49"/>
        <item x="113"/>
        <item x="114"/>
        <item x="115"/>
        <item x="50"/>
        <item x="51"/>
        <item x="52"/>
        <item x="116"/>
        <item x="117"/>
        <item x="53"/>
        <item x="54"/>
        <item x="55"/>
        <item x="56"/>
        <item x="85"/>
        <item x="57"/>
        <item x="58"/>
        <item x="59"/>
        <item x="60"/>
        <item x="61"/>
        <item x="86"/>
        <item x="62"/>
        <item x="63"/>
        <item x="64"/>
        <item x="65"/>
        <item x="66"/>
        <item x="67"/>
        <item x="68"/>
        <item x="81"/>
        <item x="69"/>
        <item x="74"/>
        <item x="70"/>
        <item x="71"/>
        <item x="87"/>
        <item x="72"/>
        <item x="106"/>
        <item x="107"/>
        <item x="75"/>
        <item x="118"/>
        <item x="73"/>
        <item x="88"/>
        <item x="108"/>
        <item x="119"/>
        <item x="76"/>
        <item x="120"/>
        <item x="77"/>
        <item x="89"/>
        <item x="78"/>
        <item x="79"/>
        <item x="80"/>
        <item x="122"/>
        <item x="121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1">
        <item x="21"/>
        <item x="1"/>
        <item x="2"/>
        <item x="19"/>
        <item x="25"/>
        <item x="3"/>
        <item x="4"/>
        <item x="26"/>
        <item x="27"/>
        <item x="5"/>
        <item x="6"/>
        <item x="8"/>
        <item x="9"/>
        <item x="7"/>
        <item x="10"/>
        <item x="20"/>
        <item x="11"/>
        <item x="12"/>
        <item x="13"/>
        <item x="22"/>
        <item x="23"/>
        <item x="28"/>
        <item x="14"/>
        <item x="24"/>
        <item x="16"/>
        <item x="15"/>
        <item x="17"/>
        <item x="18"/>
        <item x="30"/>
        <item x="2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58">
        <item x="48"/>
        <item x="46"/>
        <item x="290"/>
        <item x="289"/>
        <item x="34"/>
        <item x="20"/>
        <item x="38"/>
        <item x="22"/>
        <item x="33"/>
        <item x="45"/>
        <item x="35"/>
        <item x="24"/>
        <item x="26"/>
        <item x="89"/>
        <item x="61"/>
        <item x="43"/>
        <item x="120"/>
        <item x="226"/>
        <item x="224"/>
        <item x="30"/>
        <item x="21"/>
        <item x="261"/>
        <item x="28"/>
        <item x="122"/>
        <item x="144"/>
        <item x="260"/>
        <item x="81"/>
        <item x="23"/>
        <item x="263"/>
        <item x="153"/>
        <item x="187"/>
        <item x="195"/>
        <item x="317"/>
        <item x="42"/>
        <item x="41"/>
        <item x="259"/>
        <item x="220"/>
        <item x="257"/>
        <item x="51"/>
        <item x="36"/>
        <item x="197"/>
        <item x="185"/>
        <item x="278"/>
        <item x="116"/>
        <item x="338"/>
        <item x="262"/>
        <item x="25"/>
        <item x="59"/>
        <item x="142"/>
        <item x="355"/>
        <item x="294"/>
        <item x="39"/>
        <item x="40"/>
        <item x="211"/>
        <item x="29"/>
        <item x="341"/>
        <item x="44"/>
        <item x="271"/>
        <item x="32"/>
        <item x="274"/>
        <item x="273"/>
        <item x="270"/>
        <item x="170"/>
        <item x="267"/>
        <item x="275"/>
        <item x="268"/>
        <item x="266"/>
        <item x="272"/>
        <item x="269"/>
        <item x="245"/>
        <item x="265"/>
        <item x="249"/>
        <item x="248"/>
        <item x="251"/>
        <item x="247"/>
        <item x="250"/>
        <item x="282"/>
        <item x="280"/>
        <item x="279"/>
        <item x="281"/>
        <item x="4"/>
        <item x="5"/>
        <item x="215"/>
        <item x="71"/>
        <item x="309"/>
        <item x="344"/>
        <item x="302"/>
        <item x="325"/>
        <item x="356"/>
        <item x="236"/>
        <item x="306"/>
        <item x="304"/>
        <item x="311"/>
        <item x="242"/>
        <item x="169"/>
        <item x="345"/>
        <item x="171"/>
        <item x="342"/>
        <item x="216"/>
        <item x="243"/>
        <item x="246"/>
        <item x="298"/>
        <item x="343"/>
        <item x="284"/>
        <item x="351"/>
        <item x="210"/>
        <item x="174"/>
        <item x="214"/>
        <item x="77"/>
        <item x="239"/>
        <item x="346"/>
        <item x="295"/>
        <item x="329"/>
        <item x="132"/>
        <item x="161"/>
        <item x="330"/>
        <item x="191"/>
        <item x="175"/>
        <item x="299"/>
        <item x="287"/>
        <item x="139"/>
        <item x="177"/>
        <item x="327"/>
        <item x="57"/>
        <item x="31"/>
        <item x="296"/>
        <item x="0"/>
        <item x="354"/>
        <item x="276"/>
        <item x="135"/>
        <item x="285"/>
        <item x="55"/>
        <item x="117"/>
        <item x="286"/>
        <item x="2"/>
        <item x="297"/>
        <item x="147"/>
        <item x="104"/>
        <item x="52"/>
        <item x="136"/>
        <item x="207"/>
        <item x="202"/>
        <item x="305"/>
        <item x="288"/>
        <item x="231"/>
        <item x="192"/>
        <item x="54"/>
        <item x="221"/>
        <item x="350"/>
        <item x="235"/>
        <item x="53"/>
        <item x="253"/>
        <item x="283"/>
        <item x="188"/>
        <item x="127"/>
        <item x="300"/>
        <item x="108"/>
        <item x="340"/>
        <item x="193"/>
        <item x="179"/>
        <item x="100"/>
        <item x="131"/>
        <item x="324"/>
        <item x="189"/>
        <item x="134"/>
        <item x="78"/>
        <item x="322"/>
        <item x="66"/>
        <item x="336"/>
        <item x="328"/>
        <item x="86"/>
        <item x="222"/>
        <item x="203"/>
        <item x="332"/>
        <item x="87"/>
        <item x="165"/>
        <item x="244"/>
        <item x="160"/>
        <item x="190"/>
        <item x="82"/>
        <item x="208"/>
        <item x="256"/>
        <item x="95"/>
        <item x="149"/>
        <item x="146"/>
        <item x="349"/>
        <item x="83"/>
        <item x="293"/>
        <item x="347"/>
        <item x="238"/>
        <item x="72"/>
        <item x="151"/>
        <item x="310"/>
        <item x="85"/>
        <item x="109"/>
        <item x="314"/>
        <item x="84"/>
        <item x="155"/>
        <item x="217"/>
        <item x="113"/>
        <item x="316"/>
        <item x="206"/>
        <item x="353"/>
        <item x="110"/>
        <item x="101"/>
        <item x="67"/>
        <item x="141"/>
        <item x="128"/>
        <item x="70"/>
        <item x="103"/>
        <item x="252"/>
        <item x="148"/>
        <item x="326"/>
        <item x="145"/>
        <item x="348"/>
        <item x="118"/>
        <item x="255"/>
        <item x="58"/>
        <item x="233"/>
        <item x="321"/>
        <item x="56"/>
        <item x="205"/>
        <item x="73"/>
        <item x="133"/>
        <item x="318"/>
        <item x="107"/>
        <item x="74"/>
        <item x="166"/>
        <item x="237"/>
        <item x="150"/>
        <item x="96"/>
        <item x="337"/>
        <item x="234"/>
        <item x="312"/>
        <item x="176"/>
        <item x="254"/>
        <item x="111"/>
        <item x="331"/>
        <item x="168"/>
        <item x="184"/>
        <item x="68"/>
        <item x="167"/>
        <item x="69"/>
        <item x="154"/>
        <item x="1"/>
        <item x="223"/>
        <item x="130"/>
        <item x="334"/>
        <item x="264"/>
        <item x="119"/>
        <item x="194"/>
        <item x="124"/>
        <item x="98"/>
        <item x="204"/>
        <item x="64"/>
        <item x="112"/>
        <item x="75"/>
        <item x="178"/>
        <item x="308"/>
        <item x="320"/>
        <item x="229"/>
        <item x="125"/>
        <item x="209"/>
        <item x="319"/>
        <item x="97"/>
        <item x="182"/>
        <item x="137"/>
        <item x="301"/>
        <item x="115"/>
        <item x="313"/>
        <item x="129"/>
        <item x="212"/>
        <item x="339"/>
        <item x="163"/>
        <item x="164"/>
        <item x="240"/>
        <item x="102"/>
        <item x="50"/>
        <item x="99"/>
        <item x="315"/>
        <item x="88"/>
        <item x="152"/>
        <item x="181"/>
        <item x="230"/>
        <item x="200"/>
        <item x="65"/>
        <item x="307"/>
        <item x="3"/>
        <item x="126"/>
        <item x="303"/>
        <item x="232"/>
        <item x="219"/>
        <item x="19"/>
        <item x="162"/>
        <item x="186"/>
        <item x="12"/>
        <item x="93"/>
        <item x="10"/>
        <item x="76"/>
        <item x="213"/>
        <item x="241"/>
        <item x="158"/>
        <item x="105"/>
        <item x="138"/>
        <item x="335"/>
        <item x="62"/>
        <item x="201"/>
        <item x="17"/>
        <item x="80"/>
        <item x="333"/>
        <item x="94"/>
        <item x="143"/>
        <item x="172"/>
        <item x="9"/>
        <item x="121"/>
        <item x="60"/>
        <item x="352"/>
        <item x="63"/>
        <item x="159"/>
        <item x="196"/>
        <item x="228"/>
        <item x="8"/>
        <item x="92"/>
        <item x="157"/>
        <item x="292"/>
        <item x="106"/>
        <item x="227"/>
        <item x="199"/>
        <item x="198"/>
        <item x="258"/>
        <item x="180"/>
        <item x="123"/>
        <item x="6"/>
        <item x="173"/>
        <item x="27"/>
        <item x="7"/>
        <item x="225"/>
        <item x="91"/>
        <item x="323"/>
        <item x="156"/>
        <item x="11"/>
        <item x="291"/>
        <item x="49"/>
        <item x="218"/>
        <item x="114"/>
        <item x="357"/>
        <item x="13"/>
        <item x="277"/>
        <item x="183"/>
        <item x="90"/>
        <item x="37"/>
        <item x="79"/>
        <item x="18"/>
        <item x="16"/>
        <item x="140"/>
        <item x="15"/>
        <item x="14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3"/>
    <field x="2"/>
    <field x="12"/>
    <field x="7"/>
  </rowFields>
  <rowItems count="152">
    <i>
      <x/>
      <x v="3"/>
      <x v="3"/>
      <x/>
    </i>
    <i r="1">
      <x v="32"/>
      <x v="44"/>
      <x/>
    </i>
    <i r="2">
      <x v="45"/>
      <x/>
    </i>
    <i r="2">
      <x v="46"/>
      <x/>
    </i>
    <i r="2">
      <x v="49"/>
      <x/>
    </i>
    <i r="2">
      <x v="50"/>
      <x/>
    </i>
    <i r="2">
      <x v="52"/>
      <x/>
    </i>
    <i r="2">
      <x v="54"/>
      <x/>
    </i>
    <i r="2">
      <x v="55"/>
      <x/>
    </i>
    <i r="2">
      <x v="56"/>
      <x/>
    </i>
    <i r="2">
      <x v="57"/>
      <x/>
    </i>
    <i r="2">
      <x v="58"/>
      <x/>
    </i>
    <i r="2">
      <x v="59"/>
      <x/>
    </i>
    <i r="2">
      <x v="60"/>
      <x/>
    </i>
    <i r="2">
      <x v="61"/>
      <x/>
    </i>
    <i r="2">
      <x v="62"/>
      <x/>
    </i>
    <i r="2">
      <x v="63"/>
      <x/>
    </i>
    <i r="2">
      <x v="64"/>
      <x/>
    </i>
    <i r="2">
      <x v="65"/>
      <x/>
    </i>
    <i r="2">
      <x v="66"/>
      <x/>
    </i>
    <i r="2">
      <x v="71"/>
      <x/>
    </i>
    <i r="2">
      <x v="73"/>
      <x/>
    </i>
    <i r="2">
      <x v="74"/>
      <x/>
    </i>
    <i r="2">
      <x v="75"/>
      <x/>
    </i>
    <i r="2">
      <x v="76"/>
      <x/>
    </i>
    <i r="2">
      <x v="77"/>
      <x/>
    </i>
    <i r="2">
      <x v="78"/>
      <x/>
    </i>
    <i r="2">
      <x v="79"/>
      <x/>
    </i>
    <i r="2">
      <x v="81"/>
      <x/>
    </i>
    <i r="2">
      <x v="82"/>
      <x/>
    </i>
    <i r="2">
      <x v="89"/>
      <x/>
    </i>
    <i r="2">
      <x v="90"/>
      <x/>
    </i>
    <i r="2">
      <x v="91"/>
      <x/>
    </i>
    <i r="2">
      <x v="92"/>
      <x/>
    </i>
    <i r="2">
      <x v="94"/>
      <x/>
    </i>
    <i r="2">
      <x v="97"/>
      <x/>
    </i>
    <i r="2">
      <x v="98"/>
      <x/>
    </i>
    <i r="2">
      <x v="99"/>
      <x/>
    </i>
    <i r="2">
      <x v="100"/>
      <x/>
    </i>
    <i r="2">
      <x v="104"/>
      <x/>
    </i>
    <i r="2">
      <x v="105"/>
      <x/>
    </i>
    <i r="2">
      <x v="107"/>
      <x/>
    </i>
    <i r="1">
      <x v="33"/>
      <x v="106"/>
      <x/>
    </i>
    <i r="1">
      <x v="34"/>
      <x v="44"/>
      <x/>
    </i>
    <i r="2">
      <x v="45"/>
      <x/>
    </i>
    <i r="2">
      <x v="46"/>
      <x/>
    </i>
    <i r="2">
      <x v="47"/>
      <x/>
    </i>
    <i r="2">
      <x v="48"/>
      <x/>
    </i>
    <i r="2">
      <x v="50"/>
      <x/>
    </i>
    <i r="2">
      <x v="51"/>
      <x/>
    </i>
    <i r="2">
      <x v="52"/>
      <x/>
    </i>
    <i r="2">
      <x v="53"/>
      <x/>
    </i>
    <i r="2">
      <x v="57"/>
      <x/>
    </i>
    <i r="2">
      <x v="61"/>
      <x/>
    </i>
    <i r="2">
      <x v="62"/>
      <x/>
    </i>
    <i r="2">
      <x v="63"/>
      <x/>
    </i>
    <i r="2">
      <x v="66"/>
      <x/>
    </i>
    <i r="2">
      <x v="67"/>
      <x/>
    </i>
    <i r="2">
      <x v="68"/>
      <x/>
    </i>
    <i r="2">
      <x v="69"/>
      <x/>
    </i>
    <i r="2">
      <x v="70"/>
      <x/>
    </i>
    <i r="2">
      <x v="71"/>
      <x/>
    </i>
    <i r="2">
      <x v="72"/>
      <x/>
    </i>
    <i r="2">
      <x v="73"/>
      <x/>
    </i>
    <i r="2">
      <x v="74"/>
      <x/>
    </i>
    <i r="2">
      <x v="75"/>
      <x/>
    </i>
    <i r="2">
      <x v="76"/>
      <x/>
    </i>
    <i r="2">
      <x v="77"/>
      <x/>
    </i>
    <i r="2">
      <x v="78"/>
      <x/>
    </i>
    <i r="2">
      <x v="79"/>
      <x/>
    </i>
    <i r="2">
      <x v="80"/>
      <x/>
    </i>
    <i r="2">
      <x v="81"/>
      <x/>
    </i>
    <i r="2">
      <x v="82"/>
      <x/>
    </i>
    <i r="2">
      <x v="83"/>
      <x/>
    </i>
    <i r="2">
      <x v="84"/>
      <x/>
    </i>
    <i r="2">
      <x v="85"/>
      <x/>
    </i>
    <i r="2">
      <x v="86"/>
      <x/>
    </i>
    <i r="2">
      <x v="87"/>
      <x/>
    </i>
    <i r="2">
      <x v="88"/>
      <x/>
    </i>
    <i r="2">
      <x v="89"/>
      <x/>
    </i>
    <i r="2">
      <x v="90"/>
      <x/>
    </i>
    <i r="2">
      <x v="93"/>
      <x/>
    </i>
    <i r="2">
      <x v="95"/>
      <x/>
    </i>
    <i r="2">
      <x v="96"/>
      <x/>
    </i>
    <i r="2">
      <x v="99"/>
      <x/>
    </i>
    <i r="2">
      <x v="101"/>
      <x/>
    </i>
    <i r="2">
      <x v="102"/>
      <x/>
    </i>
    <i r="2">
      <x v="103"/>
      <x/>
    </i>
    <i r="2">
      <x v="104"/>
      <x/>
    </i>
    <i r="2">
      <x v="105"/>
      <x/>
    </i>
    <i r="1">
      <x v="37"/>
      <x v="110"/>
      <x/>
    </i>
    <i r="2">
      <x v="111"/>
      <x/>
    </i>
    <i r="2">
      <x v="112"/>
      <x/>
    </i>
    <i r="1">
      <x v="38"/>
      <x v="113"/>
      <x/>
    </i>
    <i r="2">
      <x v="114"/>
      <x/>
    </i>
    <i r="2">
      <x v="115"/>
      <x/>
    </i>
    <i r="1">
      <x v="40"/>
      <x v="118"/>
      <x/>
    </i>
    <i r="1">
      <x v="42"/>
      <x v="119"/>
      <x/>
    </i>
    <i>
      <x v="1"/>
      <x/>
      <x/>
      <x/>
    </i>
    <i r="1">
      <x v="8"/>
      <x v="11"/>
      <x/>
    </i>
    <i r="1">
      <x v="9"/>
      <x v="12"/>
      <x v="3"/>
    </i>
    <i r="1">
      <x v="10"/>
      <x v="13"/>
      <x v="2"/>
    </i>
    <i r="1">
      <x v="25"/>
      <x v="32"/>
      <x/>
    </i>
    <i r="2">
      <x v="33"/>
      <x/>
    </i>
    <i r="1">
      <x v="29"/>
      <x v="39"/>
      <x/>
    </i>
    <i r="1">
      <x v="31"/>
      <x v="41"/>
      <x/>
    </i>
    <i r="1">
      <x v="35"/>
      <x v="108"/>
      <x/>
    </i>
    <i r="1">
      <x v="39"/>
      <x v="116"/>
      <x/>
    </i>
    <i r="1">
      <x v="41"/>
      <x v="117"/>
      <x v="3"/>
    </i>
    <i r="1">
      <x v="43"/>
      <x v="120"/>
      <x v="2"/>
    </i>
    <i r="2">
      <x v="121"/>
      <x v="2"/>
    </i>
    <i r="1">
      <x v="44"/>
      <x v="122"/>
      <x v="4"/>
    </i>
    <i r="1">
      <x v="45"/>
      <x v="42"/>
      <x/>
    </i>
    <i r="2">
      <x v="43"/>
      <x/>
    </i>
    <i>
      <x v="2"/>
      <x v="1"/>
      <x v="1"/>
      <x/>
    </i>
    <i r="1">
      <x v="4"/>
      <x v="4"/>
      <x/>
    </i>
    <i r="1">
      <x v="5"/>
      <x v="5"/>
      <x/>
    </i>
    <i r="1">
      <x v="6"/>
      <x v="6"/>
      <x/>
    </i>
    <i r="2">
      <x v="7"/>
      <x/>
    </i>
    <i r="2">
      <x v="8"/>
      <x/>
    </i>
    <i r="2">
      <x v="9"/>
      <x/>
    </i>
    <i r="1">
      <x v="7"/>
      <x v="10"/>
      <x/>
    </i>
    <i r="1">
      <x v="11"/>
      <x v="14"/>
      <x/>
    </i>
    <i r="1">
      <x v="12"/>
      <x v="15"/>
      <x/>
    </i>
    <i r="1">
      <x v="13"/>
      <x v="16"/>
      <x/>
    </i>
    <i r="1">
      <x v="14"/>
      <x v="17"/>
      <x/>
    </i>
    <i r="1">
      <x v="15"/>
      <x v="18"/>
      <x/>
    </i>
    <i r="1">
      <x v="16"/>
      <x v="19"/>
      <x/>
    </i>
    <i r="1">
      <x v="17"/>
      <x v="20"/>
      <x/>
    </i>
    <i r="1">
      <x v="18"/>
      <x v="21"/>
      <x/>
    </i>
    <i r="1">
      <x v="19"/>
      <x v="22"/>
      <x/>
    </i>
    <i r="2">
      <x v="23"/>
      <x/>
    </i>
    <i r="1">
      <x v="20"/>
      <x v="24"/>
      <x/>
    </i>
    <i r="2">
      <x v="25"/>
      <x/>
    </i>
    <i r="1">
      <x v="22"/>
      <x v="28"/>
      <x/>
    </i>
    <i r="1">
      <x v="23"/>
      <x v="29"/>
      <x/>
    </i>
    <i r="1">
      <x v="24"/>
      <x v="30"/>
      <x/>
    </i>
    <i r="2">
      <x v="31"/>
      <x/>
    </i>
    <i r="1">
      <x v="26"/>
      <x v="34"/>
      <x/>
    </i>
    <i r="2">
      <x v="35"/>
      <x/>
    </i>
    <i r="1">
      <x v="27"/>
      <x v="36"/>
      <x/>
    </i>
    <i r="2">
      <x v="37"/>
      <x/>
    </i>
    <i r="1">
      <x v="28"/>
      <x v="38"/>
      <x/>
    </i>
    <i r="1">
      <x v="30"/>
      <x v="40"/>
      <x/>
    </i>
    <i r="1">
      <x v="36"/>
      <x v="109"/>
      <x/>
    </i>
    <i>
      <x v="3"/>
      <x v="2"/>
      <x v="2"/>
      <x v="1"/>
    </i>
    <i r="3">
      <x v="2"/>
    </i>
    <i r="1">
      <x v="21"/>
      <x v="26"/>
      <x v="1"/>
    </i>
    <i r="3">
      <x v="2"/>
    </i>
    <i r="3">
      <x v="4"/>
    </i>
    <i r="2">
      <x v="27"/>
      <x v="1"/>
    </i>
    <i r="3">
      <x v="4"/>
    </i>
  </rowItems>
  <colFields count="1">
    <field x="10"/>
  </colFields>
  <colItems count="3">
    <i>
      <x/>
    </i>
    <i>
      <x v="1"/>
    </i>
    <i t="grand">
      <x/>
    </i>
  </colItems>
  <pageFields count="1">
    <pageField fld="9" hier="-1"/>
  </pageFields>
  <dataFields count="1">
    <dataField name="Balance" fld="14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</extLst>
</pivotTableDefinition>
</file>

<file path=xl/tables/table1.xml><?xml version="1.0" encoding="utf-8"?>
<table xmlns="http://schemas.openxmlformats.org/spreadsheetml/2006/main" id="2" name="HFM_Acct_OCF_Activity" displayName="HFM_Acct_OCF_Activity" ref="A1:C401" totalsRowShown="0">
  <autoFilter ref="A1:C401"/>
  <tableColumns count="3">
    <tableColumn id="1" name="HFM Account" dataDxfId="63"/>
    <tableColumn id="2" name="Description" dataDxfId="62"/>
    <tableColumn id="3" name="OCF Activity" dataDxfId="6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3" name="BNS_Profit_Centers" displayName="BNS_Profit_Centers" ref="A1:B24" totalsRowShown="0" headerRowDxfId="60">
  <autoFilter ref="A1:B24"/>
  <tableColumns count="2">
    <tableColumn id="1" name="Profit Center" dataDxfId="59"/>
    <tableColumn id="2" name="BNS / TE" dataDxfId="58">
      <calculatedColumnFormula>admin_BNS_profit_center_flag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" name="GL_Acct_to_Clearing_Acct" displayName="GL_Acct_to_Clearing_Acct" ref="A1:B155" totalsRowShown="0" headerRowDxfId="57">
  <autoFilter ref="A1:B155"/>
  <tableColumns count="2">
    <tableColumn id="1" name="GL_Account"/>
    <tableColumn id="2" name="Clearing Acct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54" name="HFM_Acct_to_CC" displayName="HFM_Acct_to_CC" ref="A1:B13" totalsRowShown="0" headerRowDxfId="56">
  <autoFilter ref="A1:B13"/>
  <tableColumns count="2">
    <tableColumn id="1" name="HFM Account" dataDxfId="55"/>
    <tableColumn id="2" name="Cost Center" dataDxfId="5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8" name="OCF_Activity_Template_Table" displayName="OCF_Activity_Template_Table" ref="A1:P153" totalsRowShown="0" headerRowDxfId="51" headerRowBorderDxfId="50">
  <autoFilter ref="A1:P153"/>
  <tableColumns count="16">
    <tableColumn id="1" name="OCF_Activity" dataDxfId="49"/>
    <tableColumn id="2" name="HFM_Account" dataDxfId="48"/>
    <tableColumn id="3" name="GL_Other"/>
    <tableColumn id="4" name="GL_Account_Description">
      <calculatedColumnFormula>INDEX(Modded_AMF_Table[#All], MATCH($C2,Modded_AMF_Table[[#All],[GL_Other]],0), MATCH("GL_AcctDesc",Modded_AMF_Table[#Headers],0))</calculatedColumnFormula>
    </tableColumn>
    <tableColumn id="5" name="Trading_Partner"/>
    <tableColumn id="6" name="TE &amp; BNS Balance" dataDxfId="47">
      <calculatedColumnFormula array="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calculatedColumnFormula>
    </tableColumn>
    <tableColumn id="7" name="TE" dataDxfId="46">
      <calculatedColumnFormula array="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calculatedColumnFormula>
    </tableColumn>
    <tableColumn id="8" name="BNS" dataDxfId="45">
      <calculatedColumnFormula array="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calculatedColumnFormula>
    </tableColumn>
    <tableColumn id="9" name="BNS PRE-Close Income - TE" dataDxfId="44">
      <calculatedColumnFormula array="1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calculatedColumnFormula>
    </tableColumn>
    <tableColumn id="10" name="CS-Owned BNS Balance" dataDxfId="43">
      <calculatedColumnFormula>OCF_Activity_Template_Table[[#This Row],[BNS]]-OCF_Activity_Template_Table[[#This Row],[BNS PRE-Close Income - TE]]</calculatedColumnFormula>
    </tableColumn>
    <tableColumn id="11" name="Contra-BNS PC" dataDxfId="42"/>
    <tableColumn id="12" name="Is Clearing Acct?" dataDxfId="41">
      <calculatedColumnFormula>IFERROR(VLOOKUP(OCF_Activity_Template_Table[[#This Row],[GL_Other]],GL_Acct_to_Clearing_Acct[Clearing Acct],1,FALSE)=OCF_Activity_Template_Table[[#This Row],[GL_Other]],FALSE)</calculatedColumnFormula>
    </tableColumn>
    <tableColumn id="13" name="Has Clearing Acct?" dataDxfId="40">
      <calculatedColumnFormula>NOT(ISERROR(VLOOKUP(OCF_Activity_Template_Table[[#This Row],[GL_Other]],GL_Acct_to_Clearing_Acct[#All],2,FALSE)))</calculatedColumnFormula>
    </tableColumn>
    <tableColumn id="14" name="Clearing Acct Balance" dataDxfId="39"/>
    <tableColumn id="15" name="Total BNS Balance" dataDxfId="38"/>
    <tableColumn id="16" name="BNS Amount to Clear" dataDxfId="37">
      <calculatedColumnFormula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9" name="Clearing_JE_Table" displayName="Clearing_JE_Table" ref="S1:AA153" totalsRowShown="0" headerRowDxfId="36">
  <autoFilter ref="S1:AA153"/>
  <tableColumns count="9">
    <tableColumn id="1" name="Doc Date" dataDxfId="35">
      <calculatedColumnFormula>'Input &amp; Assumptions'!$C$11</calculatedColumnFormula>
    </tableColumn>
    <tableColumn id="2" name="Posting Date" dataDxfId="34">
      <calculatedColumnFormula>'Input &amp; Assumptions'!$C$12</calculatedColumnFormula>
    </tableColumn>
    <tableColumn id="3" name="PK" dataDxfId="33">
      <calculatedColumnFormula>IF(OCF_Activity_Template_Table[[#This Row],[BNS Amount to Clear]]&gt;=0,"40","50")</calculatedColumnFormula>
    </tableColumn>
    <tableColumn id="4" name="Account" dataDxfId="32">
      <calculatedColumnFormula>IF(NOT(ISERROR(VLOOKUP(OCF_Activity_Template_Table[[#This Row],[GL_Other]],GL_Acct_to_Clearing_Acct[],2,FALSE))),VLOOKUP(OCF_Activity_Template_Table[[#This Row],[GL_Other]],GL_Acct_to_Clearing_Acct[],2,FALSE),OCF_Activity_Template_Table[[#This Row],[GL_Other]])</calculatedColumnFormula>
    </tableColumn>
    <tableColumn id="5" name="PC"/>
    <tableColumn id="6" name="CC" dataDxfId="31">
      <calculatedColumnFormula>IFERROR(VLOOKUP(OCF_Activity_Template_Table[[#This Row],[HFM_Account]],HFM_Acct_to_CC[#All],2,FALSE),"")</calculatedColumnFormula>
    </tableColumn>
    <tableColumn id="7" name="Trad Ptr" dataDxfId="30">
      <calculatedColumnFormula>IF(OCF_Activity_Template_Table[[#This Row],[Trading_Partner]]="","",OCF_Activity_Template_Table[[#This Row],[Trading_Partner]])</calculatedColumnFormula>
    </tableColumn>
    <tableColumn id="8" name="Amount" dataDxfId="29">
      <calculatedColumnFormula>ROUND(ABS(OCF_Activity_Template_Table[[#This Row],[BNS Amount to Clear]]),2)</calculatedColumnFormula>
    </tableColumn>
    <tableColumn id="9" name="Text" dataDxfId="28">
      <calculatedColumnFormula>"Clear BNS activity from "&amp;OCF_Activity_Template_Table[[#This Row],[GL_Other]]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Pre_Close_BNS_Income" displayName="Pre_Close_BNS_Income" ref="A1:G105" totalsRowShown="0" headerRowDxfId="27" headerRowBorderDxfId="26">
  <autoFilter ref="A1:G105"/>
  <tableColumns count="7">
    <tableColumn id="1" name="OCF_Activity" dataDxfId="25"/>
    <tableColumn id="2" name="HFM_Account" dataDxfId="24"/>
    <tableColumn id="3" name="GL_Other"/>
    <tableColumn id="4" name="Trading_Partner"/>
    <tableColumn id="5" name="TE" dataDxfId="23"/>
    <tableColumn id="6" name="BNS" dataDxfId="22"/>
    <tableColumn id="7" name="TE &amp; BNS Balance" dataDxfId="2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4" name="Pre_Close_AMF_Table" displayName="Pre_Close_AMF_Table" ref="A6:O350" totalsRowShown="0" headerRowDxfId="20" headerRowBorderDxfId="19" tableBorderDxfId="18">
  <autoFilter ref="A6:O350"/>
  <tableColumns count="15">
    <tableColumn id="1" name="GL_Account"/>
    <tableColumn id="2" name="GL_AcctDesc"/>
    <tableColumn id="3" name="HFM_Account"/>
    <tableColumn id="13" name="OCF_Activity" dataDxfId="17">
      <calculatedColumnFormula>VLOOKUP(Pre_Close_AMF_Table[[#This Row],[HFM_Account]],HFM_Acct_OCF_Activity[],3,FALSE)</calculatedColumnFormula>
    </tableColumn>
    <tableColumn id="4" name="GL_Entity"/>
    <tableColumn id="5" name="HFM_Entity"/>
    <tableColumn id="6" name="GL_ICP"/>
    <tableColumn id="14" name="Trading_Partner" dataDxfId="16">
      <calculatedColumnFormula>IF(NOT(ISERROR(FIND("NoICP",Pre_Close_AMF_Table[[#This Row],[GL_ICP]]))),"",Pre_Close_AMF_Table[[#This Row],[GL_ICP]])</calculatedColumnFormula>
    </tableColumn>
    <tableColumn id="7" name="HFM_ICP"/>
    <tableColumn id="8" name="GL_PC"/>
    <tableColumn id="15" name="TE / BNS PC" dataDxfId="15">
      <calculatedColumnFormula>IFERROR(VLOOKUP(VALUE(Pre_Close_AMF_Table[[#This Row],[GL_PC]]),BNS_Profit_Centers[],2,FALSE),"TE")</calculatedColumnFormula>
    </tableColumn>
    <tableColumn id="9" name="HFM_PC"/>
    <tableColumn id="10" name="GL_Other"/>
    <tableColumn id="11" name="HFM_Other"/>
    <tableColumn id="12" name="Amount" dataDxfId="14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7" name="Modded_AMF_Pivot_Accounts" displayName="Modded_AMF_Pivot_Accounts" ref="A1:G153" totalsRowShown="0" headerRowDxfId="13" headerRowBorderDxfId="12">
  <autoFilter ref="A1:G153"/>
  <tableColumns count="7">
    <tableColumn id="1" name="OCF_Activity" dataDxfId="11"/>
    <tableColumn id="2" name="HFM_Account" dataDxfId="10"/>
    <tableColumn id="3" name="GL_Other"/>
    <tableColumn id="4" name="Trading_Partner"/>
    <tableColumn id="5" name="TE" dataDxfId="9"/>
    <tableColumn id="6" name="BNS" dataDxfId="8"/>
    <tableColumn id="7" name="TE &amp; BNS Balance" dataDxfId="7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6" name="Modded_AMF_Table" displayName="Modded_AMF_Table" ref="A6:O376" totalsRowShown="0" headerRowDxfId="6" headerRowBorderDxfId="5" tableBorderDxfId="4">
  <autoFilter ref="A6:O376"/>
  <tableColumns count="15">
    <tableColumn id="1" name="GL_Account"/>
    <tableColumn id="2" name="GL_AcctDesc"/>
    <tableColumn id="3" name="HFM_Account"/>
    <tableColumn id="13" name="OCF_Activity" dataDxfId="3">
      <calculatedColumnFormula>VLOOKUP(Modded_AMF_Table[[#This Row],[HFM_Account]],HFM_Acct_OCF_Activity[],3,FALSE)</calculatedColumnFormula>
    </tableColumn>
    <tableColumn id="4" name="GL_Entity"/>
    <tableColumn id="5" name="HFM_Entity"/>
    <tableColumn id="6" name="GL_ICP"/>
    <tableColumn id="14" name="Trading_Partner" dataDxfId="2">
      <calculatedColumnFormula>IF(NOT(ISERROR(FIND("NoICP",Modded_AMF_Table[[#This Row],[GL_ICP]]))),"",Modded_AMF_Table[[#This Row],[GL_ICP]])</calculatedColumnFormula>
    </tableColumn>
    <tableColumn id="7" name="HFM_ICP"/>
    <tableColumn id="8" name="GL_PC"/>
    <tableColumn id="15" name="TE / BNS PC" dataDxfId="1">
      <calculatedColumnFormula>IFERROR(VLOOKUP(VALUE(Modded_AMF_Table[[#This Row],[GL_PC]]),BNS_Profit_Centers[],2,FALSE),"TE")</calculatedColumnFormula>
    </tableColumn>
    <tableColumn id="9" name="HFM_PC"/>
    <tableColumn id="10" name="GL_Other"/>
    <tableColumn id="11" name="HFM_Other"/>
    <tableColumn id="12" name="Amount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0000"/>
  </sheetPr>
  <dimension ref="B2:F21"/>
  <sheetViews>
    <sheetView showGridLines="0" zoomScale="85" zoomScaleNormal="85" workbookViewId="0">
      <selection activeCell="C6" sqref="C6"/>
    </sheetView>
  </sheetViews>
  <sheetFormatPr defaultColWidth="9.140625" defaultRowHeight="15" x14ac:dyDescent="0.25"/>
  <cols>
    <col min="2" max="2" width="26.5703125" bestFit="1" customWidth="1"/>
    <col min="3" max="3" width="24.28515625" bestFit="1" customWidth="1"/>
    <col min="4" max="4" width="81.28515625" bestFit="1" customWidth="1"/>
    <col min="5" max="5" width="74.7109375" bestFit="1" customWidth="1"/>
    <col min="6" max="6" width="12.5703125" bestFit="1" customWidth="1"/>
  </cols>
  <sheetData>
    <row r="2" spans="2:6" x14ac:dyDescent="0.25">
      <c r="B2" s="62" t="s">
        <v>849</v>
      </c>
      <c r="C2" s="62"/>
    </row>
    <row r="3" spans="2:6" x14ac:dyDescent="0.25">
      <c r="B3" t="s">
        <v>858</v>
      </c>
      <c r="C3" s="28">
        <v>42036</v>
      </c>
      <c r="D3" t="s">
        <v>860</v>
      </c>
    </row>
    <row r="4" spans="2:6" x14ac:dyDescent="0.25">
      <c r="B4" t="s">
        <v>850</v>
      </c>
      <c r="C4" s="23" t="s">
        <v>1150</v>
      </c>
      <c r="D4" t="s">
        <v>859</v>
      </c>
    </row>
    <row r="5" spans="2:6" x14ac:dyDescent="0.25">
      <c r="B5" t="s">
        <v>851</v>
      </c>
      <c r="C5" s="23" t="s">
        <v>1190</v>
      </c>
      <c r="D5" t="s">
        <v>859</v>
      </c>
    </row>
    <row r="6" spans="2:6" x14ac:dyDescent="0.25">
      <c r="B6" t="s">
        <v>1140</v>
      </c>
      <c r="C6" s="42">
        <v>1.4</v>
      </c>
    </row>
    <row r="7" spans="2:6" x14ac:dyDescent="0.25">
      <c r="B7" t="s">
        <v>1143</v>
      </c>
      <c r="C7" s="23" t="s">
        <v>803</v>
      </c>
      <c r="D7" s="39"/>
    </row>
    <row r="9" spans="2:6" x14ac:dyDescent="0.25">
      <c r="B9" t="s">
        <v>861</v>
      </c>
      <c r="C9" t="b">
        <f>OR($A2="Direct",$A2="Exclude")</f>
        <v>0</v>
      </c>
    </row>
    <row r="16" spans="2:6" x14ac:dyDescent="0.25">
      <c r="B16" s="63" t="s">
        <v>833</v>
      </c>
      <c r="C16" s="63"/>
      <c r="D16" s="63"/>
      <c r="E16" s="63"/>
      <c r="F16" s="63"/>
    </row>
    <row r="17" spans="2:6" x14ac:dyDescent="0.25">
      <c r="B17" s="16" t="s">
        <v>828</v>
      </c>
      <c r="C17" s="16" t="s">
        <v>821</v>
      </c>
      <c r="D17" s="16" t="s">
        <v>287</v>
      </c>
      <c r="E17" s="19" t="s">
        <v>826</v>
      </c>
      <c r="F17" s="16" t="s">
        <v>822</v>
      </c>
    </row>
    <row r="18" spans="2:6" x14ac:dyDescent="0.25">
      <c r="B18" s="17" t="s">
        <v>820</v>
      </c>
      <c r="C18" t="s">
        <v>829</v>
      </c>
      <c r="D18" t="s">
        <v>827</v>
      </c>
      <c r="E18" t="s">
        <v>823</v>
      </c>
      <c r="F18" s="15">
        <v>42213</v>
      </c>
    </row>
    <row r="19" spans="2:6" x14ac:dyDescent="0.25">
      <c r="B19" s="17" t="s">
        <v>830</v>
      </c>
      <c r="C19" t="s">
        <v>831</v>
      </c>
      <c r="D19" t="s">
        <v>832</v>
      </c>
      <c r="E19" t="s">
        <v>846</v>
      </c>
      <c r="F19" s="15">
        <v>42213</v>
      </c>
    </row>
    <row r="20" spans="2:6" x14ac:dyDescent="0.25">
      <c r="B20" s="17" t="s">
        <v>1182</v>
      </c>
      <c r="C20" t="s">
        <v>1184</v>
      </c>
      <c r="D20" t="s">
        <v>1186</v>
      </c>
      <c r="F20" s="15">
        <v>42213</v>
      </c>
    </row>
    <row r="21" spans="2:6" x14ac:dyDescent="0.25">
      <c r="B21" s="17" t="s">
        <v>1183</v>
      </c>
      <c r="C21" t="s">
        <v>1185</v>
      </c>
      <c r="D21" t="s">
        <v>1188</v>
      </c>
      <c r="E21" t="s">
        <v>1189</v>
      </c>
      <c r="F21" t="s">
        <v>1187</v>
      </c>
    </row>
  </sheetData>
  <protectedRanges>
    <protectedRange sqref="C7" name="UserInputs"/>
  </protectedRanges>
  <mergeCells count="2">
    <mergeCell ref="B2:C2"/>
    <mergeCell ref="B16:F16"/>
  </mergeCells>
  <hyperlinks>
    <hyperlink ref="B19" location="'BNS Profit Centers'!A1" display="BNS Profit Centers"/>
    <hyperlink ref="B18" location="'HFM Acct - OCF Activity'!A1" display="HFM Acct - OCF Activity"/>
    <hyperlink ref="B20" location="'GL Acct - Clearing'!A1" display="GL Acct - Clearing"/>
    <hyperlink ref="B21" location="'Cost Centers'!A1" display="Cost Centers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/>
  </sheetPr>
  <dimension ref="B9:E16"/>
  <sheetViews>
    <sheetView showGridLines="0" tabSelected="1" zoomScale="85" zoomScaleNormal="85" workbookViewId="0">
      <selection activeCell="B10" sqref="B10"/>
    </sheetView>
  </sheetViews>
  <sheetFormatPr defaultColWidth="9.140625" defaultRowHeight="15" x14ac:dyDescent="0.25"/>
  <cols>
    <col min="1" max="1" width="3.5703125" customWidth="1"/>
    <col min="2" max="2" width="36.28515625" bestFit="1" customWidth="1"/>
    <col min="3" max="3" width="22.42578125" bestFit="1" customWidth="1"/>
    <col min="4" max="4" width="31.85546875" customWidth="1"/>
    <col min="5" max="5" width="26.7109375" customWidth="1"/>
    <col min="6" max="6" width="12.5703125" customWidth="1"/>
    <col min="7" max="7" width="16.7109375" customWidth="1"/>
    <col min="8" max="8" width="10.7109375" bestFit="1" customWidth="1"/>
    <col min="10" max="10" width="21.85546875" bestFit="1" customWidth="1"/>
    <col min="11" max="11" width="21.85546875" customWidth="1"/>
    <col min="12" max="12" width="63.140625" bestFit="1" customWidth="1"/>
    <col min="13" max="13" width="72.140625" bestFit="1" customWidth="1"/>
    <col min="14" max="14" width="12.5703125" bestFit="1" customWidth="1"/>
  </cols>
  <sheetData>
    <row r="9" spans="2:5" ht="15.75" x14ac:dyDescent="0.25">
      <c r="B9" s="64" t="s">
        <v>848</v>
      </c>
      <c r="C9" s="64"/>
      <c r="E9" s="41" t="s">
        <v>1181</v>
      </c>
    </row>
    <row r="10" spans="2:5" x14ac:dyDescent="0.25">
      <c r="B10" s="30" t="s">
        <v>862</v>
      </c>
      <c r="C10" s="37" t="s">
        <v>864</v>
      </c>
    </row>
    <row r="11" spans="2:5" x14ac:dyDescent="0.25">
      <c r="B11" s="35" t="s">
        <v>838</v>
      </c>
      <c r="C11" s="36">
        <v>42215</v>
      </c>
    </row>
    <row r="12" spans="2:5" x14ac:dyDescent="0.25">
      <c r="B12" s="31" t="s">
        <v>839</v>
      </c>
      <c r="C12" s="32">
        <v>42215</v>
      </c>
    </row>
    <row r="13" spans="2:5" x14ac:dyDescent="0.25">
      <c r="B13" s="31" t="s">
        <v>844</v>
      </c>
      <c r="C13" s="34">
        <v>366</v>
      </c>
    </row>
    <row r="14" spans="2:5" x14ac:dyDescent="0.25">
      <c r="B14" s="31" t="s">
        <v>845</v>
      </c>
      <c r="C14" s="34">
        <v>2340100</v>
      </c>
    </row>
    <row r="15" spans="2:5" x14ac:dyDescent="0.25">
      <c r="B15" s="31" t="s">
        <v>847</v>
      </c>
      <c r="C15" s="34">
        <v>997</v>
      </c>
    </row>
    <row r="16" spans="2:5" x14ac:dyDescent="0.25">
      <c r="E16" s="25"/>
    </row>
  </sheetData>
  <sheetProtection password="CE78" sheet="1" objects="1" scenarios="1"/>
  <protectedRanges>
    <protectedRange sqref="C10:C15" name="UserInputs"/>
  </protectedRanges>
  <mergeCells count="1">
    <mergeCell ref="B9:C9"/>
  </mergeCells>
  <dataValidations count="1">
    <dataValidation type="list" allowBlank="1" showInputMessage="1" showErrorMessage="1" errorTitle="ERP Selection Error" error="Please select a valid ERP system from the drop-down list" promptTitle="Please select your ERP system" sqref="C10">
      <formula1>ERP_list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"/>
  <sheetViews>
    <sheetView zoomScale="85" zoomScaleNormal="85" workbookViewId="0">
      <selection activeCell="D26" sqref="D26"/>
    </sheetView>
  </sheetViews>
  <sheetFormatPr defaultColWidth="9.140625" defaultRowHeight="15" x14ac:dyDescent="0.25"/>
  <cols>
    <col min="1" max="1" width="21.85546875" bestFit="1" customWidth="1"/>
    <col min="2" max="2" width="25.5703125" bestFit="1" customWidth="1"/>
    <col min="3" max="3" width="25.5703125" customWidth="1"/>
    <col min="4" max="4" width="153.140625" customWidth="1"/>
    <col min="11" max="11" width="32.42578125" bestFit="1" customWidth="1"/>
    <col min="12" max="12" width="53.28515625" customWidth="1"/>
  </cols>
  <sheetData>
    <row r="1" spans="1:12" x14ac:dyDescent="0.25">
      <c r="A1" s="16" t="s">
        <v>840</v>
      </c>
      <c r="B1" s="16" t="s">
        <v>817</v>
      </c>
      <c r="C1" s="16" t="s">
        <v>819</v>
      </c>
      <c r="D1" s="16" t="s">
        <v>287</v>
      </c>
    </row>
    <row r="2" spans="1:12" x14ac:dyDescent="0.25">
      <c r="A2" s="21" t="s">
        <v>820</v>
      </c>
      <c r="B2" s="21" t="s">
        <v>12</v>
      </c>
      <c r="C2" s="22" t="s">
        <v>824</v>
      </c>
      <c r="D2" s="12" t="s">
        <v>806</v>
      </c>
      <c r="K2" s="10" t="s">
        <v>817</v>
      </c>
      <c r="L2" s="10" t="s">
        <v>287</v>
      </c>
    </row>
    <row r="3" spans="1:12" ht="60" x14ac:dyDescent="0.25">
      <c r="A3" s="21" t="s">
        <v>820</v>
      </c>
      <c r="B3" s="21" t="s">
        <v>12</v>
      </c>
      <c r="C3" s="22" t="s">
        <v>83</v>
      </c>
      <c r="D3" s="12" t="s">
        <v>805</v>
      </c>
      <c r="K3" s="14" t="s">
        <v>816</v>
      </c>
      <c r="L3" s="12" t="s">
        <v>836</v>
      </c>
    </row>
    <row r="4" spans="1:12" x14ac:dyDescent="0.25">
      <c r="A4" s="21" t="s">
        <v>820</v>
      </c>
      <c r="B4" s="21" t="s">
        <v>12</v>
      </c>
      <c r="C4" s="22" t="s">
        <v>310</v>
      </c>
      <c r="D4" s="12" t="s">
        <v>807</v>
      </c>
      <c r="K4" t="s">
        <v>834</v>
      </c>
      <c r="L4" t="s">
        <v>835</v>
      </c>
    </row>
    <row r="5" spans="1:12" ht="30" x14ac:dyDescent="0.25">
      <c r="A5" s="21" t="s">
        <v>820</v>
      </c>
      <c r="B5" s="21" t="s">
        <v>12</v>
      </c>
      <c r="C5" s="22" t="s">
        <v>46</v>
      </c>
      <c r="D5" s="12" t="s">
        <v>808</v>
      </c>
    </row>
    <row r="6" spans="1:12" x14ac:dyDescent="0.25">
      <c r="A6" s="21" t="s">
        <v>820</v>
      </c>
      <c r="B6" s="21" t="s">
        <v>12</v>
      </c>
      <c r="C6" s="22" t="s">
        <v>804</v>
      </c>
      <c r="D6" s="12" t="s">
        <v>809</v>
      </c>
    </row>
    <row r="7" spans="1:12" x14ac:dyDescent="0.25">
      <c r="A7" s="21" t="s">
        <v>820</v>
      </c>
      <c r="B7" s="21" t="s">
        <v>12</v>
      </c>
      <c r="C7" s="22" t="s">
        <v>810</v>
      </c>
      <c r="D7" s="12" t="s">
        <v>811</v>
      </c>
    </row>
    <row r="8" spans="1:12" x14ac:dyDescent="0.25">
      <c r="A8" s="21" t="s">
        <v>841</v>
      </c>
      <c r="B8" s="22" t="s">
        <v>837</v>
      </c>
      <c r="C8" s="22"/>
      <c r="D8" s="12" t="s">
        <v>842</v>
      </c>
    </row>
    <row r="9" spans="1:12" x14ac:dyDescent="0.25">
      <c r="A9" s="21" t="s">
        <v>841</v>
      </c>
      <c r="B9" s="22" t="s">
        <v>834</v>
      </c>
      <c r="C9" s="22"/>
      <c r="D9" t="s">
        <v>835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C401"/>
  <sheetViews>
    <sheetView zoomScale="85" zoomScaleNormal="85" workbookViewId="0"/>
  </sheetViews>
  <sheetFormatPr defaultColWidth="9.140625" defaultRowHeight="15" x14ac:dyDescent="0.25"/>
  <cols>
    <col min="1" max="1" width="18.42578125" bestFit="1" customWidth="1"/>
    <col min="2" max="2" width="67.140625" bestFit="1" customWidth="1"/>
    <col min="3" max="3" width="22" bestFit="1" customWidth="1"/>
  </cols>
  <sheetData>
    <row r="1" spans="1:3" x14ac:dyDescent="0.25">
      <c r="A1" s="18" t="s">
        <v>825</v>
      </c>
      <c r="B1" s="11" t="s">
        <v>287</v>
      </c>
      <c r="C1" s="11" t="s">
        <v>12</v>
      </c>
    </row>
    <row r="2" spans="1:3" x14ac:dyDescent="0.25">
      <c r="A2" s="1" t="s">
        <v>288</v>
      </c>
      <c r="B2" t="s">
        <v>289</v>
      </c>
      <c r="C2" s="2" t="s">
        <v>1191</v>
      </c>
    </row>
    <row r="3" spans="1:3" x14ac:dyDescent="0.25">
      <c r="A3" s="1" t="s">
        <v>290</v>
      </c>
      <c r="B3" t="s">
        <v>291</v>
      </c>
      <c r="C3" s="2" t="s">
        <v>1191</v>
      </c>
    </row>
    <row r="4" spans="1:3" x14ac:dyDescent="0.25">
      <c r="A4" s="1" t="s">
        <v>292</v>
      </c>
      <c r="B4" t="s">
        <v>293</v>
      </c>
      <c r="C4" s="2" t="s">
        <v>83</v>
      </c>
    </row>
    <row r="5" spans="1:3" x14ac:dyDescent="0.25">
      <c r="A5" s="1" t="s">
        <v>294</v>
      </c>
      <c r="B5" t="s">
        <v>295</v>
      </c>
      <c r="C5" s="2" t="s">
        <v>83</v>
      </c>
    </row>
    <row r="6" spans="1:3" x14ac:dyDescent="0.25">
      <c r="A6" s="1" t="s">
        <v>296</v>
      </c>
      <c r="B6" t="s">
        <v>297</v>
      </c>
      <c r="C6" s="2" t="s">
        <v>83</v>
      </c>
    </row>
    <row r="7" spans="1:3" x14ac:dyDescent="0.25">
      <c r="A7" s="1" t="s">
        <v>298</v>
      </c>
      <c r="B7" t="s">
        <v>299</v>
      </c>
      <c r="C7" s="2" t="s">
        <v>83</v>
      </c>
    </row>
    <row r="8" spans="1:3" x14ac:dyDescent="0.25">
      <c r="A8" s="1" t="s">
        <v>300</v>
      </c>
      <c r="B8" t="s">
        <v>301</v>
      </c>
      <c r="C8" s="2" t="s">
        <v>83</v>
      </c>
    </row>
    <row r="9" spans="1:3" x14ac:dyDescent="0.25">
      <c r="A9" s="1" t="s">
        <v>302</v>
      </c>
      <c r="B9" t="s">
        <v>303</v>
      </c>
      <c r="C9" s="2" t="s">
        <v>83</v>
      </c>
    </row>
    <row r="10" spans="1:3" x14ac:dyDescent="0.25">
      <c r="A10" s="1" t="s">
        <v>304</v>
      </c>
      <c r="B10" t="s">
        <v>305</v>
      </c>
      <c r="C10" s="2" t="s">
        <v>83</v>
      </c>
    </row>
    <row r="11" spans="1:3" x14ac:dyDescent="0.25">
      <c r="A11" s="1" t="s">
        <v>306</v>
      </c>
      <c r="B11" t="s">
        <v>307</v>
      </c>
      <c r="C11" s="2" t="s">
        <v>83</v>
      </c>
    </row>
    <row r="12" spans="1:3" x14ac:dyDescent="0.25">
      <c r="A12" s="1" t="s">
        <v>308</v>
      </c>
      <c r="B12" t="s">
        <v>309</v>
      </c>
      <c r="C12" s="2" t="s">
        <v>310</v>
      </c>
    </row>
    <row r="13" spans="1:3" x14ac:dyDescent="0.25">
      <c r="A13" s="1" t="s">
        <v>311</v>
      </c>
      <c r="B13" t="s">
        <v>312</v>
      </c>
      <c r="C13" s="2" t="s">
        <v>310</v>
      </c>
    </row>
    <row r="14" spans="1:3" x14ac:dyDescent="0.25">
      <c r="A14" s="1" t="s">
        <v>313</v>
      </c>
      <c r="B14" t="s">
        <v>314</v>
      </c>
      <c r="C14" s="2" t="s">
        <v>83</v>
      </c>
    </row>
    <row r="15" spans="1:3" x14ac:dyDescent="0.25">
      <c r="A15" s="1" t="s">
        <v>315</v>
      </c>
      <c r="B15" t="s">
        <v>316</v>
      </c>
      <c r="C15" s="2" t="s">
        <v>83</v>
      </c>
    </row>
    <row r="16" spans="1:3" x14ac:dyDescent="0.25">
      <c r="A16" s="1" t="s">
        <v>317</v>
      </c>
      <c r="B16" t="s">
        <v>318</v>
      </c>
      <c r="C16" s="2" t="s">
        <v>83</v>
      </c>
    </row>
    <row r="17" spans="1:3" x14ac:dyDescent="0.25">
      <c r="A17" s="1" t="s">
        <v>319</v>
      </c>
      <c r="B17" t="s">
        <v>320</v>
      </c>
      <c r="C17" s="2" t="s">
        <v>83</v>
      </c>
    </row>
    <row r="18" spans="1:3" x14ac:dyDescent="0.25">
      <c r="A18" s="1" t="s">
        <v>321</v>
      </c>
      <c r="B18" t="s">
        <v>322</v>
      </c>
      <c r="C18" s="2" t="s">
        <v>310</v>
      </c>
    </row>
    <row r="19" spans="1:3" x14ac:dyDescent="0.25">
      <c r="A19" s="1" t="s">
        <v>741</v>
      </c>
      <c r="B19" t="s">
        <v>742</v>
      </c>
      <c r="C19" s="2" t="s">
        <v>83</v>
      </c>
    </row>
    <row r="20" spans="1:3" x14ac:dyDescent="0.25">
      <c r="A20" s="1" t="s">
        <v>323</v>
      </c>
      <c r="B20" t="s">
        <v>324</v>
      </c>
      <c r="C20" s="2" t="s">
        <v>310</v>
      </c>
    </row>
    <row r="21" spans="1:3" x14ac:dyDescent="0.25">
      <c r="A21" s="1" t="s">
        <v>325</v>
      </c>
      <c r="B21" t="s">
        <v>326</v>
      </c>
      <c r="C21" s="2" t="s">
        <v>310</v>
      </c>
    </row>
    <row r="22" spans="1:3" x14ac:dyDescent="0.25">
      <c r="A22" s="1" t="s">
        <v>327</v>
      </c>
      <c r="B22" t="s">
        <v>328</v>
      </c>
      <c r="C22" s="2" t="s">
        <v>310</v>
      </c>
    </row>
    <row r="23" spans="1:3" x14ac:dyDescent="0.25">
      <c r="A23" s="1" t="s">
        <v>329</v>
      </c>
      <c r="B23" t="s">
        <v>330</v>
      </c>
      <c r="C23" s="2" t="s">
        <v>310</v>
      </c>
    </row>
    <row r="24" spans="1:3" x14ac:dyDescent="0.25">
      <c r="A24" s="1" t="s">
        <v>331</v>
      </c>
      <c r="B24" t="s">
        <v>332</v>
      </c>
      <c r="C24" s="2" t="s">
        <v>310</v>
      </c>
    </row>
    <row r="25" spans="1:3" x14ac:dyDescent="0.25">
      <c r="A25" s="1" t="s">
        <v>333</v>
      </c>
      <c r="B25" t="s">
        <v>334</v>
      </c>
      <c r="C25" s="2" t="s">
        <v>310</v>
      </c>
    </row>
    <row r="26" spans="1:3" x14ac:dyDescent="0.25">
      <c r="A26" s="1" t="s">
        <v>335</v>
      </c>
      <c r="B26" t="s">
        <v>336</v>
      </c>
      <c r="C26" s="2" t="s">
        <v>310</v>
      </c>
    </row>
    <row r="27" spans="1:3" x14ac:dyDescent="0.25">
      <c r="A27" s="1" t="s">
        <v>337</v>
      </c>
      <c r="B27" t="s">
        <v>338</v>
      </c>
      <c r="C27" s="2" t="s">
        <v>83</v>
      </c>
    </row>
    <row r="28" spans="1:3" x14ac:dyDescent="0.25">
      <c r="A28" s="1" t="s">
        <v>339</v>
      </c>
      <c r="B28" t="s">
        <v>340</v>
      </c>
      <c r="C28" s="2" t="s">
        <v>83</v>
      </c>
    </row>
    <row r="29" spans="1:3" x14ac:dyDescent="0.25">
      <c r="A29" s="1" t="s">
        <v>341</v>
      </c>
      <c r="B29" t="s">
        <v>342</v>
      </c>
      <c r="C29" s="2" t="s">
        <v>310</v>
      </c>
    </row>
    <row r="30" spans="1:3" x14ac:dyDescent="0.25">
      <c r="A30" s="1" t="s">
        <v>343</v>
      </c>
      <c r="B30" t="s">
        <v>344</v>
      </c>
      <c r="C30" s="2" t="s">
        <v>310</v>
      </c>
    </row>
    <row r="31" spans="1:3" x14ac:dyDescent="0.25">
      <c r="A31" s="1" t="s">
        <v>345</v>
      </c>
      <c r="B31" t="s">
        <v>346</v>
      </c>
      <c r="C31" s="2" t="s">
        <v>310</v>
      </c>
    </row>
    <row r="32" spans="1:3" x14ac:dyDescent="0.25">
      <c r="A32" s="1" t="s">
        <v>347</v>
      </c>
      <c r="B32" t="s">
        <v>348</v>
      </c>
      <c r="C32" s="2" t="s">
        <v>310</v>
      </c>
    </row>
    <row r="33" spans="1:3" x14ac:dyDescent="0.25">
      <c r="A33" s="1" t="s">
        <v>349</v>
      </c>
      <c r="B33" t="s">
        <v>350</v>
      </c>
      <c r="C33" s="2" t="s">
        <v>310</v>
      </c>
    </row>
    <row r="34" spans="1:3" x14ac:dyDescent="0.25">
      <c r="A34" s="1" t="s">
        <v>351</v>
      </c>
      <c r="B34" t="s">
        <v>352</v>
      </c>
      <c r="C34" s="2" t="s">
        <v>310</v>
      </c>
    </row>
    <row r="35" spans="1:3" x14ac:dyDescent="0.25">
      <c r="A35" s="1" t="s">
        <v>353</v>
      </c>
      <c r="B35" t="s">
        <v>354</v>
      </c>
      <c r="C35" s="2" t="s">
        <v>310</v>
      </c>
    </row>
    <row r="36" spans="1:3" x14ac:dyDescent="0.25">
      <c r="A36" s="1" t="s">
        <v>355</v>
      </c>
      <c r="B36" t="s">
        <v>356</v>
      </c>
      <c r="C36" s="2" t="s">
        <v>310</v>
      </c>
    </row>
    <row r="37" spans="1:3" x14ac:dyDescent="0.25">
      <c r="A37" s="1" t="s">
        <v>357</v>
      </c>
      <c r="B37" t="s">
        <v>358</v>
      </c>
      <c r="C37" s="2" t="s">
        <v>310</v>
      </c>
    </row>
    <row r="38" spans="1:3" x14ac:dyDescent="0.25">
      <c r="A38" s="1" t="s">
        <v>359</v>
      </c>
      <c r="B38" t="s">
        <v>360</v>
      </c>
      <c r="C38" s="2" t="s">
        <v>310</v>
      </c>
    </row>
    <row r="39" spans="1:3" x14ac:dyDescent="0.25">
      <c r="A39" s="1" t="s">
        <v>361</v>
      </c>
      <c r="B39" t="s">
        <v>362</v>
      </c>
      <c r="C39" s="2" t="s">
        <v>310</v>
      </c>
    </row>
    <row r="40" spans="1:3" x14ac:dyDescent="0.25">
      <c r="A40" s="1" t="s">
        <v>363</v>
      </c>
      <c r="B40" t="s">
        <v>364</v>
      </c>
      <c r="C40" s="2" t="s">
        <v>310</v>
      </c>
    </row>
    <row r="41" spans="1:3" x14ac:dyDescent="0.25">
      <c r="A41" s="1" t="s">
        <v>365</v>
      </c>
      <c r="B41" t="s">
        <v>366</v>
      </c>
      <c r="C41" s="2" t="s">
        <v>310</v>
      </c>
    </row>
    <row r="42" spans="1:3" x14ac:dyDescent="0.25">
      <c r="A42" s="1" t="s">
        <v>367</v>
      </c>
      <c r="B42" t="s">
        <v>368</v>
      </c>
      <c r="C42" s="2" t="s">
        <v>310</v>
      </c>
    </row>
    <row r="43" spans="1:3" x14ac:dyDescent="0.25">
      <c r="A43" s="1" t="s">
        <v>369</v>
      </c>
      <c r="B43" t="s">
        <v>370</v>
      </c>
      <c r="C43" s="2" t="s">
        <v>310</v>
      </c>
    </row>
    <row r="44" spans="1:3" x14ac:dyDescent="0.25">
      <c r="A44" s="1" t="s">
        <v>371</v>
      </c>
      <c r="B44" t="s">
        <v>372</v>
      </c>
      <c r="C44" s="2" t="s">
        <v>310</v>
      </c>
    </row>
    <row r="45" spans="1:3" x14ac:dyDescent="0.25">
      <c r="A45" s="1" t="s">
        <v>373</v>
      </c>
      <c r="B45" t="s">
        <v>374</v>
      </c>
      <c r="C45" s="2" t="s">
        <v>310</v>
      </c>
    </row>
    <row r="46" spans="1:3" x14ac:dyDescent="0.25">
      <c r="A46" s="1" t="s">
        <v>375</v>
      </c>
      <c r="B46" t="s">
        <v>376</v>
      </c>
      <c r="C46" s="2" t="s">
        <v>1191</v>
      </c>
    </row>
    <row r="47" spans="1:3" x14ac:dyDescent="0.25">
      <c r="A47" s="1" t="s">
        <v>377</v>
      </c>
      <c r="B47" t="s">
        <v>378</v>
      </c>
      <c r="C47" s="2" t="s">
        <v>310</v>
      </c>
    </row>
    <row r="48" spans="1:3" x14ac:dyDescent="0.25">
      <c r="A48" s="1" t="s">
        <v>379</v>
      </c>
      <c r="B48" t="s">
        <v>380</v>
      </c>
      <c r="C48" s="2" t="s">
        <v>46</v>
      </c>
    </row>
    <row r="49" spans="1:3" x14ac:dyDescent="0.25">
      <c r="A49" s="1" t="s">
        <v>381</v>
      </c>
      <c r="B49" t="s">
        <v>382</v>
      </c>
      <c r="C49" s="2" t="s">
        <v>804</v>
      </c>
    </row>
    <row r="50" spans="1:3" x14ac:dyDescent="0.25">
      <c r="A50" s="1" t="s">
        <v>383</v>
      </c>
      <c r="B50" t="s">
        <v>384</v>
      </c>
      <c r="C50" s="2" t="s">
        <v>804</v>
      </c>
    </row>
    <row r="51" spans="1:3" x14ac:dyDescent="0.25">
      <c r="A51" s="1" t="s">
        <v>385</v>
      </c>
      <c r="B51" t="s">
        <v>386</v>
      </c>
      <c r="C51" s="2" t="s">
        <v>804</v>
      </c>
    </row>
    <row r="52" spans="1:3" x14ac:dyDescent="0.25">
      <c r="A52" s="1" t="s">
        <v>387</v>
      </c>
      <c r="B52" t="s">
        <v>388</v>
      </c>
      <c r="C52" s="2" t="s">
        <v>1191</v>
      </c>
    </row>
    <row r="53" spans="1:3" x14ac:dyDescent="0.25">
      <c r="A53" s="1" t="s">
        <v>389</v>
      </c>
      <c r="B53" t="s">
        <v>390</v>
      </c>
      <c r="C53" s="2" t="s">
        <v>1191</v>
      </c>
    </row>
    <row r="54" spans="1:3" x14ac:dyDescent="0.25">
      <c r="A54" s="1" t="s">
        <v>391</v>
      </c>
      <c r="B54" t="s">
        <v>392</v>
      </c>
      <c r="C54" s="2" t="s">
        <v>1191</v>
      </c>
    </row>
    <row r="55" spans="1:3" x14ac:dyDescent="0.25">
      <c r="A55" s="1" t="s">
        <v>393</v>
      </c>
      <c r="B55" t="s">
        <v>394</v>
      </c>
      <c r="C55" s="2" t="s">
        <v>1191</v>
      </c>
    </row>
    <row r="56" spans="1:3" x14ac:dyDescent="0.25">
      <c r="A56" s="1" t="s">
        <v>395</v>
      </c>
      <c r="B56" t="s">
        <v>396</v>
      </c>
      <c r="C56" s="2" t="s">
        <v>1191</v>
      </c>
    </row>
    <row r="57" spans="1:3" x14ac:dyDescent="0.25">
      <c r="A57" s="1" t="s">
        <v>397</v>
      </c>
      <c r="B57" t="s">
        <v>398</v>
      </c>
      <c r="C57" s="2" t="s">
        <v>1191</v>
      </c>
    </row>
    <row r="58" spans="1:3" x14ac:dyDescent="0.25">
      <c r="A58" s="1" t="s">
        <v>399</v>
      </c>
      <c r="B58" t="s">
        <v>400</v>
      </c>
      <c r="C58" s="2" t="s">
        <v>1191</v>
      </c>
    </row>
    <row r="59" spans="1:3" x14ac:dyDescent="0.25">
      <c r="A59" s="1" t="s">
        <v>401</v>
      </c>
      <c r="B59" t="s">
        <v>402</v>
      </c>
      <c r="C59" s="2" t="s">
        <v>1191</v>
      </c>
    </row>
    <row r="60" spans="1:3" x14ac:dyDescent="0.25">
      <c r="A60" s="1" t="s">
        <v>403</v>
      </c>
      <c r="B60" t="s">
        <v>404</v>
      </c>
      <c r="C60" s="2" t="s">
        <v>1191</v>
      </c>
    </row>
    <row r="61" spans="1:3" x14ac:dyDescent="0.25">
      <c r="A61" s="1" t="s">
        <v>405</v>
      </c>
      <c r="B61" t="s">
        <v>406</v>
      </c>
      <c r="C61" s="2" t="s">
        <v>1191</v>
      </c>
    </row>
    <row r="62" spans="1:3" x14ac:dyDescent="0.25">
      <c r="A62" s="1" t="s">
        <v>407</v>
      </c>
      <c r="B62" t="s">
        <v>408</v>
      </c>
      <c r="C62" s="2" t="s">
        <v>310</v>
      </c>
    </row>
    <row r="63" spans="1:3" x14ac:dyDescent="0.25">
      <c r="A63" s="1" t="s">
        <v>409</v>
      </c>
      <c r="B63" t="s">
        <v>410</v>
      </c>
      <c r="C63" s="2" t="s">
        <v>310</v>
      </c>
    </row>
    <row r="64" spans="1:3" x14ac:dyDescent="0.25">
      <c r="A64" s="1" t="s">
        <v>411</v>
      </c>
      <c r="B64" t="s">
        <v>412</v>
      </c>
      <c r="C64" s="2" t="s">
        <v>310</v>
      </c>
    </row>
    <row r="65" spans="1:3" x14ac:dyDescent="0.25">
      <c r="A65" s="1" t="s">
        <v>413</v>
      </c>
      <c r="B65" t="s">
        <v>414</v>
      </c>
      <c r="C65" s="2" t="s">
        <v>310</v>
      </c>
    </row>
    <row r="66" spans="1:3" x14ac:dyDescent="0.25">
      <c r="A66" s="1" t="s">
        <v>415</v>
      </c>
      <c r="B66" t="s">
        <v>416</v>
      </c>
      <c r="C66" s="2" t="s">
        <v>310</v>
      </c>
    </row>
    <row r="67" spans="1:3" x14ac:dyDescent="0.25">
      <c r="A67" s="1" t="s">
        <v>417</v>
      </c>
      <c r="B67" t="s">
        <v>418</v>
      </c>
      <c r="C67" s="2" t="s">
        <v>310</v>
      </c>
    </row>
    <row r="68" spans="1:3" x14ac:dyDescent="0.25">
      <c r="A68" s="1" t="s">
        <v>419</v>
      </c>
      <c r="B68" t="s">
        <v>420</v>
      </c>
      <c r="C68" s="2" t="s">
        <v>310</v>
      </c>
    </row>
    <row r="69" spans="1:3" x14ac:dyDescent="0.25">
      <c r="A69" s="1" t="s">
        <v>421</v>
      </c>
      <c r="B69" t="s">
        <v>422</v>
      </c>
      <c r="C69" s="2" t="s">
        <v>310</v>
      </c>
    </row>
    <row r="70" spans="1:3" x14ac:dyDescent="0.25">
      <c r="A70" s="1" t="s">
        <v>423</v>
      </c>
      <c r="B70" t="s">
        <v>424</v>
      </c>
      <c r="C70" s="2" t="s">
        <v>310</v>
      </c>
    </row>
    <row r="71" spans="1:3" x14ac:dyDescent="0.25">
      <c r="A71" s="1" t="s">
        <v>425</v>
      </c>
      <c r="B71" t="s">
        <v>426</v>
      </c>
      <c r="C71" s="2" t="s">
        <v>310</v>
      </c>
    </row>
    <row r="72" spans="1:3" x14ac:dyDescent="0.25">
      <c r="A72" s="1" t="s">
        <v>427</v>
      </c>
      <c r="B72" t="s">
        <v>428</v>
      </c>
      <c r="C72" s="2" t="s">
        <v>310</v>
      </c>
    </row>
    <row r="73" spans="1:3" x14ac:dyDescent="0.25">
      <c r="A73" s="1" t="s">
        <v>429</v>
      </c>
      <c r="B73" t="s">
        <v>430</v>
      </c>
      <c r="C73" s="2" t="s">
        <v>310</v>
      </c>
    </row>
    <row r="74" spans="1:3" x14ac:dyDescent="0.25">
      <c r="A74" s="1" t="s">
        <v>431</v>
      </c>
      <c r="B74" t="s">
        <v>432</v>
      </c>
      <c r="C74" s="2" t="s">
        <v>310</v>
      </c>
    </row>
    <row r="75" spans="1:3" x14ac:dyDescent="0.25">
      <c r="A75" s="1" t="s">
        <v>433</v>
      </c>
      <c r="B75" t="s">
        <v>434</v>
      </c>
      <c r="C75" s="2" t="s">
        <v>310</v>
      </c>
    </row>
    <row r="76" spans="1:3" x14ac:dyDescent="0.25">
      <c r="A76" s="1" t="s">
        <v>435</v>
      </c>
      <c r="B76" t="s">
        <v>436</v>
      </c>
      <c r="C76" s="2" t="s">
        <v>310</v>
      </c>
    </row>
    <row r="77" spans="1:3" x14ac:dyDescent="0.25">
      <c r="A77" s="1" t="s">
        <v>437</v>
      </c>
      <c r="B77" t="s">
        <v>438</v>
      </c>
      <c r="C77" s="2" t="s">
        <v>310</v>
      </c>
    </row>
    <row r="78" spans="1:3" x14ac:dyDescent="0.25">
      <c r="A78" s="1" t="s">
        <v>439</v>
      </c>
      <c r="B78" t="s">
        <v>440</v>
      </c>
      <c r="C78" s="2" t="s">
        <v>310</v>
      </c>
    </row>
    <row r="79" spans="1:3" x14ac:dyDescent="0.25">
      <c r="A79" s="1" t="s">
        <v>441</v>
      </c>
      <c r="B79" t="s">
        <v>442</v>
      </c>
      <c r="C79" s="2" t="s">
        <v>310</v>
      </c>
    </row>
    <row r="80" spans="1:3" x14ac:dyDescent="0.25">
      <c r="A80" s="1" t="s">
        <v>443</v>
      </c>
      <c r="B80" t="s">
        <v>444</v>
      </c>
      <c r="C80" s="2" t="s">
        <v>310</v>
      </c>
    </row>
    <row r="81" spans="1:3" x14ac:dyDescent="0.25">
      <c r="A81" s="1" t="s">
        <v>445</v>
      </c>
      <c r="B81" t="s">
        <v>446</v>
      </c>
      <c r="C81" s="2" t="s">
        <v>1191</v>
      </c>
    </row>
    <row r="82" spans="1:3" x14ac:dyDescent="0.25">
      <c r="A82" s="1" t="s">
        <v>447</v>
      </c>
      <c r="B82" t="s">
        <v>448</v>
      </c>
      <c r="C82" s="2" t="s">
        <v>1191</v>
      </c>
    </row>
    <row r="83" spans="1:3" x14ac:dyDescent="0.25">
      <c r="A83" s="1" t="s">
        <v>449</v>
      </c>
      <c r="B83" t="s">
        <v>450</v>
      </c>
      <c r="C83" s="2" t="s">
        <v>1191</v>
      </c>
    </row>
    <row r="84" spans="1:3" x14ac:dyDescent="0.25">
      <c r="A84" s="1" t="s">
        <v>451</v>
      </c>
      <c r="B84" t="s">
        <v>452</v>
      </c>
      <c r="C84" s="2" t="s">
        <v>83</v>
      </c>
    </row>
    <row r="85" spans="1:3" x14ac:dyDescent="0.25">
      <c r="A85" s="1" t="s">
        <v>453</v>
      </c>
      <c r="B85" t="s">
        <v>454</v>
      </c>
      <c r="C85" s="2" t="s">
        <v>83</v>
      </c>
    </row>
    <row r="86" spans="1:3" x14ac:dyDescent="0.25">
      <c r="A86" s="1" t="s">
        <v>455</v>
      </c>
      <c r="B86" t="s">
        <v>456</v>
      </c>
      <c r="C86" s="2" t="s">
        <v>83</v>
      </c>
    </row>
    <row r="87" spans="1:3" x14ac:dyDescent="0.25">
      <c r="A87" s="1" t="s">
        <v>457</v>
      </c>
      <c r="B87" t="s">
        <v>458</v>
      </c>
      <c r="C87" s="2" t="s">
        <v>83</v>
      </c>
    </row>
    <row r="88" spans="1:3" x14ac:dyDescent="0.25">
      <c r="A88" s="1" t="s">
        <v>459</v>
      </c>
      <c r="B88" t="s">
        <v>460</v>
      </c>
      <c r="C88" s="2" t="s">
        <v>83</v>
      </c>
    </row>
    <row r="89" spans="1:3" x14ac:dyDescent="0.25">
      <c r="A89" s="1" t="s">
        <v>461</v>
      </c>
      <c r="B89" t="s">
        <v>462</v>
      </c>
      <c r="C89" s="2" t="s">
        <v>83</v>
      </c>
    </row>
    <row r="90" spans="1:3" x14ac:dyDescent="0.25">
      <c r="A90" s="1" t="s">
        <v>463</v>
      </c>
      <c r="B90" t="s">
        <v>464</v>
      </c>
      <c r="C90" s="2" t="s">
        <v>1191</v>
      </c>
    </row>
    <row r="91" spans="1:3" x14ac:dyDescent="0.25">
      <c r="A91" s="1" t="s">
        <v>465</v>
      </c>
      <c r="B91" t="s">
        <v>466</v>
      </c>
      <c r="C91" s="2" t="s">
        <v>1191</v>
      </c>
    </row>
    <row r="92" spans="1:3" x14ac:dyDescent="0.25">
      <c r="A92" s="1" t="s">
        <v>467</v>
      </c>
      <c r="B92" t="s">
        <v>468</v>
      </c>
      <c r="C92" s="2" t="s">
        <v>1191</v>
      </c>
    </row>
    <row r="93" spans="1:3" x14ac:dyDescent="0.25">
      <c r="A93" s="1" t="s">
        <v>469</v>
      </c>
      <c r="B93" t="s">
        <v>470</v>
      </c>
      <c r="C93" s="2" t="s">
        <v>1191</v>
      </c>
    </row>
    <row r="94" spans="1:3" x14ac:dyDescent="0.25">
      <c r="A94" s="1" t="s">
        <v>471</v>
      </c>
      <c r="B94" t="s">
        <v>472</v>
      </c>
      <c r="C94" s="2" t="s">
        <v>1191</v>
      </c>
    </row>
    <row r="95" spans="1:3" x14ac:dyDescent="0.25">
      <c r="A95" s="1" t="s">
        <v>473</v>
      </c>
      <c r="B95" t="s">
        <v>474</v>
      </c>
      <c r="C95" s="2" t="s">
        <v>1191</v>
      </c>
    </row>
    <row r="96" spans="1:3" x14ac:dyDescent="0.25">
      <c r="A96" s="1" t="s">
        <v>475</v>
      </c>
      <c r="B96" t="s">
        <v>476</v>
      </c>
      <c r="C96" s="2" t="s">
        <v>1191</v>
      </c>
    </row>
    <row r="97" spans="1:3" x14ac:dyDescent="0.25">
      <c r="A97" s="1" t="s">
        <v>477</v>
      </c>
      <c r="B97" t="s">
        <v>478</v>
      </c>
      <c r="C97" s="2" t="s">
        <v>1191</v>
      </c>
    </row>
    <row r="98" spans="1:3" x14ac:dyDescent="0.25">
      <c r="A98" s="1" t="s">
        <v>479</v>
      </c>
      <c r="B98" t="s">
        <v>480</v>
      </c>
      <c r="C98" s="2" t="s">
        <v>310</v>
      </c>
    </row>
    <row r="99" spans="1:3" x14ac:dyDescent="0.25">
      <c r="A99" s="1" t="s">
        <v>481</v>
      </c>
      <c r="B99" t="s">
        <v>482</v>
      </c>
      <c r="C99" s="2" t="s">
        <v>1191</v>
      </c>
    </row>
    <row r="100" spans="1:3" x14ac:dyDescent="0.25">
      <c r="A100" s="1" t="s">
        <v>483</v>
      </c>
      <c r="B100" t="s">
        <v>484</v>
      </c>
      <c r="C100" s="2" t="s">
        <v>310</v>
      </c>
    </row>
    <row r="101" spans="1:3" x14ac:dyDescent="0.25">
      <c r="A101" s="1" t="s">
        <v>485</v>
      </c>
      <c r="B101" t="s">
        <v>486</v>
      </c>
      <c r="C101" s="2" t="s">
        <v>310</v>
      </c>
    </row>
    <row r="102" spans="1:3" x14ac:dyDescent="0.25">
      <c r="A102" s="1" t="s">
        <v>487</v>
      </c>
      <c r="B102" t="s">
        <v>488</v>
      </c>
      <c r="C102" s="2" t="s">
        <v>310</v>
      </c>
    </row>
    <row r="103" spans="1:3" x14ac:dyDescent="0.25">
      <c r="A103" s="1" t="s">
        <v>489</v>
      </c>
      <c r="B103" t="s">
        <v>490</v>
      </c>
      <c r="C103" s="2" t="s">
        <v>310</v>
      </c>
    </row>
    <row r="104" spans="1:3" x14ac:dyDescent="0.25">
      <c r="A104" s="1" t="s">
        <v>491</v>
      </c>
      <c r="B104" t="s">
        <v>492</v>
      </c>
      <c r="C104" s="2" t="s">
        <v>310</v>
      </c>
    </row>
    <row r="105" spans="1:3" x14ac:dyDescent="0.25">
      <c r="A105" s="1" t="s">
        <v>493</v>
      </c>
      <c r="B105" t="s">
        <v>494</v>
      </c>
      <c r="C105" s="2" t="s">
        <v>310</v>
      </c>
    </row>
    <row r="106" spans="1:3" x14ac:dyDescent="0.25">
      <c r="A106" s="1" t="s">
        <v>495</v>
      </c>
      <c r="B106" t="s">
        <v>496</v>
      </c>
      <c r="C106" s="2" t="s">
        <v>310</v>
      </c>
    </row>
    <row r="107" spans="1:3" x14ac:dyDescent="0.25">
      <c r="A107" s="1" t="s">
        <v>497</v>
      </c>
      <c r="B107" t="s">
        <v>498</v>
      </c>
      <c r="C107" s="2" t="s">
        <v>310</v>
      </c>
    </row>
    <row r="108" spans="1:3" x14ac:dyDescent="0.25">
      <c r="A108" s="1" t="s">
        <v>499</v>
      </c>
      <c r="B108" t="s">
        <v>500</v>
      </c>
      <c r="C108" s="2" t="s">
        <v>310</v>
      </c>
    </row>
    <row r="109" spans="1:3" x14ac:dyDescent="0.25">
      <c r="A109" s="1" t="s">
        <v>501</v>
      </c>
      <c r="B109" t="s">
        <v>502</v>
      </c>
      <c r="C109" s="2" t="s">
        <v>310</v>
      </c>
    </row>
    <row r="110" spans="1:3" x14ac:dyDescent="0.25">
      <c r="A110" s="1" t="s">
        <v>503</v>
      </c>
      <c r="B110" t="s">
        <v>504</v>
      </c>
      <c r="C110" s="2" t="s">
        <v>310</v>
      </c>
    </row>
    <row r="111" spans="1:3" x14ac:dyDescent="0.25">
      <c r="A111" s="1" t="s">
        <v>505</v>
      </c>
      <c r="B111" t="s">
        <v>506</v>
      </c>
      <c r="C111" s="2" t="s">
        <v>1191</v>
      </c>
    </row>
    <row r="112" spans="1:3" x14ac:dyDescent="0.25">
      <c r="A112" s="1" t="s">
        <v>507</v>
      </c>
      <c r="B112" t="s">
        <v>508</v>
      </c>
      <c r="C112" s="2" t="s">
        <v>1191</v>
      </c>
    </row>
    <row r="113" spans="1:3" x14ac:dyDescent="0.25">
      <c r="A113" s="1" t="s">
        <v>509</v>
      </c>
      <c r="B113" t="s">
        <v>510</v>
      </c>
      <c r="C113" s="2" t="s">
        <v>1191</v>
      </c>
    </row>
    <row r="114" spans="1:3" x14ac:dyDescent="0.25">
      <c r="A114" s="1" t="s">
        <v>511</v>
      </c>
      <c r="B114" t="s">
        <v>512</v>
      </c>
      <c r="C114" s="2" t="s">
        <v>310</v>
      </c>
    </row>
    <row r="115" spans="1:3" x14ac:dyDescent="0.25">
      <c r="A115" s="1" t="s">
        <v>513</v>
      </c>
      <c r="B115" t="s">
        <v>514</v>
      </c>
      <c r="C115" s="2" t="s">
        <v>310</v>
      </c>
    </row>
    <row r="116" spans="1:3" x14ac:dyDescent="0.25">
      <c r="A116" s="1" t="s">
        <v>515</v>
      </c>
      <c r="B116" t="s">
        <v>516</v>
      </c>
      <c r="C116" s="2" t="s">
        <v>310</v>
      </c>
    </row>
    <row r="117" spans="1:3" x14ac:dyDescent="0.25">
      <c r="A117" s="1" t="s">
        <v>517</v>
      </c>
      <c r="B117" t="s">
        <v>518</v>
      </c>
      <c r="C117" s="2" t="s">
        <v>310</v>
      </c>
    </row>
    <row r="118" spans="1:3" x14ac:dyDescent="0.25">
      <c r="A118" s="1" t="s">
        <v>519</v>
      </c>
      <c r="B118" t="s">
        <v>520</v>
      </c>
      <c r="C118" s="2" t="s">
        <v>310</v>
      </c>
    </row>
    <row r="119" spans="1:3" x14ac:dyDescent="0.25">
      <c r="A119" s="1" t="s">
        <v>521</v>
      </c>
      <c r="B119" t="s">
        <v>522</v>
      </c>
      <c r="C119" s="2" t="s">
        <v>310</v>
      </c>
    </row>
    <row r="120" spans="1:3" x14ac:dyDescent="0.25">
      <c r="A120" s="1" t="s">
        <v>523</v>
      </c>
      <c r="B120" t="s">
        <v>524</v>
      </c>
      <c r="C120" s="2" t="s">
        <v>310</v>
      </c>
    </row>
    <row r="121" spans="1:3" x14ac:dyDescent="0.25">
      <c r="A121" s="1" t="s">
        <v>525</v>
      </c>
      <c r="B121" t="s">
        <v>526</v>
      </c>
      <c r="C121" s="2" t="s">
        <v>310</v>
      </c>
    </row>
    <row r="122" spans="1:3" x14ac:dyDescent="0.25">
      <c r="A122" s="1" t="s">
        <v>527</v>
      </c>
      <c r="B122" t="s">
        <v>528</v>
      </c>
      <c r="C122" s="2" t="s">
        <v>310</v>
      </c>
    </row>
    <row r="123" spans="1:3" x14ac:dyDescent="0.25">
      <c r="A123" s="1" t="s">
        <v>529</v>
      </c>
      <c r="B123" t="s">
        <v>530</v>
      </c>
      <c r="C123" s="2" t="s">
        <v>310</v>
      </c>
    </row>
    <row r="124" spans="1:3" x14ac:dyDescent="0.25">
      <c r="A124" s="1" t="s">
        <v>531</v>
      </c>
      <c r="B124" t="s">
        <v>532</v>
      </c>
      <c r="C124" s="2" t="s">
        <v>310</v>
      </c>
    </row>
    <row r="125" spans="1:3" x14ac:dyDescent="0.25">
      <c r="A125" s="1" t="s">
        <v>533</v>
      </c>
      <c r="B125" t="s">
        <v>534</v>
      </c>
      <c r="C125" s="2" t="s">
        <v>310</v>
      </c>
    </row>
    <row r="126" spans="1:3" x14ac:dyDescent="0.25">
      <c r="A126" s="1" t="s">
        <v>535</v>
      </c>
      <c r="B126" t="s">
        <v>536</v>
      </c>
      <c r="C126" s="2" t="s">
        <v>310</v>
      </c>
    </row>
    <row r="127" spans="1:3" x14ac:dyDescent="0.25">
      <c r="A127" s="1" t="s">
        <v>537</v>
      </c>
      <c r="B127" t="s">
        <v>538</v>
      </c>
      <c r="C127" s="2" t="s">
        <v>310</v>
      </c>
    </row>
    <row r="128" spans="1:3" x14ac:dyDescent="0.25">
      <c r="A128" s="1" t="s">
        <v>539</v>
      </c>
      <c r="B128" t="s">
        <v>540</v>
      </c>
      <c r="C128" s="2" t="s">
        <v>310</v>
      </c>
    </row>
    <row r="129" spans="1:3" x14ac:dyDescent="0.25">
      <c r="A129" s="1" t="s">
        <v>541</v>
      </c>
      <c r="B129" t="s">
        <v>542</v>
      </c>
      <c r="C129" s="2" t="s">
        <v>310</v>
      </c>
    </row>
    <row r="130" spans="1:3" x14ac:dyDescent="0.25">
      <c r="A130" s="1" t="s">
        <v>543</v>
      </c>
      <c r="B130" t="s">
        <v>544</v>
      </c>
      <c r="C130" s="2" t="s">
        <v>310</v>
      </c>
    </row>
    <row r="131" spans="1:3" x14ac:dyDescent="0.25">
      <c r="A131" s="1" t="s">
        <v>545</v>
      </c>
      <c r="B131" t="s">
        <v>546</v>
      </c>
      <c r="C131" s="2" t="s">
        <v>310</v>
      </c>
    </row>
    <row r="132" spans="1:3" x14ac:dyDescent="0.25">
      <c r="A132" s="1" t="s">
        <v>547</v>
      </c>
      <c r="B132" t="s">
        <v>548</v>
      </c>
      <c r="C132" s="2" t="s">
        <v>310</v>
      </c>
    </row>
    <row r="133" spans="1:3" x14ac:dyDescent="0.25">
      <c r="A133" s="1" t="s">
        <v>549</v>
      </c>
      <c r="B133" t="s">
        <v>550</v>
      </c>
      <c r="C133" s="2" t="s">
        <v>310</v>
      </c>
    </row>
    <row r="134" spans="1:3" x14ac:dyDescent="0.25">
      <c r="A134" s="1" t="s">
        <v>551</v>
      </c>
      <c r="B134" t="s">
        <v>552</v>
      </c>
      <c r="C134" s="2" t="s">
        <v>310</v>
      </c>
    </row>
    <row r="135" spans="1:3" x14ac:dyDescent="0.25">
      <c r="A135" s="1" t="s">
        <v>553</v>
      </c>
      <c r="B135" t="s">
        <v>554</v>
      </c>
      <c r="C135" s="2" t="s">
        <v>310</v>
      </c>
    </row>
    <row r="136" spans="1:3" x14ac:dyDescent="0.25">
      <c r="A136" s="1" t="s">
        <v>555</v>
      </c>
      <c r="B136" t="s">
        <v>556</v>
      </c>
      <c r="C136" s="2" t="s">
        <v>310</v>
      </c>
    </row>
    <row r="137" spans="1:3" x14ac:dyDescent="0.25">
      <c r="A137" s="1" t="s">
        <v>557</v>
      </c>
      <c r="B137" t="s">
        <v>558</v>
      </c>
      <c r="C137" s="2" t="s">
        <v>310</v>
      </c>
    </row>
    <row r="138" spans="1:3" x14ac:dyDescent="0.25">
      <c r="A138" s="1" t="s">
        <v>559</v>
      </c>
      <c r="B138" t="s">
        <v>560</v>
      </c>
      <c r="C138" s="2" t="s">
        <v>310</v>
      </c>
    </row>
    <row r="139" spans="1:3" x14ac:dyDescent="0.25">
      <c r="A139" s="1" t="s">
        <v>561</v>
      </c>
      <c r="B139" t="s">
        <v>562</v>
      </c>
      <c r="C139" s="2" t="s">
        <v>310</v>
      </c>
    </row>
    <row r="140" spans="1:3" x14ac:dyDescent="0.25">
      <c r="A140" s="1" t="s">
        <v>563</v>
      </c>
      <c r="B140" t="s">
        <v>564</v>
      </c>
      <c r="C140" s="2" t="s">
        <v>310</v>
      </c>
    </row>
    <row r="141" spans="1:3" x14ac:dyDescent="0.25">
      <c r="A141" s="1" t="s">
        <v>565</v>
      </c>
      <c r="B141" t="s">
        <v>566</v>
      </c>
      <c r="C141" s="2" t="s">
        <v>310</v>
      </c>
    </row>
    <row r="142" spans="1:3" x14ac:dyDescent="0.25">
      <c r="A142" s="1" t="s">
        <v>567</v>
      </c>
      <c r="B142" t="s">
        <v>568</v>
      </c>
      <c r="C142" s="2" t="s">
        <v>83</v>
      </c>
    </row>
    <row r="143" spans="1:3" x14ac:dyDescent="0.25">
      <c r="A143" s="1" t="s">
        <v>569</v>
      </c>
      <c r="B143" t="s">
        <v>570</v>
      </c>
      <c r="C143" s="2" t="s">
        <v>83</v>
      </c>
    </row>
    <row r="144" spans="1:3" x14ac:dyDescent="0.25">
      <c r="A144" s="1" t="s">
        <v>571</v>
      </c>
      <c r="B144" t="s">
        <v>572</v>
      </c>
      <c r="C144" s="2" t="s">
        <v>83</v>
      </c>
    </row>
    <row r="145" spans="1:3" x14ac:dyDescent="0.25">
      <c r="A145" s="1" t="s">
        <v>573</v>
      </c>
      <c r="B145" t="s">
        <v>574</v>
      </c>
      <c r="C145" s="2" t="s">
        <v>83</v>
      </c>
    </row>
    <row r="146" spans="1:3" x14ac:dyDescent="0.25">
      <c r="A146" s="1" t="s">
        <v>575</v>
      </c>
      <c r="B146" t="s">
        <v>576</v>
      </c>
      <c r="C146" s="2" t="s">
        <v>310</v>
      </c>
    </row>
    <row r="147" spans="1:3" x14ac:dyDescent="0.25">
      <c r="A147" s="1" t="s">
        <v>577</v>
      </c>
      <c r="B147" t="s">
        <v>578</v>
      </c>
      <c r="C147" s="2" t="s">
        <v>310</v>
      </c>
    </row>
    <row r="148" spans="1:3" x14ac:dyDescent="0.25">
      <c r="A148" s="1" t="s">
        <v>579</v>
      </c>
      <c r="B148" t="s">
        <v>580</v>
      </c>
      <c r="C148" s="2" t="s">
        <v>310</v>
      </c>
    </row>
    <row r="149" spans="1:3" x14ac:dyDescent="0.25">
      <c r="A149" s="1" t="s">
        <v>581</v>
      </c>
      <c r="B149" t="s">
        <v>582</v>
      </c>
      <c r="C149" s="2" t="s">
        <v>1191</v>
      </c>
    </row>
    <row r="150" spans="1:3" x14ac:dyDescent="0.25">
      <c r="A150" s="1" t="s">
        <v>583</v>
      </c>
      <c r="B150" t="s">
        <v>584</v>
      </c>
      <c r="C150" s="2" t="s">
        <v>310</v>
      </c>
    </row>
    <row r="151" spans="1:3" x14ac:dyDescent="0.25">
      <c r="A151" s="1" t="s">
        <v>585</v>
      </c>
      <c r="B151" t="s">
        <v>586</v>
      </c>
      <c r="C151" s="2" t="s">
        <v>310</v>
      </c>
    </row>
    <row r="152" spans="1:3" x14ac:dyDescent="0.25">
      <c r="A152" s="1" t="s">
        <v>587</v>
      </c>
      <c r="B152" t="s">
        <v>588</v>
      </c>
      <c r="C152" s="2" t="s">
        <v>310</v>
      </c>
    </row>
    <row r="153" spans="1:3" x14ac:dyDescent="0.25">
      <c r="A153" s="1" t="s">
        <v>589</v>
      </c>
      <c r="B153" t="s">
        <v>590</v>
      </c>
      <c r="C153" s="2" t="s">
        <v>310</v>
      </c>
    </row>
    <row r="154" spans="1:3" x14ac:dyDescent="0.25">
      <c r="A154" s="1" t="s">
        <v>591</v>
      </c>
      <c r="B154" t="s">
        <v>592</v>
      </c>
      <c r="C154" s="2" t="s">
        <v>1191</v>
      </c>
    </row>
    <row r="155" spans="1:3" x14ac:dyDescent="0.25">
      <c r="A155" s="1" t="s">
        <v>593</v>
      </c>
      <c r="B155" t="s">
        <v>594</v>
      </c>
      <c r="C155" s="2" t="s">
        <v>310</v>
      </c>
    </row>
    <row r="156" spans="1:3" x14ac:dyDescent="0.25">
      <c r="A156" s="1" t="s">
        <v>595</v>
      </c>
      <c r="B156" t="s">
        <v>596</v>
      </c>
      <c r="C156" s="2" t="s">
        <v>310</v>
      </c>
    </row>
    <row r="157" spans="1:3" x14ac:dyDescent="0.25">
      <c r="A157" s="1" t="s">
        <v>597</v>
      </c>
      <c r="B157" t="s">
        <v>598</v>
      </c>
      <c r="C157" s="2" t="s">
        <v>310</v>
      </c>
    </row>
    <row r="158" spans="1:3" x14ac:dyDescent="0.25">
      <c r="A158" s="1" t="s">
        <v>599</v>
      </c>
      <c r="B158" t="s">
        <v>600</v>
      </c>
      <c r="C158" s="2" t="s">
        <v>310</v>
      </c>
    </row>
    <row r="159" spans="1:3" x14ac:dyDescent="0.25">
      <c r="A159" s="1" t="s">
        <v>601</v>
      </c>
      <c r="B159" t="s">
        <v>602</v>
      </c>
      <c r="C159" s="2" t="s">
        <v>310</v>
      </c>
    </row>
    <row r="160" spans="1:3" x14ac:dyDescent="0.25">
      <c r="A160" s="1" t="s">
        <v>603</v>
      </c>
      <c r="B160" t="s">
        <v>604</v>
      </c>
      <c r="C160" s="2" t="s">
        <v>1191</v>
      </c>
    </row>
    <row r="161" spans="1:3" x14ac:dyDescent="0.25">
      <c r="A161" s="1" t="s">
        <v>605</v>
      </c>
      <c r="B161" t="s">
        <v>606</v>
      </c>
      <c r="C161" s="2" t="s">
        <v>1191</v>
      </c>
    </row>
    <row r="162" spans="1:3" x14ac:dyDescent="0.25">
      <c r="A162" s="1" t="s">
        <v>607</v>
      </c>
      <c r="B162" t="s">
        <v>608</v>
      </c>
      <c r="C162" s="2" t="s">
        <v>1191</v>
      </c>
    </row>
    <row r="163" spans="1:3" x14ac:dyDescent="0.25">
      <c r="A163" s="1" t="s">
        <v>609</v>
      </c>
      <c r="B163" t="s">
        <v>610</v>
      </c>
      <c r="C163" s="2" t="s">
        <v>310</v>
      </c>
    </row>
    <row r="164" spans="1:3" x14ac:dyDescent="0.25">
      <c r="A164" s="1" t="s">
        <v>611</v>
      </c>
      <c r="B164" t="s">
        <v>612</v>
      </c>
      <c r="C164" s="2" t="s">
        <v>310</v>
      </c>
    </row>
    <row r="165" spans="1:3" x14ac:dyDescent="0.25">
      <c r="A165" s="1" t="s">
        <v>613</v>
      </c>
      <c r="B165" t="s">
        <v>614</v>
      </c>
      <c r="C165" s="2" t="s">
        <v>310</v>
      </c>
    </row>
    <row r="166" spans="1:3" x14ac:dyDescent="0.25">
      <c r="A166" s="1" t="s">
        <v>615</v>
      </c>
      <c r="B166" t="s">
        <v>616</v>
      </c>
      <c r="C166" s="2" t="s">
        <v>310</v>
      </c>
    </row>
    <row r="167" spans="1:3" x14ac:dyDescent="0.25">
      <c r="A167" s="1" t="s">
        <v>617</v>
      </c>
      <c r="B167" t="s">
        <v>618</v>
      </c>
      <c r="C167" s="2" t="s">
        <v>1191</v>
      </c>
    </row>
    <row r="168" spans="1:3" x14ac:dyDescent="0.25">
      <c r="A168" s="1" t="s">
        <v>619</v>
      </c>
      <c r="B168" t="s">
        <v>620</v>
      </c>
      <c r="C168" s="2" t="s">
        <v>1191</v>
      </c>
    </row>
    <row r="169" spans="1:3" x14ac:dyDescent="0.25">
      <c r="A169" s="1" t="s">
        <v>621</v>
      </c>
      <c r="B169" t="s">
        <v>622</v>
      </c>
      <c r="C169" s="2" t="s">
        <v>1191</v>
      </c>
    </row>
    <row r="170" spans="1:3" x14ac:dyDescent="0.25">
      <c r="A170" s="1" t="s">
        <v>623</v>
      </c>
      <c r="B170" t="s">
        <v>624</v>
      </c>
      <c r="C170" s="2" t="s">
        <v>1191</v>
      </c>
    </row>
    <row r="171" spans="1:3" x14ac:dyDescent="0.25">
      <c r="A171" s="1" t="s">
        <v>625</v>
      </c>
      <c r="B171" t="s">
        <v>626</v>
      </c>
      <c r="C171" s="2" t="s">
        <v>1191</v>
      </c>
    </row>
    <row r="172" spans="1:3" x14ac:dyDescent="0.25">
      <c r="A172" s="1" t="s">
        <v>627</v>
      </c>
      <c r="B172" t="s">
        <v>628</v>
      </c>
      <c r="C172" s="2" t="s">
        <v>1191</v>
      </c>
    </row>
    <row r="173" spans="1:3" x14ac:dyDescent="0.25">
      <c r="A173" s="1" t="s">
        <v>629</v>
      </c>
      <c r="B173" t="s">
        <v>630</v>
      </c>
      <c r="C173" s="2" t="s">
        <v>1191</v>
      </c>
    </row>
    <row r="174" spans="1:3" x14ac:dyDescent="0.25">
      <c r="A174" s="1" t="s">
        <v>631</v>
      </c>
      <c r="B174" t="s">
        <v>632</v>
      </c>
      <c r="C174" s="2" t="s">
        <v>310</v>
      </c>
    </row>
    <row r="175" spans="1:3" x14ac:dyDescent="0.25">
      <c r="A175" s="1" t="s">
        <v>633</v>
      </c>
      <c r="B175" t="s">
        <v>634</v>
      </c>
      <c r="C175" s="2" t="s">
        <v>310</v>
      </c>
    </row>
    <row r="176" spans="1:3" x14ac:dyDescent="0.25">
      <c r="A176" s="8" t="s">
        <v>872</v>
      </c>
      <c r="B176" s="9" t="s">
        <v>873</v>
      </c>
      <c r="C176" s="9" t="s">
        <v>1191</v>
      </c>
    </row>
    <row r="177" spans="1:3" x14ac:dyDescent="0.25">
      <c r="A177" s="1" t="s">
        <v>635</v>
      </c>
      <c r="B177" t="s">
        <v>636</v>
      </c>
      <c r="C177" s="2" t="s">
        <v>1191</v>
      </c>
    </row>
    <row r="178" spans="1:3" x14ac:dyDescent="0.25">
      <c r="A178" s="1" t="s">
        <v>637</v>
      </c>
      <c r="B178" t="s">
        <v>638</v>
      </c>
      <c r="C178" s="2" t="s">
        <v>1191</v>
      </c>
    </row>
    <row r="179" spans="1:3" x14ac:dyDescent="0.25">
      <c r="A179" s="1" t="s">
        <v>639</v>
      </c>
      <c r="B179" t="s">
        <v>640</v>
      </c>
      <c r="C179" s="2" t="s">
        <v>46</v>
      </c>
    </row>
    <row r="180" spans="1:3" x14ac:dyDescent="0.25">
      <c r="A180" s="1" t="s">
        <v>641</v>
      </c>
      <c r="B180" t="s">
        <v>642</v>
      </c>
      <c r="C180" s="2" t="s">
        <v>1191</v>
      </c>
    </row>
    <row r="181" spans="1:3" x14ac:dyDescent="0.25">
      <c r="A181" s="1" t="s">
        <v>643</v>
      </c>
      <c r="B181" t="s">
        <v>644</v>
      </c>
      <c r="C181" s="2" t="s">
        <v>804</v>
      </c>
    </row>
    <row r="182" spans="1:3" x14ac:dyDescent="0.25">
      <c r="A182" s="1" t="s">
        <v>645</v>
      </c>
      <c r="B182" t="s">
        <v>646</v>
      </c>
      <c r="C182" s="2" t="s">
        <v>1191</v>
      </c>
    </row>
    <row r="183" spans="1:3" x14ac:dyDescent="0.25">
      <c r="A183" s="1" t="s">
        <v>647</v>
      </c>
      <c r="B183" t="s">
        <v>648</v>
      </c>
      <c r="C183" s="2" t="s">
        <v>804</v>
      </c>
    </row>
    <row r="184" spans="1:3" x14ac:dyDescent="0.25">
      <c r="A184" s="1" t="s">
        <v>649</v>
      </c>
      <c r="B184" t="s">
        <v>650</v>
      </c>
      <c r="C184" s="2" t="s">
        <v>1191</v>
      </c>
    </row>
    <row r="185" spans="1:3" x14ac:dyDescent="0.25">
      <c r="A185" s="1" t="s">
        <v>651</v>
      </c>
      <c r="B185" t="s">
        <v>652</v>
      </c>
      <c r="C185" s="2" t="s">
        <v>1191</v>
      </c>
    </row>
    <row r="186" spans="1:3" x14ac:dyDescent="0.25">
      <c r="A186" s="1" t="s">
        <v>653</v>
      </c>
      <c r="B186" t="s">
        <v>654</v>
      </c>
      <c r="C186" s="2" t="s">
        <v>1191</v>
      </c>
    </row>
    <row r="187" spans="1:3" x14ac:dyDescent="0.25">
      <c r="A187" s="1" t="s">
        <v>655</v>
      </c>
      <c r="B187" t="s">
        <v>656</v>
      </c>
      <c r="C187" s="2" t="s">
        <v>310</v>
      </c>
    </row>
    <row r="188" spans="1:3" x14ac:dyDescent="0.25">
      <c r="A188" s="1" t="s">
        <v>657</v>
      </c>
      <c r="B188" t="s">
        <v>658</v>
      </c>
      <c r="C188" s="2" t="s">
        <v>310</v>
      </c>
    </row>
    <row r="189" spans="1:3" x14ac:dyDescent="0.25">
      <c r="A189" s="1" t="s">
        <v>659</v>
      </c>
      <c r="B189" t="s">
        <v>660</v>
      </c>
      <c r="C189" s="2" t="s">
        <v>310</v>
      </c>
    </row>
    <row r="190" spans="1:3" x14ac:dyDescent="0.25">
      <c r="A190" s="1" t="s">
        <v>661</v>
      </c>
      <c r="B190" t="s">
        <v>662</v>
      </c>
      <c r="C190" s="2" t="s">
        <v>310</v>
      </c>
    </row>
    <row r="191" spans="1:3" x14ac:dyDescent="0.25">
      <c r="A191" s="1" t="s">
        <v>663</v>
      </c>
      <c r="B191" t="s">
        <v>664</v>
      </c>
      <c r="C191" s="2" t="s">
        <v>1191</v>
      </c>
    </row>
    <row r="192" spans="1:3" x14ac:dyDescent="0.25">
      <c r="A192" s="1" t="s">
        <v>665</v>
      </c>
      <c r="B192" t="s">
        <v>666</v>
      </c>
      <c r="C192" s="2" t="s">
        <v>310</v>
      </c>
    </row>
    <row r="193" spans="1:3" x14ac:dyDescent="0.25">
      <c r="A193" s="1" t="s">
        <v>667</v>
      </c>
      <c r="B193" t="s">
        <v>668</v>
      </c>
      <c r="C193" s="2" t="s">
        <v>310</v>
      </c>
    </row>
    <row r="194" spans="1:3" x14ac:dyDescent="0.25">
      <c r="A194" s="1" t="s">
        <v>669</v>
      </c>
      <c r="B194" t="s">
        <v>670</v>
      </c>
      <c r="C194" s="2" t="s">
        <v>310</v>
      </c>
    </row>
    <row r="195" spans="1:3" x14ac:dyDescent="0.25">
      <c r="A195" s="1" t="s">
        <v>671</v>
      </c>
      <c r="B195" t="s">
        <v>672</v>
      </c>
      <c r="C195" s="2" t="s">
        <v>1191</v>
      </c>
    </row>
    <row r="196" spans="1:3" x14ac:dyDescent="0.25">
      <c r="A196" s="1" t="s">
        <v>673</v>
      </c>
      <c r="B196" t="s">
        <v>674</v>
      </c>
      <c r="C196" s="2" t="s">
        <v>1191</v>
      </c>
    </row>
    <row r="197" spans="1:3" x14ac:dyDescent="0.25">
      <c r="A197" s="1" t="s">
        <v>675</v>
      </c>
      <c r="B197" t="s">
        <v>676</v>
      </c>
      <c r="C197" s="2" t="s">
        <v>1191</v>
      </c>
    </row>
    <row r="198" spans="1:3" x14ac:dyDescent="0.25">
      <c r="A198" s="1" t="s">
        <v>677</v>
      </c>
      <c r="B198" t="s">
        <v>678</v>
      </c>
      <c r="C198" s="2" t="s">
        <v>1191</v>
      </c>
    </row>
    <row r="199" spans="1:3" x14ac:dyDescent="0.25">
      <c r="A199" s="1" t="s">
        <v>679</v>
      </c>
      <c r="B199" t="s">
        <v>680</v>
      </c>
      <c r="C199" s="2" t="s">
        <v>1191</v>
      </c>
    </row>
    <row r="200" spans="1:3" x14ac:dyDescent="0.25">
      <c r="A200" s="1" t="s">
        <v>681</v>
      </c>
      <c r="B200" t="s">
        <v>682</v>
      </c>
      <c r="C200" s="2" t="s">
        <v>1191</v>
      </c>
    </row>
    <row r="201" spans="1:3" x14ac:dyDescent="0.25">
      <c r="A201" s="1" t="s">
        <v>683</v>
      </c>
      <c r="B201" t="s">
        <v>684</v>
      </c>
      <c r="C201" s="2" t="s">
        <v>1191</v>
      </c>
    </row>
    <row r="202" spans="1:3" x14ac:dyDescent="0.25">
      <c r="A202" s="1" t="s">
        <v>685</v>
      </c>
      <c r="B202" t="s">
        <v>686</v>
      </c>
      <c r="C202" s="2" t="s">
        <v>1191</v>
      </c>
    </row>
    <row r="203" spans="1:3" x14ac:dyDescent="0.25">
      <c r="A203" s="1" t="s">
        <v>687</v>
      </c>
      <c r="B203" t="s">
        <v>688</v>
      </c>
      <c r="C203" s="2" t="s">
        <v>1191</v>
      </c>
    </row>
    <row r="204" spans="1:3" x14ac:dyDescent="0.25">
      <c r="A204" s="1" t="s">
        <v>689</v>
      </c>
      <c r="B204" t="s">
        <v>690</v>
      </c>
      <c r="C204" s="2" t="s">
        <v>1191</v>
      </c>
    </row>
    <row r="205" spans="1:3" x14ac:dyDescent="0.25">
      <c r="A205" s="1" t="s">
        <v>691</v>
      </c>
      <c r="B205" t="s">
        <v>692</v>
      </c>
      <c r="C205" s="2" t="s">
        <v>310</v>
      </c>
    </row>
    <row r="206" spans="1:3" x14ac:dyDescent="0.25">
      <c r="A206" s="1" t="s">
        <v>693</v>
      </c>
      <c r="B206" t="s">
        <v>694</v>
      </c>
      <c r="C206" s="2" t="s">
        <v>310</v>
      </c>
    </row>
    <row r="207" spans="1:3" x14ac:dyDescent="0.25">
      <c r="A207" s="1" t="s">
        <v>695</v>
      </c>
      <c r="B207" t="s">
        <v>696</v>
      </c>
      <c r="C207" s="2" t="s">
        <v>310</v>
      </c>
    </row>
    <row r="208" spans="1:3" x14ac:dyDescent="0.25">
      <c r="A208" s="1" t="s">
        <v>697</v>
      </c>
      <c r="B208" t="s">
        <v>698</v>
      </c>
      <c r="C208" s="2" t="s">
        <v>310</v>
      </c>
    </row>
    <row r="209" spans="1:3" x14ac:dyDescent="0.25">
      <c r="A209" s="1" t="s">
        <v>699</v>
      </c>
      <c r="B209" t="s">
        <v>700</v>
      </c>
      <c r="C209" s="2" t="s">
        <v>310</v>
      </c>
    </row>
    <row r="210" spans="1:3" x14ac:dyDescent="0.25">
      <c r="A210" s="1" t="s">
        <v>701</v>
      </c>
      <c r="B210" t="s">
        <v>702</v>
      </c>
      <c r="C210" s="2" t="s">
        <v>310</v>
      </c>
    </row>
    <row r="211" spans="1:3" x14ac:dyDescent="0.25">
      <c r="A211" s="1" t="s">
        <v>703</v>
      </c>
      <c r="B211" t="s">
        <v>704</v>
      </c>
      <c r="C211" s="2" t="s">
        <v>310</v>
      </c>
    </row>
    <row r="212" spans="1:3" x14ac:dyDescent="0.25">
      <c r="A212" s="1" t="s">
        <v>705</v>
      </c>
      <c r="B212" t="s">
        <v>706</v>
      </c>
      <c r="C212" s="2" t="s">
        <v>310</v>
      </c>
    </row>
    <row r="213" spans="1:3" x14ac:dyDescent="0.25">
      <c r="A213" s="1" t="s">
        <v>707</v>
      </c>
      <c r="B213" t="s">
        <v>708</v>
      </c>
      <c r="C213" s="2" t="s">
        <v>310</v>
      </c>
    </row>
    <row r="214" spans="1:3" x14ac:dyDescent="0.25">
      <c r="A214" s="1" t="s">
        <v>709</v>
      </c>
      <c r="B214" t="s">
        <v>710</v>
      </c>
      <c r="C214" s="2" t="s">
        <v>310</v>
      </c>
    </row>
    <row r="215" spans="1:3" x14ac:dyDescent="0.25">
      <c r="A215" s="1" t="s">
        <v>711</v>
      </c>
      <c r="B215" t="s">
        <v>712</v>
      </c>
      <c r="C215" s="2" t="s">
        <v>310</v>
      </c>
    </row>
    <row r="216" spans="1:3" x14ac:dyDescent="0.25">
      <c r="A216" s="1" t="s">
        <v>713</v>
      </c>
      <c r="B216" t="s">
        <v>714</v>
      </c>
      <c r="C216" s="2" t="s">
        <v>310</v>
      </c>
    </row>
    <row r="217" spans="1:3" x14ac:dyDescent="0.25">
      <c r="A217" s="1" t="s">
        <v>715</v>
      </c>
      <c r="B217" t="s">
        <v>716</v>
      </c>
      <c r="C217" s="2" t="s">
        <v>310</v>
      </c>
    </row>
    <row r="218" spans="1:3" x14ac:dyDescent="0.25">
      <c r="A218" s="1" t="s">
        <v>717</v>
      </c>
      <c r="B218" t="s">
        <v>718</v>
      </c>
      <c r="C218" s="2" t="s">
        <v>310</v>
      </c>
    </row>
    <row r="219" spans="1:3" x14ac:dyDescent="0.25">
      <c r="A219" s="1" t="s">
        <v>719</v>
      </c>
      <c r="B219" t="s">
        <v>720</v>
      </c>
      <c r="C219" s="2" t="s">
        <v>310</v>
      </c>
    </row>
    <row r="220" spans="1:3" x14ac:dyDescent="0.25">
      <c r="A220" s="1" t="s">
        <v>721</v>
      </c>
      <c r="B220" t="s">
        <v>722</v>
      </c>
      <c r="C220" s="2" t="s">
        <v>310</v>
      </c>
    </row>
    <row r="221" spans="1:3" x14ac:dyDescent="0.25">
      <c r="A221" s="1" t="s">
        <v>723</v>
      </c>
      <c r="B221" t="s">
        <v>724</v>
      </c>
      <c r="C221" s="2" t="s">
        <v>310</v>
      </c>
    </row>
    <row r="222" spans="1:3" x14ac:dyDescent="0.25">
      <c r="A222" s="1" t="s">
        <v>725</v>
      </c>
      <c r="B222" t="s">
        <v>726</v>
      </c>
      <c r="C222" s="2" t="s">
        <v>310</v>
      </c>
    </row>
    <row r="223" spans="1:3" x14ac:dyDescent="0.25">
      <c r="A223" s="1" t="s">
        <v>727</v>
      </c>
      <c r="B223" t="s">
        <v>728</v>
      </c>
      <c r="C223" s="2" t="s">
        <v>310</v>
      </c>
    </row>
    <row r="224" spans="1:3" x14ac:dyDescent="0.25">
      <c r="A224" s="1" t="s">
        <v>729</v>
      </c>
      <c r="B224" t="s">
        <v>730</v>
      </c>
      <c r="C224" s="2" t="s">
        <v>310</v>
      </c>
    </row>
    <row r="225" spans="1:3" x14ac:dyDescent="0.25">
      <c r="A225" s="1" t="s">
        <v>731</v>
      </c>
      <c r="B225" t="s">
        <v>732</v>
      </c>
      <c r="C225" s="2" t="s">
        <v>1191</v>
      </c>
    </row>
    <row r="226" spans="1:3" x14ac:dyDescent="0.25">
      <c r="A226" s="1" t="s">
        <v>733</v>
      </c>
      <c r="B226" t="s">
        <v>734</v>
      </c>
      <c r="C226" s="2" t="s">
        <v>310</v>
      </c>
    </row>
    <row r="227" spans="1:3" x14ac:dyDescent="0.25">
      <c r="A227" s="1" t="s">
        <v>735</v>
      </c>
      <c r="B227" t="s">
        <v>736</v>
      </c>
      <c r="C227" s="2" t="s">
        <v>310</v>
      </c>
    </row>
    <row r="228" spans="1:3" x14ac:dyDescent="0.25">
      <c r="A228" s="1" t="s">
        <v>737</v>
      </c>
      <c r="B228" t="s">
        <v>738</v>
      </c>
      <c r="C228" s="2" t="s">
        <v>1191</v>
      </c>
    </row>
    <row r="229" spans="1:3" x14ac:dyDescent="0.25">
      <c r="A229" s="1" t="s">
        <v>739</v>
      </c>
      <c r="B229" t="s">
        <v>743</v>
      </c>
      <c r="C229" s="2" t="s">
        <v>1191</v>
      </c>
    </row>
    <row r="230" spans="1:3" x14ac:dyDescent="0.25">
      <c r="A230" s="1" t="s">
        <v>744</v>
      </c>
      <c r="B230" t="s">
        <v>745</v>
      </c>
      <c r="C230" s="2" t="s">
        <v>1191</v>
      </c>
    </row>
    <row r="231" spans="1:3" x14ac:dyDescent="0.25">
      <c r="A231" s="1" t="s">
        <v>746</v>
      </c>
      <c r="B231" t="s">
        <v>747</v>
      </c>
      <c r="C231" s="2" t="s">
        <v>1191</v>
      </c>
    </row>
    <row r="232" spans="1:3" x14ac:dyDescent="0.25">
      <c r="A232" s="1" t="s">
        <v>748</v>
      </c>
      <c r="B232" t="s">
        <v>749</v>
      </c>
      <c r="C232" s="2" t="s">
        <v>1191</v>
      </c>
    </row>
    <row r="233" spans="1:3" x14ac:dyDescent="0.25">
      <c r="A233" s="1" t="s">
        <v>750</v>
      </c>
      <c r="B233" t="s">
        <v>751</v>
      </c>
      <c r="C233" s="2" t="s">
        <v>1191</v>
      </c>
    </row>
    <row r="234" spans="1:3" x14ac:dyDescent="0.25">
      <c r="A234" s="1" t="s">
        <v>752</v>
      </c>
      <c r="B234" t="s">
        <v>753</v>
      </c>
      <c r="C234" s="2" t="s">
        <v>1191</v>
      </c>
    </row>
    <row r="235" spans="1:3" x14ac:dyDescent="0.25">
      <c r="A235" s="1" t="s">
        <v>754</v>
      </c>
      <c r="B235" t="s">
        <v>755</v>
      </c>
      <c r="C235" s="2" t="s">
        <v>1191</v>
      </c>
    </row>
    <row r="236" spans="1:3" x14ac:dyDescent="0.25">
      <c r="A236" s="1" t="s">
        <v>756</v>
      </c>
      <c r="B236" t="s">
        <v>757</v>
      </c>
      <c r="C236" s="2" t="s">
        <v>1191</v>
      </c>
    </row>
    <row r="237" spans="1:3" x14ac:dyDescent="0.25">
      <c r="A237" s="1" t="s">
        <v>758</v>
      </c>
      <c r="B237" t="s">
        <v>759</v>
      </c>
      <c r="C237" s="2" t="s">
        <v>1191</v>
      </c>
    </row>
    <row r="238" spans="1:3" x14ac:dyDescent="0.25">
      <c r="A238" s="1" t="s">
        <v>760</v>
      </c>
      <c r="B238" t="s">
        <v>761</v>
      </c>
      <c r="C238" s="2" t="s">
        <v>1191</v>
      </c>
    </row>
    <row r="239" spans="1:3" x14ac:dyDescent="0.25">
      <c r="A239" s="1" t="s">
        <v>762</v>
      </c>
      <c r="B239" t="s">
        <v>763</v>
      </c>
      <c r="C239" s="2" t="s">
        <v>1191</v>
      </c>
    </row>
    <row r="240" spans="1:3" x14ac:dyDescent="0.25">
      <c r="A240" s="1" t="s">
        <v>764</v>
      </c>
      <c r="B240" t="s">
        <v>765</v>
      </c>
      <c r="C240" s="2" t="s">
        <v>1191</v>
      </c>
    </row>
    <row r="241" spans="1:3" x14ac:dyDescent="0.25">
      <c r="A241" s="1" t="s">
        <v>766</v>
      </c>
      <c r="B241" t="s">
        <v>767</v>
      </c>
      <c r="C241" s="2" t="s">
        <v>1191</v>
      </c>
    </row>
    <row r="242" spans="1:3" x14ac:dyDescent="0.25">
      <c r="A242" s="1" t="s">
        <v>768</v>
      </c>
      <c r="B242" t="s">
        <v>769</v>
      </c>
      <c r="C242" s="2" t="s">
        <v>1191</v>
      </c>
    </row>
    <row r="243" spans="1:3" x14ac:dyDescent="0.25">
      <c r="A243" s="1" t="s">
        <v>770</v>
      </c>
      <c r="B243" t="s">
        <v>771</v>
      </c>
      <c r="C243" s="2" t="s">
        <v>1191</v>
      </c>
    </row>
    <row r="244" spans="1:3" x14ac:dyDescent="0.25">
      <c r="A244" s="1" t="s">
        <v>772</v>
      </c>
      <c r="B244" t="s">
        <v>773</v>
      </c>
      <c r="C244" s="2" t="s">
        <v>1191</v>
      </c>
    </row>
    <row r="245" spans="1:3" x14ac:dyDescent="0.25">
      <c r="A245" s="1" t="s">
        <v>774</v>
      </c>
      <c r="B245" t="s">
        <v>775</v>
      </c>
      <c r="C245" s="2" t="s">
        <v>1191</v>
      </c>
    </row>
    <row r="246" spans="1:3" x14ac:dyDescent="0.25">
      <c r="A246" s="1" t="s">
        <v>776</v>
      </c>
      <c r="B246" t="s">
        <v>777</v>
      </c>
      <c r="C246" s="2" t="s">
        <v>1191</v>
      </c>
    </row>
    <row r="247" spans="1:3" x14ac:dyDescent="0.25">
      <c r="A247" s="1" t="s">
        <v>778</v>
      </c>
      <c r="B247" t="s">
        <v>779</v>
      </c>
      <c r="C247" s="2" t="s">
        <v>1191</v>
      </c>
    </row>
    <row r="248" spans="1:3" x14ac:dyDescent="0.25">
      <c r="A248" s="1" t="s">
        <v>780</v>
      </c>
      <c r="B248" t="s">
        <v>781</v>
      </c>
      <c r="C248" s="2" t="s">
        <v>1191</v>
      </c>
    </row>
    <row r="249" spans="1:3" x14ac:dyDescent="0.25">
      <c r="A249" s="1" t="s">
        <v>782</v>
      </c>
      <c r="B249" t="s">
        <v>783</v>
      </c>
      <c r="C249" s="2" t="s">
        <v>1191</v>
      </c>
    </row>
    <row r="250" spans="1:3" x14ac:dyDescent="0.25">
      <c r="A250" s="1" t="s">
        <v>784</v>
      </c>
      <c r="B250" t="s">
        <v>785</v>
      </c>
      <c r="C250" s="2" t="s">
        <v>1191</v>
      </c>
    </row>
    <row r="251" spans="1:3" x14ac:dyDescent="0.25">
      <c r="A251" s="1" t="s">
        <v>786</v>
      </c>
      <c r="B251" t="s">
        <v>787</v>
      </c>
      <c r="C251" s="2" t="s">
        <v>1191</v>
      </c>
    </row>
    <row r="252" spans="1:3" x14ac:dyDescent="0.25">
      <c r="A252" s="1" t="s">
        <v>788</v>
      </c>
      <c r="B252" t="s">
        <v>789</v>
      </c>
      <c r="C252" s="2" t="s">
        <v>1191</v>
      </c>
    </row>
    <row r="253" spans="1:3" x14ac:dyDescent="0.25">
      <c r="A253" s="1" t="s">
        <v>790</v>
      </c>
      <c r="B253" t="s">
        <v>791</v>
      </c>
      <c r="C253" s="2" t="s">
        <v>1191</v>
      </c>
    </row>
    <row r="254" spans="1:3" x14ac:dyDescent="0.25">
      <c r="A254" s="1" t="s">
        <v>792</v>
      </c>
      <c r="B254" t="s">
        <v>793</v>
      </c>
      <c r="C254" s="2" t="s">
        <v>1191</v>
      </c>
    </row>
    <row r="255" spans="1:3" x14ac:dyDescent="0.25">
      <c r="A255" s="1" t="s">
        <v>794</v>
      </c>
      <c r="B255" t="s">
        <v>795</v>
      </c>
      <c r="C255" s="2" t="s">
        <v>1191</v>
      </c>
    </row>
    <row r="256" spans="1:3" x14ac:dyDescent="0.25">
      <c r="A256" s="1" t="s">
        <v>796</v>
      </c>
      <c r="B256" t="s">
        <v>797</v>
      </c>
      <c r="C256" s="2" t="s">
        <v>1191</v>
      </c>
    </row>
    <row r="257" spans="1:3" x14ac:dyDescent="0.25">
      <c r="A257" t="s">
        <v>286</v>
      </c>
      <c r="B257" t="s">
        <v>285</v>
      </c>
      <c r="C257" s="2" t="s">
        <v>83</v>
      </c>
    </row>
    <row r="258" spans="1:3" x14ac:dyDescent="0.25">
      <c r="A258" t="s">
        <v>284</v>
      </c>
      <c r="B258" t="s">
        <v>283</v>
      </c>
      <c r="C258" s="2" t="s">
        <v>83</v>
      </c>
    </row>
    <row r="259" spans="1:3" x14ac:dyDescent="0.25">
      <c r="A259" t="s">
        <v>282</v>
      </c>
      <c r="B259" t="s">
        <v>281</v>
      </c>
      <c r="C259" s="2" t="s">
        <v>83</v>
      </c>
    </row>
    <row r="260" spans="1:3" x14ac:dyDescent="0.25">
      <c r="A260" t="s">
        <v>280</v>
      </c>
      <c r="B260" t="s">
        <v>279</v>
      </c>
      <c r="C260" s="2" t="s">
        <v>83</v>
      </c>
    </row>
    <row r="261" spans="1:3" x14ac:dyDescent="0.25">
      <c r="A261" t="s">
        <v>278</v>
      </c>
      <c r="B261" t="s">
        <v>277</v>
      </c>
      <c r="C261" s="2" t="s">
        <v>83</v>
      </c>
    </row>
    <row r="262" spans="1:3" x14ac:dyDescent="0.25">
      <c r="A262" t="s">
        <v>276</v>
      </c>
      <c r="B262" t="s">
        <v>275</v>
      </c>
      <c r="C262" s="2" t="s">
        <v>83</v>
      </c>
    </row>
    <row r="263" spans="1:3" x14ac:dyDescent="0.25">
      <c r="A263" s="1" t="s">
        <v>274</v>
      </c>
      <c r="B263" t="s">
        <v>273</v>
      </c>
      <c r="C263" s="2" t="s">
        <v>46</v>
      </c>
    </row>
    <row r="264" spans="1:3" x14ac:dyDescent="0.25">
      <c r="A264" s="1" t="s">
        <v>272</v>
      </c>
      <c r="B264" t="s">
        <v>271</v>
      </c>
      <c r="C264" s="9" t="s">
        <v>46</v>
      </c>
    </row>
    <row r="265" spans="1:3" x14ac:dyDescent="0.25">
      <c r="A265" s="1" t="s">
        <v>270</v>
      </c>
      <c r="B265" t="s">
        <v>269</v>
      </c>
      <c r="C265" s="2" t="s">
        <v>1191</v>
      </c>
    </row>
    <row r="266" spans="1:3" x14ac:dyDescent="0.25">
      <c r="A266" s="1" t="s">
        <v>268</v>
      </c>
      <c r="B266" t="s">
        <v>267</v>
      </c>
      <c r="C266" s="2" t="s">
        <v>83</v>
      </c>
    </row>
    <row r="267" spans="1:3" x14ac:dyDescent="0.25">
      <c r="A267" s="1" t="s">
        <v>266</v>
      </c>
      <c r="B267" t="s">
        <v>265</v>
      </c>
      <c r="C267" s="2" t="s">
        <v>83</v>
      </c>
    </row>
    <row r="268" spans="1:3" x14ac:dyDescent="0.25">
      <c r="A268" s="1" t="s">
        <v>264</v>
      </c>
      <c r="B268" t="s">
        <v>263</v>
      </c>
      <c r="C268" s="2" t="s">
        <v>83</v>
      </c>
    </row>
    <row r="269" spans="1:3" x14ac:dyDescent="0.25">
      <c r="A269" s="1" t="s">
        <v>262</v>
      </c>
      <c r="B269" t="s">
        <v>261</v>
      </c>
      <c r="C269" s="2" t="s">
        <v>46</v>
      </c>
    </row>
    <row r="270" spans="1:3" x14ac:dyDescent="0.25">
      <c r="A270" s="1" t="s">
        <v>260</v>
      </c>
      <c r="B270" t="s">
        <v>259</v>
      </c>
      <c r="C270" s="2" t="s">
        <v>804</v>
      </c>
    </row>
    <row r="271" spans="1:3" x14ac:dyDescent="0.25">
      <c r="A271" s="1" t="s">
        <v>258</v>
      </c>
      <c r="B271" t="s">
        <v>257</v>
      </c>
      <c r="C271" s="2" t="s">
        <v>46</v>
      </c>
    </row>
    <row r="272" spans="1:3" x14ac:dyDescent="0.25">
      <c r="A272" s="1" t="s">
        <v>256</v>
      </c>
      <c r="B272" t="s">
        <v>255</v>
      </c>
      <c r="C272" s="2" t="s">
        <v>46</v>
      </c>
    </row>
    <row r="273" spans="1:3" x14ac:dyDescent="0.25">
      <c r="A273" s="1" t="s">
        <v>254</v>
      </c>
      <c r="B273" t="s">
        <v>253</v>
      </c>
      <c r="C273" s="2" t="s">
        <v>1191</v>
      </c>
    </row>
    <row r="274" spans="1:3" x14ac:dyDescent="0.25">
      <c r="A274" s="1" t="s">
        <v>252</v>
      </c>
      <c r="B274" t="s">
        <v>251</v>
      </c>
      <c r="C274" s="2" t="s">
        <v>83</v>
      </c>
    </row>
    <row r="275" spans="1:3" x14ac:dyDescent="0.25">
      <c r="A275" s="1" t="s">
        <v>250</v>
      </c>
      <c r="B275" t="s">
        <v>249</v>
      </c>
      <c r="C275" s="2" t="s">
        <v>83</v>
      </c>
    </row>
    <row r="276" spans="1:3" x14ac:dyDescent="0.25">
      <c r="A276" s="1" t="s">
        <v>248</v>
      </c>
      <c r="B276" t="s">
        <v>247</v>
      </c>
      <c r="C276" s="9" t="s">
        <v>46</v>
      </c>
    </row>
    <row r="277" spans="1:3" x14ac:dyDescent="0.25">
      <c r="A277" s="1" t="s">
        <v>246</v>
      </c>
      <c r="B277" t="s">
        <v>245</v>
      </c>
      <c r="C277" s="2" t="s">
        <v>46</v>
      </c>
    </row>
    <row r="278" spans="1:3" x14ac:dyDescent="0.25">
      <c r="A278" s="1" t="s">
        <v>244</v>
      </c>
      <c r="B278" t="s">
        <v>243</v>
      </c>
      <c r="C278" s="2" t="s">
        <v>1191</v>
      </c>
    </row>
    <row r="279" spans="1:3" x14ac:dyDescent="0.25">
      <c r="A279" s="3" t="s">
        <v>242</v>
      </c>
      <c r="B279" t="s">
        <v>241</v>
      </c>
      <c r="C279" s="2" t="s">
        <v>83</v>
      </c>
    </row>
    <row r="280" spans="1:3" x14ac:dyDescent="0.25">
      <c r="A280" s="3" t="s">
        <v>240</v>
      </c>
      <c r="B280" t="s">
        <v>239</v>
      </c>
      <c r="C280" s="2" t="s">
        <v>83</v>
      </c>
    </row>
    <row r="281" spans="1:3" x14ac:dyDescent="0.25">
      <c r="A281" s="3" t="s">
        <v>238</v>
      </c>
      <c r="B281" t="s">
        <v>237</v>
      </c>
      <c r="C281" s="2" t="s">
        <v>83</v>
      </c>
    </row>
    <row r="282" spans="1:3" x14ac:dyDescent="0.25">
      <c r="A282" s="4" t="s">
        <v>1</v>
      </c>
      <c r="B282" t="s">
        <v>236</v>
      </c>
      <c r="C282" s="2" t="s">
        <v>83</v>
      </c>
    </row>
    <row r="283" spans="1:3" x14ac:dyDescent="0.25">
      <c r="A283" s="4" t="s">
        <v>235</v>
      </c>
      <c r="B283" t="s">
        <v>234</v>
      </c>
      <c r="C283" s="2" t="s">
        <v>83</v>
      </c>
    </row>
    <row r="284" spans="1:3" x14ac:dyDescent="0.25">
      <c r="A284" s="4" t="s">
        <v>2</v>
      </c>
      <c r="B284" t="s">
        <v>233</v>
      </c>
      <c r="C284" s="2" t="s">
        <v>83</v>
      </c>
    </row>
    <row r="285" spans="1:3" x14ac:dyDescent="0.25">
      <c r="A285" s="4" t="s">
        <v>3</v>
      </c>
      <c r="B285" t="s">
        <v>232</v>
      </c>
      <c r="C285" s="2" t="s">
        <v>83</v>
      </c>
    </row>
    <row r="286" spans="1:3" x14ac:dyDescent="0.25">
      <c r="A286" s="4" t="s">
        <v>231</v>
      </c>
      <c r="B286" t="s">
        <v>230</v>
      </c>
      <c r="C286" s="2" t="s">
        <v>83</v>
      </c>
    </row>
    <row r="287" spans="1:3" x14ac:dyDescent="0.25">
      <c r="A287" s="4" t="s">
        <v>229</v>
      </c>
      <c r="B287" t="s">
        <v>228</v>
      </c>
      <c r="C287" s="2" t="s">
        <v>83</v>
      </c>
    </row>
    <row r="288" spans="1:3" x14ac:dyDescent="0.25">
      <c r="A288" s="4" t="s">
        <v>227</v>
      </c>
      <c r="B288" t="s">
        <v>226</v>
      </c>
      <c r="C288" s="2" t="s">
        <v>83</v>
      </c>
    </row>
    <row r="289" spans="1:3" x14ac:dyDescent="0.25">
      <c r="A289" s="4" t="s">
        <v>225</v>
      </c>
      <c r="B289" t="s">
        <v>224</v>
      </c>
      <c r="C289" s="2" t="s">
        <v>83</v>
      </c>
    </row>
    <row r="290" spans="1:3" x14ac:dyDescent="0.25">
      <c r="A290" s="4" t="s">
        <v>223</v>
      </c>
      <c r="B290" t="s">
        <v>222</v>
      </c>
      <c r="C290" s="2" t="s">
        <v>83</v>
      </c>
    </row>
    <row r="291" spans="1:3" x14ac:dyDescent="0.25">
      <c r="A291" s="4" t="s">
        <v>221</v>
      </c>
      <c r="B291" t="s">
        <v>220</v>
      </c>
      <c r="C291" s="2" t="s">
        <v>83</v>
      </c>
    </row>
    <row r="292" spans="1:3" x14ac:dyDescent="0.25">
      <c r="A292" s="4" t="s">
        <v>219</v>
      </c>
      <c r="B292" t="s">
        <v>218</v>
      </c>
      <c r="C292" s="2" t="s">
        <v>83</v>
      </c>
    </row>
    <row r="293" spans="1:3" x14ac:dyDescent="0.25">
      <c r="A293" s="4" t="s">
        <v>217</v>
      </c>
      <c r="B293" t="s">
        <v>216</v>
      </c>
      <c r="C293" s="2" t="s">
        <v>83</v>
      </c>
    </row>
    <row r="294" spans="1:3" x14ac:dyDescent="0.25">
      <c r="A294" s="4" t="s">
        <v>215</v>
      </c>
      <c r="B294" t="s">
        <v>214</v>
      </c>
      <c r="C294" s="2" t="s">
        <v>83</v>
      </c>
    </row>
    <row r="295" spans="1:3" x14ac:dyDescent="0.25">
      <c r="A295" s="4" t="s">
        <v>213</v>
      </c>
      <c r="B295" t="s">
        <v>212</v>
      </c>
      <c r="C295" s="2" t="s">
        <v>83</v>
      </c>
    </row>
    <row r="296" spans="1:3" x14ac:dyDescent="0.25">
      <c r="A296" s="4" t="s">
        <v>211</v>
      </c>
      <c r="B296" t="s">
        <v>210</v>
      </c>
      <c r="C296" s="2" t="s">
        <v>83</v>
      </c>
    </row>
    <row r="297" spans="1:3" x14ac:dyDescent="0.25">
      <c r="A297" s="4" t="s">
        <v>209</v>
      </c>
      <c r="B297" t="s">
        <v>208</v>
      </c>
      <c r="C297" s="2" t="s">
        <v>83</v>
      </c>
    </row>
    <row r="298" spans="1:3" x14ac:dyDescent="0.25">
      <c r="A298" s="4" t="s">
        <v>207</v>
      </c>
      <c r="B298" t="s">
        <v>206</v>
      </c>
      <c r="C298" s="2" t="s">
        <v>83</v>
      </c>
    </row>
    <row r="299" spans="1:3" x14ac:dyDescent="0.25">
      <c r="A299" s="4" t="s">
        <v>205</v>
      </c>
      <c r="B299" t="s">
        <v>204</v>
      </c>
      <c r="C299" s="2" t="s">
        <v>83</v>
      </c>
    </row>
    <row r="300" spans="1:3" x14ac:dyDescent="0.25">
      <c r="A300" s="4" t="s">
        <v>203</v>
      </c>
      <c r="B300" t="s">
        <v>202</v>
      </c>
      <c r="C300" s="2" t="s">
        <v>83</v>
      </c>
    </row>
    <row r="301" spans="1:3" x14ac:dyDescent="0.25">
      <c r="A301" s="5" t="s">
        <v>201</v>
      </c>
      <c r="B301" s="6" t="s">
        <v>200</v>
      </c>
      <c r="C301" s="2" t="s">
        <v>83</v>
      </c>
    </row>
    <row r="302" spans="1:3" x14ac:dyDescent="0.25">
      <c r="A302" s="7" t="s">
        <v>199</v>
      </c>
      <c r="B302" s="6" t="s">
        <v>198</v>
      </c>
      <c r="C302" s="2" t="s">
        <v>83</v>
      </c>
    </row>
    <row r="303" spans="1:3" x14ac:dyDescent="0.25">
      <c r="A303" s="1" t="s">
        <v>197</v>
      </c>
      <c r="B303" t="s">
        <v>196</v>
      </c>
      <c r="C303" s="2" t="s">
        <v>83</v>
      </c>
    </row>
    <row r="304" spans="1:3" x14ac:dyDescent="0.25">
      <c r="A304" s="1" t="s">
        <v>195</v>
      </c>
      <c r="B304" t="s">
        <v>194</v>
      </c>
      <c r="C304" s="2" t="s">
        <v>83</v>
      </c>
    </row>
    <row r="305" spans="1:3" x14ac:dyDescent="0.25">
      <c r="A305" s="1" t="s">
        <v>193</v>
      </c>
      <c r="B305" t="s">
        <v>192</v>
      </c>
      <c r="C305" s="2" t="s">
        <v>83</v>
      </c>
    </row>
    <row r="306" spans="1:3" x14ac:dyDescent="0.25">
      <c r="A306" s="1" t="s">
        <v>4</v>
      </c>
      <c r="B306" t="s">
        <v>191</v>
      </c>
      <c r="C306" s="2" t="s">
        <v>83</v>
      </c>
    </row>
    <row r="307" spans="1:3" x14ac:dyDescent="0.25">
      <c r="A307" s="1" t="s">
        <v>5</v>
      </c>
      <c r="B307" t="s">
        <v>190</v>
      </c>
      <c r="C307" s="2" t="s">
        <v>83</v>
      </c>
    </row>
    <row r="308" spans="1:3" x14ac:dyDescent="0.25">
      <c r="A308" s="1" t="s">
        <v>6</v>
      </c>
      <c r="B308" t="s">
        <v>189</v>
      </c>
      <c r="C308" s="2" t="s">
        <v>83</v>
      </c>
    </row>
    <row r="309" spans="1:3" x14ac:dyDescent="0.25">
      <c r="A309" s="1" t="s">
        <v>7</v>
      </c>
      <c r="B309" t="s">
        <v>188</v>
      </c>
      <c r="C309" s="2" t="s">
        <v>83</v>
      </c>
    </row>
    <row r="310" spans="1:3" x14ac:dyDescent="0.25">
      <c r="A310" s="1" t="s">
        <v>10</v>
      </c>
      <c r="B310" t="s">
        <v>187</v>
      </c>
      <c r="C310" s="2" t="s">
        <v>83</v>
      </c>
    </row>
    <row r="311" spans="1:3" x14ac:dyDescent="0.25">
      <c r="A311" s="1" t="s">
        <v>11</v>
      </c>
      <c r="B311" t="s">
        <v>186</v>
      </c>
      <c r="C311" s="2" t="s">
        <v>83</v>
      </c>
    </row>
    <row r="312" spans="1:3" x14ac:dyDescent="0.25">
      <c r="A312" s="1" t="s">
        <v>9</v>
      </c>
      <c r="B312" t="s">
        <v>185</v>
      </c>
      <c r="C312" s="2" t="s">
        <v>83</v>
      </c>
    </row>
    <row r="313" spans="1:3" x14ac:dyDescent="0.25">
      <c r="A313" s="1" t="s">
        <v>8</v>
      </c>
      <c r="B313" t="s">
        <v>184</v>
      </c>
      <c r="C313" s="2" t="s">
        <v>83</v>
      </c>
    </row>
    <row r="314" spans="1:3" x14ac:dyDescent="0.25">
      <c r="A314" s="1" t="s">
        <v>183</v>
      </c>
      <c r="B314" t="s">
        <v>182</v>
      </c>
      <c r="C314" s="2" t="s">
        <v>83</v>
      </c>
    </row>
    <row r="315" spans="1:3" x14ac:dyDescent="0.25">
      <c r="A315" s="1" t="s">
        <v>181</v>
      </c>
      <c r="B315" t="s">
        <v>180</v>
      </c>
      <c r="C315" s="2" t="s">
        <v>83</v>
      </c>
    </row>
    <row r="316" spans="1:3" x14ac:dyDescent="0.25">
      <c r="A316" s="1" t="s">
        <v>179</v>
      </c>
      <c r="B316" t="s">
        <v>178</v>
      </c>
      <c r="C316" s="2" t="s">
        <v>83</v>
      </c>
    </row>
    <row r="317" spans="1:3" x14ac:dyDescent="0.25">
      <c r="A317" s="1" t="s">
        <v>177</v>
      </c>
      <c r="B317" t="s">
        <v>176</v>
      </c>
      <c r="C317" s="2" t="s">
        <v>83</v>
      </c>
    </row>
    <row r="318" spans="1:3" x14ac:dyDescent="0.25">
      <c r="A318" s="1" t="s">
        <v>175</v>
      </c>
      <c r="B318" t="s">
        <v>174</v>
      </c>
      <c r="C318" s="2" t="s">
        <v>83</v>
      </c>
    </row>
    <row r="319" spans="1:3" x14ac:dyDescent="0.25">
      <c r="A319" s="1" t="s">
        <v>173</v>
      </c>
      <c r="B319" t="s">
        <v>172</v>
      </c>
      <c r="C319" s="2" t="s">
        <v>83</v>
      </c>
    </row>
    <row r="320" spans="1:3" x14ac:dyDescent="0.25">
      <c r="A320" s="1" t="s">
        <v>171</v>
      </c>
      <c r="B320" t="s">
        <v>170</v>
      </c>
      <c r="C320" s="2" t="s">
        <v>83</v>
      </c>
    </row>
    <row r="321" spans="1:3" x14ac:dyDescent="0.25">
      <c r="A321" s="1" t="s">
        <v>169</v>
      </c>
      <c r="B321" t="s">
        <v>168</v>
      </c>
      <c r="C321" s="2" t="s">
        <v>83</v>
      </c>
    </row>
    <row r="322" spans="1:3" x14ac:dyDescent="0.25">
      <c r="A322" s="1" t="s">
        <v>167</v>
      </c>
      <c r="B322" t="s">
        <v>166</v>
      </c>
      <c r="C322" s="2" t="s">
        <v>83</v>
      </c>
    </row>
    <row r="323" spans="1:3" x14ac:dyDescent="0.25">
      <c r="A323" s="1" t="s">
        <v>165</v>
      </c>
      <c r="B323" t="s">
        <v>164</v>
      </c>
      <c r="C323" s="2" t="s">
        <v>83</v>
      </c>
    </row>
    <row r="324" spans="1:3" x14ac:dyDescent="0.25">
      <c r="A324" s="1" t="s">
        <v>163</v>
      </c>
      <c r="B324" t="s">
        <v>162</v>
      </c>
      <c r="C324" s="2" t="s">
        <v>83</v>
      </c>
    </row>
    <row r="325" spans="1:3" x14ac:dyDescent="0.25">
      <c r="A325" s="1" t="s">
        <v>161</v>
      </c>
      <c r="B325" t="s">
        <v>160</v>
      </c>
      <c r="C325" s="2" t="s">
        <v>83</v>
      </c>
    </row>
    <row r="326" spans="1:3" x14ac:dyDescent="0.25">
      <c r="A326" s="1" t="s">
        <v>159</v>
      </c>
      <c r="B326" t="s">
        <v>158</v>
      </c>
      <c r="C326" s="2" t="s">
        <v>83</v>
      </c>
    </row>
    <row r="327" spans="1:3" x14ac:dyDescent="0.25">
      <c r="A327" s="1" t="s">
        <v>157</v>
      </c>
      <c r="B327" t="s">
        <v>156</v>
      </c>
      <c r="C327" s="2" t="s">
        <v>83</v>
      </c>
    </row>
    <row r="328" spans="1:3" x14ac:dyDescent="0.25">
      <c r="A328" s="1" t="s">
        <v>155</v>
      </c>
      <c r="B328" t="s">
        <v>154</v>
      </c>
      <c r="C328" s="2" t="s">
        <v>83</v>
      </c>
    </row>
    <row r="329" spans="1:3" x14ac:dyDescent="0.25">
      <c r="A329" s="1" t="s">
        <v>153</v>
      </c>
      <c r="B329" t="s">
        <v>152</v>
      </c>
      <c r="C329" s="2" t="s">
        <v>83</v>
      </c>
    </row>
    <row r="330" spans="1:3" x14ac:dyDescent="0.25">
      <c r="A330" s="1" t="s">
        <v>151</v>
      </c>
      <c r="B330" t="s">
        <v>150</v>
      </c>
      <c r="C330" s="2" t="s">
        <v>83</v>
      </c>
    </row>
    <row r="331" spans="1:3" x14ac:dyDescent="0.25">
      <c r="A331" s="1" t="s">
        <v>149</v>
      </c>
      <c r="B331" t="s">
        <v>148</v>
      </c>
      <c r="C331" s="2" t="s">
        <v>83</v>
      </c>
    </row>
    <row r="332" spans="1:3" x14ac:dyDescent="0.25">
      <c r="A332" s="1" t="s">
        <v>147</v>
      </c>
      <c r="B332" t="s">
        <v>146</v>
      </c>
      <c r="C332" s="2" t="s">
        <v>1191</v>
      </c>
    </row>
    <row r="333" spans="1:3" x14ac:dyDescent="0.25">
      <c r="A333" s="1" t="s">
        <v>145</v>
      </c>
      <c r="B333" t="s">
        <v>144</v>
      </c>
      <c r="C333" s="2" t="s">
        <v>1191</v>
      </c>
    </row>
    <row r="334" spans="1:3" x14ac:dyDescent="0.25">
      <c r="A334" s="1" t="s">
        <v>143</v>
      </c>
      <c r="B334" t="s">
        <v>142</v>
      </c>
      <c r="C334" s="2" t="s">
        <v>1191</v>
      </c>
    </row>
    <row r="335" spans="1:3" x14ac:dyDescent="0.25">
      <c r="A335" s="1" t="s">
        <v>141</v>
      </c>
      <c r="B335" t="s">
        <v>140</v>
      </c>
      <c r="C335" s="2" t="s">
        <v>1191</v>
      </c>
    </row>
    <row r="336" spans="1:3" x14ac:dyDescent="0.25">
      <c r="A336" s="1" t="s">
        <v>139</v>
      </c>
      <c r="B336" t="s">
        <v>138</v>
      </c>
      <c r="C336" s="2" t="s">
        <v>1191</v>
      </c>
    </row>
    <row r="337" spans="1:3" x14ac:dyDescent="0.25">
      <c r="A337" s="1" t="s">
        <v>137</v>
      </c>
      <c r="B337" t="s">
        <v>136</v>
      </c>
      <c r="C337" s="2" t="s">
        <v>1191</v>
      </c>
    </row>
    <row r="338" spans="1:3" x14ac:dyDescent="0.25">
      <c r="A338" s="1" t="s">
        <v>135</v>
      </c>
      <c r="B338" t="s">
        <v>134</v>
      </c>
      <c r="C338" s="2" t="s">
        <v>804</v>
      </c>
    </row>
    <row r="339" spans="1:3" x14ac:dyDescent="0.25">
      <c r="A339" s="1" t="s">
        <v>133</v>
      </c>
      <c r="B339" t="s">
        <v>132</v>
      </c>
      <c r="C339" s="2" t="s">
        <v>1191</v>
      </c>
    </row>
    <row r="340" spans="1:3" x14ac:dyDescent="0.25">
      <c r="A340" s="1" t="s">
        <v>131</v>
      </c>
      <c r="B340" t="s">
        <v>130</v>
      </c>
      <c r="C340" s="2" t="s">
        <v>1191</v>
      </c>
    </row>
    <row r="341" spans="1:3" x14ac:dyDescent="0.25">
      <c r="A341" s="1" t="s">
        <v>129</v>
      </c>
      <c r="B341" t="s">
        <v>128</v>
      </c>
      <c r="C341" s="2" t="s">
        <v>83</v>
      </c>
    </row>
    <row r="342" spans="1:3" x14ac:dyDescent="0.25">
      <c r="A342" s="1" t="s">
        <v>127</v>
      </c>
      <c r="B342" t="s">
        <v>126</v>
      </c>
      <c r="C342" s="2" t="s">
        <v>83</v>
      </c>
    </row>
    <row r="343" spans="1:3" x14ac:dyDescent="0.25">
      <c r="A343" s="1" t="s">
        <v>125</v>
      </c>
      <c r="B343" t="s">
        <v>124</v>
      </c>
      <c r="C343" s="2" t="s">
        <v>83</v>
      </c>
    </row>
    <row r="344" spans="1:3" x14ac:dyDescent="0.25">
      <c r="A344" s="1" t="s">
        <v>123</v>
      </c>
      <c r="B344" t="s">
        <v>122</v>
      </c>
      <c r="C344" s="2" t="s">
        <v>83</v>
      </c>
    </row>
    <row r="345" spans="1:3" x14ac:dyDescent="0.25">
      <c r="A345" s="1" t="s">
        <v>121</v>
      </c>
      <c r="B345" t="s">
        <v>120</v>
      </c>
      <c r="C345" s="2" t="s">
        <v>83</v>
      </c>
    </row>
    <row r="346" spans="1:3" x14ac:dyDescent="0.25">
      <c r="A346" s="1" t="s">
        <v>119</v>
      </c>
      <c r="B346" t="s">
        <v>118</v>
      </c>
      <c r="C346" s="2" t="s">
        <v>83</v>
      </c>
    </row>
    <row r="347" spans="1:3" x14ac:dyDescent="0.25">
      <c r="A347" s="1" t="s">
        <v>117</v>
      </c>
      <c r="B347" t="s">
        <v>116</v>
      </c>
      <c r="C347" s="2" t="s">
        <v>83</v>
      </c>
    </row>
    <row r="348" spans="1:3" x14ac:dyDescent="0.25">
      <c r="A348" s="1" t="s">
        <v>115</v>
      </c>
      <c r="B348" t="s">
        <v>114</v>
      </c>
      <c r="C348" s="2" t="s">
        <v>83</v>
      </c>
    </row>
    <row r="349" spans="1:3" x14ac:dyDescent="0.25">
      <c r="A349" s="1" t="s">
        <v>113</v>
      </c>
      <c r="B349" t="s">
        <v>112</v>
      </c>
      <c r="C349" s="2" t="s">
        <v>310</v>
      </c>
    </row>
    <row r="350" spans="1:3" x14ac:dyDescent="0.25">
      <c r="A350" s="1" t="s">
        <v>111</v>
      </c>
      <c r="B350" t="s">
        <v>110</v>
      </c>
      <c r="C350" s="2" t="s">
        <v>310</v>
      </c>
    </row>
    <row r="351" spans="1:3" x14ac:dyDescent="0.25">
      <c r="A351" s="1" t="s">
        <v>109</v>
      </c>
      <c r="B351" t="s">
        <v>108</v>
      </c>
      <c r="C351" s="2" t="s">
        <v>310</v>
      </c>
    </row>
    <row r="352" spans="1:3" x14ac:dyDescent="0.25">
      <c r="A352" s="1" t="s">
        <v>107</v>
      </c>
      <c r="B352" t="s">
        <v>106</v>
      </c>
      <c r="C352" s="2" t="s">
        <v>310</v>
      </c>
    </row>
    <row r="353" spans="1:3" x14ac:dyDescent="0.25">
      <c r="A353" s="1" t="s">
        <v>105</v>
      </c>
      <c r="B353" t="s">
        <v>104</v>
      </c>
      <c r="C353" s="2" t="s">
        <v>310</v>
      </c>
    </row>
    <row r="354" spans="1:3" x14ac:dyDescent="0.25">
      <c r="A354" s="1" t="s">
        <v>103</v>
      </c>
      <c r="B354" t="s">
        <v>102</v>
      </c>
      <c r="C354" s="2" t="s">
        <v>310</v>
      </c>
    </row>
    <row r="355" spans="1:3" x14ac:dyDescent="0.25">
      <c r="A355" s="1" t="s">
        <v>101</v>
      </c>
      <c r="B355" t="s">
        <v>100</v>
      </c>
      <c r="C355" s="2" t="s">
        <v>310</v>
      </c>
    </row>
    <row r="356" spans="1:3" x14ac:dyDescent="0.25">
      <c r="A356" s="1" t="s">
        <v>99</v>
      </c>
      <c r="B356" t="s">
        <v>98</v>
      </c>
      <c r="C356" s="2" t="s">
        <v>310</v>
      </c>
    </row>
    <row r="357" spans="1:3" x14ac:dyDescent="0.25">
      <c r="A357" s="1" t="s">
        <v>97</v>
      </c>
      <c r="B357" t="s">
        <v>96</v>
      </c>
      <c r="C357" s="2" t="s">
        <v>310</v>
      </c>
    </row>
    <row r="358" spans="1:3" x14ac:dyDescent="0.25">
      <c r="A358" s="1" t="s">
        <v>95</v>
      </c>
      <c r="B358" t="s">
        <v>94</v>
      </c>
      <c r="C358" s="2" t="s">
        <v>310</v>
      </c>
    </row>
    <row r="359" spans="1:3" x14ac:dyDescent="0.25">
      <c r="A359" s="1" t="s">
        <v>93</v>
      </c>
      <c r="B359" t="s">
        <v>92</v>
      </c>
      <c r="C359" s="2" t="s">
        <v>310</v>
      </c>
    </row>
    <row r="360" spans="1:3" x14ac:dyDescent="0.25">
      <c r="A360" s="1" t="s">
        <v>91</v>
      </c>
      <c r="B360" t="s">
        <v>90</v>
      </c>
      <c r="C360" s="2" t="s">
        <v>310</v>
      </c>
    </row>
    <row r="361" spans="1:3" x14ac:dyDescent="0.25">
      <c r="A361" s="1" t="s">
        <v>89</v>
      </c>
      <c r="B361" t="s">
        <v>88</v>
      </c>
      <c r="C361" s="2" t="s">
        <v>83</v>
      </c>
    </row>
    <row r="362" spans="1:3" x14ac:dyDescent="0.25">
      <c r="A362" s="1" t="s">
        <v>87</v>
      </c>
      <c r="B362" s="2" t="s">
        <v>86</v>
      </c>
      <c r="C362" s="2" t="s">
        <v>83</v>
      </c>
    </row>
    <row r="363" spans="1:3" x14ac:dyDescent="0.25">
      <c r="A363" s="1" t="s">
        <v>85</v>
      </c>
      <c r="B363" t="s">
        <v>84</v>
      </c>
      <c r="C363" s="2" t="s">
        <v>83</v>
      </c>
    </row>
    <row r="364" spans="1:3" x14ac:dyDescent="0.25">
      <c r="A364" s="1" t="s">
        <v>82</v>
      </c>
      <c r="B364" t="s">
        <v>81</v>
      </c>
      <c r="C364" s="2" t="s">
        <v>310</v>
      </c>
    </row>
    <row r="365" spans="1:3" x14ac:dyDescent="0.25">
      <c r="A365" s="1" t="s">
        <v>80</v>
      </c>
      <c r="B365" t="s">
        <v>79</v>
      </c>
      <c r="C365" s="2" t="s">
        <v>310</v>
      </c>
    </row>
    <row r="366" spans="1:3" x14ac:dyDescent="0.25">
      <c r="A366" s="1" t="s">
        <v>78</v>
      </c>
      <c r="B366" t="s">
        <v>77</v>
      </c>
      <c r="C366" s="2" t="s">
        <v>1191</v>
      </c>
    </row>
    <row r="367" spans="1:3" x14ac:dyDescent="0.25">
      <c r="A367" s="1" t="s">
        <v>76</v>
      </c>
      <c r="B367" t="s">
        <v>75</v>
      </c>
      <c r="C367" s="2" t="s">
        <v>310</v>
      </c>
    </row>
    <row r="368" spans="1:3" x14ac:dyDescent="0.25">
      <c r="A368" s="1" t="s">
        <v>74</v>
      </c>
      <c r="B368" t="s">
        <v>73</v>
      </c>
      <c r="C368" s="2" t="s">
        <v>310</v>
      </c>
    </row>
    <row r="369" spans="1:3" x14ac:dyDescent="0.25">
      <c r="A369" s="1" t="s">
        <v>72</v>
      </c>
      <c r="B369" t="s">
        <v>71</v>
      </c>
      <c r="C369" s="2" t="s">
        <v>1191</v>
      </c>
    </row>
    <row r="370" spans="1:3" x14ac:dyDescent="0.25">
      <c r="A370" s="1" t="s">
        <v>70</v>
      </c>
      <c r="B370" t="s">
        <v>69</v>
      </c>
      <c r="C370" s="2" t="s">
        <v>1191</v>
      </c>
    </row>
    <row r="371" spans="1:3" x14ac:dyDescent="0.25">
      <c r="A371" s="1" t="s">
        <v>68</v>
      </c>
      <c r="B371" t="s">
        <v>67</v>
      </c>
      <c r="C371" s="2" t="s">
        <v>310</v>
      </c>
    </row>
    <row r="372" spans="1:3" x14ac:dyDescent="0.25">
      <c r="A372" s="1" t="s">
        <v>66</v>
      </c>
      <c r="B372" t="s">
        <v>65</v>
      </c>
      <c r="C372" s="2" t="s">
        <v>310</v>
      </c>
    </row>
    <row r="373" spans="1:3" x14ac:dyDescent="0.25">
      <c r="A373" s="1" t="s">
        <v>64</v>
      </c>
      <c r="B373" t="s">
        <v>63</v>
      </c>
      <c r="C373" s="2" t="s">
        <v>310</v>
      </c>
    </row>
    <row r="374" spans="1:3" x14ac:dyDescent="0.25">
      <c r="A374" s="1" t="s">
        <v>62</v>
      </c>
      <c r="B374" t="s">
        <v>61</v>
      </c>
      <c r="C374" s="2" t="s">
        <v>310</v>
      </c>
    </row>
    <row r="375" spans="1:3" x14ac:dyDescent="0.25">
      <c r="A375" s="1" t="s">
        <v>60</v>
      </c>
      <c r="B375" t="s">
        <v>59</v>
      </c>
      <c r="C375" s="2" t="s">
        <v>310</v>
      </c>
    </row>
    <row r="376" spans="1:3" x14ac:dyDescent="0.25">
      <c r="A376" s="1" t="s">
        <v>58</v>
      </c>
      <c r="B376" t="s">
        <v>57</v>
      </c>
      <c r="C376" s="2" t="s">
        <v>310</v>
      </c>
    </row>
    <row r="377" spans="1:3" x14ac:dyDescent="0.25">
      <c r="A377" s="1" t="s">
        <v>56</v>
      </c>
      <c r="B377" t="s">
        <v>55</v>
      </c>
      <c r="C377" s="2" t="s">
        <v>310</v>
      </c>
    </row>
    <row r="378" spans="1:3" x14ac:dyDescent="0.25">
      <c r="A378" s="1" t="s">
        <v>54</v>
      </c>
      <c r="B378" t="s">
        <v>53</v>
      </c>
      <c r="C378" s="2" t="s">
        <v>1191</v>
      </c>
    </row>
    <row r="379" spans="1:3" x14ac:dyDescent="0.25">
      <c r="A379" s="1" t="s">
        <v>52</v>
      </c>
      <c r="B379" t="s">
        <v>51</v>
      </c>
      <c r="C379" s="2" t="s">
        <v>310</v>
      </c>
    </row>
    <row r="380" spans="1:3" x14ac:dyDescent="0.25">
      <c r="A380" s="1" t="s">
        <v>50</v>
      </c>
      <c r="B380" t="s">
        <v>49</v>
      </c>
      <c r="C380" s="2" t="s">
        <v>1191</v>
      </c>
    </row>
    <row r="381" spans="1:3" x14ac:dyDescent="0.25">
      <c r="A381" s="1" t="s">
        <v>48</v>
      </c>
      <c r="B381" t="s">
        <v>47</v>
      </c>
      <c r="C381" s="2" t="s">
        <v>1191</v>
      </c>
    </row>
    <row r="382" spans="1:3" x14ac:dyDescent="0.25">
      <c r="A382" s="1" t="s">
        <v>45</v>
      </c>
      <c r="B382" t="s">
        <v>44</v>
      </c>
      <c r="C382" s="2" t="s">
        <v>1191</v>
      </c>
    </row>
    <row r="383" spans="1:3" x14ac:dyDescent="0.25">
      <c r="A383" s="1" t="s">
        <v>43</v>
      </c>
      <c r="B383" t="s">
        <v>42</v>
      </c>
      <c r="C383" s="2" t="s">
        <v>1191</v>
      </c>
    </row>
    <row r="384" spans="1:3" x14ac:dyDescent="0.25">
      <c r="A384" s="1" t="s">
        <v>41</v>
      </c>
      <c r="B384" t="s">
        <v>40</v>
      </c>
      <c r="C384" s="2" t="s">
        <v>1191</v>
      </c>
    </row>
    <row r="385" spans="1:3" x14ac:dyDescent="0.25">
      <c r="A385" s="1" t="s">
        <v>39</v>
      </c>
      <c r="B385" t="s">
        <v>38</v>
      </c>
      <c r="C385" s="2" t="s">
        <v>1191</v>
      </c>
    </row>
    <row r="386" spans="1:3" x14ac:dyDescent="0.25">
      <c r="A386" s="1" t="s">
        <v>37</v>
      </c>
      <c r="B386" t="s">
        <v>36</v>
      </c>
      <c r="C386" s="2" t="s">
        <v>1191</v>
      </c>
    </row>
    <row r="387" spans="1:3" x14ac:dyDescent="0.25">
      <c r="A387" s="1" t="s">
        <v>35</v>
      </c>
      <c r="B387" t="s">
        <v>34</v>
      </c>
      <c r="C387" s="2" t="s">
        <v>1191</v>
      </c>
    </row>
    <row r="388" spans="1:3" x14ac:dyDescent="0.25">
      <c r="A388" s="1" t="s">
        <v>33</v>
      </c>
      <c r="B388" t="s">
        <v>32</v>
      </c>
      <c r="C388" s="2" t="s">
        <v>1191</v>
      </c>
    </row>
    <row r="389" spans="1:3" x14ac:dyDescent="0.25">
      <c r="A389" s="1" t="s">
        <v>31</v>
      </c>
      <c r="B389" t="s">
        <v>30</v>
      </c>
      <c r="C389" s="2" t="s">
        <v>1191</v>
      </c>
    </row>
    <row r="390" spans="1:3" x14ac:dyDescent="0.25">
      <c r="A390" s="1" t="s">
        <v>29</v>
      </c>
      <c r="B390" t="s">
        <v>28</v>
      </c>
      <c r="C390" s="2" t="s">
        <v>1191</v>
      </c>
    </row>
    <row r="391" spans="1:3" x14ac:dyDescent="0.25">
      <c r="A391" s="1" t="s">
        <v>27</v>
      </c>
      <c r="B391" t="s">
        <v>26</v>
      </c>
      <c r="C391" s="2" t="s">
        <v>1191</v>
      </c>
    </row>
    <row r="392" spans="1:3" x14ac:dyDescent="0.25">
      <c r="A392" s="1" t="s">
        <v>25</v>
      </c>
      <c r="B392" t="s">
        <v>24</v>
      </c>
      <c r="C392" s="2" t="s">
        <v>310</v>
      </c>
    </row>
    <row r="393" spans="1:3" x14ac:dyDescent="0.25">
      <c r="A393" s="1" t="s">
        <v>23</v>
      </c>
      <c r="B393" t="s">
        <v>22</v>
      </c>
      <c r="C393" s="2" t="s">
        <v>310</v>
      </c>
    </row>
    <row r="394" spans="1:3" x14ac:dyDescent="0.25">
      <c r="A394" s="1" t="s">
        <v>21</v>
      </c>
      <c r="B394" t="s">
        <v>20</v>
      </c>
      <c r="C394" s="2" t="s">
        <v>310</v>
      </c>
    </row>
    <row r="395" spans="1:3" x14ac:dyDescent="0.25">
      <c r="A395" s="1" t="s">
        <v>19</v>
      </c>
      <c r="B395" t="s">
        <v>18</v>
      </c>
      <c r="C395" s="2" t="s">
        <v>310</v>
      </c>
    </row>
    <row r="396" spans="1:3" x14ac:dyDescent="0.25">
      <c r="A396" s="1" t="s">
        <v>17</v>
      </c>
      <c r="B396" t="s">
        <v>16</v>
      </c>
      <c r="C396" s="2" t="s">
        <v>310</v>
      </c>
    </row>
    <row r="397" spans="1:3" x14ac:dyDescent="0.25">
      <c r="A397" s="13" t="s">
        <v>801</v>
      </c>
      <c r="B397" s="2" t="s">
        <v>740</v>
      </c>
      <c r="C397" s="2" t="s">
        <v>1191</v>
      </c>
    </row>
    <row r="398" spans="1:3" x14ac:dyDescent="0.25">
      <c r="A398" s="8" t="s">
        <v>798</v>
      </c>
      <c r="B398" s="9" t="s">
        <v>740</v>
      </c>
      <c r="C398" s="9" t="s">
        <v>1191</v>
      </c>
    </row>
    <row r="399" spans="1:3" x14ac:dyDescent="0.25">
      <c r="A399" s="8" t="s">
        <v>799</v>
      </c>
      <c r="B399" s="9" t="s">
        <v>740</v>
      </c>
      <c r="C399" s="9" t="s">
        <v>1191</v>
      </c>
    </row>
    <row r="400" spans="1:3" x14ac:dyDescent="0.25">
      <c r="A400" s="8" t="s">
        <v>0</v>
      </c>
      <c r="B400" s="9" t="s">
        <v>0</v>
      </c>
      <c r="C400" s="9" t="s">
        <v>1191</v>
      </c>
    </row>
    <row r="401" spans="1:3" x14ac:dyDescent="0.25">
      <c r="A401" s="1" t="s">
        <v>15</v>
      </c>
      <c r="B401" t="s">
        <v>14</v>
      </c>
      <c r="C401" s="2" t="s">
        <v>310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B24"/>
  <sheetViews>
    <sheetView showGridLines="0" zoomScale="85" zoomScaleNormal="85" workbookViewId="0">
      <selection activeCell="C20" sqref="C20"/>
    </sheetView>
  </sheetViews>
  <sheetFormatPr defaultColWidth="9.140625" defaultRowHeight="15" x14ac:dyDescent="0.25"/>
  <cols>
    <col min="1" max="1" width="14.7109375" customWidth="1"/>
    <col min="2" max="2" width="11.28515625" bestFit="1" customWidth="1"/>
  </cols>
  <sheetData>
    <row r="1" spans="1:2" x14ac:dyDescent="0.25">
      <c r="A1" s="20" t="s">
        <v>866</v>
      </c>
      <c r="B1" s="20" t="s">
        <v>802</v>
      </c>
    </row>
    <row r="2" spans="1:2" x14ac:dyDescent="0.25">
      <c r="A2" s="33">
        <v>110</v>
      </c>
      <c r="B2" t="str">
        <f t="shared" ref="B2:B21" si="0">admin_BNS_profit_center_flag</f>
        <v>BNS</v>
      </c>
    </row>
    <row r="3" spans="1:2" x14ac:dyDescent="0.25">
      <c r="A3" s="33">
        <v>111</v>
      </c>
      <c r="B3" t="str">
        <f t="shared" si="0"/>
        <v>BNS</v>
      </c>
    </row>
    <row r="4" spans="1:2" x14ac:dyDescent="0.25">
      <c r="A4" s="33">
        <v>114</v>
      </c>
      <c r="B4" t="str">
        <f t="shared" si="0"/>
        <v>BNS</v>
      </c>
    </row>
    <row r="5" spans="1:2" x14ac:dyDescent="0.25">
      <c r="A5" s="33">
        <v>139</v>
      </c>
      <c r="B5" t="str">
        <f t="shared" si="0"/>
        <v>BNS</v>
      </c>
    </row>
    <row r="6" spans="1:2" x14ac:dyDescent="0.25">
      <c r="A6" s="33">
        <v>141</v>
      </c>
      <c r="B6" t="str">
        <f t="shared" si="0"/>
        <v>BNS</v>
      </c>
    </row>
    <row r="7" spans="1:2" x14ac:dyDescent="0.25">
      <c r="A7" s="33">
        <v>151</v>
      </c>
      <c r="B7" t="str">
        <f t="shared" si="0"/>
        <v>BNS</v>
      </c>
    </row>
    <row r="8" spans="1:2" x14ac:dyDescent="0.25">
      <c r="A8" s="33">
        <v>178</v>
      </c>
      <c r="B8" t="str">
        <f t="shared" si="0"/>
        <v>BNS</v>
      </c>
    </row>
    <row r="9" spans="1:2" x14ac:dyDescent="0.25">
      <c r="A9" s="33">
        <v>235</v>
      </c>
      <c r="B9" t="str">
        <f t="shared" si="0"/>
        <v>BNS</v>
      </c>
    </row>
    <row r="10" spans="1:2" x14ac:dyDescent="0.25">
      <c r="A10" s="33">
        <v>273</v>
      </c>
      <c r="B10" t="str">
        <f t="shared" si="0"/>
        <v>BNS</v>
      </c>
    </row>
    <row r="11" spans="1:2" x14ac:dyDescent="0.25">
      <c r="A11" s="33">
        <v>274</v>
      </c>
      <c r="B11" t="str">
        <f t="shared" si="0"/>
        <v>BNS</v>
      </c>
    </row>
    <row r="12" spans="1:2" x14ac:dyDescent="0.25">
      <c r="A12" s="33">
        <v>275</v>
      </c>
      <c r="B12" t="str">
        <f t="shared" si="0"/>
        <v>BNS</v>
      </c>
    </row>
    <row r="13" spans="1:2" x14ac:dyDescent="0.25">
      <c r="A13" s="33">
        <v>288</v>
      </c>
      <c r="B13" t="str">
        <f t="shared" si="0"/>
        <v>BNS</v>
      </c>
    </row>
    <row r="14" spans="1:2" x14ac:dyDescent="0.25">
      <c r="A14" s="33">
        <v>296</v>
      </c>
      <c r="B14" t="str">
        <f t="shared" si="0"/>
        <v>BNS</v>
      </c>
    </row>
    <row r="15" spans="1:2" x14ac:dyDescent="0.25">
      <c r="A15" s="33">
        <v>297</v>
      </c>
      <c r="B15" t="str">
        <f t="shared" si="0"/>
        <v>BNS</v>
      </c>
    </row>
    <row r="16" spans="1:2" x14ac:dyDescent="0.25">
      <c r="A16" s="33">
        <v>298</v>
      </c>
      <c r="B16" t="str">
        <f t="shared" si="0"/>
        <v>BNS</v>
      </c>
    </row>
    <row r="17" spans="1:2" x14ac:dyDescent="0.25">
      <c r="A17" s="33">
        <v>299</v>
      </c>
      <c r="B17" t="str">
        <f t="shared" si="0"/>
        <v>BNS</v>
      </c>
    </row>
    <row r="18" spans="1:2" x14ac:dyDescent="0.25">
      <c r="A18" s="33">
        <v>300</v>
      </c>
      <c r="B18" t="str">
        <f t="shared" si="0"/>
        <v>BNS</v>
      </c>
    </row>
    <row r="19" spans="1:2" x14ac:dyDescent="0.25">
      <c r="A19" s="33">
        <v>308</v>
      </c>
      <c r="B19" t="str">
        <f t="shared" si="0"/>
        <v>BNS</v>
      </c>
    </row>
    <row r="20" spans="1:2" x14ac:dyDescent="0.25">
      <c r="A20" s="33">
        <v>309</v>
      </c>
      <c r="B20" t="str">
        <f t="shared" si="0"/>
        <v>BNS</v>
      </c>
    </row>
    <row r="21" spans="1:2" x14ac:dyDescent="0.25">
      <c r="A21" s="33">
        <v>310</v>
      </c>
      <c r="B21" t="str">
        <f t="shared" si="0"/>
        <v>BNS</v>
      </c>
    </row>
    <row r="22" spans="1:2" x14ac:dyDescent="0.25">
      <c r="A22" s="40">
        <v>312</v>
      </c>
      <c r="B22" s="33" t="str">
        <f>admin_BNS_profit_center_flag</f>
        <v>BNS</v>
      </c>
    </row>
    <row r="23" spans="1:2" x14ac:dyDescent="0.25">
      <c r="A23" s="40">
        <v>316</v>
      </c>
      <c r="B23" s="33" t="str">
        <f>admin_BNS_profit_center_flag</f>
        <v>BNS</v>
      </c>
    </row>
    <row r="24" spans="1:2" x14ac:dyDescent="0.25">
      <c r="A24" s="40">
        <v>387</v>
      </c>
      <c r="B24" s="33" t="str">
        <f>admin_BNS_profit_center_flag</f>
        <v>BNS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D155"/>
  <sheetViews>
    <sheetView zoomScale="85" zoomScaleNormal="85" workbookViewId="0">
      <selection activeCell="B2" sqref="B2"/>
    </sheetView>
  </sheetViews>
  <sheetFormatPr defaultColWidth="9.140625" defaultRowHeight="15" x14ac:dyDescent="0.25"/>
  <cols>
    <col min="1" max="1" width="13" customWidth="1"/>
    <col min="2" max="2" width="24.85546875" bestFit="1" customWidth="1"/>
  </cols>
  <sheetData>
    <row r="1" spans="1:4" x14ac:dyDescent="0.25">
      <c r="A1" s="27" t="s">
        <v>13</v>
      </c>
      <c r="B1" s="26" t="s">
        <v>812</v>
      </c>
      <c r="D1" t="s">
        <v>813</v>
      </c>
    </row>
    <row r="2" spans="1:4" x14ac:dyDescent="0.25">
      <c r="A2" t="s">
        <v>875</v>
      </c>
      <c r="B2" t="s">
        <v>876</v>
      </c>
    </row>
    <row r="3" spans="1:4" x14ac:dyDescent="0.25">
      <c r="A3" t="s">
        <v>877</v>
      </c>
      <c r="B3" t="s">
        <v>878</v>
      </c>
      <c r="D3" t="s">
        <v>815</v>
      </c>
    </row>
    <row r="4" spans="1:4" x14ac:dyDescent="0.25">
      <c r="A4" t="s">
        <v>879</v>
      </c>
      <c r="B4" t="s">
        <v>880</v>
      </c>
    </row>
    <row r="5" spans="1:4" x14ac:dyDescent="0.25">
      <c r="A5" t="s">
        <v>1152</v>
      </c>
      <c r="B5" t="s">
        <v>1153</v>
      </c>
    </row>
    <row r="6" spans="1:4" x14ac:dyDescent="0.25">
      <c r="A6" t="s">
        <v>1154</v>
      </c>
      <c r="B6" t="s">
        <v>1155</v>
      </c>
    </row>
    <row r="7" spans="1:4" x14ac:dyDescent="0.25">
      <c r="A7" t="s">
        <v>294</v>
      </c>
      <c r="B7" t="s">
        <v>881</v>
      </c>
    </row>
    <row r="8" spans="1:4" x14ac:dyDescent="0.25">
      <c r="A8" t="s">
        <v>379</v>
      </c>
      <c r="B8" t="s">
        <v>882</v>
      </c>
    </row>
    <row r="9" spans="1:4" x14ac:dyDescent="0.25">
      <c r="A9" t="s">
        <v>883</v>
      </c>
      <c r="B9" t="s">
        <v>884</v>
      </c>
    </row>
    <row r="10" spans="1:4" x14ac:dyDescent="0.25">
      <c r="A10" t="s">
        <v>1156</v>
      </c>
      <c r="B10" t="s">
        <v>1157</v>
      </c>
    </row>
    <row r="11" spans="1:4" x14ac:dyDescent="0.25">
      <c r="A11" t="s">
        <v>1158</v>
      </c>
      <c r="B11" t="s">
        <v>1159</v>
      </c>
    </row>
    <row r="12" spans="1:4" x14ac:dyDescent="0.25">
      <c r="A12" t="s">
        <v>885</v>
      </c>
      <c r="B12" t="s">
        <v>886</v>
      </c>
    </row>
    <row r="13" spans="1:4" x14ac:dyDescent="0.25">
      <c r="A13" t="s">
        <v>887</v>
      </c>
      <c r="B13" t="s">
        <v>888</v>
      </c>
    </row>
    <row r="14" spans="1:4" x14ac:dyDescent="0.25">
      <c r="A14" t="s">
        <v>889</v>
      </c>
      <c r="B14" t="s">
        <v>890</v>
      </c>
    </row>
    <row r="15" spans="1:4" x14ac:dyDescent="0.25">
      <c r="A15" t="s">
        <v>891</v>
      </c>
      <c r="B15" t="s">
        <v>892</v>
      </c>
    </row>
    <row r="16" spans="1:4" x14ac:dyDescent="0.25">
      <c r="A16" t="s">
        <v>893</v>
      </c>
      <c r="B16" t="s">
        <v>894</v>
      </c>
    </row>
    <row r="17" spans="1:2" x14ac:dyDescent="0.25">
      <c r="A17" t="s">
        <v>1160</v>
      </c>
      <c r="B17" t="s">
        <v>1161</v>
      </c>
    </row>
    <row r="18" spans="1:2" x14ac:dyDescent="0.25">
      <c r="A18" t="s">
        <v>895</v>
      </c>
      <c r="B18" t="s">
        <v>896</v>
      </c>
    </row>
    <row r="19" spans="1:2" x14ac:dyDescent="0.25">
      <c r="A19" t="s">
        <v>1120</v>
      </c>
      <c r="B19" t="s">
        <v>1121</v>
      </c>
    </row>
    <row r="20" spans="1:2" x14ac:dyDescent="0.25">
      <c r="A20" t="s">
        <v>345</v>
      </c>
      <c r="B20" t="s">
        <v>897</v>
      </c>
    </row>
    <row r="21" spans="1:2" x14ac:dyDescent="0.25">
      <c r="A21" t="s">
        <v>347</v>
      </c>
      <c r="B21" t="s">
        <v>1162</v>
      </c>
    </row>
    <row r="22" spans="1:2" x14ac:dyDescent="0.25">
      <c r="A22" t="s">
        <v>1163</v>
      </c>
      <c r="B22" t="s">
        <v>1164</v>
      </c>
    </row>
    <row r="23" spans="1:2" x14ac:dyDescent="0.25">
      <c r="A23" t="s">
        <v>349</v>
      </c>
      <c r="B23" t="s">
        <v>1165</v>
      </c>
    </row>
    <row r="24" spans="1:2" x14ac:dyDescent="0.25">
      <c r="A24" t="s">
        <v>1128</v>
      </c>
      <c r="B24" t="s">
        <v>1129</v>
      </c>
    </row>
    <row r="25" spans="1:2" x14ac:dyDescent="0.25">
      <c r="A25" t="s">
        <v>1166</v>
      </c>
      <c r="B25" t="s">
        <v>1167</v>
      </c>
    </row>
    <row r="26" spans="1:2" x14ac:dyDescent="0.25">
      <c r="A26" t="s">
        <v>1122</v>
      </c>
      <c r="B26" t="s">
        <v>1123</v>
      </c>
    </row>
    <row r="27" spans="1:2" x14ac:dyDescent="0.25">
      <c r="A27" t="s">
        <v>411</v>
      </c>
      <c r="B27" t="s">
        <v>898</v>
      </c>
    </row>
    <row r="28" spans="1:2" x14ac:dyDescent="0.25">
      <c r="A28" t="s">
        <v>899</v>
      </c>
      <c r="B28" t="s">
        <v>900</v>
      </c>
    </row>
    <row r="29" spans="1:2" x14ac:dyDescent="0.25">
      <c r="A29" t="s">
        <v>1124</v>
      </c>
      <c r="B29" t="s">
        <v>1125</v>
      </c>
    </row>
    <row r="30" spans="1:2" x14ac:dyDescent="0.25">
      <c r="A30" t="s">
        <v>901</v>
      </c>
      <c r="B30" t="s">
        <v>902</v>
      </c>
    </row>
    <row r="31" spans="1:2" x14ac:dyDescent="0.25">
      <c r="A31" t="s">
        <v>903</v>
      </c>
      <c r="B31" t="s">
        <v>904</v>
      </c>
    </row>
    <row r="32" spans="1:2" x14ac:dyDescent="0.25">
      <c r="A32" t="s">
        <v>905</v>
      </c>
      <c r="B32" t="s">
        <v>906</v>
      </c>
    </row>
    <row r="33" spans="1:2" x14ac:dyDescent="0.25">
      <c r="A33" t="s">
        <v>907</v>
      </c>
      <c r="B33" t="s">
        <v>908</v>
      </c>
    </row>
    <row r="34" spans="1:2" x14ac:dyDescent="0.25">
      <c r="A34" t="s">
        <v>909</v>
      </c>
      <c r="B34" t="s">
        <v>910</v>
      </c>
    </row>
    <row r="35" spans="1:2" x14ac:dyDescent="0.25">
      <c r="A35" t="s">
        <v>911</v>
      </c>
      <c r="B35" t="s">
        <v>912</v>
      </c>
    </row>
    <row r="36" spans="1:2" x14ac:dyDescent="0.25">
      <c r="A36" t="s">
        <v>913</v>
      </c>
      <c r="B36" t="s">
        <v>914</v>
      </c>
    </row>
    <row r="37" spans="1:2" x14ac:dyDescent="0.25">
      <c r="A37" t="s">
        <v>915</v>
      </c>
      <c r="B37" t="s">
        <v>916</v>
      </c>
    </row>
    <row r="38" spans="1:2" x14ac:dyDescent="0.25">
      <c r="A38" t="s">
        <v>917</v>
      </c>
      <c r="B38" t="s">
        <v>918</v>
      </c>
    </row>
    <row r="39" spans="1:2" x14ac:dyDescent="0.25">
      <c r="A39" t="s">
        <v>919</v>
      </c>
      <c r="B39" t="s">
        <v>920</v>
      </c>
    </row>
    <row r="40" spans="1:2" x14ac:dyDescent="0.25">
      <c r="A40" t="s">
        <v>921</v>
      </c>
      <c r="B40" t="s">
        <v>922</v>
      </c>
    </row>
    <row r="41" spans="1:2" x14ac:dyDescent="0.25">
      <c r="A41" t="s">
        <v>923</v>
      </c>
      <c r="B41" t="s">
        <v>924</v>
      </c>
    </row>
    <row r="42" spans="1:2" x14ac:dyDescent="0.25">
      <c r="A42" t="s">
        <v>429</v>
      </c>
      <c r="B42" t="s">
        <v>925</v>
      </c>
    </row>
    <row r="43" spans="1:2" x14ac:dyDescent="0.25">
      <c r="A43" t="s">
        <v>926</v>
      </c>
      <c r="B43" t="s">
        <v>927</v>
      </c>
    </row>
    <row r="44" spans="1:2" x14ac:dyDescent="0.25">
      <c r="A44" t="s">
        <v>928</v>
      </c>
      <c r="B44" t="s">
        <v>929</v>
      </c>
    </row>
    <row r="45" spans="1:2" x14ac:dyDescent="0.25">
      <c r="A45" t="s">
        <v>930</v>
      </c>
      <c r="B45" t="s">
        <v>931</v>
      </c>
    </row>
    <row r="46" spans="1:2" x14ac:dyDescent="0.25">
      <c r="A46" t="s">
        <v>932</v>
      </c>
      <c r="B46" t="s">
        <v>933</v>
      </c>
    </row>
    <row r="47" spans="1:2" x14ac:dyDescent="0.25">
      <c r="A47" t="s">
        <v>934</v>
      </c>
      <c r="B47" t="s">
        <v>935</v>
      </c>
    </row>
    <row r="48" spans="1:2" x14ac:dyDescent="0.25">
      <c r="A48" t="s">
        <v>936</v>
      </c>
      <c r="B48" t="s">
        <v>937</v>
      </c>
    </row>
    <row r="49" spans="1:2" x14ac:dyDescent="0.25">
      <c r="A49" t="s">
        <v>451</v>
      </c>
      <c r="B49" t="s">
        <v>1168</v>
      </c>
    </row>
    <row r="50" spans="1:2" x14ac:dyDescent="0.25">
      <c r="A50" t="s">
        <v>453</v>
      </c>
      <c r="B50" t="s">
        <v>1169</v>
      </c>
    </row>
    <row r="51" spans="1:2" x14ac:dyDescent="0.25">
      <c r="A51" t="s">
        <v>457</v>
      </c>
      <c r="B51" t="s">
        <v>1170</v>
      </c>
    </row>
    <row r="52" spans="1:2" x14ac:dyDescent="0.25">
      <c r="A52" t="s">
        <v>459</v>
      </c>
      <c r="B52" t="s">
        <v>1171</v>
      </c>
    </row>
    <row r="53" spans="1:2" x14ac:dyDescent="0.25">
      <c r="A53" t="s">
        <v>1172</v>
      </c>
      <c r="B53" t="s">
        <v>1173</v>
      </c>
    </row>
    <row r="54" spans="1:2" x14ac:dyDescent="0.25">
      <c r="A54" t="s">
        <v>1174</v>
      </c>
      <c r="B54" t="s">
        <v>1175</v>
      </c>
    </row>
    <row r="55" spans="1:2" x14ac:dyDescent="0.25">
      <c r="A55" t="s">
        <v>515</v>
      </c>
      <c r="B55" t="s">
        <v>938</v>
      </c>
    </row>
    <row r="56" spans="1:2" x14ac:dyDescent="0.25">
      <c r="A56" t="s">
        <v>1148</v>
      </c>
      <c r="B56" t="s">
        <v>1176</v>
      </c>
    </row>
    <row r="57" spans="1:2" x14ac:dyDescent="0.25">
      <c r="A57" t="s">
        <v>939</v>
      </c>
      <c r="B57" t="s">
        <v>940</v>
      </c>
    </row>
    <row r="58" spans="1:2" x14ac:dyDescent="0.25">
      <c r="A58" t="s">
        <v>941</v>
      </c>
      <c r="B58" t="s">
        <v>942</v>
      </c>
    </row>
    <row r="59" spans="1:2" x14ac:dyDescent="0.25">
      <c r="A59" t="s">
        <v>1126</v>
      </c>
      <c r="B59" t="s">
        <v>1127</v>
      </c>
    </row>
    <row r="60" spans="1:2" x14ac:dyDescent="0.25">
      <c r="A60" t="s">
        <v>517</v>
      </c>
      <c r="B60" t="s">
        <v>1177</v>
      </c>
    </row>
    <row r="61" spans="1:2" x14ac:dyDescent="0.25">
      <c r="A61" t="s">
        <v>1130</v>
      </c>
      <c r="B61" t="s">
        <v>1131</v>
      </c>
    </row>
    <row r="62" spans="1:2" x14ac:dyDescent="0.25">
      <c r="A62" t="s">
        <v>1149</v>
      </c>
      <c r="B62" t="s">
        <v>1178</v>
      </c>
    </row>
    <row r="63" spans="1:2" x14ac:dyDescent="0.25">
      <c r="A63" t="s">
        <v>1179</v>
      </c>
      <c r="B63" t="s">
        <v>1180</v>
      </c>
    </row>
    <row r="64" spans="1:2" x14ac:dyDescent="0.25">
      <c r="A64" t="s">
        <v>639</v>
      </c>
      <c r="B64" t="s">
        <v>943</v>
      </c>
    </row>
    <row r="65" spans="1:2" x14ac:dyDescent="0.25">
      <c r="A65" t="s">
        <v>944</v>
      </c>
      <c r="B65" t="s">
        <v>945</v>
      </c>
    </row>
    <row r="66" spans="1:2" x14ac:dyDescent="0.25">
      <c r="A66" t="s">
        <v>1132</v>
      </c>
      <c r="B66" t="s">
        <v>1133</v>
      </c>
    </row>
    <row r="67" spans="1:2" x14ac:dyDescent="0.25">
      <c r="A67" t="s">
        <v>946</v>
      </c>
      <c r="B67" t="s">
        <v>947</v>
      </c>
    </row>
    <row r="68" spans="1:2" x14ac:dyDescent="0.25">
      <c r="A68" t="s">
        <v>948</v>
      </c>
      <c r="B68" t="s">
        <v>949</v>
      </c>
    </row>
    <row r="69" spans="1:2" x14ac:dyDescent="0.25">
      <c r="A69" t="s">
        <v>950</v>
      </c>
      <c r="B69" t="s">
        <v>951</v>
      </c>
    </row>
    <row r="70" spans="1:2" x14ac:dyDescent="0.25">
      <c r="A70" t="s">
        <v>952</v>
      </c>
      <c r="B70" t="s">
        <v>953</v>
      </c>
    </row>
    <row r="71" spans="1:2" x14ac:dyDescent="0.25">
      <c r="A71" t="s">
        <v>954</v>
      </c>
      <c r="B71" t="s">
        <v>955</v>
      </c>
    </row>
    <row r="72" spans="1:2" x14ac:dyDescent="0.25">
      <c r="A72" t="s">
        <v>1134</v>
      </c>
      <c r="B72" t="s">
        <v>1135</v>
      </c>
    </row>
    <row r="73" spans="1:2" x14ac:dyDescent="0.25">
      <c r="A73" t="s">
        <v>956</v>
      </c>
      <c r="B73" t="s">
        <v>957</v>
      </c>
    </row>
    <row r="74" spans="1:2" x14ac:dyDescent="0.25">
      <c r="A74" t="s">
        <v>958</v>
      </c>
      <c r="B74" t="s">
        <v>959</v>
      </c>
    </row>
    <row r="75" spans="1:2" x14ac:dyDescent="0.25">
      <c r="A75" t="s">
        <v>960</v>
      </c>
      <c r="B75" t="s">
        <v>961</v>
      </c>
    </row>
    <row r="76" spans="1:2" x14ac:dyDescent="0.25">
      <c r="A76" t="s">
        <v>962</v>
      </c>
      <c r="B76" t="s">
        <v>963</v>
      </c>
    </row>
    <row r="77" spans="1:2" x14ac:dyDescent="0.25">
      <c r="A77" t="s">
        <v>964</v>
      </c>
      <c r="B77" t="s">
        <v>965</v>
      </c>
    </row>
    <row r="78" spans="1:2" x14ac:dyDescent="0.25">
      <c r="A78" t="s">
        <v>966</v>
      </c>
      <c r="B78" t="s">
        <v>967</v>
      </c>
    </row>
    <row r="79" spans="1:2" x14ac:dyDescent="0.25">
      <c r="A79" t="s">
        <v>968</v>
      </c>
      <c r="B79" t="s">
        <v>969</v>
      </c>
    </row>
    <row r="80" spans="1:2" x14ac:dyDescent="0.25">
      <c r="A80" t="s">
        <v>970</v>
      </c>
      <c r="B80" t="s">
        <v>971</v>
      </c>
    </row>
    <row r="81" spans="1:2" x14ac:dyDescent="0.25">
      <c r="A81" t="s">
        <v>972</v>
      </c>
      <c r="B81" t="s">
        <v>973</v>
      </c>
    </row>
    <row r="82" spans="1:2" x14ac:dyDescent="0.25">
      <c r="A82" t="s">
        <v>974</v>
      </c>
      <c r="B82" t="s">
        <v>975</v>
      </c>
    </row>
    <row r="83" spans="1:2" x14ac:dyDescent="0.25">
      <c r="A83" t="s">
        <v>976</v>
      </c>
      <c r="B83" t="s">
        <v>977</v>
      </c>
    </row>
    <row r="84" spans="1:2" x14ac:dyDescent="0.25">
      <c r="A84" t="s">
        <v>978</v>
      </c>
      <c r="B84" t="s">
        <v>979</v>
      </c>
    </row>
    <row r="85" spans="1:2" x14ac:dyDescent="0.25">
      <c r="A85" t="s">
        <v>980</v>
      </c>
      <c r="B85" t="s">
        <v>981</v>
      </c>
    </row>
    <row r="86" spans="1:2" x14ac:dyDescent="0.25">
      <c r="A86" t="s">
        <v>982</v>
      </c>
      <c r="B86" t="s">
        <v>983</v>
      </c>
    </row>
    <row r="87" spans="1:2" x14ac:dyDescent="0.25">
      <c r="A87" t="s">
        <v>984</v>
      </c>
      <c r="B87" t="s">
        <v>985</v>
      </c>
    </row>
    <row r="88" spans="1:2" x14ac:dyDescent="0.25">
      <c r="A88" t="s">
        <v>986</v>
      </c>
      <c r="B88" t="s">
        <v>987</v>
      </c>
    </row>
    <row r="89" spans="1:2" x14ac:dyDescent="0.25">
      <c r="A89" t="s">
        <v>988</v>
      </c>
      <c r="B89" t="s">
        <v>989</v>
      </c>
    </row>
    <row r="90" spans="1:2" x14ac:dyDescent="0.25">
      <c r="A90" t="s">
        <v>990</v>
      </c>
      <c r="B90" t="s">
        <v>991</v>
      </c>
    </row>
    <row r="91" spans="1:2" x14ac:dyDescent="0.25">
      <c r="A91" t="s">
        <v>992</v>
      </c>
      <c r="B91" t="s">
        <v>993</v>
      </c>
    </row>
    <row r="92" spans="1:2" x14ac:dyDescent="0.25">
      <c r="A92" t="s">
        <v>994</v>
      </c>
      <c r="B92" t="s">
        <v>995</v>
      </c>
    </row>
    <row r="93" spans="1:2" x14ac:dyDescent="0.25">
      <c r="A93" t="s">
        <v>996</v>
      </c>
      <c r="B93" t="s">
        <v>997</v>
      </c>
    </row>
    <row r="94" spans="1:2" x14ac:dyDescent="0.25">
      <c r="A94" t="s">
        <v>998</v>
      </c>
      <c r="B94" t="s">
        <v>999</v>
      </c>
    </row>
    <row r="95" spans="1:2" x14ac:dyDescent="0.25">
      <c r="A95" t="s">
        <v>1000</v>
      </c>
      <c r="B95" t="s">
        <v>1001</v>
      </c>
    </row>
    <row r="96" spans="1:2" x14ac:dyDescent="0.25">
      <c r="A96" t="s">
        <v>1002</v>
      </c>
      <c r="B96" t="s">
        <v>1003</v>
      </c>
    </row>
    <row r="97" spans="1:2" x14ac:dyDescent="0.25">
      <c r="A97" t="s">
        <v>1004</v>
      </c>
      <c r="B97" t="s">
        <v>1005</v>
      </c>
    </row>
    <row r="98" spans="1:2" x14ac:dyDescent="0.25">
      <c r="A98" t="s">
        <v>1006</v>
      </c>
      <c r="B98" t="s">
        <v>1007</v>
      </c>
    </row>
    <row r="99" spans="1:2" x14ac:dyDescent="0.25">
      <c r="A99" t="s">
        <v>1008</v>
      </c>
      <c r="B99" t="s">
        <v>1009</v>
      </c>
    </row>
    <row r="100" spans="1:2" x14ac:dyDescent="0.25">
      <c r="A100" t="s">
        <v>1010</v>
      </c>
      <c r="B100" t="s">
        <v>1011</v>
      </c>
    </row>
    <row r="101" spans="1:2" x14ac:dyDescent="0.25">
      <c r="A101" t="s">
        <v>1012</v>
      </c>
      <c r="B101" t="s">
        <v>1013</v>
      </c>
    </row>
    <row r="102" spans="1:2" x14ac:dyDescent="0.25">
      <c r="A102" t="s">
        <v>1014</v>
      </c>
      <c r="B102" t="s">
        <v>1015</v>
      </c>
    </row>
    <row r="103" spans="1:2" x14ac:dyDescent="0.25">
      <c r="A103" t="s">
        <v>1016</v>
      </c>
      <c r="B103" t="s">
        <v>1017</v>
      </c>
    </row>
    <row r="104" spans="1:2" x14ac:dyDescent="0.25">
      <c r="A104" t="s">
        <v>1018</v>
      </c>
      <c r="B104" t="s">
        <v>1019</v>
      </c>
    </row>
    <row r="105" spans="1:2" x14ac:dyDescent="0.25">
      <c r="A105" t="s">
        <v>1020</v>
      </c>
      <c r="B105" t="s">
        <v>1021</v>
      </c>
    </row>
    <row r="106" spans="1:2" x14ac:dyDescent="0.25">
      <c r="A106" t="s">
        <v>1022</v>
      </c>
      <c r="B106" t="s">
        <v>1023</v>
      </c>
    </row>
    <row r="107" spans="1:2" x14ac:dyDescent="0.25">
      <c r="A107" t="s">
        <v>1118</v>
      </c>
      <c r="B107" t="s">
        <v>1119</v>
      </c>
    </row>
    <row r="108" spans="1:2" x14ac:dyDescent="0.25">
      <c r="A108" t="s">
        <v>1024</v>
      </c>
      <c r="B108" t="s">
        <v>1025</v>
      </c>
    </row>
    <row r="109" spans="1:2" x14ac:dyDescent="0.25">
      <c r="A109" t="s">
        <v>1026</v>
      </c>
      <c r="B109" t="s">
        <v>1027</v>
      </c>
    </row>
    <row r="110" spans="1:2" x14ac:dyDescent="0.25">
      <c r="A110" t="s">
        <v>1028</v>
      </c>
      <c r="B110" t="s">
        <v>1029</v>
      </c>
    </row>
    <row r="111" spans="1:2" x14ac:dyDescent="0.25">
      <c r="A111" t="s">
        <v>1030</v>
      </c>
      <c r="B111" t="s">
        <v>1031</v>
      </c>
    </row>
    <row r="112" spans="1:2" x14ac:dyDescent="0.25">
      <c r="A112" t="s">
        <v>1032</v>
      </c>
      <c r="B112" t="s">
        <v>1033</v>
      </c>
    </row>
    <row r="113" spans="1:2" x14ac:dyDescent="0.25">
      <c r="A113" t="s">
        <v>1034</v>
      </c>
      <c r="B113" t="s">
        <v>1035</v>
      </c>
    </row>
    <row r="114" spans="1:2" x14ac:dyDescent="0.25">
      <c r="A114" t="s">
        <v>1036</v>
      </c>
      <c r="B114" t="s">
        <v>1037</v>
      </c>
    </row>
    <row r="115" spans="1:2" x14ac:dyDescent="0.25">
      <c r="A115" t="s">
        <v>1038</v>
      </c>
      <c r="B115" t="s">
        <v>1039</v>
      </c>
    </row>
    <row r="116" spans="1:2" x14ac:dyDescent="0.25">
      <c r="A116" t="s">
        <v>1040</v>
      </c>
      <c r="B116" t="s">
        <v>1041</v>
      </c>
    </row>
    <row r="117" spans="1:2" x14ac:dyDescent="0.25">
      <c r="A117" t="s">
        <v>1136</v>
      </c>
      <c r="B117" t="s">
        <v>1137</v>
      </c>
    </row>
    <row r="118" spans="1:2" x14ac:dyDescent="0.25">
      <c r="A118" t="s">
        <v>1042</v>
      </c>
      <c r="B118" t="s">
        <v>1043</v>
      </c>
    </row>
    <row r="119" spans="1:2" x14ac:dyDescent="0.25">
      <c r="A119" t="s">
        <v>1044</v>
      </c>
      <c r="B119" t="s">
        <v>1045</v>
      </c>
    </row>
    <row r="120" spans="1:2" x14ac:dyDescent="0.25">
      <c r="A120" t="s">
        <v>1046</v>
      </c>
      <c r="B120" t="s">
        <v>1047</v>
      </c>
    </row>
    <row r="121" spans="1:2" x14ac:dyDescent="0.25">
      <c r="A121" t="s">
        <v>1048</v>
      </c>
      <c r="B121" t="s">
        <v>1049</v>
      </c>
    </row>
    <row r="122" spans="1:2" x14ac:dyDescent="0.25">
      <c r="A122" t="s">
        <v>1050</v>
      </c>
      <c r="B122" t="s">
        <v>1051</v>
      </c>
    </row>
    <row r="123" spans="1:2" x14ac:dyDescent="0.25">
      <c r="A123" t="s">
        <v>1052</v>
      </c>
      <c r="B123" t="s">
        <v>1053</v>
      </c>
    </row>
    <row r="124" spans="1:2" x14ac:dyDescent="0.25">
      <c r="A124" t="s">
        <v>1054</v>
      </c>
      <c r="B124" t="s">
        <v>1055</v>
      </c>
    </row>
    <row r="125" spans="1:2" x14ac:dyDescent="0.25">
      <c r="A125" t="s">
        <v>1056</v>
      </c>
      <c r="B125" t="s">
        <v>1057</v>
      </c>
    </row>
    <row r="126" spans="1:2" x14ac:dyDescent="0.25">
      <c r="A126" s="38" t="s">
        <v>1058</v>
      </c>
      <c r="B126" t="s">
        <v>1059</v>
      </c>
    </row>
    <row r="127" spans="1:2" x14ac:dyDescent="0.25">
      <c r="A127" s="33" t="s">
        <v>1060</v>
      </c>
      <c r="B127" t="s">
        <v>1061</v>
      </c>
    </row>
    <row r="128" spans="1:2" x14ac:dyDescent="0.25">
      <c r="A128" s="33" t="s">
        <v>1062</v>
      </c>
      <c r="B128" t="s">
        <v>1063</v>
      </c>
    </row>
    <row r="129" spans="1:2" x14ac:dyDescent="0.25">
      <c r="A129" s="33" t="s">
        <v>1064</v>
      </c>
      <c r="B129" t="s">
        <v>1065</v>
      </c>
    </row>
    <row r="130" spans="1:2" x14ac:dyDescent="0.25">
      <c r="A130" s="33" t="s">
        <v>1066</v>
      </c>
      <c r="B130" t="s">
        <v>1067</v>
      </c>
    </row>
    <row r="131" spans="1:2" x14ac:dyDescent="0.25">
      <c r="A131" s="33" t="s">
        <v>1068</v>
      </c>
      <c r="B131" t="s">
        <v>1069</v>
      </c>
    </row>
    <row r="132" spans="1:2" x14ac:dyDescent="0.25">
      <c r="A132" s="33" t="s">
        <v>1070</v>
      </c>
      <c r="B132" t="s">
        <v>1071</v>
      </c>
    </row>
    <row r="133" spans="1:2" x14ac:dyDescent="0.25">
      <c r="A133" s="33" t="s">
        <v>1072</v>
      </c>
      <c r="B133" t="s">
        <v>1073</v>
      </c>
    </row>
    <row r="134" spans="1:2" x14ac:dyDescent="0.25">
      <c r="A134" s="33" t="s">
        <v>1074</v>
      </c>
      <c r="B134" t="s">
        <v>1075</v>
      </c>
    </row>
    <row r="135" spans="1:2" x14ac:dyDescent="0.25">
      <c r="A135" s="33" t="s">
        <v>1076</v>
      </c>
      <c r="B135" t="s">
        <v>1077</v>
      </c>
    </row>
    <row r="136" spans="1:2" x14ac:dyDescent="0.25">
      <c r="A136" s="33" t="s">
        <v>1078</v>
      </c>
      <c r="B136" t="s">
        <v>1079</v>
      </c>
    </row>
    <row r="137" spans="1:2" x14ac:dyDescent="0.25">
      <c r="A137" t="s">
        <v>1080</v>
      </c>
      <c r="B137" t="s">
        <v>1081</v>
      </c>
    </row>
    <row r="138" spans="1:2" x14ac:dyDescent="0.25">
      <c r="A138" t="s">
        <v>1082</v>
      </c>
      <c r="B138" t="s">
        <v>1083</v>
      </c>
    </row>
    <row r="139" spans="1:2" x14ac:dyDescent="0.25">
      <c r="A139" t="s">
        <v>1084</v>
      </c>
      <c r="B139" t="s">
        <v>1085</v>
      </c>
    </row>
    <row r="140" spans="1:2" x14ac:dyDescent="0.25">
      <c r="A140" t="s">
        <v>1086</v>
      </c>
      <c r="B140" t="s">
        <v>1087</v>
      </c>
    </row>
    <row r="141" spans="1:2" x14ac:dyDescent="0.25">
      <c r="A141" t="s">
        <v>1088</v>
      </c>
      <c r="B141" t="s">
        <v>1089</v>
      </c>
    </row>
    <row r="142" spans="1:2" x14ac:dyDescent="0.25">
      <c r="A142" t="s">
        <v>1090</v>
      </c>
      <c r="B142" t="s">
        <v>1091</v>
      </c>
    </row>
    <row r="143" spans="1:2" x14ac:dyDescent="0.25">
      <c r="A143" t="s">
        <v>1092</v>
      </c>
      <c r="B143" t="s">
        <v>1093</v>
      </c>
    </row>
    <row r="144" spans="1:2" x14ac:dyDescent="0.25">
      <c r="A144" t="s">
        <v>1094</v>
      </c>
      <c r="B144" t="s">
        <v>1095</v>
      </c>
    </row>
    <row r="145" spans="1:2" x14ac:dyDescent="0.25">
      <c r="A145" t="s">
        <v>1096</v>
      </c>
      <c r="B145" t="s">
        <v>1097</v>
      </c>
    </row>
    <row r="146" spans="1:2" x14ac:dyDescent="0.25">
      <c r="A146" t="s">
        <v>1098</v>
      </c>
      <c r="B146" t="s">
        <v>1099</v>
      </c>
    </row>
    <row r="147" spans="1:2" x14ac:dyDescent="0.25">
      <c r="A147" t="s">
        <v>1100</v>
      </c>
      <c r="B147" t="s">
        <v>1101</v>
      </c>
    </row>
    <row r="148" spans="1:2" x14ac:dyDescent="0.25">
      <c r="A148" t="s">
        <v>1102</v>
      </c>
      <c r="B148" t="s">
        <v>1103</v>
      </c>
    </row>
    <row r="149" spans="1:2" x14ac:dyDescent="0.25">
      <c r="A149" t="s">
        <v>1104</v>
      </c>
      <c r="B149" t="s">
        <v>1105</v>
      </c>
    </row>
    <row r="150" spans="1:2" x14ac:dyDescent="0.25">
      <c r="A150" t="s">
        <v>1106</v>
      </c>
      <c r="B150" t="s">
        <v>1107</v>
      </c>
    </row>
    <row r="151" spans="1:2" x14ac:dyDescent="0.25">
      <c r="A151" t="s">
        <v>1108</v>
      </c>
      <c r="B151" t="s">
        <v>1109</v>
      </c>
    </row>
    <row r="152" spans="1:2" x14ac:dyDescent="0.25">
      <c r="A152" t="s">
        <v>1110</v>
      </c>
      <c r="B152" t="s">
        <v>1111</v>
      </c>
    </row>
    <row r="153" spans="1:2" x14ac:dyDescent="0.25">
      <c r="A153" t="s">
        <v>1112</v>
      </c>
      <c r="B153" t="s">
        <v>1113</v>
      </c>
    </row>
    <row r="154" spans="1:2" x14ac:dyDescent="0.25">
      <c r="A154" t="s">
        <v>1114</v>
      </c>
      <c r="B154" t="s">
        <v>1115</v>
      </c>
    </row>
    <row r="155" spans="1:2" x14ac:dyDescent="0.25">
      <c r="A155" t="s">
        <v>1116</v>
      </c>
      <c r="B155" t="s">
        <v>1117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E13"/>
  <sheetViews>
    <sheetView zoomScale="85" zoomScaleNormal="85" workbookViewId="0">
      <selection activeCell="B3" sqref="B3"/>
    </sheetView>
  </sheetViews>
  <sheetFormatPr defaultColWidth="9.140625" defaultRowHeight="15" x14ac:dyDescent="0.25"/>
  <cols>
    <col min="1" max="1" width="17.5703125" bestFit="1" customWidth="1"/>
    <col min="2" max="2" width="16" bestFit="1" customWidth="1"/>
  </cols>
  <sheetData>
    <row r="1" spans="1:5" x14ac:dyDescent="0.25">
      <c r="A1" s="11" t="s">
        <v>825</v>
      </c>
      <c r="B1" s="11" t="s">
        <v>843</v>
      </c>
      <c r="E1" t="s">
        <v>814</v>
      </c>
    </row>
    <row r="2" spans="1:5" x14ac:dyDescent="0.25">
      <c r="A2" s="24" t="s">
        <v>2</v>
      </c>
      <c r="B2" s="29" t="s">
        <v>874</v>
      </c>
    </row>
    <row r="3" spans="1:5" x14ac:dyDescent="0.25">
      <c r="A3" s="24" t="s">
        <v>3</v>
      </c>
      <c r="B3" s="29" t="s">
        <v>874</v>
      </c>
    </row>
    <row r="4" spans="1:5" x14ac:dyDescent="0.25">
      <c r="A4" s="24" t="s">
        <v>5</v>
      </c>
      <c r="B4" s="29" t="s">
        <v>874</v>
      </c>
    </row>
    <row r="5" spans="1:5" x14ac:dyDescent="0.25">
      <c r="A5" s="24" t="s">
        <v>7</v>
      </c>
      <c r="B5" s="29" t="s">
        <v>874</v>
      </c>
    </row>
    <row r="6" spans="1:5" x14ac:dyDescent="0.25">
      <c r="A6" s="24" t="s">
        <v>9</v>
      </c>
      <c r="B6" s="29" t="s">
        <v>874</v>
      </c>
    </row>
    <row r="7" spans="1:5" x14ac:dyDescent="0.25">
      <c r="A7" s="24" t="s">
        <v>8</v>
      </c>
      <c r="B7" s="29" t="s">
        <v>874</v>
      </c>
    </row>
    <row r="8" spans="1:5" x14ac:dyDescent="0.25">
      <c r="A8" s="24" t="s">
        <v>1</v>
      </c>
      <c r="B8" s="29" t="s">
        <v>874</v>
      </c>
    </row>
    <row r="9" spans="1:5" x14ac:dyDescent="0.25">
      <c r="A9" s="24" t="s">
        <v>4</v>
      </c>
      <c r="B9" s="29" t="s">
        <v>874</v>
      </c>
    </row>
    <row r="10" spans="1:5" x14ac:dyDescent="0.25">
      <c r="A10" s="24" t="s">
        <v>6</v>
      </c>
      <c r="B10" s="29" t="s">
        <v>874</v>
      </c>
    </row>
    <row r="11" spans="1:5" x14ac:dyDescent="0.25">
      <c r="A11" s="24" t="s">
        <v>10</v>
      </c>
      <c r="B11" s="29" t="s">
        <v>874</v>
      </c>
    </row>
    <row r="12" spans="1:5" x14ac:dyDescent="0.25">
      <c r="A12" s="24" t="s">
        <v>11</v>
      </c>
      <c r="B12" s="29" t="s">
        <v>874</v>
      </c>
    </row>
    <row r="13" spans="1:5" x14ac:dyDescent="0.25">
      <c r="A13" s="24" t="s">
        <v>800</v>
      </c>
      <c r="B13" s="29" t="s">
        <v>874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A153"/>
  <sheetViews>
    <sheetView topLeftCell="K1" zoomScale="85" zoomScaleNormal="85" workbookViewId="0">
      <selection activeCell="AA2" sqref="AA2"/>
    </sheetView>
  </sheetViews>
  <sheetFormatPr defaultRowHeight="15" x14ac:dyDescent="0.25"/>
  <cols>
    <col min="1" max="1" width="14.5703125" bestFit="1" customWidth="1"/>
    <col min="2" max="2" width="15.7109375" bestFit="1" customWidth="1"/>
    <col min="3" max="3" width="11.7109375" bestFit="1" customWidth="1"/>
    <col min="4" max="4" width="46.5703125" bestFit="1" customWidth="1"/>
    <col min="5" max="5" width="17.5703125" bestFit="1" customWidth="1"/>
    <col min="6" max="6" width="18.7109375" bestFit="1" customWidth="1"/>
    <col min="7" max="7" width="14" bestFit="1" customWidth="1"/>
    <col min="8" max="8" width="11.5703125" bestFit="1" customWidth="1"/>
    <col min="9" max="9" width="27.140625" bestFit="1" customWidth="1"/>
    <col min="10" max="10" width="24.28515625" bestFit="1" customWidth="1"/>
    <col min="11" max="11" width="16.28515625" bestFit="1" customWidth="1"/>
    <col min="12" max="12" width="17.7109375" bestFit="1" customWidth="1"/>
    <col min="13" max="13" width="19.5703125" bestFit="1" customWidth="1"/>
    <col min="14" max="14" width="22.28515625" bestFit="1" customWidth="1"/>
    <col min="15" max="15" width="19.140625" style="59" bestFit="1" customWidth="1"/>
    <col min="16" max="16" width="22" bestFit="1" customWidth="1"/>
    <col min="19" max="19" width="11.140625" bestFit="1" customWidth="1"/>
    <col min="20" max="20" width="14.42578125" bestFit="1" customWidth="1"/>
    <col min="21" max="21" width="5.5703125" bestFit="1" customWidth="1"/>
    <col min="22" max="22" width="10.42578125" bestFit="1" customWidth="1"/>
    <col min="23" max="24" width="5.5703125" bestFit="1" customWidth="1"/>
    <col min="25" max="25" width="10.140625" bestFit="1" customWidth="1"/>
    <col min="26" max="26" width="10.5703125" bestFit="1" customWidth="1"/>
    <col min="27" max="27" width="29.140625" bestFit="1" customWidth="1"/>
  </cols>
  <sheetData>
    <row r="1" spans="1:27" x14ac:dyDescent="0.25">
      <c r="A1" s="54" t="s">
        <v>1580</v>
      </c>
      <c r="B1" s="54" t="s">
        <v>1198</v>
      </c>
      <c r="C1" s="54" t="s">
        <v>1205</v>
      </c>
      <c r="D1" s="55" t="s">
        <v>1589</v>
      </c>
      <c r="E1" s="54" t="s">
        <v>1581</v>
      </c>
      <c r="F1" s="56" t="s">
        <v>1586</v>
      </c>
      <c r="G1" s="56" t="s">
        <v>1585</v>
      </c>
      <c r="H1" s="56" t="s">
        <v>803</v>
      </c>
      <c r="I1" s="55" t="s">
        <v>1590</v>
      </c>
      <c r="J1" s="55" t="s">
        <v>1591</v>
      </c>
      <c r="K1" s="55" t="s">
        <v>1592</v>
      </c>
      <c r="L1" s="55" t="s">
        <v>1593</v>
      </c>
      <c r="M1" s="55" t="s">
        <v>1594</v>
      </c>
      <c r="N1" s="55" t="s">
        <v>1595</v>
      </c>
      <c r="O1" s="60" t="s">
        <v>1596</v>
      </c>
      <c r="P1" s="55" t="s">
        <v>1597</v>
      </c>
      <c r="S1" s="57" t="s">
        <v>1598</v>
      </c>
      <c r="T1" s="57" t="s">
        <v>1599</v>
      </c>
      <c r="U1" s="57" t="s">
        <v>1600</v>
      </c>
      <c r="V1" s="57" t="s">
        <v>1601</v>
      </c>
      <c r="W1" s="57" t="s">
        <v>1602</v>
      </c>
      <c r="X1" s="57" t="s">
        <v>1603</v>
      </c>
      <c r="Y1" s="57" t="s">
        <v>1604</v>
      </c>
      <c r="Z1" s="57" t="s">
        <v>1207</v>
      </c>
      <c r="AA1" s="57" t="s">
        <v>1605</v>
      </c>
    </row>
    <row r="2" spans="1:27" x14ac:dyDescent="0.25">
      <c r="A2" s="10" t="s">
        <v>83</v>
      </c>
      <c r="B2" s="10" t="s">
        <v>315</v>
      </c>
      <c r="C2" t="s">
        <v>1221</v>
      </c>
      <c r="D2" t="str">
        <f>INDEX(Modded_AMF_Table[#All], MATCH($C2,Modded_AMF_Table[[#All],[GL_Other]],0), MATCH("GL_AcctDesc",Modded_AMF_Table[#Headers],0))</f>
        <v>ISC Goods Invoiced Not Received Clearing Account</v>
      </c>
      <c r="F2" s="51">
        <f t="array" ref="F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0</v>
      </c>
      <c r="G2" s="51">
        <f t="array" ref="G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0</v>
      </c>
      <c r="H2" s="51">
        <f t="array" ref="H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2" s="51">
        <f t="array" ref="I2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2" s="51">
        <f>OCF_Activity_Template_Table[[#This Row],[BNS]]-OCF_Activity_Template_Table[[#This Row],[BNS PRE-Close Income - TE]]</f>
        <v>0</v>
      </c>
      <c r="K2" s="51">
        <v>0</v>
      </c>
      <c r="L2" s="51" t="b">
        <f>IFERROR(VLOOKUP(OCF_Activity_Template_Table[[#This Row],[GL_Other]],GL_Acct_to_Clearing_Acct[Clearing Acct],1,FALSE)=OCF_Activity_Template_Table[[#This Row],[GL_Other]],FALSE)</f>
        <v>0</v>
      </c>
      <c r="M2" s="51" t="b">
        <f>NOT(ISERROR(VLOOKUP(OCF_Activity_Template_Table[[#This Row],[GL_Other]],GL_Acct_to_Clearing_Acct[#All],2,FALSE)))</f>
        <v>0</v>
      </c>
      <c r="N2" s="51">
        <v>0</v>
      </c>
      <c r="O2" s="61"/>
      <c r="P2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2" s="15">
        <f>'Input &amp; Assumptions'!$C$11</f>
        <v>42215</v>
      </c>
      <c r="T2" s="15">
        <f>'Input &amp; Assumptions'!$C$12</f>
        <v>42215</v>
      </c>
      <c r="U2" t="str">
        <f>IF(OCF_Activity_Template_Table[[#This Row],[BNS Amount to Clear]]&gt;=0,"40","50")</f>
        <v>40</v>
      </c>
      <c r="V2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1111001</v>
      </c>
      <c r="W2">
        <v>366</v>
      </c>
      <c r="X2" t="str">
        <f>IFERROR(VLOOKUP(OCF_Activity_Template_Table[[#This Row],[HFM_Account]],HFM_Acct_to_CC[#All],2,FALSE),"")</f>
        <v/>
      </c>
      <c r="Y2" t="str">
        <f>IF(OCF_Activity_Template_Table[[#This Row],[Trading_Partner]]="","",OCF_Activity_Template_Table[[#This Row],[Trading_Partner]])</f>
        <v/>
      </c>
      <c r="Z2" s="51">
        <f>ROUND(ABS(OCF_Activity_Template_Table[[#This Row],[BNS Amount to Clear]]),2)</f>
        <v>0</v>
      </c>
      <c r="AA2" t="str">
        <f>"Clear BNS activity from "&amp;OCF_Activity_Template_Table[[#This Row],[GL_Other]]</f>
        <v>Clear BNS activity from 1111001</v>
      </c>
    </row>
    <row r="3" spans="1:27" x14ac:dyDescent="0.25">
      <c r="A3" s="10" t="s">
        <v>83</v>
      </c>
      <c r="B3" s="10" t="s">
        <v>9</v>
      </c>
      <c r="C3" t="s">
        <v>1330</v>
      </c>
      <c r="D3" t="str">
        <f>INDEX(Modded_AMF_Table[#All], MATCH($C3,Modded_AMF_Table[[#All],[GL_Other]],0), MATCH("GL_AcctDesc",Modded_AMF_Table[#Headers],0))</f>
        <v>Salaries or Wages</v>
      </c>
      <c r="F3" s="51">
        <f t="array" ref="F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16683.559999999998</v>
      </c>
      <c r="G3" s="51">
        <f t="array" ref="G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16683.559999999998</v>
      </c>
      <c r="H3" s="51">
        <f t="array" ref="H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3" s="51">
        <f t="array" ref="I3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3" s="51">
        <f>OCF_Activity_Template_Table[[#This Row],[BNS]]-OCF_Activity_Template_Table[[#This Row],[BNS PRE-Close Income - TE]]</f>
        <v>0</v>
      </c>
      <c r="K3" s="51">
        <v>0</v>
      </c>
      <c r="L3" s="51" t="b">
        <f>IFERROR(VLOOKUP(OCF_Activity_Template_Table[[#This Row],[GL_Other]],GL_Acct_to_Clearing_Acct[Clearing Acct],1,FALSE)=OCF_Activity_Template_Table[[#This Row],[GL_Other]],FALSE)</f>
        <v>0</v>
      </c>
      <c r="M3" s="51" t="b">
        <f>NOT(ISERROR(VLOOKUP(OCF_Activity_Template_Table[[#This Row],[GL_Other]],GL_Acct_to_Clearing_Acct[#All],2,FALSE)))</f>
        <v>0</v>
      </c>
      <c r="N3" s="51">
        <v>0</v>
      </c>
      <c r="O3" s="61"/>
      <c r="P3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3" s="15">
        <f>'Input &amp; Assumptions'!$C$11</f>
        <v>42215</v>
      </c>
      <c r="T3" s="15">
        <f>'Input &amp; Assumptions'!$C$12</f>
        <v>42215</v>
      </c>
      <c r="U3" t="str">
        <f>IF(OCF_Activity_Template_Table[[#This Row],[BNS Amount to Clear]]&gt;=0,"40","50")</f>
        <v>40</v>
      </c>
      <c r="V3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6023000</v>
      </c>
      <c r="W3">
        <v>366</v>
      </c>
      <c r="X3" t="str">
        <f>IFERROR(VLOOKUP(OCF_Activity_Template_Table[[#This Row],[HFM_Account]],HFM_Acct_to_CC[#All],2,FALSE),"")</f>
        <v>TBD</v>
      </c>
      <c r="Y3" t="str">
        <f>IF(OCF_Activity_Template_Table[[#This Row],[Trading_Partner]]="","",OCF_Activity_Template_Table[[#This Row],[Trading_Partner]])</f>
        <v/>
      </c>
      <c r="Z3" s="51">
        <f>ROUND(ABS(OCF_Activity_Template_Table[[#This Row],[BNS Amount to Clear]]),2)</f>
        <v>0</v>
      </c>
      <c r="AA3" t="str">
        <f>"Clear BNS activity from "&amp;OCF_Activity_Template_Table[[#This Row],[GL_Other]]</f>
        <v>Clear BNS activity from 6023000</v>
      </c>
    </row>
    <row r="4" spans="1:27" x14ac:dyDescent="0.25">
      <c r="A4" s="10" t="s">
        <v>83</v>
      </c>
      <c r="B4" s="10" t="s">
        <v>9</v>
      </c>
      <c r="C4" t="s">
        <v>1449</v>
      </c>
      <c r="D4" t="str">
        <f>INDEX(Modded_AMF_Table[#All], MATCH($C4,Modded_AMF_Table[[#All],[GL_Other]],0), MATCH("GL_AcctDesc",Modded_AMF_Table[#Headers],0))</f>
        <v>Salary - Sickleave</v>
      </c>
      <c r="F4" s="51">
        <f t="array" ref="F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853.3</v>
      </c>
      <c r="G4" s="51">
        <f t="array" ref="G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853.3</v>
      </c>
      <c r="H4" s="51">
        <f t="array" ref="H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4" s="51">
        <f t="array" ref="I4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4" s="51">
        <f>OCF_Activity_Template_Table[[#This Row],[BNS]]-OCF_Activity_Template_Table[[#This Row],[BNS PRE-Close Income - TE]]</f>
        <v>0</v>
      </c>
      <c r="K4" s="51">
        <v>0</v>
      </c>
      <c r="L4" s="51" t="b">
        <f>IFERROR(VLOOKUP(OCF_Activity_Template_Table[[#This Row],[GL_Other]],GL_Acct_to_Clearing_Acct[Clearing Acct],1,FALSE)=OCF_Activity_Template_Table[[#This Row],[GL_Other]],FALSE)</f>
        <v>0</v>
      </c>
      <c r="M4" s="51" t="b">
        <f>NOT(ISERROR(VLOOKUP(OCF_Activity_Template_Table[[#This Row],[GL_Other]],GL_Acct_to_Clearing_Acct[#All],2,FALSE)))</f>
        <v>0</v>
      </c>
      <c r="N4" s="51">
        <v>0</v>
      </c>
      <c r="O4" s="61"/>
      <c r="P4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4" s="15">
        <f>'Input &amp; Assumptions'!$C$11</f>
        <v>42215</v>
      </c>
      <c r="T4" s="15">
        <f>'Input &amp; Assumptions'!$C$12</f>
        <v>42215</v>
      </c>
      <c r="U4" t="str">
        <f>IF(OCF_Activity_Template_Table[[#This Row],[BNS Amount to Clear]]&gt;=0,"40","50")</f>
        <v>40</v>
      </c>
      <c r="V4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6023012</v>
      </c>
      <c r="W4">
        <v>366</v>
      </c>
      <c r="X4" t="str">
        <f>IFERROR(VLOOKUP(OCF_Activity_Template_Table[[#This Row],[HFM_Account]],HFM_Acct_to_CC[#All],2,FALSE),"")</f>
        <v>TBD</v>
      </c>
      <c r="Y4" t="str">
        <f>IF(OCF_Activity_Template_Table[[#This Row],[Trading_Partner]]="","",OCF_Activity_Template_Table[[#This Row],[Trading_Partner]])</f>
        <v/>
      </c>
      <c r="Z4" s="51">
        <f>ROUND(ABS(OCF_Activity_Template_Table[[#This Row],[BNS Amount to Clear]]),2)</f>
        <v>0</v>
      </c>
      <c r="AA4" t="str">
        <f>"Clear BNS activity from "&amp;OCF_Activity_Template_Table[[#This Row],[GL_Other]]</f>
        <v>Clear BNS activity from 6023012</v>
      </c>
    </row>
    <row r="5" spans="1:27" x14ac:dyDescent="0.25">
      <c r="A5" s="10" t="s">
        <v>83</v>
      </c>
      <c r="B5" s="10" t="s">
        <v>9</v>
      </c>
      <c r="C5" t="s">
        <v>1452</v>
      </c>
      <c r="D5" t="str">
        <f>INDEX(Modded_AMF_Table[#All], MATCH($C5,Modded_AMF_Table[[#All],[GL_Other]],0), MATCH("GL_AcctDesc",Modded_AMF_Table[#Headers],0))</f>
        <v>Salary - Special Pay</v>
      </c>
      <c r="F5" s="51">
        <f t="array" ref="F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-853.3</v>
      </c>
      <c r="G5" s="51">
        <f t="array" ref="G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-853.3</v>
      </c>
      <c r="H5" s="51">
        <f t="array" ref="H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5" s="51">
        <f t="array" ref="I5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5" s="51">
        <f>OCF_Activity_Template_Table[[#This Row],[BNS]]-OCF_Activity_Template_Table[[#This Row],[BNS PRE-Close Income - TE]]</f>
        <v>0</v>
      </c>
      <c r="K5" s="51">
        <v>0</v>
      </c>
      <c r="L5" s="51" t="b">
        <f>IFERROR(VLOOKUP(OCF_Activity_Template_Table[[#This Row],[GL_Other]],GL_Acct_to_Clearing_Acct[Clearing Acct],1,FALSE)=OCF_Activity_Template_Table[[#This Row],[GL_Other]],FALSE)</f>
        <v>0</v>
      </c>
      <c r="M5" s="51" t="b">
        <f>NOT(ISERROR(VLOOKUP(OCF_Activity_Template_Table[[#This Row],[GL_Other]],GL_Acct_to_Clearing_Acct[#All],2,FALSE)))</f>
        <v>0</v>
      </c>
      <c r="N5" s="51">
        <v>0</v>
      </c>
      <c r="O5" s="61"/>
      <c r="P5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5" s="15">
        <f>'Input &amp; Assumptions'!$C$11</f>
        <v>42215</v>
      </c>
      <c r="T5" s="15">
        <f>'Input &amp; Assumptions'!$C$12</f>
        <v>42215</v>
      </c>
      <c r="U5" t="str">
        <f>IF(OCF_Activity_Template_Table[[#This Row],[BNS Amount to Clear]]&gt;=0,"40","50")</f>
        <v>40</v>
      </c>
      <c r="V5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6023013</v>
      </c>
      <c r="W5">
        <v>366</v>
      </c>
      <c r="X5" t="str">
        <f>IFERROR(VLOOKUP(OCF_Activity_Template_Table[[#This Row],[HFM_Account]],HFM_Acct_to_CC[#All],2,FALSE),"")</f>
        <v>TBD</v>
      </c>
      <c r="Y5" t="str">
        <f>IF(OCF_Activity_Template_Table[[#This Row],[Trading_Partner]]="","",OCF_Activity_Template_Table[[#This Row],[Trading_Partner]])</f>
        <v/>
      </c>
      <c r="Z5" s="51">
        <f>ROUND(ABS(OCF_Activity_Template_Table[[#This Row],[BNS Amount to Clear]]),2)</f>
        <v>0</v>
      </c>
      <c r="AA5" t="str">
        <f>"Clear BNS activity from "&amp;OCF_Activity_Template_Table[[#This Row],[GL_Other]]</f>
        <v>Clear BNS activity from 6023013</v>
      </c>
    </row>
    <row r="6" spans="1:27" x14ac:dyDescent="0.25">
      <c r="A6" s="10" t="s">
        <v>83</v>
      </c>
      <c r="B6" s="10" t="s">
        <v>9</v>
      </c>
      <c r="C6" t="s">
        <v>1535</v>
      </c>
      <c r="D6" t="str">
        <f>INDEX(Modded_AMF_Table[#All], MATCH($C6,Modded_AMF_Table[[#All],[GL_Other]],0), MATCH("GL_AcctDesc",Modded_AMF_Table[#Headers],0))</f>
        <v>Other Personnel Expenses - Catering</v>
      </c>
      <c r="F6" s="51">
        <f t="array" ref="F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1427.77</v>
      </c>
      <c r="G6" s="51">
        <f t="array" ref="G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1427.77</v>
      </c>
      <c r="H6" s="51">
        <f t="array" ref="H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6" s="51">
        <f t="array" ref="I6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6" s="51">
        <f>OCF_Activity_Template_Table[[#This Row],[BNS]]-OCF_Activity_Template_Table[[#This Row],[BNS PRE-Close Income - TE]]</f>
        <v>0</v>
      </c>
      <c r="K6" s="51">
        <v>0</v>
      </c>
      <c r="L6" s="51" t="b">
        <f>IFERROR(VLOOKUP(OCF_Activity_Template_Table[[#This Row],[GL_Other]],GL_Acct_to_Clearing_Acct[Clearing Acct],1,FALSE)=OCF_Activity_Template_Table[[#This Row],[GL_Other]],FALSE)</f>
        <v>0</v>
      </c>
      <c r="M6" s="51" t="b">
        <f>NOT(ISERROR(VLOOKUP(OCF_Activity_Template_Table[[#This Row],[GL_Other]],GL_Acct_to_Clearing_Acct[#All],2,FALSE)))</f>
        <v>0</v>
      </c>
      <c r="N6" s="51">
        <v>0</v>
      </c>
      <c r="O6" s="61"/>
      <c r="P6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6" s="15">
        <f>'Input &amp; Assumptions'!$C$11</f>
        <v>42215</v>
      </c>
      <c r="T6" s="15">
        <f>'Input &amp; Assumptions'!$C$12</f>
        <v>42215</v>
      </c>
      <c r="U6" t="str">
        <f>IF(OCF_Activity_Template_Table[[#This Row],[BNS Amount to Clear]]&gt;=0,"40","50")</f>
        <v>40</v>
      </c>
      <c r="V6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6049009</v>
      </c>
      <c r="W6">
        <v>366</v>
      </c>
      <c r="X6" t="str">
        <f>IFERROR(VLOOKUP(OCF_Activity_Template_Table[[#This Row],[HFM_Account]],HFM_Acct_to_CC[#All],2,FALSE),"")</f>
        <v>TBD</v>
      </c>
      <c r="Y6" t="str">
        <f>IF(OCF_Activity_Template_Table[[#This Row],[Trading_Partner]]="","",OCF_Activity_Template_Table[[#This Row],[Trading_Partner]])</f>
        <v/>
      </c>
      <c r="Z6" s="51">
        <f>ROUND(ABS(OCF_Activity_Template_Table[[#This Row],[BNS Amount to Clear]]),2)</f>
        <v>0</v>
      </c>
      <c r="AA6" t="str">
        <f>"Clear BNS activity from "&amp;OCF_Activity_Template_Table[[#This Row],[GL_Other]]</f>
        <v>Clear BNS activity from 6049009</v>
      </c>
    </row>
    <row r="7" spans="1:27" x14ac:dyDescent="0.25">
      <c r="A7" s="10" t="s">
        <v>83</v>
      </c>
      <c r="B7" s="10" t="s">
        <v>9</v>
      </c>
      <c r="C7" t="s">
        <v>1340</v>
      </c>
      <c r="D7" t="str">
        <f>INDEX(Modded_AMF_Table[#All], MATCH($C7,Modded_AMF_Table[[#All],[GL_Other]],0), MATCH("GL_AcctDesc",Modded_AMF_Table[#Headers],0))</f>
        <v>Personal Benefits- Cafeteria</v>
      </c>
      <c r="F7" s="51">
        <f t="array" ref="F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66.5</v>
      </c>
      <c r="G7" s="51">
        <f t="array" ref="G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66.5</v>
      </c>
      <c r="H7" s="51">
        <f t="array" ref="H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7" s="51">
        <f t="array" ref="I7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7" s="51">
        <f>OCF_Activity_Template_Table[[#This Row],[BNS]]-OCF_Activity_Template_Table[[#This Row],[BNS PRE-Close Income - TE]]</f>
        <v>0</v>
      </c>
      <c r="K7" s="51">
        <v>0</v>
      </c>
      <c r="L7" s="51" t="b">
        <f>IFERROR(VLOOKUP(OCF_Activity_Template_Table[[#This Row],[GL_Other]],GL_Acct_to_Clearing_Acct[Clearing Acct],1,FALSE)=OCF_Activity_Template_Table[[#This Row],[GL_Other]],FALSE)</f>
        <v>0</v>
      </c>
      <c r="M7" s="51" t="b">
        <f>NOT(ISERROR(VLOOKUP(OCF_Activity_Template_Table[[#This Row],[GL_Other]],GL_Acct_to_Clearing_Acct[#All],2,FALSE)))</f>
        <v>0</v>
      </c>
      <c r="N7" s="51">
        <v>0</v>
      </c>
      <c r="O7" s="61"/>
      <c r="P7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7" s="15">
        <f>'Input &amp; Assumptions'!$C$11</f>
        <v>42215</v>
      </c>
      <c r="T7" s="15">
        <f>'Input &amp; Assumptions'!$C$12</f>
        <v>42215</v>
      </c>
      <c r="U7" t="str">
        <f>IF(OCF_Activity_Template_Table[[#This Row],[BNS Amount to Clear]]&gt;=0,"40","50")</f>
        <v>40</v>
      </c>
      <c r="V7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6049010</v>
      </c>
      <c r="W7">
        <v>366</v>
      </c>
      <c r="X7" t="str">
        <f>IFERROR(VLOOKUP(OCF_Activity_Template_Table[[#This Row],[HFM_Account]],HFM_Acct_to_CC[#All],2,FALSE),"")</f>
        <v>TBD</v>
      </c>
      <c r="Y7" t="str">
        <f>IF(OCF_Activity_Template_Table[[#This Row],[Trading_Partner]]="","",OCF_Activity_Template_Table[[#This Row],[Trading_Partner]])</f>
        <v/>
      </c>
      <c r="Z7" s="51">
        <f>ROUND(ABS(OCF_Activity_Template_Table[[#This Row],[BNS Amount to Clear]]),2)</f>
        <v>0</v>
      </c>
      <c r="AA7" t="str">
        <f>"Clear BNS activity from "&amp;OCF_Activity_Template_Table[[#This Row],[GL_Other]]</f>
        <v>Clear BNS activity from 6049010</v>
      </c>
    </row>
    <row r="8" spans="1:27" x14ac:dyDescent="0.25">
      <c r="A8" s="10" t="s">
        <v>83</v>
      </c>
      <c r="B8" s="10" t="s">
        <v>9</v>
      </c>
      <c r="C8" t="s">
        <v>1343</v>
      </c>
      <c r="D8" t="str">
        <f>INDEX(Modded_AMF_Table[#All], MATCH($C8,Modded_AMF_Table[[#All],[GL_Other]],0), MATCH("GL_AcctDesc",Modded_AMF_Table[#Headers],0))</f>
        <v>Personal Benefits- Other</v>
      </c>
      <c r="F8" s="51">
        <f t="array" ref="F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2817.41</v>
      </c>
      <c r="G8" s="51">
        <f t="array" ref="G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2817.41</v>
      </c>
      <c r="H8" s="51">
        <f t="array" ref="H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8" s="51">
        <f t="array" ref="I8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8" s="51">
        <f>OCF_Activity_Template_Table[[#This Row],[BNS]]-OCF_Activity_Template_Table[[#This Row],[BNS PRE-Close Income - TE]]</f>
        <v>0</v>
      </c>
      <c r="K8" s="51">
        <v>0</v>
      </c>
      <c r="L8" s="51" t="b">
        <f>IFERROR(VLOOKUP(OCF_Activity_Template_Table[[#This Row],[GL_Other]],GL_Acct_to_Clearing_Acct[Clearing Acct],1,FALSE)=OCF_Activity_Template_Table[[#This Row],[GL_Other]],FALSE)</f>
        <v>0</v>
      </c>
      <c r="M8" s="51" t="b">
        <f>NOT(ISERROR(VLOOKUP(OCF_Activity_Template_Table[[#This Row],[GL_Other]],GL_Acct_to_Clearing_Acct[#All],2,FALSE)))</f>
        <v>0</v>
      </c>
      <c r="N8" s="51">
        <v>0</v>
      </c>
      <c r="O8" s="61"/>
      <c r="P8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8" s="15">
        <f>'Input &amp; Assumptions'!$C$11</f>
        <v>42215</v>
      </c>
      <c r="T8" s="15">
        <f>'Input &amp; Assumptions'!$C$12</f>
        <v>42215</v>
      </c>
      <c r="U8" t="str">
        <f>IF(OCF_Activity_Template_Table[[#This Row],[BNS Amount to Clear]]&gt;=0,"40","50")</f>
        <v>40</v>
      </c>
      <c r="V8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6049070</v>
      </c>
      <c r="W8">
        <v>366</v>
      </c>
      <c r="X8" t="str">
        <f>IFERROR(VLOOKUP(OCF_Activity_Template_Table[[#This Row],[HFM_Account]],HFM_Acct_to_CC[#All],2,FALSE),"")</f>
        <v>TBD</v>
      </c>
      <c r="Y8" t="str">
        <f>IF(OCF_Activity_Template_Table[[#This Row],[Trading_Partner]]="","",OCF_Activity_Template_Table[[#This Row],[Trading_Partner]])</f>
        <v/>
      </c>
      <c r="Z8" s="51">
        <f>ROUND(ABS(OCF_Activity_Template_Table[[#This Row],[BNS Amount to Clear]]),2)</f>
        <v>0</v>
      </c>
      <c r="AA8" t="str">
        <f>"Clear BNS activity from "&amp;OCF_Activity_Template_Table[[#This Row],[GL_Other]]</f>
        <v>Clear BNS activity from 6049070</v>
      </c>
    </row>
    <row r="9" spans="1:27" x14ac:dyDescent="0.25">
      <c r="A9" s="10" t="s">
        <v>83</v>
      </c>
      <c r="B9" s="10" t="s">
        <v>9</v>
      </c>
      <c r="C9" t="s">
        <v>1018</v>
      </c>
      <c r="D9" t="str">
        <f>INDEX(Modded_AMF_Table[#All], MATCH($C9,Modded_AMF_Table[[#All],[GL_Other]],0), MATCH("GL_AcctDesc",Modded_AMF_Table[#Headers],0))</f>
        <v>Depreciation Furniture</v>
      </c>
      <c r="F9" s="51">
        <f t="array" ref="F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697</v>
      </c>
      <c r="G9" s="51">
        <f t="array" ref="G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697</v>
      </c>
      <c r="H9" s="51">
        <f t="array" ref="H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9" s="51">
        <f t="array" ref="I9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9" s="51">
        <f>OCF_Activity_Template_Table[[#This Row],[BNS]]-OCF_Activity_Template_Table[[#This Row],[BNS PRE-Close Income - TE]]</f>
        <v>0</v>
      </c>
      <c r="K9" s="51">
        <v>0</v>
      </c>
      <c r="L9" s="51" t="b">
        <f>IFERROR(VLOOKUP(OCF_Activity_Template_Table[[#This Row],[GL_Other]],GL_Acct_to_Clearing_Acct[Clearing Acct],1,FALSE)=OCF_Activity_Template_Table[[#This Row],[GL_Other]],FALSE)</f>
        <v>0</v>
      </c>
      <c r="M9" s="51" t="b">
        <f>NOT(ISERROR(VLOOKUP(OCF_Activity_Template_Table[[#This Row],[GL_Other]],GL_Acct_to_Clearing_Acct[#All],2,FALSE)))</f>
        <v>1</v>
      </c>
      <c r="N9" s="51">
        <v>0</v>
      </c>
      <c r="O9" s="61"/>
      <c r="P9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9" s="15">
        <f>'Input &amp; Assumptions'!$C$11</f>
        <v>42215</v>
      </c>
      <c r="T9" s="15">
        <f>'Input &amp; Assumptions'!$C$12</f>
        <v>42215</v>
      </c>
      <c r="U9" t="str">
        <f>IF(OCF_Activity_Template_Table[[#This Row],[BNS Amount to Clear]]&gt;=0,"40","50")</f>
        <v>40</v>
      </c>
      <c r="V9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6050489</v>
      </c>
      <c r="W9">
        <v>366</v>
      </c>
      <c r="X9" t="str">
        <f>IFERROR(VLOOKUP(OCF_Activity_Template_Table[[#This Row],[HFM_Account]],HFM_Acct_to_CC[#All],2,FALSE),"")</f>
        <v>TBD</v>
      </c>
      <c r="Y9" t="str">
        <f>IF(OCF_Activity_Template_Table[[#This Row],[Trading_Partner]]="","",OCF_Activity_Template_Table[[#This Row],[Trading_Partner]])</f>
        <v/>
      </c>
      <c r="Z9" s="51">
        <f>ROUND(ABS(OCF_Activity_Template_Table[[#This Row],[BNS Amount to Clear]]),2)</f>
        <v>0</v>
      </c>
      <c r="AA9" t="str">
        <f>"Clear BNS activity from "&amp;OCF_Activity_Template_Table[[#This Row],[GL_Other]]</f>
        <v>Clear BNS activity from 6050410</v>
      </c>
    </row>
    <row r="10" spans="1:27" x14ac:dyDescent="0.25">
      <c r="A10" s="10" t="s">
        <v>83</v>
      </c>
      <c r="B10" s="10" t="s">
        <v>9</v>
      </c>
      <c r="C10" t="s">
        <v>1541</v>
      </c>
      <c r="D10" t="str">
        <f>INDEX(Modded_AMF_Table[#All], MATCH($C10,Modded_AMF_Table[[#All],[GL_Other]],0), MATCH("GL_AcctDesc",Modded_AMF_Table[#Headers],0))</f>
        <v>Equipment Rental - Data Processing</v>
      </c>
      <c r="F10" s="51">
        <f t="array" ref="F1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3561.41</v>
      </c>
      <c r="G10" s="51">
        <f t="array" ref="G1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3561.41</v>
      </c>
      <c r="H10" s="51">
        <f t="array" ref="H1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0" s="51">
        <f t="array" ref="I10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0" s="51">
        <f>OCF_Activity_Template_Table[[#This Row],[BNS]]-OCF_Activity_Template_Table[[#This Row],[BNS PRE-Close Income - TE]]</f>
        <v>0</v>
      </c>
      <c r="K10" s="51">
        <v>0</v>
      </c>
      <c r="L10" s="51" t="b">
        <f>IFERROR(VLOOKUP(OCF_Activity_Template_Table[[#This Row],[GL_Other]],GL_Acct_to_Clearing_Acct[Clearing Acct],1,FALSE)=OCF_Activity_Template_Table[[#This Row],[GL_Other]],FALSE)</f>
        <v>0</v>
      </c>
      <c r="M10" s="51" t="b">
        <f>NOT(ISERROR(VLOOKUP(OCF_Activity_Template_Table[[#This Row],[GL_Other]],GL_Acct_to_Clearing_Acct[#All],2,FALSE)))</f>
        <v>0</v>
      </c>
      <c r="N10" s="51">
        <v>0</v>
      </c>
      <c r="O10" s="61"/>
      <c r="P10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0" s="15">
        <f>'Input &amp; Assumptions'!$C$11</f>
        <v>42215</v>
      </c>
      <c r="T10" s="15">
        <f>'Input &amp; Assumptions'!$C$12</f>
        <v>42215</v>
      </c>
      <c r="U10" t="str">
        <f>IF(OCF_Activity_Template_Table[[#This Row],[BNS Amount to Clear]]&gt;=0,"40","50")</f>
        <v>40</v>
      </c>
      <c r="V10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6051020</v>
      </c>
      <c r="W10">
        <v>366</v>
      </c>
      <c r="X10" t="str">
        <f>IFERROR(VLOOKUP(OCF_Activity_Template_Table[[#This Row],[HFM_Account]],HFM_Acct_to_CC[#All],2,FALSE),"")</f>
        <v>TBD</v>
      </c>
      <c r="Y10" t="str">
        <f>IF(OCF_Activity_Template_Table[[#This Row],[Trading_Partner]]="","",OCF_Activity_Template_Table[[#This Row],[Trading_Partner]])</f>
        <v/>
      </c>
      <c r="Z10" s="51">
        <f>ROUND(ABS(OCF_Activity_Template_Table[[#This Row],[BNS Amount to Clear]]),2)</f>
        <v>0</v>
      </c>
      <c r="AA10" t="str">
        <f>"Clear BNS activity from "&amp;OCF_Activity_Template_Table[[#This Row],[GL_Other]]</f>
        <v>Clear BNS activity from 6051020</v>
      </c>
    </row>
    <row r="11" spans="1:27" x14ac:dyDescent="0.25">
      <c r="A11" s="10" t="s">
        <v>83</v>
      </c>
      <c r="B11" s="10" t="s">
        <v>9</v>
      </c>
      <c r="C11" t="s">
        <v>1544</v>
      </c>
      <c r="D11" t="str">
        <f>INDEX(Modded_AMF_Table[#All], MATCH($C11,Modded_AMF_Table[[#All],[GL_Other]],0), MATCH("GL_AcctDesc",Modded_AMF_Table[#Headers],0))</f>
        <v>Equipment Rental - Other</v>
      </c>
      <c r="F11" s="51">
        <f t="array" ref="F1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769.01</v>
      </c>
      <c r="G11" s="51">
        <f t="array" ref="G1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769.01</v>
      </c>
      <c r="H11" s="51">
        <f t="array" ref="H1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1" s="51">
        <f t="array" ref="I11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1" s="51">
        <f>OCF_Activity_Template_Table[[#This Row],[BNS]]-OCF_Activity_Template_Table[[#This Row],[BNS PRE-Close Income - TE]]</f>
        <v>0</v>
      </c>
      <c r="K11" s="51">
        <v>0</v>
      </c>
      <c r="L11" s="51" t="b">
        <f>IFERROR(VLOOKUP(OCF_Activity_Template_Table[[#This Row],[GL_Other]],GL_Acct_to_Clearing_Acct[Clearing Acct],1,FALSE)=OCF_Activity_Template_Table[[#This Row],[GL_Other]],FALSE)</f>
        <v>0</v>
      </c>
      <c r="M11" s="51" t="b">
        <f>NOT(ISERROR(VLOOKUP(OCF_Activity_Template_Table[[#This Row],[GL_Other]],GL_Acct_to_Clearing_Acct[#All],2,FALSE)))</f>
        <v>0</v>
      </c>
      <c r="N11" s="51">
        <v>0</v>
      </c>
      <c r="O11" s="61"/>
      <c r="P11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1" s="15">
        <f>'Input &amp; Assumptions'!$C$11</f>
        <v>42215</v>
      </c>
      <c r="T11" s="15">
        <f>'Input &amp; Assumptions'!$C$12</f>
        <v>42215</v>
      </c>
      <c r="U11" t="str">
        <f>IF(OCF_Activity_Template_Table[[#This Row],[BNS Amount to Clear]]&gt;=0,"40","50")</f>
        <v>40</v>
      </c>
      <c r="V11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6051030</v>
      </c>
      <c r="W11">
        <v>366</v>
      </c>
      <c r="X11" t="str">
        <f>IFERROR(VLOOKUP(OCF_Activity_Template_Table[[#This Row],[HFM_Account]],HFM_Acct_to_CC[#All],2,FALSE),"")</f>
        <v>TBD</v>
      </c>
      <c r="Y11" t="str">
        <f>IF(OCF_Activity_Template_Table[[#This Row],[Trading_Partner]]="","",OCF_Activity_Template_Table[[#This Row],[Trading_Partner]])</f>
        <v/>
      </c>
      <c r="Z11" s="51">
        <f>ROUND(ABS(OCF_Activity_Template_Table[[#This Row],[BNS Amount to Clear]]),2)</f>
        <v>0</v>
      </c>
      <c r="AA11" t="str">
        <f>"Clear BNS activity from "&amp;OCF_Activity_Template_Table[[#This Row],[GL_Other]]</f>
        <v>Clear BNS activity from 6051030</v>
      </c>
    </row>
    <row r="12" spans="1:27" x14ac:dyDescent="0.25">
      <c r="A12" s="10" t="s">
        <v>83</v>
      </c>
      <c r="B12" s="10" t="s">
        <v>9</v>
      </c>
      <c r="C12" t="s">
        <v>1346</v>
      </c>
      <c r="D12" t="str">
        <f>INDEX(Modded_AMF_Table[#All], MATCH($C12,Modded_AMF_Table[[#All],[GL_Other]],0), MATCH("GL_AcctDesc",Modded_AMF_Table[#Headers],0))</f>
        <v>Equipment Rental - Computer</v>
      </c>
      <c r="F12" s="51">
        <f t="array" ref="F1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-2880</v>
      </c>
      <c r="G12" s="51">
        <f t="array" ref="G1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-2880</v>
      </c>
      <c r="H12" s="51">
        <f t="array" ref="H1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2" s="51">
        <f t="array" ref="I12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2" s="51">
        <f>OCF_Activity_Template_Table[[#This Row],[BNS]]-OCF_Activity_Template_Table[[#This Row],[BNS PRE-Close Income - TE]]</f>
        <v>0</v>
      </c>
      <c r="K12" s="51">
        <v>0</v>
      </c>
      <c r="L12" s="51" t="b">
        <f>IFERROR(VLOOKUP(OCF_Activity_Template_Table[[#This Row],[GL_Other]],GL_Acct_to_Clearing_Acct[Clearing Acct],1,FALSE)=OCF_Activity_Template_Table[[#This Row],[GL_Other]],FALSE)</f>
        <v>0</v>
      </c>
      <c r="M12" s="51" t="b">
        <f>NOT(ISERROR(VLOOKUP(OCF_Activity_Template_Table[[#This Row],[GL_Other]],GL_Acct_to_Clearing_Acct[#All],2,FALSE)))</f>
        <v>0</v>
      </c>
      <c r="N12" s="51">
        <v>0</v>
      </c>
      <c r="O12" s="61"/>
      <c r="P12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2" s="15">
        <f>'Input &amp; Assumptions'!$C$11</f>
        <v>42215</v>
      </c>
      <c r="T12" s="15">
        <f>'Input &amp; Assumptions'!$C$12</f>
        <v>42215</v>
      </c>
      <c r="U12" t="str">
        <f>IF(OCF_Activity_Template_Table[[#This Row],[BNS Amount to Clear]]&gt;=0,"40","50")</f>
        <v>40</v>
      </c>
      <c r="V12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6051045</v>
      </c>
      <c r="W12">
        <v>366</v>
      </c>
      <c r="X12" t="str">
        <f>IFERROR(VLOOKUP(OCF_Activity_Template_Table[[#This Row],[HFM_Account]],HFM_Acct_to_CC[#All],2,FALSE),"")</f>
        <v>TBD</v>
      </c>
      <c r="Y12" t="str">
        <f>IF(OCF_Activity_Template_Table[[#This Row],[Trading_Partner]]="","",OCF_Activity_Template_Table[[#This Row],[Trading_Partner]])</f>
        <v/>
      </c>
      <c r="Z12" s="51">
        <f>ROUND(ABS(OCF_Activity_Template_Table[[#This Row],[BNS Amount to Clear]]),2)</f>
        <v>0</v>
      </c>
      <c r="AA12" t="str">
        <f>"Clear BNS activity from "&amp;OCF_Activity_Template_Table[[#This Row],[GL_Other]]</f>
        <v>Clear BNS activity from 6051045</v>
      </c>
    </row>
    <row r="13" spans="1:27" x14ac:dyDescent="0.25">
      <c r="A13" s="10" t="s">
        <v>83</v>
      </c>
      <c r="B13" s="10" t="s">
        <v>9</v>
      </c>
      <c r="C13" t="s">
        <v>1547</v>
      </c>
      <c r="D13" t="str">
        <f>INDEX(Modded_AMF_Table[#All], MATCH($C13,Modded_AMF_Table[[#All],[GL_Other]],0), MATCH("GL_AcctDesc",Modded_AMF_Table[#Headers],0))</f>
        <v>Electric</v>
      </c>
      <c r="F13" s="51">
        <f t="array" ref="F1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1202.47</v>
      </c>
      <c r="G13" s="51">
        <f t="array" ref="G1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1202.47</v>
      </c>
      <c r="H13" s="51">
        <f t="array" ref="H1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3" s="51">
        <f t="array" ref="I13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3" s="51">
        <f>OCF_Activity_Template_Table[[#This Row],[BNS]]-OCF_Activity_Template_Table[[#This Row],[BNS PRE-Close Income - TE]]</f>
        <v>0</v>
      </c>
      <c r="K13" s="51">
        <v>0</v>
      </c>
      <c r="L13" s="51" t="b">
        <f>IFERROR(VLOOKUP(OCF_Activity_Template_Table[[#This Row],[GL_Other]],GL_Acct_to_Clearing_Acct[Clearing Acct],1,FALSE)=OCF_Activity_Template_Table[[#This Row],[GL_Other]],FALSE)</f>
        <v>0</v>
      </c>
      <c r="M13" s="51" t="b">
        <f>NOT(ISERROR(VLOOKUP(OCF_Activity_Template_Table[[#This Row],[GL_Other]],GL_Acct_to_Clearing_Acct[#All],2,FALSE)))</f>
        <v>0</v>
      </c>
      <c r="N13" s="51">
        <v>0</v>
      </c>
      <c r="O13" s="61"/>
      <c r="P13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3" s="15">
        <f>'Input &amp; Assumptions'!$C$11</f>
        <v>42215</v>
      </c>
      <c r="T13" s="15">
        <f>'Input &amp; Assumptions'!$C$12</f>
        <v>42215</v>
      </c>
      <c r="U13" t="str">
        <f>IF(OCF_Activity_Template_Table[[#This Row],[BNS Amount to Clear]]&gt;=0,"40","50")</f>
        <v>40</v>
      </c>
      <c r="V13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6054000</v>
      </c>
      <c r="W13">
        <v>366</v>
      </c>
      <c r="X13" t="str">
        <f>IFERROR(VLOOKUP(OCF_Activity_Template_Table[[#This Row],[HFM_Account]],HFM_Acct_to_CC[#All],2,FALSE),"")</f>
        <v>TBD</v>
      </c>
      <c r="Y13" t="str">
        <f>IF(OCF_Activity_Template_Table[[#This Row],[Trading_Partner]]="","",OCF_Activity_Template_Table[[#This Row],[Trading_Partner]])</f>
        <v/>
      </c>
      <c r="Z13" s="51">
        <f>ROUND(ABS(OCF_Activity_Template_Table[[#This Row],[BNS Amount to Clear]]),2)</f>
        <v>0</v>
      </c>
      <c r="AA13" t="str">
        <f>"Clear BNS activity from "&amp;OCF_Activity_Template_Table[[#This Row],[GL_Other]]</f>
        <v>Clear BNS activity from 6054000</v>
      </c>
    </row>
    <row r="14" spans="1:27" x14ac:dyDescent="0.25">
      <c r="A14" s="10" t="s">
        <v>83</v>
      </c>
      <c r="B14" s="10" t="s">
        <v>9</v>
      </c>
      <c r="C14" t="s">
        <v>1550</v>
      </c>
      <c r="D14" t="str">
        <f>INDEX(Modded_AMF_Table[#All], MATCH($C14,Modded_AMF_Table[[#All],[GL_Other]],0), MATCH("GL_AcctDesc",Modded_AMF_Table[#Headers],0))</f>
        <v>Insurance - Premiums</v>
      </c>
      <c r="F14" s="51">
        <f t="array" ref="F1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2497.9899999999998</v>
      </c>
      <c r="G14" s="51">
        <f t="array" ref="G1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2497.9899999999998</v>
      </c>
      <c r="H14" s="51">
        <f t="array" ref="H1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4" s="51">
        <f t="array" ref="I14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4" s="51">
        <f>OCF_Activity_Template_Table[[#This Row],[BNS]]-OCF_Activity_Template_Table[[#This Row],[BNS PRE-Close Income - TE]]</f>
        <v>0</v>
      </c>
      <c r="K14" s="51">
        <v>0</v>
      </c>
      <c r="L14" s="51" t="b">
        <f>IFERROR(VLOOKUP(OCF_Activity_Template_Table[[#This Row],[GL_Other]],GL_Acct_to_Clearing_Acct[Clearing Acct],1,FALSE)=OCF_Activity_Template_Table[[#This Row],[GL_Other]],FALSE)</f>
        <v>0</v>
      </c>
      <c r="M14" s="51" t="b">
        <f>NOT(ISERROR(VLOOKUP(OCF_Activity_Template_Table[[#This Row],[GL_Other]],GL_Acct_to_Clearing_Acct[#All],2,FALSE)))</f>
        <v>0</v>
      </c>
      <c r="N14" s="51">
        <v>0</v>
      </c>
      <c r="O14" s="61"/>
      <c r="P14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4" s="15">
        <f>'Input &amp; Assumptions'!$C$11</f>
        <v>42215</v>
      </c>
      <c r="T14" s="15">
        <f>'Input &amp; Assumptions'!$C$12</f>
        <v>42215</v>
      </c>
      <c r="U14" t="str">
        <f>IF(OCF_Activity_Template_Table[[#This Row],[BNS Amount to Clear]]&gt;=0,"40","50")</f>
        <v>40</v>
      </c>
      <c r="V14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6055030</v>
      </c>
      <c r="W14">
        <v>366</v>
      </c>
      <c r="X14" t="str">
        <f>IFERROR(VLOOKUP(OCF_Activity_Template_Table[[#This Row],[HFM_Account]],HFM_Acct_to_CC[#All],2,FALSE),"")</f>
        <v>TBD</v>
      </c>
      <c r="Y14" t="str">
        <f>IF(OCF_Activity_Template_Table[[#This Row],[Trading_Partner]]="","",OCF_Activity_Template_Table[[#This Row],[Trading_Partner]])</f>
        <v/>
      </c>
      <c r="Z14" s="51">
        <f>ROUND(ABS(OCF_Activity_Template_Table[[#This Row],[BNS Amount to Clear]]),2)</f>
        <v>0</v>
      </c>
      <c r="AA14" t="str">
        <f>"Clear BNS activity from "&amp;OCF_Activity_Template_Table[[#This Row],[GL_Other]]</f>
        <v>Clear BNS activity from 6055030</v>
      </c>
    </row>
    <row r="15" spans="1:27" x14ac:dyDescent="0.25">
      <c r="A15" s="10" t="s">
        <v>83</v>
      </c>
      <c r="B15" s="10" t="s">
        <v>9</v>
      </c>
      <c r="C15" t="s">
        <v>1554</v>
      </c>
      <c r="D15" t="str">
        <f>INDEX(Modded_AMF_Table[#All], MATCH($C15,Modded_AMF_Table[[#All],[GL_Other]],0), MATCH("GL_AcctDesc",Modded_AMF_Table[#Headers],0))</f>
        <v>Telephone - Regular</v>
      </c>
      <c r="F15" s="51">
        <f t="array" ref="F1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2343.71</v>
      </c>
      <c r="G15" s="51">
        <f t="array" ref="G1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2343.71</v>
      </c>
      <c r="H15" s="51">
        <f t="array" ref="H1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5" s="51">
        <f t="array" ref="I15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5" s="51">
        <f>OCF_Activity_Template_Table[[#This Row],[BNS]]-OCF_Activity_Template_Table[[#This Row],[BNS PRE-Close Income - TE]]</f>
        <v>0</v>
      </c>
      <c r="K15" s="51">
        <v>0</v>
      </c>
      <c r="L15" s="51" t="b">
        <f>IFERROR(VLOOKUP(OCF_Activity_Template_Table[[#This Row],[GL_Other]],GL_Acct_to_Clearing_Acct[Clearing Acct],1,FALSE)=OCF_Activity_Template_Table[[#This Row],[GL_Other]],FALSE)</f>
        <v>0</v>
      </c>
      <c r="M15" s="51" t="b">
        <f>NOT(ISERROR(VLOOKUP(OCF_Activity_Template_Table[[#This Row],[GL_Other]],GL_Acct_to_Clearing_Acct[#All],2,FALSE)))</f>
        <v>0</v>
      </c>
      <c r="N15" s="51">
        <v>0</v>
      </c>
      <c r="O15" s="61"/>
      <c r="P15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5" s="15">
        <f>'Input &amp; Assumptions'!$C$11</f>
        <v>42215</v>
      </c>
      <c r="T15" s="15">
        <f>'Input &amp; Assumptions'!$C$12</f>
        <v>42215</v>
      </c>
      <c r="U15" t="str">
        <f>IF(OCF_Activity_Template_Table[[#This Row],[BNS Amount to Clear]]&gt;=0,"40","50")</f>
        <v>40</v>
      </c>
      <c r="V15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6056010</v>
      </c>
      <c r="W15">
        <v>366</v>
      </c>
      <c r="X15" t="str">
        <f>IFERROR(VLOOKUP(OCF_Activity_Template_Table[[#This Row],[HFM_Account]],HFM_Acct_to_CC[#All],2,FALSE),"")</f>
        <v>TBD</v>
      </c>
      <c r="Y15" t="str">
        <f>IF(OCF_Activity_Template_Table[[#This Row],[Trading_Partner]]="","",OCF_Activity_Template_Table[[#This Row],[Trading_Partner]])</f>
        <v/>
      </c>
      <c r="Z15" s="51">
        <f>ROUND(ABS(OCF_Activity_Template_Table[[#This Row],[BNS Amount to Clear]]),2)</f>
        <v>0</v>
      </c>
      <c r="AA15" t="str">
        <f>"Clear BNS activity from "&amp;OCF_Activity_Template_Table[[#This Row],[GL_Other]]</f>
        <v>Clear BNS activity from 6056010</v>
      </c>
    </row>
    <row r="16" spans="1:27" x14ac:dyDescent="0.25">
      <c r="A16" s="10" t="s">
        <v>83</v>
      </c>
      <c r="B16" s="10" t="s">
        <v>9</v>
      </c>
      <c r="C16" t="s">
        <v>1350</v>
      </c>
      <c r="D16" t="str">
        <f>INDEX(Modded_AMF_Table[#All], MATCH($C16,Modded_AMF_Table[[#All],[GL_Other]],0), MATCH("GL_AcctDesc",Modded_AMF_Table[#Headers],0))</f>
        <v>Telephone - Data</v>
      </c>
      <c r="F16" s="51">
        <f t="array" ref="F1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1074.02</v>
      </c>
      <c r="G16" s="51">
        <f t="array" ref="G1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1074.02</v>
      </c>
      <c r="H16" s="51">
        <f t="array" ref="H1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6" s="51">
        <f t="array" ref="I16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6" s="51">
        <f>OCF_Activity_Template_Table[[#This Row],[BNS]]-OCF_Activity_Template_Table[[#This Row],[BNS PRE-Close Income - TE]]</f>
        <v>0</v>
      </c>
      <c r="K16" s="51">
        <v>0</v>
      </c>
      <c r="L16" s="51" t="b">
        <f>IFERROR(VLOOKUP(OCF_Activity_Template_Table[[#This Row],[GL_Other]],GL_Acct_to_Clearing_Acct[Clearing Acct],1,FALSE)=OCF_Activity_Template_Table[[#This Row],[GL_Other]],FALSE)</f>
        <v>0</v>
      </c>
      <c r="M16" s="51" t="b">
        <f>NOT(ISERROR(VLOOKUP(OCF_Activity_Template_Table[[#This Row],[GL_Other]],GL_Acct_to_Clearing_Acct[#All],2,FALSE)))</f>
        <v>0</v>
      </c>
      <c r="N16" s="51">
        <v>0</v>
      </c>
      <c r="O16" s="61"/>
      <c r="P16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6" s="15">
        <f>'Input &amp; Assumptions'!$C$11</f>
        <v>42215</v>
      </c>
      <c r="T16" s="15">
        <f>'Input &amp; Assumptions'!$C$12</f>
        <v>42215</v>
      </c>
      <c r="U16" t="str">
        <f>IF(OCF_Activity_Template_Table[[#This Row],[BNS Amount to Clear]]&gt;=0,"40","50")</f>
        <v>40</v>
      </c>
      <c r="V16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6056020</v>
      </c>
      <c r="W16">
        <v>366</v>
      </c>
      <c r="X16" t="str">
        <f>IFERROR(VLOOKUP(OCF_Activity_Template_Table[[#This Row],[HFM_Account]],HFM_Acct_to_CC[#All],2,FALSE),"")</f>
        <v>TBD</v>
      </c>
      <c r="Y16" t="str">
        <f>IF(OCF_Activity_Template_Table[[#This Row],[Trading_Partner]]="","",OCF_Activity_Template_Table[[#This Row],[Trading_Partner]])</f>
        <v/>
      </c>
      <c r="Z16" s="51">
        <f>ROUND(ABS(OCF_Activity_Template_Table[[#This Row],[BNS Amount to Clear]]),2)</f>
        <v>0</v>
      </c>
      <c r="AA16" t="str">
        <f>"Clear BNS activity from "&amp;OCF_Activity_Template_Table[[#This Row],[GL_Other]]</f>
        <v>Clear BNS activity from 6056020</v>
      </c>
    </row>
    <row r="17" spans="1:27" x14ac:dyDescent="0.25">
      <c r="A17" s="10" t="s">
        <v>83</v>
      </c>
      <c r="B17" s="10" t="s">
        <v>9</v>
      </c>
      <c r="C17" t="s">
        <v>1354</v>
      </c>
      <c r="D17" t="str">
        <f>INDEX(Modded_AMF_Table[#All], MATCH($C17,Modded_AMF_Table[[#All],[GL_Other]],0), MATCH("GL_AcctDesc",Modded_AMF_Table[#Headers],0))</f>
        <v>Telephone - Mobile</v>
      </c>
      <c r="F17" s="51">
        <f t="array" ref="F1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415.95</v>
      </c>
      <c r="G17" s="51">
        <f t="array" ref="G1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415.95</v>
      </c>
      <c r="H17" s="51">
        <f t="array" ref="H1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7" s="51">
        <f t="array" ref="I17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7" s="51">
        <f>OCF_Activity_Template_Table[[#This Row],[BNS]]-OCF_Activity_Template_Table[[#This Row],[BNS PRE-Close Income - TE]]</f>
        <v>0</v>
      </c>
      <c r="K17" s="51">
        <v>0</v>
      </c>
      <c r="L17" s="51" t="b">
        <f>IFERROR(VLOOKUP(OCF_Activity_Template_Table[[#This Row],[GL_Other]],GL_Acct_to_Clearing_Acct[Clearing Acct],1,FALSE)=OCF_Activity_Template_Table[[#This Row],[GL_Other]],FALSE)</f>
        <v>0</v>
      </c>
      <c r="M17" s="51" t="b">
        <f>NOT(ISERROR(VLOOKUP(OCF_Activity_Template_Table[[#This Row],[GL_Other]],GL_Acct_to_Clearing_Acct[#All],2,FALSE)))</f>
        <v>0</v>
      </c>
      <c r="N17" s="51">
        <v>0</v>
      </c>
      <c r="O17" s="61"/>
      <c r="P17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7" s="15">
        <f>'Input &amp; Assumptions'!$C$11</f>
        <v>42215</v>
      </c>
      <c r="T17" s="15">
        <f>'Input &amp; Assumptions'!$C$12</f>
        <v>42215</v>
      </c>
      <c r="U17" t="str">
        <f>IF(OCF_Activity_Template_Table[[#This Row],[BNS Amount to Clear]]&gt;=0,"40","50")</f>
        <v>40</v>
      </c>
      <c r="V17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6056030</v>
      </c>
      <c r="W17">
        <v>366</v>
      </c>
      <c r="X17" t="str">
        <f>IFERROR(VLOOKUP(OCF_Activity_Template_Table[[#This Row],[HFM_Account]],HFM_Acct_to_CC[#All],2,FALSE),"")</f>
        <v>TBD</v>
      </c>
      <c r="Y17" t="str">
        <f>IF(OCF_Activity_Template_Table[[#This Row],[Trading_Partner]]="","",OCF_Activity_Template_Table[[#This Row],[Trading_Partner]])</f>
        <v/>
      </c>
      <c r="Z17" s="51">
        <f>ROUND(ABS(OCF_Activity_Template_Table[[#This Row],[BNS Amount to Clear]]),2)</f>
        <v>0</v>
      </c>
      <c r="AA17" t="str">
        <f>"Clear BNS activity from "&amp;OCF_Activity_Template_Table[[#This Row],[GL_Other]]</f>
        <v>Clear BNS activity from 6056030</v>
      </c>
    </row>
    <row r="18" spans="1:27" x14ac:dyDescent="0.25">
      <c r="A18" s="10" t="s">
        <v>83</v>
      </c>
      <c r="B18" s="10" t="s">
        <v>9</v>
      </c>
      <c r="C18" t="s">
        <v>1357</v>
      </c>
      <c r="D18" t="str">
        <f>INDEX(Modded_AMF_Table[#All], MATCH($C18,Modded_AMF_Table[[#All],[GL_Other]],0), MATCH("GL_AcctDesc",Modded_AMF_Table[#Headers],0))</f>
        <v>Telephone - Privat</v>
      </c>
      <c r="F18" s="51">
        <f t="array" ref="F1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148.80000000000001</v>
      </c>
      <c r="G18" s="51">
        <f t="array" ref="G1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148.80000000000001</v>
      </c>
      <c r="H18" s="51">
        <f t="array" ref="H1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8" s="51">
        <f t="array" ref="I18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8" s="51">
        <f>OCF_Activity_Template_Table[[#This Row],[BNS]]-OCF_Activity_Template_Table[[#This Row],[BNS PRE-Close Income - TE]]</f>
        <v>0</v>
      </c>
      <c r="K18" s="51">
        <v>0</v>
      </c>
      <c r="L18" s="51" t="b">
        <f>IFERROR(VLOOKUP(OCF_Activity_Template_Table[[#This Row],[GL_Other]],GL_Acct_to_Clearing_Acct[Clearing Acct],1,FALSE)=OCF_Activity_Template_Table[[#This Row],[GL_Other]],FALSE)</f>
        <v>0</v>
      </c>
      <c r="M18" s="51" t="b">
        <f>NOT(ISERROR(VLOOKUP(OCF_Activity_Template_Table[[#This Row],[GL_Other]],GL_Acct_to_Clearing_Acct[#All],2,FALSE)))</f>
        <v>0</v>
      </c>
      <c r="N18" s="51">
        <v>0</v>
      </c>
      <c r="O18" s="61"/>
      <c r="P18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8" s="15">
        <f>'Input &amp; Assumptions'!$C$11</f>
        <v>42215</v>
      </c>
      <c r="T18" s="15">
        <f>'Input &amp; Assumptions'!$C$12</f>
        <v>42215</v>
      </c>
      <c r="U18" t="str">
        <f>IF(OCF_Activity_Template_Table[[#This Row],[BNS Amount to Clear]]&gt;=0,"40","50")</f>
        <v>40</v>
      </c>
      <c r="V18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6056090</v>
      </c>
      <c r="W18">
        <v>366</v>
      </c>
      <c r="X18" t="str">
        <f>IFERROR(VLOOKUP(OCF_Activity_Template_Table[[#This Row],[HFM_Account]],HFM_Acct_to_CC[#All],2,FALSE),"")</f>
        <v>TBD</v>
      </c>
      <c r="Y18" t="str">
        <f>IF(OCF_Activity_Template_Table[[#This Row],[Trading_Partner]]="","",OCF_Activity_Template_Table[[#This Row],[Trading_Partner]])</f>
        <v/>
      </c>
      <c r="Z18" s="51">
        <f>ROUND(ABS(OCF_Activity_Template_Table[[#This Row],[BNS Amount to Clear]]),2)</f>
        <v>0</v>
      </c>
      <c r="AA18" t="str">
        <f>"Clear BNS activity from "&amp;OCF_Activity_Template_Table[[#This Row],[GL_Other]]</f>
        <v>Clear BNS activity from 6056090</v>
      </c>
    </row>
    <row r="19" spans="1:27" x14ac:dyDescent="0.25">
      <c r="A19" s="10" t="s">
        <v>83</v>
      </c>
      <c r="B19" s="10" t="s">
        <v>9</v>
      </c>
      <c r="C19" t="s">
        <v>1557</v>
      </c>
      <c r="D19" t="str">
        <f>INDEX(Modded_AMF_Table[#All], MATCH($C19,Modded_AMF_Table[[#All],[GL_Other]],0), MATCH("GL_AcctDesc",Modded_AMF_Table[#Headers],0))</f>
        <v>Property Rent</v>
      </c>
      <c r="F19" s="51">
        <f t="array" ref="F1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29442.84</v>
      </c>
      <c r="G19" s="51">
        <f t="array" ref="G1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29442.84</v>
      </c>
      <c r="H19" s="51">
        <f t="array" ref="H1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9" s="51">
        <f t="array" ref="I19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9" s="51">
        <f>OCF_Activity_Template_Table[[#This Row],[BNS]]-OCF_Activity_Template_Table[[#This Row],[BNS PRE-Close Income - TE]]</f>
        <v>0</v>
      </c>
      <c r="K19" s="51">
        <v>0</v>
      </c>
      <c r="L19" s="51" t="b">
        <f>IFERROR(VLOOKUP(OCF_Activity_Template_Table[[#This Row],[GL_Other]],GL_Acct_to_Clearing_Acct[Clearing Acct],1,FALSE)=OCF_Activity_Template_Table[[#This Row],[GL_Other]],FALSE)</f>
        <v>0</v>
      </c>
      <c r="M19" s="51" t="b">
        <f>NOT(ISERROR(VLOOKUP(OCF_Activity_Template_Table[[#This Row],[GL_Other]],GL_Acct_to_Clearing_Acct[#All],2,FALSE)))</f>
        <v>0</v>
      </c>
      <c r="N19" s="51">
        <v>0</v>
      </c>
      <c r="O19" s="61"/>
      <c r="P19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9" s="15">
        <f>'Input &amp; Assumptions'!$C$11</f>
        <v>42215</v>
      </c>
      <c r="T19" s="15">
        <f>'Input &amp; Assumptions'!$C$12</f>
        <v>42215</v>
      </c>
      <c r="U19" t="str">
        <f>IF(OCF_Activity_Template_Table[[#This Row],[BNS Amount to Clear]]&gt;=0,"40","50")</f>
        <v>40</v>
      </c>
      <c r="V19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6057000</v>
      </c>
      <c r="W19">
        <v>366</v>
      </c>
      <c r="X19" t="str">
        <f>IFERROR(VLOOKUP(OCF_Activity_Template_Table[[#This Row],[HFM_Account]],HFM_Acct_to_CC[#All],2,FALSE),"")</f>
        <v>TBD</v>
      </c>
      <c r="Y19" t="str">
        <f>IF(OCF_Activity_Template_Table[[#This Row],[Trading_Partner]]="","",OCF_Activity_Template_Table[[#This Row],[Trading_Partner]])</f>
        <v/>
      </c>
      <c r="Z19" s="51">
        <f>ROUND(ABS(OCF_Activity_Template_Table[[#This Row],[BNS Amount to Clear]]),2)</f>
        <v>0</v>
      </c>
      <c r="AA19" t="str">
        <f>"Clear BNS activity from "&amp;OCF_Activity_Template_Table[[#This Row],[GL_Other]]</f>
        <v>Clear BNS activity from 6057000</v>
      </c>
    </row>
    <row r="20" spans="1:27" x14ac:dyDescent="0.25">
      <c r="A20" s="10" t="s">
        <v>83</v>
      </c>
      <c r="B20" s="10" t="s">
        <v>9</v>
      </c>
      <c r="C20" t="s">
        <v>1560</v>
      </c>
      <c r="D20" t="str">
        <f>INDEX(Modded_AMF_Table[#All], MATCH($C20,Modded_AMF_Table[[#All],[GL_Other]],0), MATCH("GL_AcctDesc",Modded_AMF_Table[#Headers],0))</f>
        <v>Other Use &amp; Occupancy</v>
      </c>
      <c r="F20" s="51">
        <f t="array" ref="F2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346.02</v>
      </c>
      <c r="G20" s="51">
        <f t="array" ref="G2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346.02</v>
      </c>
      <c r="H20" s="51">
        <f t="array" ref="H2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20" s="51">
        <f t="array" ref="I20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20" s="51">
        <f>OCF_Activity_Template_Table[[#This Row],[BNS]]-OCF_Activity_Template_Table[[#This Row],[BNS PRE-Close Income - TE]]</f>
        <v>0</v>
      </c>
      <c r="K20" s="51">
        <v>0</v>
      </c>
      <c r="L20" s="51" t="b">
        <f>IFERROR(VLOOKUP(OCF_Activity_Template_Table[[#This Row],[GL_Other]],GL_Acct_to_Clearing_Acct[Clearing Acct],1,FALSE)=OCF_Activity_Template_Table[[#This Row],[GL_Other]],FALSE)</f>
        <v>0</v>
      </c>
      <c r="M20" s="51" t="b">
        <f>NOT(ISERROR(VLOOKUP(OCF_Activity_Template_Table[[#This Row],[GL_Other]],GL_Acct_to_Clearing_Acct[#All],2,FALSE)))</f>
        <v>0</v>
      </c>
      <c r="N20" s="51">
        <v>0</v>
      </c>
      <c r="O20" s="61"/>
      <c r="P20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20" s="15">
        <f>'Input &amp; Assumptions'!$C$11</f>
        <v>42215</v>
      </c>
      <c r="T20" s="15">
        <f>'Input &amp; Assumptions'!$C$12</f>
        <v>42215</v>
      </c>
      <c r="U20" t="str">
        <f>IF(OCF_Activity_Template_Table[[#This Row],[BNS Amount to Clear]]&gt;=0,"40","50")</f>
        <v>40</v>
      </c>
      <c r="V20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6057100</v>
      </c>
      <c r="W20">
        <v>366</v>
      </c>
      <c r="X20" t="str">
        <f>IFERROR(VLOOKUP(OCF_Activity_Template_Table[[#This Row],[HFM_Account]],HFM_Acct_to_CC[#All],2,FALSE),"")</f>
        <v>TBD</v>
      </c>
      <c r="Y20" t="str">
        <f>IF(OCF_Activity_Template_Table[[#This Row],[Trading_Partner]]="","",OCF_Activity_Template_Table[[#This Row],[Trading_Partner]])</f>
        <v/>
      </c>
      <c r="Z20" s="51">
        <f>ROUND(ABS(OCF_Activity_Template_Table[[#This Row],[BNS Amount to Clear]]),2)</f>
        <v>0</v>
      </c>
      <c r="AA20" t="str">
        <f>"Clear BNS activity from "&amp;OCF_Activity_Template_Table[[#This Row],[GL_Other]]</f>
        <v>Clear BNS activity from 6057100</v>
      </c>
    </row>
    <row r="21" spans="1:27" x14ac:dyDescent="0.25">
      <c r="A21" s="10" t="s">
        <v>83</v>
      </c>
      <c r="B21" s="10" t="s">
        <v>9</v>
      </c>
      <c r="C21" t="s">
        <v>1360</v>
      </c>
      <c r="D21" t="str">
        <f>INDEX(Modded_AMF_Table[#All], MATCH($C21,Modded_AMF_Table[[#All],[GL_Other]],0), MATCH("GL_AcctDesc",Modded_AMF_Table[#Headers],0))</f>
        <v>Social Security Indirect</v>
      </c>
      <c r="F21" s="51">
        <f t="array" ref="F2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353.84</v>
      </c>
      <c r="G21" s="51">
        <f t="array" ref="G2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353.84</v>
      </c>
      <c r="H21" s="51">
        <f t="array" ref="H2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21" s="51">
        <f t="array" ref="I21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21" s="51">
        <f>OCF_Activity_Template_Table[[#This Row],[BNS]]-OCF_Activity_Template_Table[[#This Row],[BNS PRE-Close Income - TE]]</f>
        <v>0</v>
      </c>
      <c r="K21" s="51">
        <v>0</v>
      </c>
      <c r="L21" s="51" t="b">
        <f>IFERROR(VLOOKUP(OCF_Activity_Template_Table[[#This Row],[GL_Other]],GL_Acct_to_Clearing_Acct[Clearing Acct],1,FALSE)=OCF_Activity_Template_Table[[#This Row],[GL_Other]],FALSE)</f>
        <v>0</v>
      </c>
      <c r="M21" s="51" t="b">
        <f>NOT(ISERROR(VLOOKUP(OCF_Activity_Template_Table[[#This Row],[GL_Other]],GL_Acct_to_Clearing_Acct[#All],2,FALSE)))</f>
        <v>0</v>
      </c>
      <c r="N21" s="51">
        <v>0</v>
      </c>
      <c r="O21" s="61"/>
      <c r="P21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21" s="15">
        <f>'Input &amp; Assumptions'!$C$11</f>
        <v>42215</v>
      </c>
      <c r="T21" s="15">
        <f>'Input &amp; Assumptions'!$C$12</f>
        <v>42215</v>
      </c>
      <c r="U21" t="str">
        <f>IF(OCF_Activity_Template_Table[[#This Row],[BNS Amount to Clear]]&gt;=0,"40","50")</f>
        <v>40</v>
      </c>
      <c r="V21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6062110</v>
      </c>
      <c r="W21">
        <v>366</v>
      </c>
      <c r="X21" t="str">
        <f>IFERROR(VLOOKUP(OCF_Activity_Template_Table[[#This Row],[HFM_Account]],HFM_Acct_to_CC[#All],2,FALSE),"")</f>
        <v>TBD</v>
      </c>
      <c r="Y21" t="str">
        <f>IF(OCF_Activity_Template_Table[[#This Row],[Trading_Partner]]="","",OCF_Activity_Template_Table[[#This Row],[Trading_Partner]])</f>
        <v/>
      </c>
      <c r="Z21" s="51">
        <f>ROUND(ABS(OCF_Activity_Template_Table[[#This Row],[BNS Amount to Clear]]),2)</f>
        <v>0</v>
      </c>
      <c r="AA21" t="str">
        <f>"Clear BNS activity from "&amp;OCF_Activity_Template_Table[[#This Row],[GL_Other]]</f>
        <v>Clear BNS activity from 6062110</v>
      </c>
    </row>
    <row r="22" spans="1:27" x14ac:dyDescent="0.25">
      <c r="A22" s="10" t="s">
        <v>83</v>
      </c>
      <c r="B22" s="10" t="s">
        <v>9</v>
      </c>
      <c r="C22" t="s">
        <v>1374</v>
      </c>
      <c r="D22" t="str">
        <f>INDEX(Modded_AMF_Table[#All], MATCH($C22,Modded_AMF_Table[[#All],[GL_Other]],0), MATCH("GL_AcctDesc",Modded_AMF_Table[#Headers],0))</f>
        <v>Payroll Expenses - Pensions</v>
      </c>
      <c r="F22" s="51">
        <f t="array" ref="F2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3109.71</v>
      </c>
      <c r="G22" s="51">
        <f t="array" ref="G2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3109.71</v>
      </c>
      <c r="H22" s="51">
        <f t="array" ref="H2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22" s="51">
        <f t="array" ref="I22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22" s="51">
        <f>OCF_Activity_Template_Table[[#This Row],[BNS]]-OCF_Activity_Template_Table[[#This Row],[BNS PRE-Close Income - TE]]</f>
        <v>0</v>
      </c>
      <c r="K22" s="51">
        <v>0</v>
      </c>
      <c r="L22" s="51" t="b">
        <f>IFERROR(VLOOKUP(OCF_Activity_Template_Table[[#This Row],[GL_Other]],GL_Acct_to_Clearing_Acct[Clearing Acct],1,FALSE)=OCF_Activity_Template_Table[[#This Row],[GL_Other]],FALSE)</f>
        <v>0</v>
      </c>
      <c r="M22" s="51" t="b">
        <f>NOT(ISERROR(VLOOKUP(OCF_Activity_Template_Table[[#This Row],[GL_Other]],GL_Acct_to_Clearing_Acct[#All],2,FALSE)))</f>
        <v>0</v>
      </c>
      <c r="N22" s="51">
        <v>0</v>
      </c>
      <c r="O22" s="61"/>
      <c r="P22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22" s="15">
        <f>'Input &amp; Assumptions'!$C$11</f>
        <v>42215</v>
      </c>
      <c r="T22" s="15">
        <f>'Input &amp; Assumptions'!$C$12</f>
        <v>42215</v>
      </c>
      <c r="U22" t="str">
        <f>IF(OCF_Activity_Template_Table[[#This Row],[BNS Amount to Clear]]&gt;=0,"40","50")</f>
        <v>40</v>
      </c>
      <c r="V22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6062300</v>
      </c>
      <c r="W22">
        <v>366</v>
      </c>
      <c r="X22" t="str">
        <f>IFERROR(VLOOKUP(OCF_Activity_Template_Table[[#This Row],[HFM_Account]],HFM_Acct_to_CC[#All],2,FALSE),"")</f>
        <v>TBD</v>
      </c>
      <c r="Y22" t="str">
        <f>IF(OCF_Activity_Template_Table[[#This Row],[Trading_Partner]]="","",OCF_Activity_Template_Table[[#This Row],[Trading_Partner]])</f>
        <v/>
      </c>
      <c r="Z22" s="51">
        <f>ROUND(ABS(OCF_Activity_Template_Table[[#This Row],[BNS Amount to Clear]]),2)</f>
        <v>0</v>
      </c>
      <c r="AA22" t="str">
        <f>"Clear BNS activity from "&amp;OCF_Activity_Template_Table[[#This Row],[GL_Other]]</f>
        <v>Clear BNS activity from 6062300</v>
      </c>
    </row>
    <row r="23" spans="1:27" x14ac:dyDescent="0.25">
      <c r="A23" s="10" t="s">
        <v>83</v>
      </c>
      <c r="B23" s="10" t="s">
        <v>9</v>
      </c>
      <c r="C23" t="s">
        <v>1380</v>
      </c>
      <c r="D23" t="str">
        <f>INDEX(Modded_AMF_Table[#All], MATCH($C23,Modded_AMF_Table[[#All],[GL_Other]],0), MATCH("GL_AcctDesc",Modded_AMF_Table[#Headers],0))</f>
        <v>Payroll Expenses - Other</v>
      </c>
      <c r="F23" s="51">
        <f t="array" ref="F2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988.08</v>
      </c>
      <c r="G23" s="51">
        <f t="array" ref="G2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988.08</v>
      </c>
      <c r="H23" s="51">
        <f t="array" ref="H2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23" s="51">
        <f t="array" ref="I23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23" s="51">
        <f>OCF_Activity_Template_Table[[#This Row],[BNS]]-OCF_Activity_Template_Table[[#This Row],[BNS PRE-Close Income - TE]]</f>
        <v>0</v>
      </c>
      <c r="K23" s="51">
        <v>0</v>
      </c>
      <c r="L23" s="51" t="b">
        <f>IFERROR(VLOOKUP(OCF_Activity_Template_Table[[#This Row],[GL_Other]],GL_Acct_to_Clearing_Acct[Clearing Acct],1,FALSE)=OCF_Activity_Template_Table[[#This Row],[GL_Other]],FALSE)</f>
        <v>0</v>
      </c>
      <c r="M23" s="51" t="b">
        <f>NOT(ISERROR(VLOOKUP(OCF_Activity_Template_Table[[#This Row],[GL_Other]],GL_Acct_to_Clearing_Acct[#All],2,FALSE)))</f>
        <v>0</v>
      </c>
      <c r="N23" s="51">
        <v>0</v>
      </c>
      <c r="O23" s="61"/>
      <c r="P23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23" s="15">
        <f>'Input &amp; Assumptions'!$C$11</f>
        <v>42215</v>
      </c>
      <c r="T23" s="15">
        <f>'Input &amp; Assumptions'!$C$12</f>
        <v>42215</v>
      </c>
      <c r="U23" t="str">
        <f>IF(OCF_Activity_Template_Table[[#This Row],[BNS Amount to Clear]]&gt;=0,"40","50")</f>
        <v>40</v>
      </c>
      <c r="V23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6062400</v>
      </c>
      <c r="W23">
        <v>366</v>
      </c>
      <c r="X23" t="str">
        <f>IFERROR(VLOOKUP(OCF_Activity_Template_Table[[#This Row],[HFM_Account]],HFM_Acct_to_CC[#All],2,FALSE),"")</f>
        <v>TBD</v>
      </c>
      <c r="Y23" t="str">
        <f>IF(OCF_Activity_Template_Table[[#This Row],[Trading_Partner]]="","",OCF_Activity_Template_Table[[#This Row],[Trading_Partner]])</f>
        <v/>
      </c>
      <c r="Z23" s="51">
        <f>ROUND(ABS(OCF_Activity_Template_Table[[#This Row],[BNS Amount to Clear]]),2)</f>
        <v>0</v>
      </c>
      <c r="AA23" t="str">
        <f>"Clear BNS activity from "&amp;OCF_Activity_Template_Table[[#This Row],[GL_Other]]</f>
        <v>Clear BNS activity from 6062400</v>
      </c>
    </row>
    <row r="24" spans="1:27" x14ac:dyDescent="0.25">
      <c r="A24" s="10" t="s">
        <v>83</v>
      </c>
      <c r="B24" s="10" t="s">
        <v>9</v>
      </c>
      <c r="C24" t="s">
        <v>1383</v>
      </c>
      <c r="D24" t="str">
        <f>INDEX(Modded_AMF_Table[#All], MATCH($C24,Modded_AMF_Table[[#All],[GL_Other]],0), MATCH("GL_AcctDesc",Modded_AMF_Table[#Headers],0))</f>
        <v>Payroll Expenses - Vacation</v>
      </c>
      <c r="F24" s="51">
        <f t="array" ref="F2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5378.9400000000005</v>
      </c>
      <c r="G24" s="51">
        <f t="array" ref="G2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5378.9400000000005</v>
      </c>
      <c r="H24" s="51">
        <f t="array" ref="H2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24" s="51">
        <f t="array" ref="I24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24" s="51">
        <f>OCF_Activity_Template_Table[[#This Row],[BNS]]-OCF_Activity_Template_Table[[#This Row],[BNS PRE-Close Income - TE]]</f>
        <v>0</v>
      </c>
      <c r="K24" s="51">
        <v>0</v>
      </c>
      <c r="L24" s="51" t="b">
        <f>IFERROR(VLOOKUP(OCF_Activity_Template_Table[[#This Row],[GL_Other]],GL_Acct_to_Clearing_Acct[Clearing Acct],1,FALSE)=OCF_Activity_Template_Table[[#This Row],[GL_Other]],FALSE)</f>
        <v>0</v>
      </c>
      <c r="M24" s="51" t="b">
        <f>NOT(ISERROR(VLOOKUP(OCF_Activity_Template_Table[[#This Row],[GL_Other]],GL_Acct_to_Clearing_Acct[#All],2,FALSE)))</f>
        <v>0</v>
      </c>
      <c r="N24" s="51">
        <v>0</v>
      </c>
      <c r="O24" s="61"/>
      <c r="P24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24" s="15">
        <f>'Input &amp; Assumptions'!$C$11</f>
        <v>42215</v>
      </c>
      <c r="T24" s="15">
        <f>'Input &amp; Assumptions'!$C$12</f>
        <v>42215</v>
      </c>
      <c r="U24" t="str">
        <f>IF(OCF_Activity_Template_Table[[#This Row],[BNS Amount to Clear]]&gt;=0,"40","50")</f>
        <v>40</v>
      </c>
      <c r="V24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6062410</v>
      </c>
      <c r="W24">
        <v>366</v>
      </c>
      <c r="X24" t="str">
        <f>IFERROR(VLOOKUP(OCF_Activity_Template_Table[[#This Row],[HFM_Account]],HFM_Acct_to_CC[#All],2,FALSE),"")</f>
        <v>TBD</v>
      </c>
      <c r="Y24" t="str">
        <f>IF(OCF_Activity_Template_Table[[#This Row],[Trading_Partner]]="","",OCF_Activity_Template_Table[[#This Row],[Trading_Partner]])</f>
        <v/>
      </c>
      <c r="Z24" s="51">
        <f>ROUND(ABS(OCF_Activity_Template_Table[[#This Row],[BNS Amount to Clear]]),2)</f>
        <v>0</v>
      </c>
      <c r="AA24" t="str">
        <f>"Clear BNS activity from "&amp;OCF_Activity_Template_Table[[#This Row],[GL_Other]]</f>
        <v>Clear BNS activity from 6062410</v>
      </c>
    </row>
    <row r="25" spans="1:27" x14ac:dyDescent="0.25">
      <c r="A25" s="10" t="s">
        <v>83</v>
      </c>
      <c r="B25" s="10" t="s">
        <v>9</v>
      </c>
      <c r="C25" t="s">
        <v>1386</v>
      </c>
      <c r="D25" t="str">
        <f>INDEX(Modded_AMF_Table[#All], MATCH($C25,Modded_AMF_Table[[#All],[GL_Other]],0), MATCH("GL_AcctDesc",Modded_AMF_Table[#Headers],0))</f>
        <v>Outbound Freight</v>
      </c>
      <c r="F25" s="51">
        <f t="array" ref="F2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32.950000000000003</v>
      </c>
      <c r="G25" s="51">
        <f t="array" ref="G2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32.950000000000003</v>
      </c>
      <c r="H25" s="51">
        <f t="array" ref="H2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25" s="51">
        <f t="array" ref="I25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25" s="51">
        <f>OCF_Activity_Template_Table[[#This Row],[BNS]]-OCF_Activity_Template_Table[[#This Row],[BNS PRE-Close Income - TE]]</f>
        <v>0</v>
      </c>
      <c r="K25" s="51">
        <v>0</v>
      </c>
      <c r="L25" s="51" t="b">
        <f>IFERROR(VLOOKUP(OCF_Activity_Template_Table[[#This Row],[GL_Other]],GL_Acct_to_Clearing_Acct[Clearing Acct],1,FALSE)=OCF_Activity_Template_Table[[#This Row],[GL_Other]],FALSE)</f>
        <v>0</v>
      </c>
      <c r="M25" s="51" t="b">
        <f>NOT(ISERROR(VLOOKUP(OCF_Activity_Template_Table[[#This Row],[GL_Other]],GL_Acct_to_Clearing_Acct[#All],2,FALSE)))</f>
        <v>0</v>
      </c>
      <c r="N25" s="51">
        <v>0</v>
      </c>
      <c r="O25" s="61"/>
      <c r="P25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25" s="15">
        <f>'Input &amp; Assumptions'!$C$11</f>
        <v>42215</v>
      </c>
      <c r="T25" s="15">
        <f>'Input &amp; Assumptions'!$C$12</f>
        <v>42215</v>
      </c>
      <c r="U25" t="str">
        <f>IF(OCF_Activity_Template_Table[[#This Row],[BNS Amount to Clear]]&gt;=0,"40","50")</f>
        <v>40</v>
      </c>
      <c r="V25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6063000</v>
      </c>
      <c r="W25">
        <v>366</v>
      </c>
      <c r="X25" t="str">
        <f>IFERROR(VLOOKUP(OCF_Activity_Template_Table[[#This Row],[HFM_Account]],HFM_Acct_to_CC[#All],2,FALSE),"")</f>
        <v>TBD</v>
      </c>
      <c r="Y25" t="str">
        <f>IF(OCF_Activity_Template_Table[[#This Row],[Trading_Partner]]="","",OCF_Activity_Template_Table[[#This Row],[Trading_Partner]])</f>
        <v/>
      </c>
      <c r="Z25" s="51">
        <f>ROUND(ABS(OCF_Activity_Template_Table[[#This Row],[BNS Amount to Clear]]),2)</f>
        <v>0</v>
      </c>
      <c r="AA25" t="str">
        <f>"Clear BNS activity from "&amp;OCF_Activity_Template_Table[[#This Row],[GL_Other]]</f>
        <v>Clear BNS activity from 6063000</v>
      </c>
    </row>
    <row r="26" spans="1:27" x14ac:dyDescent="0.25">
      <c r="A26" s="10" t="s">
        <v>83</v>
      </c>
      <c r="B26" s="10" t="s">
        <v>9</v>
      </c>
      <c r="C26" t="s">
        <v>1461</v>
      </c>
      <c r="D26" t="str">
        <f>INDEX(Modded_AMF_Table[#All], MATCH($C26,Modded_AMF_Table[[#All],[GL_Other]],0), MATCH("GL_AcctDesc",Modded_AMF_Table[#Headers],0))</f>
        <v>Safety &amp; Health</v>
      </c>
      <c r="F26" s="51">
        <f t="array" ref="F2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1216.56</v>
      </c>
      <c r="G26" s="51">
        <f t="array" ref="G2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1216.56</v>
      </c>
      <c r="H26" s="51">
        <f t="array" ref="H2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26" s="51">
        <f t="array" ref="I26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26" s="51">
        <f>OCF_Activity_Template_Table[[#This Row],[BNS]]-OCF_Activity_Template_Table[[#This Row],[BNS PRE-Close Income - TE]]</f>
        <v>0</v>
      </c>
      <c r="K26" s="51">
        <v>0</v>
      </c>
      <c r="L26" s="51" t="b">
        <f>IFERROR(VLOOKUP(OCF_Activity_Template_Table[[#This Row],[GL_Other]],GL_Acct_to_Clearing_Acct[Clearing Acct],1,FALSE)=OCF_Activity_Template_Table[[#This Row],[GL_Other]],FALSE)</f>
        <v>0</v>
      </c>
      <c r="M26" s="51" t="b">
        <f>NOT(ISERROR(VLOOKUP(OCF_Activity_Template_Table[[#This Row],[GL_Other]],GL_Acct_to_Clearing_Acct[#All],2,FALSE)))</f>
        <v>0</v>
      </c>
      <c r="N26" s="51">
        <v>0</v>
      </c>
      <c r="O26" s="61"/>
      <c r="P26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26" s="15">
        <f>'Input &amp; Assumptions'!$C$11</f>
        <v>42215</v>
      </c>
      <c r="T26" s="15">
        <f>'Input &amp; Assumptions'!$C$12</f>
        <v>42215</v>
      </c>
      <c r="U26" t="str">
        <f>IF(OCF_Activity_Template_Table[[#This Row],[BNS Amount to Clear]]&gt;=0,"40","50")</f>
        <v>40</v>
      </c>
      <c r="V26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6064000</v>
      </c>
      <c r="W26">
        <v>366</v>
      </c>
      <c r="X26" t="str">
        <f>IFERROR(VLOOKUP(OCF_Activity_Template_Table[[#This Row],[HFM_Account]],HFM_Acct_to_CC[#All],2,FALSE),"")</f>
        <v>TBD</v>
      </c>
      <c r="Y26" t="str">
        <f>IF(OCF_Activity_Template_Table[[#This Row],[Trading_Partner]]="","",OCF_Activity_Template_Table[[#This Row],[Trading_Partner]])</f>
        <v/>
      </c>
      <c r="Z26" s="51">
        <f>ROUND(ABS(OCF_Activity_Template_Table[[#This Row],[BNS Amount to Clear]]),2)</f>
        <v>0</v>
      </c>
      <c r="AA26" t="str">
        <f>"Clear BNS activity from "&amp;OCF_Activity_Template_Table[[#This Row],[GL_Other]]</f>
        <v>Clear BNS activity from 6064000</v>
      </c>
    </row>
    <row r="27" spans="1:27" x14ac:dyDescent="0.25">
      <c r="A27" s="10" t="s">
        <v>83</v>
      </c>
      <c r="B27" s="10" t="s">
        <v>9</v>
      </c>
      <c r="C27" t="s">
        <v>1389</v>
      </c>
      <c r="D27" t="str">
        <f>INDEX(Modded_AMF_Table[#All], MATCH($C27,Modded_AMF_Table[[#All],[GL_Other]],0), MATCH("GL_AcctDesc",Modded_AMF_Table[#Headers],0))</f>
        <v>Flight/Transport Expenses</v>
      </c>
      <c r="F27" s="51">
        <f t="array" ref="F2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147.11000000000001</v>
      </c>
      <c r="G27" s="51">
        <f t="array" ref="G2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147.11000000000001</v>
      </c>
      <c r="H27" s="51">
        <f t="array" ref="H2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27" s="51">
        <f t="array" ref="I27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27" s="51">
        <f>OCF_Activity_Template_Table[[#This Row],[BNS]]-OCF_Activity_Template_Table[[#This Row],[BNS PRE-Close Income - TE]]</f>
        <v>0</v>
      </c>
      <c r="K27" s="51">
        <v>0</v>
      </c>
      <c r="L27" s="51" t="b">
        <f>IFERROR(VLOOKUP(OCF_Activity_Template_Table[[#This Row],[GL_Other]],GL_Acct_to_Clearing_Acct[Clearing Acct],1,FALSE)=OCF_Activity_Template_Table[[#This Row],[GL_Other]],FALSE)</f>
        <v>0</v>
      </c>
      <c r="M27" s="51" t="b">
        <f>NOT(ISERROR(VLOOKUP(OCF_Activity_Template_Table[[#This Row],[GL_Other]],GL_Acct_to_Clearing_Acct[#All],2,FALSE)))</f>
        <v>0</v>
      </c>
      <c r="N27" s="51">
        <v>0</v>
      </c>
      <c r="O27" s="61"/>
      <c r="P27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27" s="15">
        <f>'Input &amp; Assumptions'!$C$11</f>
        <v>42215</v>
      </c>
      <c r="T27" s="15">
        <f>'Input &amp; Assumptions'!$C$12</f>
        <v>42215</v>
      </c>
      <c r="U27" t="str">
        <f>IF(OCF_Activity_Template_Table[[#This Row],[BNS Amount to Clear]]&gt;=0,"40","50")</f>
        <v>40</v>
      </c>
      <c r="V27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6065005</v>
      </c>
      <c r="W27">
        <v>366</v>
      </c>
      <c r="X27" t="str">
        <f>IFERROR(VLOOKUP(OCF_Activity_Template_Table[[#This Row],[HFM_Account]],HFM_Acct_to_CC[#All],2,FALSE),"")</f>
        <v>TBD</v>
      </c>
      <c r="Y27" t="str">
        <f>IF(OCF_Activity_Template_Table[[#This Row],[Trading_Partner]]="","",OCF_Activity_Template_Table[[#This Row],[Trading_Partner]])</f>
        <v/>
      </c>
      <c r="Z27" s="51">
        <f>ROUND(ABS(OCF_Activity_Template_Table[[#This Row],[BNS Amount to Clear]]),2)</f>
        <v>0</v>
      </c>
      <c r="AA27" t="str">
        <f>"Clear BNS activity from "&amp;OCF_Activity_Template_Table[[#This Row],[GL_Other]]</f>
        <v>Clear BNS activity from 6065005</v>
      </c>
    </row>
    <row r="28" spans="1:27" x14ac:dyDescent="0.25">
      <c r="A28" s="10" t="s">
        <v>83</v>
      </c>
      <c r="B28" s="10" t="s">
        <v>9</v>
      </c>
      <c r="C28" t="s">
        <v>1393</v>
      </c>
      <c r="D28" t="str">
        <f>INDEX(Modded_AMF_Table[#All], MATCH($C28,Modded_AMF_Table[[#All],[GL_Other]],0), MATCH("GL_AcctDesc",Modded_AMF_Table[#Headers],0))</f>
        <v>Hotels and Meals</v>
      </c>
      <c r="F28" s="51">
        <f t="array" ref="F2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405.3</v>
      </c>
      <c r="G28" s="51">
        <f t="array" ref="G2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405.3</v>
      </c>
      <c r="H28" s="51">
        <f t="array" ref="H2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28" s="51">
        <f t="array" ref="I28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28" s="51">
        <f>OCF_Activity_Template_Table[[#This Row],[BNS]]-OCF_Activity_Template_Table[[#This Row],[BNS PRE-Close Income - TE]]</f>
        <v>0</v>
      </c>
      <c r="K28" s="51">
        <v>0</v>
      </c>
      <c r="L28" s="51" t="b">
        <f>IFERROR(VLOOKUP(OCF_Activity_Template_Table[[#This Row],[GL_Other]],GL_Acct_to_Clearing_Acct[Clearing Acct],1,FALSE)=OCF_Activity_Template_Table[[#This Row],[GL_Other]],FALSE)</f>
        <v>0</v>
      </c>
      <c r="M28" s="51" t="b">
        <f>NOT(ISERROR(VLOOKUP(OCF_Activity_Template_Table[[#This Row],[GL_Other]],GL_Acct_to_Clearing_Acct[#All],2,FALSE)))</f>
        <v>0</v>
      </c>
      <c r="N28" s="51">
        <v>0</v>
      </c>
      <c r="O28" s="61"/>
      <c r="P28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28" s="15">
        <f>'Input &amp; Assumptions'!$C$11</f>
        <v>42215</v>
      </c>
      <c r="T28" s="15">
        <f>'Input &amp; Assumptions'!$C$12</f>
        <v>42215</v>
      </c>
      <c r="U28" t="str">
        <f>IF(OCF_Activity_Template_Table[[#This Row],[BNS Amount to Clear]]&gt;=0,"40","50")</f>
        <v>40</v>
      </c>
      <c r="V28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6065045</v>
      </c>
      <c r="W28">
        <v>366</v>
      </c>
      <c r="X28" t="str">
        <f>IFERROR(VLOOKUP(OCF_Activity_Template_Table[[#This Row],[HFM_Account]],HFM_Acct_to_CC[#All],2,FALSE),"")</f>
        <v>TBD</v>
      </c>
      <c r="Y28" t="str">
        <f>IF(OCF_Activity_Template_Table[[#This Row],[Trading_Partner]]="","",OCF_Activity_Template_Table[[#This Row],[Trading_Partner]])</f>
        <v/>
      </c>
      <c r="Z28" s="51">
        <f>ROUND(ABS(OCF_Activity_Template_Table[[#This Row],[BNS Amount to Clear]]),2)</f>
        <v>0</v>
      </c>
      <c r="AA28" t="str">
        <f>"Clear BNS activity from "&amp;OCF_Activity_Template_Table[[#This Row],[GL_Other]]</f>
        <v>Clear BNS activity from 6065045</v>
      </c>
    </row>
    <row r="29" spans="1:27" x14ac:dyDescent="0.25">
      <c r="A29" s="10" t="s">
        <v>83</v>
      </c>
      <c r="B29" s="10" t="s">
        <v>9</v>
      </c>
      <c r="C29" t="s">
        <v>1396</v>
      </c>
      <c r="D29" t="str">
        <f>INDEX(Modded_AMF_Table[#All], MATCH($C29,Modded_AMF_Table[[#All],[GL_Other]],0), MATCH("GL_AcctDesc",Modded_AMF_Table[#Headers],0))</f>
        <v>Travel Expense Fixed Allowance</v>
      </c>
      <c r="F29" s="51">
        <f t="array" ref="F2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231</v>
      </c>
      <c r="G29" s="51">
        <f t="array" ref="G2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231</v>
      </c>
      <c r="H29" s="51">
        <f t="array" ref="H2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29" s="51">
        <f t="array" ref="I29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29" s="51">
        <f>OCF_Activity_Template_Table[[#This Row],[BNS]]-OCF_Activity_Template_Table[[#This Row],[BNS PRE-Close Income - TE]]</f>
        <v>0</v>
      </c>
      <c r="K29" s="51">
        <v>0</v>
      </c>
      <c r="L29" s="51" t="b">
        <f>IFERROR(VLOOKUP(OCF_Activity_Template_Table[[#This Row],[GL_Other]],GL_Acct_to_Clearing_Acct[Clearing Acct],1,FALSE)=OCF_Activity_Template_Table[[#This Row],[GL_Other]],FALSE)</f>
        <v>0</v>
      </c>
      <c r="M29" s="51" t="b">
        <f>NOT(ISERROR(VLOOKUP(OCF_Activity_Template_Table[[#This Row],[GL_Other]],GL_Acct_to_Clearing_Acct[#All],2,FALSE)))</f>
        <v>0</v>
      </c>
      <c r="N29" s="51">
        <v>0</v>
      </c>
      <c r="O29" s="61"/>
      <c r="P29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29" s="15">
        <f>'Input &amp; Assumptions'!$C$11</f>
        <v>42215</v>
      </c>
      <c r="T29" s="15">
        <f>'Input &amp; Assumptions'!$C$12</f>
        <v>42215</v>
      </c>
      <c r="U29" t="str">
        <f>IF(OCF_Activity_Template_Table[[#This Row],[BNS Amount to Clear]]&gt;=0,"40","50")</f>
        <v>40</v>
      </c>
      <c r="V29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6065115</v>
      </c>
      <c r="W29">
        <v>366</v>
      </c>
      <c r="X29" t="str">
        <f>IFERROR(VLOOKUP(OCF_Activity_Template_Table[[#This Row],[HFM_Account]],HFM_Acct_to_CC[#All],2,FALSE),"")</f>
        <v>TBD</v>
      </c>
      <c r="Y29" t="str">
        <f>IF(OCF_Activity_Template_Table[[#This Row],[Trading_Partner]]="","",OCF_Activity_Template_Table[[#This Row],[Trading_Partner]])</f>
        <v/>
      </c>
      <c r="Z29" s="51">
        <f>ROUND(ABS(OCF_Activity_Template_Table[[#This Row],[BNS Amount to Clear]]),2)</f>
        <v>0</v>
      </c>
      <c r="AA29" t="str">
        <f>"Clear BNS activity from "&amp;OCF_Activity_Template_Table[[#This Row],[GL_Other]]</f>
        <v>Clear BNS activity from 6065115</v>
      </c>
    </row>
    <row r="30" spans="1:27" x14ac:dyDescent="0.25">
      <c r="A30" s="10" t="s">
        <v>83</v>
      </c>
      <c r="B30" s="10" t="s">
        <v>9</v>
      </c>
      <c r="C30" t="s">
        <v>1402</v>
      </c>
      <c r="D30" t="str">
        <f>INDEX(Modded_AMF_Table[#All], MATCH($C30,Modded_AMF_Table[[#All],[GL_Other]],0), MATCH("GL_AcctDesc",Modded_AMF_Table[#Headers],0))</f>
        <v>Employee Entertainment</v>
      </c>
      <c r="F30" s="51">
        <f t="array" ref="F3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84.210000000000008</v>
      </c>
      <c r="G30" s="51">
        <f t="array" ref="G3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84.210000000000008</v>
      </c>
      <c r="H30" s="51">
        <f t="array" ref="H3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30" s="51">
        <f t="array" ref="I30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30" s="51">
        <f>OCF_Activity_Template_Table[[#This Row],[BNS]]-OCF_Activity_Template_Table[[#This Row],[BNS PRE-Close Income - TE]]</f>
        <v>0</v>
      </c>
      <c r="K30" s="51">
        <v>0</v>
      </c>
      <c r="L30" s="51" t="b">
        <f>IFERROR(VLOOKUP(OCF_Activity_Template_Table[[#This Row],[GL_Other]],GL_Acct_to_Clearing_Acct[Clearing Acct],1,FALSE)=OCF_Activity_Template_Table[[#This Row],[GL_Other]],FALSE)</f>
        <v>0</v>
      </c>
      <c r="M30" s="51" t="b">
        <f>NOT(ISERROR(VLOOKUP(OCF_Activity_Template_Table[[#This Row],[GL_Other]],GL_Acct_to_Clearing_Acct[#All],2,FALSE)))</f>
        <v>0</v>
      </c>
      <c r="N30" s="51">
        <v>0</v>
      </c>
      <c r="O30" s="61"/>
      <c r="P30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30" s="15">
        <f>'Input &amp; Assumptions'!$C$11</f>
        <v>42215</v>
      </c>
      <c r="T30" s="15">
        <f>'Input &amp; Assumptions'!$C$12</f>
        <v>42215</v>
      </c>
      <c r="U30" t="str">
        <f>IF(OCF_Activity_Template_Table[[#This Row],[BNS Amount to Clear]]&gt;=0,"40","50")</f>
        <v>40</v>
      </c>
      <c r="V30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6065130</v>
      </c>
      <c r="W30">
        <v>366</v>
      </c>
      <c r="X30" t="str">
        <f>IFERROR(VLOOKUP(OCF_Activity_Template_Table[[#This Row],[HFM_Account]],HFM_Acct_to_CC[#All],2,FALSE),"")</f>
        <v>TBD</v>
      </c>
      <c r="Y30" t="str">
        <f>IF(OCF_Activity_Template_Table[[#This Row],[Trading_Partner]]="","",OCF_Activity_Template_Table[[#This Row],[Trading_Partner]])</f>
        <v/>
      </c>
      <c r="Z30" s="51">
        <f>ROUND(ABS(OCF_Activity_Template_Table[[#This Row],[BNS Amount to Clear]]),2)</f>
        <v>0</v>
      </c>
      <c r="AA30" t="str">
        <f>"Clear BNS activity from "&amp;OCF_Activity_Template_Table[[#This Row],[GL_Other]]</f>
        <v>Clear BNS activity from 6065130</v>
      </c>
    </row>
    <row r="31" spans="1:27" x14ac:dyDescent="0.25">
      <c r="A31" s="10" t="s">
        <v>83</v>
      </c>
      <c r="B31" s="10" t="s">
        <v>9</v>
      </c>
      <c r="C31" t="s">
        <v>1405</v>
      </c>
      <c r="D31" t="str">
        <f>INDEX(Modded_AMF_Table[#All], MATCH($C31,Modded_AMF_Table[[#All],[GL_Other]],0), MATCH("GL_AcctDesc",Modded_AMF_Table[#Headers],0))</f>
        <v>Transportation</v>
      </c>
      <c r="F31" s="51">
        <f t="array" ref="F3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95.47</v>
      </c>
      <c r="G31" s="51">
        <f t="array" ref="G3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95.47</v>
      </c>
      <c r="H31" s="51">
        <f t="array" ref="H3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31" s="51">
        <f t="array" ref="I31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31" s="51">
        <f>OCF_Activity_Template_Table[[#This Row],[BNS]]-OCF_Activity_Template_Table[[#This Row],[BNS PRE-Close Income - TE]]</f>
        <v>0</v>
      </c>
      <c r="K31" s="51">
        <v>0</v>
      </c>
      <c r="L31" s="51" t="b">
        <f>IFERROR(VLOOKUP(OCF_Activity_Template_Table[[#This Row],[GL_Other]],GL_Acct_to_Clearing_Acct[Clearing Acct],1,FALSE)=OCF_Activity_Template_Table[[#This Row],[GL_Other]],FALSE)</f>
        <v>0</v>
      </c>
      <c r="M31" s="51" t="b">
        <f>NOT(ISERROR(VLOOKUP(OCF_Activity_Template_Table[[#This Row],[GL_Other]],GL_Acct_to_Clearing_Acct[#All],2,FALSE)))</f>
        <v>0</v>
      </c>
      <c r="N31" s="51">
        <v>0</v>
      </c>
      <c r="O31" s="61"/>
      <c r="P31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31" s="15">
        <f>'Input &amp; Assumptions'!$C$11</f>
        <v>42215</v>
      </c>
      <c r="T31" s="15">
        <f>'Input &amp; Assumptions'!$C$12</f>
        <v>42215</v>
      </c>
      <c r="U31" t="str">
        <f>IF(OCF_Activity_Template_Table[[#This Row],[BNS Amount to Clear]]&gt;=0,"40","50")</f>
        <v>40</v>
      </c>
      <c r="V31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6065150</v>
      </c>
      <c r="W31">
        <v>366</v>
      </c>
      <c r="X31" t="str">
        <f>IFERROR(VLOOKUP(OCF_Activity_Template_Table[[#This Row],[HFM_Account]],HFM_Acct_to_CC[#All],2,FALSE),"")</f>
        <v>TBD</v>
      </c>
      <c r="Y31" t="str">
        <f>IF(OCF_Activity_Template_Table[[#This Row],[Trading_Partner]]="","",OCF_Activity_Template_Table[[#This Row],[Trading_Partner]])</f>
        <v/>
      </c>
      <c r="Z31" s="51">
        <f>ROUND(ABS(OCF_Activity_Template_Table[[#This Row],[BNS Amount to Clear]]),2)</f>
        <v>0</v>
      </c>
      <c r="AA31" t="str">
        <f>"Clear BNS activity from "&amp;OCF_Activity_Template_Table[[#This Row],[GL_Other]]</f>
        <v>Clear BNS activity from 6065150</v>
      </c>
    </row>
    <row r="32" spans="1:27" x14ac:dyDescent="0.25">
      <c r="A32" s="10" t="s">
        <v>83</v>
      </c>
      <c r="B32" s="10" t="s">
        <v>9</v>
      </c>
      <c r="C32" t="s">
        <v>1563</v>
      </c>
      <c r="D32" t="str">
        <f>INDEX(Modded_AMF_Table[#All], MATCH($C32,Modded_AMF_Table[[#All],[GL_Other]],0), MATCH("GL_AcctDesc",Modded_AMF_Table[#Headers],0))</f>
        <v>Postage</v>
      </c>
      <c r="F32" s="51">
        <f t="array" ref="F3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1507.04</v>
      </c>
      <c r="G32" s="51">
        <f t="array" ref="G3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1507.04</v>
      </c>
      <c r="H32" s="51">
        <f t="array" ref="H3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32" s="51">
        <f t="array" ref="I32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32" s="51">
        <f>OCF_Activity_Template_Table[[#This Row],[BNS]]-OCF_Activity_Template_Table[[#This Row],[BNS PRE-Close Income - TE]]</f>
        <v>0</v>
      </c>
      <c r="K32" s="51">
        <v>0</v>
      </c>
      <c r="L32" s="51" t="b">
        <f>IFERROR(VLOOKUP(OCF_Activity_Template_Table[[#This Row],[GL_Other]],GL_Acct_to_Clearing_Acct[Clearing Acct],1,FALSE)=OCF_Activity_Template_Table[[#This Row],[GL_Other]],FALSE)</f>
        <v>0</v>
      </c>
      <c r="M32" s="51" t="b">
        <f>NOT(ISERROR(VLOOKUP(OCF_Activity_Template_Table[[#This Row],[GL_Other]],GL_Acct_to_Clearing_Acct[#All],2,FALSE)))</f>
        <v>0</v>
      </c>
      <c r="N32" s="51">
        <v>0</v>
      </c>
      <c r="O32" s="61"/>
      <c r="P32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32" s="15">
        <f>'Input &amp; Assumptions'!$C$11</f>
        <v>42215</v>
      </c>
      <c r="T32" s="15">
        <f>'Input &amp; Assumptions'!$C$12</f>
        <v>42215</v>
      </c>
      <c r="U32" t="str">
        <f>IF(OCF_Activity_Template_Table[[#This Row],[BNS Amount to Clear]]&gt;=0,"40","50")</f>
        <v>40</v>
      </c>
      <c r="V32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6067000</v>
      </c>
      <c r="W32">
        <v>366</v>
      </c>
      <c r="X32" t="str">
        <f>IFERROR(VLOOKUP(OCF_Activity_Template_Table[[#This Row],[HFM_Account]],HFM_Acct_to_CC[#All],2,FALSE),"")</f>
        <v>TBD</v>
      </c>
      <c r="Y32" t="str">
        <f>IF(OCF_Activity_Template_Table[[#This Row],[Trading_Partner]]="","",OCF_Activity_Template_Table[[#This Row],[Trading_Partner]])</f>
        <v/>
      </c>
      <c r="Z32" s="51">
        <f>ROUND(ABS(OCF_Activity_Template_Table[[#This Row],[BNS Amount to Clear]]),2)</f>
        <v>0</v>
      </c>
      <c r="AA32" t="str">
        <f>"Clear BNS activity from "&amp;OCF_Activity_Template_Table[[#This Row],[GL_Other]]</f>
        <v>Clear BNS activity from 6067000</v>
      </c>
    </row>
    <row r="33" spans="1:27" x14ac:dyDescent="0.25">
      <c r="A33" s="10" t="s">
        <v>83</v>
      </c>
      <c r="B33" s="10" t="s">
        <v>9</v>
      </c>
      <c r="C33" t="s">
        <v>1421</v>
      </c>
      <c r="D33" t="str">
        <f>INDEX(Modded_AMF_Table[#All], MATCH($C33,Modded_AMF_Table[[#All],[GL_Other]],0), MATCH("GL_AcctDesc",Modded_AMF_Table[#Headers],0))</f>
        <v>Office Supplies</v>
      </c>
      <c r="F33" s="51">
        <f t="array" ref="F3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474.13</v>
      </c>
      <c r="G33" s="51">
        <f t="array" ref="G3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474.13</v>
      </c>
      <c r="H33" s="51">
        <f t="array" ref="H3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33" s="51">
        <f t="array" ref="I33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33" s="51">
        <f>OCF_Activity_Template_Table[[#This Row],[BNS]]-OCF_Activity_Template_Table[[#This Row],[BNS PRE-Close Income - TE]]</f>
        <v>0</v>
      </c>
      <c r="K33" s="51">
        <v>0</v>
      </c>
      <c r="L33" s="51" t="b">
        <f>IFERROR(VLOOKUP(OCF_Activity_Template_Table[[#This Row],[GL_Other]],GL_Acct_to_Clearing_Acct[Clearing Acct],1,FALSE)=OCF_Activity_Template_Table[[#This Row],[GL_Other]],FALSE)</f>
        <v>0</v>
      </c>
      <c r="M33" s="51" t="b">
        <f>NOT(ISERROR(VLOOKUP(OCF_Activity_Template_Table[[#This Row],[GL_Other]],GL_Acct_to_Clearing_Acct[#All],2,FALSE)))</f>
        <v>0</v>
      </c>
      <c r="N33" s="51">
        <v>0</v>
      </c>
      <c r="O33" s="61"/>
      <c r="P33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33" s="15">
        <f>'Input &amp; Assumptions'!$C$11</f>
        <v>42215</v>
      </c>
      <c r="T33" s="15">
        <f>'Input &amp; Assumptions'!$C$12</f>
        <v>42215</v>
      </c>
      <c r="U33" t="str">
        <f>IF(OCF_Activity_Template_Table[[#This Row],[BNS Amount to Clear]]&gt;=0,"40","50")</f>
        <v>40</v>
      </c>
      <c r="V33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6068000</v>
      </c>
      <c r="W33">
        <v>366</v>
      </c>
      <c r="X33" t="str">
        <f>IFERROR(VLOOKUP(OCF_Activity_Template_Table[[#This Row],[HFM_Account]],HFM_Acct_to_CC[#All],2,FALSE),"")</f>
        <v>TBD</v>
      </c>
      <c r="Y33" t="str">
        <f>IF(OCF_Activity_Template_Table[[#This Row],[Trading_Partner]]="","",OCF_Activity_Template_Table[[#This Row],[Trading_Partner]])</f>
        <v/>
      </c>
      <c r="Z33" s="51">
        <f>ROUND(ABS(OCF_Activity_Template_Table[[#This Row],[BNS Amount to Clear]]),2)</f>
        <v>0</v>
      </c>
      <c r="AA33" t="str">
        <f>"Clear BNS activity from "&amp;OCF_Activity_Template_Table[[#This Row],[GL_Other]]</f>
        <v>Clear BNS activity from 6068000</v>
      </c>
    </row>
    <row r="34" spans="1:27" x14ac:dyDescent="0.25">
      <c r="A34" s="10" t="s">
        <v>83</v>
      </c>
      <c r="B34" s="10" t="s">
        <v>9</v>
      </c>
      <c r="C34" t="s">
        <v>1524</v>
      </c>
      <c r="D34" t="str">
        <f>INDEX(Modded_AMF_Table[#All], MATCH($C34,Modded_AMF_Table[[#All],[GL_Other]],0), MATCH("GL_AcctDesc",Modded_AMF_Table[#Headers],0))</f>
        <v>Audit Expense</v>
      </c>
      <c r="F34" s="51">
        <f t="array" ref="F3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14386.6</v>
      </c>
      <c r="G34" s="51">
        <f t="array" ref="G3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14386.6</v>
      </c>
      <c r="H34" s="51">
        <f t="array" ref="H3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34" s="51">
        <f t="array" ref="I34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34" s="51">
        <f>OCF_Activity_Template_Table[[#This Row],[BNS]]-OCF_Activity_Template_Table[[#This Row],[BNS PRE-Close Income - TE]]</f>
        <v>0</v>
      </c>
      <c r="K34" s="51">
        <v>0</v>
      </c>
      <c r="L34" s="51" t="b">
        <f>IFERROR(VLOOKUP(OCF_Activity_Template_Table[[#This Row],[GL_Other]],GL_Acct_to_Clearing_Acct[Clearing Acct],1,FALSE)=OCF_Activity_Template_Table[[#This Row],[GL_Other]],FALSE)</f>
        <v>0</v>
      </c>
      <c r="M34" s="51" t="b">
        <f>NOT(ISERROR(VLOOKUP(OCF_Activity_Template_Table[[#This Row],[GL_Other]],GL_Acct_to_Clearing_Acct[#All],2,FALSE)))</f>
        <v>0</v>
      </c>
      <c r="N34" s="51">
        <v>0</v>
      </c>
      <c r="O34" s="61"/>
      <c r="P34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34" s="15">
        <f>'Input &amp; Assumptions'!$C$11</f>
        <v>42215</v>
      </c>
      <c r="T34" s="15">
        <f>'Input &amp; Assumptions'!$C$12</f>
        <v>42215</v>
      </c>
      <c r="U34" t="str">
        <f>IF(OCF_Activity_Template_Table[[#This Row],[BNS Amount to Clear]]&gt;=0,"40","50")</f>
        <v>40</v>
      </c>
      <c r="V34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6069000</v>
      </c>
      <c r="W34">
        <v>366</v>
      </c>
      <c r="X34" t="str">
        <f>IFERROR(VLOOKUP(OCF_Activity_Template_Table[[#This Row],[HFM_Account]],HFM_Acct_to_CC[#All],2,FALSE),"")</f>
        <v>TBD</v>
      </c>
      <c r="Y34" t="str">
        <f>IF(OCF_Activity_Template_Table[[#This Row],[Trading_Partner]]="","",OCF_Activity_Template_Table[[#This Row],[Trading_Partner]])</f>
        <v/>
      </c>
      <c r="Z34" s="51">
        <f>ROUND(ABS(OCF_Activity_Template_Table[[#This Row],[BNS Amount to Clear]]),2)</f>
        <v>0</v>
      </c>
      <c r="AA34" t="str">
        <f>"Clear BNS activity from "&amp;OCF_Activity_Template_Table[[#This Row],[GL_Other]]</f>
        <v>Clear BNS activity from 6069000</v>
      </c>
    </row>
    <row r="35" spans="1:27" x14ac:dyDescent="0.25">
      <c r="A35" s="10" t="s">
        <v>83</v>
      </c>
      <c r="B35" s="10" t="s">
        <v>9</v>
      </c>
      <c r="C35" t="s">
        <v>1527</v>
      </c>
      <c r="D35" t="str">
        <f>INDEX(Modded_AMF_Table[#All], MATCH($C35,Modded_AMF_Table[[#All],[GL_Other]],0), MATCH("GL_AcctDesc",Modded_AMF_Table[#Headers],0))</f>
        <v>Legal Expense</v>
      </c>
      <c r="F35" s="51">
        <f t="array" ref="F3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3132.68</v>
      </c>
      <c r="G35" s="51">
        <f t="array" ref="G3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3132.68</v>
      </c>
      <c r="H35" s="51">
        <f t="array" ref="H3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35" s="51">
        <f t="array" ref="I35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35" s="51">
        <f>OCF_Activity_Template_Table[[#This Row],[BNS]]-OCF_Activity_Template_Table[[#This Row],[BNS PRE-Close Income - TE]]</f>
        <v>0</v>
      </c>
      <c r="K35" s="51">
        <v>0</v>
      </c>
      <c r="L35" s="51" t="b">
        <f>IFERROR(VLOOKUP(OCF_Activity_Template_Table[[#This Row],[GL_Other]],GL_Acct_to_Clearing_Acct[Clearing Acct],1,FALSE)=OCF_Activity_Template_Table[[#This Row],[GL_Other]],FALSE)</f>
        <v>0</v>
      </c>
      <c r="M35" s="51" t="b">
        <f>NOT(ISERROR(VLOOKUP(OCF_Activity_Template_Table[[#This Row],[GL_Other]],GL_Acct_to_Clearing_Acct[#All],2,FALSE)))</f>
        <v>0</v>
      </c>
      <c r="N35" s="51">
        <v>0</v>
      </c>
      <c r="O35" s="61"/>
      <c r="P35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35" s="15">
        <f>'Input &amp; Assumptions'!$C$11</f>
        <v>42215</v>
      </c>
      <c r="T35" s="15">
        <f>'Input &amp; Assumptions'!$C$12</f>
        <v>42215</v>
      </c>
      <c r="U35" t="str">
        <f>IF(OCF_Activity_Template_Table[[#This Row],[BNS Amount to Clear]]&gt;=0,"40","50")</f>
        <v>40</v>
      </c>
      <c r="V35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6069010</v>
      </c>
      <c r="W35">
        <v>366</v>
      </c>
      <c r="X35" t="str">
        <f>IFERROR(VLOOKUP(OCF_Activity_Template_Table[[#This Row],[HFM_Account]],HFM_Acct_to_CC[#All],2,FALSE),"")</f>
        <v>TBD</v>
      </c>
      <c r="Y35" t="str">
        <f>IF(OCF_Activity_Template_Table[[#This Row],[Trading_Partner]]="","",OCF_Activity_Template_Table[[#This Row],[Trading_Partner]])</f>
        <v/>
      </c>
      <c r="Z35" s="51">
        <f>ROUND(ABS(OCF_Activity_Template_Table[[#This Row],[BNS Amount to Clear]]),2)</f>
        <v>0</v>
      </c>
      <c r="AA35" t="str">
        <f>"Clear BNS activity from "&amp;OCF_Activity_Template_Table[[#This Row],[GL_Other]]</f>
        <v>Clear BNS activity from 6069010</v>
      </c>
    </row>
    <row r="36" spans="1:27" x14ac:dyDescent="0.25">
      <c r="A36" s="10" t="s">
        <v>83</v>
      </c>
      <c r="B36" s="10" t="s">
        <v>9</v>
      </c>
      <c r="C36" t="s">
        <v>1566</v>
      </c>
      <c r="D36" t="str">
        <f>INDEX(Modded_AMF_Table[#All], MATCH($C36,Modded_AMF_Table[[#All],[GL_Other]],0), MATCH("GL_AcctDesc",Modded_AMF_Table[#Headers],0))</f>
        <v>Outsourcing</v>
      </c>
      <c r="F36" s="51">
        <f t="array" ref="F3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8854.4699999999993</v>
      </c>
      <c r="G36" s="51">
        <f t="array" ref="G3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8854.4699999999993</v>
      </c>
      <c r="H36" s="51">
        <f t="array" ref="H3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36" s="51">
        <f t="array" ref="I36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36" s="51">
        <f>OCF_Activity_Template_Table[[#This Row],[BNS]]-OCF_Activity_Template_Table[[#This Row],[BNS PRE-Close Income - TE]]</f>
        <v>0</v>
      </c>
      <c r="K36" s="51">
        <v>0</v>
      </c>
      <c r="L36" s="51" t="b">
        <f>IFERROR(VLOOKUP(OCF_Activity_Template_Table[[#This Row],[GL_Other]],GL_Acct_to_Clearing_Acct[Clearing Acct],1,FALSE)=OCF_Activity_Template_Table[[#This Row],[GL_Other]],FALSE)</f>
        <v>0</v>
      </c>
      <c r="M36" s="51" t="b">
        <f>NOT(ISERROR(VLOOKUP(OCF_Activity_Template_Table[[#This Row],[GL_Other]],GL_Acct_to_Clearing_Acct[#All],2,FALSE)))</f>
        <v>0</v>
      </c>
      <c r="N36" s="51">
        <v>0</v>
      </c>
      <c r="O36" s="61"/>
      <c r="P36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36" s="15">
        <f>'Input &amp; Assumptions'!$C$11</f>
        <v>42215</v>
      </c>
      <c r="T36" s="15">
        <f>'Input &amp; Assumptions'!$C$12</f>
        <v>42215</v>
      </c>
      <c r="U36" t="str">
        <f>IF(OCF_Activity_Template_Table[[#This Row],[BNS Amount to Clear]]&gt;=0,"40","50")</f>
        <v>40</v>
      </c>
      <c r="V36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6077000</v>
      </c>
      <c r="W36">
        <v>366</v>
      </c>
      <c r="X36" t="str">
        <f>IFERROR(VLOOKUP(OCF_Activity_Template_Table[[#This Row],[HFM_Account]],HFM_Acct_to_CC[#All],2,FALSE),"")</f>
        <v>TBD</v>
      </c>
      <c r="Y36" t="str">
        <f>IF(OCF_Activity_Template_Table[[#This Row],[Trading_Partner]]="","",OCF_Activity_Template_Table[[#This Row],[Trading_Partner]])</f>
        <v/>
      </c>
      <c r="Z36" s="51">
        <f>ROUND(ABS(OCF_Activity_Template_Table[[#This Row],[BNS Amount to Clear]]),2)</f>
        <v>0</v>
      </c>
      <c r="AA36" t="str">
        <f>"Clear BNS activity from "&amp;OCF_Activity_Template_Table[[#This Row],[GL_Other]]</f>
        <v>Clear BNS activity from 6077000</v>
      </c>
    </row>
    <row r="37" spans="1:27" x14ac:dyDescent="0.25">
      <c r="A37" s="10" t="s">
        <v>83</v>
      </c>
      <c r="B37" s="10" t="s">
        <v>9</v>
      </c>
      <c r="C37" t="s">
        <v>1531</v>
      </c>
      <c r="D37" t="str">
        <f>INDEX(Modded_AMF_Table[#All], MATCH($C37,Modded_AMF_Table[[#All],[GL_Other]],0), MATCH("GL_AcctDesc",Modded_AMF_Table[#Headers],0))</f>
        <v>Outside Services - Consultants &amp; Advisors</v>
      </c>
      <c r="F37" s="51">
        <f t="array" ref="F3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162.94</v>
      </c>
      <c r="G37" s="51">
        <f t="array" ref="G3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162.94</v>
      </c>
      <c r="H37" s="51">
        <f t="array" ref="H3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37" s="51">
        <f t="array" ref="I37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37" s="51">
        <f>OCF_Activity_Template_Table[[#This Row],[BNS]]-OCF_Activity_Template_Table[[#This Row],[BNS PRE-Close Income - TE]]</f>
        <v>0</v>
      </c>
      <c r="K37" s="51">
        <v>0</v>
      </c>
      <c r="L37" s="51" t="b">
        <f>IFERROR(VLOOKUP(OCF_Activity_Template_Table[[#This Row],[GL_Other]],GL_Acct_to_Clearing_Acct[Clearing Acct],1,FALSE)=OCF_Activity_Template_Table[[#This Row],[GL_Other]],FALSE)</f>
        <v>0</v>
      </c>
      <c r="M37" s="51" t="b">
        <f>NOT(ISERROR(VLOOKUP(OCF_Activity_Template_Table[[#This Row],[GL_Other]],GL_Acct_to_Clearing_Acct[#All],2,FALSE)))</f>
        <v>0</v>
      </c>
      <c r="N37" s="51">
        <v>0</v>
      </c>
      <c r="O37" s="61"/>
      <c r="P37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37" s="15">
        <f>'Input &amp; Assumptions'!$C$11</f>
        <v>42215</v>
      </c>
      <c r="T37" s="15">
        <f>'Input &amp; Assumptions'!$C$12</f>
        <v>42215</v>
      </c>
      <c r="U37" t="str">
        <f>IF(OCF_Activity_Template_Table[[#This Row],[BNS Amount to Clear]]&gt;=0,"40","50")</f>
        <v>40</v>
      </c>
      <c r="V37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6081100</v>
      </c>
      <c r="W37">
        <v>366</v>
      </c>
      <c r="X37" t="str">
        <f>IFERROR(VLOOKUP(OCF_Activity_Template_Table[[#This Row],[HFM_Account]],HFM_Acct_to_CC[#All],2,FALSE),"")</f>
        <v>TBD</v>
      </c>
      <c r="Y37" t="str">
        <f>IF(OCF_Activity_Template_Table[[#This Row],[Trading_Partner]]="","",OCF_Activity_Template_Table[[#This Row],[Trading_Partner]])</f>
        <v/>
      </c>
      <c r="Z37" s="51">
        <f>ROUND(ABS(OCF_Activity_Template_Table[[#This Row],[BNS Amount to Clear]]),2)</f>
        <v>0</v>
      </c>
      <c r="AA37" t="str">
        <f>"Clear BNS activity from "&amp;OCF_Activity_Template_Table[[#This Row],[GL_Other]]</f>
        <v>Clear BNS activity from 6081100</v>
      </c>
    </row>
    <row r="38" spans="1:27" x14ac:dyDescent="0.25">
      <c r="A38" s="10" t="s">
        <v>83</v>
      </c>
      <c r="B38" s="10" t="s">
        <v>9</v>
      </c>
      <c r="C38" t="s">
        <v>1569</v>
      </c>
      <c r="D38" t="str">
        <f>INDEX(Modded_AMF_Table[#All], MATCH($C38,Modded_AMF_Table[[#All],[GL_Other]],0), MATCH("GL_AcctDesc",Modded_AMF_Table[#Headers],0))</f>
        <v>Outside Services - Facilities Services</v>
      </c>
      <c r="F38" s="51">
        <f t="array" ref="F3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1972.57</v>
      </c>
      <c r="G38" s="51">
        <f t="array" ref="G3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1972.57</v>
      </c>
      <c r="H38" s="51">
        <f t="array" ref="H3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38" s="51">
        <f t="array" ref="I38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38" s="51">
        <f>OCF_Activity_Template_Table[[#This Row],[BNS]]-OCF_Activity_Template_Table[[#This Row],[BNS PRE-Close Income - TE]]</f>
        <v>0</v>
      </c>
      <c r="K38" s="51">
        <v>0</v>
      </c>
      <c r="L38" s="51" t="b">
        <f>IFERROR(VLOOKUP(OCF_Activity_Template_Table[[#This Row],[GL_Other]],GL_Acct_to_Clearing_Acct[Clearing Acct],1,FALSE)=OCF_Activity_Template_Table[[#This Row],[GL_Other]],FALSE)</f>
        <v>0</v>
      </c>
      <c r="M38" s="51" t="b">
        <f>NOT(ISERROR(VLOOKUP(OCF_Activity_Template_Table[[#This Row],[GL_Other]],GL_Acct_to_Clearing_Acct[#All],2,FALSE)))</f>
        <v>0</v>
      </c>
      <c r="N38" s="51">
        <v>0</v>
      </c>
      <c r="O38" s="61"/>
      <c r="P38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38" s="15">
        <f>'Input &amp; Assumptions'!$C$11</f>
        <v>42215</v>
      </c>
      <c r="T38" s="15">
        <f>'Input &amp; Assumptions'!$C$12</f>
        <v>42215</v>
      </c>
      <c r="U38" t="str">
        <f>IF(OCF_Activity_Template_Table[[#This Row],[BNS Amount to Clear]]&gt;=0,"40","50")</f>
        <v>40</v>
      </c>
      <c r="V38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6081310</v>
      </c>
      <c r="W38">
        <v>366</v>
      </c>
      <c r="X38" t="str">
        <f>IFERROR(VLOOKUP(OCF_Activity_Template_Table[[#This Row],[HFM_Account]],HFM_Acct_to_CC[#All],2,FALSE),"")</f>
        <v>TBD</v>
      </c>
      <c r="Y38" t="str">
        <f>IF(OCF_Activity_Template_Table[[#This Row],[Trading_Partner]]="","",OCF_Activity_Template_Table[[#This Row],[Trading_Partner]])</f>
        <v/>
      </c>
      <c r="Z38" s="51">
        <f>ROUND(ABS(OCF_Activity_Template_Table[[#This Row],[BNS Amount to Clear]]),2)</f>
        <v>0</v>
      </c>
      <c r="AA38" t="str">
        <f>"Clear BNS activity from "&amp;OCF_Activity_Template_Table[[#This Row],[GL_Other]]</f>
        <v>Clear BNS activity from 6081310</v>
      </c>
    </row>
    <row r="39" spans="1:27" x14ac:dyDescent="0.25">
      <c r="A39" s="10" t="s">
        <v>83</v>
      </c>
      <c r="B39" s="10" t="s">
        <v>9</v>
      </c>
      <c r="C39" t="s">
        <v>1435</v>
      </c>
      <c r="D39" t="str">
        <f>INDEX(Modded_AMF_Table[#All], MATCH($C39,Modded_AMF_Table[[#All],[GL_Other]],0), MATCH("GL_AcctDesc",Modded_AMF_Table[#Headers],0))</f>
        <v>Outside Services - Other</v>
      </c>
      <c r="F39" s="51">
        <f t="array" ref="F3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8253.8300000000017</v>
      </c>
      <c r="G39" s="51">
        <f t="array" ref="G3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8253.8300000000017</v>
      </c>
      <c r="H39" s="51">
        <f t="array" ref="H3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39" s="51">
        <f t="array" ref="I39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39" s="51">
        <f>OCF_Activity_Template_Table[[#This Row],[BNS]]-OCF_Activity_Template_Table[[#This Row],[BNS PRE-Close Income - TE]]</f>
        <v>0</v>
      </c>
      <c r="K39" s="51">
        <v>0</v>
      </c>
      <c r="L39" s="51" t="b">
        <f>IFERROR(VLOOKUP(OCF_Activity_Template_Table[[#This Row],[GL_Other]],GL_Acct_to_Clearing_Acct[Clearing Acct],1,FALSE)=OCF_Activity_Template_Table[[#This Row],[GL_Other]],FALSE)</f>
        <v>0</v>
      </c>
      <c r="M39" s="51" t="b">
        <f>NOT(ISERROR(VLOOKUP(OCF_Activity_Template_Table[[#This Row],[GL_Other]],GL_Acct_to_Clearing_Acct[#All],2,FALSE)))</f>
        <v>0</v>
      </c>
      <c r="N39" s="51">
        <v>0</v>
      </c>
      <c r="O39" s="61"/>
      <c r="P39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39" s="15">
        <f>'Input &amp; Assumptions'!$C$11</f>
        <v>42215</v>
      </c>
      <c r="T39" s="15">
        <f>'Input &amp; Assumptions'!$C$12</f>
        <v>42215</v>
      </c>
      <c r="U39" t="str">
        <f>IF(OCF_Activity_Template_Table[[#This Row],[BNS Amount to Clear]]&gt;=0,"40","50")</f>
        <v>40</v>
      </c>
      <c r="V39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6081320</v>
      </c>
      <c r="W39">
        <v>366</v>
      </c>
      <c r="X39" t="str">
        <f>IFERROR(VLOOKUP(OCF_Activity_Template_Table[[#This Row],[HFM_Account]],HFM_Acct_to_CC[#All],2,FALSE),"")</f>
        <v>TBD</v>
      </c>
      <c r="Y39" t="str">
        <f>IF(OCF_Activity_Template_Table[[#This Row],[Trading_Partner]]="","",OCF_Activity_Template_Table[[#This Row],[Trading_Partner]])</f>
        <v/>
      </c>
      <c r="Z39" s="51">
        <f>ROUND(ABS(OCF_Activity_Template_Table[[#This Row],[BNS Amount to Clear]]),2)</f>
        <v>0</v>
      </c>
      <c r="AA39" t="str">
        <f>"Clear BNS activity from "&amp;OCF_Activity_Template_Table[[#This Row],[GL_Other]]</f>
        <v>Clear BNS activity from 6081320</v>
      </c>
    </row>
    <row r="40" spans="1:27" x14ac:dyDescent="0.25">
      <c r="A40" s="10" t="s">
        <v>83</v>
      </c>
      <c r="B40" s="10" t="s">
        <v>9</v>
      </c>
      <c r="C40" t="s">
        <v>1572</v>
      </c>
      <c r="D40" t="str">
        <f>INDEX(Modded_AMF_Table[#All], MATCH($C40,Modded_AMF_Table[[#All],[GL_Other]],0), MATCH("GL_AcctDesc",Modded_AMF_Table[#Headers],0))</f>
        <v>Outside Services - Surveillance</v>
      </c>
      <c r="F40" s="51">
        <f t="array" ref="F4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402</v>
      </c>
      <c r="G40" s="51">
        <f t="array" ref="G4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402</v>
      </c>
      <c r="H40" s="51">
        <f t="array" ref="H4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40" s="51">
        <f t="array" ref="I40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40" s="51">
        <f>OCF_Activity_Template_Table[[#This Row],[BNS]]-OCF_Activity_Template_Table[[#This Row],[BNS PRE-Close Income - TE]]</f>
        <v>0</v>
      </c>
      <c r="K40" s="51">
        <v>0</v>
      </c>
      <c r="L40" s="51" t="b">
        <f>IFERROR(VLOOKUP(OCF_Activity_Template_Table[[#This Row],[GL_Other]],GL_Acct_to_Clearing_Acct[Clearing Acct],1,FALSE)=OCF_Activity_Template_Table[[#This Row],[GL_Other]],FALSE)</f>
        <v>0</v>
      </c>
      <c r="M40" s="51" t="b">
        <f>NOT(ISERROR(VLOOKUP(OCF_Activity_Template_Table[[#This Row],[GL_Other]],GL_Acct_to_Clearing_Acct[#All],2,FALSE)))</f>
        <v>0</v>
      </c>
      <c r="N40" s="51">
        <v>0</v>
      </c>
      <c r="O40" s="61"/>
      <c r="P40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40" s="15">
        <f>'Input &amp; Assumptions'!$C$11</f>
        <v>42215</v>
      </c>
      <c r="T40" s="15">
        <f>'Input &amp; Assumptions'!$C$12</f>
        <v>42215</v>
      </c>
      <c r="U40" t="str">
        <f>IF(OCF_Activity_Template_Table[[#This Row],[BNS Amount to Clear]]&gt;=0,"40","50")</f>
        <v>40</v>
      </c>
      <c r="V40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6081340</v>
      </c>
      <c r="W40">
        <v>366</v>
      </c>
      <c r="X40" t="str">
        <f>IFERROR(VLOOKUP(OCF_Activity_Template_Table[[#This Row],[HFM_Account]],HFM_Acct_to_CC[#All],2,FALSE),"")</f>
        <v>TBD</v>
      </c>
      <c r="Y40" t="str">
        <f>IF(OCF_Activity_Template_Table[[#This Row],[Trading_Partner]]="","",OCF_Activity_Template_Table[[#This Row],[Trading_Partner]])</f>
        <v/>
      </c>
      <c r="Z40" s="51">
        <f>ROUND(ABS(OCF_Activity_Template_Table[[#This Row],[BNS Amount to Clear]]),2)</f>
        <v>0</v>
      </c>
      <c r="AA40" t="str">
        <f>"Clear BNS activity from "&amp;OCF_Activity_Template_Table[[#This Row],[GL_Other]]</f>
        <v>Clear BNS activity from 6081340</v>
      </c>
    </row>
    <row r="41" spans="1:27" x14ac:dyDescent="0.25">
      <c r="A41" s="10" t="s">
        <v>83</v>
      </c>
      <c r="B41" s="10" t="s">
        <v>9</v>
      </c>
      <c r="C41" t="s">
        <v>1441</v>
      </c>
      <c r="D41" t="str">
        <f>INDEX(Modded_AMF_Table[#All], MATCH($C41,Modded_AMF_Table[[#All],[GL_Other]],0), MATCH("GL_AcctDesc",Modded_AMF_Table[#Headers],0))</f>
        <v>Dues &amp; Subscriptions</v>
      </c>
      <c r="F41" s="51">
        <f t="array" ref="F4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1423.93</v>
      </c>
      <c r="G41" s="51">
        <f t="array" ref="G4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1423.93</v>
      </c>
      <c r="H41" s="51">
        <f t="array" ref="H4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41" s="51">
        <f t="array" ref="I41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41" s="51">
        <f>OCF_Activity_Template_Table[[#This Row],[BNS]]-OCF_Activity_Template_Table[[#This Row],[BNS PRE-Close Income - TE]]</f>
        <v>0</v>
      </c>
      <c r="K41" s="51">
        <v>0</v>
      </c>
      <c r="L41" s="51" t="b">
        <f>IFERROR(VLOOKUP(OCF_Activity_Template_Table[[#This Row],[GL_Other]],GL_Acct_to_Clearing_Acct[Clearing Acct],1,FALSE)=OCF_Activity_Template_Table[[#This Row],[GL_Other]],FALSE)</f>
        <v>0</v>
      </c>
      <c r="M41" s="51" t="b">
        <f>NOT(ISERROR(VLOOKUP(OCF_Activity_Template_Table[[#This Row],[GL_Other]],GL_Acct_to_Clearing_Acct[#All],2,FALSE)))</f>
        <v>0</v>
      </c>
      <c r="N41" s="51">
        <v>0</v>
      </c>
      <c r="O41" s="61"/>
      <c r="P41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41" s="15">
        <f>'Input &amp; Assumptions'!$C$11</f>
        <v>42215</v>
      </c>
      <c r="T41" s="15">
        <f>'Input &amp; Assumptions'!$C$12</f>
        <v>42215</v>
      </c>
      <c r="U41" t="str">
        <f>IF(OCF_Activity_Template_Table[[#This Row],[BNS Amount to Clear]]&gt;=0,"40","50")</f>
        <v>40</v>
      </c>
      <c r="V41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6086000</v>
      </c>
      <c r="W41">
        <v>366</v>
      </c>
      <c r="X41" t="str">
        <f>IFERROR(VLOOKUP(OCF_Activity_Template_Table[[#This Row],[HFM_Account]],HFM_Acct_to_CC[#All],2,FALSE),"")</f>
        <v>TBD</v>
      </c>
      <c r="Y41" t="str">
        <f>IF(OCF_Activity_Template_Table[[#This Row],[Trading_Partner]]="","",OCF_Activity_Template_Table[[#This Row],[Trading_Partner]])</f>
        <v/>
      </c>
      <c r="Z41" s="51">
        <f>ROUND(ABS(OCF_Activity_Template_Table[[#This Row],[BNS Amount to Clear]]),2)</f>
        <v>0</v>
      </c>
      <c r="AA41" t="str">
        <f>"Clear BNS activity from "&amp;OCF_Activity_Template_Table[[#This Row],[GL_Other]]</f>
        <v>Clear BNS activity from 6086000</v>
      </c>
    </row>
    <row r="42" spans="1:27" x14ac:dyDescent="0.25">
      <c r="A42" s="10" t="s">
        <v>83</v>
      </c>
      <c r="B42" s="10" t="s">
        <v>9</v>
      </c>
      <c r="C42" t="s">
        <v>1444</v>
      </c>
      <c r="D42" t="str">
        <f>INDEX(Modded_AMF_Table[#All], MATCH($C42,Modded_AMF_Table[[#All],[GL_Other]],0), MATCH("GL_AcctDesc",Modded_AMF_Table[#Headers],0))</f>
        <v>Employee Training</v>
      </c>
      <c r="F42" s="51">
        <f t="array" ref="F4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550</v>
      </c>
      <c r="G42" s="51">
        <f t="array" ref="G4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550</v>
      </c>
      <c r="H42" s="51">
        <f t="array" ref="H4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42" s="51">
        <f t="array" ref="I42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42" s="51">
        <f>OCF_Activity_Template_Table[[#This Row],[BNS]]-OCF_Activity_Template_Table[[#This Row],[BNS PRE-Close Income - TE]]</f>
        <v>0</v>
      </c>
      <c r="K42" s="51">
        <v>0</v>
      </c>
      <c r="L42" s="51" t="b">
        <f>IFERROR(VLOOKUP(OCF_Activity_Template_Table[[#This Row],[GL_Other]],GL_Acct_to_Clearing_Acct[Clearing Acct],1,FALSE)=OCF_Activity_Template_Table[[#This Row],[GL_Other]],FALSE)</f>
        <v>0</v>
      </c>
      <c r="M42" s="51" t="b">
        <f>NOT(ISERROR(VLOOKUP(OCF_Activity_Template_Table[[#This Row],[GL_Other]],GL_Acct_to_Clearing_Acct[#All],2,FALSE)))</f>
        <v>0</v>
      </c>
      <c r="N42" s="51">
        <v>0</v>
      </c>
      <c r="O42" s="61"/>
      <c r="P42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42" s="15">
        <f>'Input &amp; Assumptions'!$C$11</f>
        <v>42215</v>
      </c>
      <c r="T42" s="15">
        <f>'Input &amp; Assumptions'!$C$12</f>
        <v>42215</v>
      </c>
      <c r="U42" t="str">
        <f>IF(OCF_Activity_Template_Table[[#This Row],[BNS Amount to Clear]]&gt;=0,"40","50")</f>
        <v>40</v>
      </c>
      <c r="V42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6087000</v>
      </c>
      <c r="W42">
        <v>366</v>
      </c>
      <c r="X42" t="str">
        <f>IFERROR(VLOOKUP(OCF_Activity_Template_Table[[#This Row],[HFM_Account]],HFM_Acct_to_CC[#All],2,FALSE),"")</f>
        <v>TBD</v>
      </c>
      <c r="Y42" t="str">
        <f>IF(OCF_Activity_Template_Table[[#This Row],[Trading_Partner]]="","",OCF_Activity_Template_Table[[#This Row],[Trading_Partner]])</f>
        <v/>
      </c>
      <c r="Z42" s="51">
        <f>ROUND(ABS(OCF_Activity_Template_Table[[#This Row],[BNS Amount to Clear]]),2)</f>
        <v>0</v>
      </c>
      <c r="AA42" t="str">
        <f>"Clear BNS activity from "&amp;OCF_Activity_Template_Table[[#This Row],[GL_Other]]</f>
        <v>Clear BNS activity from 6087000</v>
      </c>
    </row>
    <row r="43" spans="1:27" x14ac:dyDescent="0.25">
      <c r="A43" s="10" t="s">
        <v>83</v>
      </c>
      <c r="B43" s="10" t="s">
        <v>9</v>
      </c>
      <c r="C43" t="s">
        <v>1575</v>
      </c>
      <c r="D43" t="str">
        <f>INDEX(Modded_AMF_Table[#All], MATCH($C43,Modded_AMF_Table[[#All],[GL_Other]],0), MATCH("GL_AcctDesc",Modded_AMF_Table[#Headers],0))</f>
        <v>Cost Recovery</v>
      </c>
      <c r="F43" s="51">
        <f t="array" ref="F4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-1522.57</v>
      </c>
      <c r="G43" s="51">
        <f t="array" ref="G4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-1522.57</v>
      </c>
      <c r="H43" s="51">
        <f t="array" ref="H4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43" s="51">
        <f t="array" ref="I43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43" s="51">
        <f>OCF_Activity_Template_Table[[#This Row],[BNS]]-OCF_Activity_Template_Table[[#This Row],[BNS PRE-Close Income - TE]]</f>
        <v>0</v>
      </c>
      <c r="K43" s="51">
        <v>0</v>
      </c>
      <c r="L43" s="51" t="b">
        <f>IFERROR(VLOOKUP(OCF_Activity_Template_Table[[#This Row],[GL_Other]],GL_Acct_to_Clearing_Acct[Clearing Acct],1,FALSE)=OCF_Activity_Template_Table[[#This Row],[GL_Other]],FALSE)</f>
        <v>0</v>
      </c>
      <c r="M43" s="51" t="b">
        <f>NOT(ISERROR(VLOOKUP(OCF_Activity_Template_Table[[#This Row],[GL_Other]],GL_Acct_to_Clearing_Acct[#All],2,FALSE)))</f>
        <v>0</v>
      </c>
      <c r="N43" s="51">
        <v>0</v>
      </c>
      <c r="O43" s="61"/>
      <c r="P43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43" s="15">
        <f>'Input &amp; Assumptions'!$C$11</f>
        <v>42215</v>
      </c>
      <c r="T43" s="15">
        <f>'Input &amp; Assumptions'!$C$12</f>
        <v>42215</v>
      </c>
      <c r="U43" t="str">
        <f>IF(OCF_Activity_Template_Table[[#This Row],[BNS Amount to Clear]]&gt;=0,"40","50")</f>
        <v>40</v>
      </c>
      <c r="V43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6098000</v>
      </c>
      <c r="W43">
        <v>366</v>
      </c>
      <c r="X43" t="str">
        <f>IFERROR(VLOOKUP(OCF_Activity_Template_Table[[#This Row],[HFM_Account]],HFM_Acct_to_CC[#All],2,FALSE),"")</f>
        <v>TBD</v>
      </c>
      <c r="Y43" t="str">
        <f>IF(OCF_Activity_Template_Table[[#This Row],[Trading_Partner]]="","",OCF_Activity_Template_Table[[#This Row],[Trading_Partner]])</f>
        <v/>
      </c>
      <c r="Z43" s="51">
        <f>ROUND(ABS(OCF_Activity_Template_Table[[#This Row],[BNS Amount to Clear]]),2)</f>
        <v>0</v>
      </c>
      <c r="AA43" t="str">
        <f>"Clear BNS activity from "&amp;OCF_Activity_Template_Table[[#This Row],[GL_Other]]</f>
        <v>Clear BNS activity from 6098000</v>
      </c>
    </row>
    <row r="44" spans="1:27" x14ac:dyDescent="0.25">
      <c r="A44" s="10" t="s">
        <v>83</v>
      </c>
      <c r="B44" s="10" t="s">
        <v>8</v>
      </c>
      <c r="C44" t="s">
        <v>1579</v>
      </c>
      <c r="D44" t="str">
        <f>INDEX(Modded_AMF_Table[#All], MATCH($C44,Modded_AMF_Table[[#All],[GL_Other]],0), MATCH("GL_AcctDesc",Modded_AMF_Table[#Headers],0))</f>
        <v>Corp TEIS Allocation</v>
      </c>
      <c r="F44" s="51">
        <f t="array" ref="F4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41132.5</v>
      </c>
      <c r="G44" s="51">
        <f t="array" ref="G4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41132.5</v>
      </c>
      <c r="H44" s="51">
        <f t="array" ref="H4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44" s="51">
        <f t="array" ref="I44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44" s="51">
        <f>OCF_Activity_Template_Table[[#This Row],[BNS]]-OCF_Activity_Template_Table[[#This Row],[BNS PRE-Close Income - TE]]</f>
        <v>0</v>
      </c>
      <c r="K44" s="51">
        <v>0</v>
      </c>
      <c r="L44" s="51" t="b">
        <f>IFERROR(VLOOKUP(OCF_Activity_Template_Table[[#This Row],[GL_Other]],GL_Acct_to_Clearing_Acct[Clearing Acct],1,FALSE)=OCF_Activity_Template_Table[[#This Row],[GL_Other]],FALSE)</f>
        <v>0</v>
      </c>
      <c r="M44" s="51" t="b">
        <f>NOT(ISERROR(VLOOKUP(OCF_Activity_Template_Table[[#This Row],[GL_Other]],GL_Acct_to_Clearing_Acct[#All],2,FALSE)))</f>
        <v>0</v>
      </c>
      <c r="N44" s="51">
        <v>0</v>
      </c>
      <c r="O44" s="61"/>
      <c r="P44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44" s="15">
        <f>'Input &amp; Assumptions'!$C$11</f>
        <v>42215</v>
      </c>
      <c r="T44" s="15">
        <f>'Input &amp; Assumptions'!$C$12</f>
        <v>42215</v>
      </c>
      <c r="U44" t="str">
        <f>IF(OCF_Activity_Template_Table[[#This Row],[BNS Amount to Clear]]&gt;=0,"40","50")</f>
        <v>40</v>
      </c>
      <c r="V44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6095352</v>
      </c>
      <c r="W44">
        <v>366</v>
      </c>
      <c r="X44" t="str">
        <f>IFERROR(VLOOKUP(OCF_Activity_Template_Table[[#This Row],[HFM_Account]],HFM_Acct_to_CC[#All],2,FALSE),"")</f>
        <v>TBD</v>
      </c>
      <c r="Y44" t="str">
        <f>IF(OCF_Activity_Template_Table[[#This Row],[Trading_Partner]]="","",OCF_Activity_Template_Table[[#This Row],[Trading_Partner]])</f>
        <v/>
      </c>
      <c r="Z44" s="51">
        <f>ROUND(ABS(OCF_Activity_Template_Table[[#This Row],[BNS Amount to Clear]]),2)</f>
        <v>0</v>
      </c>
      <c r="AA44" t="str">
        <f>"Clear BNS activity from "&amp;OCF_Activity_Template_Table[[#This Row],[GL_Other]]</f>
        <v>Clear BNS activity from 6095352</v>
      </c>
    </row>
    <row r="45" spans="1:27" x14ac:dyDescent="0.25">
      <c r="A45" s="10" t="s">
        <v>83</v>
      </c>
      <c r="B45" s="10" t="s">
        <v>10</v>
      </c>
      <c r="C45" t="s">
        <v>1330</v>
      </c>
      <c r="D45" t="str">
        <f>INDEX(Modded_AMF_Table[#All], MATCH($C45,Modded_AMF_Table[[#All],[GL_Other]],0), MATCH("GL_AcctDesc",Modded_AMF_Table[#Headers],0))</f>
        <v>Salaries or Wages</v>
      </c>
      <c r="F45" s="51">
        <f t="array" ref="F4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436113.7</v>
      </c>
      <c r="G45" s="51">
        <f t="array" ref="G4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293737.7</v>
      </c>
      <c r="H45" s="51">
        <f t="array" ref="H4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142376</v>
      </c>
      <c r="I45" s="51">
        <f t="array" ref="I45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118468</v>
      </c>
      <c r="J45" s="51">
        <f>OCF_Activity_Template_Table[[#This Row],[BNS]]-OCF_Activity_Template_Table[[#This Row],[BNS PRE-Close Income - TE]]</f>
        <v>23908</v>
      </c>
      <c r="K45" s="51">
        <v>0</v>
      </c>
      <c r="L45" s="51" t="b">
        <f>IFERROR(VLOOKUP(OCF_Activity_Template_Table[[#This Row],[GL_Other]],GL_Acct_to_Clearing_Acct[Clearing Acct],1,FALSE)=OCF_Activity_Template_Table[[#This Row],[GL_Other]],FALSE)</f>
        <v>0</v>
      </c>
      <c r="M45" s="51" t="b">
        <f>NOT(ISERROR(VLOOKUP(OCF_Activity_Template_Table[[#This Row],[GL_Other]],GL_Acct_to_Clearing_Acct[#All],2,FALSE)))</f>
        <v>0</v>
      </c>
      <c r="N45" s="51">
        <v>0</v>
      </c>
      <c r="O45" s="61"/>
      <c r="P45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-23908</v>
      </c>
      <c r="S45" s="15">
        <f>'Input &amp; Assumptions'!$C$11</f>
        <v>42215</v>
      </c>
      <c r="T45" s="15">
        <f>'Input &amp; Assumptions'!$C$12</f>
        <v>42215</v>
      </c>
      <c r="U45" t="str">
        <f>IF(OCF_Activity_Template_Table[[#This Row],[BNS Amount to Clear]]&gt;=0,"40","50")</f>
        <v>50</v>
      </c>
      <c r="V45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6023000</v>
      </c>
      <c r="W45">
        <v>366</v>
      </c>
      <c r="X45" t="str">
        <f>IFERROR(VLOOKUP(OCF_Activity_Template_Table[[#This Row],[HFM_Account]],HFM_Acct_to_CC[#All],2,FALSE),"")</f>
        <v>TBD</v>
      </c>
      <c r="Y45" t="str">
        <f>IF(OCF_Activity_Template_Table[[#This Row],[Trading_Partner]]="","",OCF_Activity_Template_Table[[#This Row],[Trading_Partner]])</f>
        <v/>
      </c>
      <c r="Z45" s="51">
        <f>ROUND(ABS(OCF_Activity_Template_Table[[#This Row],[BNS Amount to Clear]]),2)</f>
        <v>23908</v>
      </c>
      <c r="AA45" t="str">
        <f>"Clear BNS activity from "&amp;OCF_Activity_Template_Table[[#This Row],[GL_Other]]</f>
        <v>Clear BNS activity from 6023000</v>
      </c>
    </row>
    <row r="46" spans="1:27" x14ac:dyDescent="0.25">
      <c r="A46" s="10" t="s">
        <v>83</v>
      </c>
      <c r="B46" s="10" t="s">
        <v>10</v>
      </c>
      <c r="C46" t="s">
        <v>1449</v>
      </c>
      <c r="D46" t="str">
        <f>INDEX(Modded_AMF_Table[#All], MATCH($C46,Modded_AMF_Table[[#All],[GL_Other]],0), MATCH("GL_AcctDesc",Modded_AMF_Table[#Headers],0))</f>
        <v>Salary - Sickleave</v>
      </c>
      <c r="F46" s="51">
        <f t="array" ref="F4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2530.2599999999998</v>
      </c>
      <c r="G46" s="51">
        <f t="array" ref="G4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1618.86</v>
      </c>
      <c r="H46" s="51">
        <f t="array" ref="H4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911.4</v>
      </c>
      <c r="I46" s="51">
        <f t="array" ref="I46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911.4</v>
      </c>
      <c r="J46" s="51">
        <f>OCF_Activity_Template_Table[[#This Row],[BNS]]-OCF_Activity_Template_Table[[#This Row],[BNS PRE-Close Income - TE]]</f>
        <v>0</v>
      </c>
      <c r="K46" s="51">
        <v>0</v>
      </c>
      <c r="L46" s="51" t="b">
        <f>IFERROR(VLOOKUP(OCF_Activity_Template_Table[[#This Row],[GL_Other]],GL_Acct_to_Clearing_Acct[Clearing Acct],1,FALSE)=OCF_Activity_Template_Table[[#This Row],[GL_Other]],FALSE)</f>
        <v>0</v>
      </c>
      <c r="M46" s="51" t="b">
        <f>NOT(ISERROR(VLOOKUP(OCF_Activity_Template_Table[[#This Row],[GL_Other]],GL_Acct_to_Clearing_Acct[#All],2,FALSE)))</f>
        <v>0</v>
      </c>
      <c r="N46" s="51">
        <v>0</v>
      </c>
      <c r="O46" s="61"/>
      <c r="P46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46" s="15">
        <f>'Input &amp; Assumptions'!$C$11</f>
        <v>42215</v>
      </c>
      <c r="T46" s="15">
        <f>'Input &amp; Assumptions'!$C$12</f>
        <v>42215</v>
      </c>
      <c r="U46" t="str">
        <f>IF(OCF_Activity_Template_Table[[#This Row],[BNS Amount to Clear]]&gt;=0,"40","50")</f>
        <v>40</v>
      </c>
      <c r="V46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6023012</v>
      </c>
      <c r="W46">
        <v>366</v>
      </c>
      <c r="X46" t="str">
        <f>IFERROR(VLOOKUP(OCF_Activity_Template_Table[[#This Row],[HFM_Account]],HFM_Acct_to_CC[#All],2,FALSE),"")</f>
        <v>TBD</v>
      </c>
      <c r="Y46" t="str">
        <f>IF(OCF_Activity_Template_Table[[#This Row],[Trading_Partner]]="","",OCF_Activity_Template_Table[[#This Row],[Trading_Partner]])</f>
        <v/>
      </c>
      <c r="Z46" s="51">
        <f>ROUND(ABS(OCF_Activity_Template_Table[[#This Row],[BNS Amount to Clear]]),2)</f>
        <v>0</v>
      </c>
      <c r="AA46" t="str">
        <f>"Clear BNS activity from "&amp;OCF_Activity_Template_Table[[#This Row],[GL_Other]]</f>
        <v>Clear BNS activity from 6023012</v>
      </c>
    </row>
    <row r="47" spans="1:27" x14ac:dyDescent="0.25">
      <c r="A47" s="10" t="s">
        <v>83</v>
      </c>
      <c r="B47" s="10" t="s">
        <v>10</v>
      </c>
      <c r="C47" t="s">
        <v>1452</v>
      </c>
      <c r="D47" t="str">
        <f>INDEX(Modded_AMF_Table[#All], MATCH($C47,Modded_AMF_Table[[#All],[GL_Other]],0), MATCH("GL_AcctDesc",Modded_AMF_Table[#Headers],0))</f>
        <v>Salary - Special Pay</v>
      </c>
      <c r="F47" s="51">
        <f t="array" ref="F4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-2530.2599999999998</v>
      </c>
      <c r="G47" s="51">
        <f t="array" ref="G4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-1618.86</v>
      </c>
      <c r="H47" s="51">
        <f t="array" ref="H4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-911.4</v>
      </c>
      <c r="I47" s="51">
        <f t="array" ref="I47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-911.4</v>
      </c>
      <c r="J47" s="51">
        <f>OCF_Activity_Template_Table[[#This Row],[BNS]]-OCF_Activity_Template_Table[[#This Row],[BNS PRE-Close Income - TE]]</f>
        <v>0</v>
      </c>
      <c r="K47" s="51">
        <v>0</v>
      </c>
      <c r="L47" s="51" t="b">
        <f>IFERROR(VLOOKUP(OCF_Activity_Template_Table[[#This Row],[GL_Other]],GL_Acct_to_Clearing_Acct[Clearing Acct],1,FALSE)=OCF_Activity_Template_Table[[#This Row],[GL_Other]],FALSE)</f>
        <v>0</v>
      </c>
      <c r="M47" s="51" t="b">
        <f>NOT(ISERROR(VLOOKUP(OCF_Activity_Template_Table[[#This Row],[GL_Other]],GL_Acct_to_Clearing_Acct[#All],2,FALSE)))</f>
        <v>0</v>
      </c>
      <c r="N47" s="51">
        <v>0</v>
      </c>
      <c r="O47" s="61"/>
      <c r="P47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47" s="15">
        <f>'Input &amp; Assumptions'!$C$11</f>
        <v>42215</v>
      </c>
      <c r="T47" s="15">
        <f>'Input &amp; Assumptions'!$C$12</f>
        <v>42215</v>
      </c>
      <c r="U47" t="str">
        <f>IF(OCF_Activity_Template_Table[[#This Row],[BNS Amount to Clear]]&gt;=0,"40","50")</f>
        <v>40</v>
      </c>
      <c r="V47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6023013</v>
      </c>
      <c r="W47">
        <v>366</v>
      </c>
      <c r="X47" t="str">
        <f>IFERROR(VLOOKUP(OCF_Activity_Template_Table[[#This Row],[HFM_Account]],HFM_Acct_to_CC[#All],2,FALSE),"")</f>
        <v>TBD</v>
      </c>
      <c r="Y47" t="str">
        <f>IF(OCF_Activity_Template_Table[[#This Row],[Trading_Partner]]="","",OCF_Activity_Template_Table[[#This Row],[Trading_Partner]])</f>
        <v/>
      </c>
      <c r="Z47" s="51">
        <f>ROUND(ABS(OCF_Activity_Template_Table[[#This Row],[BNS Amount to Clear]]),2)</f>
        <v>0</v>
      </c>
      <c r="AA47" t="str">
        <f>"Clear BNS activity from "&amp;OCF_Activity_Template_Table[[#This Row],[GL_Other]]</f>
        <v>Clear BNS activity from 6023013</v>
      </c>
    </row>
    <row r="48" spans="1:27" x14ac:dyDescent="0.25">
      <c r="A48" s="10" t="s">
        <v>83</v>
      </c>
      <c r="B48" s="10" t="s">
        <v>10</v>
      </c>
      <c r="C48" t="s">
        <v>1333</v>
      </c>
      <c r="D48" t="str">
        <f>INDEX(Modded_AMF_Table[#All], MATCH($C48,Modded_AMF_Table[[#All],[GL_Other]],0), MATCH("GL_AcctDesc",Modded_AMF_Table[#Headers],0))</f>
        <v>Salary - Vacation Average</v>
      </c>
      <c r="F48" s="51">
        <f t="array" ref="F4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34483.339999999997</v>
      </c>
      <c r="G48" s="51">
        <f t="array" ref="G4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25383.69</v>
      </c>
      <c r="H48" s="51">
        <f t="array" ref="H4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9099.65</v>
      </c>
      <c r="I48" s="51">
        <f t="array" ref="I48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3474.68</v>
      </c>
      <c r="J48" s="51">
        <f>OCF_Activity_Template_Table[[#This Row],[BNS]]-OCF_Activity_Template_Table[[#This Row],[BNS PRE-Close Income - TE]]</f>
        <v>5624.9699999999993</v>
      </c>
      <c r="K48" s="51">
        <v>0</v>
      </c>
      <c r="L48" s="51" t="b">
        <f>IFERROR(VLOOKUP(OCF_Activity_Template_Table[[#This Row],[GL_Other]],GL_Acct_to_Clearing_Acct[Clearing Acct],1,FALSE)=OCF_Activity_Template_Table[[#This Row],[GL_Other]],FALSE)</f>
        <v>0</v>
      </c>
      <c r="M48" s="51" t="b">
        <f>NOT(ISERROR(VLOOKUP(OCF_Activity_Template_Table[[#This Row],[GL_Other]],GL_Acct_to_Clearing_Acct[#All],2,FALSE)))</f>
        <v>0</v>
      </c>
      <c r="N48" s="51">
        <v>0</v>
      </c>
      <c r="O48" s="61"/>
      <c r="P48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-5624.9699999999993</v>
      </c>
      <c r="S48" s="15">
        <f>'Input &amp; Assumptions'!$C$11</f>
        <v>42215</v>
      </c>
      <c r="T48" s="15">
        <f>'Input &amp; Assumptions'!$C$12</f>
        <v>42215</v>
      </c>
      <c r="U48" t="str">
        <f>IF(OCF_Activity_Template_Table[[#This Row],[BNS Amount to Clear]]&gt;=0,"40","50")</f>
        <v>50</v>
      </c>
      <c r="V48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6023014</v>
      </c>
      <c r="W48">
        <v>366</v>
      </c>
      <c r="X48" t="str">
        <f>IFERROR(VLOOKUP(OCF_Activity_Template_Table[[#This Row],[HFM_Account]],HFM_Acct_to_CC[#All],2,FALSE),"")</f>
        <v>TBD</v>
      </c>
      <c r="Y48" t="str">
        <f>IF(OCF_Activity_Template_Table[[#This Row],[Trading_Partner]]="","",OCF_Activity_Template_Table[[#This Row],[Trading_Partner]])</f>
        <v/>
      </c>
      <c r="Z48" s="51">
        <f>ROUND(ABS(OCF_Activity_Template_Table[[#This Row],[BNS Amount to Clear]]),2)</f>
        <v>5624.97</v>
      </c>
      <c r="AA48" t="str">
        <f>"Clear BNS activity from "&amp;OCF_Activity_Template_Table[[#This Row],[GL_Other]]</f>
        <v>Clear BNS activity from 6023014</v>
      </c>
    </row>
    <row r="49" spans="1:27" x14ac:dyDescent="0.25">
      <c r="A49" s="10" t="s">
        <v>83</v>
      </c>
      <c r="B49" s="10" t="s">
        <v>10</v>
      </c>
      <c r="C49" t="s">
        <v>1337</v>
      </c>
      <c r="D49" t="str">
        <f>INDEX(Modded_AMF_Table[#All], MATCH($C49,Modded_AMF_Table[[#All],[GL_Other]],0), MATCH("GL_AcctDesc",Modded_AMF_Table[#Headers],0))</f>
        <v>Salary - Absence Average</v>
      </c>
      <c r="F49" s="51">
        <f t="array" ref="F4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-20778.05</v>
      </c>
      <c r="G49" s="51">
        <f t="array" ref="G4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-14902.22</v>
      </c>
      <c r="H49" s="51">
        <f t="array" ref="H4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-5875.83</v>
      </c>
      <c r="I49" s="51">
        <f t="array" ref="I49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-2189.25</v>
      </c>
      <c r="J49" s="51">
        <f>OCF_Activity_Template_Table[[#This Row],[BNS]]-OCF_Activity_Template_Table[[#This Row],[BNS PRE-Close Income - TE]]</f>
        <v>-3686.58</v>
      </c>
      <c r="K49" s="51">
        <v>0</v>
      </c>
      <c r="L49" s="51" t="b">
        <f>IFERROR(VLOOKUP(OCF_Activity_Template_Table[[#This Row],[GL_Other]],GL_Acct_to_Clearing_Acct[Clearing Acct],1,FALSE)=OCF_Activity_Template_Table[[#This Row],[GL_Other]],FALSE)</f>
        <v>0</v>
      </c>
      <c r="M49" s="51" t="b">
        <f>NOT(ISERROR(VLOOKUP(OCF_Activity_Template_Table[[#This Row],[GL_Other]],GL_Acct_to_Clearing_Acct[#All],2,FALSE)))</f>
        <v>0</v>
      </c>
      <c r="N49" s="51">
        <v>0</v>
      </c>
      <c r="O49" s="61"/>
      <c r="P49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3686.58</v>
      </c>
      <c r="S49" s="15">
        <f>'Input &amp; Assumptions'!$C$11</f>
        <v>42215</v>
      </c>
      <c r="T49" s="15">
        <f>'Input &amp; Assumptions'!$C$12</f>
        <v>42215</v>
      </c>
      <c r="U49" t="str">
        <f>IF(OCF_Activity_Template_Table[[#This Row],[BNS Amount to Clear]]&gt;=0,"40","50")</f>
        <v>40</v>
      </c>
      <c r="V49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6023015</v>
      </c>
      <c r="W49">
        <v>366</v>
      </c>
      <c r="X49" t="str">
        <f>IFERROR(VLOOKUP(OCF_Activity_Template_Table[[#This Row],[HFM_Account]],HFM_Acct_to_CC[#All],2,FALSE),"")</f>
        <v>TBD</v>
      </c>
      <c r="Y49" t="str">
        <f>IF(OCF_Activity_Template_Table[[#This Row],[Trading_Partner]]="","",OCF_Activity_Template_Table[[#This Row],[Trading_Partner]])</f>
        <v/>
      </c>
      <c r="Z49" s="51">
        <f>ROUND(ABS(OCF_Activity_Template_Table[[#This Row],[BNS Amount to Clear]]),2)</f>
        <v>3686.58</v>
      </c>
      <c r="AA49" t="str">
        <f>"Clear BNS activity from "&amp;OCF_Activity_Template_Table[[#This Row],[GL_Other]]</f>
        <v>Clear BNS activity from 6023015</v>
      </c>
    </row>
    <row r="50" spans="1:27" x14ac:dyDescent="0.25">
      <c r="A50" s="10" t="s">
        <v>83</v>
      </c>
      <c r="B50" s="10" t="s">
        <v>10</v>
      </c>
      <c r="C50" t="s">
        <v>1340</v>
      </c>
      <c r="D50" t="str">
        <f>INDEX(Modded_AMF_Table[#All], MATCH($C50,Modded_AMF_Table[[#All],[GL_Other]],0), MATCH("GL_AcctDesc",Modded_AMF_Table[#Headers],0))</f>
        <v>Personal Benefits- Cafeteria</v>
      </c>
      <c r="F50" s="51">
        <f t="array" ref="F5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2391</v>
      </c>
      <c r="G50" s="51">
        <f t="array" ref="G5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1417</v>
      </c>
      <c r="H50" s="51">
        <f t="array" ref="H5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974</v>
      </c>
      <c r="I50" s="51">
        <f t="array" ref="I50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794</v>
      </c>
      <c r="J50" s="51">
        <f>OCF_Activity_Template_Table[[#This Row],[BNS]]-OCF_Activity_Template_Table[[#This Row],[BNS PRE-Close Income - TE]]</f>
        <v>180</v>
      </c>
      <c r="K50" s="51">
        <v>0</v>
      </c>
      <c r="L50" s="51" t="b">
        <f>IFERROR(VLOOKUP(OCF_Activity_Template_Table[[#This Row],[GL_Other]],GL_Acct_to_Clearing_Acct[Clearing Acct],1,FALSE)=OCF_Activity_Template_Table[[#This Row],[GL_Other]],FALSE)</f>
        <v>0</v>
      </c>
      <c r="M50" s="51" t="b">
        <f>NOT(ISERROR(VLOOKUP(OCF_Activity_Template_Table[[#This Row],[GL_Other]],GL_Acct_to_Clearing_Acct[#All],2,FALSE)))</f>
        <v>0</v>
      </c>
      <c r="N50" s="51">
        <v>0</v>
      </c>
      <c r="O50" s="61"/>
      <c r="P50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-180</v>
      </c>
      <c r="S50" s="15">
        <f>'Input &amp; Assumptions'!$C$11</f>
        <v>42215</v>
      </c>
      <c r="T50" s="15">
        <f>'Input &amp; Assumptions'!$C$12</f>
        <v>42215</v>
      </c>
      <c r="U50" t="str">
        <f>IF(OCF_Activity_Template_Table[[#This Row],[BNS Amount to Clear]]&gt;=0,"40","50")</f>
        <v>50</v>
      </c>
      <c r="V50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6049010</v>
      </c>
      <c r="W50">
        <v>366</v>
      </c>
      <c r="X50" t="str">
        <f>IFERROR(VLOOKUP(OCF_Activity_Template_Table[[#This Row],[HFM_Account]],HFM_Acct_to_CC[#All],2,FALSE),"")</f>
        <v>TBD</v>
      </c>
      <c r="Y50" t="str">
        <f>IF(OCF_Activity_Template_Table[[#This Row],[Trading_Partner]]="","",OCF_Activity_Template_Table[[#This Row],[Trading_Partner]])</f>
        <v/>
      </c>
      <c r="Z50" s="51">
        <f>ROUND(ABS(OCF_Activity_Template_Table[[#This Row],[BNS Amount to Clear]]),2)</f>
        <v>180</v>
      </c>
      <c r="AA50" t="str">
        <f>"Clear BNS activity from "&amp;OCF_Activity_Template_Table[[#This Row],[GL_Other]]</f>
        <v>Clear BNS activity from 6049010</v>
      </c>
    </row>
    <row r="51" spans="1:27" x14ac:dyDescent="0.25">
      <c r="A51" s="10" t="s">
        <v>83</v>
      </c>
      <c r="B51" s="10" t="s">
        <v>10</v>
      </c>
      <c r="C51" t="s">
        <v>1477</v>
      </c>
      <c r="D51" t="str">
        <f>INDEX(Modded_AMF_Table[#All], MATCH($C51,Modded_AMF_Table[[#All],[GL_Other]],0), MATCH("GL_AcctDesc",Modded_AMF_Table[#Headers],0))</f>
        <v>Home Office Allowance</v>
      </c>
      <c r="F51" s="51">
        <f t="array" ref="F5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1500</v>
      </c>
      <c r="G51" s="51">
        <f t="array" ref="G5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1500</v>
      </c>
      <c r="H51" s="51">
        <f t="array" ref="H5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51" s="51">
        <f t="array" ref="I51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51" s="51">
        <f>OCF_Activity_Template_Table[[#This Row],[BNS]]-OCF_Activity_Template_Table[[#This Row],[BNS PRE-Close Income - TE]]</f>
        <v>0</v>
      </c>
      <c r="K51" s="51">
        <v>0</v>
      </c>
      <c r="L51" s="51" t="b">
        <f>IFERROR(VLOOKUP(OCF_Activity_Template_Table[[#This Row],[GL_Other]],GL_Acct_to_Clearing_Acct[Clearing Acct],1,FALSE)=OCF_Activity_Template_Table[[#This Row],[GL_Other]],FALSE)</f>
        <v>0</v>
      </c>
      <c r="M51" s="51" t="b">
        <f>NOT(ISERROR(VLOOKUP(OCF_Activity_Template_Table[[#This Row],[GL_Other]],GL_Acct_to_Clearing_Acct[#All],2,FALSE)))</f>
        <v>0</v>
      </c>
      <c r="N51" s="51">
        <v>0</v>
      </c>
      <c r="O51" s="61"/>
      <c r="P51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51" s="15">
        <f>'Input &amp; Assumptions'!$C$11</f>
        <v>42215</v>
      </c>
      <c r="T51" s="15">
        <f>'Input &amp; Assumptions'!$C$12</f>
        <v>42215</v>
      </c>
      <c r="U51" t="str">
        <f>IF(OCF_Activity_Template_Table[[#This Row],[BNS Amount to Clear]]&gt;=0,"40","50")</f>
        <v>40</v>
      </c>
      <c r="V51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6049067</v>
      </c>
      <c r="W51">
        <v>366</v>
      </c>
      <c r="X51" t="str">
        <f>IFERROR(VLOOKUP(OCF_Activity_Template_Table[[#This Row],[HFM_Account]],HFM_Acct_to_CC[#All],2,FALSE),"")</f>
        <v>TBD</v>
      </c>
      <c r="Y51" t="str">
        <f>IF(OCF_Activity_Template_Table[[#This Row],[Trading_Partner]]="","",OCF_Activity_Template_Table[[#This Row],[Trading_Partner]])</f>
        <v/>
      </c>
      <c r="Z51" s="51">
        <f>ROUND(ABS(OCF_Activity_Template_Table[[#This Row],[BNS Amount to Clear]]),2)</f>
        <v>0</v>
      </c>
      <c r="AA51" t="str">
        <f>"Clear BNS activity from "&amp;OCF_Activity_Template_Table[[#This Row],[GL_Other]]</f>
        <v>Clear BNS activity from 6049067</v>
      </c>
    </row>
    <row r="52" spans="1:27" x14ac:dyDescent="0.25">
      <c r="A52" s="10" t="s">
        <v>83</v>
      </c>
      <c r="B52" s="10" t="s">
        <v>10</v>
      </c>
      <c r="C52" t="s">
        <v>1343</v>
      </c>
      <c r="D52" t="str">
        <f>INDEX(Modded_AMF_Table[#All], MATCH($C52,Modded_AMF_Table[[#All],[GL_Other]],0), MATCH("GL_AcctDesc",Modded_AMF_Table[#Headers],0))</f>
        <v>Personal Benefits- Other</v>
      </c>
      <c r="F52" s="51">
        <f t="array" ref="F5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2063.34</v>
      </c>
      <c r="G52" s="51">
        <f t="array" ref="G5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1523.3400000000001</v>
      </c>
      <c r="H52" s="51">
        <f t="array" ref="H5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540</v>
      </c>
      <c r="I52" s="51">
        <f t="array" ref="I52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450</v>
      </c>
      <c r="J52" s="51">
        <f>OCF_Activity_Template_Table[[#This Row],[BNS]]-OCF_Activity_Template_Table[[#This Row],[BNS PRE-Close Income - TE]]</f>
        <v>90</v>
      </c>
      <c r="K52" s="51">
        <v>0</v>
      </c>
      <c r="L52" s="51" t="b">
        <f>IFERROR(VLOOKUP(OCF_Activity_Template_Table[[#This Row],[GL_Other]],GL_Acct_to_Clearing_Acct[Clearing Acct],1,FALSE)=OCF_Activity_Template_Table[[#This Row],[GL_Other]],FALSE)</f>
        <v>0</v>
      </c>
      <c r="M52" s="51" t="b">
        <f>NOT(ISERROR(VLOOKUP(OCF_Activity_Template_Table[[#This Row],[GL_Other]],GL_Acct_to_Clearing_Acct[#All],2,FALSE)))</f>
        <v>0</v>
      </c>
      <c r="N52" s="51">
        <v>0</v>
      </c>
      <c r="O52" s="61"/>
      <c r="P52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-90</v>
      </c>
      <c r="S52" s="15">
        <f>'Input &amp; Assumptions'!$C$11</f>
        <v>42215</v>
      </c>
      <c r="T52" s="15">
        <f>'Input &amp; Assumptions'!$C$12</f>
        <v>42215</v>
      </c>
      <c r="U52" t="str">
        <f>IF(OCF_Activity_Template_Table[[#This Row],[BNS Amount to Clear]]&gt;=0,"40","50")</f>
        <v>50</v>
      </c>
      <c r="V52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6049070</v>
      </c>
      <c r="W52">
        <v>366</v>
      </c>
      <c r="X52" t="str">
        <f>IFERROR(VLOOKUP(OCF_Activity_Template_Table[[#This Row],[HFM_Account]],HFM_Acct_to_CC[#All],2,FALSE),"")</f>
        <v>TBD</v>
      </c>
      <c r="Y52" t="str">
        <f>IF(OCF_Activity_Template_Table[[#This Row],[Trading_Partner]]="","",OCF_Activity_Template_Table[[#This Row],[Trading_Partner]])</f>
        <v/>
      </c>
      <c r="Z52" s="51">
        <f>ROUND(ABS(OCF_Activity_Template_Table[[#This Row],[BNS Amount to Clear]]),2)</f>
        <v>90</v>
      </c>
      <c r="AA52" t="str">
        <f>"Clear BNS activity from "&amp;OCF_Activity_Template_Table[[#This Row],[GL_Other]]</f>
        <v>Clear BNS activity from 6049070</v>
      </c>
    </row>
    <row r="53" spans="1:27" x14ac:dyDescent="0.25">
      <c r="A53" s="10" t="s">
        <v>83</v>
      </c>
      <c r="B53" s="10" t="s">
        <v>10</v>
      </c>
      <c r="C53" t="s">
        <v>1014</v>
      </c>
      <c r="D53" t="str">
        <f>INDEX(Modded_AMF_Table[#All], MATCH($C53,Modded_AMF_Table[[#All],[GL_Other]],0), MATCH("GL_AcctDesc",Modded_AMF_Table[#Headers],0))</f>
        <v>Depreciation Mach &amp; Equipment</v>
      </c>
      <c r="F53" s="51">
        <f t="array" ref="F5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203</v>
      </c>
      <c r="G53" s="51">
        <f t="array" ref="G5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0</v>
      </c>
      <c r="H53" s="51">
        <f t="array" ref="H5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203</v>
      </c>
      <c r="I53" s="51">
        <f t="array" ref="I53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203</v>
      </c>
      <c r="J53" s="51">
        <f>OCF_Activity_Template_Table[[#This Row],[BNS]]-OCF_Activity_Template_Table[[#This Row],[BNS PRE-Close Income - TE]]</f>
        <v>0</v>
      </c>
      <c r="K53" s="51">
        <v>0</v>
      </c>
      <c r="L53" s="51" t="b">
        <f>IFERROR(VLOOKUP(OCF_Activity_Template_Table[[#This Row],[GL_Other]],GL_Acct_to_Clearing_Acct[Clearing Acct],1,FALSE)=OCF_Activity_Template_Table[[#This Row],[GL_Other]],FALSE)</f>
        <v>0</v>
      </c>
      <c r="M53" s="51" t="b">
        <f>NOT(ISERROR(VLOOKUP(OCF_Activity_Template_Table[[#This Row],[GL_Other]],GL_Acct_to_Clearing_Acct[#All],2,FALSE)))</f>
        <v>1</v>
      </c>
      <c r="N53" s="51">
        <v>0</v>
      </c>
      <c r="O53" s="61"/>
      <c r="P53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53" s="15">
        <f>'Input &amp; Assumptions'!$C$11</f>
        <v>42215</v>
      </c>
      <c r="T53" s="15">
        <f>'Input &amp; Assumptions'!$C$12</f>
        <v>42215</v>
      </c>
      <c r="U53" t="str">
        <f>IF(OCF_Activity_Template_Table[[#This Row],[BNS Amount to Clear]]&gt;=0,"40","50")</f>
        <v>40</v>
      </c>
      <c r="V53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6050389</v>
      </c>
      <c r="W53">
        <v>366</v>
      </c>
      <c r="X53" t="str">
        <f>IFERROR(VLOOKUP(OCF_Activity_Template_Table[[#This Row],[HFM_Account]],HFM_Acct_to_CC[#All],2,FALSE),"")</f>
        <v>TBD</v>
      </c>
      <c r="Y53" t="str">
        <f>IF(OCF_Activity_Template_Table[[#This Row],[Trading_Partner]]="","",OCF_Activity_Template_Table[[#This Row],[Trading_Partner]])</f>
        <v/>
      </c>
      <c r="Z53" s="51">
        <f>ROUND(ABS(OCF_Activity_Template_Table[[#This Row],[BNS Amount to Clear]]),2)</f>
        <v>0</v>
      </c>
      <c r="AA53" t="str">
        <f>"Clear BNS activity from "&amp;OCF_Activity_Template_Table[[#This Row],[GL_Other]]</f>
        <v>Clear BNS activity from 6050310</v>
      </c>
    </row>
    <row r="54" spans="1:27" x14ac:dyDescent="0.25">
      <c r="A54" s="10" t="s">
        <v>83</v>
      </c>
      <c r="B54" s="10" t="s">
        <v>10</v>
      </c>
      <c r="C54" t="s">
        <v>1346</v>
      </c>
      <c r="D54" t="str">
        <f>INDEX(Modded_AMF_Table[#All], MATCH($C54,Modded_AMF_Table[[#All],[GL_Other]],0), MATCH("GL_AcctDesc",Modded_AMF_Table[#Headers],0))</f>
        <v>Equipment Rental - Computer</v>
      </c>
      <c r="F54" s="51">
        <f t="array" ref="F5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2880</v>
      </c>
      <c r="G54" s="51">
        <f t="array" ref="G5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1920</v>
      </c>
      <c r="H54" s="51">
        <f t="array" ref="H5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960</v>
      </c>
      <c r="I54" s="51">
        <f t="array" ref="I54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800</v>
      </c>
      <c r="J54" s="51">
        <f>OCF_Activity_Template_Table[[#This Row],[BNS]]-OCF_Activity_Template_Table[[#This Row],[BNS PRE-Close Income - TE]]</f>
        <v>160</v>
      </c>
      <c r="K54" s="51">
        <v>0</v>
      </c>
      <c r="L54" s="51" t="b">
        <f>IFERROR(VLOOKUP(OCF_Activity_Template_Table[[#This Row],[GL_Other]],GL_Acct_to_Clearing_Acct[Clearing Acct],1,FALSE)=OCF_Activity_Template_Table[[#This Row],[GL_Other]],FALSE)</f>
        <v>0</v>
      </c>
      <c r="M54" s="51" t="b">
        <f>NOT(ISERROR(VLOOKUP(OCF_Activity_Template_Table[[#This Row],[GL_Other]],GL_Acct_to_Clearing_Acct[#All],2,FALSE)))</f>
        <v>0</v>
      </c>
      <c r="N54" s="51">
        <v>0</v>
      </c>
      <c r="O54" s="61"/>
      <c r="P54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-160</v>
      </c>
      <c r="S54" s="15">
        <f>'Input &amp; Assumptions'!$C$11</f>
        <v>42215</v>
      </c>
      <c r="T54" s="15">
        <f>'Input &amp; Assumptions'!$C$12</f>
        <v>42215</v>
      </c>
      <c r="U54" t="str">
        <f>IF(OCF_Activity_Template_Table[[#This Row],[BNS Amount to Clear]]&gt;=0,"40","50")</f>
        <v>50</v>
      </c>
      <c r="V54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6051045</v>
      </c>
      <c r="W54">
        <v>366</v>
      </c>
      <c r="X54" t="str">
        <f>IFERROR(VLOOKUP(OCF_Activity_Template_Table[[#This Row],[HFM_Account]],HFM_Acct_to_CC[#All],2,FALSE),"")</f>
        <v>TBD</v>
      </c>
      <c r="Y54" t="str">
        <f>IF(OCF_Activity_Template_Table[[#This Row],[Trading_Partner]]="","",OCF_Activity_Template_Table[[#This Row],[Trading_Partner]])</f>
        <v/>
      </c>
      <c r="Z54" s="51">
        <f>ROUND(ABS(OCF_Activity_Template_Table[[#This Row],[BNS Amount to Clear]]),2)</f>
        <v>160</v>
      </c>
      <c r="AA54" t="str">
        <f>"Clear BNS activity from "&amp;OCF_Activity_Template_Table[[#This Row],[GL_Other]]</f>
        <v>Clear BNS activity from 6051045</v>
      </c>
    </row>
    <row r="55" spans="1:27" x14ac:dyDescent="0.25">
      <c r="A55" s="10" t="s">
        <v>83</v>
      </c>
      <c r="B55" s="10" t="s">
        <v>10</v>
      </c>
      <c r="C55" t="s">
        <v>1350</v>
      </c>
      <c r="D55" t="str">
        <f>INDEX(Modded_AMF_Table[#All], MATCH($C55,Modded_AMF_Table[[#All],[GL_Other]],0), MATCH("GL_AcctDesc",Modded_AMF_Table[#Headers],0))</f>
        <v>Telephone - Data</v>
      </c>
      <c r="F55" s="51">
        <f t="array" ref="F5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1782.86</v>
      </c>
      <c r="G55" s="51">
        <f t="array" ref="G5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1248.8699999999999</v>
      </c>
      <c r="H55" s="51">
        <f t="array" ref="H5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533.99</v>
      </c>
      <c r="I55" s="51">
        <f t="array" ref="I55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445.49</v>
      </c>
      <c r="J55" s="51">
        <f>OCF_Activity_Template_Table[[#This Row],[BNS]]-OCF_Activity_Template_Table[[#This Row],[BNS PRE-Close Income - TE]]</f>
        <v>88.5</v>
      </c>
      <c r="K55" s="51">
        <v>0</v>
      </c>
      <c r="L55" s="51" t="b">
        <f>IFERROR(VLOOKUP(OCF_Activity_Template_Table[[#This Row],[GL_Other]],GL_Acct_to_Clearing_Acct[Clearing Acct],1,FALSE)=OCF_Activity_Template_Table[[#This Row],[GL_Other]],FALSE)</f>
        <v>0</v>
      </c>
      <c r="M55" s="51" t="b">
        <f>NOT(ISERROR(VLOOKUP(OCF_Activity_Template_Table[[#This Row],[GL_Other]],GL_Acct_to_Clearing_Acct[#All],2,FALSE)))</f>
        <v>0</v>
      </c>
      <c r="N55" s="51">
        <v>0</v>
      </c>
      <c r="O55" s="61"/>
      <c r="P55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-88.5</v>
      </c>
      <c r="S55" s="15">
        <f>'Input &amp; Assumptions'!$C$11</f>
        <v>42215</v>
      </c>
      <c r="T55" s="15">
        <f>'Input &amp; Assumptions'!$C$12</f>
        <v>42215</v>
      </c>
      <c r="U55" t="str">
        <f>IF(OCF_Activity_Template_Table[[#This Row],[BNS Amount to Clear]]&gt;=0,"40","50")</f>
        <v>50</v>
      </c>
      <c r="V55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6056020</v>
      </c>
      <c r="W55">
        <v>366</v>
      </c>
      <c r="X55" t="str">
        <f>IFERROR(VLOOKUP(OCF_Activity_Template_Table[[#This Row],[HFM_Account]],HFM_Acct_to_CC[#All],2,FALSE),"")</f>
        <v>TBD</v>
      </c>
      <c r="Y55" t="str">
        <f>IF(OCF_Activity_Template_Table[[#This Row],[Trading_Partner]]="","",OCF_Activity_Template_Table[[#This Row],[Trading_Partner]])</f>
        <v/>
      </c>
      <c r="Z55" s="51">
        <f>ROUND(ABS(OCF_Activity_Template_Table[[#This Row],[BNS Amount to Clear]]),2)</f>
        <v>88.5</v>
      </c>
      <c r="AA55" t="str">
        <f>"Clear BNS activity from "&amp;OCF_Activity_Template_Table[[#This Row],[GL_Other]]</f>
        <v>Clear BNS activity from 6056020</v>
      </c>
    </row>
    <row r="56" spans="1:27" x14ac:dyDescent="0.25">
      <c r="A56" s="10" t="s">
        <v>83</v>
      </c>
      <c r="B56" s="10" t="s">
        <v>10</v>
      </c>
      <c r="C56" t="s">
        <v>1354</v>
      </c>
      <c r="D56" t="str">
        <f>INDEX(Modded_AMF_Table[#All], MATCH($C56,Modded_AMF_Table[[#All],[GL_Other]],0), MATCH("GL_AcctDesc",Modded_AMF_Table[#Headers],0))</f>
        <v>Telephone - Mobile</v>
      </c>
      <c r="F56" s="51">
        <f t="array" ref="F5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4447.1299999999992</v>
      </c>
      <c r="G56" s="51">
        <f t="array" ref="G5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3160.1299999999997</v>
      </c>
      <c r="H56" s="51">
        <f t="array" ref="H5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1287</v>
      </c>
      <c r="I56" s="51">
        <f t="array" ref="I56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1116.79</v>
      </c>
      <c r="J56" s="51">
        <f>OCF_Activity_Template_Table[[#This Row],[BNS]]-OCF_Activity_Template_Table[[#This Row],[BNS PRE-Close Income - TE]]</f>
        <v>170.21000000000004</v>
      </c>
      <c r="K56" s="51">
        <v>0</v>
      </c>
      <c r="L56" s="51" t="b">
        <f>IFERROR(VLOOKUP(OCF_Activity_Template_Table[[#This Row],[GL_Other]],GL_Acct_to_Clearing_Acct[Clearing Acct],1,FALSE)=OCF_Activity_Template_Table[[#This Row],[GL_Other]],FALSE)</f>
        <v>0</v>
      </c>
      <c r="M56" s="51" t="b">
        <f>NOT(ISERROR(VLOOKUP(OCF_Activity_Template_Table[[#This Row],[GL_Other]],GL_Acct_to_Clearing_Acct[#All],2,FALSE)))</f>
        <v>0</v>
      </c>
      <c r="N56" s="51">
        <v>0</v>
      </c>
      <c r="O56" s="61"/>
      <c r="P56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-170.21000000000004</v>
      </c>
      <c r="S56" s="15">
        <f>'Input &amp; Assumptions'!$C$11</f>
        <v>42215</v>
      </c>
      <c r="T56" s="15">
        <f>'Input &amp; Assumptions'!$C$12</f>
        <v>42215</v>
      </c>
      <c r="U56" t="str">
        <f>IF(OCF_Activity_Template_Table[[#This Row],[BNS Amount to Clear]]&gt;=0,"40","50")</f>
        <v>50</v>
      </c>
      <c r="V56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6056030</v>
      </c>
      <c r="W56">
        <v>366</v>
      </c>
      <c r="X56" t="str">
        <f>IFERROR(VLOOKUP(OCF_Activity_Template_Table[[#This Row],[HFM_Account]],HFM_Acct_to_CC[#All],2,FALSE),"")</f>
        <v>TBD</v>
      </c>
      <c r="Y56" t="str">
        <f>IF(OCF_Activity_Template_Table[[#This Row],[Trading_Partner]]="","",OCF_Activity_Template_Table[[#This Row],[Trading_Partner]])</f>
        <v/>
      </c>
      <c r="Z56" s="51">
        <f>ROUND(ABS(OCF_Activity_Template_Table[[#This Row],[BNS Amount to Clear]]),2)</f>
        <v>170.21</v>
      </c>
      <c r="AA56" t="str">
        <f>"Clear BNS activity from "&amp;OCF_Activity_Template_Table[[#This Row],[GL_Other]]</f>
        <v>Clear BNS activity from 6056030</v>
      </c>
    </row>
    <row r="57" spans="1:27" x14ac:dyDescent="0.25">
      <c r="A57" s="10" t="s">
        <v>83</v>
      </c>
      <c r="B57" s="10" t="s">
        <v>10</v>
      </c>
      <c r="C57" t="s">
        <v>1357</v>
      </c>
      <c r="D57" t="str">
        <f>INDEX(Modded_AMF_Table[#All], MATCH($C57,Modded_AMF_Table[[#All],[GL_Other]],0), MATCH("GL_AcctDesc",Modded_AMF_Table[#Headers],0))</f>
        <v>Telephone - Privat</v>
      </c>
      <c r="F57" s="51">
        <f t="array" ref="F5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1785.6</v>
      </c>
      <c r="G57" s="51">
        <f t="array" ref="G5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1190.3999999999999</v>
      </c>
      <c r="H57" s="51">
        <f t="array" ref="H5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595.20000000000005</v>
      </c>
      <c r="I57" s="51">
        <f t="array" ref="I57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496</v>
      </c>
      <c r="J57" s="51">
        <f>OCF_Activity_Template_Table[[#This Row],[BNS]]-OCF_Activity_Template_Table[[#This Row],[BNS PRE-Close Income - TE]]</f>
        <v>99.200000000000045</v>
      </c>
      <c r="K57" s="51">
        <v>0</v>
      </c>
      <c r="L57" s="51" t="b">
        <f>IFERROR(VLOOKUP(OCF_Activity_Template_Table[[#This Row],[GL_Other]],GL_Acct_to_Clearing_Acct[Clearing Acct],1,FALSE)=OCF_Activity_Template_Table[[#This Row],[GL_Other]],FALSE)</f>
        <v>0</v>
      </c>
      <c r="M57" s="51" t="b">
        <f>NOT(ISERROR(VLOOKUP(OCF_Activity_Template_Table[[#This Row],[GL_Other]],GL_Acct_to_Clearing_Acct[#All],2,FALSE)))</f>
        <v>0</v>
      </c>
      <c r="N57" s="51">
        <v>0</v>
      </c>
      <c r="O57" s="61"/>
      <c r="P57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-99.200000000000045</v>
      </c>
      <c r="S57" s="15">
        <f>'Input &amp; Assumptions'!$C$11</f>
        <v>42215</v>
      </c>
      <c r="T57" s="15">
        <f>'Input &amp; Assumptions'!$C$12</f>
        <v>42215</v>
      </c>
      <c r="U57" t="str">
        <f>IF(OCF_Activity_Template_Table[[#This Row],[BNS Amount to Clear]]&gt;=0,"40","50")</f>
        <v>50</v>
      </c>
      <c r="V57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6056090</v>
      </c>
      <c r="W57">
        <v>366</v>
      </c>
      <c r="X57" t="str">
        <f>IFERROR(VLOOKUP(OCF_Activity_Template_Table[[#This Row],[HFM_Account]],HFM_Acct_to_CC[#All],2,FALSE),"")</f>
        <v>TBD</v>
      </c>
      <c r="Y57" t="str">
        <f>IF(OCF_Activity_Template_Table[[#This Row],[Trading_Partner]]="","",OCF_Activity_Template_Table[[#This Row],[Trading_Partner]])</f>
        <v/>
      </c>
      <c r="Z57" s="51">
        <f>ROUND(ABS(OCF_Activity_Template_Table[[#This Row],[BNS Amount to Clear]]),2)</f>
        <v>99.2</v>
      </c>
      <c r="AA57" t="str">
        <f>"Clear BNS activity from "&amp;OCF_Activity_Template_Table[[#This Row],[GL_Other]]</f>
        <v>Clear BNS activity from 6056090</v>
      </c>
    </row>
    <row r="58" spans="1:27" x14ac:dyDescent="0.25">
      <c r="A58" s="10" t="s">
        <v>83</v>
      </c>
      <c r="B58" s="10" t="s">
        <v>10</v>
      </c>
      <c r="C58" t="s">
        <v>1360</v>
      </c>
      <c r="D58" t="str">
        <f>INDEX(Modded_AMF_Table[#All], MATCH($C58,Modded_AMF_Table[[#All],[GL_Other]],0), MATCH("GL_AcctDesc",Modded_AMF_Table[#Headers],0))</f>
        <v>Social Security Indirect</v>
      </c>
      <c r="F58" s="51">
        <f t="array" ref="F5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14129.380000000001</v>
      </c>
      <c r="G58" s="51">
        <f t="array" ref="G5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10487.42</v>
      </c>
      <c r="H58" s="51">
        <f t="array" ref="H5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3641.96</v>
      </c>
      <c r="I58" s="51">
        <f t="array" ref="I58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3053.98</v>
      </c>
      <c r="J58" s="51">
        <f>OCF_Activity_Template_Table[[#This Row],[BNS]]-OCF_Activity_Template_Table[[#This Row],[BNS PRE-Close Income - TE]]</f>
        <v>587.98</v>
      </c>
      <c r="K58" s="51">
        <v>0</v>
      </c>
      <c r="L58" s="51" t="b">
        <f>IFERROR(VLOOKUP(OCF_Activity_Template_Table[[#This Row],[GL_Other]],GL_Acct_to_Clearing_Acct[Clearing Acct],1,FALSE)=OCF_Activity_Template_Table[[#This Row],[GL_Other]],FALSE)</f>
        <v>0</v>
      </c>
      <c r="M58" s="51" t="b">
        <f>NOT(ISERROR(VLOOKUP(OCF_Activity_Template_Table[[#This Row],[GL_Other]],GL_Acct_to_Clearing_Acct[#All],2,FALSE)))</f>
        <v>0</v>
      </c>
      <c r="N58" s="51">
        <v>0</v>
      </c>
      <c r="O58" s="61"/>
      <c r="P58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-587.98</v>
      </c>
      <c r="S58" s="15">
        <f>'Input &amp; Assumptions'!$C$11</f>
        <v>42215</v>
      </c>
      <c r="T58" s="15">
        <f>'Input &amp; Assumptions'!$C$12</f>
        <v>42215</v>
      </c>
      <c r="U58" t="str">
        <f>IF(OCF_Activity_Template_Table[[#This Row],[BNS Amount to Clear]]&gt;=0,"40","50")</f>
        <v>50</v>
      </c>
      <c r="V58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6062110</v>
      </c>
      <c r="W58">
        <v>366</v>
      </c>
      <c r="X58" t="str">
        <f>IFERROR(VLOOKUP(OCF_Activity_Template_Table[[#This Row],[HFM_Account]],HFM_Acct_to_CC[#All],2,FALSE),"")</f>
        <v>TBD</v>
      </c>
      <c r="Y58" t="str">
        <f>IF(OCF_Activity_Template_Table[[#This Row],[Trading_Partner]]="","",OCF_Activity_Template_Table[[#This Row],[Trading_Partner]])</f>
        <v/>
      </c>
      <c r="Z58" s="51">
        <f>ROUND(ABS(OCF_Activity_Template_Table[[#This Row],[BNS Amount to Clear]]),2)</f>
        <v>587.98</v>
      </c>
      <c r="AA58" t="str">
        <f>"Clear BNS activity from "&amp;OCF_Activity_Template_Table[[#This Row],[GL_Other]]</f>
        <v>Clear BNS activity from 6062110</v>
      </c>
    </row>
    <row r="59" spans="1:27" x14ac:dyDescent="0.25">
      <c r="A59" s="10" t="s">
        <v>83</v>
      </c>
      <c r="B59" s="10" t="s">
        <v>10</v>
      </c>
      <c r="C59" t="s">
        <v>1364</v>
      </c>
      <c r="D59" t="str">
        <f>INDEX(Modded_AMF_Table[#All], MATCH($C59,Modded_AMF_Table[[#All],[GL_Other]],0), MATCH("GL_AcctDesc",Modded_AMF_Table[#Headers],0))</f>
        <v>Payroll Expenses - Bonus</v>
      </c>
      <c r="F59" s="51">
        <f t="array" ref="F5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-50723.71</v>
      </c>
      <c r="G59" s="51">
        <f t="array" ref="G5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-47147.81</v>
      </c>
      <c r="H59" s="51">
        <f t="array" ref="H5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-3575.9</v>
      </c>
      <c r="I59" s="51">
        <f t="array" ref="I59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-3575.9</v>
      </c>
      <c r="J59" s="51">
        <f>OCF_Activity_Template_Table[[#This Row],[BNS]]-OCF_Activity_Template_Table[[#This Row],[BNS PRE-Close Income - TE]]</f>
        <v>0</v>
      </c>
      <c r="K59" s="51">
        <v>0</v>
      </c>
      <c r="L59" s="51" t="b">
        <f>IFERROR(VLOOKUP(OCF_Activity_Template_Table[[#This Row],[GL_Other]],GL_Acct_to_Clearing_Acct[Clearing Acct],1,FALSE)=OCF_Activity_Template_Table[[#This Row],[GL_Other]],FALSE)</f>
        <v>0</v>
      </c>
      <c r="M59" s="51" t="b">
        <f>NOT(ISERROR(VLOOKUP(OCF_Activity_Template_Table[[#This Row],[GL_Other]],GL_Acct_to_Clearing_Acct[#All],2,FALSE)))</f>
        <v>0</v>
      </c>
      <c r="N59" s="51">
        <v>0</v>
      </c>
      <c r="O59" s="61"/>
      <c r="P59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59" s="15">
        <f>'Input &amp; Assumptions'!$C$11</f>
        <v>42215</v>
      </c>
      <c r="T59" s="15">
        <f>'Input &amp; Assumptions'!$C$12</f>
        <v>42215</v>
      </c>
      <c r="U59" t="str">
        <f>IF(OCF_Activity_Template_Table[[#This Row],[BNS Amount to Clear]]&gt;=0,"40","50")</f>
        <v>40</v>
      </c>
      <c r="V59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6062200</v>
      </c>
      <c r="W59">
        <v>366</v>
      </c>
      <c r="X59" t="str">
        <f>IFERROR(VLOOKUP(OCF_Activity_Template_Table[[#This Row],[HFM_Account]],HFM_Acct_to_CC[#All],2,FALSE),"")</f>
        <v>TBD</v>
      </c>
      <c r="Y59" t="str">
        <f>IF(OCF_Activity_Template_Table[[#This Row],[Trading_Partner]]="","",OCF_Activity_Template_Table[[#This Row],[Trading_Partner]])</f>
        <v/>
      </c>
      <c r="Z59" s="51">
        <f>ROUND(ABS(OCF_Activity_Template_Table[[#This Row],[BNS Amount to Clear]]),2)</f>
        <v>0</v>
      </c>
      <c r="AA59" t="str">
        <f>"Clear BNS activity from "&amp;OCF_Activity_Template_Table[[#This Row],[GL_Other]]</f>
        <v>Clear BNS activity from 6062200</v>
      </c>
    </row>
    <row r="60" spans="1:27" x14ac:dyDescent="0.25">
      <c r="A60" s="10" t="s">
        <v>83</v>
      </c>
      <c r="B60" s="10" t="s">
        <v>10</v>
      </c>
      <c r="C60" t="s">
        <v>1367</v>
      </c>
      <c r="D60" t="str">
        <f>INDEX(Modded_AMF_Table[#All], MATCH($C60,Modded_AMF_Table[[#All],[GL_Other]],0), MATCH("GL_AcctDesc",Modded_AMF_Table[#Headers],0))</f>
        <v>SIP Expense - Current Year</v>
      </c>
      <c r="F60" s="51">
        <f t="array" ref="F6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51322</v>
      </c>
      <c r="G60" s="51">
        <f t="array" ref="G6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51322</v>
      </c>
      <c r="H60" s="51">
        <f t="array" ref="H6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60" s="51">
        <f t="array" ref="I60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60" s="51">
        <f>OCF_Activity_Template_Table[[#This Row],[BNS]]-OCF_Activity_Template_Table[[#This Row],[BNS PRE-Close Income - TE]]</f>
        <v>0</v>
      </c>
      <c r="K60" s="51">
        <v>0</v>
      </c>
      <c r="L60" s="51" t="b">
        <f>IFERROR(VLOOKUP(OCF_Activity_Template_Table[[#This Row],[GL_Other]],GL_Acct_to_Clearing_Acct[Clearing Acct],1,FALSE)=OCF_Activity_Template_Table[[#This Row],[GL_Other]],FALSE)</f>
        <v>0</v>
      </c>
      <c r="M60" s="51" t="b">
        <f>NOT(ISERROR(VLOOKUP(OCF_Activity_Template_Table[[#This Row],[GL_Other]],GL_Acct_to_Clearing_Acct[#All],2,FALSE)))</f>
        <v>0</v>
      </c>
      <c r="N60" s="51">
        <v>0</v>
      </c>
      <c r="O60" s="61"/>
      <c r="P60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60" s="15">
        <f>'Input &amp; Assumptions'!$C$11</f>
        <v>42215</v>
      </c>
      <c r="T60" s="15">
        <f>'Input &amp; Assumptions'!$C$12</f>
        <v>42215</v>
      </c>
      <c r="U60" t="str">
        <f>IF(OCF_Activity_Template_Table[[#This Row],[BNS Amount to Clear]]&gt;=0,"40","50")</f>
        <v>40</v>
      </c>
      <c r="V60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6062202</v>
      </c>
      <c r="W60">
        <v>366</v>
      </c>
      <c r="X60" t="str">
        <f>IFERROR(VLOOKUP(OCF_Activity_Template_Table[[#This Row],[HFM_Account]],HFM_Acct_to_CC[#All],2,FALSE),"")</f>
        <v>TBD</v>
      </c>
      <c r="Y60" t="str">
        <f>IF(OCF_Activity_Template_Table[[#This Row],[Trading_Partner]]="","",OCF_Activity_Template_Table[[#This Row],[Trading_Partner]])</f>
        <v/>
      </c>
      <c r="Z60" s="51">
        <f>ROUND(ABS(OCF_Activity_Template_Table[[#This Row],[BNS Amount to Clear]]),2)</f>
        <v>0</v>
      </c>
      <c r="AA60" t="str">
        <f>"Clear BNS activity from "&amp;OCF_Activity_Template_Table[[#This Row],[GL_Other]]</f>
        <v>Clear BNS activity from 6062202</v>
      </c>
    </row>
    <row r="61" spans="1:27" x14ac:dyDescent="0.25">
      <c r="A61" s="10" t="s">
        <v>83</v>
      </c>
      <c r="B61" s="10" t="s">
        <v>10</v>
      </c>
      <c r="C61" t="s">
        <v>1371</v>
      </c>
      <c r="D61" t="str">
        <f>INDEX(Modded_AMF_Table[#All], MATCH($C61,Modded_AMF_Table[[#All],[GL_Other]],0), MATCH("GL_AcctDesc",Modded_AMF_Table[#Headers],0))</f>
        <v>SIP Expense - Previous Year</v>
      </c>
      <c r="F61" s="51">
        <f t="array" ref="F6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40377.920000000006</v>
      </c>
      <c r="G61" s="51">
        <f t="array" ref="G6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38584.180000000008</v>
      </c>
      <c r="H61" s="51">
        <f t="array" ref="H6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1793.74</v>
      </c>
      <c r="I61" s="51">
        <f t="array" ref="I61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1793.74</v>
      </c>
      <c r="J61" s="51">
        <f>OCF_Activity_Template_Table[[#This Row],[BNS]]-OCF_Activity_Template_Table[[#This Row],[BNS PRE-Close Income - TE]]</f>
        <v>0</v>
      </c>
      <c r="K61" s="51">
        <v>0</v>
      </c>
      <c r="L61" s="51" t="b">
        <f>IFERROR(VLOOKUP(OCF_Activity_Template_Table[[#This Row],[GL_Other]],GL_Acct_to_Clearing_Acct[Clearing Acct],1,FALSE)=OCF_Activity_Template_Table[[#This Row],[GL_Other]],FALSE)</f>
        <v>0</v>
      </c>
      <c r="M61" s="51" t="b">
        <f>NOT(ISERROR(VLOOKUP(OCF_Activity_Template_Table[[#This Row],[GL_Other]],GL_Acct_to_Clearing_Acct[#All],2,FALSE)))</f>
        <v>0</v>
      </c>
      <c r="N61" s="51">
        <v>0</v>
      </c>
      <c r="O61" s="61"/>
      <c r="P61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61" s="15">
        <f>'Input &amp; Assumptions'!$C$11</f>
        <v>42215</v>
      </c>
      <c r="T61" s="15">
        <f>'Input &amp; Assumptions'!$C$12</f>
        <v>42215</v>
      </c>
      <c r="U61" t="str">
        <f>IF(OCF_Activity_Template_Table[[#This Row],[BNS Amount to Clear]]&gt;=0,"40","50")</f>
        <v>40</v>
      </c>
      <c r="V61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6062203</v>
      </c>
      <c r="W61">
        <v>366</v>
      </c>
      <c r="X61" t="str">
        <f>IFERROR(VLOOKUP(OCF_Activity_Template_Table[[#This Row],[HFM_Account]],HFM_Acct_to_CC[#All],2,FALSE),"")</f>
        <v>TBD</v>
      </c>
      <c r="Y61" t="str">
        <f>IF(OCF_Activity_Template_Table[[#This Row],[Trading_Partner]]="","",OCF_Activity_Template_Table[[#This Row],[Trading_Partner]])</f>
        <v/>
      </c>
      <c r="Z61" s="51">
        <f>ROUND(ABS(OCF_Activity_Template_Table[[#This Row],[BNS Amount to Clear]]),2)</f>
        <v>0</v>
      </c>
      <c r="AA61" t="str">
        <f>"Clear BNS activity from "&amp;OCF_Activity_Template_Table[[#This Row],[GL_Other]]</f>
        <v>Clear BNS activity from 6062203</v>
      </c>
    </row>
    <row r="62" spans="1:27" x14ac:dyDescent="0.25">
      <c r="A62" s="10" t="s">
        <v>83</v>
      </c>
      <c r="B62" s="10" t="s">
        <v>10</v>
      </c>
      <c r="C62" t="s">
        <v>1458</v>
      </c>
      <c r="D62" t="str">
        <f>INDEX(Modded_AMF_Table[#All], MATCH($C62,Modded_AMF_Table[[#All],[GL_Other]],0), MATCH("GL_AcctDesc",Modded_AMF_Table[#Headers],0))</f>
        <v>Special Bonus Programs</v>
      </c>
      <c r="F62" s="51">
        <f t="array" ref="F6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733.35</v>
      </c>
      <c r="G62" s="51">
        <f t="array" ref="G6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0</v>
      </c>
      <c r="H62" s="51">
        <f t="array" ref="H6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733.35</v>
      </c>
      <c r="I62" s="51">
        <f t="array" ref="I62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733.35</v>
      </c>
      <c r="J62" s="51">
        <f>OCF_Activity_Template_Table[[#This Row],[BNS]]-OCF_Activity_Template_Table[[#This Row],[BNS PRE-Close Income - TE]]</f>
        <v>0</v>
      </c>
      <c r="K62" s="51">
        <v>0</v>
      </c>
      <c r="L62" s="51" t="b">
        <f>IFERROR(VLOOKUP(OCF_Activity_Template_Table[[#This Row],[GL_Other]],GL_Acct_to_Clearing_Acct[Clearing Acct],1,FALSE)=OCF_Activity_Template_Table[[#This Row],[GL_Other]],FALSE)</f>
        <v>0</v>
      </c>
      <c r="M62" s="51" t="b">
        <f>NOT(ISERROR(VLOOKUP(OCF_Activity_Template_Table[[#This Row],[GL_Other]],GL_Acct_to_Clearing_Acct[#All],2,FALSE)))</f>
        <v>0</v>
      </c>
      <c r="N62" s="51">
        <v>0</v>
      </c>
      <c r="O62" s="61"/>
      <c r="P62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62" s="15">
        <f>'Input &amp; Assumptions'!$C$11</f>
        <v>42215</v>
      </c>
      <c r="T62" s="15">
        <f>'Input &amp; Assumptions'!$C$12</f>
        <v>42215</v>
      </c>
      <c r="U62" t="str">
        <f>IF(OCF_Activity_Template_Table[[#This Row],[BNS Amount to Clear]]&gt;=0,"40","50")</f>
        <v>40</v>
      </c>
      <c r="V62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6062240</v>
      </c>
      <c r="W62">
        <v>366</v>
      </c>
      <c r="X62" t="str">
        <f>IFERROR(VLOOKUP(OCF_Activity_Template_Table[[#This Row],[HFM_Account]],HFM_Acct_to_CC[#All],2,FALSE),"")</f>
        <v>TBD</v>
      </c>
      <c r="Y62" t="str">
        <f>IF(OCF_Activity_Template_Table[[#This Row],[Trading_Partner]]="","",OCF_Activity_Template_Table[[#This Row],[Trading_Partner]])</f>
        <v/>
      </c>
      <c r="Z62" s="51">
        <f>ROUND(ABS(OCF_Activity_Template_Table[[#This Row],[BNS Amount to Clear]]),2)</f>
        <v>0</v>
      </c>
      <c r="AA62" t="str">
        <f>"Clear BNS activity from "&amp;OCF_Activity_Template_Table[[#This Row],[GL_Other]]</f>
        <v>Clear BNS activity from 6062240</v>
      </c>
    </row>
    <row r="63" spans="1:27" x14ac:dyDescent="0.25">
      <c r="A63" s="10" t="s">
        <v>83</v>
      </c>
      <c r="B63" s="10" t="s">
        <v>10</v>
      </c>
      <c r="C63" t="s">
        <v>1374</v>
      </c>
      <c r="D63" t="str">
        <f>INDEX(Modded_AMF_Table[#All], MATCH($C63,Modded_AMF_Table[[#All],[GL_Other]],0), MATCH("GL_AcctDesc",Modded_AMF_Table[#Headers],0))</f>
        <v>Payroll Expenses - Pensions</v>
      </c>
      <c r="F63" s="51">
        <f t="array" ref="F6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114866.93000000001</v>
      </c>
      <c r="G63" s="51">
        <f t="array" ref="G6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84737.44</v>
      </c>
      <c r="H63" s="51">
        <f t="array" ref="H6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30129.49</v>
      </c>
      <c r="I63" s="51">
        <f t="array" ref="I63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25072.75</v>
      </c>
      <c r="J63" s="51">
        <f>OCF_Activity_Template_Table[[#This Row],[BNS]]-OCF_Activity_Template_Table[[#This Row],[BNS PRE-Close Income - TE]]</f>
        <v>5056.7400000000016</v>
      </c>
      <c r="K63" s="51">
        <v>0</v>
      </c>
      <c r="L63" s="51" t="b">
        <f>IFERROR(VLOOKUP(OCF_Activity_Template_Table[[#This Row],[GL_Other]],GL_Acct_to_Clearing_Acct[Clearing Acct],1,FALSE)=OCF_Activity_Template_Table[[#This Row],[GL_Other]],FALSE)</f>
        <v>0</v>
      </c>
      <c r="M63" s="51" t="b">
        <f>NOT(ISERROR(VLOOKUP(OCF_Activity_Template_Table[[#This Row],[GL_Other]],GL_Acct_to_Clearing_Acct[#All],2,FALSE)))</f>
        <v>0</v>
      </c>
      <c r="N63" s="51">
        <v>0</v>
      </c>
      <c r="O63" s="61"/>
      <c r="P63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-5056.7400000000016</v>
      </c>
      <c r="S63" s="15">
        <f>'Input &amp; Assumptions'!$C$11</f>
        <v>42215</v>
      </c>
      <c r="T63" s="15">
        <f>'Input &amp; Assumptions'!$C$12</f>
        <v>42215</v>
      </c>
      <c r="U63" t="str">
        <f>IF(OCF_Activity_Template_Table[[#This Row],[BNS Amount to Clear]]&gt;=0,"40","50")</f>
        <v>50</v>
      </c>
      <c r="V63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6062300</v>
      </c>
      <c r="W63">
        <v>366</v>
      </c>
      <c r="X63" t="str">
        <f>IFERROR(VLOOKUP(OCF_Activity_Template_Table[[#This Row],[HFM_Account]],HFM_Acct_to_CC[#All],2,FALSE),"")</f>
        <v>TBD</v>
      </c>
      <c r="Y63" t="str">
        <f>IF(OCF_Activity_Template_Table[[#This Row],[Trading_Partner]]="","",OCF_Activity_Template_Table[[#This Row],[Trading_Partner]])</f>
        <v/>
      </c>
      <c r="Z63" s="51">
        <f>ROUND(ABS(OCF_Activity_Template_Table[[#This Row],[BNS Amount to Clear]]),2)</f>
        <v>5056.74</v>
      </c>
      <c r="AA63" t="str">
        <f>"Clear BNS activity from "&amp;OCF_Activity_Template_Table[[#This Row],[GL_Other]]</f>
        <v>Clear BNS activity from 6062300</v>
      </c>
    </row>
    <row r="64" spans="1:27" x14ac:dyDescent="0.25">
      <c r="A64" s="10" t="s">
        <v>83</v>
      </c>
      <c r="B64" s="10" t="s">
        <v>10</v>
      </c>
      <c r="C64" t="s">
        <v>1377</v>
      </c>
      <c r="D64" t="str">
        <f>INDEX(Modded_AMF_Table[#All], MATCH($C64,Modded_AMF_Table[[#All],[GL_Other]],0), MATCH("GL_AcctDesc",Modded_AMF_Table[#Headers],0))</f>
        <v>Pension Cost Voluntary</v>
      </c>
      <c r="F64" s="51">
        <f t="array" ref="F6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65635.290000000008</v>
      </c>
      <c r="G64" s="51">
        <f t="array" ref="G6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52976.04</v>
      </c>
      <c r="H64" s="51">
        <f t="array" ref="H6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12659.25</v>
      </c>
      <c r="I64" s="51">
        <f t="array" ref="I64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10498.25</v>
      </c>
      <c r="J64" s="51">
        <f>OCF_Activity_Template_Table[[#This Row],[BNS]]-OCF_Activity_Template_Table[[#This Row],[BNS PRE-Close Income - TE]]</f>
        <v>2161</v>
      </c>
      <c r="K64" s="51">
        <v>0</v>
      </c>
      <c r="L64" s="51" t="b">
        <f>IFERROR(VLOOKUP(OCF_Activity_Template_Table[[#This Row],[GL_Other]],GL_Acct_to_Clearing_Acct[Clearing Acct],1,FALSE)=OCF_Activity_Template_Table[[#This Row],[GL_Other]],FALSE)</f>
        <v>0</v>
      </c>
      <c r="M64" s="51" t="b">
        <f>NOT(ISERROR(VLOOKUP(OCF_Activity_Template_Table[[#This Row],[GL_Other]],GL_Acct_to_Clearing_Acct[#All],2,FALSE)))</f>
        <v>0</v>
      </c>
      <c r="N64" s="51">
        <v>0</v>
      </c>
      <c r="O64" s="61"/>
      <c r="P64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-2161</v>
      </c>
      <c r="S64" s="15">
        <f>'Input &amp; Assumptions'!$C$11</f>
        <v>42215</v>
      </c>
      <c r="T64" s="15">
        <f>'Input &amp; Assumptions'!$C$12</f>
        <v>42215</v>
      </c>
      <c r="U64" t="str">
        <f>IF(OCF_Activity_Template_Table[[#This Row],[BNS Amount to Clear]]&gt;=0,"40","50")</f>
        <v>50</v>
      </c>
      <c r="V64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6062310</v>
      </c>
      <c r="W64">
        <v>366</v>
      </c>
      <c r="X64" t="str">
        <f>IFERROR(VLOOKUP(OCF_Activity_Template_Table[[#This Row],[HFM_Account]],HFM_Acct_to_CC[#All],2,FALSE),"")</f>
        <v>TBD</v>
      </c>
      <c r="Y64" t="str">
        <f>IF(OCF_Activity_Template_Table[[#This Row],[Trading_Partner]]="","",OCF_Activity_Template_Table[[#This Row],[Trading_Partner]])</f>
        <v/>
      </c>
      <c r="Z64" s="51">
        <f>ROUND(ABS(OCF_Activity_Template_Table[[#This Row],[BNS Amount to Clear]]),2)</f>
        <v>2161</v>
      </c>
      <c r="AA64" t="str">
        <f>"Clear BNS activity from "&amp;OCF_Activity_Template_Table[[#This Row],[GL_Other]]</f>
        <v>Clear BNS activity from 6062310</v>
      </c>
    </row>
    <row r="65" spans="1:27" x14ac:dyDescent="0.25">
      <c r="A65" s="10" t="s">
        <v>83</v>
      </c>
      <c r="B65" s="10" t="s">
        <v>10</v>
      </c>
      <c r="C65" t="s">
        <v>1380</v>
      </c>
      <c r="D65" t="str">
        <f>INDEX(Modded_AMF_Table[#All], MATCH($C65,Modded_AMF_Table[[#All],[GL_Other]],0), MATCH("GL_AcctDesc",Modded_AMF_Table[#Headers],0))</f>
        <v>Payroll Expenses - Other</v>
      </c>
      <c r="F65" s="51">
        <f t="array" ref="F6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24029.66</v>
      </c>
      <c r="G65" s="51">
        <f t="array" ref="G6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16973.21</v>
      </c>
      <c r="H65" s="51">
        <f t="array" ref="H6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7056.45</v>
      </c>
      <c r="I65" s="51">
        <f t="array" ref="I65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-48.55</v>
      </c>
      <c r="J65" s="51">
        <f>OCF_Activity_Template_Table[[#This Row],[BNS]]-OCF_Activity_Template_Table[[#This Row],[BNS PRE-Close Income - TE]]</f>
        <v>7105</v>
      </c>
      <c r="K65" s="51">
        <v>0</v>
      </c>
      <c r="L65" s="51" t="b">
        <f>IFERROR(VLOOKUP(OCF_Activity_Template_Table[[#This Row],[GL_Other]],GL_Acct_to_Clearing_Acct[Clearing Acct],1,FALSE)=OCF_Activity_Template_Table[[#This Row],[GL_Other]],FALSE)</f>
        <v>0</v>
      </c>
      <c r="M65" s="51" t="b">
        <f>NOT(ISERROR(VLOOKUP(OCF_Activity_Template_Table[[#This Row],[GL_Other]],GL_Acct_to_Clearing_Acct[#All],2,FALSE)))</f>
        <v>0</v>
      </c>
      <c r="N65" s="51">
        <v>0</v>
      </c>
      <c r="O65" s="61"/>
      <c r="P65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-7105</v>
      </c>
      <c r="S65" s="15">
        <f>'Input &amp; Assumptions'!$C$11</f>
        <v>42215</v>
      </c>
      <c r="T65" s="15">
        <f>'Input &amp; Assumptions'!$C$12</f>
        <v>42215</v>
      </c>
      <c r="U65" t="str">
        <f>IF(OCF_Activity_Template_Table[[#This Row],[BNS Amount to Clear]]&gt;=0,"40","50")</f>
        <v>50</v>
      </c>
      <c r="V65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6062400</v>
      </c>
      <c r="W65">
        <v>366</v>
      </c>
      <c r="X65" t="str">
        <f>IFERROR(VLOOKUP(OCF_Activity_Template_Table[[#This Row],[HFM_Account]],HFM_Acct_to_CC[#All],2,FALSE),"")</f>
        <v>TBD</v>
      </c>
      <c r="Y65" t="str">
        <f>IF(OCF_Activity_Template_Table[[#This Row],[Trading_Partner]]="","",OCF_Activity_Template_Table[[#This Row],[Trading_Partner]])</f>
        <v/>
      </c>
      <c r="Z65" s="51">
        <f>ROUND(ABS(OCF_Activity_Template_Table[[#This Row],[BNS Amount to Clear]]),2)</f>
        <v>7105</v>
      </c>
      <c r="AA65" t="str">
        <f>"Clear BNS activity from "&amp;OCF_Activity_Template_Table[[#This Row],[GL_Other]]</f>
        <v>Clear BNS activity from 6062400</v>
      </c>
    </row>
    <row r="66" spans="1:27" x14ac:dyDescent="0.25">
      <c r="A66" s="10" t="s">
        <v>83</v>
      </c>
      <c r="B66" s="10" t="s">
        <v>10</v>
      </c>
      <c r="C66" t="s">
        <v>1383</v>
      </c>
      <c r="D66" t="str">
        <f>INDEX(Modded_AMF_Table[#All], MATCH($C66,Modded_AMF_Table[[#All],[GL_Other]],0), MATCH("GL_AcctDesc",Modded_AMF_Table[#Headers],0))</f>
        <v>Payroll Expenses - Vacation</v>
      </c>
      <c r="F66" s="51">
        <f t="array" ref="F6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40990.9</v>
      </c>
      <c r="G66" s="51">
        <f t="array" ref="G6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29805.920000000002</v>
      </c>
      <c r="H66" s="51">
        <f t="array" ref="H6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11184.98</v>
      </c>
      <c r="I66" s="51">
        <f t="array" ref="I66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10343.19</v>
      </c>
      <c r="J66" s="51">
        <f>OCF_Activity_Template_Table[[#This Row],[BNS]]-OCF_Activity_Template_Table[[#This Row],[BNS PRE-Close Income - TE]]</f>
        <v>841.78999999999905</v>
      </c>
      <c r="K66" s="51">
        <v>0</v>
      </c>
      <c r="L66" s="51" t="b">
        <f>IFERROR(VLOOKUP(OCF_Activity_Template_Table[[#This Row],[GL_Other]],GL_Acct_to_Clearing_Acct[Clearing Acct],1,FALSE)=OCF_Activity_Template_Table[[#This Row],[GL_Other]],FALSE)</f>
        <v>0</v>
      </c>
      <c r="M66" s="51" t="b">
        <f>NOT(ISERROR(VLOOKUP(OCF_Activity_Template_Table[[#This Row],[GL_Other]],GL_Acct_to_Clearing_Acct[#All],2,FALSE)))</f>
        <v>0</v>
      </c>
      <c r="N66" s="51">
        <v>0</v>
      </c>
      <c r="O66" s="61"/>
      <c r="P66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-841.78999999999905</v>
      </c>
      <c r="S66" s="15">
        <f>'Input &amp; Assumptions'!$C$11</f>
        <v>42215</v>
      </c>
      <c r="T66" s="15">
        <f>'Input &amp; Assumptions'!$C$12</f>
        <v>42215</v>
      </c>
      <c r="U66" t="str">
        <f>IF(OCF_Activity_Template_Table[[#This Row],[BNS Amount to Clear]]&gt;=0,"40","50")</f>
        <v>50</v>
      </c>
      <c r="V66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6062410</v>
      </c>
      <c r="W66">
        <v>366</v>
      </c>
      <c r="X66" t="str">
        <f>IFERROR(VLOOKUP(OCF_Activity_Template_Table[[#This Row],[HFM_Account]],HFM_Acct_to_CC[#All],2,FALSE),"")</f>
        <v>TBD</v>
      </c>
      <c r="Y66" t="str">
        <f>IF(OCF_Activity_Template_Table[[#This Row],[Trading_Partner]]="","",OCF_Activity_Template_Table[[#This Row],[Trading_Partner]])</f>
        <v/>
      </c>
      <c r="Z66" s="51">
        <f>ROUND(ABS(OCF_Activity_Template_Table[[#This Row],[BNS Amount to Clear]]),2)</f>
        <v>841.79</v>
      </c>
      <c r="AA66" t="str">
        <f>"Clear BNS activity from "&amp;OCF_Activity_Template_Table[[#This Row],[GL_Other]]</f>
        <v>Clear BNS activity from 6062410</v>
      </c>
    </row>
    <row r="67" spans="1:27" x14ac:dyDescent="0.25">
      <c r="A67" s="10" t="s">
        <v>83</v>
      </c>
      <c r="B67" s="10" t="s">
        <v>10</v>
      </c>
      <c r="C67" t="s">
        <v>1386</v>
      </c>
      <c r="D67" t="str">
        <f>INDEX(Modded_AMF_Table[#All], MATCH($C67,Modded_AMF_Table[[#All],[GL_Other]],0), MATCH("GL_AcctDesc",Modded_AMF_Table[#Headers],0))</f>
        <v>Outbound Freight</v>
      </c>
      <c r="F67" s="51">
        <f t="array" ref="F6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2142.02</v>
      </c>
      <c r="G67" s="51">
        <f t="array" ref="G6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1665.88</v>
      </c>
      <c r="H67" s="51">
        <f t="array" ref="H6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476.14</v>
      </c>
      <c r="I67" s="51">
        <f t="array" ref="I67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308.88</v>
      </c>
      <c r="J67" s="51">
        <f>OCF_Activity_Template_Table[[#This Row],[BNS]]-OCF_Activity_Template_Table[[#This Row],[BNS PRE-Close Income - TE]]</f>
        <v>167.26</v>
      </c>
      <c r="K67" s="51">
        <v>0</v>
      </c>
      <c r="L67" s="51" t="b">
        <f>IFERROR(VLOOKUP(OCF_Activity_Template_Table[[#This Row],[GL_Other]],GL_Acct_to_Clearing_Acct[Clearing Acct],1,FALSE)=OCF_Activity_Template_Table[[#This Row],[GL_Other]],FALSE)</f>
        <v>0</v>
      </c>
      <c r="M67" s="51" t="b">
        <f>NOT(ISERROR(VLOOKUP(OCF_Activity_Template_Table[[#This Row],[GL_Other]],GL_Acct_to_Clearing_Acct[#All],2,FALSE)))</f>
        <v>0</v>
      </c>
      <c r="N67" s="51">
        <v>0</v>
      </c>
      <c r="O67" s="61"/>
      <c r="P67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-167.26</v>
      </c>
      <c r="S67" s="15">
        <f>'Input &amp; Assumptions'!$C$11</f>
        <v>42215</v>
      </c>
      <c r="T67" s="15">
        <f>'Input &amp; Assumptions'!$C$12</f>
        <v>42215</v>
      </c>
      <c r="U67" t="str">
        <f>IF(OCF_Activity_Template_Table[[#This Row],[BNS Amount to Clear]]&gt;=0,"40","50")</f>
        <v>50</v>
      </c>
      <c r="V67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6063000</v>
      </c>
      <c r="W67">
        <v>366</v>
      </c>
      <c r="X67" t="str">
        <f>IFERROR(VLOOKUP(OCF_Activity_Template_Table[[#This Row],[HFM_Account]],HFM_Acct_to_CC[#All],2,FALSE),"")</f>
        <v>TBD</v>
      </c>
      <c r="Y67" t="str">
        <f>IF(OCF_Activity_Template_Table[[#This Row],[Trading_Partner]]="","",OCF_Activity_Template_Table[[#This Row],[Trading_Partner]])</f>
        <v/>
      </c>
      <c r="Z67" s="51">
        <f>ROUND(ABS(OCF_Activity_Template_Table[[#This Row],[BNS Amount to Clear]]),2)</f>
        <v>167.26</v>
      </c>
      <c r="AA67" t="str">
        <f>"Clear BNS activity from "&amp;OCF_Activity_Template_Table[[#This Row],[GL_Other]]</f>
        <v>Clear BNS activity from 6063000</v>
      </c>
    </row>
    <row r="68" spans="1:27" x14ac:dyDescent="0.25">
      <c r="A68" s="10" t="s">
        <v>83</v>
      </c>
      <c r="B68" s="10" t="s">
        <v>10</v>
      </c>
      <c r="C68" t="s">
        <v>1461</v>
      </c>
      <c r="D68" t="str">
        <f>INDEX(Modded_AMF_Table[#All], MATCH($C68,Modded_AMF_Table[[#All],[GL_Other]],0), MATCH("GL_AcctDesc",Modded_AMF_Table[#Headers],0))</f>
        <v>Safety &amp; Health</v>
      </c>
      <c r="F68" s="51">
        <f t="array" ref="F6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94</v>
      </c>
      <c r="G68" s="51">
        <f t="array" ref="G6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0</v>
      </c>
      <c r="H68" s="51">
        <f t="array" ref="H6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94</v>
      </c>
      <c r="I68" s="51">
        <f t="array" ref="I68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94</v>
      </c>
      <c r="J68" s="51">
        <f>OCF_Activity_Template_Table[[#This Row],[BNS]]-OCF_Activity_Template_Table[[#This Row],[BNS PRE-Close Income - TE]]</f>
        <v>0</v>
      </c>
      <c r="K68" s="51">
        <v>0</v>
      </c>
      <c r="L68" s="51" t="b">
        <f>IFERROR(VLOOKUP(OCF_Activity_Template_Table[[#This Row],[GL_Other]],GL_Acct_to_Clearing_Acct[Clearing Acct],1,FALSE)=OCF_Activity_Template_Table[[#This Row],[GL_Other]],FALSE)</f>
        <v>0</v>
      </c>
      <c r="M68" s="51" t="b">
        <f>NOT(ISERROR(VLOOKUP(OCF_Activity_Template_Table[[#This Row],[GL_Other]],GL_Acct_to_Clearing_Acct[#All],2,FALSE)))</f>
        <v>0</v>
      </c>
      <c r="N68" s="51">
        <v>0</v>
      </c>
      <c r="O68" s="61"/>
      <c r="P68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68" s="15">
        <f>'Input &amp; Assumptions'!$C$11</f>
        <v>42215</v>
      </c>
      <c r="T68" s="15">
        <f>'Input &amp; Assumptions'!$C$12</f>
        <v>42215</v>
      </c>
      <c r="U68" t="str">
        <f>IF(OCF_Activity_Template_Table[[#This Row],[BNS Amount to Clear]]&gt;=0,"40","50")</f>
        <v>40</v>
      </c>
      <c r="V68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6064000</v>
      </c>
      <c r="W68">
        <v>366</v>
      </c>
      <c r="X68" t="str">
        <f>IFERROR(VLOOKUP(OCF_Activity_Template_Table[[#This Row],[HFM_Account]],HFM_Acct_to_CC[#All],2,FALSE),"")</f>
        <v>TBD</v>
      </c>
      <c r="Y68" t="str">
        <f>IF(OCF_Activity_Template_Table[[#This Row],[Trading_Partner]]="","",OCF_Activity_Template_Table[[#This Row],[Trading_Partner]])</f>
        <v/>
      </c>
      <c r="Z68" s="51">
        <f>ROUND(ABS(OCF_Activity_Template_Table[[#This Row],[BNS Amount to Clear]]),2)</f>
        <v>0</v>
      </c>
      <c r="AA68" t="str">
        <f>"Clear BNS activity from "&amp;OCF_Activity_Template_Table[[#This Row],[GL_Other]]</f>
        <v>Clear BNS activity from 6064000</v>
      </c>
    </row>
    <row r="69" spans="1:27" x14ac:dyDescent="0.25">
      <c r="A69" s="10" t="s">
        <v>83</v>
      </c>
      <c r="B69" s="10" t="s">
        <v>10</v>
      </c>
      <c r="C69" t="s">
        <v>1389</v>
      </c>
      <c r="D69" t="str">
        <f>INDEX(Modded_AMF_Table[#All], MATCH($C69,Modded_AMF_Table[[#All],[GL_Other]],0), MATCH("GL_AcctDesc",Modded_AMF_Table[#Headers],0))</f>
        <v>Flight/Transport Expenses</v>
      </c>
      <c r="F69" s="51">
        <f t="array" ref="F6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13915.77</v>
      </c>
      <c r="G69" s="51">
        <f t="array" ref="G6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8482.77</v>
      </c>
      <c r="H69" s="51">
        <f t="array" ref="H6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5433</v>
      </c>
      <c r="I69" s="51">
        <f t="array" ref="I69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3155.31</v>
      </c>
      <c r="J69" s="51">
        <f>OCF_Activity_Template_Table[[#This Row],[BNS]]-OCF_Activity_Template_Table[[#This Row],[BNS PRE-Close Income - TE]]</f>
        <v>2277.69</v>
      </c>
      <c r="K69" s="51">
        <v>0</v>
      </c>
      <c r="L69" s="51" t="b">
        <f>IFERROR(VLOOKUP(OCF_Activity_Template_Table[[#This Row],[GL_Other]],GL_Acct_to_Clearing_Acct[Clearing Acct],1,FALSE)=OCF_Activity_Template_Table[[#This Row],[GL_Other]],FALSE)</f>
        <v>0</v>
      </c>
      <c r="M69" s="51" t="b">
        <f>NOT(ISERROR(VLOOKUP(OCF_Activity_Template_Table[[#This Row],[GL_Other]],GL_Acct_to_Clearing_Acct[#All],2,FALSE)))</f>
        <v>0</v>
      </c>
      <c r="N69" s="51">
        <v>0</v>
      </c>
      <c r="O69" s="61"/>
      <c r="P69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-2277.69</v>
      </c>
      <c r="S69" s="15">
        <f>'Input &amp; Assumptions'!$C$11</f>
        <v>42215</v>
      </c>
      <c r="T69" s="15">
        <f>'Input &amp; Assumptions'!$C$12</f>
        <v>42215</v>
      </c>
      <c r="U69" t="str">
        <f>IF(OCF_Activity_Template_Table[[#This Row],[BNS Amount to Clear]]&gt;=0,"40","50")</f>
        <v>50</v>
      </c>
      <c r="V69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6065005</v>
      </c>
      <c r="W69">
        <v>366</v>
      </c>
      <c r="X69" t="str">
        <f>IFERROR(VLOOKUP(OCF_Activity_Template_Table[[#This Row],[HFM_Account]],HFM_Acct_to_CC[#All],2,FALSE),"")</f>
        <v>TBD</v>
      </c>
      <c r="Y69" t="str">
        <f>IF(OCF_Activity_Template_Table[[#This Row],[Trading_Partner]]="","",OCF_Activity_Template_Table[[#This Row],[Trading_Partner]])</f>
        <v/>
      </c>
      <c r="Z69" s="51">
        <f>ROUND(ABS(OCF_Activity_Template_Table[[#This Row],[BNS Amount to Clear]]),2)</f>
        <v>2277.69</v>
      </c>
      <c r="AA69" t="str">
        <f>"Clear BNS activity from "&amp;OCF_Activity_Template_Table[[#This Row],[GL_Other]]</f>
        <v>Clear BNS activity from 6065005</v>
      </c>
    </row>
    <row r="70" spans="1:27" x14ac:dyDescent="0.25">
      <c r="A70" s="10" t="s">
        <v>83</v>
      </c>
      <c r="B70" s="10" t="s">
        <v>10</v>
      </c>
      <c r="C70" t="s">
        <v>1393</v>
      </c>
      <c r="D70" t="str">
        <f>INDEX(Modded_AMF_Table[#All], MATCH($C70,Modded_AMF_Table[[#All],[GL_Other]],0), MATCH("GL_AcctDesc",Modded_AMF_Table[#Headers],0))</f>
        <v>Hotels and Meals</v>
      </c>
      <c r="F70" s="51">
        <f t="array" ref="F7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13235.33</v>
      </c>
      <c r="G70" s="51">
        <f t="array" ref="G7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10207.85</v>
      </c>
      <c r="H70" s="51">
        <f t="array" ref="H7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3027.48</v>
      </c>
      <c r="I70" s="51">
        <f t="array" ref="I70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2945.08</v>
      </c>
      <c r="J70" s="51">
        <f>OCF_Activity_Template_Table[[#This Row],[BNS]]-OCF_Activity_Template_Table[[#This Row],[BNS PRE-Close Income - TE]]</f>
        <v>82.400000000000091</v>
      </c>
      <c r="K70" s="51">
        <v>0</v>
      </c>
      <c r="L70" s="51" t="b">
        <f>IFERROR(VLOOKUP(OCF_Activity_Template_Table[[#This Row],[GL_Other]],GL_Acct_to_Clearing_Acct[Clearing Acct],1,FALSE)=OCF_Activity_Template_Table[[#This Row],[GL_Other]],FALSE)</f>
        <v>0</v>
      </c>
      <c r="M70" s="51" t="b">
        <f>NOT(ISERROR(VLOOKUP(OCF_Activity_Template_Table[[#This Row],[GL_Other]],GL_Acct_to_Clearing_Acct[#All],2,FALSE)))</f>
        <v>0</v>
      </c>
      <c r="N70" s="51">
        <v>0</v>
      </c>
      <c r="O70" s="61"/>
      <c r="P70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-82.400000000000091</v>
      </c>
      <c r="S70" s="15">
        <f>'Input &amp; Assumptions'!$C$11</f>
        <v>42215</v>
      </c>
      <c r="T70" s="15">
        <f>'Input &amp; Assumptions'!$C$12</f>
        <v>42215</v>
      </c>
      <c r="U70" t="str">
        <f>IF(OCF_Activity_Template_Table[[#This Row],[BNS Amount to Clear]]&gt;=0,"40","50")</f>
        <v>50</v>
      </c>
      <c r="V70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6065045</v>
      </c>
      <c r="W70">
        <v>366</v>
      </c>
      <c r="X70" t="str">
        <f>IFERROR(VLOOKUP(OCF_Activity_Template_Table[[#This Row],[HFM_Account]],HFM_Acct_to_CC[#All],2,FALSE),"")</f>
        <v>TBD</v>
      </c>
      <c r="Y70" t="str">
        <f>IF(OCF_Activity_Template_Table[[#This Row],[Trading_Partner]]="","",OCF_Activity_Template_Table[[#This Row],[Trading_Partner]])</f>
        <v/>
      </c>
      <c r="Z70" s="51">
        <f>ROUND(ABS(OCF_Activity_Template_Table[[#This Row],[BNS Amount to Clear]]),2)</f>
        <v>82.4</v>
      </c>
      <c r="AA70" t="str">
        <f>"Clear BNS activity from "&amp;OCF_Activity_Template_Table[[#This Row],[GL_Other]]</f>
        <v>Clear BNS activity from 6065045</v>
      </c>
    </row>
    <row r="71" spans="1:27" x14ac:dyDescent="0.25">
      <c r="A71" s="10" t="s">
        <v>83</v>
      </c>
      <c r="B71" s="10" t="s">
        <v>10</v>
      </c>
      <c r="C71" t="s">
        <v>1396</v>
      </c>
      <c r="D71" t="str">
        <f>INDEX(Modded_AMF_Table[#All], MATCH($C71,Modded_AMF_Table[[#All],[GL_Other]],0), MATCH("GL_AcctDesc",Modded_AMF_Table[#Headers],0))</f>
        <v>Travel Expense Fixed Allowance</v>
      </c>
      <c r="F71" s="51">
        <f t="array" ref="F7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11518</v>
      </c>
      <c r="G71" s="51">
        <f t="array" ref="G7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8272</v>
      </c>
      <c r="H71" s="51">
        <f t="array" ref="H7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3246</v>
      </c>
      <c r="I71" s="51">
        <f t="array" ref="I71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2598</v>
      </c>
      <c r="J71" s="51">
        <f>OCF_Activity_Template_Table[[#This Row],[BNS]]-OCF_Activity_Template_Table[[#This Row],[BNS PRE-Close Income - TE]]</f>
        <v>648</v>
      </c>
      <c r="K71" s="51">
        <v>0</v>
      </c>
      <c r="L71" s="51" t="b">
        <f>IFERROR(VLOOKUP(OCF_Activity_Template_Table[[#This Row],[GL_Other]],GL_Acct_to_Clearing_Acct[Clearing Acct],1,FALSE)=OCF_Activity_Template_Table[[#This Row],[GL_Other]],FALSE)</f>
        <v>0</v>
      </c>
      <c r="M71" s="51" t="b">
        <f>NOT(ISERROR(VLOOKUP(OCF_Activity_Template_Table[[#This Row],[GL_Other]],GL_Acct_to_Clearing_Acct[#All],2,FALSE)))</f>
        <v>0</v>
      </c>
      <c r="N71" s="51">
        <v>0</v>
      </c>
      <c r="O71" s="61"/>
      <c r="P71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-648</v>
      </c>
      <c r="S71" s="15">
        <f>'Input &amp; Assumptions'!$C$11</f>
        <v>42215</v>
      </c>
      <c r="T71" s="15">
        <f>'Input &amp; Assumptions'!$C$12</f>
        <v>42215</v>
      </c>
      <c r="U71" t="str">
        <f>IF(OCF_Activity_Template_Table[[#This Row],[BNS Amount to Clear]]&gt;=0,"40","50")</f>
        <v>50</v>
      </c>
      <c r="V71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6065115</v>
      </c>
      <c r="W71">
        <v>366</v>
      </c>
      <c r="X71" t="str">
        <f>IFERROR(VLOOKUP(OCF_Activity_Template_Table[[#This Row],[HFM_Account]],HFM_Acct_to_CC[#All],2,FALSE),"")</f>
        <v>TBD</v>
      </c>
      <c r="Y71" t="str">
        <f>IF(OCF_Activity_Template_Table[[#This Row],[Trading_Partner]]="","",OCF_Activity_Template_Table[[#This Row],[Trading_Partner]])</f>
        <v/>
      </c>
      <c r="Z71" s="51">
        <f>ROUND(ABS(OCF_Activity_Template_Table[[#This Row],[BNS Amount to Clear]]),2)</f>
        <v>648</v>
      </c>
      <c r="AA71" t="str">
        <f>"Clear BNS activity from "&amp;OCF_Activity_Template_Table[[#This Row],[GL_Other]]</f>
        <v>Clear BNS activity from 6065115</v>
      </c>
    </row>
    <row r="72" spans="1:27" x14ac:dyDescent="0.25">
      <c r="A72" s="10" t="s">
        <v>83</v>
      </c>
      <c r="B72" s="10" t="s">
        <v>10</v>
      </c>
      <c r="C72" t="s">
        <v>1399</v>
      </c>
      <c r="D72" t="str">
        <f>INDEX(Modded_AMF_Table[#All], MATCH($C72,Modded_AMF_Table[[#All],[GL_Other]],0), MATCH("GL_AcctDesc",Modded_AMF_Table[#Headers],0))</f>
        <v>Customer Entertainment</v>
      </c>
      <c r="F72" s="51">
        <f t="array" ref="F7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6264.2300000000005</v>
      </c>
      <c r="G72" s="51">
        <f t="array" ref="G7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5809.72</v>
      </c>
      <c r="H72" s="51">
        <f t="array" ref="H7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454.51</v>
      </c>
      <c r="I72" s="51">
        <f t="array" ref="I72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454.51</v>
      </c>
      <c r="J72" s="51">
        <f>OCF_Activity_Template_Table[[#This Row],[BNS]]-OCF_Activity_Template_Table[[#This Row],[BNS PRE-Close Income - TE]]</f>
        <v>0</v>
      </c>
      <c r="K72" s="51">
        <v>0</v>
      </c>
      <c r="L72" s="51" t="b">
        <f>IFERROR(VLOOKUP(OCF_Activity_Template_Table[[#This Row],[GL_Other]],GL_Acct_to_Clearing_Acct[Clearing Acct],1,FALSE)=OCF_Activity_Template_Table[[#This Row],[GL_Other]],FALSE)</f>
        <v>0</v>
      </c>
      <c r="M72" s="51" t="b">
        <f>NOT(ISERROR(VLOOKUP(OCF_Activity_Template_Table[[#This Row],[GL_Other]],GL_Acct_to_Clearing_Acct[#All],2,FALSE)))</f>
        <v>0</v>
      </c>
      <c r="N72" s="51">
        <v>0</v>
      </c>
      <c r="O72" s="61"/>
      <c r="P72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72" s="15">
        <f>'Input &amp; Assumptions'!$C$11</f>
        <v>42215</v>
      </c>
      <c r="T72" s="15">
        <f>'Input &amp; Assumptions'!$C$12</f>
        <v>42215</v>
      </c>
      <c r="U72" t="str">
        <f>IF(OCF_Activity_Template_Table[[#This Row],[BNS Amount to Clear]]&gt;=0,"40","50")</f>
        <v>40</v>
      </c>
      <c r="V72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6065120</v>
      </c>
      <c r="W72">
        <v>366</v>
      </c>
      <c r="X72" t="str">
        <f>IFERROR(VLOOKUP(OCF_Activity_Template_Table[[#This Row],[HFM_Account]],HFM_Acct_to_CC[#All],2,FALSE),"")</f>
        <v>TBD</v>
      </c>
      <c r="Y72" t="str">
        <f>IF(OCF_Activity_Template_Table[[#This Row],[Trading_Partner]]="","",OCF_Activity_Template_Table[[#This Row],[Trading_Partner]])</f>
        <v/>
      </c>
      <c r="Z72" s="51">
        <f>ROUND(ABS(OCF_Activity_Template_Table[[#This Row],[BNS Amount to Clear]]),2)</f>
        <v>0</v>
      </c>
      <c r="AA72" t="str">
        <f>"Clear BNS activity from "&amp;OCF_Activity_Template_Table[[#This Row],[GL_Other]]</f>
        <v>Clear BNS activity from 6065120</v>
      </c>
    </row>
    <row r="73" spans="1:27" x14ac:dyDescent="0.25">
      <c r="A73" s="10" t="s">
        <v>83</v>
      </c>
      <c r="B73" s="10" t="s">
        <v>10</v>
      </c>
      <c r="C73" t="s">
        <v>1402</v>
      </c>
      <c r="D73" t="str">
        <f>INDEX(Modded_AMF_Table[#All], MATCH($C73,Modded_AMF_Table[[#All],[GL_Other]],0), MATCH("GL_AcctDesc",Modded_AMF_Table[#Headers],0))</f>
        <v>Employee Entertainment</v>
      </c>
      <c r="F73" s="51">
        <f t="array" ref="F7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1908.7000000000003</v>
      </c>
      <c r="G73" s="51">
        <f t="array" ref="G7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673.54000000000008</v>
      </c>
      <c r="H73" s="51">
        <f t="array" ref="H7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1235.1600000000001</v>
      </c>
      <c r="I73" s="51">
        <f t="array" ref="I73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1111.26</v>
      </c>
      <c r="J73" s="51">
        <f>OCF_Activity_Template_Table[[#This Row],[BNS]]-OCF_Activity_Template_Table[[#This Row],[BNS PRE-Close Income - TE]]</f>
        <v>123.90000000000009</v>
      </c>
      <c r="K73" s="51">
        <v>0</v>
      </c>
      <c r="L73" s="51" t="b">
        <f>IFERROR(VLOOKUP(OCF_Activity_Template_Table[[#This Row],[GL_Other]],GL_Acct_to_Clearing_Acct[Clearing Acct],1,FALSE)=OCF_Activity_Template_Table[[#This Row],[GL_Other]],FALSE)</f>
        <v>0</v>
      </c>
      <c r="M73" s="51" t="b">
        <f>NOT(ISERROR(VLOOKUP(OCF_Activity_Template_Table[[#This Row],[GL_Other]],GL_Acct_to_Clearing_Acct[#All],2,FALSE)))</f>
        <v>0</v>
      </c>
      <c r="N73" s="51">
        <v>0</v>
      </c>
      <c r="O73" s="61"/>
      <c r="P73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-123.90000000000009</v>
      </c>
      <c r="S73" s="15">
        <f>'Input &amp; Assumptions'!$C$11</f>
        <v>42215</v>
      </c>
      <c r="T73" s="15">
        <f>'Input &amp; Assumptions'!$C$12</f>
        <v>42215</v>
      </c>
      <c r="U73" t="str">
        <f>IF(OCF_Activity_Template_Table[[#This Row],[BNS Amount to Clear]]&gt;=0,"40","50")</f>
        <v>50</v>
      </c>
      <c r="V73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6065130</v>
      </c>
      <c r="W73">
        <v>366</v>
      </c>
      <c r="X73" t="str">
        <f>IFERROR(VLOOKUP(OCF_Activity_Template_Table[[#This Row],[HFM_Account]],HFM_Acct_to_CC[#All],2,FALSE),"")</f>
        <v>TBD</v>
      </c>
      <c r="Y73" t="str">
        <f>IF(OCF_Activity_Template_Table[[#This Row],[Trading_Partner]]="","",OCF_Activity_Template_Table[[#This Row],[Trading_Partner]])</f>
        <v/>
      </c>
      <c r="Z73" s="51">
        <f>ROUND(ABS(OCF_Activity_Template_Table[[#This Row],[BNS Amount to Clear]]),2)</f>
        <v>123.9</v>
      </c>
      <c r="AA73" t="str">
        <f>"Clear BNS activity from "&amp;OCF_Activity_Template_Table[[#This Row],[GL_Other]]</f>
        <v>Clear BNS activity from 6065130</v>
      </c>
    </row>
    <row r="74" spans="1:27" x14ac:dyDescent="0.25">
      <c r="A74" s="10" t="s">
        <v>83</v>
      </c>
      <c r="B74" s="10" t="s">
        <v>10</v>
      </c>
      <c r="C74" t="s">
        <v>1405</v>
      </c>
      <c r="D74" t="str">
        <f>INDEX(Modded_AMF_Table[#All], MATCH($C74,Modded_AMF_Table[[#All],[GL_Other]],0), MATCH("GL_AcctDesc",Modded_AMF_Table[#Headers],0))</f>
        <v>Transportation</v>
      </c>
      <c r="F74" s="51">
        <f t="array" ref="F7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6142.85</v>
      </c>
      <c r="G74" s="51">
        <f t="array" ref="G7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4414.83</v>
      </c>
      <c r="H74" s="51">
        <f t="array" ref="H7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1728.02</v>
      </c>
      <c r="I74" s="51">
        <f t="array" ref="I74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1415.69</v>
      </c>
      <c r="J74" s="51">
        <f>OCF_Activity_Template_Table[[#This Row],[BNS]]-OCF_Activity_Template_Table[[#This Row],[BNS PRE-Close Income - TE]]</f>
        <v>312.32999999999993</v>
      </c>
      <c r="K74" s="51">
        <v>0</v>
      </c>
      <c r="L74" s="51" t="b">
        <f>IFERROR(VLOOKUP(OCF_Activity_Template_Table[[#This Row],[GL_Other]],GL_Acct_to_Clearing_Acct[Clearing Acct],1,FALSE)=OCF_Activity_Template_Table[[#This Row],[GL_Other]],FALSE)</f>
        <v>0</v>
      </c>
      <c r="M74" s="51" t="b">
        <f>NOT(ISERROR(VLOOKUP(OCF_Activity_Template_Table[[#This Row],[GL_Other]],GL_Acct_to_Clearing_Acct[#All],2,FALSE)))</f>
        <v>0</v>
      </c>
      <c r="N74" s="51">
        <v>0</v>
      </c>
      <c r="O74" s="61"/>
      <c r="P74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-312.32999999999993</v>
      </c>
      <c r="S74" s="15">
        <f>'Input &amp; Assumptions'!$C$11</f>
        <v>42215</v>
      </c>
      <c r="T74" s="15">
        <f>'Input &amp; Assumptions'!$C$12</f>
        <v>42215</v>
      </c>
      <c r="U74" t="str">
        <f>IF(OCF_Activity_Template_Table[[#This Row],[BNS Amount to Clear]]&gt;=0,"40","50")</f>
        <v>50</v>
      </c>
      <c r="V74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6065150</v>
      </c>
      <c r="W74">
        <v>366</v>
      </c>
      <c r="X74" t="str">
        <f>IFERROR(VLOOKUP(OCF_Activity_Template_Table[[#This Row],[HFM_Account]],HFM_Acct_to_CC[#All],2,FALSE),"")</f>
        <v>TBD</v>
      </c>
      <c r="Y74" t="str">
        <f>IF(OCF_Activity_Template_Table[[#This Row],[Trading_Partner]]="","",OCF_Activity_Template_Table[[#This Row],[Trading_Partner]])</f>
        <v/>
      </c>
      <c r="Z74" s="51">
        <f>ROUND(ABS(OCF_Activity_Template_Table[[#This Row],[BNS Amount to Clear]]),2)</f>
        <v>312.33</v>
      </c>
      <c r="AA74" t="str">
        <f>"Clear BNS activity from "&amp;OCF_Activity_Template_Table[[#This Row],[GL_Other]]</f>
        <v>Clear BNS activity from 6065150</v>
      </c>
    </row>
    <row r="75" spans="1:27" x14ac:dyDescent="0.25">
      <c r="A75" s="10" t="s">
        <v>83</v>
      </c>
      <c r="B75" s="10" t="s">
        <v>10</v>
      </c>
      <c r="C75" t="s">
        <v>1408</v>
      </c>
      <c r="D75" t="str">
        <f>INDEX(Modded_AMF_Table[#All], MATCH($C75,Modded_AMF_Table[[#All],[GL_Other]],0), MATCH("GL_AcctDesc",Modded_AMF_Table[#Headers],0))</f>
        <v>Business Conference - With Food</v>
      </c>
      <c r="F75" s="51">
        <f t="array" ref="F7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9541.6</v>
      </c>
      <c r="G75" s="51">
        <f t="array" ref="G7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7991.15</v>
      </c>
      <c r="H75" s="51">
        <f t="array" ref="H7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1550.45</v>
      </c>
      <c r="I75" s="51">
        <f t="array" ref="I75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1516.8</v>
      </c>
      <c r="J75" s="51">
        <f>OCF_Activity_Template_Table[[#This Row],[BNS]]-OCF_Activity_Template_Table[[#This Row],[BNS PRE-Close Income - TE]]</f>
        <v>33.650000000000091</v>
      </c>
      <c r="K75" s="51">
        <v>0</v>
      </c>
      <c r="L75" s="51" t="b">
        <f>IFERROR(VLOOKUP(OCF_Activity_Template_Table[[#This Row],[GL_Other]],GL_Acct_to_Clearing_Acct[Clearing Acct],1,FALSE)=OCF_Activity_Template_Table[[#This Row],[GL_Other]],FALSE)</f>
        <v>0</v>
      </c>
      <c r="M75" s="51" t="b">
        <f>NOT(ISERROR(VLOOKUP(OCF_Activity_Template_Table[[#This Row],[GL_Other]],GL_Acct_to_Clearing_Acct[#All],2,FALSE)))</f>
        <v>0</v>
      </c>
      <c r="N75" s="51">
        <v>0</v>
      </c>
      <c r="O75" s="61"/>
      <c r="P75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-33.650000000000091</v>
      </c>
      <c r="S75" s="15">
        <f>'Input &amp; Assumptions'!$C$11</f>
        <v>42215</v>
      </c>
      <c r="T75" s="15">
        <f>'Input &amp; Assumptions'!$C$12</f>
        <v>42215</v>
      </c>
      <c r="U75" t="str">
        <f>IF(OCF_Activity_Template_Table[[#This Row],[BNS Amount to Clear]]&gt;=0,"40","50")</f>
        <v>50</v>
      </c>
      <c r="V75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6065180</v>
      </c>
      <c r="W75">
        <v>366</v>
      </c>
      <c r="X75" t="str">
        <f>IFERROR(VLOOKUP(OCF_Activity_Template_Table[[#This Row],[HFM_Account]],HFM_Acct_to_CC[#All],2,FALSE),"")</f>
        <v>TBD</v>
      </c>
      <c r="Y75" t="str">
        <f>IF(OCF_Activity_Template_Table[[#This Row],[Trading_Partner]]="","",OCF_Activity_Template_Table[[#This Row],[Trading_Partner]])</f>
        <v/>
      </c>
      <c r="Z75" s="51">
        <f>ROUND(ABS(OCF_Activity_Template_Table[[#This Row],[BNS Amount to Clear]]),2)</f>
        <v>33.65</v>
      </c>
      <c r="AA75" t="str">
        <f>"Clear BNS activity from "&amp;OCF_Activity_Template_Table[[#This Row],[GL_Other]]</f>
        <v>Clear BNS activity from 6065180</v>
      </c>
    </row>
    <row r="76" spans="1:27" x14ac:dyDescent="0.25">
      <c r="A76" s="10" t="s">
        <v>83</v>
      </c>
      <c r="B76" s="10" t="s">
        <v>10</v>
      </c>
      <c r="C76" t="s">
        <v>1464</v>
      </c>
      <c r="D76" t="str">
        <f>INDEX(Modded_AMF_Table[#All], MATCH($C76,Modded_AMF_Table[[#All],[GL_Other]],0), MATCH("GL_AcctDesc",Modded_AMF_Table[#Headers],0))</f>
        <v>Travel Expenses Credit Card</v>
      </c>
      <c r="F76" s="51">
        <f t="array" ref="F7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304</v>
      </c>
      <c r="G76" s="51">
        <f t="array" ref="G7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280</v>
      </c>
      <c r="H76" s="51">
        <f t="array" ref="H7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24</v>
      </c>
      <c r="I76" s="51">
        <f t="array" ref="I76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24</v>
      </c>
      <c r="J76" s="51">
        <f>OCF_Activity_Template_Table[[#This Row],[BNS]]-OCF_Activity_Template_Table[[#This Row],[BNS PRE-Close Income - TE]]</f>
        <v>0</v>
      </c>
      <c r="K76" s="51">
        <v>0</v>
      </c>
      <c r="L76" s="51" t="b">
        <f>IFERROR(VLOOKUP(OCF_Activity_Template_Table[[#This Row],[GL_Other]],GL_Acct_to_Clearing_Acct[Clearing Acct],1,FALSE)=OCF_Activity_Template_Table[[#This Row],[GL_Other]],FALSE)</f>
        <v>0</v>
      </c>
      <c r="M76" s="51" t="b">
        <f>NOT(ISERROR(VLOOKUP(OCF_Activity_Template_Table[[#This Row],[GL_Other]],GL_Acct_to_Clearing_Acct[#All],2,FALSE)))</f>
        <v>0</v>
      </c>
      <c r="N76" s="51">
        <v>0</v>
      </c>
      <c r="O76" s="61"/>
      <c r="P76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76" s="15">
        <f>'Input &amp; Assumptions'!$C$11</f>
        <v>42215</v>
      </c>
      <c r="T76" s="15">
        <f>'Input &amp; Assumptions'!$C$12</f>
        <v>42215</v>
      </c>
      <c r="U76" t="str">
        <f>IF(OCF_Activity_Template_Table[[#This Row],[BNS Amount to Clear]]&gt;=0,"40","50")</f>
        <v>40</v>
      </c>
      <c r="V76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6065240</v>
      </c>
      <c r="W76">
        <v>366</v>
      </c>
      <c r="X76" t="str">
        <f>IFERROR(VLOOKUP(OCF_Activity_Template_Table[[#This Row],[HFM_Account]],HFM_Acct_to_CC[#All],2,FALSE),"")</f>
        <v>TBD</v>
      </c>
      <c r="Y76" t="str">
        <f>IF(OCF_Activity_Template_Table[[#This Row],[Trading_Partner]]="","",OCF_Activity_Template_Table[[#This Row],[Trading_Partner]])</f>
        <v/>
      </c>
      <c r="Z76" s="51">
        <f>ROUND(ABS(OCF_Activity_Template_Table[[#This Row],[BNS Amount to Clear]]),2)</f>
        <v>0</v>
      </c>
      <c r="AA76" t="str">
        <f>"Clear BNS activity from "&amp;OCF_Activity_Template_Table[[#This Row],[GL_Other]]</f>
        <v>Clear BNS activity from 6065240</v>
      </c>
    </row>
    <row r="77" spans="1:27" x14ac:dyDescent="0.25">
      <c r="A77" s="10" t="s">
        <v>83</v>
      </c>
      <c r="B77" s="10" t="s">
        <v>10</v>
      </c>
      <c r="C77" t="s">
        <v>1411</v>
      </c>
      <c r="D77" t="str">
        <f>INDEX(Modded_AMF_Table[#All], MATCH($C77,Modded_AMF_Table[[#All],[GL_Other]],0), MATCH("GL_AcctDesc",Modded_AMF_Table[#Headers],0))</f>
        <v>Travel-Accrued</v>
      </c>
      <c r="F77" s="51">
        <f t="array" ref="F7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2368</v>
      </c>
      <c r="G77" s="51">
        <f t="array" ref="G7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2412</v>
      </c>
      <c r="H77" s="51">
        <f t="array" ref="H7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-44</v>
      </c>
      <c r="I77" s="51">
        <f t="array" ref="I77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9</v>
      </c>
      <c r="J77" s="51">
        <f>OCF_Activity_Template_Table[[#This Row],[BNS]]-OCF_Activity_Template_Table[[#This Row],[BNS PRE-Close Income - TE]]</f>
        <v>-53</v>
      </c>
      <c r="K77" s="51">
        <v>0</v>
      </c>
      <c r="L77" s="51" t="b">
        <f>IFERROR(VLOOKUP(OCF_Activity_Template_Table[[#This Row],[GL_Other]],GL_Acct_to_Clearing_Acct[Clearing Acct],1,FALSE)=OCF_Activity_Template_Table[[#This Row],[GL_Other]],FALSE)</f>
        <v>0</v>
      </c>
      <c r="M77" s="51" t="b">
        <f>NOT(ISERROR(VLOOKUP(OCF_Activity_Template_Table[[#This Row],[GL_Other]],GL_Acct_to_Clearing_Acct[#All],2,FALSE)))</f>
        <v>0</v>
      </c>
      <c r="N77" s="51">
        <v>0</v>
      </c>
      <c r="O77" s="61"/>
      <c r="P77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53</v>
      </c>
      <c r="S77" s="15">
        <f>'Input &amp; Assumptions'!$C$11</f>
        <v>42215</v>
      </c>
      <c r="T77" s="15">
        <f>'Input &amp; Assumptions'!$C$12</f>
        <v>42215</v>
      </c>
      <c r="U77" t="str">
        <f>IF(OCF_Activity_Template_Table[[#This Row],[BNS Amount to Clear]]&gt;=0,"40","50")</f>
        <v>40</v>
      </c>
      <c r="V77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6065995</v>
      </c>
      <c r="W77">
        <v>366</v>
      </c>
      <c r="X77" t="str">
        <f>IFERROR(VLOOKUP(OCF_Activity_Template_Table[[#This Row],[HFM_Account]],HFM_Acct_to_CC[#All],2,FALSE),"")</f>
        <v>TBD</v>
      </c>
      <c r="Y77" t="str">
        <f>IF(OCF_Activity_Template_Table[[#This Row],[Trading_Partner]]="","",OCF_Activity_Template_Table[[#This Row],[Trading_Partner]])</f>
        <v/>
      </c>
      <c r="Z77" s="51">
        <f>ROUND(ABS(OCF_Activity_Template_Table[[#This Row],[BNS Amount to Clear]]),2)</f>
        <v>53</v>
      </c>
      <c r="AA77" t="str">
        <f>"Clear BNS activity from "&amp;OCF_Activity_Template_Table[[#This Row],[GL_Other]]</f>
        <v>Clear BNS activity from 6065995</v>
      </c>
    </row>
    <row r="78" spans="1:27" x14ac:dyDescent="0.25">
      <c r="A78" s="10" t="s">
        <v>83</v>
      </c>
      <c r="B78" s="10" t="s">
        <v>10</v>
      </c>
      <c r="C78" t="s">
        <v>1428</v>
      </c>
      <c r="D78" t="str">
        <f>INDEX(Modded_AMF_Table[#All], MATCH($C78,Modded_AMF_Table[[#All],[GL_Other]],0), MATCH("GL_AcctDesc",Modded_AMF_Table[#Headers],0))</f>
        <v>Truck &amp; Auto &amp; Airline - Fuel</v>
      </c>
      <c r="F78" s="51">
        <f t="array" ref="F7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245.1</v>
      </c>
      <c r="G78" s="51">
        <f t="array" ref="G7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220.09</v>
      </c>
      <c r="H78" s="51">
        <f t="array" ref="H7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25.01</v>
      </c>
      <c r="I78" s="51">
        <f t="array" ref="I78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25.01</v>
      </c>
      <c r="J78" s="51">
        <f>OCF_Activity_Template_Table[[#This Row],[BNS]]-OCF_Activity_Template_Table[[#This Row],[BNS PRE-Close Income - TE]]</f>
        <v>0</v>
      </c>
      <c r="K78" s="51">
        <v>0</v>
      </c>
      <c r="L78" s="51" t="b">
        <f>IFERROR(VLOOKUP(OCF_Activity_Template_Table[[#This Row],[GL_Other]],GL_Acct_to_Clearing_Acct[Clearing Acct],1,FALSE)=OCF_Activity_Template_Table[[#This Row],[GL_Other]],FALSE)</f>
        <v>0</v>
      </c>
      <c r="M78" s="51" t="b">
        <f>NOT(ISERROR(VLOOKUP(OCF_Activity_Template_Table[[#This Row],[GL_Other]],GL_Acct_to_Clearing_Acct[#All],2,FALSE)))</f>
        <v>0</v>
      </c>
      <c r="N78" s="51">
        <v>0</v>
      </c>
      <c r="O78" s="61"/>
      <c r="P78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78" s="15">
        <f>'Input &amp; Assumptions'!$C$11</f>
        <v>42215</v>
      </c>
      <c r="T78" s="15">
        <f>'Input &amp; Assumptions'!$C$12</f>
        <v>42215</v>
      </c>
      <c r="U78" t="str">
        <f>IF(OCF_Activity_Template_Table[[#This Row],[BNS Amount to Clear]]&gt;=0,"40","50")</f>
        <v>40</v>
      </c>
      <c r="V78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6066010</v>
      </c>
      <c r="W78">
        <v>366</v>
      </c>
      <c r="X78" t="str">
        <f>IFERROR(VLOOKUP(OCF_Activity_Template_Table[[#This Row],[HFM_Account]],HFM_Acct_to_CC[#All],2,FALSE),"")</f>
        <v>TBD</v>
      </c>
      <c r="Y78" t="str">
        <f>IF(OCF_Activity_Template_Table[[#This Row],[Trading_Partner]]="","",OCF_Activity_Template_Table[[#This Row],[Trading_Partner]])</f>
        <v/>
      </c>
      <c r="Z78" s="51">
        <f>ROUND(ABS(OCF_Activity_Template_Table[[#This Row],[BNS Amount to Clear]]),2)</f>
        <v>0</v>
      </c>
      <c r="AA78" t="str">
        <f>"Clear BNS activity from "&amp;OCF_Activity_Template_Table[[#This Row],[GL_Other]]</f>
        <v>Clear BNS activity from 6066010</v>
      </c>
    </row>
    <row r="79" spans="1:27" x14ac:dyDescent="0.25">
      <c r="A79" s="10" t="s">
        <v>83</v>
      </c>
      <c r="B79" s="10" t="s">
        <v>10</v>
      </c>
      <c r="C79" t="s">
        <v>1414</v>
      </c>
      <c r="D79" t="str">
        <f>INDEX(Modded_AMF_Table[#All], MATCH($C79,Modded_AMF_Table[[#All],[GL_Other]],0), MATCH("GL_AcctDesc",Modded_AMF_Table[#Headers],0))</f>
        <v>Truck &amp; Auto &amp; Airline - Others</v>
      </c>
      <c r="F79" s="51">
        <f t="array" ref="F7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27222.870000000003</v>
      </c>
      <c r="G79" s="51">
        <f t="array" ref="G7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18111.190000000002</v>
      </c>
      <c r="H79" s="51">
        <f t="array" ref="H7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9111.68</v>
      </c>
      <c r="I79" s="51">
        <f t="array" ref="I79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7898.68</v>
      </c>
      <c r="J79" s="51">
        <f>OCF_Activity_Template_Table[[#This Row],[BNS]]-OCF_Activity_Template_Table[[#This Row],[BNS PRE-Close Income - TE]]</f>
        <v>1213</v>
      </c>
      <c r="K79" s="51">
        <v>0</v>
      </c>
      <c r="L79" s="51" t="b">
        <f>IFERROR(VLOOKUP(OCF_Activity_Template_Table[[#This Row],[GL_Other]],GL_Acct_to_Clearing_Acct[Clearing Acct],1,FALSE)=OCF_Activity_Template_Table[[#This Row],[GL_Other]],FALSE)</f>
        <v>0</v>
      </c>
      <c r="M79" s="51" t="b">
        <f>NOT(ISERROR(VLOOKUP(OCF_Activity_Template_Table[[#This Row],[GL_Other]],GL_Acct_to_Clearing_Acct[#All],2,FALSE)))</f>
        <v>0</v>
      </c>
      <c r="N79" s="51">
        <v>0</v>
      </c>
      <c r="O79" s="61"/>
      <c r="P79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-1213</v>
      </c>
      <c r="S79" s="15">
        <f>'Input &amp; Assumptions'!$C$11</f>
        <v>42215</v>
      </c>
      <c r="T79" s="15">
        <f>'Input &amp; Assumptions'!$C$12</f>
        <v>42215</v>
      </c>
      <c r="U79" t="str">
        <f>IF(OCF_Activity_Template_Table[[#This Row],[BNS Amount to Clear]]&gt;=0,"40","50")</f>
        <v>50</v>
      </c>
      <c r="V79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6066020</v>
      </c>
      <c r="W79">
        <v>366</v>
      </c>
      <c r="X79" t="str">
        <f>IFERROR(VLOOKUP(OCF_Activity_Template_Table[[#This Row],[HFM_Account]],HFM_Acct_to_CC[#All],2,FALSE),"")</f>
        <v>TBD</v>
      </c>
      <c r="Y79" t="str">
        <f>IF(OCF_Activity_Template_Table[[#This Row],[Trading_Partner]]="","",OCF_Activity_Template_Table[[#This Row],[Trading_Partner]])</f>
        <v/>
      </c>
      <c r="Z79" s="51">
        <f>ROUND(ABS(OCF_Activity_Template_Table[[#This Row],[BNS Amount to Clear]]),2)</f>
        <v>1213</v>
      </c>
      <c r="AA79" t="str">
        <f>"Clear BNS activity from "&amp;OCF_Activity_Template_Table[[#This Row],[GL_Other]]</f>
        <v>Clear BNS activity from 6066020</v>
      </c>
    </row>
    <row r="80" spans="1:27" x14ac:dyDescent="0.25">
      <c r="A80" s="10" t="s">
        <v>83</v>
      </c>
      <c r="B80" s="10" t="s">
        <v>10</v>
      </c>
      <c r="C80" t="s">
        <v>1418</v>
      </c>
      <c r="D80" t="str">
        <f>INDEX(Modded_AMF_Table[#All], MATCH($C80,Modded_AMF_Table[[#All],[GL_Other]],0), MATCH("GL_AcctDesc",Modded_AMF_Table[#Headers],0))</f>
        <v>Company Cars - Lease Costs</v>
      </c>
      <c r="F80" s="51">
        <f t="array" ref="F8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60828.46</v>
      </c>
      <c r="G80" s="51">
        <f t="array" ref="G8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42596.78</v>
      </c>
      <c r="H80" s="51">
        <f t="array" ref="H8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18231.68</v>
      </c>
      <c r="I80" s="51">
        <f t="array" ref="I80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15225.5</v>
      </c>
      <c r="J80" s="51">
        <f>OCF_Activity_Template_Table[[#This Row],[BNS]]-OCF_Activity_Template_Table[[#This Row],[BNS PRE-Close Income - TE]]</f>
        <v>3006.1800000000003</v>
      </c>
      <c r="K80" s="51">
        <v>0</v>
      </c>
      <c r="L80" s="51" t="b">
        <f>IFERROR(VLOOKUP(OCF_Activity_Template_Table[[#This Row],[GL_Other]],GL_Acct_to_Clearing_Acct[Clearing Acct],1,FALSE)=OCF_Activity_Template_Table[[#This Row],[GL_Other]],FALSE)</f>
        <v>0</v>
      </c>
      <c r="M80" s="51" t="b">
        <f>NOT(ISERROR(VLOOKUP(OCF_Activity_Template_Table[[#This Row],[GL_Other]],GL_Acct_to_Clearing_Acct[#All],2,FALSE)))</f>
        <v>0</v>
      </c>
      <c r="N80" s="51">
        <v>0</v>
      </c>
      <c r="O80" s="61"/>
      <c r="P80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-3006.1800000000003</v>
      </c>
      <c r="S80" s="15">
        <f>'Input &amp; Assumptions'!$C$11</f>
        <v>42215</v>
      </c>
      <c r="T80" s="15">
        <f>'Input &amp; Assumptions'!$C$12</f>
        <v>42215</v>
      </c>
      <c r="U80" t="str">
        <f>IF(OCF_Activity_Template_Table[[#This Row],[BNS Amount to Clear]]&gt;=0,"40","50")</f>
        <v>50</v>
      </c>
      <c r="V80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6066202</v>
      </c>
      <c r="W80">
        <v>366</v>
      </c>
      <c r="X80" t="str">
        <f>IFERROR(VLOOKUP(OCF_Activity_Template_Table[[#This Row],[HFM_Account]],HFM_Acct_to_CC[#All],2,FALSE),"")</f>
        <v>TBD</v>
      </c>
      <c r="Y80" t="str">
        <f>IF(OCF_Activity_Template_Table[[#This Row],[Trading_Partner]]="","",OCF_Activity_Template_Table[[#This Row],[Trading_Partner]])</f>
        <v/>
      </c>
      <c r="Z80" s="51">
        <f>ROUND(ABS(OCF_Activity_Template_Table[[#This Row],[BNS Amount to Clear]]),2)</f>
        <v>3006.18</v>
      </c>
      <c r="AA80" t="str">
        <f>"Clear BNS activity from "&amp;OCF_Activity_Template_Table[[#This Row],[GL_Other]]</f>
        <v>Clear BNS activity from 6066202</v>
      </c>
    </row>
    <row r="81" spans="1:27" x14ac:dyDescent="0.25">
      <c r="A81" s="10" t="s">
        <v>83</v>
      </c>
      <c r="B81" s="10" t="s">
        <v>10</v>
      </c>
      <c r="C81" t="s">
        <v>1563</v>
      </c>
      <c r="D81" t="str">
        <f>INDEX(Modded_AMF_Table[#All], MATCH($C81,Modded_AMF_Table[[#All],[GL_Other]],0), MATCH("GL_AcctDesc",Modded_AMF_Table[#Headers],0))</f>
        <v>Postage</v>
      </c>
      <c r="F81" s="51">
        <f t="array" ref="F8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50.9</v>
      </c>
      <c r="G81" s="51">
        <f t="array" ref="G8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0</v>
      </c>
      <c r="H81" s="51">
        <f t="array" ref="H8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50.9</v>
      </c>
      <c r="I81" s="51">
        <f t="array" ref="I81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81" s="51">
        <f>OCF_Activity_Template_Table[[#This Row],[BNS]]-OCF_Activity_Template_Table[[#This Row],[BNS PRE-Close Income - TE]]</f>
        <v>50.9</v>
      </c>
      <c r="K81" s="51">
        <v>0</v>
      </c>
      <c r="L81" s="51" t="b">
        <f>IFERROR(VLOOKUP(OCF_Activity_Template_Table[[#This Row],[GL_Other]],GL_Acct_to_Clearing_Acct[Clearing Acct],1,FALSE)=OCF_Activity_Template_Table[[#This Row],[GL_Other]],FALSE)</f>
        <v>0</v>
      </c>
      <c r="M81" s="51" t="b">
        <f>NOT(ISERROR(VLOOKUP(OCF_Activity_Template_Table[[#This Row],[GL_Other]],GL_Acct_to_Clearing_Acct[#All],2,FALSE)))</f>
        <v>0</v>
      </c>
      <c r="N81" s="51">
        <v>0</v>
      </c>
      <c r="O81" s="61"/>
      <c r="P81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-50.9</v>
      </c>
      <c r="S81" s="15">
        <f>'Input &amp; Assumptions'!$C$11</f>
        <v>42215</v>
      </c>
      <c r="T81" s="15">
        <f>'Input &amp; Assumptions'!$C$12</f>
        <v>42215</v>
      </c>
      <c r="U81" t="str">
        <f>IF(OCF_Activity_Template_Table[[#This Row],[BNS Amount to Clear]]&gt;=0,"40","50")</f>
        <v>50</v>
      </c>
      <c r="V81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6067000</v>
      </c>
      <c r="W81">
        <v>366</v>
      </c>
      <c r="X81" t="str">
        <f>IFERROR(VLOOKUP(OCF_Activity_Template_Table[[#This Row],[HFM_Account]],HFM_Acct_to_CC[#All],2,FALSE),"")</f>
        <v>TBD</v>
      </c>
      <c r="Y81" t="str">
        <f>IF(OCF_Activity_Template_Table[[#This Row],[Trading_Partner]]="","",OCF_Activity_Template_Table[[#This Row],[Trading_Partner]])</f>
        <v/>
      </c>
      <c r="Z81" s="51">
        <f>ROUND(ABS(OCF_Activity_Template_Table[[#This Row],[BNS Amount to Clear]]),2)</f>
        <v>50.9</v>
      </c>
      <c r="AA81" t="str">
        <f>"Clear BNS activity from "&amp;OCF_Activity_Template_Table[[#This Row],[GL_Other]]</f>
        <v>Clear BNS activity from 6067000</v>
      </c>
    </row>
    <row r="82" spans="1:27" x14ac:dyDescent="0.25">
      <c r="A82" s="10" t="s">
        <v>83</v>
      </c>
      <c r="B82" s="10" t="s">
        <v>10</v>
      </c>
      <c r="C82" t="s">
        <v>1421</v>
      </c>
      <c r="D82" t="str">
        <f>INDEX(Modded_AMF_Table[#All], MATCH($C82,Modded_AMF_Table[[#All],[GL_Other]],0), MATCH("GL_AcctDesc",Modded_AMF_Table[#Headers],0))</f>
        <v>Office Supplies</v>
      </c>
      <c r="F82" s="51">
        <f t="array" ref="F8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364.63</v>
      </c>
      <c r="G82" s="51">
        <f t="array" ref="G8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244.1</v>
      </c>
      <c r="H82" s="51">
        <f t="array" ref="H8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120.53</v>
      </c>
      <c r="I82" s="51">
        <f t="array" ref="I82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120.53</v>
      </c>
      <c r="J82" s="51">
        <f>OCF_Activity_Template_Table[[#This Row],[BNS]]-OCF_Activity_Template_Table[[#This Row],[BNS PRE-Close Income - TE]]</f>
        <v>0</v>
      </c>
      <c r="K82" s="51">
        <v>0</v>
      </c>
      <c r="L82" s="51" t="b">
        <f>IFERROR(VLOOKUP(OCF_Activity_Template_Table[[#This Row],[GL_Other]],GL_Acct_to_Clearing_Acct[Clearing Acct],1,FALSE)=OCF_Activity_Template_Table[[#This Row],[GL_Other]],FALSE)</f>
        <v>0</v>
      </c>
      <c r="M82" s="51" t="b">
        <f>NOT(ISERROR(VLOOKUP(OCF_Activity_Template_Table[[#This Row],[GL_Other]],GL_Acct_to_Clearing_Acct[#All],2,FALSE)))</f>
        <v>0</v>
      </c>
      <c r="N82" s="51">
        <v>0</v>
      </c>
      <c r="O82" s="61"/>
      <c r="P82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82" s="15">
        <f>'Input &amp; Assumptions'!$C$11</f>
        <v>42215</v>
      </c>
      <c r="T82" s="15">
        <f>'Input &amp; Assumptions'!$C$12</f>
        <v>42215</v>
      </c>
      <c r="U82" t="str">
        <f>IF(OCF_Activity_Template_Table[[#This Row],[BNS Amount to Clear]]&gt;=0,"40","50")</f>
        <v>40</v>
      </c>
      <c r="V82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6068000</v>
      </c>
      <c r="W82">
        <v>366</v>
      </c>
      <c r="X82" t="str">
        <f>IFERROR(VLOOKUP(OCF_Activity_Template_Table[[#This Row],[HFM_Account]],HFM_Acct_to_CC[#All],2,FALSE),"")</f>
        <v>TBD</v>
      </c>
      <c r="Y82" t="str">
        <f>IF(OCF_Activity_Template_Table[[#This Row],[Trading_Partner]]="","",OCF_Activity_Template_Table[[#This Row],[Trading_Partner]])</f>
        <v/>
      </c>
      <c r="Z82" s="51">
        <f>ROUND(ABS(OCF_Activity_Template_Table[[#This Row],[BNS Amount to Clear]]),2)</f>
        <v>0</v>
      </c>
      <c r="AA82" t="str">
        <f>"Clear BNS activity from "&amp;OCF_Activity_Template_Table[[#This Row],[GL_Other]]</f>
        <v>Clear BNS activity from 6068000</v>
      </c>
    </row>
    <row r="83" spans="1:27" x14ac:dyDescent="0.25">
      <c r="A83" s="10" t="s">
        <v>83</v>
      </c>
      <c r="B83" s="10" t="s">
        <v>10</v>
      </c>
      <c r="C83" t="s">
        <v>1431</v>
      </c>
      <c r="D83" t="str">
        <f>INDEX(Modded_AMF_Table[#All], MATCH($C83,Modded_AMF_Table[[#All],[GL_Other]],0), MATCH("GL_AcctDesc",Modded_AMF_Table[#Headers],0))</f>
        <v>Sales Samples</v>
      </c>
      <c r="F83" s="51">
        <f t="array" ref="F8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2694.81</v>
      </c>
      <c r="G83" s="51">
        <f t="array" ref="G8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1252.21</v>
      </c>
      <c r="H83" s="51">
        <f t="array" ref="H8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1442.6</v>
      </c>
      <c r="I83" s="51">
        <f t="array" ref="I83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5651.27</v>
      </c>
      <c r="J83" s="51">
        <f>OCF_Activity_Template_Table[[#This Row],[BNS]]-OCF_Activity_Template_Table[[#This Row],[BNS PRE-Close Income - TE]]</f>
        <v>-4208.67</v>
      </c>
      <c r="K83" s="51">
        <v>0</v>
      </c>
      <c r="L83" s="51" t="b">
        <f>IFERROR(VLOOKUP(OCF_Activity_Template_Table[[#This Row],[GL_Other]],GL_Acct_to_Clearing_Acct[Clearing Acct],1,FALSE)=OCF_Activity_Template_Table[[#This Row],[GL_Other]],FALSE)</f>
        <v>0</v>
      </c>
      <c r="M83" s="51" t="b">
        <f>NOT(ISERROR(VLOOKUP(OCF_Activity_Template_Table[[#This Row],[GL_Other]],GL_Acct_to_Clearing_Acct[#All],2,FALSE)))</f>
        <v>0</v>
      </c>
      <c r="N83" s="51">
        <v>0</v>
      </c>
      <c r="O83" s="61"/>
      <c r="P83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4208.67</v>
      </c>
      <c r="S83" s="15">
        <f>'Input &amp; Assumptions'!$C$11</f>
        <v>42215</v>
      </c>
      <c r="T83" s="15">
        <f>'Input &amp; Assumptions'!$C$12</f>
        <v>42215</v>
      </c>
      <c r="U83" t="str">
        <f>IF(OCF_Activity_Template_Table[[#This Row],[BNS Amount to Clear]]&gt;=0,"40","50")</f>
        <v>40</v>
      </c>
      <c r="V83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6075000</v>
      </c>
      <c r="W83">
        <v>366</v>
      </c>
      <c r="X83" t="str">
        <f>IFERROR(VLOOKUP(OCF_Activity_Template_Table[[#This Row],[HFM_Account]],HFM_Acct_to_CC[#All],2,FALSE),"")</f>
        <v>TBD</v>
      </c>
      <c r="Y83" t="str">
        <f>IF(OCF_Activity_Template_Table[[#This Row],[Trading_Partner]]="","",OCF_Activity_Template_Table[[#This Row],[Trading_Partner]])</f>
        <v/>
      </c>
      <c r="Z83" s="51">
        <f>ROUND(ABS(OCF_Activity_Template_Table[[#This Row],[BNS Amount to Clear]]),2)</f>
        <v>4208.67</v>
      </c>
      <c r="AA83" t="str">
        <f>"Clear BNS activity from "&amp;OCF_Activity_Template_Table[[#This Row],[GL_Other]]</f>
        <v>Clear BNS activity from 6075000</v>
      </c>
    </row>
    <row r="84" spans="1:27" x14ac:dyDescent="0.25">
      <c r="A84" s="10" t="s">
        <v>83</v>
      </c>
      <c r="B84" s="10" t="s">
        <v>10</v>
      </c>
      <c r="C84" t="s">
        <v>1424</v>
      </c>
      <c r="D84" t="str">
        <f>INDEX(Modded_AMF_Table[#All], MATCH($C84,Modded_AMF_Table[[#All],[GL_Other]],0), MATCH("GL_AcctDesc",Modded_AMF_Table[#Headers],0))</f>
        <v>Computer Equipment &amp; Accessories</v>
      </c>
      <c r="F84" s="51">
        <f t="array" ref="F8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867.22</v>
      </c>
      <c r="G84" s="51">
        <f t="array" ref="G8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727.09</v>
      </c>
      <c r="H84" s="51">
        <f t="array" ref="H8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140.13</v>
      </c>
      <c r="I84" s="51">
        <f t="array" ref="I84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1661.31</v>
      </c>
      <c r="J84" s="51">
        <f>OCF_Activity_Template_Table[[#This Row],[BNS]]-OCF_Activity_Template_Table[[#This Row],[BNS PRE-Close Income - TE]]</f>
        <v>-1521.1799999999998</v>
      </c>
      <c r="K84" s="51">
        <v>0</v>
      </c>
      <c r="L84" s="51" t="b">
        <f>IFERROR(VLOOKUP(OCF_Activity_Template_Table[[#This Row],[GL_Other]],GL_Acct_to_Clearing_Acct[Clearing Acct],1,FALSE)=OCF_Activity_Template_Table[[#This Row],[GL_Other]],FALSE)</f>
        <v>0</v>
      </c>
      <c r="M84" s="51" t="b">
        <f>NOT(ISERROR(VLOOKUP(OCF_Activity_Template_Table[[#This Row],[GL_Other]],GL_Acct_to_Clearing_Acct[#All],2,FALSE)))</f>
        <v>0</v>
      </c>
      <c r="N84" s="51">
        <v>0</v>
      </c>
      <c r="O84" s="61"/>
      <c r="P84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1521.1799999999998</v>
      </c>
      <c r="S84" s="15">
        <f>'Input &amp; Assumptions'!$C$11</f>
        <v>42215</v>
      </c>
      <c r="T84" s="15">
        <f>'Input &amp; Assumptions'!$C$12</f>
        <v>42215</v>
      </c>
      <c r="U84" t="str">
        <f>IF(OCF_Activity_Template_Table[[#This Row],[BNS Amount to Clear]]&gt;=0,"40","50")</f>
        <v>40</v>
      </c>
      <c r="V84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6078000</v>
      </c>
      <c r="W84">
        <v>366</v>
      </c>
      <c r="X84" t="str">
        <f>IFERROR(VLOOKUP(OCF_Activity_Template_Table[[#This Row],[HFM_Account]],HFM_Acct_to_CC[#All],2,FALSE),"")</f>
        <v>TBD</v>
      </c>
      <c r="Y84" t="str">
        <f>IF(OCF_Activity_Template_Table[[#This Row],[Trading_Partner]]="","",OCF_Activity_Template_Table[[#This Row],[Trading_Partner]])</f>
        <v/>
      </c>
      <c r="Z84" s="51">
        <f>ROUND(ABS(OCF_Activity_Template_Table[[#This Row],[BNS Amount to Clear]]),2)</f>
        <v>1521.18</v>
      </c>
      <c r="AA84" t="str">
        <f>"Clear BNS activity from "&amp;OCF_Activity_Template_Table[[#This Row],[GL_Other]]</f>
        <v>Clear BNS activity from 6078000</v>
      </c>
    </row>
    <row r="85" spans="1:27" x14ac:dyDescent="0.25">
      <c r="A85" s="10" t="s">
        <v>83</v>
      </c>
      <c r="B85" s="10" t="s">
        <v>10</v>
      </c>
      <c r="C85" t="s">
        <v>1467</v>
      </c>
      <c r="D85" t="str">
        <f>INDEX(Modded_AMF_Table[#All], MATCH($C85,Modded_AMF_Table[[#All],[GL_Other]],0), MATCH("GL_AcctDesc",Modded_AMF_Table[#Headers],0))</f>
        <v>Communication Equipment</v>
      </c>
      <c r="F85" s="51">
        <f t="array" ref="F8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2975.98</v>
      </c>
      <c r="G85" s="51">
        <f t="array" ref="G8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734.68</v>
      </c>
      <c r="H85" s="51">
        <f t="array" ref="H8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2241.3000000000002</v>
      </c>
      <c r="I85" s="51">
        <f t="array" ref="I85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720.12</v>
      </c>
      <c r="J85" s="51">
        <f>OCF_Activity_Template_Table[[#This Row],[BNS]]-OCF_Activity_Template_Table[[#This Row],[BNS PRE-Close Income - TE]]</f>
        <v>1521.1800000000003</v>
      </c>
      <c r="K85" s="51">
        <v>0</v>
      </c>
      <c r="L85" s="51" t="b">
        <f>IFERROR(VLOOKUP(OCF_Activity_Template_Table[[#This Row],[GL_Other]],GL_Acct_to_Clearing_Acct[Clearing Acct],1,FALSE)=OCF_Activity_Template_Table[[#This Row],[GL_Other]],FALSE)</f>
        <v>0</v>
      </c>
      <c r="M85" s="51" t="b">
        <f>NOT(ISERROR(VLOOKUP(OCF_Activity_Template_Table[[#This Row],[GL_Other]],GL_Acct_to_Clearing_Acct[#All],2,FALSE)))</f>
        <v>0</v>
      </c>
      <c r="N85" s="51">
        <v>0</v>
      </c>
      <c r="O85" s="61"/>
      <c r="P85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-1521.1800000000003</v>
      </c>
      <c r="S85" s="15">
        <f>'Input &amp; Assumptions'!$C$11</f>
        <v>42215</v>
      </c>
      <c r="T85" s="15">
        <f>'Input &amp; Assumptions'!$C$12</f>
        <v>42215</v>
      </c>
      <c r="U85" t="str">
        <f>IF(OCF_Activity_Template_Table[[#This Row],[BNS Amount to Clear]]&gt;=0,"40","50")</f>
        <v>50</v>
      </c>
      <c r="V85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6078020</v>
      </c>
      <c r="W85">
        <v>366</v>
      </c>
      <c r="X85" t="str">
        <f>IFERROR(VLOOKUP(OCF_Activity_Template_Table[[#This Row],[HFM_Account]],HFM_Acct_to_CC[#All],2,FALSE),"")</f>
        <v>TBD</v>
      </c>
      <c r="Y85" t="str">
        <f>IF(OCF_Activity_Template_Table[[#This Row],[Trading_Partner]]="","",OCF_Activity_Template_Table[[#This Row],[Trading_Partner]])</f>
        <v/>
      </c>
      <c r="Z85" s="51">
        <f>ROUND(ABS(OCF_Activity_Template_Table[[#This Row],[BNS Amount to Clear]]),2)</f>
        <v>1521.18</v>
      </c>
      <c r="AA85" t="str">
        <f>"Clear BNS activity from "&amp;OCF_Activity_Template_Table[[#This Row],[GL_Other]]</f>
        <v>Clear BNS activity from 6078020</v>
      </c>
    </row>
    <row r="86" spans="1:27" x14ac:dyDescent="0.25">
      <c r="A86" s="10" t="s">
        <v>83</v>
      </c>
      <c r="B86" s="10" t="s">
        <v>10</v>
      </c>
      <c r="C86" t="s">
        <v>1435</v>
      </c>
      <c r="D86" t="str">
        <f>INDEX(Modded_AMF_Table[#All], MATCH($C86,Modded_AMF_Table[[#All],[GL_Other]],0), MATCH("GL_AcctDesc",Modded_AMF_Table[#Headers],0))</f>
        <v>Outside Services - Other</v>
      </c>
      <c r="F86" s="51">
        <f t="array" ref="F8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663.26</v>
      </c>
      <c r="G86" s="51">
        <f t="array" ref="G8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663.26</v>
      </c>
      <c r="H86" s="51">
        <f t="array" ref="H8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86" s="51">
        <f t="array" ref="I86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86" s="51">
        <f>OCF_Activity_Template_Table[[#This Row],[BNS]]-OCF_Activity_Template_Table[[#This Row],[BNS PRE-Close Income - TE]]</f>
        <v>0</v>
      </c>
      <c r="K86" s="51">
        <v>0</v>
      </c>
      <c r="L86" s="51" t="b">
        <f>IFERROR(VLOOKUP(OCF_Activity_Template_Table[[#This Row],[GL_Other]],GL_Acct_to_Clearing_Acct[Clearing Acct],1,FALSE)=OCF_Activity_Template_Table[[#This Row],[GL_Other]],FALSE)</f>
        <v>0</v>
      </c>
      <c r="M86" s="51" t="b">
        <f>NOT(ISERROR(VLOOKUP(OCF_Activity_Template_Table[[#This Row],[GL_Other]],GL_Acct_to_Clearing_Acct[#All],2,FALSE)))</f>
        <v>0</v>
      </c>
      <c r="N86" s="51">
        <v>0</v>
      </c>
      <c r="O86" s="61"/>
      <c r="P86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86" s="15">
        <f>'Input &amp; Assumptions'!$C$11</f>
        <v>42215</v>
      </c>
      <c r="T86" s="15">
        <f>'Input &amp; Assumptions'!$C$12</f>
        <v>42215</v>
      </c>
      <c r="U86" t="str">
        <f>IF(OCF_Activity_Template_Table[[#This Row],[BNS Amount to Clear]]&gt;=0,"40","50")</f>
        <v>40</v>
      </c>
      <c r="V86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6081320</v>
      </c>
      <c r="W86">
        <v>366</v>
      </c>
      <c r="X86" t="str">
        <f>IFERROR(VLOOKUP(OCF_Activity_Template_Table[[#This Row],[HFM_Account]],HFM_Acct_to_CC[#All],2,FALSE),"")</f>
        <v>TBD</v>
      </c>
      <c r="Y86" t="str">
        <f>IF(OCF_Activity_Template_Table[[#This Row],[Trading_Partner]]="","",OCF_Activity_Template_Table[[#This Row],[Trading_Partner]])</f>
        <v/>
      </c>
      <c r="Z86" s="51">
        <f>ROUND(ABS(OCF_Activity_Template_Table[[#This Row],[BNS Amount to Clear]]),2)</f>
        <v>0</v>
      </c>
      <c r="AA86" t="str">
        <f>"Clear BNS activity from "&amp;OCF_Activity_Template_Table[[#This Row],[GL_Other]]</f>
        <v>Clear BNS activity from 6081320</v>
      </c>
    </row>
    <row r="87" spans="1:27" x14ac:dyDescent="0.25">
      <c r="A87" s="10" t="s">
        <v>83</v>
      </c>
      <c r="B87" s="10" t="s">
        <v>10</v>
      </c>
      <c r="C87" t="s">
        <v>1432</v>
      </c>
      <c r="D87" t="str">
        <f>INDEX(Modded_AMF_Table[#All], MATCH($C87,Modded_AMF_Table[[#All],[GL_Other]],0), MATCH("GL_AcctDesc",Modded_AMF_Table[#Headers],0))</f>
        <v>Advertising</v>
      </c>
      <c r="F87" s="51">
        <f t="array" ref="F8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880</v>
      </c>
      <c r="G87" s="51">
        <f t="array" ref="G8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880</v>
      </c>
      <c r="H87" s="51">
        <f t="array" ref="H8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87" s="51">
        <f t="array" ref="I87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87" s="51">
        <f>OCF_Activity_Template_Table[[#This Row],[BNS]]-OCF_Activity_Template_Table[[#This Row],[BNS PRE-Close Income - TE]]</f>
        <v>0</v>
      </c>
      <c r="K87" s="51">
        <v>0</v>
      </c>
      <c r="L87" s="51" t="b">
        <f>IFERROR(VLOOKUP(OCF_Activity_Template_Table[[#This Row],[GL_Other]],GL_Acct_to_Clearing_Acct[Clearing Acct],1,FALSE)=OCF_Activity_Template_Table[[#This Row],[GL_Other]],FALSE)</f>
        <v>0</v>
      </c>
      <c r="M87" s="51" t="b">
        <f>NOT(ISERROR(VLOOKUP(OCF_Activity_Template_Table[[#This Row],[GL_Other]],GL_Acct_to_Clearing_Acct[#All],2,FALSE)))</f>
        <v>0</v>
      </c>
      <c r="N87" s="51">
        <v>0</v>
      </c>
      <c r="O87" s="61"/>
      <c r="P87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87" s="15">
        <f>'Input &amp; Assumptions'!$C$11</f>
        <v>42215</v>
      </c>
      <c r="T87" s="15">
        <f>'Input &amp; Assumptions'!$C$12</f>
        <v>42215</v>
      </c>
      <c r="U87" t="str">
        <f>IF(OCF_Activity_Template_Table[[#This Row],[BNS Amount to Clear]]&gt;=0,"40","50")</f>
        <v>40</v>
      </c>
      <c r="V87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6082000</v>
      </c>
      <c r="W87">
        <v>366</v>
      </c>
      <c r="X87" t="str">
        <f>IFERROR(VLOOKUP(OCF_Activity_Template_Table[[#This Row],[HFM_Account]],HFM_Acct_to_CC[#All],2,FALSE),"")</f>
        <v>TBD</v>
      </c>
      <c r="Y87" t="str">
        <f>IF(OCF_Activity_Template_Table[[#This Row],[Trading_Partner]]="","",OCF_Activity_Template_Table[[#This Row],[Trading_Partner]])</f>
        <v/>
      </c>
      <c r="Z87" s="51">
        <f>ROUND(ABS(OCF_Activity_Template_Table[[#This Row],[BNS Amount to Clear]]),2)</f>
        <v>0</v>
      </c>
      <c r="AA87" t="str">
        <f>"Clear BNS activity from "&amp;OCF_Activity_Template_Table[[#This Row],[GL_Other]]</f>
        <v>Clear BNS activity from 6082000</v>
      </c>
    </row>
    <row r="88" spans="1:27" x14ac:dyDescent="0.25">
      <c r="A88" s="10" t="s">
        <v>83</v>
      </c>
      <c r="B88" s="10" t="s">
        <v>10</v>
      </c>
      <c r="C88" t="s">
        <v>1470</v>
      </c>
      <c r="D88" t="str">
        <f>INDEX(Modded_AMF_Table[#All], MATCH($C88,Modded_AMF_Table[[#All],[GL_Other]],0), MATCH("GL_AcctDesc",Modded_AMF_Table[#Headers],0))</f>
        <v>Customer Visit and Training</v>
      </c>
      <c r="F88" s="51">
        <f t="array" ref="F8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300</v>
      </c>
      <c r="G88" s="51">
        <f t="array" ref="G8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0</v>
      </c>
      <c r="H88" s="51">
        <f t="array" ref="H8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300</v>
      </c>
      <c r="I88" s="51">
        <f t="array" ref="I88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300</v>
      </c>
      <c r="J88" s="51">
        <f>OCF_Activity_Template_Table[[#This Row],[BNS]]-OCF_Activity_Template_Table[[#This Row],[BNS PRE-Close Income - TE]]</f>
        <v>0</v>
      </c>
      <c r="K88" s="51">
        <v>0</v>
      </c>
      <c r="L88" s="51" t="b">
        <f>IFERROR(VLOOKUP(OCF_Activity_Template_Table[[#This Row],[GL_Other]],GL_Acct_to_Clearing_Acct[Clearing Acct],1,FALSE)=OCF_Activity_Template_Table[[#This Row],[GL_Other]],FALSE)</f>
        <v>0</v>
      </c>
      <c r="M88" s="51" t="b">
        <f>NOT(ISERROR(VLOOKUP(OCF_Activity_Template_Table[[#This Row],[GL_Other]],GL_Acct_to_Clearing_Acct[#All],2,FALSE)))</f>
        <v>0</v>
      </c>
      <c r="N88" s="51">
        <v>0</v>
      </c>
      <c r="O88" s="61"/>
      <c r="P88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88" s="15">
        <f>'Input &amp; Assumptions'!$C$11</f>
        <v>42215</v>
      </c>
      <c r="T88" s="15">
        <f>'Input &amp; Assumptions'!$C$12</f>
        <v>42215</v>
      </c>
      <c r="U88" t="str">
        <f>IF(OCF_Activity_Template_Table[[#This Row],[BNS Amount to Clear]]&gt;=0,"40","50")</f>
        <v>40</v>
      </c>
      <c r="V88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6085040</v>
      </c>
      <c r="W88">
        <v>366</v>
      </c>
      <c r="X88" t="str">
        <f>IFERROR(VLOOKUP(OCF_Activity_Template_Table[[#This Row],[HFM_Account]],HFM_Acct_to_CC[#All],2,FALSE),"")</f>
        <v>TBD</v>
      </c>
      <c r="Y88" t="str">
        <f>IF(OCF_Activity_Template_Table[[#This Row],[Trading_Partner]]="","",OCF_Activity_Template_Table[[#This Row],[Trading_Partner]])</f>
        <v/>
      </c>
      <c r="Z88" s="51">
        <f>ROUND(ABS(OCF_Activity_Template_Table[[#This Row],[BNS Amount to Clear]]),2)</f>
        <v>0</v>
      </c>
      <c r="AA88" t="str">
        <f>"Clear BNS activity from "&amp;OCF_Activity_Template_Table[[#This Row],[GL_Other]]</f>
        <v>Clear BNS activity from 6085040</v>
      </c>
    </row>
    <row r="89" spans="1:27" x14ac:dyDescent="0.25">
      <c r="A89" s="10" t="s">
        <v>83</v>
      </c>
      <c r="B89" s="10" t="s">
        <v>10</v>
      </c>
      <c r="C89" t="s">
        <v>1473</v>
      </c>
      <c r="D89" t="str">
        <f>INDEX(Modded_AMF_Table[#All], MATCH($C89,Modded_AMF_Table[[#All],[GL_Other]],0), MATCH("GL_AcctDesc",Modded_AMF_Table[#Headers],0))</f>
        <v>Promotion - Trade Shows</v>
      </c>
      <c r="F89" s="51">
        <f t="array" ref="F8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17885.25</v>
      </c>
      <c r="G89" s="51">
        <f t="array" ref="G8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1500</v>
      </c>
      <c r="H89" s="51">
        <f t="array" ref="H8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16385.25</v>
      </c>
      <c r="I89" s="51">
        <f t="array" ref="I89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16385.25</v>
      </c>
      <c r="J89" s="51">
        <f>OCF_Activity_Template_Table[[#This Row],[BNS]]-OCF_Activity_Template_Table[[#This Row],[BNS PRE-Close Income - TE]]</f>
        <v>0</v>
      </c>
      <c r="K89" s="51">
        <v>0</v>
      </c>
      <c r="L89" s="51" t="b">
        <f>IFERROR(VLOOKUP(OCF_Activity_Template_Table[[#This Row],[GL_Other]],GL_Acct_to_Clearing_Acct[Clearing Acct],1,FALSE)=OCF_Activity_Template_Table[[#This Row],[GL_Other]],FALSE)</f>
        <v>0</v>
      </c>
      <c r="M89" s="51" t="b">
        <f>NOT(ISERROR(VLOOKUP(OCF_Activity_Template_Table[[#This Row],[GL_Other]],GL_Acct_to_Clearing_Acct[#All],2,FALSE)))</f>
        <v>0</v>
      </c>
      <c r="N89" s="51">
        <v>0</v>
      </c>
      <c r="O89" s="61"/>
      <c r="P89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89" s="15">
        <f>'Input &amp; Assumptions'!$C$11</f>
        <v>42215</v>
      </c>
      <c r="T89" s="15">
        <f>'Input &amp; Assumptions'!$C$12</f>
        <v>42215</v>
      </c>
      <c r="U89" t="str">
        <f>IF(OCF_Activity_Template_Table[[#This Row],[BNS Amount to Clear]]&gt;=0,"40","50")</f>
        <v>40</v>
      </c>
      <c r="V89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6085070</v>
      </c>
      <c r="W89">
        <v>366</v>
      </c>
      <c r="X89" t="str">
        <f>IFERROR(VLOOKUP(OCF_Activity_Template_Table[[#This Row],[HFM_Account]],HFM_Acct_to_CC[#All],2,FALSE),"")</f>
        <v>TBD</v>
      </c>
      <c r="Y89" t="str">
        <f>IF(OCF_Activity_Template_Table[[#This Row],[Trading_Partner]]="","",OCF_Activity_Template_Table[[#This Row],[Trading_Partner]])</f>
        <v/>
      </c>
      <c r="Z89" s="51">
        <f>ROUND(ABS(OCF_Activity_Template_Table[[#This Row],[BNS Amount to Clear]]),2)</f>
        <v>0</v>
      </c>
      <c r="AA89" t="str">
        <f>"Clear BNS activity from "&amp;OCF_Activity_Template_Table[[#This Row],[GL_Other]]</f>
        <v>Clear BNS activity from 6085070</v>
      </c>
    </row>
    <row r="90" spans="1:27" x14ac:dyDescent="0.25">
      <c r="A90" s="10" t="s">
        <v>83</v>
      </c>
      <c r="B90" s="10" t="s">
        <v>10</v>
      </c>
      <c r="C90" t="s">
        <v>1441</v>
      </c>
      <c r="D90" t="str">
        <f>INDEX(Modded_AMF_Table[#All], MATCH($C90,Modded_AMF_Table[[#All],[GL_Other]],0), MATCH("GL_AcctDesc",Modded_AMF_Table[#Headers],0))</f>
        <v>Dues &amp; Subscriptions</v>
      </c>
      <c r="F90" s="51">
        <f t="array" ref="F9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5970.87</v>
      </c>
      <c r="G90" s="51">
        <f t="array" ref="G9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2215.33</v>
      </c>
      <c r="H90" s="51">
        <f t="array" ref="H9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3755.54</v>
      </c>
      <c r="I90" s="51">
        <f t="array" ref="I90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3148</v>
      </c>
      <c r="J90" s="51">
        <f>OCF_Activity_Template_Table[[#This Row],[BNS]]-OCF_Activity_Template_Table[[#This Row],[BNS PRE-Close Income - TE]]</f>
        <v>607.54</v>
      </c>
      <c r="K90" s="51">
        <v>0</v>
      </c>
      <c r="L90" s="51" t="b">
        <f>IFERROR(VLOOKUP(OCF_Activity_Template_Table[[#This Row],[GL_Other]],GL_Acct_to_Clearing_Acct[Clearing Acct],1,FALSE)=OCF_Activity_Template_Table[[#This Row],[GL_Other]],FALSE)</f>
        <v>0</v>
      </c>
      <c r="M90" s="51" t="b">
        <f>NOT(ISERROR(VLOOKUP(OCF_Activity_Template_Table[[#This Row],[GL_Other]],GL_Acct_to_Clearing_Acct[#All],2,FALSE)))</f>
        <v>0</v>
      </c>
      <c r="N90" s="51">
        <v>0</v>
      </c>
      <c r="O90" s="61"/>
      <c r="P90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-607.54</v>
      </c>
      <c r="S90" s="15">
        <f>'Input &amp; Assumptions'!$C$11</f>
        <v>42215</v>
      </c>
      <c r="T90" s="15">
        <f>'Input &amp; Assumptions'!$C$12</f>
        <v>42215</v>
      </c>
      <c r="U90" t="str">
        <f>IF(OCF_Activity_Template_Table[[#This Row],[BNS Amount to Clear]]&gt;=0,"40","50")</f>
        <v>50</v>
      </c>
      <c r="V90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6086000</v>
      </c>
      <c r="W90">
        <v>366</v>
      </c>
      <c r="X90" t="str">
        <f>IFERROR(VLOOKUP(OCF_Activity_Template_Table[[#This Row],[HFM_Account]],HFM_Acct_to_CC[#All],2,FALSE),"")</f>
        <v>TBD</v>
      </c>
      <c r="Y90" t="str">
        <f>IF(OCF_Activity_Template_Table[[#This Row],[Trading_Partner]]="","",OCF_Activity_Template_Table[[#This Row],[Trading_Partner]])</f>
        <v/>
      </c>
      <c r="Z90" s="51">
        <f>ROUND(ABS(OCF_Activity_Template_Table[[#This Row],[BNS Amount to Clear]]),2)</f>
        <v>607.54</v>
      </c>
      <c r="AA90" t="str">
        <f>"Clear BNS activity from "&amp;OCF_Activity_Template_Table[[#This Row],[GL_Other]]</f>
        <v>Clear BNS activity from 6086000</v>
      </c>
    </row>
    <row r="91" spans="1:27" x14ac:dyDescent="0.25">
      <c r="A91" s="10" t="s">
        <v>83</v>
      </c>
      <c r="B91" s="10" t="s">
        <v>10</v>
      </c>
      <c r="C91" t="s">
        <v>1444</v>
      </c>
      <c r="D91" t="str">
        <f>INDEX(Modded_AMF_Table[#All], MATCH($C91,Modded_AMF_Table[[#All],[GL_Other]],0), MATCH("GL_AcctDesc",Modded_AMF_Table[#Headers],0))</f>
        <v>Employee Training</v>
      </c>
      <c r="F91" s="51">
        <f t="array" ref="F9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3282</v>
      </c>
      <c r="G91" s="51">
        <f t="array" ref="G9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750</v>
      </c>
      <c r="H91" s="51">
        <f t="array" ref="H9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2532</v>
      </c>
      <c r="I91" s="51">
        <f t="array" ref="I91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2532</v>
      </c>
      <c r="J91" s="51">
        <f>OCF_Activity_Template_Table[[#This Row],[BNS]]-OCF_Activity_Template_Table[[#This Row],[BNS PRE-Close Income - TE]]</f>
        <v>0</v>
      </c>
      <c r="K91" s="51">
        <v>0</v>
      </c>
      <c r="L91" s="51" t="b">
        <f>IFERROR(VLOOKUP(OCF_Activity_Template_Table[[#This Row],[GL_Other]],GL_Acct_to_Clearing_Acct[Clearing Acct],1,FALSE)=OCF_Activity_Template_Table[[#This Row],[GL_Other]],FALSE)</f>
        <v>0</v>
      </c>
      <c r="M91" s="51" t="b">
        <f>NOT(ISERROR(VLOOKUP(OCF_Activity_Template_Table[[#This Row],[GL_Other]],GL_Acct_to_Clearing_Acct[#All],2,FALSE)))</f>
        <v>0</v>
      </c>
      <c r="N91" s="51">
        <v>0</v>
      </c>
      <c r="O91" s="61"/>
      <c r="P91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91" s="15">
        <f>'Input &amp; Assumptions'!$C$11</f>
        <v>42215</v>
      </c>
      <c r="T91" s="15">
        <f>'Input &amp; Assumptions'!$C$12</f>
        <v>42215</v>
      </c>
      <c r="U91" t="str">
        <f>IF(OCF_Activity_Template_Table[[#This Row],[BNS Amount to Clear]]&gt;=0,"40","50")</f>
        <v>40</v>
      </c>
      <c r="V91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6087000</v>
      </c>
      <c r="W91">
        <v>366</v>
      </c>
      <c r="X91" t="str">
        <f>IFERROR(VLOOKUP(OCF_Activity_Template_Table[[#This Row],[HFM_Account]],HFM_Acct_to_CC[#All],2,FALSE),"")</f>
        <v>TBD</v>
      </c>
      <c r="Y91" t="str">
        <f>IF(OCF_Activity_Template_Table[[#This Row],[Trading_Partner]]="","",OCF_Activity_Template_Table[[#This Row],[Trading_Partner]])</f>
        <v/>
      </c>
      <c r="Z91" s="51">
        <f>ROUND(ABS(OCF_Activity_Template_Table[[#This Row],[BNS Amount to Clear]]),2)</f>
        <v>0</v>
      </c>
      <c r="AA91" t="str">
        <f>"Clear BNS activity from "&amp;OCF_Activity_Template_Table[[#This Row],[GL_Other]]</f>
        <v>Clear BNS activity from 6087000</v>
      </c>
    </row>
    <row r="92" spans="1:27" x14ac:dyDescent="0.25">
      <c r="A92" s="10" t="s">
        <v>83</v>
      </c>
      <c r="B92" s="10" t="s">
        <v>127</v>
      </c>
      <c r="C92" t="s">
        <v>1486</v>
      </c>
      <c r="D92" t="str">
        <f>INDEX(Modded_AMF_Table[#All], MATCH($C92,Modded_AMF_Table[[#All],[GL_Other]],0), MATCH("GL_AcctDesc",Modded_AMF_Table[#Headers],0))</f>
        <v>Exch.Loss Real.on Trd.A/P</v>
      </c>
      <c r="F92" s="51">
        <f t="array" ref="F9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-3.49</v>
      </c>
      <c r="G92" s="51">
        <f t="array" ref="G9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-2.42</v>
      </c>
      <c r="H92" s="51">
        <f t="array" ref="H9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-1.07</v>
      </c>
      <c r="I92" s="51">
        <f t="array" ref="I92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-1.07</v>
      </c>
      <c r="J92" s="51">
        <f>OCF_Activity_Template_Table[[#This Row],[BNS]]-OCF_Activity_Template_Table[[#This Row],[BNS PRE-Close Income - TE]]</f>
        <v>0</v>
      </c>
      <c r="K92" s="51">
        <v>0</v>
      </c>
      <c r="L92" s="51" t="b">
        <f>IFERROR(VLOOKUP(OCF_Activity_Template_Table[[#This Row],[GL_Other]],GL_Acct_to_Clearing_Acct[Clearing Acct],1,FALSE)=OCF_Activity_Template_Table[[#This Row],[GL_Other]],FALSE)</f>
        <v>0</v>
      </c>
      <c r="M92" s="51" t="b">
        <f>NOT(ISERROR(VLOOKUP(OCF_Activity_Template_Table[[#This Row],[GL_Other]],GL_Acct_to_Clearing_Acct[#All],2,FALSE)))</f>
        <v>0</v>
      </c>
      <c r="N92" s="51">
        <v>0</v>
      </c>
      <c r="O92" s="61"/>
      <c r="P92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92" s="15">
        <f>'Input &amp; Assumptions'!$C$11</f>
        <v>42215</v>
      </c>
      <c r="T92" s="15">
        <f>'Input &amp; Assumptions'!$C$12</f>
        <v>42215</v>
      </c>
      <c r="U92" t="str">
        <f>IF(OCF_Activity_Template_Table[[#This Row],[BNS Amount to Clear]]&gt;=0,"40","50")</f>
        <v>40</v>
      </c>
      <c r="V92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7006204</v>
      </c>
      <c r="W92">
        <v>366</v>
      </c>
      <c r="X92" t="str">
        <f>IFERROR(VLOOKUP(OCF_Activity_Template_Table[[#This Row],[HFM_Account]],HFM_Acct_to_CC[#All],2,FALSE),"")</f>
        <v/>
      </c>
      <c r="Y92" t="str">
        <f>IF(OCF_Activity_Template_Table[[#This Row],[Trading_Partner]]="","",OCF_Activity_Template_Table[[#This Row],[Trading_Partner]])</f>
        <v/>
      </c>
      <c r="Z92" s="51">
        <f>ROUND(ABS(OCF_Activity_Template_Table[[#This Row],[BNS Amount to Clear]]),2)</f>
        <v>0</v>
      </c>
      <c r="AA92" t="str">
        <f>"Clear BNS activity from "&amp;OCF_Activity_Template_Table[[#This Row],[GL_Other]]</f>
        <v>Clear BNS activity from 7006204</v>
      </c>
    </row>
    <row r="93" spans="1:27" x14ac:dyDescent="0.25">
      <c r="A93" s="10" t="s">
        <v>83</v>
      </c>
      <c r="B93" s="10" t="s">
        <v>127</v>
      </c>
      <c r="C93" t="s">
        <v>1493</v>
      </c>
      <c r="D93" t="str">
        <f>INDEX(Modded_AMF_Table[#All], MATCH($C93,Modded_AMF_Table[[#All],[GL_Other]],0), MATCH("GL_AcctDesc",Modded_AMF_Table[#Headers],0))</f>
        <v>Unrealised Exchange Gain</v>
      </c>
      <c r="F93" s="51">
        <f t="array" ref="F9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1939.6900000000003</v>
      </c>
      <c r="G93" s="51">
        <f t="array" ref="G9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644.70000000000027</v>
      </c>
      <c r="H93" s="51">
        <f t="array" ref="H9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1294.99</v>
      </c>
      <c r="I93" s="51">
        <f t="array" ref="I93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1294.99</v>
      </c>
      <c r="J93" s="51">
        <f>OCF_Activity_Template_Table[[#This Row],[BNS]]-OCF_Activity_Template_Table[[#This Row],[BNS PRE-Close Income - TE]]</f>
        <v>0</v>
      </c>
      <c r="K93" s="51">
        <v>0</v>
      </c>
      <c r="L93" s="51" t="b">
        <f>IFERROR(VLOOKUP(OCF_Activity_Template_Table[[#This Row],[GL_Other]],GL_Acct_to_Clearing_Acct[Clearing Acct],1,FALSE)=OCF_Activity_Template_Table[[#This Row],[GL_Other]],FALSE)</f>
        <v>0</v>
      </c>
      <c r="M93" s="51" t="b">
        <f>NOT(ISERROR(VLOOKUP(OCF_Activity_Template_Table[[#This Row],[GL_Other]],GL_Acct_to_Clearing_Acct[#All],2,FALSE)))</f>
        <v>0</v>
      </c>
      <c r="N93" s="51">
        <v>0</v>
      </c>
      <c r="O93" s="61"/>
      <c r="P93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93" s="15">
        <f>'Input &amp; Assumptions'!$C$11</f>
        <v>42215</v>
      </c>
      <c r="T93" s="15">
        <f>'Input &amp; Assumptions'!$C$12</f>
        <v>42215</v>
      </c>
      <c r="U93" t="str">
        <f>IF(OCF_Activity_Template_Table[[#This Row],[BNS Amount to Clear]]&gt;=0,"40","50")</f>
        <v>40</v>
      </c>
      <c r="V93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7006211</v>
      </c>
      <c r="W93">
        <v>366</v>
      </c>
      <c r="X93" t="str">
        <f>IFERROR(VLOOKUP(OCF_Activity_Template_Table[[#This Row],[HFM_Account]],HFM_Acct_to_CC[#All],2,FALSE),"")</f>
        <v/>
      </c>
      <c r="Y93" t="str">
        <f>IF(OCF_Activity_Template_Table[[#This Row],[Trading_Partner]]="","",OCF_Activity_Template_Table[[#This Row],[Trading_Partner]])</f>
        <v/>
      </c>
      <c r="Z93" s="51">
        <f>ROUND(ABS(OCF_Activity_Template_Table[[#This Row],[BNS Amount to Clear]]),2)</f>
        <v>0</v>
      </c>
      <c r="AA93" t="str">
        <f>"Clear BNS activity from "&amp;OCF_Activity_Template_Table[[#This Row],[GL_Other]]</f>
        <v>Clear BNS activity from 7006211</v>
      </c>
    </row>
    <row r="94" spans="1:27" x14ac:dyDescent="0.25">
      <c r="A94" s="10" t="s">
        <v>83</v>
      </c>
      <c r="B94" s="10" t="s">
        <v>127</v>
      </c>
      <c r="C94" t="s">
        <v>1496</v>
      </c>
      <c r="D94" t="str">
        <f>INDEX(Modded_AMF_Table[#All], MATCH($C94,Modded_AMF_Table[[#All],[GL_Other]],0), MATCH("GL_AcctDesc",Modded_AMF_Table[#Headers],0))</f>
        <v>Unrealised Exchange Loss</v>
      </c>
      <c r="F94" s="51">
        <f t="array" ref="F9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-5140.1000000000004</v>
      </c>
      <c r="G94" s="51">
        <f t="array" ref="G9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1476.7799999999997</v>
      </c>
      <c r="H94" s="51">
        <f t="array" ref="H9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-6616.88</v>
      </c>
      <c r="I94" s="51">
        <f t="array" ref="I94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-6616.88</v>
      </c>
      <c r="J94" s="51">
        <f>OCF_Activity_Template_Table[[#This Row],[BNS]]-OCF_Activity_Template_Table[[#This Row],[BNS PRE-Close Income - TE]]</f>
        <v>0</v>
      </c>
      <c r="K94" s="51">
        <v>0</v>
      </c>
      <c r="L94" s="51" t="b">
        <f>IFERROR(VLOOKUP(OCF_Activity_Template_Table[[#This Row],[GL_Other]],GL_Acct_to_Clearing_Acct[Clearing Acct],1,FALSE)=OCF_Activity_Template_Table[[#This Row],[GL_Other]],FALSE)</f>
        <v>0</v>
      </c>
      <c r="M94" s="51" t="b">
        <f>NOT(ISERROR(VLOOKUP(OCF_Activity_Template_Table[[#This Row],[GL_Other]],GL_Acct_to_Clearing_Acct[#All],2,FALSE)))</f>
        <v>0</v>
      </c>
      <c r="N94" s="51">
        <v>0</v>
      </c>
      <c r="O94" s="61"/>
      <c r="P94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94" s="15">
        <f>'Input &amp; Assumptions'!$C$11</f>
        <v>42215</v>
      </c>
      <c r="T94" s="15">
        <f>'Input &amp; Assumptions'!$C$12</f>
        <v>42215</v>
      </c>
      <c r="U94" t="str">
        <f>IF(OCF_Activity_Template_Table[[#This Row],[BNS Amount to Clear]]&gt;=0,"40","50")</f>
        <v>40</v>
      </c>
      <c r="V94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7006212</v>
      </c>
      <c r="W94">
        <v>366</v>
      </c>
      <c r="X94" t="str">
        <f>IFERROR(VLOOKUP(OCF_Activity_Template_Table[[#This Row],[HFM_Account]],HFM_Acct_to_CC[#All],2,FALSE),"")</f>
        <v/>
      </c>
      <c r="Y94" t="str">
        <f>IF(OCF_Activity_Template_Table[[#This Row],[Trading_Partner]]="","",OCF_Activity_Template_Table[[#This Row],[Trading_Partner]])</f>
        <v/>
      </c>
      <c r="Z94" s="51">
        <f>ROUND(ABS(OCF_Activity_Template_Table[[#This Row],[BNS Amount to Clear]]),2)</f>
        <v>0</v>
      </c>
      <c r="AA94" t="str">
        <f>"Clear BNS activity from "&amp;OCF_Activity_Template_Table[[#This Row],[GL_Other]]</f>
        <v>Clear BNS activity from 7006212</v>
      </c>
    </row>
    <row r="95" spans="1:27" x14ac:dyDescent="0.25">
      <c r="A95" s="10" t="s">
        <v>83</v>
      </c>
      <c r="B95" s="10" t="s">
        <v>129</v>
      </c>
      <c r="C95" t="s">
        <v>1499</v>
      </c>
      <c r="D95" t="str">
        <f>INDEX(Modded_AMF_Table[#All], MATCH($C95,Modded_AMF_Table[[#All],[GL_Other]],0), MATCH("GL_AcctDesc",Modded_AMF_Table[#Headers],0))</f>
        <v>Exch.Gain Real.on ICO A/R</v>
      </c>
      <c r="F95" s="51">
        <f t="array" ref="F9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1977.53</v>
      </c>
      <c r="G95" s="51">
        <f t="array" ref="G9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1977.53</v>
      </c>
      <c r="H95" s="51">
        <f t="array" ref="H9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95" s="51">
        <f t="array" ref="I95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95" s="51">
        <f>OCF_Activity_Template_Table[[#This Row],[BNS]]-OCF_Activity_Template_Table[[#This Row],[BNS PRE-Close Income - TE]]</f>
        <v>0</v>
      </c>
      <c r="K95" s="51">
        <v>0</v>
      </c>
      <c r="L95" s="51" t="b">
        <f>IFERROR(VLOOKUP(OCF_Activity_Template_Table[[#This Row],[GL_Other]],GL_Acct_to_Clearing_Acct[Clearing Acct],1,FALSE)=OCF_Activity_Template_Table[[#This Row],[GL_Other]],FALSE)</f>
        <v>0</v>
      </c>
      <c r="M95" s="51" t="b">
        <f>NOT(ISERROR(VLOOKUP(OCF_Activity_Template_Table[[#This Row],[GL_Other]],GL_Acct_to_Clearing_Acct[#All],2,FALSE)))</f>
        <v>0</v>
      </c>
      <c r="N95" s="51">
        <v>0</v>
      </c>
      <c r="O95" s="61"/>
      <c r="P95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95" s="15">
        <f>'Input &amp; Assumptions'!$C$11</f>
        <v>42215</v>
      </c>
      <c r="T95" s="15">
        <f>'Input &amp; Assumptions'!$C$12</f>
        <v>42215</v>
      </c>
      <c r="U95" t="str">
        <f>IF(OCF_Activity_Template_Table[[#This Row],[BNS Amount to Clear]]&gt;=0,"40","50")</f>
        <v>40</v>
      </c>
      <c r="V95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7006401</v>
      </c>
      <c r="W95">
        <v>366</v>
      </c>
      <c r="X95" t="str">
        <f>IFERROR(VLOOKUP(OCF_Activity_Template_Table[[#This Row],[HFM_Account]],HFM_Acct_to_CC[#All],2,FALSE),"")</f>
        <v/>
      </c>
      <c r="Y95" t="str">
        <f>IF(OCF_Activity_Template_Table[[#This Row],[Trading_Partner]]="","",OCF_Activity_Template_Table[[#This Row],[Trading_Partner]])</f>
        <v/>
      </c>
      <c r="Z95" s="51">
        <f>ROUND(ABS(OCF_Activity_Template_Table[[#This Row],[BNS Amount to Clear]]),2)</f>
        <v>0</v>
      </c>
      <c r="AA95" t="str">
        <f>"Clear BNS activity from "&amp;OCF_Activity_Template_Table[[#This Row],[GL_Other]]</f>
        <v>Clear BNS activity from 7006401</v>
      </c>
    </row>
    <row r="96" spans="1:27" x14ac:dyDescent="0.25">
      <c r="A96" s="10" t="s">
        <v>83</v>
      </c>
      <c r="B96" s="10" t="s">
        <v>129</v>
      </c>
      <c r="C96" t="s">
        <v>1502</v>
      </c>
      <c r="D96" t="str">
        <f>INDEX(Modded_AMF_Table[#All], MATCH($C96,Modded_AMF_Table[[#All],[GL_Other]],0), MATCH("GL_AcctDesc",Modded_AMF_Table[#Headers],0))</f>
        <v>Exch Gain - Unrealised on IntraCO A/P</v>
      </c>
      <c r="F96" s="51">
        <f t="array" ref="F9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-149.17000000000002</v>
      </c>
      <c r="G96" s="51">
        <f t="array" ref="G9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-103.65</v>
      </c>
      <c r="H96" s="51">
        <f t="array" ref="H9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-45.519999999999996</v>
      </c>
      <c r="I96" s="51">
        <f t="array" ref="I96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0.39</v>
      </c>
      <c r="J96" s="51">
        <f>OCF_Activity_Template_Table[[#This Row],[BNS]]-OCF_Activity_Template_Table[[#This Row],[BNS PRE-Close Income - TE]]</f>
        <v>-45.91</v>
      </c>
      <c r="K96" s="51">
        <v>0</v>
      </c>
      <c r="L96" s="51" t="b">
        <f>IFERROR(VLOOKUP(OCF_Activity_Template_Table[[#This Row],[GL_Other]],GL_Acct_to_Clearing_Acct[Clearing Acct],1,FALSE)=OCF_Activity_Template_Table[[#This Row],[GL_Other]],FALSE)</f>
        <v>0</v>
      </c>
      <c r="M96" s="51" t="b">
        <f>NOT(ISERROR(VLOOKUP(OCF_Activity_Template_Table[[#This Row],[GL_Other]],GL_Acct_to_Clearing_Acct[#All],2,FALSE)))</f>
        <v>0</v>
      </c>
      <c r="N96" s="51">
        <v>0</v>
      </c>
      <c r="O96" s="61"/>
      <c r="P96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45.91</v>
      </c>
      <c r="S96" s="15">
        <f>'Input &amp; Assumptions'!$C$11</f>
        <v>42215</v>
      </c>
      <c r="T96" s="15">
        <f>'Input &amp; Assumptions'!$C$12</f>
        <v>42215</v>
      </c>
      <c r="U96" t="str">
        <f>IF(OCF_Activity_Template_Table[[#This Row],[BNS Amount to Clear]]&gt;=0,"40","50")</f>
        <v>40</v>
      </c>
      <c r="V96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7006407</v>
      </c>
      <c r="W96">
        <v>366</v>
      </c>
      <c r="X96" t="str">
        <f>IFERROR(VLOOKUP(OCF_Activity_Template_Table[[#This Row],[HFM_Account]],HFM_Acct_to_CC[#All],2,FALSE),"")</f>
        <v/>
      </c>
      <c r="Y96" t="str">
        <f>IF(OCF_Activity_Template_Table[[#This Row],[Trading_Partner]]="","",OCF_Activity_Template_Table[[#This Row],[Trading_Partner]])</f>
        <v/>
      </c>
      <c r="Z96" s="51">
        <f>ROUND(ABS(OCF_Activity_Template_Table[[#This Row],[BNS Amount to Clear]]),2)</f>
        <v>45.91</v>
      </c>
      <c r="AA96" t="str">
        <f>"Clear BNS activity from "&amp;OCF_Activity_Template_Table[[#This Row],[GL_Other]]</f>
        <v>Clear BNS activity from 7006407</v>
      </c>
    </row>
    <row r="97" spans="1:27" x14ac:dyDescent="0.25">
      <c r="A97" s="10" t="s">
        <v>83</v>
      </c>
      <c r="B97" s="10" t="s">
        <v>129</v>
      </c>
      <c r="C97" t="s">
        <v>1505</v>
      </c>
      <c r="D97" t="str">
        <f>INDEX(Modded_AMF_Table[#All], MATCH($C97,Modded_AMF_Table[[#All],[GL_Other]],0), MATCH("GL_AcctDesc",Modded_AMF_Table[#Headers],0))</f>
        <v>Exch Loss - Unrealised on IntraCO A/P</v>
      </c>
      <c r="F97" s="51">
        <f t="array" ref="F9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-131.14999999999998</v>
      </c>
      <c r="G97" s="51">
        <f t="array" ref="G9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-40.509999999999991</v>
      </c>
      <c r="H97" s="51">
        <f t="array" ref="H9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-90.639999999999986</v>
      </c>
      <c r="I97" s="51">
        <f t="array" ref="I97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-62.47</v>
      </c>
      <c r="J97" s="51">
        <f>OCF_Activity_Template_Table[[#This Row],[BNS]]-OCF_Activity_Template_Table[[#This Row],[BNS PRE-Close Income - TE]]</f>
        <v>-28.169999999999987</v>
      </c>
      <c r="K97" s="51">
        <v>0</v>
      </c>
      <c r="L97" s="51" t="b">
        <f>IFERROR(VLOOKUP(OCF_Activity_Template_Table[[#This Row],[GL_Other]],GL_Acct_to_Clearing_Acct[Clearing Acct],1,FALSE)=OCF_Activity_Template_Table[[#This Row],[GL_Other]],FALSE)</f>
        <v>0</v>
      </c>
      <c r="M97" s="51" t="b">
        <f>NOT(ISERROR(VLOOKUP(OCF_Activity_Template_Table[[#This Row],[GL_Other]],GL_Acct_to_Clearing_Acct[#All],2,FALSE)))</f>
        <v>0</v>
      </c>
      <c r="N97" s="51">
        <v>0</v>
      </c>
      <c r="O97" s="61"/>
      <c r="P97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28.169999999999987</v>
      </c>
      <c r="S97" s="15">
        <f>'Input &amp; Assumptions'!$C$11</f>
        <v>42215</v>
      </c>
      <c r="T97" s="15">
        <f>'Input &amp; Assumptions'!$C$12</f>
        <v>42215</v>
      </c>
      <c r="U97" t="str">
        <f>IF(OCF_Activity_Template_Table[[#This Row],[BNS Amount to Clear]]&gt;=0,"40","50")</f>
        <v>40</v>
      </c>
      <c r="V97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7006408</v>
      </c>
      <c r="W97">
        <v>366</v>
      </c>
      <c r="X97" t="str">
        <f>IFERROR(VLOOKUP(OCF_Activity_Template_Table[[#This Row],[HFM_Account]],HFM_Acct_to_CC[#All],2,FALSE),"")</f>
        <v/>
      </c>
      <c r="Y97" t="str">
        <f>IF(OCF_Activity_Template_Table[[#This Row],[Trading_Partner]]="","",OCF_Activity_Template_Table[[#This Row],[Trading_Partner]])</f>
        <v/>
      </c>
      <c r="Z97" s="51">
        <f>ROUND(ABS(OCF_Activity_Template_Table[[#This Row],[BNS Amount to Clear]]),2)</f>
        <v>28.17</v>
      </c>
      <c r="AA97" t="str">
        <f>"Clear BNS activity from "&amp;OCF_Activity_Template_Table[[#This Row],[GL_Other]]</f>
        <v>Clear BNS activity from 7006408</v>
      </c>
    </row>
    <row r="98" spans="1:27" x14ac:dyDescent="0.25">
      <c r="A98" s="10" t="s">
        <v>83</v>
      </c>
      <c r="B98" s="10" t="s">
        <v>177</v>
      </c>
      <c r="C98" t="s">
        <v>1512</v>
      </c>
      <c r="D98" t="str">
        <f>INDEX(Modded_AMF_Table[#All], MATCH($C98,Modded_AMF_Table[[#All],[GL_Other]],0), MATCH("GL_AcctDesc",Modded_AMF_Table[#Headers],0))</f>
        <v>Small Differences Gains/(Losses)</v>
      </c>
      <c r="F98" s="51">
        <f t="array" ref="F9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-0.4</v>
      </c>
      <c r="G98" s="51">
        <f t="array" ref="G9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-0.29000000000000004</v>
      </c>
      <c r="H98" s="51">
        <f t="array" ref="H9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-0.11</v>
      </c>
      <c r="I98" s="51">
        <f t="array" ref="I98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-0.1</v>
      </c>
      <c r="J98" s="51">
        <f>OCF_Activity_Template_Table[[#This Row],[BNS]]-OCF_Activity_Template_Table[[#This Row],[BNS PRE-Close Income - TE]]</f>
        <v>-9.999999999999995E-3</v>
      </c>
      <c r="K98" s="51">
        <v>0</v>
      </c>
      <c r="L98" s="51" t="b">
        <f>IFERROR(VLOOKUP(OCF_Activity_Template_Table[[#This Row],[GL_Other]],GL_Acct_to_Clearing_Acct[Clearing Acct],1,FALSE)=OCF_Activity_Template_Table[[#This Row],[GL_Other]],FALSE)</f>
        <v>0</v>
      </c>
      <c r="M98" s="51" t="b">
        <f>NOT(ISERROR(VLOOKUP(OCF_Activity_Template_Table[[#This Row],[GL_Other]],GL_Acct_to_Clearing_Acct[#All],2,FALSE)))</f>
        <v>0</v>
      </c>
      <c r="N98" s="51">
        <v>0</v>
      </c>
      <c r="O98" s="61"/>
      <c r="P98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9.999999999999995E-3</v>
      </c>
      <c r="S98" s="15">
        <f>'Input &amp; Assumptions'!$C$11</f>
        <v>42215</v>
      </c>
      <c r="T98" s="15">
        <f>'Input &amp; Assumptions'!$C$12</f>
        <v>42215</v>
      </c>
      <c r="U98" t="str">
        <f>IF(OCF_Activity_Template_Table[[#This Row],[BNS Amount to Clear]]&gt;=0,"40","50")</f>
        <v>40</v>
      </c>
      <c r="V98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7032514</v>
      </c>
      <c r="W98">
        <v>366</v>
      </c>
      <c r="X98" t="str">
        <f>IFERROR(VLOOKUP(OCF_Activity_Template_Table[[#This Row],[HFM_Account]],HFM_Acct_to_CC[#All],2,FALSE),"")</f>
        <v/>
      </c>
      <c r="Y98" t="str">
        <f>IF(OCF_Activity_Template_Table[[#This Row],[Trading_Partner]]="","",OCF_Activity_Template_Table[[#This Row],[Trading_Partner]])</f>
        <v/>
      </c>
      <c r="Z98" s="51">
        <f>ROUND(ABS(OCF_Activity_Template_Table[[#This Row],[BNS Amount to Clear]]),2)</f>
        <v>0.01</v>
      </c>
      <c r="AA98" t="str">
        <f>"Clear BNS activity from "&amp;OCF_Activity_Template_Table[[#This Row],[GL_Other]]</f>
        <v>Clear BNS activity from 7032514</v>
      </c>
    </row>
    <row r="99" spans="1:27" x14ac:dyDescent="0.25">
      <c r="A99" s="53" t="s">
        <v>83</v>
      </c>
      <c r="B99" s="10" t="s">
        <v>169</v>
      </c>
      <c r="C99" t="s">
        <v>1515</v>
      </c>
      <c r="D99" t="str">
        <f>INDEX(Modded_AMF_Table[#All], MATCH($C99,Modded_AMF_Table[[#All],[GL_Other]],0), MATCH("GL_AcctDesc",Modded_AMF_Table[#Headers],0))</f>
        <v>Bank Service Fees - Other</v>
      </c>
      <c r="F99" s="51">
        <f t="array" ref="F9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1024.1399999999999</v>
      </c>
      <c r="G99" s="51">
        <f t="array" ref="G9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792.18999999999994</v>
      </c>
      <c r="H99" s="51">
        <f t="array" ref="H9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231.95</v>
      </c>
      <c r="I99" s="51">
        <f t="array" ref="I99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189.48999999999998</v>
      </c>
      <c r="J99" s="51">
        <f>OCF_Activity_Template_Table[[#This Row],[BNS]]-OCF_Activity_Template_Table[[#This Row],[BNS PRE-Close Income - TE]]</f>
        <v>42.460000000000008</v>
      </c>
      <c r="K99" s="51">
        <v>0</v>
      </c>
      <c r="L99" s="51" t="b">
        <f>IFERROR(VLOOKUP(OCF_Activity_Template_Table[[#This Row],[GL_Other]],GL_Acct_to_Clearing_Acct[Clearing Acct],1,FALSE)=OCF_Activity_Template_Table[[#This Row],[GL_Other]],FALSE)</f>
        <v>0</v>
      </c>
      <c r="M99" s="51" t="b">
        <f>NOT(ISERROR(VLOOKUP(OCF_Activity_Template_Table[[#This Row],[GL_Other]],GL_Acct_to_Clearing_Acct[#All],2,FALSE)))</f>
        <v>0</v>
      </c>
      <c r="N99" s="51">
        <v>0</v>
      </c>
      <c r="O99" s="61"/>
      <c r="P99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-42.460000000000008</v>
      </c>
      <c r="S99" s="15">
        <f>'Input &amp; Assumptions'!$C$11</f>
        <v>42215</v>
      </c>
      <c r="T99" s="15">
        <f>'Input &amp; Assumptions'!$C$12</f>
        <v>42215</v>
      </c>
      <c r="U99" t="str">
        <f>IF(OCF_Activity_Template_Table[[#This Row],[BNS Amount to Clear]]&gt;=0,"40","50")</f>
        <v>50</v>
      </c>
      <c r="V99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7059001</v>
      </c>
      <c r="W99">
        <v>366</v>
      </c>
      <c r="X99" t="str">
        <f>IFERROR(VLOOKUP(OCF_Activity_Template_Table[[#This Row],[HFM_Account]],HFM_Acct_to_CC[#All],2,FALSE),"")</f>
        <v/>
      </c>
      <c r="Y99" t="str">
        <f>IF(OCF_Activity_Template_Table[[#This Row],[Trading_Partner]]="","",OCF_Activity_Template_Table[[#This Row],[Trading_Partner]])</f>
        <v/>
      </c>
      <c r="Z99" s="51">
        <f>ROUND(ABS(OCF_Activity_Template_Table[[#This Row],[BNS Amount to Clear]]),2)</f>
        <v>42.46</v>
      </c>
      <c r="AA99" t="str">
        <f>"Clear BNS activity from "&amp;OCF_Activity_Template_Table[[#This Row],[GL_Other]]</f>
        <v>Clear BNS activity from 7059001</v>
      </c>
    </row>
    <row r="100" spans="1:27" x14ac:dyDescent="0.25">
      <c r="A100" s="10" t="s">
        <v>1191</v>
      </c>
      <c r="B100" s="10" t="s">
        <v>288</v>
      </c>
      <c r="C100" t="s">
        <v>1208</v>
      </c>
      <c r="D100" t="str">
        <f>INDEX(Modded_AMF_Table[#All], MATCH($C100,Modded_AMF_Table[[#All],[GL_Other]],0), MATCH("GL_AcctDesc",Modded_AMF_Table[#Headers],0))</f>
        <v>Nordea</v>
      </c>
      <c r="F100" s="51">
        <f t="array" ref="F10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151.81</v>
      </c>
      <c r="G100" s="51">
        <f t="array" ref="G10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151.81</v>
      </c>
      <c r="H100" s="51">
        <f t="array" ref="H10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00" s="51">
        <f t="array" ref="I100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00" s="51">
        <f>OCF_Activity_Template_Table[[#This Row],[BNS]]-OCF_Activity_Template_Table[[#This Row],[BNS PRE-Close Income - TE]]</f>
        <v>0</v>
      </c>
      <c r="K100" s="51">
        <v>0</v>
      </c>
      <c r="L100" s="51" t="b">
        <f>IFERROR(VLOOKUP(OCF_Activity_Template_Table[[#This Row],[GL_Other]],GL_Acct_to_Clearing_Acct[Clearing Acct],1,FALSE)=OCF_Activity_Template_Table[[#This Row],[GL_Other]],FALSE)</f>
        <v>0</v>
      </c>
      <c r="M100" s="51" t="b">
        <f>NOT(ISERROR(VLOOKUP(OCF_Activity_Template_Table[[#This Row],[GL_Other]],GL_Acct_to_Clearing_Acct[#All],2,FALSE)))</f>
        <v>0</v>
      </c>
      <c r="N100" s="51">
        <v>0</v>
      </c>
      <c r="O100" s="61"/>
      <c r="P100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00" s="15">
        <f>'Input &amp; Assumptions'!$C$11</f>
        <v>42215</v>
      </c>
      <c r="T100" s="15">
        <f>'Input &amp; Assumptions'!$C$12</f>
        <v>42215</v>
      </c>
      <c r="U100" t="str">
        <f>IF(OCF_Activity_Template_Table[[#This Row],[BNS Amount to Clear]]&gt;=0,"40","50")</f>
        <v>40</v>
      </c>
      <c r="V100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1016940</v>
      </c>
      <c r="W100">
        <v>366</v>
      </c>
      <c r="X100" t="str">
        <f>IFERROR(VLOOKUP(OCF_Activity_Template_Table[[#This Row],[HFM_Account]],HFM_Acct_to_CC[#All],2,FALSE),"")</f>
        <v/>
      </c>
      <c r="Y100" t="str">
        <f>IF(OCF_Activity_Template_Table[[#This Row],[Trading_Partner]]="","",OCF_Activity_Template_Table[[#This Row],[Trading_Partner]])</f>
        <v/>
      </c>
      <c r="Z100" s="51">
        <f>ROUND(ABS(OCF_Activity_Template_Table[[#This Row],[BNS Amount to Clear]]),2)</f>
        <v>0</v>
      </c>
      <c r="AA100" t="str">
        <f>"Clear BNS activity from "&amp;OCF_Activity_Template_Table[[#This Row],[GL_Other]]</f>
        <v>Clear BNS activity from 1016940</v>
      </c>
    </row>
    <row r="101" spans="1:27" x14ac:dyDescent="0.25">
      <c r="A101" s="10" t="s">
        <v>1191</v>
      </c>
      <c r="B101" s="10" t="s">
        <v>399</v>
      </c>
      <c r="C101" t="s">
        <v>399</v>
      </c>
      <c r="D101" t="str">
        <f>INDEX(Modded_AMF_Table[#All], MATCH($C101,Modded_AMF_Table[[#All],[GL_Other]],0), MATCH("GL_AcctDesc",Modded_AMF_Table[#Headers],0))</f>
        <v>Current Deferred Inc Taxes Asset-NonUS-</v>
      </c>
      <c r="F101" s="51">
        <f t="array" ref="F10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52417</v>
      </c>
      <c r="G101" s="51">
        <f t="array" ref="G10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52417</v>
      </c>
      <c r="H101" s="51">
        <f t="array" ref="H10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01" s="51">
        <f t="array" ref="I101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01" s="51">
        <f>OCF_Activity_Template_Table[[#This Row],[BNS]]-OCF_Activity_Template_Table[[#This Row],[BNS PRE-Close Income - TE]]</f>
        <v>0</v>
      </c>
      <c r="K101" s="51">
        <v>0</v>
      </c>
      <c r="L101" s="51" t="b">
        <f>IFERROR(VLOOKUP(OCF_Activity_Template_Table[[#This Row],[GL_Other]],GL_Acct_to_Clearing_Acct[Clearing Acct],1,FALSE)=OCF_Activity_Template_Table[[#This Row],[GL_Other]],FALSE)</f>
        <v>0</v>
      </c>
      <c r="M101" s="51" t="b">
        <f>NOT(ISERROR(VLOOKUP(OCF_Activity_Template_Table[[#This Row],[GL_Other]],GL_Acct_to_Clearing_Acct[#All],2,FALSE)))</f>
        <v>0</v>
      </c>
      <c r="N101" s="51">
        <v>0</v>
      </c>
      <c r="O101" s="61"/>
      <c r="P101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01" s="15">
        <f>'Input &amp; Assumptions'!$C$11</f>
        <v>42215</v>
      </c>
      <c r="T101" s="15">
        <f>'Input &amp; Assumptions'!$C$12</f>
        <v>42215</v>
      </c>
      <c r="U101" t="str">
        <f>IF(OCF_Activity_Template_Table[[#This Row],[BNS Amount to Clear]]&gt;=0,"40","50")</f>
        <v>40</v>
      </c>
      <c r="V101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1400000</v>
      </c>
      <c r="W101">
        <v>366</v>
      </c>
      <c r="X101" t="str">
        <f>IFERROR(VLOOKUP(OCF_Activity_Template_Table[[#This Row],[HFM_Account]],HFM_Acct_to_CC[#All],2,FALSE),"")</f>
        <v/>
      </c>
      <c r="Y101" t="str">
        <f>IF(OCF_Activity_Template_Table[[#This Row],[Trading_Partner]]="","",OCF_Activity_Template_Table[[#This Row],[Trading_Partner]])</f>
        <v/>
      </c>
      <c r="Z101" s="51">
        <f>ROUND(ABS(OCF_Activity_Template_Table[[#This Row],[BNS Amount to Clear]]),2)</f>
        <v>0</v>
      </c>
      <c r="AA101" t="str">
        <f>"Clear BNS activity from "&amp;OCF_Activity_Template_Table[[#This Row],[GL_Other]]</f>
        <v>Clear BNS activity from 1400000</v>
      </c>
    </row>
    <row r="102" spans="1:27" x14ac:dyDescent="0.25">
      <c r="A102" s="10" t="s">
        <v>1191</v>
      </c>
      <c r="B102" s="10" t="s">
        <v>477</v>
      </c>
      <c r="C102" t="s">
        <v>1247</v>
      </c>
      <c r="D102" t="str">
        <f>INDEX(Modded_AMF_Table[#All], MATCH($C102,Modded_AMF_Table[[#All],[GL_Other]],0), MATCH("GL_AcctDesc",Modded_AMF_Table[#Headers],0))</f>
        <v>I/C Loans Receivable - CMA</v>
      </c>
      <c r="E102" t="s">
        <v>1249</v>
      </c>
      <c r="F102" s="51">
        <f t="array" ref="F10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3190081.38</v>
      </c>
      <c r="G102" s="51">
        <f t="array" ref="G10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3190081.38</v>
      </c>
      <c r="H102" s="51">
        <f t="array" ref="H10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02" s="51">
        <f t="array" ref="I102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02" s="51">
        <f>OCF_Activity_Template_Table[[#This Row],[BNS]]-OCF_Activity_Template_Table[[#This Row],[BNS PRE-Close Income - TE]]</f>
        <v>0</v>
      </c>
      <c r="K102" s="51">
        <v>0</v>
      </c>
      <c r="L102" s="51" t="b">
        <f>IFERROR(VLOOKUP(OCF_Activity_Template_Table[[#This Row],[GL_Other]],GL_Acct_to_Clearing_Acct[Clearing Acct],1,FALSE)=OCF_Activity_Template_Table[[#This Row],[GL_Other]],FALSE)</f>
        <v>0</v>
      </c>
      <c r="M102" s="51" t="b">
        <f>NOT(ISERROR(VLOOKUP(OCF_Activity_Template_Table[[#This Row],[GL_Other]],GL_Acct_to_Clearing_Acct[#All],2,FALSE)))</f>
        <v>0</v>
      </c>
      <c r="N102" s="51">
        <v>0</v>
      </c>
      <c r="O102" s="61"/>
      <c r="P102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02" s="15">
        <f>'Input &amp; Assumptions'!$C$11</f>
        <v>42215</v>
      </c>
      <c r="T102" s="15">
        <f>'Input &amp; Assumptions'!$C$12</f>
        <v>42215</v>
      </c>
      <c r="U102" t="str">
        <f>IF(OCF_Activity_Template_Table[[#This Row],[BNS Amount to Clear]]&gt;=0,"40","50")</f>
        <v>40</v>
      </c>
      <c r="V102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1519990</v>
      </c>
      <c r="W102">
        <v>366</v>
      </c>
      <c r="X102" t="str">
        <f>IFERROR(VLOOKUP(OCF_Activity_Template_Table[[#This Row],[HFM_Account]],HFM_Acct_to_CC[#All],2,FALSE),"")</f>
        <v/>
      </c>
      <c r="Y102" t="str">
        <f>IF(OCF_Activity_Template_Table[[#This Row],[Trading_Partner]]="","",OCF_Activity_Template_Table[[#This Row],[Trading_Partner]])</f>
        <v>ZZ1797</v>
      </c>
      <c r="Z102" s="51">
        <f>ROUND(ABS(OCF_Activity_Template_Table[[#This Row],[BNS Amount to Clear]]),2)</f>
        <v>0</v>
      </c>
      <c r="AA102" t="str">
        <f>"Clear BNS activity from "&amp;OCF_Activity_Template_Table[[#This Row],[GL_Other]]</f>
        <v>Clear BNS activity from 1519990</v>
      </c>
    </row>
    <row r="103" spans="1:27" x14ac:dyDescent="0.25">
      <c r="A103" s="10" t="s">
        <v>1191</v>
      </c>
      <c r="B103" s="10" t="s">
        <v>387</v>
      </c>
      <c r="C103" t="s">
        <v>387</v>
      </c>
      <c r="D103" t="str">
        <f>INDEX(Modded_AMF_Table[#All], MATCH($C103,Modded_AMF_Table[[#All],[GL_Other]],0), MATCH("GL_AcctDesc",Modded_AMF_Table[#Headers],0))</f>
        <v>ICO Service Fee Receivable</v>
      </c>
      <c r="E103" t="s">
        <v>1252</v>
      </c>
      <c r="F103" s="51">
        <f t="array" ref="F10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777400</v>
      </c>
      <c r="G103" s="51">
        <f t="array" ref="G10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777400</v>
      </c>
      <c r="H103" s="51">
        <f t="array" ref="H10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03" s="51">
        <f t="array" ref="I103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03" s="51">
        <f>OCF_Activity_Template_Table[[#This Row],[BNS]]-OCF_Activity_Template_Table[[#This Row],[BNS PRE-Close Income - TE]]</f>
        <v>0</v>
      </c>
      <c r="K103" s="51">
        <v>0</v>
      </c>
      <c r="L103" s="51" t="b">
        <f>IFERROR(VLOOKUP(OCF_Activity_Template_Table[[#This Row],[GL_Other]],GL_Acct_to_Clearing_Acct[Clearing Acct],1,FALSE)=OCF_Activity_Template_Table[[#This Row],[GL_Other]],FALSE)</f>
        <v>0</v>
      </c>
      <c r="M103" s="51" t="b">
        <f>NOT(ISERROR(VLOOKUP(OCF_Activity_Template_Table[[#This Row],[GL_Other]],GL_Acct_to_Clearing_Acct[#All],2,FALSE)))</f>
        <v>0</v>
      </c>
      <c r="N103" s="51">
        <v>0</v>
      </c>
      <c r="O103" s="61"/>
      <c r="P103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03" s="15">
        <f>'Input &amp; Assumptions'!$C$11</f>
        <v>42215</v>
      </c>
      <c r="T103" s="15">
        <f>'Input &amp; Assumptions'!$C$12</f>
        <v>42215</v>
      </c>
      <c r="U103" t="str">
        <f>IF(OCF_Activity_Template_Table[[#This Row],[BNS Amount to Clear]]&gt;=0,"40","50")</f>
        <v>40</v>
      </c>
      <c r="V103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1560000</v>
      </c>
      <c r="W103">
        <v>366</v>
      </c>
      <c r="X103" t="str">
        <f>IFERROR(VLOOKUP(OCF_Activity_Template_Table[[#This Row],[HFM_Account]],HFM_Acct_to_CC[#All],2,FALSE),"")</f>
        <v/>
      </c>
      <c r="Y103" t="str">
        <f>IF(OCF_Activity_Template_Table[[#This Row],[Trading_Partner]]="","",OCF_Activity_Template_Table[[#This Row],[Trading_Partner]])</f>
        <v>ZZ1151</v>
      </c>
      <c r="Z103" s="51">
        <f>ROUND(ABS(OCF_Activity_Template_Table[[#This Row],[BNS Amount to Clear]]),2)</f>
        <v>0</v>
      </c>
      <c r="AA103" t="str">
        <f>"Clear BNS activity from "&amp;OCF_Activity_Template_Table[[#This Row],[GL_Other]]</f>
        <v>Clear BNS activity from 1560000</v>
      </c>
    </row>
    <row r="104" spans="1:27" x14ac:dyDescent="0.25">
      <c r="A104" s="10" t="s">
        <v>1191</v>
      </c>
      <c r="B104" s="10" t="s">
        <v>617</v>
      </c>
      <c r="C104" t="s">
        <v>617</v>
      </c>
      <c r="D104" t="str">
        <f>INDEX(Modded_AMF_Table[#All], MATCH($C104,Modded_AMF_Table[[#All],[GL_Other]],0), MATCH("GL_AcctDesc",Modded_AMF_Table[#Headers],0))</f>
        <v>Current Income Taxes Payable - NonUS -</v>
      </c>
      <c r="F104" s="51">
        <f t="array" ref="F10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80993.259999999995</v>
      </c>
      <c r="G104" s="51">
        <f t="array" ref="G10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80993.259999999995</v>
      </c>
      <c r="H104" s="51">
        <f t="array" ref="H10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04" s="51">
        <f t="array" ref="I104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04" s="51">
        <f>OCF_Activity_Template_Table[[#This Row],[BNS]]-OCF_Activity_Template_Table[[#This Row],[BNS PRE-Close Income - TE]]</f>
        <v>0</v>
      </c>
      <c r="K104" s="51">
        <v>0</v>
      </c>
      <c r="L104" s="51" t="b">
        <f>IFERROR(VLOOKUP(OCF_Activity_Template_Table[[#This Row],[GL_Other]],GL_Acct_to_Clearing_Acct[Clearing Acct],1,FALSE)=OCF_Activity_Template_Table[[#This Row],[GL_Other]],FALSE)</f>
        <v>0</v>
      </c>
      <c r="M104" s="51" t="b">
        <f>NOT(ISERROR(VLOOKUP(OCF_Activity_Template_Table[[#This Row],[GL_Other]],GL_Acct_to_Clearing_Acct[#All],2,FALSE)))</f>
        <v>0</v>
      </c>
      <c r="N104" s="51">
        <v>0</v>
      </c>
      <c r="O104" s="61"/>
      <c r="P104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04" s="15">
        <f>'Input &amp; Assumptions'!$C$11</f>
        <v>42215</v>
      </c>
      <c r="T104" s="15">
        <f>'Input &amp; Assumptions'!$C$12</f>
        <v>42215</v>
      </c>
      <c r="U104" t="str">
        <f>IF(OCF_Activity_Template_Table[[#This Row],[BNS Amount to Clear]]&gt;=0,"40","50")</f>
        <v>40</v>
      </c>
      <c r="V104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2210000</v>
      </c>
      <c r="W104">
        <v>366</v>
      </c>
      <c r="X104" t="str">
        <f>IFERROR(VLOOKUP(OCF_Activity_Template_Table[[#This Row],[HFM_Account]],HFM_Acct_to_CC[#All],2,FALSE),"")</f>
        <v/>
      </c>
      <c r="Y104" t="str">
        <f>IF(OCF_Activity_Template_Table[[#This Row],[Trading_Partner]]="","",OCF_Activity_Template_Table[[#This Row],[Trading_Partner]])</f>
        <v/>
      </c>
      <c r="Z104" s="51">
        <f>ROUND(ABS(OCF_Activity_Template_Table[[#This Row],[BNS Amount to Clear]]),2)</f>
        <v>0</v>
      </c>
      <c r="AA104" t="str">
        <f>"Clear BNS activity from "&amp;OCF_Activity_Template_Table[[#This Row],[GL_Other]]</f>
        <v>Clear BNS activity from 2210000</v>
      </c>
    </row>
    <row r="105" spans="1:27" x14ac:dyDescent="0.25">
      <c r="A105" s="10" t="s">
        <v>1191</v>
      </c>
      <c r="B105" s="10" t="s">
        <v>617</v>
      </c>
      <c r="C105" t="s">
        <v>1296</v>
      </c>
      <c r="D105" t="str">
        <f>INDEX(Modded_AMF_Table[#All], MATCH($C105,Modded_AMF_Table[[#All],[GL_Other]],0), MATCH("GL_AcctDesc",Modded_AMF_Table[#Headers],0))</f>
        <v>Reserve Income Tax Current Yr</v>
      </c>
      <c r="F105" s="51">
        <f t="array" ref="F10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-105106</v>
      </c>
      <c r="G105" s="51">
        <f t="array" ref="G10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-105106</v>
      </c>
      <c r="H105" s="51">
        <f t="array" ref="H10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05" s="51">
        <f t="array" ref="I105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05" s="51">
        <f>OCF_Activity_Template_Table[[#This Row],[BNS]]-OCF_Activity_Template_Table[[#This Row],[BNS PRE-Close Income - TE]]</f>
        <v>0</v>
      </c>
      <c r="K105" s="51">
        <v>0</v>
      </c>
      <c r="L105" s="51" t="b">
        <f>IFERROR(VLOOKUP(OCF_Activity_Template_Table[[#This Row],[GL_Other]],GL_Acct_to_Clearing_Acct[Clearing Acct],1,FALSE)=OCF_Activity_Template_Table[[#This Row],[GL_Other]],FALSE)</f>
        <v>0</v>
      </c>
      <c r="M105" s="51" t="b">
        <f>NOT(ISERROR(VLOOKUP(OCF_Activity_Template_Table[[#This Row],[GL_Other]],GL_Acct_to_Clearing_Acct[#All],2,FALSE)))</f>
        <v>0</v>
      </c>
      <c r="N105" s="51">
        <v>0</v>
      </c>
      <c r="O105" s="61"/>
      <c r="P105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05" s="15">
        <f>'Input &amp; Assumptions'!$C$11</f>
        <v>42215</v>
      </c>
      <c r="T105" s="15">
        <f>'Input &amp; Assumptions'!$C$12</f>
        <v>42215</v>
      </c>
      <c r="U105" t="str">
        <f>IF(OCF_Activity_Template_Table[[#This Row],[BNS Amount to Clear]]&gt;=0,"40","50")</f>
        <v>40</v>
      </c>
      <c r="V105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2210210</v>
      </c>
      <c r="W105">
        <v>366</v>
      </c>
      <c r="X105" t="str">
        <f>IFERROR(VLOOKUP(OCF_Activity_Template_Table[[#This Row],[HFM_Account]],HFM_Acct_to_CC[#All],2,FALSE),"")</f>
        <v/>
      </c>
      <c r="Y105" t="str">
        <f>IF(OCF_Activity_Template_Table[[#This Row],[Trading_Partner]]="","",OCF_Activity_Template_Table[[#This Row],[Trading_Partner]])</f>
        <v/>
      </c>
      <c r="Z105" s="51">
        <f>ROUND(ABS(OCF_Activity_Template_Table[[#This Row],[BNS Amount to Clear]]),2)</f>
        <v>0</v>
      </c>
      <c r="AA105" t="str">
        <f>"Clear BNS activity from "&amp;OCF_Activity_Template_Table[[#This Row],[GL_Other]]</f>
        <v>Clear BNS activity from 2210210</v>
      </c>
    </row>
    <row r="106" spans="1:27" x14ac:dyDescent="0.25">
      <c r="A106" s="10" t="s">
        <v>1191</v>
      </c>
      <c r="B106" s="10" t="s">
        <v>675</v>
      </c>
      <c r="C106" t="s">
        <v>675</v>
      </c>
      <c r="D106" t="str">
        <f>INDEX(Modded_AMF_Table[#All], MATCH($C106,Modded_AMF_Table[[#All],[GL_Other]],0), MATCH("GL_AcctDesc",Modded_AMF_Table[#Headers],0))</f>
        <v>NonCurrent Deferred Inc Tax Liab-NonUS-</v>
      </c>
      <c r="F106" s="51">
        <f t="array" ref="F10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-174</v>
      </c>
      <c r="G106" s="51">
        <f t="array" ref="G10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-174</v>
      </c>
      <c r="H106" s="51">
        <f t="array" ref="H10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06" s="51">
        <f t="array" ref="I106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06" s="51">
        <f>OCF_Activity_Template_Table[[#This Row],[BNS]]-OCF_Activity_Template_Table[[#This Row],[BNS PRE-Close Income - TE]]</f>
        <v>0</v>
      </c>
      <c r="K106" s="51">
        <v>0</v>
      </c>
      <c r="L106" s="51" t="b">
        <f>IFERROR(VLOOKUP(OCF_Activity_Template_Table[[#This Row],[GL_Other]],GL_Acct_to_Clearing_Acct[Clearing Acct],1,FALSE)=OCF_Activity_Template_Table[[#This Row],[GL_Other]],FALSE)</f>
        <v>0</v>
      </c>
      <c r="M106" s="51" t="b">
        <f>NOT(ISERROR(VLOOKUP(OCF_Activity_Template_Table[[#This Row],[GL_Other]],GL_Acct_to_Clearing_Acct[#All],2,FALSE)))</f>
        <v>0</v>
      </c>
      <c r="N106" s="51">
        <v>0</v>
      </c>
      <c r="O106" s="61"/>
      <c r="P106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06" s="15">
        <f>'Input &amp; Assumptions'!$C$11</f>
        <v>42215</v>
      </c>
      <c r="T106" s="15">
        <f>'Input &amp; Assumptions'!$C$12</f>
        <v>42215</v>
      </c>
      <c r="U106" t="str">
        <f>IF(OCF_Activity_Template_Table[[#This Row],[BNS Amount to Clear]]&gt;=0,"40","50")</f>
        <v>40</v>
      </c>
      <c r="V106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2800000</v>
      </c>
      <c r="W106">
        <v>366</v>
      </c>
      <c r="X106" t="str">
        <f>IFERROR(VLOOKUP(OCF_Activity_Template_Table[[#This Row],[HFM_Account]],HFM_Acct_to_CC[#All],2,FALSE),"")</f>
        <v/>
      </c>
      <c r="Y106" t="str">
        <f>IF(OCF_Activity_Template_Table[[#This Row],[Trading_Partner]]="","",OCF_Activity_Template_Table[[#This Row],[Trading_Partner]])</f>
        <v/>
      </c>
      <c r="Z106" s="51">
        <f>ROUND(ABS(OCF_Activity_Template_Table[[#This Row],[BNS Amount to Clear]]),2)</f>
        <v>0</v>
      </c>
      <c r="AA106" t="str">
        <f>"Clear BNS activity from "&amp;OCF_Activity_Template_Table[[#This Row],[GL_Other]]</f>
        <v>Clear BNS activity from 2800000</v>
      </c>
    </row>
    <row r="107" spans="1:27" x14ac:dyDescent="0.25">
      <c r="A107" s="10" t="s">
        <v>1191</v>
      </c>
      <c r="B107" s="10" t="s">
        <v>739</v>
      </c>
      <c r="C107" t="s">
        <v>1316</v>
      </c>
      <c r="D107" t="str">
        <f>INDEX(Modded_AMF_Table[#All], MATCH($C107,Modded_AMF_Table[[#All],[GL_Other]],0), MATCH("GL_AcctDesc",Modded_AMF_Table[#Headers],0))</f>
        <v>Common Stock ICO</v>
      </c>
      <c r="F107" s="51">
        <f t="array" ref="F10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-2354630.6</v>
      </c>
      <c r="G107" s="51">
        <f t="array" ref="G10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-2354630.6</v>
      </c>
      <c r="H107" s="51">
        <f t="array" ref="H10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07" s="51">
        <f t="array" ref="I107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07" s="51">
        <f>OCF_Activity_Template_Table[[#This Row],[BNS]]-OCF_Activity_Template_Table[[#This Row],[BNS PRE-Close Income - TE]]</f>
        <v>0</v>
      </c>
      <c r="K107" s="51">
        <v>0</v>
      </c>
      <c r="L107" s="51" t="b">
        <f>IFERROR(VLOOKUP(OCF_Activity_Template_Table[[#This Row],[GL_Other]],GL_Acct_to_Clearing_Acct[Clearing Acct],1,FALSE)=OCF_Activity_Template_Table[[#This Row],[GL_Other]],FALSE)</f>
        <v>0</v>
      </c>
      <c r="M107" s="51" t="b">
        <f>NOT(ISERROR(VLOOKUP(OCF_Activity_Template_Table[[#This Row],[GL_Other]],GL_Acct_to_Clearing_Acct[#All],2,FALSE)))</f>
        <v>0</v>
      </c>
      <c r="N107" s="51">
        <v>0</v>
      </c>
      <c r="O107" s="61"/>
      <c r="P107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07" s="15">
        <f>'Input &amp; Assumptions'!$C$11</f>
        <v>42215</v>
      </c>
      <c r="T107" s="15">
        <f>'Input &amp; Assumptions'!$C$12</f>
        <v>42215</v>
      </c>
      <c r="U107" t="str">
        <f>IF(OCF_Activity_Template_Table[[#This Row],[BNS Amount to Clear]]&gt;=0,"40","50")</f>
        <v>40</v>
      </c>
      <c r="V107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3100030</v>
      </c>
      <c r="W107">
        <v>366</v>
      </c>
      <c r="X107" t="str">
        <f>IFERROR(VLOOKUP(OCF_Activity_Template_Table[[#This Row],[HFM_Account]],HFM_Acct_to_CC[#All],2,FALSE),"")</f>
        <v/>
      </c>
      <c r="Y107" t="str">
        <f>IF(OCF_Activity_Template_Table[[#This Row],[Trading_Partner]]="","",OCF_Activity_Template_Table[[#This Row],[Trading_Partner]])</f>
        <v/>
      </c>
      <c r="Z107" s="51">
        <f>ROUND(ABS(OCF_Activity_Template_Table[[#This Row],[BNS Amount to Clear]]),2)</f>
        <v>0</v>
      </c>
      <c r="AA107" t="str">
        <f>"Clear BNS activity from "&amp;OCF_Activity_Template_Table[[#This Row],[GL_Other]]</f>
        <v>Clear BNS activity from 3100030</v>
      </c>
    </row>
    <row r="108" spans="1:27" x14ac:dyDescent="0.25">
      <c r="A108" s="10" t="s">
        <v>1191</v>
      </c>
      <c r="B108" s="10" t="s">
        <v>54</v>
      </c>
      <c r="C108" t="s">
        <v>1479</v>
      </c>
      <c r="D108" t="str">
        <f>INDEX(Modded_AMF_Table[#All], MATCH($C108,Modded_AMF_Table[[#All],[GL_Other]],0), MATCH("GL_AcctDesc",Modded_AMF_Table[#Headers],0))</f>
        <v>Interest Income - Bank Interest</v>
      </c>
      <c r="F108" s="51">
        <f t="array" ref="F10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-7.9</v>
      </c>
      <c r="G108" s="51">
        <f t="array" ref="G10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-7.9</v>
      </c>
      <c r="H108" s="51">
        <f t="array" ref="H10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08" s="51">
        <f t="array" ref="I108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08" s="51">
        <f>OCF_Activity_Template_Table[[#This Row],[BNS]]-OCF_Activity_Template_Table[[#This Row],[BNS PRE-Close Income - TE]]</f>
        <v>0</v>
      </c>
      <c r="K108" s="51">
        <v>0</v>
      </c>
      <c r="L108" s="51" t="b">
        <f>IFERROR(VLOOKUP(OCF_Activity_Template_Table[[#This Row],[GL_Other]],GL_Acct_to_Clearing_Acct[Clearing Acct],1,FALSE)=OCF_Activity_Template_Table[[#This Row],[GL_Other]],FALSE)</f>
        <v>0</v>
      </c>
      <c r="M108" s="51" t="b">
        <f>NOT(ISERROR(VLOOKUP(OCF_Activity_Template_Table[[#This Row],[GL_Other]],GL_Acct_to_Clearing_Acct[#All],2,FALSE)))</f>
        <v>0</v>
      </c>
      <c r="N108" s="51">
        <v>0</v>
      </c>
      <c r="O108" s="61"/>
      <c r="P108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08" s="15">
        <f>'Input &amp; Assumptions'!$C$11</f>
        <v>42215</v>
      </c>
      <c r="T108" s="15">
        <f>'Input &amp; Assumptions'!$C$12</f>
        <v>42215</v>
      </c>
      <c r="U108" t="str">
        <f>IF(OCF_Activity_Template_Table[[#This Row],[BNS Amount to Clear]]&gt;=0,"40","50")</f>
        <v>40</v>
      </c>
      <c r="V108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7001100</v>
      </c>
      <c r="W108">
        <v>366</v>
      </c>
      <c r="X108" t="str">
        <f>IFERROR(VLOOKUP(OCF_Activity_Template_Table[[#This Row],[HFM_Account]],HFM_Acct_to_CC[#All],2,FALSE),"")</f>
        <v/>
      </c>
      <c r="Y108" t="str">
        <f>IF(OCF_Activity_Template_Table[[#This Row],[Trading_Partner]]="","",OCF_Activity_Template_Table[[#This Row],[Trading_Partner]])</f>
        <v/>
      </c>
      <c r="Z108" s="51">
        <f>ROUND(ABS(OCF_Activity_Template_Table[[#This Row],[BNS Amount to Clear]]),2)</f>
        <v>0</v>
      </c>
      <c r="AA108" t="str">
        <f>"Clear BNS activity from "&amp;OCF_Activity_Template_Table[[#This Row],[GL_Other]]</f>
        <v>Clear BNS activity from 7001100</v>
      </c>
    </row>
    <row r="109" spans="1:27" x14ac:dyDescent="0.25">
      <c r="A109" s="10" t="s">
        <v>1191</v>
      </c>
      <c r="B109" s="10" t="s">
        <v>41</v>
      </c>
      <c r="C109" t="s">
        <v>41</v>
      </c>
      <c r="D109" t="str">
        <f>INDEX(Modded_AMF_Table[#All], MATCH($C109,Modded_AMF_Table[[#All],[GL_Other]],0), MATCH("GL_AcctDesc",Modded_AMF_Table[#Headers],0))</f>
        <v>Current Income Tax Expense-NonUS</v>
      </c>
      <c r="F109" s="51">
        <f t="array" ref="F10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73010</v>
      </c>
      <c r="G109" s="51">
        <f t="array" ref="G10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73010</v>
      </c>
      <c r="H109" s="51">
        <f t="array" ref="H10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09" s="51">
        <f t="array" ref="I109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09" s="51">
        <f>OCF_Activity_Template_Table[[#This Row],[BNS]]-OCF_Activity_Template_Table[[#This Row],[BNS PRE-Close Income - TE]]</f>
        <v>0</v>
      </c>
      <c r="K109" s="51">
        <v>0</v>
      </c>
      <c r="L109" s="51" t="b">
        <f>IFERROR(VLOOKUP(OCF_Activity_Template_Table[[#This Row],[GL_Other]],GL_Acct_to_Clearing_Acct[Clearing Acct],1,FALSE)=OCF_Activity_Template_Table[[#This Row],[GL_Other]],FALSE)</f>
        <v>0</v>
      </c>
      <c r="M109" s="51" t="b">
        <f>NOT(ISERROR(VLOOKUP(OCF_Activity_Template_Table[[#This Row],[GL_Other]],GL_Acct_to_Clearing_Acct[#All],2,FALSE)))</f>
        <v>0</v>
      </c>
      <c r="N109" s="51">
        <v>0</v>
      </c>
      <c r="O109" s="61"/>
      <c r="P109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09" s="15">
        <f>'Input &amp; Assumptions'!$C$11</f>
        <v>42215</v>
      </c>
      <c r="T109" s="15">
        <f>'Input &amp; Assumptions'!$C$12</f>
        <v>42215</v>
      </c>
      <c r="U109" t="str">
        <f>IF(OCF_Activity_Template_Table[[#This Row],[BNS Amount to Clear]]&gt;=0,"40","50")</f>
        <v>40</v>
      </c>
      <c r="V109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7024000</v>
      </c>
      <c r="W109">
        <v>366</v>
      </c>
      <c r="X109" t="str">
        <f>IFERROR(VLOOKUP(OCF_Activity_Template_Table[[#This Row],[HFM_Account]],HFM_Acct_to_CC[#All],2,FALSE),"")</f>
        <v/>
      </c>
      <c r="Y109" t="str">
        <f>IF(OCF_Activity_Template_Table[[#This Row],[Trading_Partner]]="","",OCF_Activity_Template_Table[[#This Row],[Trading_Partner]])</f>
        <v/>
      </c>
      <c r="Z109" s="51">
        <f>ROUND(ABS(OCF_Activity_Template_Table[[#This Row],[BNS Amount to Clear]]),2)</f>
        <v>0</v>
      </c>
      <c r="AA109" t="str">
        <f>"Clear BNS activity from "&amp;OCF_Activity_Template_Table[[#This Row],[GL_Other]]</f>
        <v>Clear BNS activity from 7024000</v>
      </c>
    </row>
    <row r="110" spans="1:27" x14ac:dyDescent="0.25">
      <c r="A110" s="10" t="s">
        <v>1191</v>
      </c>
      <c r="B110" s="10" t="s">
        <v>48</v>
      </c>
      <c r="C110" t="s">
        <v>1510</v>
      </c>
      <c r="D110" t="str">
        <f>INDEX(Modded_AMF_Table[#All], MATCH($C110,Modded_AMF_Table[[#All],[GL_Other]],0), MATCH("GL_AcctDesc",Modded_AMF_Table[#Headers],0))</f>
        <v>Interest Income Intracompany TE Affiliates</v>
      </c>
      <c r="E110" t="s">
        <v>1249</v>
      </c>
      <c r="F110" s="51">
        <f t="array" ref="F11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-1599.13</v>
      </c>
      <c r="G110" s="51">
        <f t="array" ref="G11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-1599.13</v>
      </c>
      <c r="H110" s="51">
        <f t="array" ref="H11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10" s="51">
        <f t="array" ref="I110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10" s="51">
        <f>OCF_Activity_Template_Table[[#This Row],[BNS]]-OCF_Activity_Template_Table[[#This Row],[BNS PRE-Close Income - TE]]</f>
        <v>0</v>
      </c>
      <c r="K110" s="51">
        <v>0</v>
      </c>
      <c r="L110" s="51" t="b">
        <f>IFERROR(VLOOKUP(OCF_Activity_Template_Table[[#This Row],[GL_Other]],GL_Acct_to_Clearing_Acct[Clearing Acct],1,FALSE)=OCF_Activity_Template_Table[[#This Row],[GL_Other]],FALSE)</f>
        <v>0</v>
      </c>
      <c r="M110" s="51" t="b">
        <f>NOT(ISERROR(VLOOKUP(OCF_Activity_Template_Table[[#This Row],[GL_Other]],GL_Acct_to_Clearing_Acct[#All],2,FALSE)))</f>
        <v>0</v>
      </c>
      <c r="N110" s="51">
        <v>0</v>
      </c>
      <c r="O110" s="61"/>
      <c r="P110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10" s="15">
        <f>'Input &amp; Assumptions'!$C$11</f>
        <v>42215</v>
      </c>
      <c r="T110" s="15">
        <f>'Input &amp; Assumptions'!$C$12</f>
        <v>42215</v>
      </c>
      <c r="U110" t="str">
        <f>IF(OCF_Activity_Template_Table[[#This Row],[BNS Amount to Clear]]&gt;=0,"40","50")</f>
        <v>40</v>
      </c>
      <c r="V110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7031808</v>
      </c>
      <c r="W110">
        <v>366</v>
      </c>
      <c r="X110" t="str">
        <f>IFERROR(VLOOKUP(OCF_Activity_Template_Table[[#This Row],[HFM_Account]],HFM_Acct_to_CC[#All],2,FALSE),"")</f>
        <v/>
      </c>
      <c r="Y110" t="str">
        <f>IF(OCF_Activity_Template_Table[[#This Row],[Trading_Partner]]="","",OCF_Activity_Template_Table[[#This Row],[Trading_Partner]])</f>
        <v>ZZ1797</v>
      </c>
      <c r="Z110" s="51">
        <f>ROUND(ABS(OCF_Activity_Template_Table[[#This Row],[BNS Amount to Clear]]),2)</f>
        <v>0</v>
      </c>
      <c r="AA110" t="str">
        <f>"Clear BNS activity from "&amp;OCF_Activity_Template_Table[[#This Row],[GL_Other]]</f>
        <v>Clear BNS activity from 7031808</v>
      </c>
    </row>
    <row r="111" spans="1:27" x14ac:dyDescent="0.25">
      <c r="A111" s="10" t="s">
        <v>1191</v>
      </c>
      <c r="B111" s="10" t="s">
        <v>143</v>
      </c>
      <c r="C111" t="s">
        <v>143</v>
      </c>
      <c r="D111" t="str">
        <f>INDEX(Modded_AMF_Table[#All], MATCH($C111,Modded_AMF_Table[[#All],[GL_Other]],0), MATCH("GL_AcctDesc",Modded_AMF_Table[#Headers],0))</f>
        <v>TESOG Service Fee</v>
      </c>
      <c r="E111" t="s">
        <v>1252</v>
      </c>
      <c r="F111" s="51">
        <f t="array" ref="F11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-715474.5</v>
      </c>
      <c r="G111" s="51">
        <f t="array" ref="G11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-715474.5</v>
      </c>
      <c r="H111" s="51">
        <f t="array" ref="H11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11" s="51">
        <f t="array" ref="I111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11" s="51">
        <f>OCF_Activity_Template_Table[[#This Row],[BNS]]-OCF_Activity_Template_Table[[#This Row],[BNS PRE-Close Income - TE]]</f>
        <v>0</v>
      </c>
      <c r="K111" s="51">
        <v>0</v>
      </c>
      <c r="L111" s="51" t="b">
        <f>IFERROR(VLOOKUP(OCF_Activity_Template_Table[[#This Row],[GL_Other]],GL_Acct_to_Clearing_Acct[Clearing Acct],1,FALSE)=OCF_Activity_Template_Table[[#This Row],[GL_Other]],FALSE)</f>
        <v>0</v>
      </c>
      <c r="M111" s="51" t="b">
        <f>NOT(ISERROR(VLOOKUP(OCF_Activity_Template_Table[[#This Row],[GL_Other]],GL_Acct_to_Clearing_Acct[#All],2,FALSE)))</f>
        <v>0</v>
      </c>
      <c r="N111" s="51">
        <v>0</v>
      </c>
      <c r="O111" s="61"/>
      <c r="P111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11" s="15">
        <f>'Input &amp; Assumptions'!$C$11</f>
        <v>42215</v>
      </c>
      <c r="T111" s="15">
        <f>'Input &amp; Assumptions'!$C$12</f>
        <v>42215</v>
      </c>
      <c r="U111" t="str">
        <f>IF(OCF_Activity_Template_Table[[#This Row],[BNS Amount to Clear]]&gt;=0,"40","50")</f>
        <v>40</v>
      </c>
      <c r="V111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7076000</v>
      </c>
      <c r="W111">
        <v>366</v>
      </c>
      <c r="X111" t="str">
        <f>IFERROR(VLOOKUP(OCF_Activity_Template_Table[[#This Row],[HFM_Account]],HFM_Acct_to_CC[#All],2,FALSE),"")</f>
        <v/>
      </c>
      <c r="Y111" t="str">
        <f>IF(OCF_Activity_Template_Table[[#This Row],[Trading_Partner]]="","",OCF_Activity_Template_Table[[#This Row],[Trading_Partner]])</f>
        <v>ZZ1151</v>
      </c>
      <c r="Z111" s="51">
        <f>ROUND(ABS(OCF_Activity_Template_Table[[#This Row],[BNS Amount to Clear]]),2)</f>
        <v>0</v>
      </c>
      <c r="AA111" t="str">
        <f>"Clear BNS activity from "&amp;OCF_Activity_Template_Table[[#This Row],[GL_Other]]</f>
        <v>Clear BNS activity from 7076000</v>
      </c>
    </row>
    <row r="112" spans="1:27" x14ac:dyDescent="0.25">
      <c r="A112" s="10" t="s">
        <v>1191</v>
      </c>
      <c r="B112" s="10" t="s">
        <v>143</v>
      </c>
      <c r="C112" t="s">
        <v>1518</v>
      </c>
      <c r="D112" t="str">
        <f>INDEX(Modded_AMF_Table[#All], MATCH($C112,Modded_AMF_Table[[#All],[GL_Other]],0), MATCH("GL_AcctDesc",Modded_AMF_Table[#Headers],0))</f>
        <v>TESOG Service Fees Accrual</v>
      </c>
      <c r="E112" t="s">
        <v>1252</v>
      </c>
      <c r="F112" s="51">
        <f t="array" ref="F11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-777400</v>
      </c>
      <c r="G112" s="51">
        <f t="array" ref="G11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-777400</v>
      </c>
      <c r="H112" s="51">
        <f t="array" ref="H11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12" s="51">
        <f t="array" ref="I112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12" s="51">
        <f>OCF_Activity_Template_Table[[#This Row],[BNS]]-OCF_Activity_Template_Table[[#This Row],[BNS PRE-Close Income - TE]]</f>
        <v>0</v>
      </c>
      <c r="K112" s="51">
        <v>0</v>
      </c>
      <c r="L112" s="51" t="b">
        <f>IFERROR(VLOOKUP(OCF_Activity_Template_Table[[#This Row],[GL_Other]],GL_Acct_to_Clearing_Acct[Clearing Acct],1,FALSE)=OCF_Activity_Template_Table[[#This Row],[GL_Other]],FALSE)</f>
        <v>0</v>
      </c>
      <c r="M112" s="51" t="b">
        <f>NOT(ISERROR(VLOOKUP(OCF_Activity_Template_Table[[#This Row],[GL_Other]],GL_Acct_to_Clearing_Acct[#All],2,FALSE)))</f>
        <v>0</v>
      </c>
      <c r="N112" s="51">
        <v>0</v>
      </c>
      <c r="O112" s="61"/>
      <c r="P112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12" s="15">
        <f>'Input &amp; Assumptions'!$C$11</f>
        <v>42215</v>
      </c>
      <c r="T112" s="15">
        <f>'Input &amp; Assumptions'!$C$12</f>
        <v>42215</v>
      </c>
      <c r="U112" t="str">
        <f>IF(OCF_Activity_Template_Table[[#This Row],[BNS Amount to Clear]]&gt;=0,"40","50")</f>
        <v>40</v>
      </c>
      <c r="V112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7076001</v>
      </c>
      <c r="W112">
        <v>366</v>
      </c>
      <c r="X112" t="str">
        <f>IFERROR(VLOOKUP(OCF_Activity_Template_Table[[#This Row],[HFM_Account]],HFM_Acct_to_CC[#All],2,FALSE),"")</f>
        <v/>
      </c>
      <c r="Y112" t="str">
        <f>IF(OCF_Activity_Template_Table[[#This Row],[Trading_Partner]]="","",OCF_Activity_Template_Table[[#This Row],[Trading_Partner]])</f>
        <v>ZZ1151</v>
      </c>
      <c r="Z112" s="51">
        <f>ROUND(ABS(OCF_Activity_Template_Table[[#This Row],[BNS Amount to Clear]]),2)</f>
        <v>0</v>
      </c>
      <c r="AA112" t="str">
        <f>"Clear BNS activity from "&amp;OCF_Activity_Template_Table[[#This Row],[GL_Other]]</f>
        <v>Clear BNS activity from 7076001</v>
      </c>
    </row>
    <row r="113" spans="1:27" x14ac:dyDescent="0.25">
      <c r="A113" s="10" t="s">
        <v>1191</v>
      </c>
      <c r="B113" s="10" t="s">
        <v>133</v>
      </c>
      <c r="C113" t="s">
        <v>133</v>
      </c>
      <c r="D113" t="str">
        <f>INDEX(Modded_AMF_Table[#All], MATCH($C113,Modded_AMF_Table[[#All],[GL_Other]],0), MATCH("GL_AcctDesc",Modded_AMF_Table[#Headers],0))</f>
        <v>EMEA FSS Service Fee</v>
      </c>
      <c r="E113" t="s">
        <v>1278</v>
      </c>
      <c r="F113" s="51">
        <f t="array" ref="F11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33437.79</v>
      </c>
      <c r="G113" s="51">
        <f t="array" ref="G11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33437.79</v>
      </c>
      <c r="H113" s="51">
        <f t="array" ref="H11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13" s="51">
        <f t="array" ref="I113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13" s="51">
        <f>OCF_Activity_Template_Table[[#This Row],[BNS]]-OCF_Activity_Template_Table[[#This Row],[BNS PRE-Close Income - TE]]</f>
        <v>0</v>
      </c>
      <c r="K113" s="51">
        <v>0</v>
      </c>
      <c r="L113" s="51" t="b">
        <f>IFERROR(VLOOKUP(OCF_Activity_Template_Table[[#This Row],[GL_Other]],GL_Acct_to_Clearing_Acct[Clearing Acct],1,FALSE)=OCF_Activity_Template_Table[[#This Row],[GL_Other]],FALSE)</f>
        <v>0</v>
      </c>
      <c r="M113" s="51" t="b">
        <f>NOT(ISERROR(VLOOKUP(OCF_Activity_Template_Table[[#This Row],[GL_Other]],GL_Acct_to_Clearing_Acct[#All],2,FALSE)))</f>
        <v>0</v>
      </c>
      <c r="N113" s="51">
        <v>0</v>
      </c>
      <c r="O113" s="61"/>
      <c r="P113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13" s="15">
        <f>'Input &amp; Assumptions'!$C$11</f>
        <v>42215</v>
      </c>
      <c r="T113" s="15">
        <f>'Input &amp; Assumptions'!$C$12</f>
        <v>42215</v>
      </c>
      <c r="U113" t="str">
        <f>IF(OCF_Activity_Template_Table[[#This Row],[BNS Amount to Clear]]&gt;=0,"40","50")</f>
        <v>40</v>
      </c>
      <c r="V113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7096000</v>
      </c>
      <c r="W113">
        <v>366</v>
      </c>
      <c r="X113" t="str">
        <f>IFERROR(VLOOKUP(OCF_Activity_Template_Table[[#This Row],[HFM_Account]],HFM_Acct_to_CC[#All],2,FALSE),"")</f>
        <v/>
      </c>
      <c r="Y113" t="str">
        <f>IF(OCF_Activity_Template_Table[[#This Row],[Trading_Partner]]="","",OCF_Activity_Template_Table[[#This Row],[Trading_Partner]])</f>
        <v>ZZ1798</v>
      </c>
      <c r="Z113" s="51">
        <f>ROUND(ABS(OCF_Activity_Template_Table[[#This Row],[BNS Amount to Clear]]),2)</f>
        <v>0</v>
      </c>
      <c r="AA113" t="str">
        <f>"Clear BNS activity from "&amp;OCF_Activity_Template_Table[[#This Row],[GL_Other]]</f>
        <v>Clear BNS activity from 7096000</v>
      </c>
    </row>
    <row r="114" spans="1:27" x14ac:dyDescent="0.25">
      <c r="A114" s="10" t="s">
        <v>1191</v>
      </c>
      <c r="B114" s="10" t="s">
        <v>1321</v>
      </c>
      <c r="C114" t="s">
        <v>1319</v>
      </c>
      <c r="D114" t="str">
        <f>INDEX(Modded_AMF_Table[#All], MATCH($C114,Modded_AMF_Table[[#All],[GL_Other]],0), MATCH("GL_AcctDesc",Modded_AMF_Table[#Headers],0))</f>
        <v>Retained Earnings</v>
      </c>
      <c r="F114" s="51">
        <f t="array" ref="F11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6201180.4299999997</v>
      </c>
      <c r="G114" s="51">
        <f t="array" ref="G11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6201180.4299999997</v>
      </c>
      <c r="H114" s="51">
        <f t="array" ref="H11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14" s="51">
        <f t="array" ref="I114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14" s="51">
        <f>OCF_Activity_Template_Table[[#This Row],[BNS]]-OCF_Activity_Template_Table[[#This Row],[BNS PRE-Close Income - TE]]</f>
        <v>0</v>
      </c>
      <c r="K114" s="51">
        <v>0</v>
      </c>
      <c r="L114" s="51" t="b">
        <f>IFERROR(VLOOKUP(OCF_Activity_Template_Table[[#This Row],[GL_Other]],GL_Acct_to_Clearing_Acct[Clearing Acct],1,FALSE)=OCF_Activity_Template_Table[[#This Row],[GL_Other]],FALSE)</f>
        <v>0</v>
      </c>
      <c r="M114" s="51" t="b">
        <f>NOT(ISERROR(VLOOKUP(OCF_Activity_Template_Table[[#This Row],[GL_Other]],GL_Acct_to_Clearing_Acct[#All],2,FALSE)))</f>
        <v>0</v>
      </c>
      <c r="N114" s="51">
        <v>0</v>
      </c>
      <c r="O114" s="61"/>
      <c r="P114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14" s="15">
        <f>'Input &amp; Assumptions'!$C$11</f>
        <v>42215</v>
      </c>
      <c r="T114" s="15">
        <f>'Input &amp; Assumptions'!$C$12</f>
        <v>42215</v>
      </c>
      <c r="U114" t="str">
        <f>IF(OCF_Activity_Template_Table[[#This Row],[BNS Amount to Clear]]&gt;=0,"40","50")</f>
        <v>40</v>
      </c>
      <c r="V114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3700000</v>
      </c>
      <c r="W114">
        <v>366</v>
      </c>
      <c r="X114" t="str">
        <f>IFERROR(VLOOKUP(OCF_Activity_Template_Table[[#This Row],[HFM_Account]],HFM_Acct_to_CC[#All],2,FALSE),"")</f>
        <v/>
      </c>
      <c r="Y114" t="str">
        <f>IF(OCF_Activity_Template_Table[[#This Row],[Trading_Partner]]="","",OCF_Activity_Template_Table[[#This Row],[Trading_Partner]])</f>
        <v/>
      </c>
      <c r="Z114" s="51">
        <f>ROUND(ABS(OCF_Activity_Template_Table[[#This Row],[BNS Amount to Clear]]),2)</f>
        <v>0</v>
      </c>
      <c r="AA114" t="str">
        <f>"Clear BNS activity from "&amp;OCF_Activity_Template_Table[[#This Row],[GL_Other]]</f>
        <v>Clear BNS activity from 3700000</v>
      </c>
    </row>
    <row r="115" spans="1:27" x14ac:dyDescent="0.25">
      <c r="A115" s="53" t="s">
        <v>1191</v>
      </c>
      <c r="B115" s="10" t="s">
        <v>1321</v>
      </c>
      <c r="C115" t="s">
        <v>1323</v>
      </c>
      <c r="D115" t="str">
        <f>INDEX(Modded_AMF_Table[#All], MATCH($C115,Modded_AMF_Table[[#All],[GL_Other]],0), MATCH("GL_AcctDesc",Modded_AMF_Table[#Headers],0))</f>
        <v>Retained Earnings-Net Income</v>
      </c>
      <c r="F115" s="51">
        <f t="array" ref="F11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-7317915.46</v>
      </c>
      <c r="G115" s="51">
        <f t="array" ref="G11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-7317915.46</v>
      </c>
      <c r="H115" s="51">
        <f t="array" ref="H11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15" s="51">
        <f t="array" ref="I115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15" s="51">
        <f>OCF_Activity_Template_Table[[#This Row],[BNS]]-OCF_Activity_Template_Table[[#This Row],[BNS PRE-Close Income - TE]]</f>
        <v>0</v>
      </c>
      <c r="K115" s="51">
        <v>0</v>
      </c>
      <c r="L115" s="51" t="b">
        <f>IFERROR(VLOOKUP(OCF_Activity_Template_Table[[#This Row],[GL_Other]],GL_Acct_to_Clearing_Acct[Clearing Acct],1,FALSE)=OCF_Activity_Template_Table[[#This Row],[GL_Other]],FALSE)</f>
        <v>0</v>
      </c>
      <c r="M115" s="51" t="b">
        <f>NOT(ISERROR(VLOOKUP(OCF_Activity_Template_Table[[#This Row],[GL_Other]],GL_Acct_to_Clearing_Acct[#All],2,FALSE)))</f>
        <v>0</v>
      </c>
      <c r="N115" s="51">
        <v>0</v>
      </c>
      <c r="O115" s="61"/>
      <c r="P115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15" s="15">
        <f>'Input &amp; Assumptions'!$C$11</f>
        <v>42215</v>
      </c>
      <c r="T115" s="15">
        <f>'Input &amp; Assumptions'!$C$12</f>
        <v>42215</v>
      </c>
      <c r="U115" t="str">
        <f>IF(OCF_Activity_Template_Table[[#This Row],[BNS Amount to Clear]]&gt;=0,"40","50")</f>
        <v>40</v>
      </c>
      <c r="V115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3720000</v>
      </c>
      <c r="W115">
        <v>366</v>
      </c>
      <c r="X115" t="str">
        <f>IFERROR(VLOOKUP(OCF_Activity_Template_Table[[#This Row],[HFM_Account]],HFM_Acct_to_CC[#All],2,FALSE),"")</f>
        <v/>
      </c>
      <c r="Y115" t="str">
        <f>IF(OCF_Activity_Template_Table[[#This Row],[Trading_Partner]]="","",OCF_Activity_Template_Table[[#This Row],[Trading_Partner]])</f>
        <v/>
      </c>
      <c r="Z115" s="51">
        <f>ROUND(ABS(OCF_Activity_Template_Table[[#This Row],[BNS Amount to Clear]]),2)</f>
        <v>0</v>
      </c>
      <c r="AA115" t="str">
        <f>"Clear BNS activity from "&amp;OCF_Activity_Template_Table[[#This Row],[GL_Other]]</f>
        <v>Clear BNS activity from 3720000</v>
      </c>
    </row>
    <row r="116" spans="1:27" x14ac:dyDescent="0.25">
      <c r="A116" s="10" t="s">
        <v>310</v>
      </c>
      <c r="B116" s="10" t="s">
        <v>335</v>
      </c>
      <c r="C116" t="s">
        <v>335</v>
      </c>
      <c r="D116" t="str">
        <f>INDEX(Modded_AMF_Table[#All], MATCH($C116,Modded_AMF_Table[[#All],[GL_Other]],0), MATCH("GL_AcctDesc",Modded_AMF_Table[#Headers],0))</f>
        <v>Restricted Cash</v>
      </c>
      <c r="F116" s="51">
        <f t="array" ref="F11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1846.75</v>
      </c>
      <c r="G116" s="51">
        <f t="array" ref="G11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1846.75</v>
      </c>
      <c r="H116" s="51">
        <f t="array" ref="H11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16" s="51">
        <f t="array" ref="I116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16" s="51">
        <f>OCF_Activity_Template_Table[[#This Row],[BNS]]-OCF_Activity_Template_Table[[#This Row],[BNS PRE-Close Income - TE]]</f>
        <v>0</v>
      </c>
      <c r="K116" s="51">
        <v>0</v>
      </c>
      <c r="L116" s="51" t="b">
        <f>IFERROR(VLOOKUP(OCF_Activity_Template_Table[[#This Row],[GL_Other]],GL_Acct_to_Clearing_Acct[Clearing Acct],1,FALSE)=OCF_Activity_Template_Table[[#This Row],[GL_Other]],FALSE)</f>
        <v>0</v>
      </c>
      <c r="M116" s="51" t="b">
        <f>NOT(ISERROR(VLOOKUP(OCF_Activity_Template_Table[[#This Row],[GL_Other]],GL_Acct_to_Clearing_Acct[#All],2,FALSE)))</f>
        <v>0</v>
      </c>
      <c r="N116" s="51">
        <v>0</v>
      </c>
      <c r="O116" s="58"/>
      <c r="P116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16" s="15">
        <f>'Input &amp; Assumptions'!$C$11</f>
        <v>42215</v>
      </c>
      <c r="T116" s="15">
        <f>'Input &amp; Assumptions'!$C$12</f>
        <v>42215</v>
      </c>
      <c r="U116" t="str">
        <f>IF(OCF_Activity_Template_Table[[#This Row],[BNS Amount to Clear]]&gt;=0,"40","50")</f>
        <v>40</v>
      </c>
      <c r="V116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1035000</v>
      </c>
      <c r="W116">
        <v>366</v>
      </c>
      <c r="X116" t="str">
        <f>IFERROR(VLOOKUP(OCF_Activity_Template_Table[[#This Row],[HFM_Account]],HFM_Acct_to_CC[#All],2,FALSE),"")</f>
        <v/>
      </c>
      <c r="Y116" t="str">
        <f>IF(OCF_Activity_Template_Table[[#This Row],[Trading_Partner]]="","",OCF_Activity_Template_Table[[#This Row],[Trading_Partner]])</f>
        <v/>
      </c>
      <c r="Z116" s="51">
        <f>ROUND(ABS(OCF_Activity_Template_Table[[#This Row],[BNS Amount to Clear]]),2)</f>
        <v>0</v>
      </c>
      <c r="AA116" t="str">
        <f>"Clear BNS activity from "&amp;OCF_Activity_Template_Table[[#This Row],[GL_Other]]</f>
        <v>Clear BNS activity from 1035000</v>
      </c>
    </row>
    <row r="117" spans="1:27" x14ac:dyDescent="0.25">
      <c r="A117" s="10" t="s">
        <v>310</v>
      </c>
      <c r="B117" s="10" t="s">
        <v>323</v>
      </c>
      <c r="C117" t="s">
        <v>323</v>
      </c>
      <c r="D117" t="str">
        <f>INDEX(Modded_AMF_Table[#All], MATCH($C117,Modded_AMF_Table[[#All],[GL_Other]],0), MATCH("GL_AcctDesc",Modded_AMF_Table[#Headers],0))</f>
        <v>Ppd Insurance</v>
      </c>
      <c r="F117" s="51">
        <f t="array" ref="F11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17867.580000000002</v>
      </c>
      <c r="G117" s="51">
        <f t="array" ref="G11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17867.580000000002</v>
      </c>
      <c r="H117" s="51">
        <f t="array" ref="H11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17" s="51">
        <f t="array" ref="I117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17" s="51">
        <f>OCF_Activity_Template_Table[[#This Row],[BNS]]-OCF_Activity_Template_Table[[#This Row],[BNS PRE-Close Income - TE]]</f>
        <v>0</v>
      </c>
      <c r="K117" s="51">
        <v>0</v>
      </c>
      <c r="L117" s="51" t="b">
        <f>IFERROR(VLOOKUP(OCF_Activity_Template_Table[[#This Row],[GL_Other]],GL_Acct_to_Clearing_Acct[Clearing Acct],1,FALSE)=OCF_Activity_Template_Table[[#This Row],[GL_Other]],FALSE)</f>
        <v>0</v>
      </c>
      <c r="M117" s="51" t="b">
        <f>NOT(ISERROR(VLOOKUP(OCF_Activity_Template_Table[[#This Row],[GL_Other]],GL_Acct_to_Clearing_Acct[#All],2,FALSE)))</f>
        <v>0</v>
      </c>
      <c r="N117" s="51">
        <v>0</v>
      </c>
      <c r="O117" s="58"/>
      <c r="P117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17" s="15">
        <f>'Input &amp; Assumptions'!$C$11</f>
        <v>42215</v>
      </c>
      <c r="T117" s="15">
        <f>'Input &amp; Assumptions'!$C$12</f>
        <v>42215</v>
      </c>
      <c r="U117" t="str">
        <f>IF(OCF_Activity_Template_Table[[#This Row],[BNS Amount to Clear]]&gt;=0,"40","50")</f>
        <v>40</v>
      </c>
      <c r="V117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1201000</v>
      </c>
      <c r="W117">
        <v>366</v>
      </c>
      <c r="X117" t="str">
        <f>IFERROR(VLOOKUP(OCF_Activity_Template_Table[[#This Row],[HFM_Account]],HFM_Acct_to_CC[#All],2,FALSE),"")</f>
        <v/>
      </c>
      <c r="Y117" t="str">
        <f>IF(OCF_Activity_Template_Table[[#This Row],[Trading_Partner]]="","",OCF_Activity_Template_Table[[#This Row],[Trading_Partner]])</f>
        <v/>
      </c>
      <c r="Z117" s="51">
        <f>ROUND(ABS(OCF_Activity_Template_Table[[#This Row],[BNS Amount to Clear]]),2)</f>
        <v>0</v>
      </c>
      <c r="AA117" t="str">
        <f>"Clear BNS activity from "&amp;OCF_Activity_Template_Table[[#This Row],[GL_Other]]</f>
        <v>Clear BNS activity from 1201000</v>
      </c>
    </row>
    <row r="118" spans="1:27" x14ac:dyDescent="0.25">
      <c r="A118" s="10" t="s">
        <v>310</v>
      </c>
      <c r="B118" s="10" t="s">
        <v>325</v>
      </c>
      <c r="C118" t="s">
        <v>325</v>
      </c>
      <c r="D118" t="str">
        <f>INDEX(Modded_AMF_Table[#All], MATCH($C118,Modded_AMF_Table[[#All],[GL_Other]],0), MATCH("GL_AcctDesc",Modded_AMF_Table[#Headers],0))</f>
        <v>Prepaid Rent/Lease</v>
      </c>
      <c r="F118" s="51">
        <f t="array" ref="F11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19192.66</v>
      </c>
      <c r="G118" s="51">
        <f t="array" ref="G11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19192.66</v>
      </c>
      <c r="H118" s="51">
        <f t="array" ref="H11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18" s="51">
        <f t="array" ref="I118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18" s="51">
        <f>OCF_Activity_Template_Table[[#This Row],[BNS]]-OCF_Activity_Template_Table[[#This Row],[BNS PRE-Close Income - TE]]</f>
        <v>0</v>
      </c>
      <c r="K118" s="51">
        <v>0</v>
      </c>
      <c r="L118" s="51" t="b">
        <f>IFERROR(VLOOKUP(OCF_Activity_Template_Table[[#This Row],[GL_Other]],GL_Acct_to_Clearing_Acct[Clearing Acct],1,FALSE)=OCF_Activity_Template_Table[[#This Row],[GL_Other]],FALSE)</f>
        <v>0</v>
      </c>
      <c r="M118" s="51" t="b">
        <f>NOT(ISERROR(VLOOKUP(OCF_Activity_Template_Table[[#This Row],[GL_Other]],GL_Acct_to_Clearing_Acct[#All],2,FALSE)))</f>
        <v>0</v>
      </c>
      <c r="N118" s="51">
        <v>0</v>
      </c>
      <c r="O118" s="58"/>
      <c r="P118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18" s="15">
        <f>'Input &amp; Assumptions'!$C$11</f>
        <v>42215</v>
      </c>
      <c r="T118" s="15">
        <f>'Input &amp; Assumptions'!$C$12</f>
        <v>42215</v>
      </c>
      <c r="U118" t="str">
        <f>IF(OCF_Activity_Template_Table[[#This Row],[BNS Amount to Clear]]&gt;=0,"40","50")</f>
        <v>40</v>
      </c>
      <c r="V118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1202000</v>
      </c>
      <c r="W118">
        <v>366</v>
      </c>
      <c r="X118" t="str">
        <f>IFERROR(VLOOKUP(OCF_Activity_Template_Table[[#This Row],[HFM_Account]],HFM_Acct_to_CC[#All],2,FALSE),"")</f>
        <v/>
      </c>
      <c r="Y118" t="str">
        <f>IF(OCF_Activity_Template_Table[[#This Row],[Trading_Partner]]="","",OCF_Activity_Template_Table[[#This Row],[Trading_Partner]])</f>
        <v/>
      </c>
      <c r="Z118" s="51">
        <f>ROUND(ABS(OCF_Activity_Template_Table[[#This Row],[BNS Amount to Clear]]),2)</f>
        <v>0</v>
      </c>
      <c r="AA118" t="str">
        <f>"Clear BNS activity from "&amp;OCF_Activity_Template_Table[[#This Row],[GL_Other]]</f>
        <v>Clear BNS activity from 1202000</v>
      </c>
    </row>
    <row r="119" spans="1:27" x14ac:dyDescent="0.25">
      <c r="A119" s="10" t="s">
        <v>310</v>
      </c>
      <c r="B119" s="10" t="s">
        <v>329</v>
      </c>
      <c r="C119" t="s">
        <v>1230</v>
      </c>
      <c r="D119" t="str">
        <f>INDEX(Modded_AMF_Table[#All], MATCH($C119,Modded_AMF_Table[[#All],[GL_Other]],0), MATCH("GL_AcctDesc",Modded_AMF_Table[#Headers],0))</f>
        <v>Prepaid - Dues &amp; Subscriptions</v>
      </c>
      <c r="F119" s="51">
        <f t="array" ref="F11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11856.61</v>
      </c>
      <c r="G119" s="51">
        <f t="array" ref="G11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11856.61</v>
      </c>
      <c r="H119" s="51">
        <f t="array" ref="H11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19" s="51">
        <f t="array" ref="I119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19" s="51">
        <f>OCF_Activity_Template_Table[[#This Row],[BNS]]-OCF_Activity_Template_Table[[#This Row],[BNS PRE-Close Income - TE]]</f>
        <v>0</v>
      </c>
      <c r="K119" s="51">
        <v>0</v>
      </c>
      <c r="L119" s="51" t="b">
        <f>IFERROR(VLOOKUP(OCF_Activity_Template_Table[[#This Row],[GL_Other]],GL_Acct_to_Clearing_Acct[Clearing Acct],1,FALSE)=OCF_Activity_Template_Table[[#This Row],[GL_Other]],FALSE)</f>
        <v>0</v>
      </c>
      <c r="M119" s="51" t="b">
        <f>NOT(ISERROR(VLOOKUP(OCF_Activity_Template_Table[[#This Row],[GL_Other]],GL_Acct_to_Clearing_Acct[#All],2,FALSE)))</f>
        <v>0</v>
      </c>
      <c r="N119" s="51">
        <v>0</v>
      </c>
      <c r="O119" s="58"/>
      <c r="P119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19" s="15">
        <f>'Input &amp; Assumptions'!$C$11</f>
        <v>42215</v>
      </c>
      <c r="T119" s="15">
        <f>'Input &amp; Assumptions'!$C$12</f>
        <v>42215</v>
      </c>
      <c r="U119" t="str">
        <f>IF(OCF_Activity_Template_Table[[#This Row],[BNS Amount to Clear]]&gt;=0,"40","50")</f>
        <v>40</v>
      </c>
      <c r="V119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1206135</v>
      </c>
      <c r="W119">
        <v>366</v>
      </c>
      <c r="X119" t="str">
        <f>IFERROR(VLOOKUP(OCF_Activity_Template_Table[[#This Row],[HFM_Account]],HFM_Acct_to_CC[#All],2,FALSE),"")</f>
        <v/>
      </c>
      <c r="Y119" t="str">
        <f>IF(OCF_Activity_Template_Table[[#This Row],[Trading_Partner]]="","",OCF_Activity_Template_Table[[#This Row],[Trading_Partner]])</f>
        <v/>
      </c>
      <c r="Z119" s="51">
        <f>ROUND(ABS(OCF_Activity_Template_Table[[#This Row],[BNS Amount to Clear]]),2)</f>
        <v>0</v>
      </c>
      <c r="AA119" t="str">
        <f>"Clear BNS activity from "&amp;OCF_Activity_Template_Table[[#This Row],[GL_Other]]</f>
        <v>Clear BNS activity from 1206135</v>
      </c>
    </row>
    <row r="120" spans="1:27" x14ac:dyDescent="0.25">
      <c r="A120" s="10" t="s">
        <v>310</v>
      </c>
      <c r="B120" s="10" t="s">
        <v>329</v>
      </c>
      <c r="C120" t="s">
        <v>1233</v>
      </c>
      <c r="D120" t="str">
        <f>INDEX(Modded_AMF_Table[#All], MATCH($C120,Modded_AMF_Table[[#All],[GL_Other]],0), MATCH("GL_AcctDesc",Modded_AMF_Table[#Headers],0))</f>
        <v>Ppd Voucher</v>
      </c>
      <c r="F120" s="51">
        <f t="array" ref="F12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9270</v>
      </c>
      <c r="G120" s="51">
        <f t="array" ref="G12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9270</v>
      </c>
      <c r="H120" s="51">
        <f t="array" ref="H12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20" s="51">
        <f t="array" ref="I120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20" s="51">
        <f>OCF_Activity_Template_Table[[#This Row],[BNS]]-OCF_Activity_Template_Table[[#This Row],[BNS PRE-Close Income - TE]]</f>
        <v>0</v>
      </c>
      <c r="K120" s="51">
        <v>0</v>
      </c>
      <c r="L120" s="51" t="b">
        <f>IFERROR(VLOOKUP(OCF_Activity_Template_Table[[#This Row],[GL_Other]],GL_Acct_to_Clearing_Acct[Clearing Acct],1,FALSE)=OCF_Activity_Template_Table[[#This Row],[GL_Other]],FALSE)</f>
        <v>0</v>
      </c>
      <c r="M120" s="51" t="b">
        <f>NOT(ISERROR(VLOOKUP(OCF_Activity_Template_Table[[#This Row],[GL_Other]],GL_Acct_to_Clearing_Acct[#All],2,FALSE)))</f>
        <v>0</v>
      </c>
      <c r="N120" s="51">
        <v>0</v>
      </c>
      <c r="O120" s="58"/>
      <c r="P120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20" s="15">
        <f>'Input &amp; Assumptions'!$C$11</f>
        <v>42215</v>
      </c>
      <c r="T120" s="15">
        <f>'Input &amp; Assumptions'!$C$12</f>
        <v>42215</v>
      </c>
      <c r="U120" t="str">
        <f>IF(OCF_Activity_Template_Table[[#This Row],[BNS Amount to Clear]]&gt;=0,"40","50")</f>
        <v>40</v>
      </c>
      <c r="V120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1206170</v>
      </c>
      <c r="W120">
        <v>366</v>
      </c>
      <c r="X120" t="str">
        <f>IFERROR(VLOOKUP(OCF_Activity_Template_Table[[#This Row],[HFM_Account]],HFM_Acct_to_CC[#All],2,FALSE),"")</f>
        <v/>
      </c>
      <c r="Y120" t="str">
        <f>IF(OCF_Activity_Template_Table[[#This Row],[Trading_Partner]]="","",OCF_Activity_Template_Table[[#This Row],[Trading_Partner]])</f>
        <v/>
      </c>
      <c r="Z120" s="51">
        <f>ROUND(ABS(OCF_Activity_Template_Table[[#This Row],[BNS Amount to Clear]]),2)</f>
        <v>0</v>
      </c>
      <c r="AA120" t="str">
        <f>"Clear BNS activity from "&amp;OCF_Activity_Template_Table[[#This Row],[GL_Other]]</f>
        <v>Clear BNS activity from 1206170</v>
      </c>
    </row>
    <row r="121" spans="1:27" x14ac:dyDescent="0.25">
      <c r="A121" s="10" t="s">
        <v>310</v>
      </c>
      <c r="B121" s="10" t="s">
        <v>329</v>
      </c>
      <c r="C121" t="s">
        <v>1236</v>
      </c>
      <c r="D121" t="str">
        <f>INDEX(Modded_AMF_Table[#All], MATCH($C121,Modded_AMF_Table[[#All],[GL_Other]],0), MATCH("GL_AcctDesc",Modded_AMF_Table[#Headers],0))</f>
        <v>Ppd - Other</v>
      </c>
      <c r="F121" s="51">
        <f t="array" ref="F12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6362.35</v>
      </c>
      <c r="G121" s="51">
        <f t="array" ref="G12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6362.35</v>
      </c>
      <c r="H121" s="51">
        <f t="array" ref="H12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21" s="51">
        <f t="array" ref="I121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21" s="51">
        <f>OCF_Activity_Template_Table[[#This Row],[BNS]]-OCF_Activity_Template_Table[[#This Row],[BNS PRE-Close Income - TE]]</f>
        <v>0</v>
      </c>
      <c r="K121" s="51">
        <v>0</v>
      </c>
      <c r="L121" s="51" t="b">
        <f>IFERROR(VLOOKUP(OCF_Activity_Template_Table[[#This Row],[GL_Other]],GL_Acct_to_Clearing_Acct[Clearing Acct],1,FALSE)=OCF_Activity_Template_Table[[#This Row],[GL_Other]],FALSE)</f>
        <v>0</v>
      </c>
      <c r="M121" s="51" t="b">
        <f>NOT(ISERROR(VLOOKUP(OCF_Activity_Template_Table[[#This Row],[GL_Other]],GL_Acct_to_Clearing_Acct[#All],2,FALSE)))</f>
        <v>0</v>
      </c>
      <c r="N121" s="51">
        <v>0</v>
      </c>
      <c r="O121" s="58"/>
      <c r="P121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21" s="15">
        <f>'Input &amp; Assumptions'!$C$11</f>
        <v>42215</v>
      </c>
      <c r="T121" s="15">
        <f>'Input &amp; Assumptions'!$C$12</f>
        <v>42215</v>
      </c>
      <c r="U121" t="str">
        <f>IF(OCF_Activity_Template_Table[[#This Row],[BNS Amount to Clear]]&gt;=0,"40","50")</f>
        <v>40</v>
      </c>
      <c r="V121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1206180</v>
      </c>
      <c r="W121">
        <v>366</v>
      </c>
      <c r="X121" t="str">
        <f>IFERROR(VLOOKUP(OCF_Activity_Template_Table[[#This Row],[HFM_Account]],HFM_Acct_to_CC[#All],2,FALSE),"")</f>
        <v/>
      </c>
      <c r="Y121" t="str">
        <f>IF(OCF_Activity_Template_Table[[#This Row],[Trading_Partner]]="","",OCF_Activity_Template_Table[[#This Row],[Trading_Partner]])</f>
        <v/>
      </c>
      <c r="Z121" s="51">
        <f>ROUND(ABS(OCF_Activity_Template_Table[[#This Row],[BNS Amount to Clear]]),2)</f>
        <v>0</v>
      </c>
      <c r="AA121" t="str">
        <f>"Clear BNS activity from "&amp;OCF_Activity_Template_Table[[#This Row],[GL_Other]]</f>
        <v>Clear BNS activity from 1206180</v>
      </c>
    </row>
    <row r="122" spans="1:27" x14ac:dyDescent="0.25">
      <c r="A122" s="10" t="s">
        <v>310</v>
      </c>
      <c r="B122" s="10" t="s">
        <v>329</v>
      </c>
      <c r="C122" t="s">
        <v>1239</v>
      </c>
      <c r="D122" t="str">
        <f>INDEX(Modded_AMF_Table[#All], MATCH($C122,Modded_AMF_Table[[#All],[GL_Other]],0), MATCH("GL_AcctDesc",Modded_AMF_Table[#Headers],0))</f>
        <v>Ppd Pension Fund Recharge</v>
      </c>
      <c r="F122" s="51">
        <f t="array" ref="F12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32152.16</v>
      </c>
      <c r="G122" s="51">
        <f t="array" ref="G12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32152.16</v>
      </c>
      <c r="H122" s="51">
        <f t="array" ref="H12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22" s="51">
        <f t="array" ref="I122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22" s="51">
        <f>OCF_Activity_Template_Table[[#This Row],[BNS]]-OCF_Activity_Template_Table[[#This Row],[BNS PRE-Close Income - TE]]</f>
        <v>0</v>
      </c>
      <c r="K122" s="51">
        <v>0</v>
      </c>
      <c r="L122" s="51" t="b">
        <f>IFERROR(VLOOKUP(OCF_Activity_Template_Table[[#This Row],[GL_Other]],GL_Acct_to_Clearing_Acct[Clearing Acct],1,FALSE)=OCF_Activity_Template_Table[[#This Row],[GL_Other]],FALSE)</f>
        <v>0</v>
      </c>
      <c r="M122" s="51" t="b">
        <f>NOT(ISERROR(VLOOKUP(OCF_Activity_Template_Table[[#This Row],[GL_Other]],GL_Acct_to_Clearing_Acct[#All],2,FALSE)))</f>
        <v>0</v>
      </c>
      <c r="N122" s="51">
        <v>0</v>
      </c>
      <c r="O122" s="58"/>
      <c r="P122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22" s="15">
        <f>'Input &amp; Assumptions'!$C$11</f>
        <v>42215</v>
      </c>
      <c r="T122" s="15">
        <f>'Input &amp; Assumptions'!$C$12</f>
        <v>42215</v>
      </c>
      <c r="U122" t="str">
        <f>IF(OCF_Activity_Template_Table[[#This Row],[BNS Amount to Clear]]&gt;=0,"40","50")</f>
        <v>40</v>
      </c>
      <c r="V122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1206802</v>
      </c>
      <c r="W122">
        <v>366</v>
      </c>
      <c r="X122" t="str">
        <f>IFERROR(VLOOKUP(OCF_Activity_Template_Table[[#This Row],[HFM_Account]],HFM_Acct_to_CC[#All],2,FALSE),"")</f>
        <v/>
      </c>
      <c r="Y122" t="str">
        <f>IF(OCF_Activity_Template_Table[[#This Row],[Trading_Partner]]="","",OCF_Activity_Template_Table[[#This Row],[Trading_Partner]])</f>
        <v/>
      </c>
      <c r="Z122" s="51">
        <f>ROUND(ABS(OCF_Activity_Template_Table[[#This Row],[BNS Amount to Clear]]),2)</f>
        <v>0</v>
      </c>
      <c r="AA122" t="str">
        <f>"Clear BNS activity from "&amp;OCF_Activity_Template_Table[[#This Row],[GL_Other]]</f>
        <v>Clear BNS activity from 1206802</v>
      </c>
    </row>
    <row r="123" spans="1:27" x14ac:dyDescent="0.25">
      <c r="A123" s="10" t="s">
        <v>310</v>
      </c>
      <c r="B123" s="10" t="s">
        <v>365</v>
      </c>
      <c r="C123" t="s">
        <v>1242</v>
      </c>
      <c r="D123" t="str">
        <f>INDEX(Modded_AMF_Table[#All], MATCH($C123,Modded_AMF_Table[[#All],[GL_Other]],0), MATCH("GL_AcctDesc",Modded_AMF_Table[#Headers],0))</f>
        <v>VAT/Sales Tax Recoverable</v>
      </c>
      <c r="F123" s="51">
        <f t="array" ref="F12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5859.81</v>
      </c>
      <c r="G123" s="51">
        <f t="array" ref="G12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5859.81</v>
      </c>
      <c r="H123" s="51">
        <f t="array" ref="H12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23" s="51">
        <f t="array" ref="I123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23" s="51">
        <f>OCF_Activity_Template_Table[[#This Row],[BNS]]-OCF_Activity_Template_Table[[#This Row],[BNS PRE-Close Income - TE]]</f>
        <v>0</v>
      </c>
      <c r="K123" s="51">
        <v>0</v>
      </c>
      <c r="L123" s="51" t="b">
        <f>IFERROR(VLOOKUP(OCF_Activity_Template_Table[[#This Row],[GL_Other]],GL_Acct_to_Clearing_Acct[Clearing Acct],1,FALSE)=OCF_Activity_Template_Table[[#This Row],[GL_Other]],FALSE)</f>
        <v>0</v>
      </c>
      <c r="M123" s="51" t="b">
        <f>NOT(ISERROR(VLOOKUP(OCF_Activity_Template_Table[[#This Row],[GL_Other]],GL_Acct_to_Clearing_Acct[#All],2,FALSE)))</f>
        <v>0</v>
      </c>
      <c r="N123" s="51">
        <v>0</v>
      </c>
      <c r="O123" s="58"/>
      <c r="P123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23" s="15">
        <f>'Input &amp; Assumptions'!$C$11</f>
        <v>42215</v>
      </c>
      <c r="T123" s="15">
        <f>'Input &amp; Assumptions'!$C$12</f>
        <v>42215</v>
      </c>
      <c r="U123" t="str">
        <f>IF(OCF_Activity_Template_Table[[#This Row],[BNS Amount to Clear]]&gt;=0,"40","50")</f>
        <v>40</v>
      </c>
      <c r="V123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1337001</v>
      </c>
      <c r="W123">
        <v>366</v>
      </c>
      <c r="X123" t="str">
        <f>IFERROR(VLOOKUP(OCF_Activity_Template_Table[[#This Row],[HFM_Account]],HFM_Acct_to_CC[#All],2,FALSE),"")</f>
        <v/>
      </c>
      <c r="Y123" t="str">
        <f>IF(OCF_Activity_Template_Table[[#This Row],[Trading_Partner]]="","",OCF_Activity_Template_Table[[#This Row],[Trading_Partner]])</f>
        <v/>
      </c>
      <c r="Z123" s="51">
        <f>ROUND(ABS(OCF_Activity_Template_Table[[#This Row],[BNS Amount to Clear]]),2)</f>
        <v>0</v>
      </c>
      <c r="AA123" t="str">
        <f>"Clear BNS activity from "&amp;OCF_Activity_Template_Table[[#This Row],[GL_Other]]</f>
        <v>Clear BNS activity from 1337001</v>
      </c>
    </row>
    <row r="124" spans="1:27" x14ac:dyDescent="0.25">
      <c r="A124" s="10" t="s">
        <v>310</v>
      </c>
      <c r="B124" s="10" t="s">
        <v>411</v>
      </c>
      <c r="C124" t="s">
        <v>899</v>
      </c>
      <c r="D124" t="str">
        <f>INDEX(Modded_AMF_Table[#All], MATCH($C124,Modded_AMF_Table[[#All],[GL_Other]],0), MATCH("GL_AcctDesc",Modded_AMF_Table[#Headers],0))</f>
        <v>Leasehold Improvements</v>
      </c>
      <c r="F124" s="51">
        <f t="array" ref="F12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132993.57</v>
      </c>
      <c r="G124" s="51">
        <f t="array" ref="G12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132993.57</v>
      </c>
      <c r="H124" s="51">
        <f t="array" ref="H12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24" s="51">
        <f t="array" ref="I124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24" s="51">
        <f>OCF_Activity_Template_Table[[#This Row],[BNS]]-OCF_Activity_Template_Table[[#This Row],[BNS PRE-Close Income - TE]]</f>
        <v>0</v>
      </c>
      <c r="K124" s="51">
        <v>0</v>
      </c>
      <c r="L124" s="51" t="b">
        <f>IFERROR(VLOOKUP(OCF_Activity_Template_Table[[#This Row],[GL_Other]],GL_Acct_to_Clearing_Acct[Clearing Acct],1,FALSE)=OCF_Activity_Template_Table[[#This Row],[GL_Other]],FALSE)</f>
        <v>0</v>
      </c>
      <c r="M124" s="51" t="b">
        <f>NOT(ISERROR(VLOOKUP(OCF_Activity_Template_Table[[#This Row],[GL_Other]],GL_Acct_to_Clearing_Acct[#All],2,FALSE)))</f>
        <v>1</v>
      </c>
      <c r="N124" s="51">
        <v>0</v>
      </c>
      <c r="O124" s="58"/>
      <c r="P124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24" s="15">
        <f>'Input &amp; Assumptions'!$C$11</f>
        <v>42215</v>
      </c>
      <c r="T124" s="15">
        <f>'Input &amp; Assumptions'!$C$12</f>
        <v>42215</v>
      </c>
      <c r="U124" t="str">
        <f>IF(OCF_Activity_Template_Table[[#This Row],[BNS Amount to Clear]]&gt;=0,"40","50")</f>
        <v>40</v>
      </c>
      <c r="V124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1601898</v>
      </c>
      <c r="W124">
        <v>366</v>
      </c>
      <c r="X124" t="str">
        <f>IFERROR(VLOOKUP(OCF_Activity_Template_Table[[#This Row],[HFM_Account]],HFM_Acct_to_CC[#All],2,FALSE),"")</f>
        <v/>
      </c>
      <c r="Y124" t="str">
        <f>IF(OCF_Activity_Template_Table[[#This Row],[Trading_Partner]]="","",OCF_Activity_Template_Table[[#This Row],[Trading_Partner]])</f>
        <v/>
      </c>
      <c r="Z124" s="51">
        <f>ROUND(ABS(OCF_Activity_Template_Table[[#This Row],[BNS Amount to Clear]]),2)</f>
        <v>0</v>
      </c>
      <c r="AA124" t="str">
        <f>"Clear BNS activity from "&amp;OCF_Activity_Template_Table[[#This Row],[GL_Other]]</f>
        <v>Clear BNS activity from 1601200</v>
      </c>
    </row>
    <row r="125" spans="1:27" x14ac:dyDescent="0.25">
      <c r="A125" s="10" t="s">
        <v>310</v>
      </c>
      <c r="B125" s="10" t="s">
        <v>415</v>
      </c>
      <c r="C125" t="s">
        <v>907</v>
      </c>
      <c r="D125" t="str">
        <f>INDEX(Modded_AMF_Table[#All], MATCH($C125,Modded_AMF_Table[[#All],[GL_Other]],0), MATCH("GL_AcctDesc",Modded_AMF_Table[#Headers],0))</f>
        <v>Machinery &amp; Equipment</v>
      </c>
      <c r="F125" s="51">
        <f t="array" ref="F12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8513.2099999999991</v>
      </c>
      <c r="G125" s="51">
        <f t="array" ref="G12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8513.2099999999991</v>
      </c>
      <c r="H125" s="51">
        <f t="array" ref="H12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25" s="51">
        <f t="array" ref="I125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25" s="51">
        <f>OCF_Activity_Template_Table[[#This Row],[BNS]]-OCF_Activity_Template_Table[[#This Row],[BNS PRE-Close Income - TE]]</f>
        <v>0</v>
      </c>
      <c r="K125" s="51">
        <v>0</v>
      </c>
      <c r="L125" s="51" t="b">
        <f>IFERROR(VLOOKUP(OCF_Activity_Template_Table[[#This Row],[GL_Other]],GL_Acct_to_Clearing_Acct[Clearing Acct],1,FALSE)=OCF_Activity_Template_Table[[#This Row],[GL_Other]],FALSE)</f>
        <v>0</v>
      </c>
      <c r="M125" s="51" t="b">
        <f>NOT(ISERROR(VLOOKUP(OCF_Activity_Template_Table[[#This Row],[GL_Other]],GL_Acct_to_Clearing_Acct[#All],2,FALSE)))</f>
        <v>1</v>
      </c>
      <c r="N125" s="51">
        <v>0</v>
      </c>
      <c r="O125" s="58"/>
      <c r="P125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25" s="15">
        <f>'Input &amp; Assumptions'!$C$11</f>
        <v>42215</v>
      </c>
      <c r="T125" s="15">
        <f>'Input &amp; Assumptions'!$C$12</f>
        <v>42215</v>
      </c>
      <c r="U125" t="str">
        <f>IF(OCF_Activity_Template_Table[[#This Row],[BNS Amount to Clear]]&gt;=0,"40","50")</f>
        <v>40</v>
      </c>
      <c r="V125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1605899</v>
      </c>
      <c r="W125">
        <v>366</v>
      </c>
      <c r="X125" t="str">
        <f>IFERROR(VLOOKUP(OCF_Activity_Template_Table[[#This Row],[HFM_Account]],HFM_Acct_to_CC[#All],2,FALSE),"")</f>
        <v/>
      </c>
      <c r="Y125" t="str">
        <f>IF(OCF_Activity_Template_Table[[#This Row],[Trading_Partner]]="","",OCF_Activity_Template_Table[[#This Row],[Trading_Partner]])</f>
        <v/>
      </c>
      <c r="Z125" s="51">
        <f>ROUND(ABS(OCF_Activity_Template_Table[[#This Row],[BNS Amount to Clear]]),2)</f>
        <v>0</v>
      </c>
      <c r="AA125" t="str">
        <f>"Clear BNS activity from "&amp;OCF_Activity_Template_Table[[#This Row],[GL_Other]]</f>
        <v>Clear BNS activity from 1605100</v>
      </c>
    </row>
    <row r="126" spans="1:27" x14ac:dyDescent="0.25">
      <c r="A126" s="10" t="s">
        <v>310</v>
      </c>
      <c r="B126" s="10" t="s">
        <v>417</v>
      </c>
      <c r="C126" t="s">
        <v>913</v>
      </c>
      <c r="D126" t="str">
        <f>INDEX(Modded_AMF_Table[#All], MATCH($C126,Modded_AMF_Table[[#All],[GL_Other]],0), MATCH("GL_AcctDesc",Modded_AMF_Table[#Headers],0))</f>
        <v>Furniture</v>
      </c>
      <c r="F126" s="51">
        <f t="array" ref="F12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110423.83</v>
      </c>
      <c r="G126" s="51">
        <f t="array" ref="G12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110423.83</v>
      </c>
      <c r="H126" s="51">
        <f t="array" ref="H12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26" s="51">
        <f t="array" ref="I126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26" s="51">
        <f>OCF_Activity_Template_Table[[#This Row],[BNS]]-OCF_Activity_Template_Table[[#This Row],[BNS PRE-Close Income - TE]]</f>
        <v>0</v>
      </c>
      <c r="K126" s="51">
        <v>0</v>
      </c>
      <c r="L126" s="51" t="b">
        <f>IFERROR(VLOOKUP(OCF_Activity_Template_Table[[#This Row],[GL_Other]],GL_Acct_to_Clearing_Acct[Clearing Acct],1,FALSE)=OCF_Activity_Template_Table[[#This Row],[GL_Other]],FALSE)</f>
        <v>0</v>
      </c>
      <c r="M126" s="51" t="b">
        <f>NOT(ISERROR(VLOOKUP(OCF_Activity_Template_Table[[#This Row],[GL_Other]],GL_Acct_to_Clearing_Acct[#All],2,FALSE)))</f>
        <v>1</v>
      </c>
      <c r="N126" s="51">
        <v>0</v>
      </c>
      <c r="O126" s="58"/>
      <c r="P126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26" s="15">
        <f>'Input &amp; Assumptions'!$C$11</f>
        <v>42215</v>
      </c>
      <c r="T126" s="15">
        <f>'Input &amp; Assumptions'!$C$12</f>
        <v>42215</v>
      </c>
      <c r="U126" t="str">
        <f>IF(OCF_Activity_Template_Table[[#This Row],[BNS Amount to Clear]]&gt;=0,"40","50")</f>
        <v>40</v>
      </c>
      <c r="V126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1607899</v>
      </c>
      <c r="W126">
        <v>366</v>
      </c>
      <c r="X126" t="str">
        <f>IFERROR(VLOOKUP(OCF_Activity_Template_Table[[#This Row],[HFM_Account]],HFM_Acct_to_CC[#All],2,FALSE),"")</f>
        <v/>
      </c>
      <c r="Y126" t="str">
        <f>IF(OCF_Activity_Template_Table[[#This Row],[Trading_Partner]]="","",OCF_Activity_Template_Table[[#This Row],[Trading_Partner]])</f>
        <v/>
      </c>
      <c r="Z126" s="51">
        <f>ROUND(ABS(OCF_Activity_Template_Table[[#This Row],[BNS Amount to Clear]]),2)</f>
        <v>0</v>
      </c>
      <c r="AA126" t="str">
        <f>"Clear BNS activity from "&amp;OCF_Activity_Template_Table[[#This Row],[GL_Other]]</f>
        <v>Clear BNS activity from 1607100</v>
      </c>
    </row>
    <row r="127" spans="1:27" x14ac:dyDescent="0.25">
      <c r="A127" s="10" t="s">
        <v>310</v>
      </c>
      <c r="B127" s="10" t="s">
        <v>421</v>
      </c>
      <c r="C127" t="s">
        <v>917</v>
      </c>
      <c r="D127" t="str">
        <f>INDEX(Modded_AMF_Table[#All], MATCH($C127,Modded_AMF_Table[[#All],[GL_Other]],0), MATCH("GL_AcctDesc",Modded_AMF_Table[#Headers],0))</f>
        <v>Info Systems (Hardware &amp; Software)</v>
      </c>
      <c r="F127" s="51">
        <f t="array" ref="F12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5131.92</v>
      </c>
      <c r="G127" s="51">
        <f t="array" ref="G12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5131.92</v>
      </c>
      <c r="H127" s="51">
        <f t="array" ref="H12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27" s="51">
        <f t="array" ref="I127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27" s="51">
        <f>OCF_Activity_Template_Table[[#This Row],[BNS]]-OCF_Activity_Template_Table[[#This Row],[BNS PRE-Close Income - TE]]</f>
        <v>0</v>
      </c>
      <c r="K127" s="51">
        <v>0</v>
      </c>
      <c r="L127" s="51" t="b">
        <f>IFERROR(VLOOKUP(OCF_Activity_Template_Table[[#This Row],[GL_Other]],GL_Acct_to_Clearing_Acct[Clearing Acct],1,FALSE)=OCF_Activity_Template_Table[[#This Row],[GL_Other]],FALSE)</f>
        <v>0</v>
      </c>
      <c r="M127" s="51" t="b">
        <f>NOT(ISERROR(VLOOKUP(OCF_Activity_Template_Table[[#This Row],[GL_Other]],GL_Acct_to_Clearing_Acct[#All],2,FALSE)))</f>
        <v>1</v>
      </c>
      <c r="N127" s="51">
        <v>0</v>
      </c>
      <c r="O127" s="58"/>
      <c r="P127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27" s="15">
        <f>'Input &amp; Assumptions'!$C$11</f>
        <v>42215</v>
      </c>
      <c r="T127" s="15">
        <f>'Input &amp; Assumptions'!$C$12</f>
        <v>42215</v>
      </c>
      <c r="U127" t="str">
        <f>IF(OCF_Activity_Template_Table[[#This Row],[BNS Amount to Clear]]&gt;=0,"40","50")</f>
        <v>40</v>
      </c>
      <c r="V127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1609899</v>
      </c>
      <c r="W127">
        <v>366</v>
      </c>
      <c r="X127" t="str">
        <f>IFERROR(VLOOKUP(OCF_Activity_Template_Table[[#This Row],[HFM_Account]],HFM_Acct_to_CC[#All],2,FALSE),"")</f>
        <v/>
      </c>
      <c r="Y127" t="str">
        <f>IF(OCF_Activity_Template_Table[[#This Row],[Trading_Partner]]="","",OCF_Activity_Template_Table[[#This Row],[Trading_Partner]])</f>
        <v/>
      </c>
      <c r="Z127" s="51">
        <f>ROUND(ABS(OCF_Activity_Template_Table[[#This Row],[BNS Amount to Clear]]),2)</f>
        <v>0</v>
      </c>
      <c r="AA127" t="str">
        <f>"Clear BNS activity from "&amp;OCF_Activity_Template_Table[[#This Row],[GL_Other]]</f>
        <v>Clear BNS activity from 1609100</v>
      </c>
    </row>
    <row r="128" spans="1:27" x14ac:dyDescent="0.25">
      <c r="A128" s="10" t="s">
        <v>310</v>
      </c>
      <c r="B128" s="10" t="s">
        <v>429</v>
      </c>
      <c r="C128" t="s">
        <v>429</v>
      </c>
      <c r="D128" t="str">
        <f>INDEX(Modded_AMF_Table[#All], MATCH($C128,Modded_AMF_Table[[#All],[GL_Other]],0), MATCH("GL_AcctDesc",Modded_AMF_Table[#Headers],0))</f>
        <v>A/D Leasehold Improvements</v>
      </c>
      <c r="F128" s="51">
        <f t="array" ref="F12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-132993.57</v>
      </c>
      <c r="G128" s="51">
        <f t="array" ref="G12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-132993.57</v>
      </c>
      <c r="H128" s="51">
        <f t="array" ref="H12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28" s="51">
        <f t="array" ref="I128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28" s="51">
        <f>OCF_Activity_Template_Table[[#This Row],[BNS]]-OCF_Activity_Template_Table[[#This Row],[BNS PRE-Close Income - TE]]</f>
        <v>0</v>
      </c>
      <c r="K128" s="51">
        <v>0</v>
      </c>
      <c r="L128" s="51" t="b">
        <f>IFERROR(VLOOKUP(OCF_Activity_Template_Table[[#This Row],[GL_Other]],GL_Acct_to_Clearing_Acct[Clearing Acct],1,FALSE)=OCF_Activity_Template_Table[[#This Row],[GL_Other]],FALSE)</f>
        <v>0</v>
      </c>
      <c r="M128" s="51" t="b">
        <f>NOT(ISERROR(VLOOKUP(OCF_Activity_Template_Table[[#This Row],[GL_Other]],GL_Acct_to_Clearing_Acct[#All],2,FALSE)))</f>
        <v>1</v>
      </c>
      <c r="N128" s="51">
        <v>0</v>
      </c>
      <c r="O128" s="58"/>
      <c r="P128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28" s="15">
        <f>'Input &amp; Assumptions'!$C$11</f>
        <v>42215</v>
      </c>
      <c r="T128" s="15">
        <f>'Input &amp; Assumptions'!$C$12</f>
        <v>42215</v>
      </c>
      <c r="U128" t="str">
        <f>IF(OCF_Activity_Template_Table[[#This Row],[BNS Amount to Clear]]&gt;=0,"40","50")</f>
        <v>40</v>
      </c>
      <c r="V128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1701898</v>
      </c>
      <c r="W128">
        <v>366</v>
      </c>
      <c r="X128" t="str">
        <f>IFERROR(VLOOKUP(OCF_Activity_Template_Table[[#This Row],[HFM_Account]],HFM_Acct_to_CC[#All],2,FALSE),"")</f>
        <v/>
      </c>
      <c r="Y128" t="str">
        <f>IF(OCF_Activity_Template_Table[[#This Row],[Trading_Partner]]="","",OCF_Activity_Template_Table[[#This Row],[Trading_Partner]])</f>
        <v/>
      </c>
      <c r="Z128" s="51">
        <f>ROUND(ABS(OCF_Activity_Template_Table[[#This Row],[BNS Amount to Clear]]),2)</f>
        <v>0</v>
      </c>
      <c r="AA128" t="str">
        <f>"Clear BNS activity from "&amp;OCF_Activity_Template_Table[[#This Row],[GL_Other]]</f>
        <v>Clear BNS activity from 1701200</v>
      </c>
    </row>
    <row r="129" spans="1:27" x14ac:dyDescent="0.25">
      <c r="A129" s="10" t="s">
        <v>310</v>
      </c>
      <c r="B129" s="10" t="s">
        <v>433</v>
      </c>
      <c r="C129" t="s">
        <v>928</v>
      </c>
      <c r="D129" t="str">
        <f>INDEX(Modded_AMF_Table[#All], MATCH($C129,Modded_AMF_Table[[#All],[GL_Other]],0), MATCH("GL_AcctDesc",Modded_AMF_Table[#Headers],0))</f>
        <v>A/D Machinery &amp; Equipment</v>
      </c>
      <c r="F129" s="51">
        <f t="array" ref="F12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-8513.2099999999991</v>
      </c>
      <c r="G129" s="51">
        <f t="array" ref="G12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-8513.2099999999991</v>
      </c>
      <c r="H129" s="51">
        <f t="array" ref="H12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29" s="51">
        <f t="array" ref="I129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29" s="51">
        <f>OCF_Activity_Template_Table[[#This Row],[BNS]]-OCF_Activity_Template_Table[[#This Row],[BNS PRE-Close Income - TE]]</f>
        <v>0</v>
      </c>
      <c r="K129" s="51">
        <v>0</v>
      </c>
      <c r="L129" s="51" t="b">
        <f>IFERROR(VLOOKUP(OCF_Activity_Template_Table[[#This Row],[GL_Other]],GL_Acct_to_Clearing_Acct[Clearing Acct],1,FALSE)=OCF_Activity_Template_Table[[#This Row],[GL_Other]],FALSE)</f>
        <v>0</v>
      </c>
      <c r="M129" s="51" t="b">
        <f>NOT(ISERROR(VLOOKUP(OCF_Activity_Template_Table[[#This Row],[GL_Other]],GL_Acct_to_Clearing_Acct[#All],2,FALSE)))</f>
        <v>1</v>
      </c>
      <c r="N129" s="51">
        <v>0</v>
      </c>
      <c r="O129" s="58"/>
      <c r="P129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29" s="15">
        <f>'Input &amp; Assumptions'!$C$11</f>
        <v>42215</v>
      </c>
      <c r="T129" s="15">
        <f>'Input &amp; Assumptions'!$C$12</f>
        <v>42215</v>
      </c>
      <c r="U129" t="str">
        <f>IF(OCF_Activity_Template_Table[[#This Row],[BNS Amount to Clear]]&gt;=0,"40","50")</f>
        <v>40</v>
      </c>
      <c r="V129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1705899</v>
      </c>
      <c r="W129">
        <v>366</v>
      </c>
      <c r="X129" t="str">
        <f>IFERROR(VLOOKUP(OCF_Activity_Template_Table[[#This Row],[HFM_Account]],HFM_Acct_to_CC[#All],2,FALSE),"")</f>
        <v/>
      </c>
      <c r="Y129" t="str">
        <f>IF(OCF_Activity_Template_Table[[#This Row],[Trading_Partner]]="","",OCF_Activity_Template_Table[[#This Row],[Trading_Partner]])</f>
        <v/>
      </c>
      <c r="Z129" s="51">
        <f>ROUND(ABS(OCF_Activity_Template_Table[[#This Row],[BNS Amount to Clear]]),2)</f>
        <v>0</v>
      </c>
      <c r="AA129" t="str">
        <f>"Clear BNS activity from "&amp;OCF_Activity_Template_Table[[#This Row],[GL_Other]]</f>
        <v>Clear BNS activity from 1705100</v>
      </c>
    </row>
    <row r="130" spans="1:27" x14ac:dyDescent="0.25">
      <c r="A130" s="10" t="s">
        <v>310</v>
      </c>
      <c r="B130" s="10" t="s">
        <v>435</v>
      </c>
      <c r="C130" t="s">
        <v>932</v>
      </c>
      <c r="D130" t="str">
        <f>INDEX(Modded_AMF_Table[#All], MATCH($C130,Modded_AMF_Table[[#All],[GL_Other]],0), MATCH("GL_AcctDesc",Modded_AMF_Table[#Headers],0))</f>
        <v>A/D Furniture</v>
      </c>
      <c r="F130" s="51">
        <f t="array" ref="F13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-104276.83</v>
      </c>
      <c r="G130" s="51">
        <f t="array" ref="G13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-104276.83</v>
      </c>
      <c r="H130" s="51">
        <f t="array" ref="H13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30" s="51">
        <f t="array" ref="I130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30" s="51">
        <f>OCF_Activity_Template_Table[[#This Row],[BNS]]-OCF_Activity_Template_Table[[#This Row],[BNS PRE-Close Income - TE]]</f>
        <v>0</v>
      </c>
      <c r="K130" s="51">
        <v>0</v>
      </c>
      <c r="L130" s="51" t="b">
        <f>IFERROR(VLOOKUP(OCF_Activity_Template_Table[[#This Row],[GL_Other]],GL_Acct_to_Clearing_Acct[Clearing Acct],1,FALSE)=OCF_Activity_Template_Table[[#This Row],[GL_Other]],FALSE)</f>
        <v>0</v>
      </c>
      <c r="M130" s="51" t="b">
        <f>NOT(ISERROR(VLOOKUP(OCF_Activity_Template_Table[[#This Row],[GL_Other]],GL_Acct_to_Clearing_Acct[#All],2,FALSE)))</f>
        <v>1</v>
      </c>
      <c r="N130" s="51">
        <v>0</v>
      </c>
      <c r="O130" s="58"/>
      <c r="P130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30" s="15">
        <f>'Input &amp; Assumptions'!$C$11</f>
        <v>42215</v>
      </c>
      <c r="T130" s="15">
        <f>'Input &amp; Assumptions'!$C$12</f>
        <v>42215</v>
      </c>
      <c r="U130" t="str">
        <f>IF(OCF_Activity_Template_Table[[#This Row],[BNS Amount to Clear]]&gt;=0,"40","50")</f>
        <v>40</v>
      </c>
      <c r="V130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1707899</v>
      </c>
      <c r="W130">
        <v>366</v>
      </c>
      <c r="X130" t="str">
        <f>IFERROR(VLOOKUP(OCF_Activity_Template_Table[[#This Row],[HFM_Account]],HFM_Acct_to_CC[#All],2,FALSE),"")</f>
        <v/>
      </c>
      <c r="Y130" t="str">
        <f>IF(OCF_Activity_Template_Table[[#This Row],[Trading_Partner]]="","",OCF_Activity_Template_Table[[#This Row],[Trading_Partner]])</f>
        <v/>
      </c>
      <c r="Z130" s="51">
        <f>ROUND(ABS(OCF_Activity_Template_Table[[#This Row],[BNS Amount to Clear]]),2)</f>
        <v>0</v>
      </c>
      <c r="AA130" t="str">
        <f>"Clear BNS activity from "&amp;OCF_Activity_Template_Table[[#This Row],[GL_Other]]</f>
        <v>Clear BNS activity from 1707100</v>
      </c>
    </row>
    <row r="131" spans="1:27" x14ac:dyDescent="0.25">
      <c r="A131" s="10" t="s">
        <v>310</v>
      </c>
      <c r="B131" s="10" t="s">
        <v>439</v>
      </c>
      <c r="C131" t="s">
        <v>936</v>
      </c>
      <c r="D131" t="str">
        <f>INDEX(Modded_AMF_Table[#All], MATCH($C131,Modded_AMF_Table[[#All],[GL_Other]],0), MATCH("GL_AcctDesc",Modded_AMF_Table[#Headers],0))</f>
        <v>A/D Info Systems (Hardwr &amp; Softwr)</v>
      </c>
      <c r="F131" s="51">
        <f t="array" ref="F13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-5131.92</v>
      </c>
      <c r="G131" s="51">
        <f t="array" ref="G13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-5131.92</v>
      </c>
      <c r="H131" s="51">
        <f t="array" ref="H13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31" s="51">
        <f t="array" ref="I131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31" s="51">
        <f>OCF_Activity_Template_Table[[#This Row],[BNS]]-OCF_Activity_Template_Table[[#This Row],[BNS PRE-Close Income - TE]]</f>
        <v>0</v>
      </c>
      <c r="K131" s="51">
        <v>0</v>
      </c>
      <c r="L131" s="51" t="b">
        <f>IFERROR(VLOOKUP(OCF_Activity_Template_Table[[#This Row],[GL_Other]],GL_Acct_to_Clearing_Acct[Clearing Acct],1,FALSE)=OCF_Activity_Template_Table[[#This Row],[GL_Other]],FALSE)</f>
        <v>0</v>
      </c>
      <c r="M131" s="51" t="b">
        <f>NOT(ISERROR(VLOOKUP(OCF_Activity_Template_Table[[#This Row],[GL_Other]],GL_Acct_to_Clearing_Acct[#All],2,FALSE)))</f>
        <v>1</v>
      </c>
      <c r="N131" s="51">
        <v>0</v>
      </c>
      <c r="O131" s="58"/>
      <c r="P131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31" s="15">
        <f>'Input &amp; Assumptions'!$C$11</f>
        <v>42215</v>
      </c>
      <c r="T131" s="15">
        <f>'Input &amp; Assumptions'!$C$12</f>
        <v>42215</v>
      </c>
      <c r="U131" t="str">
        <f>IF(OCF_Activity_Template_Table[[#This Row],[BNS Amount to Clear]]&gt;=0,"40","50")</f>
        <v>40</v>
      </c>
      <c r="V131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1709899</v>
      </c>
      <c r="W131">
        <v>366</v>
      </c>
      <c r="X131" t="str">
        <f>IFERROR(VLOOKUP(OCF_Activity_Template_Table[[#This Row],[HFM_Account]],HFM_Acct_to_CC[#All],2,FALSE),"")</f>
        <v/>
      </c>
      <c r="Y131" t="str">
        <f>IF(OCF_Activity_Template_Table[[#This Row],[Trading_Partner]]="","",OCF_Activity_Template_Table[[#This Row],[Trading_Partner]])</f>
        <v/>
      </c>
      <c r="Z131" s="51">
        <f>ROUND(ABS(OCF_Activity_Template_Table[[#This Row],[BNS Amount to Clear]]),2)</f>
        <v>0</v>
      </c>
      <c r="AA131" t="str">
        <f>"Clear BNS activity from "&amp;OCF_Activity_Template_Table[[#This Row],[GL_Other]]</f>
        <v>Clear BNS activity from 1709100</v>
      </c>
    </row>
    <row r="132" spans="1:27" x14ac:dyDescent="0.25">
      <c r="A132" s="10" t="s">
        <v>310</v>
      </c>
      <c r="B132" s="10" t="s">
        <v>515</v>
      </c>
      <c r="C132" t="s">
        <v>515</v>
      </c>
      <c r="D132" t="str">
        <f>INDEX(Modded_AMF_Table[#All], MATCH($C132,Modded_AMF_Table[[#All],[GL_Other]],0), MATCH("GL_AcctDesc",Modded_AMF_Table[#Headers],0))</f>
        <v>Accounts Payable - Trade</v>
      </c>
      <c r="F132" s="51">
        <f t="array" ref="F13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-28850.37</v>
      </c>
      <c r="G132" s="51">
        <f t="array" ref="G13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-28850.37</v>
      </c>
      <c r="H132" s="51">
        <f t="array" ref="H13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32" s="51">
        <f t="array" ref="I132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32" s="51">
        <f>OCF_Activity_Template_Table[[#This Row],[BNS]]-OCF_Activity_Template_Table[[#This Row],[BNS PRE-Close Income - TE]]</f>
        <v>0</v>
      </c>
      <c r="K132" s="51">
        <v>0</v>
      </c>
      <c r="L132" s="51" t="b">
        <f>IFERROR(VLOOKUP(OCF_Activity_Template_Table[[#This Row],[GL_Other]],GL_Acct_to_Clearing_Acct[Clearing Acct],1,FALSE)=OCF_Activity_Template_Table[[#This Row],[GL_Other]],FALSE)</f>
        <v>0</v>
      </c>
      <c r="M132" s="51" t="b">
        <f>NOT(ISERROR(VLOOKUP(OCF_Activity_Template_Table[[#This Row],[GL_Other]],GL_Acct_to_Clearing_Acct[#All],2,FALSE)))</f>
        <v>1</v>
      </c>
      <c r="N132" s="51">
        <v>0</v>
      </c>
      <c r="O132" s="58"/>
      <c r="P132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32" s="15">
        <f>'Input &amp; Assumptions'!$C$11</f>
        <v>42215</v>
      </c>
      <c r="T132" s="15">
        <f>'Input &amp; Assumptions'!$C$12</f>
        <v>42215</v>
      </c>
      <c r="U132" t="str">
        <f>IF(OCF_Activity_Template_Table[[#This Row],[BNS Amount to Clear]]&gt;=0,"40","50")</f>
        <v>40</v>
      </c>
      <c r="V132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2030899</v>
      </c>
      <c r="W132">
        <v>366</v>
      </c>
      <c r="X132" t="str">
        <f>IFERROR(VLOOKUP(OCF_Activity_Template_Table[[#This Row],[HFM_Account]],HFM_Acct_to_CC[#All],2,FALSE),"")</f>
        <v/>
      </c>
      <c r="Y132" t="str">
        <f>IF(OCF_Activity_Template_Table[[#This Row],[Trading_Partner]]="","",OCF_Activity_Template_Table[[#This Row],[Trading_Partner]])</f>
        <v/>
      </c>
      <c r="Z132" s="51">
        <f>ROUND(ABS(OCF_Activity_Template_Table[[#This Row],[BNS Amount to Clear]]),2)</f>
        <v>0</v>
      </c>
      <c r="AA132" t="str">
        <f>"Clear BNS activity from "&amp;OCF_Activity_Template_Table[[#This Row],[GL_Other]]</f>
        <v>Clear BNS activity from 2030000</v>
      </c>
    </row>
    <row r="133" spans="1:27" x14ac:dyDescent="0.25">
      <c r="A133" s="10" t="s">
        <v>310</v>
      </c>
      <c r="B133" s="10" t="s">
        <v>515</v>
      </c>
      <c r="C133" t="s">
        <v>1148</v>
      </c>
      <c r="D133" t="str">
        <f>INDEX(Modded_AMF_Table[#All], MATCH($C133,Modded_AMF_Table[[#All],[GL_Other]],0), MATCH("GL_AcctDesc",Modded_AMF_Table[#Headers],0))</f>
        <v>Accounts Payable - Employees</v>
      </c>
      <c r="F133" s="51">
        <f t="array" ref="F13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-1166.6500000000001</v>
      </c>
      <c r="G133" s="51">
        <f t="array" ref="G13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-1166.6500000000001</v>
      </c>
      <c r="H133" s="51">
        <f t="array" ref="H13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33" s="51">
        <f t="array" ref="I133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33" s="51">
        <f>OCF_Activity_Template_Table[[#This Row],[BNS]]-OCF_Activity_Template_Table[[#This Row],[BNS PRE-Close Income - TE]]</f>
        <v>0</v>
      </c>
      <c r="K133" s="51">
        <v>0</v>
      </c>
      <c r="L133" s="51" t="b">
        <f>IFERROR(VLOOKUP(OCF_Activity_Template_Table[[#This Row],[GL_Other]],GL_Acct_to_Clearing_Acct[Clearing Acct],1,FALSE)=OCF_Activity_Template_Table[[#This Row],[GL_Other]],FALSE)</f>
        <v>0</v>
      </c>
      <c r="M133" s="51" t="b">
        <f>NOT(ISERROR(VLOOKUP(OCF_Activity_Template_Table[[#This Row],[GL_Other]],GL_Acct_to_Clearing_Acct[#All],2,FALSE)))</f>
        <v>1</v>
      </c>
      <c r="N133" s="51">
        <v>0</v>
      </c>
      <c r="O133" s="58"/>
      <c r="P133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33" s="15">
        <f>'Input &amp; Assumptions'!$C$11</f>
        <v>42215</v>
      </c>
      <c r="T133" s="15">
        <f>'Input &amp; Assumptions'!$C$12</f>
        <v>42215</v>
      </c>
      <c r="U133" t="str">
        <f>IF(OCF_Activity_Template_Table[[#This Row],[BNS Amount to Clear]]&gt;=0,"40","50")</f>
        <v>40</v>
      </c>
      <c r="V133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2030895</v>
      </c>
      <c r="W133">
        <v>366</v>
      </c>
      <c r="X133" t="str">
        <f>IFERROR(VLOOKUP(OCF_Activity_Template_Table[[#This Row],[HFM_Account]],HFM_Acct_to_CC[#All],2,FALSE),"")</f>
        <v/>
      </c>
      <c r="Y133" t="str">
        <f>IF(OCF_Activity_Template_Table[[#This Row],[Trading_Partner]]="","",OCF_Activity_Template_Table[[#This Row],[Trading_Partner]])</f>
        <v/>
      </c>
      <c r="Z133" s="51">
        <f>ROUND(ABS(OCF_Activity_Template_Table[[#This Row],[BNS Amount to Clear]]),2)</f>
        <v>0</v>
      </c>
      <c r="AA133" t="str">
        <f>"Clear BNS activity from "&amp;OCF_Activity_Template_Table[[#This Row],[GL_Other]]</f>
        <v>Clear BNS activity from 2030001</v>
      </c>
    </row>
    <row r="134" spans="1:27" x14ac:dyDescent="0.25">
      <c r="A134" s="10" t="s">
        <v>310</v>
      </c>
      <c r="B134" s="10" t="s">
        <v>517</v>
      </c>
      <c r="C134" t="s">
        <v>1149</v>
      </c>
      <c r="D134" t="str">
        <f>INDEX(Modded_AMF_Table[#All], MATCH($C134,Modded_AMF_Table[[#All],[GL_Other]],0), MATCH("GL_AcctDesc",Modded_AMF_Table[#Headers],0))</f>
        <v>Output Equalisation Tax (ESA)</v>
      </c>
      <c r="F134" s="51">
        <f t="array" ref="F13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-18666.2</v>
      </c>
      <c r="G134" s="51">
        <f t="array" ref="G13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-18666.2</v>
      </c>
      <c r="H134" s="51">
        <f t="array" ref="H13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34" s="51">
        <f t="array" ref="I134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34" s="51">
        <f>OCF_Activity_Template_Table[[#This Row],[BNS]]-OCF_Activity_Template_Table[[#This Row],[BNS PRE-Close Income - TE]]</f>
        <v>0</v>
      </c>
      <c r="K134" s="51">
        <v>0</v>
      </c>
      <c r="L134" s="51" t="b">
        <f>IFERROR(VLOOKUP(OCF_Activity_Template_Table[[#This Row],[GL_Other]],GL_Acct_to_Clearing_Acct[Clearing Acct],1,FALSE)=OCF_Activity_Template_Table[[#This Row],[GL_Other]],FALSE)</f>
        <v>0</v>
      </c>
      <c r="M134" s="51" t="b">
        <f>NOT(ISERROR(VLOOKUP(OCF_Activity_Template_Table[[#This Row],[GL_Other]],GL_Acct_to_Clearing_Acct[#All],2,FALSE)))</f>
        <v>1</v>
      </c>
      <c r="N134" s="51">
        <v>0</v>
      </c>
      <c r="O134" s="58"/>
      <c r="P134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34" s="15">
        <f>'Input &amp; Assumptions'!$C$11</f>
        <v>42215</v>
      </c>
      <c r="T134" s="15">
        <f>'Input &amp; Assumptions'!$C$12</f>
        <v>42215</v>
      </c>
      <c r="U134" t="str">
        <f>IF(OCF_Activity_Template_Table[[#This Row],[BNS Amount to Clear]]&gt;=0,"40","50")</f>
        <v>40</v>
      </c>
      <c r="V134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2040897</v>
      </c>
      <c r="W134">
        <v>366</v>
      </c>
      <c r="X134" t="str">
        <f>IFERROR(VLOOKUP(OCF_Activity_Template_Table[[#This Row],[HFM_Account]],HFM_Acct_to_CC[#All],2,FALSE),"")</f>
        <v/>
      </c>
      <c r="Y134" t="str">
        <f>IF(OCF_Activity_Template_Table[[#This Row],[Trading_Partner]]="","",OCF_Activity_Template_Table[[#This Row],[Trading_Partner]])</f>
        <v/>
      </c>
      <c r="Z134" s="51">
        <f>ROUND(ABS(OCF_Activity_Template_Table[[#This Row],[BNS Amount to Clear]]),2)</f>
        <v>0</v>
      </c>
      <c r="AA134" t="str">
        <f>"Clear BNS activity from "&amp;OCF_Activity_Template_Table[[#This Row],[GL_Other]]</f>
        <v>Clear BNS activity from 2040200</v>
      </c>
    </row>
    <row r="135" spans="1:27" x14ac:dyDescent="0.25">
      <c r="A135" s="10" t="s">
        <v>310</v>
      </c>
      <c r="B135" s="10" t="s">
        <v>517</v>
      </c>
      <c r="C135" t="s">
        <v>1274</v>
      </c>
      <c r="D135" t="str">
        <f>INDEX(Modded_AMF_Table[#All], MATCH($C135,Modded_AMF_Table[[#All],[GL_Other]],0), MATCH("GL_AcctDesc",Modded_AMF_Table[#Headers],0))</f>
        <v>Input Equalisation Tax (ESE)</v>
      </c>
      <c r="F135" s="51">
        <f t="array" ref="F13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18666.2</v>
      </c>
      <c r="G135" s="51">
        <f t="array" ref="G13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18666.2</v>
      </c>
      <c r="H135" s="51">
        <f t="array" ref="H13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35" s="51">
        <f t="array" ref="I135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35" s="51">
        <f>OCF_Activity_Template_Table[[#This Row],[BNS]]-OCF_Activity_Template_Table[[#This Row],[BNS PRE-Close Income - TE]]</f>
        <v>0</v>
      </c>
      <c r="K135" s="51">
        <v>0</v>
      </c>
      <c r="L135" s="51" t="b">
        <f>IFERROR(VLOOKUP(OCF_Activity_Template_Table[[#This Row],[GL_Other]],GL_Acct_to_Clearing_Acct[Clearing Acct],1,FALSE)=OCF_Activity_Template_Table[[#This Row],[GL_Other]],FALSE)</f>
        <v>0</v>
      </c>
      <c r="M135" s="51" t="b">
        <f>NOT(ISERROR(VLOOKUP(OCF_Activity_Template_Table[[#This Row],[GL_Other]],GL_Acct_to_Clearing_Acct[#All],2,FALSE)))</f>
        <v>0</v>
      </c>
      <c r="N135" s="51">
        <v>0</v>
      </c>
      <c r="O135" s="58"/>
      <c r="P135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35" s="15">
        <f>'Input &amp; Assumptions'!$C$11</f>
        <v>42215</v>
      </c>
      <c r="T135" s="15">
        <f>'Input &amp; Assumptions'!$C$12</f>
        <v>42215</v>
      </c>
      <c r="U135" t="str">
        <f>IF(OCF_Activity_Template_Table[[#This Row],[BNS Amount to Clear]]&gt;=0,"40","50")</f>
        <v>40</v>
      </c>
      <c r="V135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2040420</v>
      </c>
      <c r="W135">
        <v>366</v>
      </c>
      <c r="X135" t="str">
        <f>IFERROR(VLOOKUP(OCF_Activity_Template_Table[[#This Row],[HFM_Account]],HFM_Acct_to_CC[#All],2,FALSE),"")</f>
        <v/>
      </c>
      <c r="Y135" t="str">
        <f>IF(OCF_Activity_Template_Table[[#This Row],[Trading_Partner]]="","",OCF_Activity_Template_Table[[#This Row],[Trading_Partner]])</f>
        <v/>
      </c>
      <c r="Z135" s="51">
        <f>ROUND(ABS(OCF_Activity_Template_Table[[#This Row],[BNS Amount to Clear]]),2)</f>
        <v>0</v>
      </c>
      <c r="AA135" t="str">
        <f>"Clear BNS activity from "&amp;OCF_Activity_Template_Table[[#This Row],[GL_Other]]</f>
        <v>Clear BNS activity from 2040420</v>
      </c>
    </row>
    <row r="136" spans="1:27" x14ac:dyDescent="0.25">
      <c r="A136" s="10" t="s">
        <v>310</v>
      </c>
      <c r="B136" s="10" t="s">
        <v>585</v>
      </c>
      <c r="C136" t="s">
        <v>1282</v>
      </c>
      <c r="D136" t="str">
        <f>INDEX(Modded_AMF_Table[#All], MATCH($C136,Modded_AMF_Table[[#All],[GL_Other]],0), MATCH("GL_AcctDesc",Modded_AMF_Table[#Headers],0))</f>
        <v>Sales Bonus Incentive</v>
      </c>
      <c r="F136" s="51">
        <f t="array" ref="F13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-47800</v>
      </c>
      <c r="G136" s="51">
        <f t="array" ref="G13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-47800</v>
      </c>
      <c r="H136" s="51">
        <f t="array" ref="H13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36" s="51">
        <f t="array" ref="I136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36" s="51">
        <f>OCF_Activity_Template_Table[[#This Row],[BNS]]-OCF_Activity_Template_Table[[#This Row],[BNS PRE-Close Income - TE]]</f>
        <v>0</v>
      </c>
      <c r="K136" s="51">
        <v>0</v>
      </c>
      <c r="L136" s="51" t="b">
        <f>IFERROR(VLOOKUP(OCF_Activity_Template_Table[[#This Row],[GL_Other]],GL_Acct_to_Clearing_Acct[Clearing Acct],1,FALSE)=OCF_Activity_Template_Table[[#This Row],[GL_Other]],FALSE)</f>
        <v>0</v>
      </c>
      <c r="M136" s="51" t="b">
        <f>NOT(ISERROR(VLOOKUP(OCF_Activity_Template_Table[[#This Row],[GL_Other]],GL_Acct_to_Clearing_Acct[#All],2,FALSE)))</f>
        <v>0</v>
      </c>
      <c r="N136" s="51">
        <v>0</v>
      </c>
      <c r="O136" s="58"/>
      <c r="P136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36" s="15">
        <f>'Input &amp; Assumptions'!$C$11</f>
        <v>42215</v>
      </c>
      <c r="T136" s="15">
        <f>'Input &amp; Assumptions'!$C$12</f>
        <v>42215</v>
      </c>
      <c r="U136" t="str">
        <f>IF(OCF_Activity_Template_Table[[#This Row],[BNS Amount to Clear]]&gt;=0,"40","50")</f>
        <v>40</v>
      </c>
      <c r="V136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2102001</v>
      </c>
      <c r="W136">
        <v>366</v>
      </c>
      <c r="X136" t="str">
        <f>IFERROR(VLOOKUP(OCF_Activity_Template_Table[[#This Row],[HFM_Account]],HFM_Acct_to_CC[#All],2,FALSE),"")</f>
        <v/>
      </c>
      <c r="Y136" t="str">
        <f>IF(OCF_Activity_Template_Table[[#This Row],[Trading_Partner]]="","",OCF_Activity_Template_Table[[#This Row],[Trading_Partner]])</f>
        <v/>
      </c>
      <c r="Z136" s="51">
        <f>ROUND(ABS(OCF_Activity_Template_Table[[#This Row],[BNS Amount to Clear]]),2)</f>
        <v>0</v>
      </c>
      <c r="AA136" t="str">
        <f>"Clear BNS activity from "&amp;OCF_Activity_Template_Table[[#This Row],[GL_Other]]</f>
        <v>Clear BNS activity from 2102001</v>
      </c>
    </row>
    <row r="137" spans="1:27" x14ac:dyDescent="0.25">
      <c r="A137" s="10" t="s">
        <v>310</v>
      </c>
      <c r="B137" s="10" t="s">
        <v>527</v>
      </c>
      <c r="C137" t="s">
        <v>1285</v>
      </c>
      <c r="D137" t="str">
        <f>INDEX(Modded_AMF_Table[#All], MATCH($C137,Modded_AMF_Table[[#All],[GL_Other]],0), MATCH("GL_AcctDesc",Modded_AMF_Table[#Headers],0))</f>
        <v>Accd Vacation</v>
      </c>
      <c r="F137" s="51">
        <f t="array" ref="F13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-181778.18</v>
      </c>
      <c r="G137" s="51">
        <f t="array" ref="G13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-181778.18</v>
      </c>
      <c r="H137" s="51">
        <f t="array" ref="H13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37" s="51">
        <f t="array" ref="I137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37" s="51">
        <f>OCF_Activity_Template_Table[[#This Row],[BNS]]-OCF_Activity_Template_Table[[#This Row],[BNS PRE-Close Income - TE]]</f>
        <v>0</v>
      </c>
      <c r="K137" s="51">
        <v>0</v>
      </c>
      <c r="L137" s="51" t="b">
        <f>IFERROR(VLOOKUP(OCF_Activity_Template_Table[[#This Row],[GL_Other]],GL_Acct_to_Clearing_Acct[Clearing Acct],1,FALSE)=OCF_Activity_Template_Table[[#This Row],[GL_Other]],FALSE)</f>
        <v>0</v>
      </c>
      <c r="M137" s="51" t="b">
        <f>NOT(ISERROR(VLOOKUP(OCF_Activity_Template_Table[[#This Row],[GL_Other]],GL_Acct_to_Clearing_Acct[#All],2,FALSE)))</f>
        <v>0</v>
      </c>
      <c r="N137" s="51">
        <v>0</v>
      </c>
      <c r="O137" s="58"/>
      <c r="P137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37" s="15">
        <f>'Input &amp; Assumptions'!$C$11</f>
        <v>42215</v>
      </c>
      <c r="T137" s="15">
        <f>'Input &amp; Assumptions'!$C$12</f>
        <v>42215</v>
      </c>
      <c r="U137" t="str">
        <f>IF(OCF_Activity_Template_Table[[#This Row],[BNS Amount to Clear]]&gt;=0,"40","50")</f>
        <v>40</v>
      </c>
      <c r="V137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2106110</v>
      </c>
      <c r="W137">
        <v>366</v>
      </c>
      <c r="X137" t="str">
        <f>IFERROR(VLOOKUP(OCF_Activity_Template_Table[[#This Row],[HFM_Account]],HFM_Acct_to_CC[#All],2,FALSE),"")</f>
        <v/>
      </c>
      <c r="Y137" t="str">
        <f>IF(OCF_Activity_Template_Table[[#This Row],[Trading_Partner]]="","",OCF_Activity_Template_Table[[#This Row],[Trading_Partner]])</f>
        <v/>
      </c>
      <c r="Z137" s="51">
        <f>ROUND(ABS(OCF_Activity_Template_Table[[#This Row],[BNS Amount to Clear]]),2)</f>
        <v>0</v>
      </c>
      <c r="AA137" t="str">
        <f>"Clear BNS activity from "&amp;OCF_Activity_Template_Table[[#This Row],[GL_Other]]</f>
        <v>Clear BNS activity from 2106110</v>
      </c>
    </row>
    <row r="138" spans="1:27" x14ac:dyDescent="0.25">
      <c r="A138" s="10" t="s">
        <v>310</v>
      </c>
      <c r="B138" s="10" t="s">
        <v>521</v>
      </c>
      <c r="C138" t="s">
        <v>1288</v>
      </c>
      <c r="D138" t="str">
        <f>INDEX(Modded_AMF_Table[#All], MATCH($C138,Modded_AMF_Table[[#All],[GL_Other]],0), MATCH("GL_AcctDesc",Modded_AMF_Table[#Headers],0))</f>
        <v>Payroll w/h Wage Tax</v>
      </c>
      <c r="F138" s="51">
        <f t="array" ref="F13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-31773.37</v>
      </c>
      <c r="G138" s="51">
        <f t="array" ref="G13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-31773.37</v>
      </c>
      <c r="H138" s="51">
        <f t="array" ref="H13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38" s="51">
        <f t="array" ref="I138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38" s="51">
        <f>OCF_Activity_Template_Table[[#This Row],[BNS]]-OCF_Activity_Template_Table[[#This Row],[BNS PRE-Close Income - TE]]</f>
        <v>0</v>
      </c>
      <c r="K138" s="51">
        <v>0</v>
      </c>
      <c r="L138" s="51" t="b">
        <f>IFERROR(VLOOKUP(OCF_Activity_Template_Table[[#This Row],[GL_Other]],GL_Acct_to_Clearing_Acct[Clearing Acct],1,FALSE)=OCF_Activity_Template_Table[[#This Row],[GL_Other]],FALSE)</f>
        <v>0</v>
      </c>
      <c r="M138" s="51" t="b">
        <f>NOT(ISERROR(VLOOKUP(OCF_Activity_Template_Table[[#This Row],[GL_Other]],GL_Acct_to_Clearing_Acct[#All],2,FALSE)))</f>
        <v>0</v>
      </c>
      <c r="N138" s="51">
        <v>0</v>
      </c>
      <c r="O138" s="58"/>
      <c r="P138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38" s="15">
        <f>'Input &amp; Assumptions'!$C$11</f>
        <v>42215</v>
      </c>
      <c r="T138" s="15">
        <f>'Input &amp; Assumptions'!$C$12</f>
        <v>42215</v>
      </c>
      <c r="U138" t="str">
        <f>IF(OCF_Activity_Template_Table[[#This Row],[BNS Amount to Clear]]&gt;=0,"40","50")</f>
        <v>40</v>
      </c>
      <c r="V138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2107320</v>
      </c>
      <c r="W138">
        <v>366</v>
      </c>
      <c r="X138" t="str">
        <f>IFERROR(VLOOKUP(OCF_Activity_Template_Table[[#This Row],[HFM_Account]],HFM_Acct_to_CC[#All],2,FALSE),"")</f>
        <v/>
      </c>
      <c r="Y138" t="str">
        <f>IF(OCF_Activity_Template_Table[[#This Row],[Trading_Partner]]="","",OCF_Activity_Template_Table[[#This Row],[Trading_Partner]])</f>
        <v/>
      </c>
      <c r="Z138" s="51">
        <f>ROUND(ABS(OCF_Activity_Template_Table[[#This Row],[BNS Amount to Clear]]),2)</f>
        <v>0</v>
      </c>
      <c r="AA138" t="str">
        <f>"Clear BNS activity from "&amp;OCF_Activity_Template_Table[[#This Row],[GL_Other]]</f>
        <v>Clear BNS activity from 2107320</v>
      </c>
    </row>
    <row r="139" spans="1:27" x14ac:dyDescent="0.25">
      <c r="A139" s="10" t="s">
        <v>310</v>
      </c>
      <c r="B139" s="10" t="s">
        <v>521</v>
      </c>
      <c r="C139" t="s">
        <v>1291</v>
      </c>
      <c r="D139" t="str">
        <f>INDEX(Modded_AMF_Table[#All], MATCH($C139,Modded_AMF_Table[[#All],[GL_Other]],0), MATCH("GL_AcctDesc",Modded_AMF_Table[#Headers],0))</f>
        <v>Accrued Payroll Tax - Social Security</v>
      </c>
      <c r="F139" s="51">
        <f t="array" ref="F13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-1940.14</v>
      </c>
      <c r="G139" s="51">
        <f t="array" ref="G13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-1940.14</v>
      </c>
      <c r="H139" s="51">
        <f t="array" ref="H13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39" s="51">
        <f t="array" ref="I139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39" s="51">
        <f>OCF_Activity_Template_Table[[#This Row],[BNS]]-OCF_Activity_Template_Table[[#This Row],[BNS PRE-Close Income - TE]]</f>
        <v>0</v>
      </c>
      <c r="K139" s="51">
        <v>0</v>
      </c>
      <c r="L139" s="51" t="b">
        <f>IFERROR(VLOOKUP(OCF_Activity_Template_Table[[#This Row],[GL_Other]],GL_Acct_to_Clearing_Acct[Clearing Acct],1,FALSE)=OCF_Activity_Template_Table[[#This Row],[GL_Other]],FALSE)</f>
        <v>0</v>
      </c>
      <c r="M139" s="51" t="b">
        <f>NOT(ISERROR(VLOOKUP(OCF_Activity_Template_Table[[#This Row],[GL_Other]],GL_Acct_to_Clearing_Acct[#All],2,FALSE)))</f>
        <v>0</v>
      </c>
      <c r="N139" s="51">
        <v>0</v>
      </c>
      <c r="O139" s="58"/>
      <c r="P139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39" s="15">
        <f>'Input &amp; Assumptions'!$C$11</f>
        <v>42215</v>
      </c>
      <c r="T139" s="15">
        <f>'Input &amp; Assumptions'!$C$12</f>
        <v>42215</v>
      </c>
      <c r="U139" t="str">
        <f>IF(OCF_Activity_Template_Table[[#This Row],[BNS Amount to Clear]]&gt;=0,"40","50")</f>
        <v>40</v>
      </c>
      <c r="V139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2107500</v>
      </c>
      <c r="W139">
        <v>366</v>
      </c>
      <c r="X139" t="str">
        <f>IFERROR(VLOOKUP(OCF_Activity_Template_Table[[#This Row],[HFM_Account]],HFM_Acct_to_CC[#All],2,FALSE),"")</f>
        <v/>
      </c>
      <c r="Y139" t="str">
        <f>IF(OCF_Activity_Template_Table[[#This Row],[Trading_Partner]]="","",OCF_Activity_Template_Table[[#This Row],[Trading_Partner]])</f>
        <v/>
      </c>
      <c r="Z139" s="51">
        <f>ROUND(ABS(OCF_Activity_Template_Table[[#This Row],[BNS Amount to Clear]]),2)</f>
        <v>0</v>
      </c>
      <c r="AA139" t="str">
        <f>"Clear BNS activity from "&amp;OCF_Activity_Template_Table[[#This Row],[GL_Other]]</f>
        <v>Clear BNS activity from 2107500</v>
      </c>
    </row>
    <row r="140" spans="1:27" x14ac:dyDescent="0.25">
      <c r="A140" s="10" t="s">
        <v>310</v>
      </c>
      <c r="B140" s="10" t="s">
        <v>539</v>
      </c>
      <c r="C140" t="s">
        <v>1299</v>
      </c>
      <c r="D140" t="str">
        <f>INDEX(Modded_AMF_Table[#All], MATCH($C140,Modded_AMF_Table[[#All],[GL_Other]],0), MATCH("GL_AcctDesc",Modded_AMF_Table[#Headers],0))</f>
        <v>Accd Electric</v>
      </c>
      <c r="F140" s="51">
        <f t="array" ref="F14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-550</v>
      </c>
      <c r="G140" s="51">
        <f t="array" ref="G14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-550</v>
      </c>
      <c r="H140" s="51">
        <f t="array" ref="H14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40" s="51">
        <f t="array" ref="I140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40" s="51">
        <f>OCF_Activity_Template_Table[[#This Row],[BNS]]-OCF_Activity_Template_Table[[#This Row],[BNS PRE-Close Income - TE]]</f>
        <v>0</v>
      </c>
      <c r="K140" s="51">
        <v>0</v>
      </c>
      <c r="L140" s="51" t="b">
        <f>IFERROR(VLOOKUP(OCF_Activity_Template_Table[[#This Row],[GL_Other]],GL_Acct_to_Clearing_Acct[Clearing Acct],1,FALSE)=OCF_Activity_Template_Table[[#This Row],[GL_Other]],FALSE)</f>
        <v>0</v>
      </c>
      <c r="M140" s="51" t="b">
        <f>NOT(ISERROR(VLOOKUP(OCF_Activity_Template_Table[[#This Row],[GL_Other]],GL_Acct_to_Clearing_Acct[#All],2,FALSE)))</f>
        <v>0</v>
      </c>
      <c r="N140" s="51">
        <v>0</v>
      </c>
      <c r="O140" s="58"/>
      <c r="P140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40" s="15">
        <f>'Input &amp; Assumptions'!$C$11</f>
        <v>42215</v>
      </c>
      <c r="T140" s="15">
        <f>'Input &amp; Assumptions'!$C$12</f>
        <v>42215</v>
      </c>
      <c r="U140" t="str">
        <f>IF(OCF_Activity_Template_Table[[#This Row],[BNS Amount to Clear]]&gt;=0,"40","50")</f>
        <v>40</v>
      </c>
      <c r="V140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2309004</v>
      </c>
      <c r="W140">
        <v>366</v>
      </c>
      <c r="X140" t="str">
        <f>IFERROR(VLOOKUP(OCF_Activity_Template_Table[[#This Row],[HFM_Account]],HFM_Acct_to_CC[#All],2,FALSE),"")</f>
        <v/>
      </c>
      <c r="Y140" t="str">
        <f>IF(OCF_Activity_Template_Table[[#This Row],[Trading_Partner]]="","",OCF_Activity_Template_Table[[#This Row],[Trading_Partner]])</f>
        <v/>
      </c>
      <c r="Z140" s="51">
        <f>ROUND(ABS(OCF_Activity_Template_Table[[#This Row],[BNS Amount to Clear]]),2)</f>
        <v>0</v>
      </c>
      <c r="AA140" t="str">
        <f>"Clear BNS activity from "&amp;OCF_Activity_Template_Table[[#This Row],[GL_Other]]</f>
        <v>Clear BNS activity from 2309004</v>
      </c>
    </row>
    <row r="141" spans="1:27" x14ac:dyDescent="0.25">
      <c r="A141" s="10" t="s">
        <v>310</v>
      </c>
      <c r="B141" s="10" t="s">
        <v>539</v>
      </c>
      <c r="C141" t="s">
        <v>1302</v>
      </c>
      <c r="D141" t="str">
        <f>INDEX(Modded_AMF_Table[#All], MATCH($C141,Modded_AMF_Table[[#All],[GL_Other]],0), MATCH("GL_AcctDesc",Modded_AMF_Table[#Headers],0))</f>
        <v>Accd -Telephone &amp; Fax</v>
      </c>
      <c r="F141" s="51">
        <f t="array" ref="F14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-533.05999999999995</v>
      </c>
      <c r="G141" s="51">
        <f t="array" ref="G14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-533.05999999999995</v>
      </c>
      <c r="H141" s="51">
        <f t="array" ref="H14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41" s="51">
        <f t="array" ref="I141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41" s="51">
        <f>OCF_Activity_Template_Table[[#This Row],[BNS]]-OCF_Activity_Template_Table[[#This Row],[BNS PRE-Close Income - TE]]</f>
        <v>0</v>
      </c>
      <c r="K141" s="51">
        <v>0</v>
      </c>
      <c r="L141" s="51" t="b">
        <f>IFERROR(VLOOKUP(OCF_Activity_Template_Table[[#This Row],[GL_Other]],GL_Acct_to_Clearing_Acct[Clearing Acct],1,FALSE)=OCF_Activity_Template_Table[[#This Row],[GL_Other]],FALSE)</f>
        <v>0</v>
      </c>
      <c r="M141" s="51" t="b">
        <f>NOT(ISERROR(VLOOKUP(OCF_Activity_Template_Table[[#This Row],[GL_Other]],GL_Acct_to_Clearing_Acct[#All],2,FALSE)))</f>
        <v>0</v>
      </c>
      <c r="N141" s="51">
        <v>0</v>
      </c>
      <c r="O141" s="58"/>
      <c r="P141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41" s="15">
        <f>'Input &amp; Assumptions'!$C$11</f>
        <v>42215</v>
      </c>
      <c r="T141" s="15">
        <f>'Input &amp; Assumptions'!$C$12</f>
        <v>42215</v>
      </c>
      <c r="U141" t="str">
        <f>IF(OCF_Activity_Template_Table[[#This Row],[BNS Amount to Clear]]&gt;=0,"40","50")</f>
        <v>40</v>
      </c>
      <c r="V141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2309007</v>
      </c>
      <c r="W141">
        <v>366</v>
      </c>
      <c r="X141" t="str">
        <f>IFERROR(VLOOKUP(OCF_Activity_Template_Table[[#This Row],[HFM_Account]],HFM_Acct_to_CC[#All],2,FALSE),"")</f>
        <v/>
      </c>
      <c r="Y141" t="str">
        <f>IF(OCF_Activity_Template_Table[[#This Row],[Trading_Partner]]="","",OCF_Activity_Template_Table[[#This Row],[Trading_Partner]])</f>
        <v/>
      </c>
      <c r="Z141" s="51">
        <f>ROUND(ABS(OCF_Activity_Template_Table[[#This Row],[BNS Amount to Clear]]),2)</f>
        <v>0</v>
      </c>
      <c r="AA141" t="str">
        <f>"Clear BNS activity from "&amp;OCF_Activity_Template_Table[[#This Row],[GL_Other]]</f>
        <v>Clear BNS activity from 2309007</v>
      </c>
    </row>
    <row r="142" spans="1:27" x14ac:dyDescent="0.25">
      <c r="A142" s="10" t="s">
        <v>310</v>
      </c>
      <c r="B142" s="10" t="s">
        <v>541</v>
      </c>
      <c r="C142" t="s">
        <v>541</v>
      </c>
      <c r="D142" t="str">
        <f>INDEX(Modded_AMF_Table[#All], MATCH($C142,Modded_AMF_Table[[#All],[GL_Other]],0), MATCH("GL_AcctDesc",Modded_AMF_Table[#Headers],0))</f>
        <v>Other Accrued Liabilities</v>
      </c>
      <c r="F142" s="51">
        <f t="array" ref="F14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-2700</v>
      </c>
      <c r="G142" s="51">
        <f t="array" ref="G14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-2700</v>
      </c>
      <c r="H142" s="51">
        <f t="array" ref="H14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42" s="51">
        <f t="array" ref="I142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42" s="51">
        <f>OCF_Activity_Template_Table[[#This Row],[BNS]]-OCF_Activity_Template_Table[[#This Row],[BNS PRE-Close Income - TE]]</f>
        <v>0</v>
      </c>
      <c r="K142" s="51">
        <v>0</v>
      </c>
      <c r="L142" s="51" t="b">
        <f>IFERROR(VLOOKUP(OCF_Activity_Template_Table[[#This Row],[GL_Other]],GL_Acct_to_Clearing_Acct[Clearing Acct],1,FALSE)=OCF_Activity_Template_Table[[#This Row],[GL_Other]],FALSE)</f>
        <v>0</v>
      </c>
      <c r="M142" s="51" t="b">
        <f>NOT(ISERROR(VLOOKUP(OCF_Activity_Template_Table[[#This Row],[GL_Other]],GL_Acct_to_Clearing_Acct[#All],2,FALSE)))</f>
        <v>0</v>
      </c>
      <c r="N142" s="51">
        <v>0</v>
      </c>
      <c r="O142" s="58"/>
      <c r="P142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42" s="15">
        <f>'Input &amp; Assumptions'!$C$11</f>
        <v>42215</v>
      </c>
      <c r="T142" s="15">
        <f>'Input &amp; Assumptions'!$C$12</f>
        <v>42215</v>
      </c>
      <c r="U142" t="str">
        <f>IF(OCF_Activity_Template_Table[[#This Row],[BNS Amount to Clear]]&gt;=0,"40","50")</f>
        <v>40</v>
      </c>
      <c r="V142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2312000</v>
      </c>
      <c r="W142">
        <v>366</v>
      </c>
      <c r="X142" t="str">
        <f>IFERROR(VLOOKUP(OCF_Activity_Template_Table[[#This Row],[HFM_Account]],HFM_Acct_to_CC[#All],2,FALSE),"")</f>
        <v/>
      </c>
      <c r="Y142" t="str">
        <f>IF(OCF_Activity_Template_Table[[#This Row],[Trading_Partner]]="","",OCF_Activity_Template_Table[[#This Row],[Trading_Partner]])</f>
        <v/>
      </c>
      <c r="Z142" s="51">
        <f>ROUND(ABS(OCF_Activity_Template_Table[[#This Row],[BNS Amount to Clear]]),2)</f>
        <v>0</v>
      </c>
      <c r="AA142" t="str">
        <f>"Clear BNS activity from "&amp;OCF_Activity_Template_Table[[#This Row],[GL_Other]]</f>
        <v>Clear BNS activity from 2312000</v>
      </c>
    </row>
    <row r="143" spans="1:27" x14ac:dyDescent="0.25">
      <c r="A143" s="10" t="s">
        <v>310</v>
      </c>
      <c r="B143" s="10" t="s">
        <v>541</v>
      </c>
      <c r="C143" t="s">
        <v>1306</v>
      </c>
      <c r="D143" t="str">
        <f>INDEX(Modded_AMF_Table[#All], MATCH($C143,Modded_AMF_Table[[#All],[GL_Other]],0), MATCH("GL_AcctDesc",Modded_AMF_Table[#Headers],0))</f>
        <v>Accd Travel</v>
      </c>
      <c r="F143" s="51">
        <f t="array" ref="F14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-2967</v>
      </c>
      <c r="G143" s="51">
        <f t="array" ref="G14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-2967</v>
      </c>
      <c r="H143" s="51">
        <f t="array" ref="H14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43" s="51">
        <f t="array" ref="I143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43" s="51">
        <f>OCF_Activity_Template_Table[[#This Row],[BNS]]-OCF_Activity_Template_Table[[#This Row],[BNS PRE-Close Income - TE]]</f>
        <v>0</v>
      </c>
      <c r="K143" s="51">
        <v>0</v>
      </c>
      <c r="L143" s="51" t="b">
        <f>IFERROR(VLOOKUP(OCF_Activity_Template_Table[[#This Row],[GL_Other]],GL_Acct_to_Clearing_Acct[Clearing Acct],1,FALSE)=OCF_Activity_Template_Table[[#This Row],[GL_Other]],FALSE)</f>
        <v>0</v>
      </c>
      <c r="M143" s="51" t="b">
        <f>NOT(ISERROR(VLOOKUP(OCF_Activity_Template_Table[[#This Row],[GL_Other]],GL_Acct_to_Clearing_Acct[#All],2,FALSE)))</f>
        <v>0</v>
      </c>
      <c r="N143" s="51">
        <v>0</v>
      </c>
      <c r="O143" s="58"/>
      <c r="P143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43" s="15">
        <f>'Input &amp; Assumptions'!$C$11</f>
        <v>42215</v>
      </c>
      <c r="T143" s="15">
        <f>'Input &amp; Assumptions'!$C$12</f>
        <v>42215</v>
      </c>
      <c r="U143" t="str">
        <f>IF(OCF_Activity_Template_Table[[#This Row],[BNS Amount to Clear]]&gt;=0,"40","50")</f>
        <v>40</v>
      </c>
      <c r="V143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2312024</v>
      </c>
      <c r="W143">
        <v>366</v>
      </c>
      <c r="X143" t="str">
        <f>IFERROR(VLOOKUP(OCF_Activity_Template_Table[[#This Row],[HFM_Account]],HFM_Acct_to_CC[#All],2,FALSE),"")</f>
        <v/>
      </c>
      <c r="Y143" t="str">
        <f>IF(OCF_Activity_Template_Table[[#This Row],[Trading_Partner]]="","",OCF_Activity_Template_Table[[#This Row],[Trading_Partner]])</f>
        <v/>
      </c>
      <c r="Z143" s="51">
        <f>ROUND(ABS(OCF_Activity_Template_Table[[#This Row],[BNS Amount to Clear]]),2)</f>
        <v>0</v>
      </c>
      <c r="AA143" t="str">
        <f>"Clear BNS activity from "&amp;OCF_Activity_Template_Table[[#This Row],[GL_Other]]</f>
        <v>Clear BNS activity from 2312024</v>
      </c>
    </row>
    <row r="144" spans="1:27" x14ac:dyDescent="0.25">
      <c r="A144" s="10" t="s">
        <v>310</v>
      </c>
      <c r="B144" s="10" t="s">
        <v>533</v>
      </c>
      <c r="C144" t="s">
        <v>1309</v>
      </c>
      <c r="D144" t="str">
        <f>INDEX(Modded_AMF_Table[#All], MATCH($C144,Modded_AMF_Table[[#All],[GL_Other]],0), MATCH("GL_AcctDesc",Modded_AMF_Table[#Headers],0))</f>
        <v>Audit Fees</v>
      </c>
      <c r="F144" s="51">
        <f t="array" ref="F14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-14100</v>
      </c>
      <c r="G144" s="51">
        <f t="array" ref="G14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-14100</v>
      </c>
      <c r="H144" s="51">
        <f t="array" ref="H144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44" s="51">
        <f t="array" ref="I144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44" s="51">
        <f>OCF_Activity_Template_Table[[#This Row],[BNS]]-OCF_Activity_Template_Table[[#This Row],[BNS PRE-Close Income - TE]]</f>
        <v>0</v>
      </c>
      <c r="K144" s="51">
        <v>0</v>
      </c>
      <c r="L144" s="51" t="b">
        <f>IFERROR(VLOOKUP(OCF_Activity_Template_Table[[#This Row],[GL_Other]],GL_Acct_to_Clearing_Acct[Clearing Acct],1,FALSE)=OCF_Activity_Template_Table[[#This Row],[GL_Other]],FALSE)</f>
        <v>0</v>
      </c>
      <c r="M144" s="51" t="b">
        <f>NOT(ISERROR(VLOOKUP(OCF_Activity_Template_Table[[#This Row],[GL_Other]],GL_Acct_to_Clearing_Acct[#All],2,FALSE)))</f>
        <v>0</v>
      </c>
      <c r="N144" s="51">
        <v>0</v>
      </c>
      <c r="O144" s="58"/>
      <c r="P144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44" s="15">
        <f>'Input &amp; Assumptions'!$C$11</f>
        <v>42215</v>
      </c>
      <c r="T144" s="15">
        <f>'Input &amp; Assumptions'!$C$12</f>
        <v>42215</v>
      </c>
      <c r="U144" t="str">
        <f>IF(OCF_Activity_Template_Table[[#This Row],[BNS Amount to Clear]]&gt;=0,"40","50")</f>
        <v>40</v>
      </c>
      <c r="V144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2326001</v>
      </c>
      <c r="W144">
        <v>366</v>
      </c>
      <c r="X144" t="str">
        <f>IFERROR(VLOOKUP(OCF_Activity_Template_Table[[#This Row],[HFM_Account]],HFM_Acct_to_CC[#All],2,FALSE),"")</f>
        <v/>
      </c>
      <c r="Y144" t="str">
        <f>IF(OCF_Activity_Template_Table[[#This Row],[Trading_Partner]]="","",OCF_Activity_Template_Table[[#This Row],[Trading_Partner]])</f>
        <v/>
      </c>
      <c r="Z144" s="51">
        <f>ROUND(ABS(OCF_Activity_Template_Table[[#This Row],[BNS Amount to Clear]]),2)</f>
        <v>0</v>
      </c>
      <c r="AA144" t="str">
        <f>"Clear BNS activity from "&amp;OCF_Activity_Template_Table[[#This Row],[GL_Other]]</f>
        <v>Clear BNS activity from 2326001</v>
      </c>
    </row>
    <row r="145" spans="1:27" x14ac:dyDescent="0.25">
      <c r="A145" s="10" t="s">
        <v>310</v>
      </c>
      <c r="B145" s="10" t="s">
        <v>703</v>
      </c>
      <c r="C145" t="s">
        <v>1313</v>
      </c>
      <c r="D145" t="str">
        <f>INDEX(Modded_AMF_Table[#All], MATCH($C145,Modded_AMF_Table[[#All],[GL_Other]],0), MATCH("GL_AcctDesc",Modded_AMF_Table[#Headers],0))</f>
        <v>Other Non-Current - FAS 87 Liability</v>
      </c>
      <c r="F145" s="51">
        <f t="array" ref="F14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-33618</v>
      </c>
      <c r="G145" s="51">
        <f t="array" ref="G14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-33618</v>
      </c>
      <c r="H145" s="51">
        <f t="array" ref="H145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45" s="51">
        <f t="array" ref="I145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45" s="51">
        <f>OCF_Activity_Template_Table[[#This Row],[BNS]]-OCF_Activity_Template_Table[[#This Row],[BNS PRE-Close Income - TE]]</f>
        <v>0</v>
      </c>
      <c r="K145" s="51">
        <v>0</v>
      </c>
      <c r="L145" s="51" t="b">
        <f>IFERROR(VLOOKUP(OCF_Activity_Template_Table[[#This Row],[GL_Other]],GL_Acct_to_Clearing_Acct[Clearing Acct],1,FALSE)=OCF_Activity_Template_Table[[#This Row],[GL_Other]],FALSE)</f>
        <v>0</v>
      </c>
      <c r="M145" s="51" t="b">
        <f>NOT(ISERROR(VLOOKUP(OCF_Activity_Template_Table[[#This Row],[GL_Other]],GL_Acct_to_Clearing_Acct[#All],2,FALSE)))</f>
        <v>0</v>
      </c>
      <c r="N145" s="51">
        <v>0</v>
      </c>
      <c r="O145" s="58"/>
      <c r="P145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45" s="15">
        <f>'Input &amp; Assumptions'!$C$11</f>
        <v>42215</v>
      </c>
      <c r="T145" s="15">
        <f>'Input &amp; Assumptions'!$C$12</f>
        <v>42215</v>
      </c>
      <c r="U145" t="str">
        <f>IF(OCF_Activity_Template_Table[[#This Row],[BNS Amount to Clear]]&gt;=0,"40","50")</f>
        <v>40</v>
      </c>
      <c r="V145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2921001</v>
      </c>
      <c r="W145">
        <v>366</v>
      </c>
      <c r="X145" t="str">
        <f>IFERROR(VLOOKUP(OCF_Activity_Template_Table[[#This Row],[HFM_Account]],HFM_Acct_to_CC[#All],2,FALSE),"")</f>
        <v/>
      </c>
      <c r="Y145" t="str">
        <f>IF(OCF_Activity_Template_Table[[#This Row],[Trading_Partner]]="","",OCF_Activity_Template_Table[[#This Row],[Trading_Partner]])</f>
        <v/>
      </c>
      <c r="Z145" s="51">
        <f>ROUND(ABS(OCF_Activity_Template_Table[[#This Row],[BNS Amount to Clear]]),2)</f>
        <v>0</v>
      </c>
      <c r="AA145" t="str">
        <f>"Clear BNS activity from "&amp;OCF_Activity_Template_Table[[#This Row],[GL_Other]]</f>
        <v>Clear BNS activity from 2921001</v>
      </c>
    </row>
    <row r="146" spans="1:27" x14ac:dyDescent="0.25">
      <c r="A146" s="53" t="s">
        <v>310</v>
      </c>
      <c r="B146" s="10" t="s">
        <v>62</v>
      </c>
      <c r="C146" t="s">
        <v>1483</v>
      </c>
      <c r="D146" t="str">
        <f>INDEX(Modded_AMF_Table[#All], MATCH($C146,Modded_AMF_Table[[#All],[GL_Other]],0), MATCH("GL_AcctDesc",Modded_AMF_Table[#Headers],0))</f>
        <v>Interest Expense Paid</v>
      </c>
      <c r="F146" s="51">
        <f t="array" ref="F14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38.68</v>
      </c>
      <c r="G146" s="51">
        <f t="array" ref="G14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38.68</v>
      </c>
      <c r="H146" s="51">
        <f t="array" ref="H146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46" s="51">
        <f t="array" ref="I146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46" s="51">
        <f>OCF_Activity_Template_Table[[#This Row],[BNS]]-OCF_Activity_Template_Table[[#This Row],[BNS PRE-Close Income - TE]]</f>
        <v>0</v>
      </c>
      <c r="K146" s="51">
        <v>0</v>
      </c>
      <c r="L146" s="51" t="b">
        <f>IFERROR(VLOOKUP(OCF_Activity_Template_Table[[#This Row],[GL_Other]],GL_Acct_to_Clearing_Acct[Clearing Acct],1,FALSE)=OCF_Activity_Template_Table[[#This Row],[GL_Other]],FALSE)</f>
        <v>0</v>
      </c>
      <c r="M146" s="51" t="b">
        <f>NOT(ISERROR(VLOOKUP(OCF_Activity_Template_Table[[#This Row],[GL_Other]],GL_Acct_to_Clearing_Acct[#All],2,FALSE)))</f>
        <v>0</v>
      </c>
      <c r="N146" s="51">
        <v>0</v>
      </c>
      <c r="O146" s="58"/>
      <c r="P146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46" s="15">
        <f>'Input &amp; Assumptions'!$C$11</f>
        <v>42215</v>
      </c>
      <c r="T146" s="15">
        <f>'Input &amp; Assumptions'!$C$12</f>
        <v>42215</v>
      </c>
      <c r="U146" t="str">
        <f>IF(OCF_Activity_Template_Table[[#This Row],[BNS Amount to Clear]]&gt;=0,"40","50")</f>
        <v>40</v>
      </c>
      <c r="V146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7002160</v>
      </c>
      <c r="W146">
        <v>366</v>
      </c>
      <c r="X146" t="str">
        <f>IFERROR(VLOOKUP(OCF_Activity_Template_Table[[#This Row],[HFM_Account]],HFM_Acct_to_CC[#All],2,FALSE),"")</f>
        <v/>
      </c>
      <c r="Y146" t="str">
        <f>IF(OCF_Activity_Template_Table[[#This Row],[Trading_Partner]]="","",OCF_Activity_Template_Table[[#This Row],[Trading_Partner]])</f>
        <v/>
      </c>
      <c r="Z146" s="51">
        <f>ROUND(ABS(OCF_Activity_Template_Table[[#This Row],[BNS Amount to Clear]]),2)</f>
        <v>0</v>
      </c>
      <c r="AA146" t="str">
        <f>"Clear BNS activity from "&amp;OCF_Activity_Template_Table[[#This Row],[GL_Other]]</f>
        <v>Clear BNS activity from 7002160</v>
      </c>
    </row>
    <row r="147" spans="1:27" x14ac:dyDescent="0.25">
      <c r="A147" s="10" t="s">
        <v>46</v>
      </c>
      <c r="B147" s="10" t="s">
        <v>379</v>
      </c>
      <c r="C147" t="s">
        <v>379</v>
      </c>
      <c r="D147" t="str">
        <f>INDEX(Modded_AMF_Table[#All], MATCH($C147,Modded_AMF_Table[[#All],[GL_Other]],0), MATCH("GL_AcctDesc",Modded_AMF_Table[#Headers],0))</f>
        <v>ISC Accounts Receivable</v>
      </c>
      <c r="E147" t="s">
        <v>1217</v>
      </c>
      <c r="F147" s="51">
        <f t="array" ref="F14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194.57</v>
      </c>
      <c r="G147" s="51">
        <f t="array" ref="G14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194.57</v>
      </c>
      <c r="H147" s="51">
        <f t="array" ref="H147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47" s="51">
        <f t="array" ref="I147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47" s="51">
        <f>OCF_Activity_Template_Table[[#This Row],[BNS]]-OCF_Activity_Template_Table[[#This Row],[BNS PRE-Close Income - TE]]</f>
        <v>0</v>
      </c>
      <c r="K147" s="51">
        <v>0</v>
      </c>
      <c r="L147" s="51" t="b">
        <f>IFERROR(VLOOKUP(OCF_Activity_Template_Table[[#This Row],[GL_Other]],GL_Acct_to_Clearing_Acct[Clearing Acct],1,FALSE)=OCF_Activity_Template_Table[[#This Row],[GL_Other]],FALSE)</f>
        <v>0</v>
      </c>
      <c r="M147" s="51" t="b">
        <f>NOT(ISERROR(VLOOKUP(OCF_Activity_Template_Table[[#This Row],[GL_Other]],GL_Acct_to_Clearing_Acct[#All],2,FALSE)))</f>
        <v>1</v>
      </c>
      <c r="N147" s="51">
        <v>0</v>
      </c>
      <c r="O147" s="58"/>
      <c r="P147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47" s="15">
        <f>'Input &amp; Assumptions'!$C$11</f>
        <v>42215</v>
      </c>
      <c r="T147" s="15">
        <f>'Input &amp; Assumptions'!$C$12</f>
        <v>42215</v>
      </c>
      <c r="U147" t="str">
        <f>IF(OCF_Activity_Template_Table[[#This Row],[BNS Amount to Clear]]&gt;=0,"40","50")</f>
        <v>40</v>
      </c>
      <c r="V147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1060899</v>
      </c>
      <c r="W147">
        <v>366</v>
      </c>
      <c r="X147" t="str">
        <f>IFERROR(VLOOKUP(OCF_Activity_Template_Table[[#This Row],[HFM_Account]],HFM_Acct_to_CC[#All],2,FALSE),"")</f>
        <v/>
      </c>
      <c r="Y147" t="str">
        <f>IF(OCF_Activity_Template_Table[[#This Row],[Trading_Partner]]="","",OCF_Activity_Template_Table[[#This Row],[Trading_Partner]])</f>
        <v>ZZ0048</v>
      </c>
      <c r="Z147" s="51">
        <f>ROUND(ABS(OCF_Activity_Template_Table[[#This Row],[BNS Amount to Clear]]),2)</f>
        <v>0</v>
      </c>
      <c r="AA147" t="str">
        <f>"Clear BNS activity from "&amp;OCF_Activity_Template_Table[[#This Row],[GL_Other]]</f>
        <v>Clear BNS activity from 1060000</v>
      </c>
    </row>
    <row r="148" spans="1:27" x14ac:dyDescent="0.25">
      <c r="A148" s="10" t="s">
        <v>46</v>
      </c>
      <c r="B148" s="10" t="s">
        <v>379</v>
      </c>
      <c r="C148" t="s">
        <v>379</v>
      </c>
      <c r="D148" t="str">
        <f>INDEX(Modded_AMF_Table[#All], MATCH($C148,Modded_AMF_Table[[#All],[GL_Other]],0), MATCH("GL_AcctDesc",Modded_AMF_Table[#Headers],0))</f>
        <v>ISC Accounts Receivable</v>
      </c>
      <c r="E148" t="s">
        <v>1252</v>
      </c>
      <c r="F148" s="51">
        <f t="array" ref="F14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4320.16</v>
      </c>
      <c r="G148" s="51">
        <f t="array" ref="G14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4320.16</v>
      </c>
      <c r="H148" s="51">
        <f t="array" ref="H148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48" s="51">
        <f t="array" ref="I148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48" s="51">
        <f>OCF_Activity_Template_Table[[#This Row],[BNS]]-OCF_Activity_Template_Table[[#This Row],[BNS PRE-Close Income - TE]]</f>
        <v>0</v>
      </c>
      <c r="K148" s="51">
        <v>0</v>
      </c>
      <c r="L148" s="51" t="b">
        <f>IFERROR(VLOOKUP(OCF_Activity_Template_Table[[#This Row],[GL_Other]],GL_Acct_to_Clearing_Acct[Clearing Acct],1,FALSE)=OCF_Activity_Template_Table[[#This Row],[GL_Other]],FALSE)</f>
        <v>0</v>
      </c>
      <c r="M148" s="51" t="b">
        <f>NOT(ISERROR(VLOOKUP(OCF_Activity_Template_Table[[#This Row],[GL_Other]],GL_Acct_to_Clearing_Acct[#All],2,FALSE)))</f>
        <v>1</v>
      </c>
      <c r="N148" s="51">
        <v>0</v>
      </c>
      <c r="O148" s="58"/>
      <c r="P148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48" s="15">
        <f>'Input &amp; Assumptions'!$C$11</f>
        <v>42215</v>
      </c>
      <c r="T148" s="15">
        <f>'Input &amp; Assumptions'!$C$12</f>
        <v>42215</v>
      </c>
      <c r="U148" t="str">
        <f>IF(OCF_Activity_Template_Table[[#This Row],[BNS Amount to Clear]]&gt;=0,"40","50")</f>
        <v>40</v>
      </c>
      <c r="V148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1060899</v>
      </c>
      <c r="W148">
        <v>366</v>
      </c>
      <c r="X148" t="str">
        <f>IFERROR(VLOOKUP(OCF_Activity_Template_Table[[#This Row],[HFM_Account]],HFM_Acct_to_CC[#All],2,FALSE),"")</f>
        <v/>
      </c>
      <c r="Y148" t="str">
        <f>IF(OCF_Activity_Template_Table[[#This Row],[Trading_Partner]]="","",OCF_Activity_Template_Table[[#This Row],[Trading_Partner]])</f>
        <v>ZZ1151</v>
      </c>
      <c r="Z148" s="51">
        <f>ROUND(ABS(OCF_Activity_Template_Table[[#This Row],[BNS Amount to Clear]]),2)</f>
        <v>0</v>
      </c>
      <c r="AA148" t="str">
        <f>"Clear BNS activity from "&amp;OCF_Activity_Template_Table[[#This Row],[GL_Other]]</f>
        <v>Clear BNS activity from 1060000</v>
      </c>
    </row>
    <row r="149" spans="1:27" x14ac:dyDescent="0.25">
      <c r="A149" s="10" t="s">
        <v>46</v>
      </c>
      <c r="B149" s="10" t="s">
        <v>639</v>
      </c>
      <c r="C149" t="s">
        <v>639</v>
      </c>
      <c r="D149" t="str">
        <f>INDEX(Modded_AMF_Table[#All], MATCH($C149,Modded_AMF_Table[[#All],[GL_Other]],0), MATCH("GL_AcctDesc",Modded_AMF_Table[#Headers],0))</f>
        <v>ISC A/P Intracompany</v>
      </c>
      <c r="E149" t="s">
        <v>1217</v>
      </c>
      <c r="F149" s="51">
        <f t="array" ref="F14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-7210.59</v>
      </c>
      <c r="G149" s="51">
        <f t="array" ref="G14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-7210.59</v>
      </c>
      <c r="H149" s="51">
        <f t="array" ref="H149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49" s="51">
        <f t="array" ref="I149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49" s="51">
        <f>OCF_Activity_Template_Table[[#This Row],[BNS]]-OCF_Activity_Template_Table[[#This Row],[BNS PRE-Close Income - TE]]</f>
        <v>0</v>
      </c>
      <c r="K149" s="51">
        <v>0</v>
      </c>
      <c r="L149" s="51" t="b">
        <f>IFERROR(VLOOKUP(OCF_Activity_Template_Table[[#This Row],[GL_Other]],GL_Acct_to_Clearing_Acct[Clearing Acct],1,FALSE)=OCF_Activity_Template_Table[[#This Row],[GL_Other]],FALSE)</f>
        <v>0</v>
      </c>
      <c r="M149" s="51" t="b">
        <f>NOT(ISERROR(VLOOKUP(OCF_Activity_Template_Table[[#This Row],[GL_Other]],GL_Acct_to_Clearing_Acct[#All],2,FALSE)))</f>
        <v>1</v>
      </c>
      <c r="N149" s="51">
        <v>0</v>
      </c>
      <c r="O149" s="58"/>
      <c r="P149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49" s="15">
        <f>'Input &amp; Assumptions'!$C$11</f>
        <v>42215</v>
      </c>
      <c r="T149" s="15">
        <f>'Input &amp; Assumptions'!$C$12</f>
        <v>42215</v>
      </c>
      <c r="U149" t="str">
        <f>IF(OCF_Activity_Template_Table[[#This Row],[BNS Amount to Clear]]&gt;=0,"40","50")</f>
        <v>40</v>
      </c>
      <c r="V149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2050899</v>
      </c>
      <c r="W149">
        <v>366</v>
      </c>
      <c r="X149" t="str">
        <f>IFERROR(VLOOKUP(OCF_Activity_Template_Table[[#This Row],[HFM_Account]],HFM_Acct_to_CC[#All],2,FALSE),"")</f>
        <v/>
      </c>
      <c r="Y149" t="str">
        <f>IF(OCF_Activity_Template_Table[[#This Row],[Trading_Partner]]="","",OCF_Activity_Template_Table[[#This Row],[Trading_Partner]])</f>
        <v>ZZ0048</v>
      </c>
      <c r="Z149" s="51">
        <f>ROUND(ABS(OCF_Activity_Template_Table[[#This Row],[BNS Amount to Clear]]),2)</f>
        <v>0</v>
      </c>
      <c r="AA149" t="str">
        <f>"Clear BNS activity from "&amp;OCF_Activity_Template_Table[[#This Row],[GL_Other]]</f>
        <v>Clear BNS activity from 2050000</v>
      </c>
    </row>
    <row r="150" spans="1:27" x14ac:dyDescent="0.25">
      <c r="A150" s="10" t="s">
        <v>46</v>
      </c>
      <c r="B150" s="10" t="s">
        <v>639</v>
      </c>
      <c r="C150" t="s">
        <v>639</v>
      </c>
      <c r="D150" t="str">
        <f>INDEX(Modded_AMF_Table[#All], MATCH($C150,Modded_AMF_Table[[#All],[GL_Other]],0), MATCH("GL_AcctDesc",Modded_AMF_Table[#Headers],0))</f>
        <v>ISC A/P Intracompany</v>
      </c>
      <c r="E150" t="s">
        <v>1252</v>
      </c>
      <c r="F150" s="51">
        <f t="array" ref="F15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-390.15</v>
      </c>
      <c r="G150" s="51">
        <f t="array" ref="G15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-390.15</v>
      </c>
      <c r="H150" s="51">
        <f t="array" ref="H150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50" s="51">
        <f t="array" ref="I150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50" s="51">
        <f>OCF_Activity_Template_Table[[#This Row],[BNS]]-OCF_Activity_Template_Table[[#This Row],[BNS PRE-Close Income - TE]]</f>
        <v>0</v>
      </c>
      <c r="K150" s="51">
        <v>0</v>
      </c>
      <c r="L150" s="51" t="b">
        <f>IFERROR(VLOOKUP(OCF_Activity_Template_Table[[#This Row],[GL_Other]],GL_Acct_to_Clearing_Acct[Clearing Acct],1,FALSE)=OCF_Activity_Template_Table[[#This Row],[GL_Other]],FALSE)</f>
        <v>0</v>
      </c>
      <c r="M150" s="51" t="b">
        <f>NOT(ISERROR(VLOOKUP(OCF_Activity_Template_Table[[#This Row],[GL_Other]],GL_Acct_to_Clearing_Acct[#All],2,FALSE)))</f>
        <v>1</v>
      </c>
      <c r="N150" s="51">
        <v>0</v>
      </c>
      <c r="O150" s="58"/>
      <c r="P150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50" s="15">
        <f>'Input &amp; Assumptions'!$C$11</f>
        <v>42215</v>
      </c>
      <c r="T150" s="15">
        <f>'Input &amp; Assumptions'!$C$12</f>
        <v>42215</v>
      </c>
      <c r="U150" t="str">
        <f>IF(OCF_Activity_Template_Table[[#This Row],[BNS Amount to Clear]]&gt;=0,"40","50")</f>
        <v>40</v>
      </c>
      <c r="V150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2050899</v>
      </c>
      <c r="W150">
        <v>366</v>
      </c>
      <c r="X150" t="str">
        <f>IFERROR(VLOOKUP(OCF_Activity_Template_Table[[#This Row],[HFM_Account]],HFM_Acct_to_CC[#All],2,FALSE),"")</f>
        <v/>
      </c>
      <c r="Y150" t="str">
        <f>IF(OCF_Activity_Template_Table[[#This Row],[Trading_Partner]]="","",OCF_Activity_Template_Table[[#This Row],[Trading_Partner]])</f>
        <v>ZZ1151</v>
      </c>
      <c r="Z150" s="51">
        <f>ROUND(ABS(OCF_Activity_Template_Table[[#This Row],[BNS Amount to Clear]]),2)</f>
        <v>0</v>
      </c>
      <c r="AA150" t="str">
        <f>"Clear BNS activity from "&amp;OCF_Activity_Template_Table[[#This Row],[GL_Other]]</f>
        <v>Clear BNS activity from 2050000</v>
      </c>
    </row>
    <row r="151" spans="1:27" x14ac:dyDescent="0.25">
      <c r="A151" s="10" t="s">
        <v>46</v>
      </c>
      <c r="B151" s="10" t="s">
        <v>639</v>
      </c>
      <c r="C151" t="s">
        <v>639</v>
      </c>
      <c r="D151" t="str">
        <f>INDEX(Modded_AMF_Table[#All], MATCH($C151,Modded_AMF_Table[[#All],[GL_Other]],0), MATCH("GL_AcctDesc",Modded_AMF_Table[#Headers],0))</f>
        <v>ISC A/P Intracompany</v>
      </c>
      <c r="E151" t="s">
        <v>1278</v>
      </c>
      <c r="F151" s="51">
        <f t="array" ref="F15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-8970.83</v>
      </c>
      <c r="G151" s="51">
        <f t="array" ref="G15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-8970.83</v>
      </c>
      <c r="H151" s="51">
        <f t="array" ref="H151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51" s="51">
        <f t="array" ref="I151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51" s="51">
        <f>OCF_Activity_Template_Table[[#This Row],[BNS]]-OCF_Activity_Template_Table[[#This Row],[BNS PRE-Close Income - TE]]</f>
        <v>0</v>
      </c>
      <c r="K151" s="51">
        <v>0</v>
      </c>
      <c r="L151" s="51" t="b">
        <f>IFERROR(VLOOKUP(OCF_Activity_Template_Table[[#This Row],[GL_Other]],GL_Acct_to_Clearing_Acct[Clearing Acct],1,FALSE)=OCF_Activity_Template_Table[[#This Row],[GL_Other]],FALSE)</f>
        <v>0</v>
      </c>
      <c r="M151" s="51" t="b">
        <f>NOT(ISERROR(VLOOKUP(OCF_Activity_Template_Table[[#This Row],[GL_Other]],GL_Acct_to_Clearing_Acct[#All],2,FALSE)))</f>
        <v>1</v>
      </c>
      <c r="N151" s="51">
        <v>0</v>
      </c>
      <c r="O151" s="58"/>
      <c r="P151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51" s="15">
        <f>'Input &amp; Assumptions'!$C$11</f>
        <v>42215</v>
      </c>
      <c r="T151" s="15">
        <f>'Input &amp; Assumptions'!$C$12</f>
        <v>42215</v>
      </c>
      <c r="U151" t="str">
        <f>IF(OCF_Activity_Template_Table[[#This Row],[BNS Amount to Clear]]&gt;=0,"40","50")</f>
        <v>40</v>
      </c>
      <c r="V151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2050899</v>
      </c>
      <c r="W151">
        <v>366</v>
      </c>
      <c r="X151" t="str">
        <f>IFERROR(VLOOKUP(OCF_Activity_Template_Table[[#This Row],[HFM_Account]],HFM_Acct_to_CC[#All],2,FALSE),"")</f>
        <v/>
      </c>
      <c r="Y151" t="str">
        <f>IF(OCF_Activity_Template_Table[[#This Row],[Trading_Partner]]="","",OCF_Activity_Template_Table[[#This Row],[Trading_Partner]])</f>
        <v>ZZ1798</v>
      </c>
      <c r="Z151" s="51">
        <f>ROUND(ABS(OCF_Activity_Template_Table[[#This Row],[BNS Amount to Clear]]),2)</f>
        <v>0</v>
      </c>
      <c r="AA151" t="str">
        <f>"Clear BNS activity from "&amp;OCF_Activity_Template_Table[[#This Row],[GL_Other]]</f>
        <v>Clear BNS activity from 2050000</v>
      </c>
    </row>
    <row r="152" spans="1:27" x14ac:dyDescent="0.25">
      <c r="A152" s="10" t="s">
        <v>46</v>
      </c>
      <c r="B152" s="10" t="s">
        <v>639</v>
      </c>
      <c r="C152" t="s">
        <v>1280</v>
      </c>
      <c r="D152" t="str">
        <f>INDEX(Modded_AMF_Table[#All], MATCH($C152,Modded_AMF_Table[[#All],[GL_Other]],0), MATCH("GL_AcctDesc",Modded_AMF_Table[#Headers],0))</f>
        <v>ISC A/P Exchange Gain / Loss</v>
      </c>
      <c r="E152" t="s">
        <v>1217</v>
      </c>
      <c r="F152" s="51">
        <f t="array" ref="F15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149.16999999999999</v>
      </c>
      <c r="G152" s="51">
        <f t="array" ref="G15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149.16999999999999</v>
      </c>
      <c r="H152" s="51">
        <f t="array" ref="H152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52" s="51">
        <f t="array" ref="I152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52" s="51">
        <f>OCF_Activity_Template_Table[[#This Row],[BNS]]-OCF_Activity_Template_Table[[#This Row],[BNS PRE-Close Income - TE]]</f>
        <v>0</v>
      </c>
      <c r="K152" s="51">
        <v>0</v>
      </c>
      <c r="L152" s="51" t="b">
        <f>IFERROR(VLOOKUP(OCF_Activity_Template_Table[[#This Row],[GL_Other]],GL_Acct_to_Clearing_Acct[Clearing Acct],1,FALSE)=OCF_Activity_Template_Table[[#This Row],[GL_Other]],FALSE)</f>
        <v>0</v>
      </c>
      <c r="M152" s="51" t="b">
        <f>NOT(ISERROR(VLOOKUP(OCF_Activity_Template_Table[[#This Row],[GL_Other]],GL_Acct_to_Clearing_Acct[#All],2,FALSE)))</f>
        <v>0</v>
      </c>
      <c r="N152" s="51">
        <v>0</v>
      </c>
      <c r="O152" s="58"/>
      <c r="P152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52" s="15">
        <f>'Input &amp; Assumptions'!$C$11</f>
        <v>42215</v>
      </c>
      <c r="T152" s="15">
        <f>'Input &amp; Assumptions'!$C$12</f>
        <v>42215</v>
      </c>
      <c r="U152" t="str">
        <f>IF(OCF_Activity_Template_Table[[#This Row],[BNS Amount to Clear]]&gt;=0,"40","50")</f>
        <v>40</v>
      </c>
      <c r="V152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2050001</v>
      </c>
      <c r="W152">
        <v>366</v>
      </c>
      <c r="X152" t="str">
        <f>IFERROR(VLOOKUP(OCF_Activity_Template_Table[[#This Row],[HFM_Account]],HFM_Acct_to_CC[#All],2,FALSE),"")</f>
        <v/>
      </c>
      <c r="Y152" t="str">
        <f>IF(OCF_Activity_Template_Table[[#This Row],[Trading_Partner]]="","",OCF_Activity_Template_Table[[#This Row],[Trading_Partner]])</f>
        <v>ZZ0048</v>
      </c>
      <c r="Z152" s="51">
        <f>ROUND(ABS(OCF_Activity_Template_Table[[#This Row],[BNS Amount to Clear]]),2)</f>
        <v>0</v>
      </c>
      <c r="AA152" t="str">
        <f>"Clear BNS activity from "&amp;OCF_Activity_Template_Table[[#This Row],[GL_Other]]</f>
        <v>Clear BNS activity from 2050001</v>
      </c>
    </row>
    <row r="153" spans="1:27" x14ac:dyDescent="0.25">
      <c r="A153" s="53" t="s">
        <v>46</v>
      </c>
      <c r="B153" s="10" t="s">
        <v>639</v>
      </c>
      <c r="C153" t="s">
        <v>1280</v>
      </c>
      <c r="D153" t="str">
        <f>INDEX(Modded_AMF_Table[#All], MATCH($C153,Modded_AMF_Table[[#All],[GL_Other]],0), MATCH("GL_AcctDesc",Modded_AMF_Table[#Headers],0))</f>
        <v>ISC A/P Exchange Gain / Loss</v>
      </c>
      <c r="E153" t="s">
        <v>1278</v>
      </c>
      <c r="F153" s="51">
        <f t="array" ref="F15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 &amp; BNS Balance]),2,FALSE),0)</f>
        <v>-77.53</v>
      </c>
      <c r="G153" s="51">
        <f t="array" ref="G15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Row],[Trading_Partner]],CHOOSE({1,2,3},Modded_AMF_Pivot_Accounts[HFM_Account]&amp;Modded_AMF_Pivot_Accounts[GL_Other]&amp;Modded_AMF_Pivot_Accounts[Trading_Partner],Modded_AMF_Pivot_Accounts[TE]),2,FALSE),0)</f>
        <v>-77.53</v>
      </c>
      <c r="H153" s="51">
        <f t="array" ref="H153">IFERROR(VLOOKUP(OCF_Activity_Template_Table[[#This Row],[HFM_Account]]&amp;OCF_Activity_Template_Table[[#This Row],[GL_Other]]&amp;OCF_Activity_Template_Table[[#This Row],[Trading_Partner]],CHOOSE({1,2,3},Modded_AMF_Pivot_Accounts[HFM_Account]&amp;Modded_AMF_Pivot_Accounts[GL_Other]&amp;Modded_AMF_Pivot_Accounts[Trading_Partner],Modded_AMF_Pivot_Accounts[BNS]),2,FALSE),0)</f>
        <v>0</v>
      </c>
      <c r="I153" s="51">
        <f t="array" ref="I153">IFERROR(VLOOKUP(OCF_Activity_Template_Table[[#This Row],[HFM_Account]]&amp;OCF_Activity_Template_Table[[#This Row],[GL_Other]]&amp;OCF_Activity_Template_Table[[#This Row],[Trading_Partner]],CHOOSE({1,2,3},Pre_Close_BNS_Income[HFM_Account]&amp;Pre_Close_BNS_Income[GL_Other]&amp;Pre_Close_BNS_Income[Trading_Partner],Pre_Close_BNS_Income[BNS]),2,FALSE),0)</f>
        <v>0</v>
      </c>
      <c r="J153" s="51">
        <f>OCF_Activity_Template_Table[[#This Row],[BNS]]-OCF_Activity_Template_Table[[#This Row],[BNS PRE-Close Income - TE]]</f>
        <v>0</v>
      </c>
      <c r="K153" s="51">
        <v>0</v>
      </c>
      <c r="L153" s="51" t="b">
        <f>IFERROR(VLOOKUP(OCF_Activity_Template_Table[[#This Row],[GL_Other]],GL_Acct_to_Clearing_Acct[Clearing Acct],1,FALSE)=OCF_Activity_Template_Table[[#This Row],[GL_Other]],FALSE)</f>
        <v>0</v>
      </c>
      <c r="M153" s="51" t="b">
        <f>NOT(ISERROR(VLOOKUP(OCF_Activity_Template_Table[[#This Row],[GL_Other]],GL_Acct_to_Clearing_Acct[#All],2,FALSE)))</f>
        <v>0</v>
      </c>
      <c r="N153" s="51">
        <v>0</v>
      </c>
      <c r="O153" s="58"/>
      <c r="P153" s="51">
        <f>IF(OR(OCF_Activity_Template_Table[[#This Row],[OCF_Activity]] = "Exclude",OCF_Activity_Template_Table[[#This Row],[Is Clearing Acct?]]),0,IF(OCF_Activity_Template_Table[[#This Row],[OCF_Activity]]="Direct",-OCF_Activity_Template_Table[[#This Row],[CS-Owned BNS Balance]]-OCF_Activity_Template_Table[[#This Row],[Contra-BNS PC]]-OCF_Activity_Template_Table[[#This Row],[Clearing Acct Balance]],-OCF_Activity_Template_Table[[#This Row],[CS-Owned BNS Balance]]-OCF_Activity_Template_Table[[#This Row],[Total BNS Balance]]-OCF_Activity_Template_Table[[#This Row],[Contra-BNS PC]]-OCF_Activity_Template_Table[[#This Row],[Clearing Acct Balance]]))</f>
        <v>0</v>
      </c>
      <c r="S153" s="15">
        <f>'Input &amp; Assumptions'!$C$11</f>
        <v>42215</v>
      </c>
      <c r="T153" s="15">
        <f>'Input &amp; Assumptions'!$C$12</f>
        <v>42215</v>
      </c>
      <c r="U153" t="str">
        <f>IF(OCF_Activity_Template_Table[[#This Row],[BNS Amount to Clear]]&gt;=0,"40","50")</f>
        <v>40</v>
      </c>
      <c r="V153" t="str">
        <f>IF(NOT(ISERROR(VLOOKUP(OCF_Activity_Template_Table[[#This Row],[GL_Other]],GL_Acct_to_Clearing_Acct[],2,FALSE))),VLOOKUP(OCF_Activity_Template_Table[[#This Row],[GL_Other]],GL_Acct_to_Clearing_Acct[],2,FALSE),OCF_Activity_Template_Table[[#This Row],[GL_Other]])</f>
        <v>2050001</v>
      </c>
      <c r="W153">
        <v>366</v>
      </c>
      <c r="X153" t="str">
        <f>IFERROR(VLOOKUP(OCF_Activity_Template_Table[[#This Row],[HFM_Account]],HFM_Acct_to_CC[#All],2,FALSE),"")</f>
        <v/>
      </c>
      <c r="Y153" t="str">
        <f>IF(OCF_Activity_Template_Table[[#This Row],[Trading_Partner]]="","",OCF_Activity_Template_Table[[#This Row],[Trading_Partner]])</f>
        <v>ZZ1798</v>
      </c>
      <c r="Z153" s="51">
        <f>ROUND(ABS(OCF_Activity_Template_Table[[#This Row],[BNS Amount to Clear]]),2)</f>
        <v>0</v>
      </c>
      <c r="AA153" t="str">
        <f>"Clear BNS activity from "&amp;OCF_Activity_Template_Table[[#This Row],[GL_Other]]</f>
        <v>Clear BNS activity from 2050001</v>
      </c>
    </row>
  </sheetData>
  <sheetProtection password="CE78" sheet="1" objects="1" scenarios="1" autoFilter="0"/>
  <conditionalFormatting sqref="O2:O153">
    <cfRule type="expression" dxfId="53" priority="1" stopIfTrue="1">
      <formula>OR($A2="Direct",$A2="Exclude")</formula>
    </cfRule>
    <cfRule type="expression" dxfId="52" priority="2" stopIfTrue="1">
      <formula>"$L1"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FF"/>
  </sheetPr>
  <dimension ref="A1:G153"/>
  <sheetViews>
    <sheetView zoomScale="85" zoomScaleNormal="85" workbookViewId="0"/>
  </sheetViews>
  <sheetFormatPr defaultRowHeight="15" x14ac:dyDescent="0.25"/>
  <cols>
    <col min="1" max="1" width="12.28515625" bestFit="1" customWidth="1"/>
    <col min="5" max="5" width="10.5703125" bestFit="1" customWidth="1"/>
    <col min="7" max="7" width="10.5703125" bestFit="1" customWidth="1"/>
  </cols>
  <sheetData>
    <row r="1" spans="1:7" x14ac:dyDescent="0.25">
      <c r="A1" s="52" t="s">
        <v>1580</v>
      </c>
      <c r="B1" s="52" t="s">
        <v>1198</v>
      </c>
      <c r="C1" s="52" t="s">
        <v>1205</v>
      </c>
      <c r="D1" s="52" t="s">
        <v>1581</v>
      </c>
      <c r="E1" s="52" t="s">
        <v>1585</v>
      </c>
      <c r="F1" s="52" t="s">
        <v>803</v>
      </c>
      <c r="G1" s="52" t="s">
        <v>1586</v>
      </c>
    </row>
    <row r="2" spans="1:7" x14ac:dyDescent="0.25">
      <c r="A2" s="10" t="s">
        <v>83</v>
      </c>
      <c r="B2" s="10" t="s">
        <v>315</v>
      </c>
      <c r="C2" t="s">
        <v>1221</v>
      </c>
      <c r="E2" s="51">
        <v>0</v>
      </c>
      <c r="F2" s="51"/>
      <c r="G2" s="51">
        <v>0</v>
      </c>
    </row>
    <row r="3" spans="1:7" x14ac:dyDescent="0.25">
      <c r="A3" s="10" t="s">
        <v>83</v>
      </c>
      <c r="B3" s="10" t="s">
        <v>9</v>
      </c>
      <c r="C3" t="s">
        <v>1330</v>
      </c>
      <c r="E3" s="51">
        <v>16683.559999999998</v>
      </c>
      <c r="F3" s="51"/>
      <c r="G3" s="51">
        <v>16683.559999999998</v>
      </c>
    </row>
    <row r="4" spans="1:7" x14ac:dyDescent="0.25">
      <c r="A4" s="10" t="s">
        <v>83</v>
      </c>
      <c r="B4" s="10" t="s">
        <v>9</v>
      </c>
      <c r="C4" t="s">
        <v>1449</v>
      </c>
      <c r="E4" s="51">
        <v>853.3</v>
      </c>
      <c r="F4" s="51"/>
      <c r="G4" s="51">
        <v>853.3</v>
      </c>
    </row>
    <row r="5" spans="1:7" x14ac:dyDescent="0.25">
      <c r="A5" s="10" t="s">
        <v>83</v>
      </c>
      <c r="B5" s="10" t="s">
        <v>9</v>
      </c>
      <c r="C5" t="s">
        <v>1452</v>
      </c>
      <c r="E5" s="51">
        <v>-853.3</v>
      </c>
      <c r="F5" s="51"/>
      <c r="G5" s="51">
        <v>-853.3</v>
      </c>
    </row>
    <row r="6" spans="1:7" x14ac:dyDescent="0.25">
      <c r="A6" s="10" t="s">
        <v>83</v>
      </c>
      <c r="B6" s="10" t="s">
        <v>9</v>
      </c>
      <c r="C6" t="s">
        <v>1535</v>
      </c>
      <c r="E6" s="51">
        <v>1427.77</v>
      </c>
      <c r="F6" s="51"/>
      <c r="G6" s="51">
        <v>1427.77</v>
      </c>
    </row>
    <row r="7" spans="1:7" x14ac:dyDescent="0.25">
      <c r="A7" s="10" t="s">
        <v>83</v>
      </c>
      <c r="B7" s="10" t="s">
        <v>9</v>
      </c>
      <c r="C7" t="s">
        <v>1340</v>
      </c>
      <c r="E7" s="51">
        <v>66.5</v>
      </c>
      <c r="F7" s="51"/>
      <c r="G7" s="51">
        <v>66.5</v>
      </c>
    </row>
    <row r="8" spans="1:7" x14ac:dyDescent="0.25">
      <c r="A8" s="10" t="s">
        <v>83</v>
      </c>
      <c r="B8" s="10" t="s">
        <v>9</v>
      </c>
      <c r="C8" t="s">
        <v>1343</v>
      </c>
      <c r="E8" s="51">
        <v>2817.41</v>
      </c>
      <c r="F8" s="51"/>
      <c r="G8" s="51">
        <v>2817.41</v>
      </c>
    </row>
    <row r="9" spans="1:7" x14ac:dyDescent="0.25">
      <c r="A9" s="10" t="s">
        <v>83</v>
      </c>
      <c r="B9" s="10" t="s">
        <v>9</v>
      </c>
      <c r="C9" t="s">
        <v>1018</v>
      </c>
      <c r="E9" s="51">
        <v>697</v>
      </c>
      <c r="F9" s="51"/>
      <c r="G9" s="51">
        <v>697</v>
      </c>
    </row>
    <row r="10" spans="1:7" x14ac:dyDescent="0.25">
      <c r="A10" s="10" t="s">
        <v>83</v>
      </c>
      <c r="B10" s="10" t="s">
        <v>9</v>
      </c>
      <c r="C10" t="s">
        <v>1541</v>
      </c>
      <c r="E10" s="51">
        <v>3561.41</v>
      </c>
      <c r="F10" s="51"/>
      <c r="G10" s="51">
        <v>3561.41</v>
      </c>
    </row>
    <row r="11" spans="1:7" x14ac:dyDescent="0.25">
      <c r="A11" s="10" t="s">
        <v>83</v>
      </c>
      <c r="B11" s="10" t="s">
        <v>9</v>
      </c>
      <c r="C11" t="s">
        <v>1544</v>
      </c>
      <c r="E11" s="51">
        <v>769.01</v>
      </c>
      <c r="F11" s="51"/>
      <c r="G11" s="51">
        <v>769.01</v>
      </c>
    </row>
    <row r="12" spans="1:7" x14ac:dyDescent="0.25">
      <c r="A12" s="10" t="s">
        <v>83</v>
      </c>
      <c r="B12" s="10" t="s">
        <v>9</v>
      </c>
      <c r="C12" t="s">
        <v>1346</v>
      </c>
      <c r="E12" s="51">
        <v>-2880</v>
      </c>
      <c r="F12" s="51"/>
      <c r="G12" s="51">
        <v>-2880</v>
      </c>
    </row>
    <row r="13" spans="1:7" x14ac:dyDescent="0.25">
      <c r="A13" s="10" t="s">
        <v>83</v>
      </c>
      <c r="B13" s="10" t="s">
        <v>9</v>
      </c>
      <c r="C13" t="s">
        <v>1547</v>
      </c>
      <c r="E13" s="51">
        <v>1202.47</v>
      </c>
      <c r="F13" s="51"/>
      <c r="G13" s="51">
        <v>1202.47</v>
      </c>
    </row>
    <row r="14" spans="1:7" x14ac:dyDescent="0.25">
      <c r="A14" s="10" t="s">
        <v>83</v>
      </c>
      <c r="B14" s="10" t="s">
        <v>9</v>
      </c>
      <c r="C14" t="s">
        <v>1550</v>
      </c>
      <c r="E14" s="51">
        <v>2497.9899999999998</v>
      </c>
      <c r="F14" s="51"/>
      <c r="G14" s="51">
        <v>2497.9899999999998</v>
      </c>
    </row>
    <row r="15" spans="1:7" x14ac:dyDescent="0.25">
      <c r="A15" s="10" t="s">
        <v>83</v>
      </c>
      <c r="B15" s="10" t="s">
        <v>9</v>
      </c>
      <c r="C15" t="s">
        <v>1554</v>
      </c>
      <c r="E15" s="51">
        <v>2343.71</v>
      </c>
      <c r="F15" s="51"/>
      <c r="G15" s="51">
        <v>2343.71</v>
      </c>
    </row>
    <row r="16" spans="1:7" x14ac:dyDescent="0.25">
      <c r="A16" s="10" t="s">
        <v>83</v>
      </c>
      <c r="B16" s="10" t="s">
        <v>9</v>
      </c>
      <c r="C16" t="s">
        <v>1350</v>
      </c>
      <c r="E16" s="51">
        <v>1074.02</v>
      </c>
      <c r="F16" s="51"/>
      <c r="G16" s="51">
        <v>1074.02</v>
      </c>
    </row>
    <row r="17" spans="1:7" x14ac:dyDescent="0.25">
      <c r="A17" s="10" t="s">
        <v>83</v>
      </c>
      <c r="B17" s="10" t="s">
        <v>9</v>
      </c>
      <c r="C17" t="s">
        <v>1354</v>
      </c>
      <c r="E17" s="51">
        <v>415.95</v>
      </c>
      <c r="F17" s="51"/>
      <c r="G17" s="51">
        <v>415.95</v>
      </c>
    </row>
    <row r="18" spans="1:7" x14ac:dyDescent="0.25">
      <c r="A18" s="10" t="s">
        <v>83</v>
      </c>
      <c r="B18" s="10" t="s">
        <v>9</v>
      </c>
      <c r="C18" t="s">
        <v>1357</v>
      </c>
      <c r="E18" s="51">
        <v>148.80000000000001</v>
      </c>
      <c r="F18" s="51"/>
      <c r="G18" s="51">
        <v>148.80000000000001</v>
      </c>
    </row>
    <row r="19" spans="1:7" x14ac:dyDescent="0.25">
      <c r="A19" s="10" t="s">
        <v>83</v>
      </c>
      <c r="B19" s="10" t="s">
        <v>9</v>
      </c>
      <c r="C19" t="s">
        <v>1557</v>
      </c>
      <c r="E19" s="51">
        <v>29442.84</v>
      </c>
      <c r="F19" s="51"/>
      <c r="G19" s="51">
        <v>29442.84</v>
      </c>
    </row>
    <row r="20" spans="1:7" x14ac:dyDescent="0.25">
      <c r="A20" s="10" t="s">
        <v>83</v>
      </c>
      <c r="B20" s="10" t="s">
        <v>9</v>
      </c>
      <c r="C20" t="s">
        <v>1560</v>
      </c>
      <c r="E20" s="51">
        <v>346.02</v>
      </c>
      <c r="F20" s="51"/>
      <c r="G20" s="51">
        <v>346.02</v>
      </c>
    </row>
    <row r="21" spans="1:7" x14ac:dyDescent="0.25">
      <c r="A21" s="10" t="s">
        <v>83</v>
      </c>
      <c r="B21" s="10" t="s">
        <v>9</v>
      </c>
      <c r="C21" t="s">
        <v>1360</v>
      </c>
      <c r="E21" s="51">
        <v>353.84</v>
      </c>
      <c r="F21" s="51"/>
      <c r="G21" s="51">
        <v>353.84</v>
      </c>
    </row>
    <row r="22" spans="1:7" x14ac:dyDescent="0.25">
      <c r="A22" s="10" t="s">
        <v>83</v>
      </c>
      <c r="B22" s="10" t="s">
        <v>9</v>
      </c>
      <c r="C22" t="s">
        <v>1374</v>
      </c>
      <c r="E22" s="51">
        <v>3109.71</v>
      </c>
      <c r="F22" s="51"/>
      <c r="G22" s="51">
        <v>3109.71</v>
      </c>
    </row>
    <row r="23" spans="1:7" x14ac:dyDescent="0.25">
      <c r="A23" s="10" t="s">
        <v>83</v>
      </c>
      <c r="B23" s="10" t="s">
        <v>9</v>
      </c>
      <c r="C23" t="s">
        <v>1380</v>
      </c>
      <c r="E23" s="51">
        <v>988.08</v>
      </c>
      <c r="F23" s="51"/>
      <c r="G23" s="51">
        <v>988.08</v>
      </c>
    </row>
    <row r="24" spans="1:7" x14ac:dyDescent="0.25">
      <c r="A24" s="10" t="s">
        <v>83</v>
      </c>
      <c r="B24" s="10" t="s">
        <v>9</v>
      </c>
      <c r="C24" t="s">
        <v>1383</v>
      </c>
      <c r="E24" s="51">
        <v>5378.9400000000005</v>
      </c>
      <c r="F24" s="51"/>
      <c r="G24" s="51">
        <v>5378.9400000000005</v>
      </c>
    </row>
    <row r="25" spans="1:7" x14ac:dyDescent="0.25">
      <c r="A25" s="10" t="s">
        <v>83</v>
      </c>
      <c r="B25" s="10" t="s">
        <v>9</v>
      </c>
      <c r="C25" t="s">
        <v>1386</v>
      </c>
      <c r="E25" s="51">
        <v>32.950000000000003</v>
      </c>
      <c r="F25" s="51"/>
      <c r="G25" s="51">
        <v>32.950000000000003</v>
      </c>
    </row>
    <row r="26" spans="1:7" x14ac:dyDescent="0.25">
      <c r="A26" s="10" t="s">
        <v>83</v>
      </c>
      <c r="B26" s="10" t="s">
        <v>9</v>
      </c>
      <c r="C26" t="s">
        <v>1461</v>
      </c>
      <c r="E26" s="51">
        <v>1216.56</v>
      </c>
      <c r="F26" s="51"/>
      <c r="G26" s="51">
        <v>1216.56</v>
      </c>
    </row>
    <row r="27" spans="1:7" x14ac:dyDescent="0.25">
      <c r="A27" s="10" t="s">
        <v>83</v>
      </c>
      <c r="B27" s="10" t="s">
        <v>9</v>
      </c>
      <c r="C27" t="s">
        <v>1389</v>
      </c>
      <c r="E27" s="51">
        <v>147.11000000000001</v>
      </c>
      <c r="F27" s="51"/>
      <c r="G27" s="51">
        <v>147.11000000000001</v>
      </c>
    </row>
    <row r="28" spans="1:7" x14ac:dyDescent="0.25">
      <c r="A28" s="10" t="s">
        <v>83</v>
      </c>
      <c r="B28" s="10" t="s">
        <v>9</v>
      </c>
      <c r="C28" t="s">
        <v>1393</v>
      </c>
      <c r="E28" s="51">
        <v>405.3</v>
      </c>
      <c r="F28" s="51"/>
      <c r="G28" s="51">
        <v>405.3</v>
      </c>
    </row>
    <row r="29" spans="1:7" x14ac:dyDescent="0.25">
      <c r="A29" s="10" t="s">
        <v>83</v>
      </c>
      <c r="B29" s="10" t="s">
        <v>9</v>
      </c>
      <c r="C29" t="s">
        <v>1396</v>
      </c>
      <c r="E29" s="51">
        <v>231</v>
      </c>
      <c r="F29" s="51"/>
      <c r="G29" s="51">
        <v>231</v>
      </c>
    </row>
    <row r="30" spans="1:7" x14ac:dyDescent="0.25">
      <c r="A30" s="10" t="s">
        <v>83</v>
      </c>
      <c r="B30" s="10" t="s">
        <v>9</v>
      </c>
      <c r="C30" t="s">
        <v>1402</v>
      </c>
      <c r="E30" s="51">
        <v>84.210000000000008</v>
      </c>
      <c r="F30" s="51"/>
      <c r="G30" s="51">
        <v>84.210000000000008</v>
      </c>
    </row>
    <row r="31" spans="1:7" x14ac:dyDescent="0.25">
      <c r="A31" s="10" t="s">
        <v>83</v>
      </c>
      <c r="B31" s="10" t="s">
        <v>9</v>
      </c>
      <c r="C31" t="s">
        <v>1405</v>
      </c>
      <c r="E31" s="51">
        <v>95.47</v>
      </c>
      <c r="F31" s="51"/>
      <c r="G31" s="51">
        <v>95.47</v>
      </c>
    </row>
    <row r="32" spans="1:7" x14ac:dyDescent="0.25">
      <c r="A32" s="10" t="s">
        <v>83</v>
      </c>
      <c r="B32" s="10" t="s">
        <v>9</v>
      </c>
      <c r="C32" t="s">
        <v>1563</v>
      </c>
      <c r="E32" s="51">
        <v>1507.04</v>
      </c>
      <c r="F32" s="51"/>
      <c r="G32" s="51">
        <v>1507.04</v>
      </c>
    </row>
    <row r="33" spans="1:7" x14ac:dyDescent="0.25">
      <c r="A33" s="10" t="s">
        <v>83</v>
      </c>
      <c r="B33" s="10" t="s">
        <v>9</v>
      </c>
      <c r="C33" t="s">
        <v>1421</v>
      </c>
      <c r="E33" s="51">
        <v>474.13</v>
      </c>
      <c r="F33" s="51"/>
      <c r="G33" s="51">
        <v>474.13</v>
      </c>
    </row>
    <row r="34" spans="1:7" x14ac:dyDescent="0.25">
      <c r="A34" s="10" t="s">
        <v>83</v>
      </c>
      <c r="B34" s="10" t="s">
        <v>9</v>
      </c>
      <c r="C34" t="s">
        <v>1524</v>
      </c>
      <c r="E34" s="51">
        <v>14386.6</v>
      </c>
      <c r="F34" s="51"/>
      <c r="G34" s="51">
        <v>14386.6</v>
      </c>
    </row>
    <row r="35" spans="1:7" x14ac:dyDescent="0.25">
      <c r="A35" s="10" t="s">
        <v>83</v>
      </c>
      <c r="B35" s="10" t="s">
        <v>9</v>
      </c>
      <c r="C35" t="s">
        <v>1527</v>
      </c>
      <c r="E35" s="51">
        <v>3132.68</v>
      </c>
      <c r="F35" s="51"/>
      <c r="G35" s="51">
        <v>3132.68</v>
      </c>
    </row>
    <row r="36" spans="1:7" x14ac:dyDescent="0.25">
      <c r="A36" s="10" t="s">
        <v>83</v>
      </c>
      <c r="B36" s="10" t="s">
        <v>9</v>
      </c>
      <c r="C36" t="s">
        <v>1566</v>
      </c>
      <c r="E36" s="51">
        <v>8854.4699999999993</v>
      </c>
      <c r="F36" s="51"/>
      <c r="G36" s="51">
        <v>8854.4699999999993</v>
      </c>
    </row>
    <row r="37" spans="1:7" x14ac:dyDescent="0.25">
      <c r="A37" s="10" t="s">
        <v>83</v>
      </c>
      <c r="B37" s="10" t="s">
        <v>9</v>
      </c>
      <c r="C37" t="s">
        <v>1531</v>
      </c>
      <c r="E37" s="51">
        <v>162.94</v>
      </c>
      <c r="F37" s="51"/>
      <c r="G37" s="51">
        <v>162.94</v>
      </c>
    </row>
    <row r="38" spans="1:7" x14ac:dyDescent="0.25">
      <c r="A38" s="10" t="s">
        <v>83</v>
      </c>
      <c r="B38" s="10" t="s">
        <v>9</v>
      </c>
      <c r="C38" t="s">
        <v>1569</v>
      </c>
      <c r="E38" s="51">
        <v>1972.57</v>
      </c>
      <c r="F38" s="51"/>
      <c r="G38" s="51">
        <v>1972.57</v>
      </c>
    </row>
    <row r="39" spans="1:7" x14ac:dyDescent="0.25">
      <c r="A39" s="10" t="s">
        <v>83</v>
      </c>
      <c r="B39" s="10" t="s">
        <v>9</v>
      </c>
      <c r="C39" t="s">
        <v>1435</v>
      </c>
      <c r="E39" s="51">
        <v>8253.8300000000017</v>
      </c>
      <c r="F39" s="51"/>
      <c r="G39" s="51">
        <v>8253.8300000000017</v>
      </c>
    </row>
    <row r="40" spans="1:7" x14ac:dyDescent="0.25">
      <c r="A40" s="10" t="s">
        <v>83</v>
      </c>
      <c r="B40" s="10" t="s">
        <v>9</v>
      </c>
      <c r="C40" t="s">
        <v>1572</v>
      </c>
      <c r="E40" s="51">
        <v>402</v>
      </c>
      <c r="F40" s="51"/>
      <c r="G40" s="51">
        <v>402</v>
      </c>
    </row>
    <row r="41" spans="1:7" x14ac:dyDescent="0.25">
      <c r="A41" s="10" t="s">
        <v>83</v>
      </c>
      <c r="B41" s="10" t="s">
        <v>9</v>
      </c>
      <c r="C41" t="s">
        <v>1441</v>
      </c>
      <c r="E41" s="51">
        <v>1423.93</v>
      </c>
      <c r="F41" s="51"/>
      <c r="G41" s="51">
        <v>1423.93</v>
      </c>
    </row>
    <row r="42" spans="1:7" x14ac:dyDescent="0.25">
      <c r="A42" s="10" t="s">
        <v>83</v>
      </c>
      <c r="B42" s="10" t="s">
        <v>9</v>
      </c>
      <c r="C42" t="s">
        <v>1444</v>
      </c>
      <c r="E42" s="51">
        <v>550</v>
      </c>
      <c r="F42" s="51"/>
      <c r="G42" s="51">
        <v>550</v>
      </c>
    </row>
    <row r="43" spans="1:7" x14ac:dyDescent="0.25">
      <c r="A43" s="10" t="s">
        <v>83</v>
      </c>
      <c r="B43" s="10" t="s">
        <v>9</v>
      </c>
      <c r="C43" t="s">
        <v>1575</v>
      </c>
      <c r="E43" s="51">
        <v>-1522.57</v>
      </c>
      <c r="F43" s="51"/>
      <c r="G43" s="51">
        <v>-1522.57</v>
      </c>
    </row>
    <row r="44" spans="1:7" x14ac:dyDescent="0.25">
      <c r="A44" s="10" t="s">
        <v>83</v>
      </c>
      <c r="B44" s="10" t="s">
        <v>8</v>
      </c>
      <c r="C44" t="s">
        <v>1579</v>
      </c>
      <c r="E44" s="51">
        <v>41132.5</v>
      </c>
      <c r="F44" s="51"/>
      <c r="G44" s="51">
        <v>41132.5</v>
      </c>
    </row>
    <row r="45" spans="1:7" x14ac:dyDescent="0.25">
      <c r="A45" s="10" t="s">
        <v>83</v>
      </c>
      <c r="B45" s="10" t="s">
        <v>10</v>
      </c>
      <c r="C45" t="s">
        <v>1330</v>
      </c>
      <c r="E45" s="51">
        <v>293737.7</v>
      </c>
      <c r="F45" s="51">
        <v>142376</v>
      </c>
      <c r="G45" s="51">
        <v>436113.7</v>
      </c>
    </row>
    <row r="46" spans="1:7" x14ac:dyDescent="0.25">
      <c r="A46" s="10" t="s">
        <v>83</v>
      </c>
      <c r="B46" s="10" t="s">
        <v>10</v>
      </c>
      <c r="C46" t="s">
        <v>1449</v>
      </c>
      <c r="E46" s="51">
        <v>1618.86</v>
      </c>
      <c r="F46" s="51">
        <v>911.4</v>
      </c>
      <c r="G46" s="51">
        <v>2530.2599999999998</v>
      </c>
    </row>
    <row r="47" spans="1:7" x14ac:dyDescent="0.25">
      <c r="A47" s="10" t="s">
        <v>83</v>
      </c>
      <c r="B47" s="10" t="s">
        <v>10</v>
      </c>
      <c r="C47" t="s">
        <v>1452</v>
      </c>
      <c r="E47" s="51">
        <v>-1618.86</v>
      </c>
      <c r="F47" s="51">
        <v>-911.4</v>
      </c>
      <c r="G47" s="51">
        <v>-2530.2599999999998</v>
      </c>
    </row>
    <row r="48" spans="1:7" x14ac:dyDescent="0.25">
      <c r="A48" s="10" t="s">
        <v>83</v>
      </c>
      <c r="B48" s="10" t="s">
        <v>10</v>
      </c>
      <c r="C48" t="s">
        <v>1333</v>
      </c>
      <c r="E48" s="51">
        <v>25383.69</v>
      </c>
      <c r="F48" s="51">
        <v>9099.65</v>
      </c>
      <c r="G48" s="51">
        <v>34483.339999999997</v>
      </c>
    </row>
    <row r="49" spans="1:7" x14ac:dyDescent="0.25">
      <c r="A49" s="10" t="s">
        <v>83</v>
      </c>
      <c r="B49" s="10" t="s">
        <v>10</v>
      </c>
      <c r="C49" t="s">
        <v>1337</v>
      </c>
      <c r="E49" s="51">
        <v>-14902.22</v>
      </c>
      <c r="F49" s="51">
        <v>-5875.83</v>
      </c>
      <c r="G49" s="51">
        <v>-20778.05</v>
      </c>
    </row>
    <row r="50" spans="1:7" x14ac:dyDescent="0.25">
      <c r="A50" s="10" t="s">
        <v>83</v>
      </c>
      <c r="B50" s="10" t="s">
        <v>10</v>
      </c>
      <c r="C50" t="s">
        <v>1340</v>
      </c>
      <c r="E50" s="51">
        <v>1417</v>
      </c>
      <c r="F50" s="51">
        <v>974</v>
      </c>
      <c r="G50" s="51">
        <v>2391</v>
      </c>
    </row>
    <row r="51" spans="1:7" x14ac:dyDescent="0.25">
      <c r="A51" s="10" t="s">
        <v>83</v>
      </c>
      <c r="B51" s="10" t="s">
        <v>10</v>
      </c>
      <c r="C51" t="s">
        <v>1477</v>
      </c>
      <c r="E51" s="51">
        <v>1500</v>
      </c>
      <c r="F51" s="51"/>
      <c r="G51" s="51">
        <v>1500</v>
      </c>
    </row>
    <row r="52" spans="1:7" x14ac:dyDescent="0.25">
      <c r="A52" s="10" t="s">
        <v>83</v>
      </c>
      <c r="B52" s="10" t="s">
        <v>10</v>
      </c>
      <c r="C52" t="s">
        <v>1343</v>
      </c>
      <c r="E52" s="51">
        <v>1523.3400000000001</v>
      </c>
      <c r="F52" s="51">
        <v>540</v>
      </c>
      <c r="G52" s="51">
        <v>2063.34</v>
      </c>
    </row>
    <row r="53" spans="1:7" x14ac:dyDescent="0.25">
      <c r="A53" s="10" t="s">
        <v>83</v>
      </c>
      <c r="B53" s="10" t="s">
        <v>10</v>
      </c>
      <c r="C53" t="s">
        <v>1014</v>
      </c>
      <c r="E53" s="51"/>
      <c r="F53" s="51">
        <v>203</v>
      </c>
      <c r="G53" s="51">
        <v>203</v>
      </c>
    </row>
    <row r="54" spans="1:7" x14ac:dyDescent="0.25">
      <c r="A54" s="10" t="s">
        <v>83</v>
      </c>
      <c r="B54" s="10" t="s">
        <v>10</v>
      </c>
      <c r="C54" t="s">
        <v>1346</v>
      </c>
      <c r="E54" s="51">
        <v>1920</v>
      </c>
      <c r="F54" s="51">
        <v>960</v>
      </c>
      <c r="G54" s="51">
        <v>2880</v>
      </c>
    </row>
    <row r="55" spans="1:7" x14ac:dyDescent="0.25">
      <c r="A55" s="10" t="s">
        <v>83</v>
      </c>
      <c r="B55" s="10" t="s">
        <v>10</v>
      </c>
      <c r="C55" t="s">
        <v>1350</v>
      </c>
      <c r="E55" s="51">
        <v>1248.8699999999999</v>
      </c>
      <c r="F55" s="51">
        <v>533.99</v>
      </c>
      <c r="G55" s="51">
        <v>1782.86</v>
      </c>
    </row>
    <row r="56" spans="1:7" x14ac:dyDescent="0.25">
      <c r="A56" s="10" t="s">
        <v>83</v>
      </c>
      <c r="B56" s="10" t="s">
        <v>10</v>
      </c>
      <c r="C56" t="s">
        <v>1354</v>
      </c>
      <c r="E56" s="51">
        <v>3160.1299999999997</v>
      </c>
      <c r="F56" s="51">
        <v>1287</v>
      </c>
      <c r="G56" s="51">
        <v>4447.1299999999992</v>
      </c>
    </row>
    <row r="57" spans="1:7" x14ac:dyDescent="0.25">
      <c r="A57" s="10" t="s">
        <v>83</v>
      </c>
      <c r="B57" s="10" t="s">
        <v>10</v>
      </c>
      <c r="C57" t="s">
        <v>1357</v>
      </c>
      <c r="E57" s="51">
        <v>1190.3999999999999</v>
      </c>
      <c r="F57" s="51">
        <v>595.20000000000005</v>
      </c>
      <c r="G57" s="51">
        <v>1785.6</v>
      </c>
    </row>
    <row r="58" spans="1:7" x14ac:dyDescent="0.25">
      <c r="A58" s="10" t="s">
        <v>83</v>
      </c>
      <c r="B58" s="10" t="s">
        <v>10</v>
      </c>
      <c r="C58" t="s">
        <v>1360</v>
      </c>
      <c r="E58" s="51">
        <v>10487.42</v>
      </c>
      <c r="F58" s="51">
        <v>3641.96</v>
      </c>
      <c r="G58" s="51">
        <v>14129.380000000001</v>
      </c>
    </row>
    <row r="59" spans="1:7" x14ac:dyDescent="0.25">
      <c r="A59" s="10" t="s">
        <v>83</v>
      </c>
      <c r="B59" s="10" t="s">
        <v>10</v>
      </c>
      <c r="C59" t="s">
        <v>1364</v>
      </c>
      <c r="E59" s="51">
        <v>-47147.81</v>
      </c>
      <c r="F59" s="51">
        <v>-3575.9</v>
      </c>
      <c r="G59" s="51">
        <v>-50723.71</v>
      </c>
    </row>
    <row r="60" spans="1:7" x14ac:dyDescent="0.25">
      <c r="A60" s="10" t="s">
        <v>83</v>
      </c>
      <c r="B60" s="10" t="s">
        <v>10</v>
      </c>
      <c r="C60" t="s">
        <v>1367</v>
      </c>
      <c r="E60" s="51">
        <v>51322</v>
      </c>
      <c r="F60" s="51"/>
      <c r="G60" s="51">
        <v>51322</v>
      </c>
    </row>
    <row r="61" spans="1:7" x14ac:dyDescent="0.25">
      <c r="A61" s="10" t="s">
        <v>83</v>
      </c>
      <c r="B61" s="10" t="s">
        <v>10</v>
      </c>
      <c r="C61" t="s">
        <v>1371</v>
      </c>
      <c r="E61" s="51">
        <v>38584.180000000008</v>
      </c>
      <c r="F61" s="51">
        <v>1793.74</v>
      </c>
      <c r="G61" s="51">
        <v>40377.920000000006</v>
      </c>
    </row>
    <row r="62" spans="1:7" x14ac:dyDescent="0.25">
      <c r="A62" s="10" t="s">
        <v>83</v>
      </c>
      <c r="B62" s="10" t="s">
        <v>10</v>
      </c>
      <c r="C62" t="s">
        <v>1458</v>
      </c>
      <c r="E62" s="51"/>
      <c r="F62" s="51">
        <v>733.35</v>
      </c>
      <c r="G62" s="51">
        <v>733.35</v>
      </c>
    </row>
    <row r="63" spans="1:7" x14ac:dyDescent="0.25">
      <c r="A63" s="10" t="s">
        <v>83</v>
      </c>
      <c r="B63" s="10" t="s">
        <v>10</v>
      </c>
      <c r="C63" t="s">
        <v>1374</v>
      </c>
      <c r="E63" s="51">
        <v>84737.44</v>
      </c>
      <c r="F63" s="51">
        <v>30129.49</v>
      </c>
      <c r="G63" s="51">
        <v>114866.93000000001</v>
      </c>
    </row>
    <row r="64" spans="1:7" x14ac:dyDescent="0.25">
      <c r="A64" s="10" t="s">
        <v>83</v>
      </c>
      <c r="B64" s="10" t="s">
        <v>10</v>
      </c>
      <c r="C64" t="s">
        <v>1377</v>
      </c>
      <c r="E64" s="51">
        <v>52976.04</v>
      </c>
      <c r="F64" s="51">
        <v>12659.25</v>
      </c>
      <c r="G64" s="51">
        <v>65635.290000000008</v>
      </c>
    </row>
    <row r="65" spans="1:7" x14ac:dyDescent="0.25">
      <c r="A65" s="10" t="s">
        <v>83</v>
      </c>
      <c r="B65" s="10" t="s">
        <v>10</v>
      </c>
      <c r="C65" t="s">
        <v>1380</v>
      </c>
      <c r="E65" s="51">
        <v>16973.21</v>
      </c>
      <c r="F65" s="51">
        <v>7056.45</v>
      </c>
      <c r="G65" s="51">
        <v>24029.66</v>
      </c>
    </row>
    <row r="66" spans="1:7" x14ac:dyDescent="0.25">
      <c r="A66" s="10" t="s">
        <v>83</v>
      </c>
      <c r="B66" s="10" t="s">
        <v>10</v>
      </c>
      <c r="C66" t="s">
        <v>1383</v>
      </c>
      <c r="E66" s="51">
        <v>29805.920000000002</v>
      </c>
      <c r="F66" s="51">
        <v>11184.98</v>
      </c>
      <c r="G66" s="51">
        <v>40990.9</v>
      </c>
    </row>
    <row r="67" spans="1:7" x14ac:dyDescent="0.25">
      <c r="A67" s="10" t="s">
        <v>83</v>
      </c>
      <c r="B67" s="10" t="s">
        <v>10</v>
      </c>
      <c r="C67" t="s">
        <v>1386</v>
      </c>
      <c r="E67" s="51">
        <v>1665.88</v>
      </c>
      <c r="F67" s="51">
        <v>476.14</v>
      </c>
      <c r="G67" s="51">
        <v>2142.02</v>
      </c>
    </row>
    <row r="68" spans="1:7" x14ac:dyDescent="0.25">
      <c r="A68" s="10" t="s">
        <v>83</v>
      </c>
      <c r="B68" s="10" t="s">
        <v>10</v>
      </c>
      <c r="C68" t="s">
        <v>1461</v>
      </c>
      <c r="E68" s="51"/>
      <c r="F68" s="51">
        <v>94</v>
      </c>
      <c r="G68" s="51">
        <v>94</v>
      </c>
    </row>
    <row r="69" spans="1:7" x14ac:dyDescent="0.25">
      <c r="A69" s="10" t="s">
        <v>83</v>
      </c>
      <c r="B69" s="10" t="s">
        <v>10</v>
      </c>
      <c r="C69" t="s">
        <v>1389</v>
      </c>
      <c r="E69" s="51">
        <v>8482.77</v>
      </c>
      <c r="F69" s="51">
        <v>5433</v>
      </c>
      <c r="G69" s="51">
        <v>13915.77</v>
      </c>
    </row>
    <row r="70" spans="1:7" x14ac:dyDescent="0.25">
      <c r="A70" s="10" t="s">
        <v>83</v>
      </c>
      <c r="B70" s="10" t="s">
        <v>10</v>
      </c>
      <c r="C70" t="s">
        <v>1393</v>
      </c>
      <c r="E70" s="51">
        <v>10207.85</v>
      </c>
      <c r="F70" s="51">
        <v>3027.48</v>
      </c>
      <c r="G70" s="51">
        <v>13235.33</v>
      </c>
    </row>
    <row r="71" spans="1:7" x14ac:dyDescent="0.25">
      <c r="A71" s="10" t="s">
        <v>83</v>
      </c>
      <c r="B71" s="10" t="s">
        <v>10</v>
      </c>
      <c r="C71" t="s">
        <v>1396</v>
      </c>
      <c r="E71" s="51">
        <v>8272</v>
      </c>
      <c r="F71" s="51">
        <v>3246</v>
      </c>
      <c r="G71" s="51">
        <v>11518</v>
      </c>
    </row>
    <row r="72" spans="1:7" x14ac:dyDescent="0.25">
      <c r="A72" s="10" t="s">
        <v>83</v>
      </c>
      <c r="B72" s="10" t="s">
        <v>10</v>
      </c>
      <c r="C72" t="s">
        <v>1399</v>
      </c>
      <c r="E72" s="51">
        <v>5809.72</v>
      </c>
      <c r="F72" s="51">
        <v>454.51</v>
      </c>
      <c r="G72" s="51">
        <v>6264.2300000000005</v>
      </c>
    </row>
    <row r="73" spans="1:7" x14ac:dyDescent="0.25">
      <c r="A73" s="10" t="s">
        <v>83</v>
      </c>
      <c r="B73" s="10" t="s">
        <v>10</v>
      </c>
      <c r="C73" t="s">
        <v>1402</v>
      </c>
      <c r="E73" s="51">
        <v>673.54000000000008</v>
      </c>
      <c r="F73" s="51">
        <v>1235.1600000000001</v>
      </c>
      <c r="G73" s="51">
        <v>1908.7000000000003</v>
      </c>
    </row>
    <row r="74" spans="1:7" x14ac:dyDescent="0.25">
      <c r="A74" s="10" t="s">
        <v>83</v>
      </c>
      <c r="B74" s="10" t="s">
        <v>10</v>
      </c>
      <c r="C74" t="s">
        <v>1405</v>
      </c>
      <c r="E74" s="51">
        <v>4414.83</v>
      </c>
      <c r="F74" s="51">
        <v>1728.02</v>
      </c>
      <c r="G74" s="51">
        <v>6142.85</v>
      </c>
    </row>
    <row r="75" spans="1:7" x14ac:dyDescent="0.25">
      <c r="A75" s="10" t="s">
        <v>83</v>
      </c>
      <c r="B75" s="10" t="s">
        <v>10</v>
      </c>
      <c r="C75" t="s">
        <v>1408</v>
      </c>
      <c r="E75" s="51">
        <v>7991.15</v>
      </c>
      <c r="F75" s="51">
        <v>1550.45</v>
      </c>
      <c r="G75" s="51">
        <v>9541.6</v>
      </c>
    </row>
    <row r="76" spans="1:7" x14ac:dyDescent="0.25">
      <c r="A76" s="10" t="s">
        <v>83</v>
      </c>
      <c r="B76" s="10" t="s">
        <v>10</v>
      </c>
      <c r="C76" t="s">
        <v>1464</v>
      </c>
      <c r="E76" s="51">
        <v>280</v>
      </c>
      <c r="F76" s="51">
        <v>24</v>
      </c>
      <c r="G76" s="51">
        <v>304</v>
      </c>
    </row>
    <row r="77" spans="1:7" x14ac:dyDescent="0.25">
      <c r="A77" s="10" t="s">
        <v>83</v>
      </c>
      <c r="B77" s="10" t="s">
        <v>10</v>
      </c>
      <c r="C77" t="s">
        <v>1411</v>
      </c>
      <c r="E77" s="51">
        <v>2412</v>
      </c>
      <c r="F77" s="51">
        <v>-44</v>
      </c>
      <c r="G77" s="51">
        <v>2368</v>
      </c>
    </row>
    <row r="78" spans="1:7" x14ac:dyDescent="0.25">
      <c r="A78" s="10" t="s">
        <v>83</v>
      </c>
      <c r="B78" s="10" t="s">
        <v>10</v>
      </c>
      <c r="C78" t="s">
        <v>1428</v>
      </c>
      <c r="E78" s="51">
        <v>220.09</v>
      </c>
      <c r="F78" s="51">
        <v>25.01</v>
      </c>
      <c r="G78" s="51">
        <v>245.1</v>
      </c>
    </row>
    <row r="79" spans="1:7" x14ac:dyDescent="0.25">
      <c r="A79" s="10" t="s">
        <v>83</v>
      </c>
      <c r="B79" s="10" t="s">
        <v>10</v>
      </c>
      <c r="C79" t="s">
        <v>1414</v>
      </c>
      <c r="E79" s="51">
        <v>18111.190000000002</v>
      </c>
      <c r="F79" s="51">
        <v>9111.68</v>
      </c>
      <c r="G79" s="51">
        <v>27222.870000000003</v>
      </c>
    </row>
    <row r="80" spans="1:7" x14ac:dyDescent="0.25">
      <c r="A80" s="10" t="s">
        <v>83</v>
      </c>
      <c r="B80" s="10" t="s">
        <v>10</v>
      </c>
      <c r="C80" t="s">
        <v>1418</v>
      </c>
      <c r="E80" s="51">
        <v>42596.78</v>
      </c>
      <c r="F80" s="51">
        <v>18231.68</v>
      </c>
      <c r="G80" s="51">
        <v>60828.46</v>
      </c>
    </row>
    <row r="81" spans="1:7" x14ac:dyDescent="0.25">
      <c r="A81" s="10" t="s">
        <v>83</v>
      </c>
      <c r="B81" s="10" t="s">
        <v>10</v>
      </c>
      <c r="C81" t="s">
        <v>1563</v>
      </c>
      <c r="E81" s="51"/>
      <c r="F81" s="51">
        <v>50.9</v>
      </c>
      <c r="G81" s="51">
        <v>50.9</v>
      </c>
    </row>
    <row r="82" spans="1:7" x14ac:dyDescent="0.25">
      <c r="A82" s="10" t="s">
        <v>83</v>
      </c>
      <c r="B82" s="10" t="s">
        <v>10</v>
      </c>
      <c r="C82" t="s">
        <v>1421</v>
      </c>
      <c r="E82" s="51">
        <v>244.1</v>
      </c>
      <c r="F82" s="51">
        <v>120.53</v>
      </c>
      <c r="G82" s="51">
        <v>364.63</v>
      </c>
    </row>
    <row r="83" spans="1:7" x14ac:dyDescent="0.25">
      <c r="A83" s="10" t="s">
        <v>83</v>
      </c>
      <c r="B83" s="10" t="s">
        <v>10</v>
      </c>
      <c r="C83" t="s">
        <v>1431</v>
      </c>
      <c r="E83" s="51">
        <v>1252.21</v>
      </c>
      <c r="F83" s="51">
        <v>1442.6</v>
      </c>
      <c r="G83" s="51">
        <v>2694.81</v>
      </c>
    </row>
    <row r="84" spans="1:7" x14ac:dyDescent="0.25">
      <c r="A84" s="10" t="s">
        <v>83</v>
      </c>
      <c r="B84" s="10" t="s">
        <v>10</v>
      </c>
      <c r="C84" t="s">
        <v>1424</v>
      </c>
      <c r="E84" s="51">
        <v>727.09</v>
      </c>
      <c r="F84" s="51">
        <v>140.13</v>
      </c>
      <c r="G84" s="51">
        <v>867.22</v>
      </c>
    </row>
    <row r="85" spans="1:7" x14ac:dyDescent="0.25">
      <c r="A85" s="10" t="s">
        <v>83</v>
      </c>
      <c r="B85" s="10" t="s">
        <v>10</v>
      </c>
      <c r="C85" t="s">
        <v>1467</v>
      </c>
      <c r="E85" s="51">
        <v>734.68</v>
      </c>
      <c r="F85" s="51">
        <v>2241.3000000000002</v>
      </c>
      <c r="G85" s="51">
        <v>2975.98</v>
      </c>
    </row>
    <row r="86" spans="1:7" x14ac:dyDescent="0.25">
      <c r="A86" s="10" t="s">
        <v>83</v>
      </c>
      <c r="B86" s="10" t="s">
        <v>10</v>
      </c>
      <c r="C86" t="s">
        <v>1435</v>
      </c>
      <c r="E86" s="51">
        <v>663.26</v>
      </c>
      <c r="F86" s="51"/>
      <c r="G86" s="51">
        <v>663.26</v>
      </c>
    </row>
    <row r="87" spans="1:7" x14ac:dyDescent="0.25">
      <c r="A87" s="10" t="s">
        <v>83</v>
      </c>
      <c r="B87" s="10" t="s">
        <v>10</v>
      </c>
      <c r="C87" t="s">
        <v>1432</v>
      </c>
      <c r="E87" s="51">
        <v>880</v>
      </c>
      <c r="F87" s="51"/>
      <c r="G87" s="51">
        <v>880</v>
      </c>
    </row>
    <row r="88" spans="1:7" x14ac:dyDescent="0.25">
      <c r="A88" s="10" t="s">
        <v>83</v>
      </c>
      <c r="B88" s="10" t="s">
        <v>10</v>
      </c>
      <c r="C88" t="s">
        <v>1470</v>
      </c>
      <c r="E88" s="51"/>
      <c r="F88" s="51">
        <v>300</v>
      </c>
      <c r="G88" s="51">
        <v>300</v>
      </c>
    </row>
    <row r="89" spans="1:7" x14ac:dyDescent="0.25">
      <c r="A89" s="10" t="s">
        <v>83</v>
      </c>
      <c r="B89" s="10" t="s">
        <v>10</v>
      </c>
      <c r="C89" t="s">
        <v>1473</v>
      </c>
      <c r="E89" s="51">
        <v>1500</v>
      </c>
      <c r="F89" s="51">
        <v>16385.25</v>
      </c>
      <c r="G89" s="51">
        <v>17885.25</v>
      </c>
    </row>
    <row r="90" spans="1:7" x14ac:dyDescent="0.25">
      <c r="A90" s="10" t="s">
        <v>83</v>
      </c>
      <c r="B90" s="10" t="s">
        <v>10</v>
      </c>
      <c r="C90" t="s">
        <v>1441</v>
      </c>
      <c r="E90" s="51">
        <v>2215.33</v>
      </c>
      <c r="F90" s="51">
        <v>3755.54</v>
      </c>
      <c r="G90" s="51">
        <v>5970.87</v>
      </c>
    </row>
    <row r="91" spans="1:7" x14ac:dyDescent="0.25">
      <c r="A91" s="10" t="s">
        <v>83</v>
      </c>
      <c r="B91" s="10" t="s">
        <v>10</v>
      </c>
      <c r="C91" t="s">
        <v>1444</v>
      </c>
      <c r="E91" s="51">
        <v>750</v>
      </c>
      <c r="F91" s="51">
        <v>2532</v>
      </c>
      <c r="G91" s="51">
        <v>3282</v>
      </c>
    </row>
    <row r="92" spans="1:7" x14ac:dyDescent="0.25">
      <c r="A92" s="10" t="s">
        <v>83</v>
      </c>
      <c r="B92" s="10" t="s">
        <v>127</v>
      </c>
      <c r="C92" t="s">
        <v>1486</v>
      </c>
      <c r="E92" s="51">
        <v>-2.42</v>
      </c>
      <c r="F92" s="51">
        <v>-1.07</v>
      </c>
      <c r="G92" s="51">
        <v>-3.49</v>
      </c>
    </row>
    <row r="93" spans="1:7" x14ac:dyDescent="0.25">
      <c r="A93" s="10" t="s">
        <v>83</v>
      </c>
      <c r="B93" s="10" t="s">
        <v>127</v>
      </c>
      <c r="C93" t="s">
        <v>1493</v>
      </c>
      <c r="E93" s="51">
        <v>644.70000000000027</v>
      </c>
      <c r="F93" s="51">
        <v>1294.99</v>
      </c>
      <c r="G93" s="51">
        <v>1939.6900000000003</v>
      </c>
    </row>
    <row r="94" spans="1:7" x14ac:dyDescent="0.25">
      <c r="A94" s="10" t="s">
        <v>83</v>
      </c>
      <c r="B94" s="10" t="s">
        <v>127</v>
      </c>
      <c r="C94" t="s">
        <v>1496</v>
      </c>
      <c r="E94" s="51">
        <v>1476.7799999999997</v>
      </c>
      <c r="F94" s="51">
        <v>-6616.88</v>
      </c>
      <c r="G94" s="51">
        <v>-5140.1000000000004</v>
      </c>
    </row>
    <row r="95" spans="1:7" x14ac:dyDescent="0.25">
      <c r="A95" s="10" t="s">
        <v>83</v>
      </c>
      <c r="B95" s="10" t="s">
        <v>129</v>
      </c>
      <c r="C95" t="s">
        <v>1499</v>
      </c>
      <c r="E95" s="51">
        <v>1977.53</v>
      </c>
      <c r="F95" s="51"/>
      <c r="G95" s="51">
        <v>1977.53</v>
      </c>
    </row>
    <row r="96" spans="1:7" x14ac:dyDescent="0.25">
      <c r="A96" s="10" t="s">
        <v>83</v>
      </c>
      <c r="B96" s="10" t="s">
        <v>129</v>
      </c>
      <c r="C96" t="s">
        <v>1502</v>
      </c>
      <c r="E96" s="51">
        <v>-103.65</v>
      </c>
      <c r="F96" s="51">
        <v>-45.519999999999996</v>
      </c>
      <c r="G96" s="51">
        <v>-149.17000000000002</v>
      </c>
    </row>
    <row r="97" spans="1:7" x14ac:dyDescent="0.25">
      <c r="A97" s="10" t="s">
        <v>83</v>
      </c>
      <c r="B97" s="10" t="s">
        <v>129</v>
      </c>
      <c r="C97" t="s">
        <v>1505</v>
      </c>
      <c r="E97" s="51">
        <v>-40.509999999999991</v>
      </c>
      <c r="F97" s="51">
        <v>-90.639999999999986</v>
      </c>
      <c r="G97" s="51">
        <v>-131.14999999999998</v>
      </c>
    </row>
    <row r="98" spans="1:7" x14ac:dyDescent="0.25">
      <c r="A98" s="10" t="s">
        <v>83</v>
      </c>
      <c r="B98" s="10" t="s">
        <v>177</v>
      </c>
      <c r="C98" t="s">
        <v>1512</v>
      </c>
      <c r="E98" s="51">
        <v>-0.29000000000000004</v>
      </c>
      <c r="F98" s="51">
        <v>-0.11</v>
      </c>
      <c r="G98" s="51">
        <v>-0.4</v>
      </c>
    </row>
    <row r="99" spans="1:7" x14ac:dyDescent="0.25">
      <c r="A99" s="53" t="s">
        <v>83</v>
      </c>
      <c r="B99" s="10" t="s">
        <v>169</v>
      </c>
      <c r="C99" t="s">
        <v>1515</v>
      </c>
      <c r="E99" s="51">
        <v>792.18999999999994</v>
      </c>
      <c r="F99" s="51">
        <v>231.95</v>
      </c>
      <c r="G99" s="51">
        <v>1024.1399999999999</v>
      </c>
    </row>
    <row r="100" spans="1:7" x14ac:dyDescent="0.25">
      <c r="A100" s="10" t="s">
        <v>1191</v>
      </c>
      <c r="B100" s="10" t="s">
        <v>288</v>
      </c>
      <c r="C100" t="s">
        <v>1208</v>
      </c>
      <c r="E100" s="51">
        <v>151.81</v>
      </c>
      <c r="F100" s="51"/>
      <c r="G100" s="51">
        <v>151.81</v>
      </c>
    </row>
    <row r="101" spans="1:7" x14ac:dyDescent="0.25">
      <c r="A101" s="10" t="s">
        <v>1191</v>
      </c>
      <c r="B101" s="10" t="s">
        <v>399</v>
      </c>
      <c r="C101" t="s">
        <v>399</v>
      </c>
      <c r="E101" s="51">
        <v>52417</v>
      </c>
      <c r="F101" s="51"/>
      <c r="G101" s="51">
        <v>52417</v>
      </c>
    </row>
    <row r="102" spans="1:7" x14ac:dyDescent="0.25">
      <c r="A102" s="10" t="s">
        <v>1191</v>
      </c>
      <c r="B102" s="10" t="s">
        <v>477</v>
      </c>
      <c r="C102" t="s">
        <v>1247</v>
      </c>
      <c r="D102" t="s">
        <v>1249</v>
      </c>
      <c r="E102" s="51">
        <v>3190081.38</v>
      </c>
      <c r="F102" s="51"/>
      <c r="G102" s="51">
        <v>3190081.38</v>
      </c>
    </row>
    <row r="103" spans="1:7" x14ac:dyDescent="0.25">
      <c r="A103" s="10" t="s">
        <v>1191</v>
      </c>
      <c r="B103" s="10" t="s">
        <v>387</v>
      </c>
      <c r="C103" t="s">
        <v>387</v>
      </c>
      <c r="D103" t="s">
        <v>1252</v>
      </c>
      <c r="E103" s="51">
        <v>777400</v>
      </c>
      <c r="F103" s="51"/>
      <c r="G103" s="51">
        <v>777400</v>
      </c>
    </row>
    <row r="104" spans="1:7" x14ac:dyDescent="0.25">
      <c r="A104" s="10" t="s">
        <v>1191</v>
      </c>
      <c r="B104" s="10" t="s">
        <v>617</v>
      </c>
      <c r="C104" t="s">
        <v>617</v>
      </c>
      <c r="E104" s="51">
        <v>80993.259999999995</v>
      </c>
      <c r="F104" s="51"/>
      <c r="G104" s="51">
        <v>80993.259999999995</v>
      </c>
    </row>
    <row r="105" spans="1:7" x14ac:dyDescent="0.25">
      <c r="A105" s="10" t="s">
        <v>1191</v>
      </c>
      <c r="B105" s="10" t="s">
        <v>617</v>
      </c>
      <c r="C105" t="s">
        <v>1296</v>
      </c>
      <c r="E105" s="51">
        <v>-105106</v>
      </c>
      <c r="F105" s="51"/>
      <c r="G105" s="51">
        <v>-105106</v>
      </c>
    </row>
    <row r="106" spans="1:7" x14ac:dyDescent="0.25">
      <c r="A106" s="10" t="s">
        <v>1191</v>
      </c>
      <c r="B106" s="10" t="s">
        <v>675</v>
      </c>
      <c r="C106" t="s">
        <v>675</v>
      </c>
      <c r="E106" s="51">
        <v>-174</v>
      </c>
      <c r="F106" s="51"/>
      <c r="G106" s="51">
        <v>-174</v>
      </c>
    </row>
    <row r="107" spans="1:7" x14ac:dyDescent="0.25">
      <c r="A107" s="10" t="s">
        <v>1191</v>
      </c>
      <c r="B107" s="10" t="s">
        <v>739</v>
      </c>
      <c r="C107" t="s">
        <v>1316</v>
      </c>
      <c r="E107" s="51">
        <v>-2354630.6</v>
      </c>
      <c r="F107" s="51"/>
      <c r="G107" s="51">
        <v>-2354630.6</v>
      </c>
    </row>
    <row r="108" spans="1:7" x14ac:dyDescent="0.25">
      <c r="A108" s="10" t="s">
        <v>1191</v>
      </c>
      <c r="B108" s="10" t="s">
        <v>54</v>
      </c>
      <c r="C108" t="s">
        <v>1479</v>
      </c>
      <c r="E108" s="51">
        <v>-7.9</v>
      </c>
      <c r="F108" s="51"/>
      <c r="G108" s="51">
        <v>-7.9</v>
      </c>
    </row>
    <row r="109" spans="1:7" x14ac:dyDescent="0.25">
      <c r="A109" s="10" t="s">
        <v>1191</v>
      </c>
      <c r="B109" s="10" t="s">
        <v>41</v>
      </c>
      <c r="C109" t="s">
        <v>41</v>
      </c>
      <c r="E109" s="51">
        <v>73010</v>
      </c>
      <c r="F109" s="51"/>
      <c r="G109" s="51">
        <v>73010</v>
      </c>
    </row>
    <row r="110" spans="1:7" x14ac:dyDescent="0.25">
      <c r="A110" s="10" t="s">
        <v>1191</v>
      </c>
      <c r="B110" s="10" t="s">
        <v>48</v>
      </c>
      <c r="C110" t="s">
        <v>1510</v>
      </c>
      <c r="D110" t="s">
        <v>1249</v>
      </c>
      <c r="E110" s="51">
        <v>-1599.13</v>
      </c>
      <c r="F110" s="51"/>
      <c r="G110" s="51">
        <v>-1599.13</v>
      </c>
    </row>
    <row r="111" spans="1:7" x14ac:dyDescent="0.25">
      <c r="A111" s="10" t="s">
        <v>1191</v>
      </c>
      <c r="B111" s="10" t="s">
        <v>143</v>
      </c>
      <c r="C111" t="s">
        <v>143</v>
      </c>
      <c r="D111" t="s">
        <v>1252</v>
      </c>
      <c r="E111" s="51">
        <v>-715474.5</v>
      </c>
      <c r="F111" s="51"/>
      <c r="G111" s="51">
        <v>-715474.5</v>
      </c>
    </row>
    <row r="112" spans="1:7" x14ac:dyDescent="0.25">
      <c r="A112" s="10" t="s">
        <v>1191</v>
      </c>
      <c r="B112" s="10" t="s">
        <v>143</v>
      </c>
      <c r="C112" t="s">
        <v>1518</v>
      </c>
      <c r="D112" t="s">
        <v>1252</v>
      </c>
      <c r="E112" s="51">
        <v>-777400</v>
      </c>
      <c r="F112" s="51"/>
      <c r="G112" s="51">
        <v>-777400</v>
      </c>
    </row>
    <row r="113" spans="1:7" x14ac:dyDescent="0.25">
      <c r="A113" s="10" t="s">
        <v>1191</v>
      </c>
      <c r="B113" s="10" t="s">
        <v>133</v>
      </c>
      <c r="C113" t="s">
        <v>133</v>
      </c>
      <c r="D113" t="s">
        <v>1278</v>
      </c>
      <c r="E113" s="51">
        <v>33437.79</v>
      </c>
      <c r="F113" s="51"/>
      <c r="G113" s="51">
        <v>33437.79</v>
      </c>
    </row>
    <row r="114" spans="1:7" x14ac:dyDescent="0.25">
      <c r="A114" s="10" t="s">
        <v>1191</v>
      </c>
      <c r="B114" s="10" t="s">
        <v>1321</v>
      </c>
      <c r="C114" t="s">
        <v>1319</v>
      </c>
      <c r="E114" s="51">
        <v>6201180.4299999997</v>
      </c>
      <c r="F114" s="51"/>
      <c r="G114" s="51">
        <v>6201180.4299999997</v>
      </c>
    </row>
    <row r="115" spans="1:7" x14ac:dyDescent="0.25">
      <c r="A115" s="53" t="s">
        <v>1191</v>
      </c>
      <c r="B115" s="10" t="s">
        <v>1321</v>
      </c>
      <c r="C115" t="s">
        <v>1323</v>
      </c>
      <c r="E115" s="51">
        <v>-7317915.46</v>
      </c>
      <c r="F115" s="51"/>
      <c r="G115" s="51">
        <v>-7317915.46</v>
      </c>
    </row>
    <row r="116" spans="1:7" x14ac:dyDescent="0.25">
      <c r="A116" s="10" t="s">
        <v>310</v>
      </c>
      <c r="B116" s="10" t="s">
        <v>335</v>
      </c>
      <c r="C116" t="s">
        <v>335</v>
      </c>
      <c r="E116" s="51">
        <v>1846.75</v>
      </c>
      <c r="F116" s="51"/>
      <c r="G116" s="51">
        <v>1846.75</v>
      </c>
    </row>
    <row r="117" spans="1:7" x14ac:dyDescent="0.25">
      <c r="A117" s="10" t="s">
        <v>310</v>
      </c>
      <c r="B117" s="10" t="s">
        <v>323</v>
      </c>
      <c r="C117" t="s">
        <v>323</v>
      </c>
      <c r="E117" s="51">
        <v>17867.580000000002</v>
      </c>
      <c r="F117" s="51"/>
      <c r="G117" s="51">
        <v>17867.580000000002</v>
      </c>
    </row>
    <row r="118" spans="1:7" x14ac:dyDescent="0.25">
      <c r="A118" s="10" t="s">
        <v>310</v>
      </c>
      <c r="B118" s="10" t="s">
        <v>325</v>
      </c>
      <c r="C118" t="s">
        <v>325</v>
      </c>
      <c r="E118" s="51">
        <v>19192.66</v>
      </c>
      <c r="F118" s="51"/>
      <c r="G118" s="51">
        <v>19192.66</v>
      </c>
    </row>
    <row r="119" spans="1:7" x14ac:dyDescent="0.25">
      <c r="A119" s="10" t="s">
        <v>310</v>
      </c>
      <c r="B119" s="10" t="s">
        <v>329</v>
      </c>
      <c r="C119" t="s">
        <v>1230</v>
      </c>
      <c r="E119" s="51">
        <v>11856.61</v>
      </c>
      <c r="F119" s="51"/>
      <c r="G119" s="51">
        <v>11856.61</v>
      </c>
    </row>
    <row r="120" spans="1:7" x14ac:dyDescent="0.25">
      <c r="A120" s="10" t="s">
        <v>310</v>
      </c>
      <c r="B120" s="10" t="s">
        <v>329</v>
      </c>
      <c r="C120" t="s">
        <v>1233</v>
      </c>
      <c r="E120" s="51">
        <v>9270</v>
      </c>
      <c r="F120" s="51"/>
      <c r="G120" s="51">
        <v>9270</v>
      </c>
    </row>
    <row r="121" spans="1:7" x14ac:dyDescent="0.25">
      <c r="A121" s="10" t="s">
        <v>310</v>
      </c>
      <c r="B121" s="10" t="s">
        <v>329</v>
      </c>
      <c r="C121" t="s">
        <v>1236</v>
      </c>
      <c r="E121" s="51">
        <v>6362.35</v>
      </c>
      <c r="F121" s="51"/>
      <c r="G121" s="51">
        <v>6362.35</v>
      </c>
    </row>
    <row r="122" spans="1:7" x14ac:dyDescent="0.25">
      <c r="A122" s="10" t="s">
        <v>310</v>
      </c>
      <c r="B122" s="10" t="s">
        <v>329</v>
      </c>
      <c r="C122" t="s">
        <v>1239</v>
      </c>
      <c r="E122" s="51">
        <v>32152.16</v>
      </c>
      <c r="F122" s="51"/>
      <c r="G122" s="51">
        <v>32152.16</v>
      </c>
    </row>
    <row r="123" spans="1:7" x14ac:dyDescent="0.25">
      <c r="A123" s="10" t="s">
        <v>310</v>
      </c>
      <c r="B123" s="10" t="s">
        <v>365</v>
      </c>
      <c r="C123" t="s">
        <v>1242</v>
      </c>
      <c r="E123" s="51">
        <v>5859.81</v>
      </c>
      <c r="F123" s="51"/>
      <c r="G123" s="51">
        <v>5859.81</v>
      </c>
    </row>
    <row r="124" spans="1:7" x14ac:dyDescent="0.25">
      <c r="A124" s="10" t="s">
        <v>310</v>
      </c>
      <c r="B124" s="10" t="s">
        <v>411</v>
      </c>
      <c r="C124" t="s">
        <v>899</v>
      </c>
      <c r="E124" s="51">
        <v>132993.57</v>
      </c>
      <c r="F124" s="51"/>
      <c r="G124" s="51">
        <v>132993.57</v>
      </c>
    </row>
    <row r="125" spans="1:7" x14ac:dyDescent="0.25">
      <c r="A125" s="10" t="s">
        <v>310</v>
      </c>
      <c r="B125" s="10" t="s">
        <v>415</v>
      </c>
      <c r="C125" t="s">
        <v>907</v>
      </c>
      <c r="E125" s="51">
        <v>8513.2099999999991</v>
      </c>
      <c r="F125" s="51"/>
      <c r="G125" s="51">
        <v>8513.2099999999991</v>
      </c>
    </row>
    <row r="126" spans="1:7" x14ac:dyDescent="0.25">
      <c r="A126" s="10" t="s">
        <v>310</v>
      </c>
      <c r="B126" s="10" t="s">
        <v>417</v>
      </c>
      <c r="C126" t="s">
        <v>913</v>
      </c>
      <c r="E126" s="51">
        <v>110423.83</v>
      </c>
      <c r="F126" s="51"/>
      <c r="G126" s="51">
        <v>110423.83</v>
      </c>
    </row>
    <row r="127" spans="1:7" x14ac:dyDescent="0.25">
      <c r="A127" s="10" t="s">
        <v>310</v>
      </c>
      <c r="B127" s="10" t="s">
        <v>421</v>
      </c>
      <c r="C127" t="s">
        <v>917</v>
      </c>
      <c r="E127" s="51">
        <v>5131.92</v>
      </c>
      <c r="F127" s="51"/>
      <c r="G127" s="51">
        <v>5131.92</v>
      </c>
    </row>
    <row r="128" spans="1:7" x14ac:dyDescent="0.25">
      <c r="A128" s="10" t="s">
        <v>310</v>
      </c>
      <c r="B128" s="10" t="s">
        <v>429</v>
      </c>
      <c r="C128" t="s">
        <v>429</v>
      </c>
      <c r="E128" s="51">
        <v>-132993.57</v>
      </c>
      <c r="F128" s="51"/>
      <c r="G128" s="51">
        <v>-132993.57</v>
      </c>
    </row>
    <row r="129" spans="1:7" x14ac:dyDescent="0.25">
      <c r="A129" s="10" t="s">
        <v>310</v>
      </c>
      <c r="B129" s="10" t="s">
        <v>433</v>
      </c>
      <c r="C129" t="s">
        <v>928</v>
      </c>
      <c r="E129" s="51">
        <v>-8513.2099999999991</v>
      </c>
      <c r="F129" s="51"/>
      <c r="G129" s="51">
        <v>-8513.2099999999991</v>
      </c>
    </row>
    <row r="130" spans="1:7" x14ac:dyDescent="0.25">
      <c r="A130" s="10" t="s">
        <v>310</v>
      </c>
      <c r="B130" s="10" t="s">
        <v>435</v>
      </c>
      <c r="C130" t="s">
        <v>932</v>
      </c>
      <c r="E130" s="51">
        <v>-104276.83</v>
      </c>
      <c r="F130" s="51"/>
      <c r="G130" s="51">
        <v>-104276.83</v>
      </c>
    </row>
    <row r="131" spans="1:7" x14ac:dyDescent="0.25">
      <c r="A131" s="10" t="s">
        <v>310</v>
      </c>
      <c r="B131" s="10" t="s">
        <v>439</v>
      </c>
      <c r="C131" t="s">
        <v>936</v>
      </c>
      <c r="E131" s="51">
        <v>-5131.92</v>
      </c>
      <c r="F131" s="51"/>
      <c r="G131" s="51">
        <v>-5131.92</v>
      </c>
    </row>
    <row r="132" spans="1:7" x14ac:dyDescent="0.25">
      <c r="A132" s="10" t="s">
        <v>310</v>
      </c>
      <c r="B132" s="10" t="s">
        <v>515</v>
      </c>
      <c r="C132" t="s">
        <v>515</v>
      </c>
      <c r="E132" s="51">
        <v>-28850.37</v>
      </c>
      <c r="F132" s="51"/>
      <c r="G132" s="51">
        <v>-28850.37</v>
      </c>
    </row>
    <row r="133" spans="1:7" x14ac:dyDescent="0.25">
      <c r="A133" s="10" t="s">
        <v>310</v>
      </c>
      <c r="B133" s="10" t="s">
        <v>515</v>
      </c>
      <c r="C133" t="s">
        <v>1148</v>
      </c>
      <c r="E133" s="51">
        <v>-1166.6500000000001</v>
      </c>
      <c r="F133" s="51"/>
      <c r="G133" s="51">
        <v>-1166.6500000000001</v>
      </c>
    </row>
    <row r="134" spans="1:7" x14ac:dyDescent="0.25">
      <c r="A134" s="10" t="s">
        <v>310</v>
      </c>
      <c r="B134" s="10" t="s">
        <v>517</v>
      </c>
      <c r="C134" t="s">
        <v>1149</v>
      </c>
      <c r="E134" s="51">
        <v>-18666.2</v>
      </c>
      <c r="F134" s="51"/>
      <c r="G134" s="51">
        <v>-18666.2</v>
      </c>
    </row>
    <row r="135" spans="1:7" x14ac:dyDescent="0.25">
      <c r="A135" s="10" t="s">
        <v>310</v>
      </c>
      <c r="B135" s="10" t="s">
        <v>517</v>
      </c>
      <c r="C135" t="s">
        <v>1274</v>
      </c>
      <c r="E135" s="51">
        <v>18666.2</v>
      </c>
      <c r="F135" s="51"/>
      <c r="G135" s="51">
        <v>18666.2</v>
      </c>
    </row>
    <row r="136" spans="1:7" x14ac:dyDescent="0.25">
      <c r="A136" s="10" t="s">
        <v>310</v>
      </c>
      <c r="B136" s="10" t="s">
        <v>585</v>
      </c>
      <c r="C136" t="s">
        <v>1282</v>
      </c>
      <c r="E136" s="51">
        <v>-47800</v>
      </c>
      <c r="F136" s="51"/>
      <c r="G136" s="51">
        <v>-47800</v>
      </c>
    </row>
    <row r="137" spans="1:7" x14ac:dyDescent="0.25">
      <c r="A137" s="10" t="s">
        <v>310</v>
      </c>
      <c r="B137" s="10" t="s">
        <v>527</v>
      </c>
      <c r="C137" t="s">
        <v>1285</v>
      </c>
      <c r="E137" s="51">
        <v>-181778.18</v>
      </c>
      <c r="F137" s="51"/>
      <c r="G137" s="51">
        <v>-181778.18</v>
      </c>
    </row>
    <row r="138" spans="1:7" x14ac:dyDescent="0.25">
      <c r="A138" s="10" t="s">
        <v>310</v>
      </c>
      <c r="B138" s="10" t="s">
        <v>521</v>
      </c>
      <c r="C138" t="s">
        <v>1288</v>
      </c>
      <c r="E138" s="51">
        <v>-31773.37</v>
      </c>
      <c r="F138" s="51"/>
      <c r="G138" s="51">
        <v>-31773.37</v>
      </c>
    </row>
    <row r="139" spans="1:7" x14ac:dyDescent="0.25">
      <c r="A139" s="10" t="s">
        <v>310</v>
      </c>
      <c r="B139" s="10" t="s">
        <v>521</v>
      </c>
      <c r="C139" t="s">
        <v>1291</v>
      </c>
      <c r="E139" s="51">
        <v>-1940.14</v>
      </c>
      <c r="F139" s="51"/>
      <c r="G139" s="51">
        <v>-1940.14</v>
      </c>
    </row>
    <row r="140" spans="1:7" x14ac:dyDescent="0.25">
      <c r="A140" s="10" t="s">
        <v>310</v>
      </c>
      <c r="B140" s="10" t="s">
        <v>539</v>
      </c>
      <c r="C140" t="s">
        <v>1299</v>
      </c>
      <c r="E140" s="51">
        <v>-550</v>
      </c>
      <c r="F140" s="51"/>
      <c r="G140" s="51">
        <v>-550</v>
      </c>
    </row>
    <row r="141" spans="1:7" x14ac:dyDescent="0.25">
      <c r="A141" s="10" t="s">
        <v>310</v>
      </c>
      <c r="B141" s="10" t="s">
        <v>539</v>
      </c>
      <c r="C141" t="s">
        <v>1302</v>
      </c>
      <c r="E141" s="51">
        <v>-533.05999999999995</v>
      </c>
      <c r="F141" s="51"/>
      <c r="G141" s="51">
        <v>-533.05999999999995</v>
      </c>
    </row>
    <row r="142" spans="1:7" x14ac:dyDescent="0.25">
      <c r="A142" s="10" t="s">
        <v>310</v>
      </c>
      <c r="B142" s="10" t="s">
        <v>541</v>
      </c>
      <c r="C142" t="s">
        <v>541</v>
      </c>
      <c r="E142" s="51">
        <v>-2700</v>
      </c>
      <c r="F142" s="51"/>
      <c r="G142" s="51">
        <v>-2700</v>
      </c>
    </row>
    <row r="143" spans="1:7" x14ac:dyDescent="0.25">
      <c r="A143" s="10" t="s">
        <v>310</v>
      </c>
      <c r="B143" s="10" t="s">
        <v>541</v>
      </c>
      <c r="C143" t="s">
        <v>1306</v>
      </c>
      <c r="E143" s="51">
        <v>-2967</v>
      </c>
      <c r="F143" s="51"/>
      <c r="G143" s="51">
        <v>-2967</v>
      </c>
    </row>
    <row r="144" spans="1:7" x14ac:dyDescent="0.25">
      <c r="A144" s="10" t="s">
        <v>310</v>
      </c>
      <c r="B144" s="10" t="s">
        <v>533</v>
      </c>
      <c r="C144" t="s">
        <v>1309</v>
      </c>
      <c r="E144" s="51">
        <v>-14100</v>
      </c>
      <c r="F144" s="51"/>
      <c r="G144" s="51">
        <v>-14100</v>
      </c>
    </row>
    <row r="145" spans="1:7" x14ac:dyDescent="0.25">
      <c r="A145" s="10" t="s">
        <v>310</v>
      </c>
      <c r="B145" s="10" t="s">
        <v>703</v>
      </c>
      <c r="C145" t="s">
        <v>1313</v>
      </c>
      <c r="E145" s="51">
        <v>-33618</v>
      </c>
      <c r="F145" s="51"/>
      <c r="G145" s="51">
        <v>-33618</v>
      </c>
    </row>
    <row r="146" spans="1:7" x14ac:dyDescent="0.25">
      <c r="A146" s="53" t="s">
        <v>310</v>
      </c>
      <c r="B146" s="10" t="s">
        <v>62</v>
      </c>
      <c r="C146" t="s">
        <v>1483</v>
      </c>
      <c r="E146" s="51">
        <v>38.68</v>
      </c>
      <c r="F146" s="51"/>
      <c r="G146" s="51">
        <v>38.68</v>
      </c>
    </row>
    <row r="147" spans="1:7" x14ac:dyDescent="0.25">
      <c r="A147" s="10" t="s">
        <v>46</v>
      </c>
      <c r="B147" s="10" t="s">
        <v>379</v>
      </c>
      <c r="C147" t="s">
        <v>379</v>
      </c>
      <c r="D147" t="s">
        <v>1217</v>
      </c>
      <c r="E147" s="51">
        <v>194.57</v>
      </c>
      <c r="F147" s="51"/>
      <c r="G147" s="51">
        <v>194.57</v>
      </c>
    </row>
    <row r="148" spans="1:7" x14ac:dyDescent="0.25">
      <c r="A148" s="10" t="s">
        <v>46</v>
      </c>
      <c r="B148" s="10" t="s">
        <v>379</v>
      </c>
      <c r="C148" t="s">
        <v>379</v>
      </c>
      <c r="D148" t="s">
        <v>1252</v>
      </c>
      <c r="E148" s="51">
        <v>4320.16</v>
      </c>
      <c r="F148" s="51"/>
      <c r="G148" s="51">
        <v>4320.16</v>
      </c>
    </row>
    <row r="149" spans="1:7" x14ac:dyDescent="0.25">
      <c r="A149" s="10" t="s">
        <v>46</v>
      </c>
      <c r="B149" s="10" t="s">
        <v>639</v>
      </c>
      <c r="C149" t="s">
        <v>639</v>
      </c>
      <c r="D149" t="s">
        <v>1217</v>
      </c>
      <c r="E149" s="51">
        <v>-7210.59</v>
      </c>
      <c r="F149" s="51"/>
      <c r="G149" s="51">
        <v>-7210.59</v>
      </c>
    </row>
    <row r="150" spans="1:7" x14ac:dyDescent="0.25">
      <c r="A150" s="10" t="s">
        <v>46</v>
      </c>
      <c r="B150" s="10" t="s">
        <v>639</v>
      </c>
      <c r="C150" t="s">
        <v>639</v>
      </c>
      <c r="D150" t="s">
        <v>1252</v>
      </c>
      <c r="E150" s="51">
        <v>-390.15</v>
      </c>
      <c r="F150" s="51"/>
      <c r="G150" s="51">
        <v>-390.15</v>
      </c>
    </row>
    <row r="151" spans="1:7" x14ac:dyDescent="0.25">
      <c r="A151" s="10" t="s">
        <v>46</v>
      </c>
      <c r="B151" s="10" t="s">
        <v>639</v>
      </c>
      <c r="C151" t="s">
        <v>639</v>
      </c>
      <c r="D151" t="s">
        <v>1278</v>
      </c>
      <c r="E151" s="51">
        <v>-8970.83</v>
      </c>
      <c r="F151" s="51"/>
      <c r="G151" s="51">
        <v>-8970.83</v>
      </c>
    </row>
    <row r="152" spans="1:7" x14ac:dyDescent="0.25">
      <c r="A152" s="10" t="s">
        <v>46</v>
      </c>
      <c r="B152" s="10" t="s">
        <v>639</v>
      </c>
      <c r="C152" t="s">
        <v>1280</v>
      </c>
      <c r="D152" t="s">
        <v>1217</v>
      </c>
      <c r="E152" s="51">
        <v>149.16999999999999</v>
      </c>
      <c r="F152" s="51"/>
      <c r="G152" s="51">
        <v>149.16999999999999</v>
      </c>
    </row>
    <row r="153" spans="1:7" x14ac:dyDescent="0.25">
      <c r="A153" s="53" t="s">
        <v>46</v>
      </c>
      <c r="B153" s="10" t="s">
        <v>639</v>
      </c>
      <c r="C153" t="s">
        <v>1280</v>
      </c>
      <c r="D153" t="s">
        <v>1278</v>
      </c>
      <c r="E153" s="51">
        <v>-77.53</v>
      </c>
      <c r="F153" s="51"/>
      <c r="G153" s="51">
        <v>-77.53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3:G156"/>
  <sheetViews>
    <sheetView zoomScale="85" zoomScaleNormal="85" workbookViewId="0">
      <selection activeCell="A4" sqref="A4:G156"/>
    </sheetView>
  </sheetViews>
  <sheetFormatPr defaultRowHeight="15" x14ac:dyDescent="0.25"/>
  <cols>
    <col min="1" max="1" width="15.28515625" bestFit="1" customWidth="1"/>
    <col min="2" max="2" width="15.7109375" bestFit="1" customWidth="1"/>
    <col min="3" max="3" width="11.7109375" bestFit="1" customWidth="1"/>
    <col min="4" max="4" width="17.5703125" bestFit="1" customWidth="1"/>
    <col min="5" max="5" width="14" bestFit="1" customWidth="1"/>
    <col min="6" max="6" width="11.5703125" bestFit="1" customWidth="1"/>
    <col min="7" max="7" width="14" bestFit="1" customWidth="1"/>
  </cols>
  <sheetData>
    <row r="3" spans="1:7" x14ac:dyDescent="0.25">
      <c r="A3" s="50" t="s">
        <v>1584</v>
      </c>
      <c r="E3" s="50" t="s">
        <v>1582</v>
      </c>
    </row>
    <row r="4" spans="1:7" x14ac:dyDescent="0.25">
      <c r="A4" s="50" t="s">
        <v>1580</v>
      </c>
      <c r="B4" s="50" t="s">
        <v>1198</v>
      </c>
      <c r="C4" s="50" t="s">
        <v>1205</v>
      </c>
      <c r="D4" s="50" t="s">
        <v>1581</v>
      </c>
      <c r="E4" t="s">
        <v>1585</v>
      </c>
      <c r="F4" t="s">
        <v>803</v>
      </c>
      <c r="G4" t="s">
        <v>1586</v>
      </c>
    </row>
    <row r="5" spans="1:7" x14ac:dyDescent="0.25">
      <c r="A5" t="s">
        <v>83</v>
      </c>
      <c r="B5" t="s">
        <v>315</v>
      </c>
      <c r="C5" t="s">
        <v>1221</v>
      </c>
      <c r="E5" s="51">
        <v>0</v>
      </c>
      <c r="F5" s="51"/>
      <c r="G5" s="51">
        <v>0</v>
      </c>
    </row>
    <row r="6" spans="1:7" x14ac:dyDescent="0.25">
      <c r="A6" t="s">
        <v>83</v>
      </c>
      <c r="B6" t="s">
        <v>9</v>
      </c>
      <c r="C6" t="s">
        <v>1330</v>
      </c>
      <c r="E6" s="51">
        <v>16683.559999999998</v>
      </c>
      <c r="F6" s="51"/>
      <c r="G6" s="51">
        <v>16683.559999999998</v>
      </c>
    </row>
    <row r="7" spans="1:7" x14ac:dyDescent="0.25">
      <c r="A7" t="s">
        <v>83</v>
      </c>
      <c r="B7" t="s">
        <v>9</v>
      </c>
      <c r="C7" t="s">
        <v>1449</v>
      </c>
      <c r="E7" s="51">
        <v>853.3</v>
      </c>
      <c r="F7" s="51"/>
      <c r="G7" s="51">
        <v>853.3</v>
      </c>
    </row>
    <row r="8" spans="1:7" x14ac:dyDescent="0.25">
      <c r="A8" t="s">
        <v>83</v>
      </c>
      <c r="B8" t="s">
        <v>9</v>
      </c>
      <c r="C8" t="s">
        <v>1452</v>
      </c>
      <c r="E8" s="51">
        <v>-853.3</v>
      </c>
      <c r="F8" s="51"/>
      <c r="G8" s="51">
        <v>-853.3</v>
      </c>
    </row>
    <row r="9" spans="1:7" x14ac:dyDescent="0.25">
      <c r="A9" t="s">
        <v>83</v>
      </c>
      <c r="B9" t="s">
        <v>9</v>
      </c>
      <c r="C9" t="s">
        <v>1535</v>
      </c>
      <c r="E9" s="51">
        <v>1427.77</v>
      </c>
      <c r="F9" s="51"/>
      <c r="G9" s="51">
        <v>1427.77</v>
      </c>
    </row>
    <row r="10" spans="1:7" x14ac:dyDescent="0.25">
      <c r="A10" t="s">
        <v>83</v>
      </c>
      <c r="B10" t="s">
        <v>9</v>
      </c>
      <c r="C10" t="s">
        <v>1340</v>
      </c>
      <c r="E10" s="51">
        <v>66.5</v>
      </c>
      <c r="F10" s="51"/>
      <c r="G10" s="51">
        <v>66.5</v>
      </c>
    </row>
    <row r="11" spans="1:7" x14ac:dyDescent="0.25">
      <c r="A11" t="s">
        <v>83</v>
      </c>
      <c r="B11" t="s">
        <v>9</v>
      </c>
      <c r="C11" t="s">
        <v>1343</v>
      </c>
      <c r="E11" s="51">
        <v>2817.41</v>
      </c>
      <c r="F11" s="51"/>
      <c r="G11" s="51">
        <v>2817.41</v>
      </c>
    </row>
    <row r="12" spans="1:7" x14ac:dyDescent="0.25">
      <c r="A12" t="s">
        <v>83</v>
      </c>
      <c r="B12" t="s">
        <v>9</v>
      </c>
      <c r="C12" t="s">
        <v>1018</v>
      </c>
      <c r="E12" s="51">
        <v>697</v>
      </c>
      <c r="F12" s="51"/>
      <c r="G12" s="51">
        <v>697</v>
      </c>
    </row>
    <row r="13" spans="1:7" x14ac:dyDescent="0.25">
      <c r="A13" t="s">
        <v>83</v>
      </c>
      <c r="B13" t="s">
        <v>9</v>
      </c>
      <c r="C13" t="s">
        <v>1541</v>
      </c>
      <c r="E13" s="51">
        <v>3561.41</v>
      </c>
      <c r="F13" s="51"/>
      <c r="G13" s="51">
        <v>3561.41</v>
      </c>
    </row>
    <row r="14" spans="1:7" x14ac:dyDescent="0.25">
      <c r="A14" t="s">
        <v>83</v>
      </c>
      <c r="B14" t="s">
        <v>9</v>
      </c>
      <c r="C14" t="s">
        <v>1544</v>
      </c>
      <c r="E14" s="51">
        <v>769.01</v>
      </c>
      <c r="F14" s="51"/>
      <c r="G14" s="51">
        <v>769.01</v>
      </c>
    </row>
    <row r="15" spans="1:7" x14ac:dyDescent="0.25">
      <c r="A15" t="s">
        <v>83</v>
      </c>
      <c r="B15" t="s">
        <v>9</v>
      </c>
      <c r="C15" t="s">
        <v>1346</v>
      </c>
      <c r="E15" s="51">
        <v>-2880</v>
      </c>
      <c r="F15" s="51"/>
      <c r="G15" s="51">
        <v>-2880</v>
      </c>
    </row>
    <row r="16" spans="1:7" x14ac:dyDescent="0.25">
      <c r="A16" t="s">
        <v>83</v>
      </c>
      <c r="B16" t="s">
        <v>9</v>
      </c>
      <c r="C16" t="s">
        <v>1547</v>
      </c>
      <c r="E16" s="51">
        <v>1202.47</v>
      </c>
      <c r="F16" s="51"/>
      <c r="G16" s="51">
        <v>1202.47</v>
      </c>
    </row>
    <row r="17" spans="1:7" x14ac:dyDescent="0.25">
      <c r="A17" t="s">
        <v>83</v>
      </c>
      <c r="B17" t="s">
        <v>9</v>
      </c>
      <c r="C17" t="s">
        <v>1550</v>
      </c>
      <c r="E17" s="51">
        <v>2497.9899999999998</v>
      </c>
      <c r="F17" s="51"/>
      <c r="G17" s="51">
        <v>2497.9899999999998</v>
      </c>
    </row>
    <row r="18" spans="1:7" x14ac:dyDescent="0.25">
      <c r="A18" t="s">
        <v>83</v>
      </c>
      <c r="B18" t="s">
        <v>9</v>
      </c>
      <c r="C18" t="s">
        <v>1554</v>
      </c>
      <c r="E18" s="51">
        <v>2343.71</v>
      </c>
      <c r="F18" s="51"/>
      <c r="G18" s="51">
        <v>2343.71</v>
      </c>
    </row>
    <row r="19" spans="1:7" x14ac:dyDescent="0.25">
      <c r="A19" t="s">
        <v>83</v>
      </c>
      <c r="B19" t="s">
        <v>9</v>
      </c>
      <c r="C19" t="s">
        <v>1350</v>
      </c>
      <c r="E19" s="51">
        <v>1074.02</v>
      </c>
      <c r="F19" s="51"/>
      <c r="G19" s="51">
        <v>1074.02</v>
      </c>
    </row>
    <row r="20" spans="1:7" x14ac:dyDescent="0.25">
      <c r="A20" t="s">
        <v>83</v>
      </c>
      <c r="B20" t="s">
        <v>9</v>
      </c>
      <c r="C20" t="s">
        <v>1354</v>
      </c>
      <c r="E20" s="51">
        <v>415.95</v>
      </c>
      <c r="F20" s="51"/>
      <c r="G20" s="51">
        <v>415.95</v>
      </c>
    </row>
    <row r="21" spans="1:7" x14ac:dyDescent="0.25">
      <c r="A21" t="s">
        <v>83</v>
      </c>
      <c r="B21" t="s">
        <v>9</v>
      </c>
      <c r="C21" t="s">
        <v>1357</v>
      </c>
      <c r="E21" s="51">
        <v>148.80000000000001</v>
      </c>
      <c r="F21" s="51"/>
      <c r="G21" s="51">
        <v>148.80000000000001</v>
      </c>
    </row>
    <row r="22" spans="1:7" x14ac:dyDescent="0.25">
      <c r="A22" t="s">
        <v>83</v>
      </c>
      <c r="B22" t="s">
        <v>9</v>
      </c>
      <c r="C22" t="s">
        <v>1557</v>
      </c>
      <c r="E22" s="51">
        <v>29442.84</v>
      </c>
      <c r="F22" s="51"/>
      <c r="G22" s="51">
        <v>29442.84</v>
      </c>
    </row>
    <row r="23" spans="1:7" x14ac:dyDescent="0.25">
      <c r="A23" t="s">
        <v>83</v>
      </c>
      <c r="B23" t="s">
        <v>9</v>
      </c>
      <c r="C23" t="s">
        <v>1560</v>
      </c>
      <c r="E23" s="51">
        <v>346.02</v>
      </c>
      <c r="F23" s="51"/>
      <c r="G23" s="51">
        <v>346.02</v>
      </c>
    </row>
    <row r="24" spans="1:7" x14ac:dyDescent="0.25">
      <c r="A24" t="s">
        <v>83</v>
      </c>
      <c r="B24" t="s">
        <v>9</v>
      </c>
      <c r="C24" t="s">
        <v>1360</v>
      </c>
      <c r="E24" s="51">
        <v>353.84</v>
      </c>
      <c r="F24" s="51"/>
      <c r="G24" s="51">
        <v>353.84</v>
      </c>
    </row>
    <row r="25" spans="1:7" x14ac:dyDescent="0.25">
      <c r="A25" t="s">
        <v>83</v>
      </c>
      <c r="B25" t="s">
        <v>9</v>
      </c>
      <c r="C25" t="s">
        <v>1374</v>
      </c>
      <c r="E25" s="51">
        <v>3109.71</v>
      </c>
      <c r="F25" s="51"/>
      <c r="G25" s="51">
        <v>3109.71</v>
      </c>
    </row>
    <row r="26" spans="1:7" x14ac:dyDescent="0.25">
      <c r="A26" t="s">
        <v>83</v>
      </c>
      <c r="B26" t="s">
        <v>9</v>
      </c>
      <c r="C26" t="s">
        <v>1380</v>
      </c>
      <c r="E26" s="51">
        <v>988.08</v>
      </c>
      <c r="F26" s="51"/>
      <c r="G26" s="51">
        <v>988.08</v>
      </c>
    </row>
    <row r="27" spans="1:7" x14ac:dyDescent="0.25">
      <c r="A27" t="s">
        <v>83</v>
      </c>
      <c r="B27" t="s">
        <v>9</v>
      </c>
      <c r="C27" t="s">
        <v>1383</v>
      </c>
      <c r="E27" s="51">
        <v>5378.9400000000005</v>
      </c>
      <c r="F27" s="51"/>
      <c r="G27" s="51">
        <v>5378.9400000000005</v>
      </c>
    </row>
    <row r="28" spans="1:7" x14ac:dyDescent="0.25">
      <c r="A28" t="s">
        <v>83</v>
      </c>
      <c r="B28" t="s">
        <v>9</v>
      </c>
      <c r="C28" t="s">
        <v>1386</v>
      </c>
      <c r="E28" s="51">
        <v>32.950000000000003</v>
      </c>
      <c r="F28" s="51"/>
      <c r="G28" s="51">
        <v>32.950000000000003</v>
      </c>
    </row>
    <row r="29" spans="1:7" x14ac:dyDescent="0.25">
      <c r="A29" t="s">
        <v>83</v>
      </c>
      <c r="B29" t="s">
        <v>9</v>
      </c>
      <c r="C29" t="s">
        <v>1461</v>
      </c>
      <c r="E29" s="51">
        <v>1216.56</v>
      </c>
      <c r="F29" s="51"/>
      <c r="G29" s="51">
        <v>1216.56</v>
      </c>
    </row>
    <row r="30" spans="1:7" x14ac:dyDescent="0.25">
      <c r="A30" t="s">
        <v>83</v>
      </c>
      <c r="B30" t="s">
        <v>9</v>
      </c>
      <c r="C30" t="s">
        <v>1389</v>
      </c>
      <c r="E30" s="51">
        <v>147.11000000000001</v>
      </c>
      <c r="F30" s="51"/>
      <c r="G30" s="51">
        <v>147.11000000000001</v>
      </c>
    </row>
    <row r="31" spans="1:7" x14ac:dyDescent="0.25">
      <c r="A31" t="s">
        <v>83</v>
      </c>
      <c r="B31" t="s">
        <v>9</v>
      </c>
      <c r="C31" t="s">
        <v>1393</v>
      </c>
      <c r="E31" s="51">
        <v>405.3</v>
      </c>
      <c r="F31" s="51"/>
      <c r="G31" s="51">
        <v>405.3</v>
      </c>
    </row>
    <row r="32" spans="1:7" x14ac:dyDescent="0.25">
      <c r="A32" t="s">
        <v>83</v>
      </c>
      <c r="B32" t="s">
        <v>9</v>
      </c>
      <c r="C32" t="s">
        <v>1396</v>
      </c>
      <c r="E32" s="51">
        <v>231</v>
      </c>
      <c r="F32" s="51"/>
      <c r="G32" s="51">
        <v>231</v>
      </c>
    </row>
    <row r="33" spans="1:7" x14ac:dyDescent="0.25">
      <c r="A33" t="s">
        <v>83</v>
      </c>
      <c r="B33" t="s">
        <v>9</v>
      </c>
      <c r="C33" t="s">
        <v>1402</v>
      </c>
      <c r="E33" s="51">
        <v>84.210000000000008</v>
      </c>
      <c r="F33" s="51"/>
      <c r="G33" s="51">
        <v>84.210000000000008</v>
      </c>
    </row>
    <row r="34" spans="1:7" x14ac:dyDescent="0.25">
      <c r="A34" t="s">
        <v>83</v>
      </c>
      <c r="B34" t="s">
        <v>9</v>
      </c>
      <c r="C34" t="s">
        <v>1405</v>
      </c>
      <c r="E34" s="51">
        <v>95.47</v>
      </c>
      <c r="F34" s="51"/>
      <c r="G34" s="51">
        <v>95.47</v>
      </c>
    </row>
    <row r="35" spans="1:7" x14ac:dyDescent="0.25">
      <c r="A35" t="s">
        <v>83</v>
      </c>
      <c r="B35" t="s">
        <v>9</v>
      </c>
      <c r="C35" t="s">
        <v>1563</v>
      </c>
      <c r="E35" s="51">
        <v>1507.04</v>
      </c>
      <c r="F35" s="51"/>
      <c r="G35" s="51">
        <v>1507.04</v>
      </c>
    </row>
    <row r="36" spans="1:7" x14ac:dyDescent="0.25">
      <c r="A36" t="s">
        <v>83</v>
      </c>
      <c r="B36" t="s">
        <v>9</v>
      </c>
      <c r="C36" t="s">
        <v>1421</v>
      </c>
      <c r="E36" s="51">
        <v>474.13</v>
      </c>
      <c r="F36" s="51"/>
      <c r="G36" s="51">
        <v>474.13</v>
      </c>
    </row>
    <row r="37" spans="1:7" x14ac:dyDescent="0.25">
      <c r="A37" t="s">
        <v>83</v>
      </c>
      <c r="B37" t="s">
        <v>9</v>
      </c>
      <c r="C37" t="s">
        <v>1524</v>
      </c>
      <c r="E37" s="51">
        <v>14386.6</v>
      </c>
      <c r="F37" s="51"/>
      <c r="G37" s="51">
        <v>14386.6</v>
      </c>
    </row>
    <row r="38" spans="1:7" x14ac:dyDescent="0.25">
      <c r="A38" t="s">
        <v>83</v>
      </c>
      <c r="B38" t="s">
        <v>9</v>
      </c>
      <c r="C38" t="s">
        <v>1527</v>
      </c>
      <c r="E38" s="51">
        <v>3132.68</v>
      </c>
      <c r="F38" s="51"/>
      <c r="G38" s="51">
        <v>3132.68</v>
      </c>
    </row>
    <row r="39" spans="1:7" x14ac:dyDescent="0.25">
      <c r="A39" t="s">
        <v>83</v>
      </c>
      <c r="B39" t="s">
        <v>9</v>
      </c>
      <c r="C39" t="s">
        <v>1566</v>
      </c>
      <c r="E39" s="51">
        <v>8854.4699999999993</v>
      </c>
      <c r="F39" s="51"/>
      <c r="G39" s="51">
        <v>8854.4699999999993</v>
      </c>
    </row>
    <row r="40" spans="1:7" x14ac:dyDescent="0.25">
      <c r="A40" t="s">
        <v>83</v>
      </c>
      <c r="B40" t="s">
        <v>9</v>
      </c>
      <c r="C40" t="s">
        <v>1531</v>
      </c>
      <c r="E40" s="51">
        <v>162.94</v>
      </c>
      <c r="F40" s="51"/>
      <c r="G40" s="51">
        <v>162.94</v>
      </c>
    </row>
    <row r="41" spans="1:7" x14ac:dyDescent="0.25">
      <c r="A41" t="s">
        <v>83</v>
      </c>
      <c r="B41" t="s">
        <v>9</v>
      </c>
      <c r="C41" t="s">
        <v>1569</v>
      </c>
      <c r="E41" s="51">
        <v>1972.57</v>
      </c>
      <c r="F41" s="51"/>
      <c r="G41" s="51">
        <v>1972.57</v>
      </c>
    </row>
    <row r="42" spans="1:7" x14ac:dyDescent="0.25">
      <c r="A42" t="s">
        <v>83</v>
      </c>
      <c r="B42" t="s">
        <v>9</v>
      </c>
      <c r="C42" t="s">
        <v>1435</v>
      </c>
      <c r="E42" s="51">
        <v>8253.8300000000017</v>
      </c>
      <c r="F42" s="51"/>
      <c r="G42" s="51">
        <v>8253.8300000000017</v>
      </c>
    </row>
    <row r="43" spans="1:7" x14ac:dyDescent="0.25">
      <c r="A43" t="s">
        <v>83</v>
      </c>
      <c r="B43" t="s">
        <v>9</v>
      </c>
      <c r="C43" t="s">
        <v>1572</v>
      </c>
      <c r="E43" s="51">
        <v>402</v>
      </c>
      <c r="F43" s="51"/>
      <c r="G43" s="51">
        <v>402</v>
      </c>
    </row>
    <row r="44" spans="1:7" x14ac:dyDescent="0.25">
      <c r="A44" t="s">
        <v>83</v>
      </c>
      <c r="B44" t="s">
        <v>9</v>
      </c>
      <c r="C44" t="s">
        <v>1441</v>
      </c>
      <c r="E44" s="51">
        <v>1423.93</v>
      </c>
      <c r="F44" s="51"/>
      <c r="G44" s="51">
        <v>1423.93</v>
      </c>
    </row>
    <row r="45" spans="1:7" x14ac:dyDescent="0.25">
      <c r="A45" t="s">
        <v>83</v>
      </c>
      <c r="B45" t="s">
        <v>9</v>
      </c>
      <c r="C45" t="s">
        <v>1444</v>
      </c>
      <c r="E45" s="51">
        <v>550</v>
      </c>
      <c r="F45" s="51"/>
      <c r="G45" s="51">
        <v>550</v>
      </c>
    </row>
    <row r="46" spans="1:7" x14ac:dyDescent="0.25">
      <c r="A46" t="s">
        <v>83</v>
      </c>
      <c r="B46" t="s">
        <v>9</v>
      </c>
      <c r="C46" t="s">
        <v>1575</v>
      </c>
      <c r="E46" s="51">
        <v>-1522.57</v>
      </c>
      <c r="F46" s="51"/>
      <c r="G46" s="51">
        <v>-1522.57</v>
      </c>
    </row>
    <row r="47" spans="1:7" x14ac:dyDescent="0.25">
      <c r="A47" t="s">
        <v>83</v>
      </c>
      <c r="B47" t="s">
        <v>8</v>
      </c>
      <c r="C47" t="s">
        <v>1579</v>
      </c>
      <c r="E47" s="51">
        <v>41132.5</v>
      </c>
      <c r="F47" s="51"/>
      <c r="G47" s="51">
        <v>41132.5</v>
      </c>
    </row>
    <row r="48" spans="1:7" x14ac:dyDescent="0.25">
      <c r="A48" t="s">
        <v>83</v>
      </c>
      <c r="B48" t="s">
        <v>10</v>
      </c>
      <c r="C48" t="s">
        <v>1330</v>
      </c>
      <c r="E48" s="51">
        <v>293737.7</v>
      </c>
      <c r="F48" s="51">
        <v>142376</v>
      </c>
      <c r="G48" s="51">
        <v>436113.7</v>
      </c>
    </row>
    <row r="49" spans="1:7" x14ac:dyDescent="0.25">
      <c r="A49" t="s">
        <v>83</v>
      </c>
      <c r="B49" t="s">
        <v>10</v>
      </c>
      <c r="C49" t="s">
        <v>1449</v>
      </c>
      <c r="E49" s="51">
        <v>1618.86</v>
      </c>
      <c r="F49" s="51">
        <v>911.4</v>
      </c>
      <c r="G49" s="51">
        <v>2530.2599999999998</v>
      </c>
    </row>
    <row r="50" spans="1:7" x14ac:dyDescent="0.25">
      <c r="A50" t="s">
        <v>83</v>
      </c>
      <c r="B50" t="s">
        <v>10</v>
      </c>
      <c r="C50" t="s">
        <v>1452</v>
      </c>
      <c r="E50" s="51">
        <v>-1618.86</v>
      </c>
      <c r="F50" s="51">
        <v>-911.4</v>
      </c>
      <c r="G50" s="51">
        <v>-2530.2599999999998</v>
      </c>
    </row>
    <row r="51" spans="1:7" x14ac:dyDescent="0.25">
      <c r="A51" t="s">
        <v>83</v>
      </c>
      <c r="B51" t="s">
        <v>10</v>
      </c>
      <c r="C51" t="s">
        <v>1333</v>
      </c>
      <c r="E51" s="51">
        <v>25383.69</v>
      </c>
      <c r="F51" s="51">
        <v>9099.65</v>
      </c>
      <c r="G51" s="51">
        <v>34483.339999999997</v>
      </c>
    </row>
    <row r="52" spans="1:7" x14ac:dyDescent="0.25">
      <c r="A52" t="s">
        <v>83</v>
      </c>
      <c r="B52" t="s">
        <v>10</v>
      </c>
      <c r="C52" t="s">
        <v>1337</v>
      </c>
      <c r="E52" s="51">
        <v>-14902.22</v>
      </c>
      <c r="F52" s="51">
        <v>-5875.83</v>
      </c>
      <c r="G52" s="51">
        <v>-20778.05</v>
      </c>
    </row>
    <row r="53" spans="1:7" x14ac:dyDescent="0.25">
      <c r="A53" t="s">
        <v>83</v>
      </c>
      <c r="B53" t="s">
        <v>10</v>
      </c>
      <c r="C53" t="s">
        <v>1340</v>
      </c>
      <c r="E53" s="51">
        <v>1417</v>
      </c>
      <c r="F53" s="51">
        <v>974</v>
      </c>
      <c r="G53" s="51">
        <v>2391</v>
      </c>
    </row>
    <row r="54" spans="1:7" x14ac:dyDescent="0.25">
      <c r="A54" t="s">
        <v>83</v>
      </c>
      <c r="B54" t="s">
        <v>10</v>
      </c>
      <c r="C54" t="s">
        <v>1477</v>
      </c>
      <c r="E54" s="51">
        <v>1500</v>
      </c>
      <c r="F54" s="51"/>
      <c r="G54" s="51">
        <v>1500</v>
      </c>
    </row>
    <row r="55" spans="1:7" x14ac:dyDescent="0.25">
      <c r="A55" t="s">
        <v>83</v>
      </c>
      <c r="B55" t="s">
        <v>10</v>
      </c>
      <c r="C55" t="s">
        <v>1343</v>
      </c>
      <c r="E55" s="51">
        <v>1523.3400000000001</v>
      </c>
      <c r="F55" s="51">
        <v>540</v>
      </c>
      <c r="G55" s="51">
        <v>2063.34</v>
      </c>
    </row>
    <row r="56" spans="1:7" x14ac:dyDescent="0.25">
      <c r="A56" t="s">
        <v>83</v>
      </c>
      <c r="B56" t="s">
        <v>10</v>
      </c>
      <c r="C56" t="s">
        <v>1014</v>
      </c>
      <c r="E56" s="51"/>
      <c r="F56" s="51">
        <v>203</v>
      </c>
      <c r="G56" s="51">
        <v>203</v>
      </c>
    </row>
    <row r="57" spans="1:7" x14ac:dyDescent="0.25">
      <c r="A57" t="s">
        <v>83</v>
      </c>
      <c r="B57" t="s">
        <v>10</v>
      </c>
      <c r="C57" t="s">
        <v>1346</v>
      </c>
      <c r="E57" s="51">
        <v>1920</v>
      </c>
      <c r="F57" s="51">
        <v>960</v>
      </c>
      <c r="G57" s="51">
        <v>2880</v>
      </c>
    </row>
    <row r="58" spans="1:7" x14ac:dyDescent="0.25">
      <c r="A58" t="s">
        <v>83</v>
      </c>
      <c r="B58" t="s">
        <v>10</v>
      </c>
      <c r="C58" t="s">
        <v>1350</v>
      </c>
      <c r="E58" s="51">
        <v>1248.8699999999999</v>
      </c>
      <c r="F58" s="51">
        <v>533.99</v>
      </c>
      <c r="G58" s="51">
        <v>1782.86</v>
      </c>
    </row>
    <row r="59" spans="1:7" x14ac:dyDescent="0.25">
      <c r="A59" t="s">
        <v>83</v>
      </c>
      <c r="B59" t="s">
        <v>10</v>
      </c>
      <c r="C59" t="s">
        <v>1354</v>
      </c>
      <c r="E59" s="51">
        <v>3160.1299999999997</v>
      </c>
      <c r="F59" s="51">
        <v>1287</v>
      </c>
      <c r="G59" s="51">
        <v>4447.1299999999992</v>
      </c>
    </row>
    <row r="60" spans="1:7" x14ac:dyDescent="0.25">
      <c r="A60" t="s">
        <v>83</v>
      </c>
      <c r="B60" t="s">
        <v>10</v>
      </c>
      <c r="C60" t="s">
        <v>1357</v>
      </c>
      <c r="E60" s="51">
        <v>1190.3999999999999</v>
      </c>
      <c r="F60" s="51">
        <v>595.20000000000005</v>
      </c>
      <c r="G60" s="51">
        <v>1785.6</v>
      </c>
    </row>
    <row r="61" spans="1:7" x14ac:dyDescent="0.25">
      <c r="A61" t="s">
        <v>83</v>
      </c>
      <c r="B61" t="s">
        <v>10</v>
      </c>
      <c r="C61" t="s">
        <v>1360</v>
      </c>
      <c r="E61" s="51">
        <v>10487.42</v>
      </c>
      <c r="F61" s="51">
        <v>3641.96</v>
      </c>
      <c r="G61" s="51">
        <v>14129.380000000001</v>
      </c>
    </row>
    <row r="62" spans="1:7" x14ac:dyDescent="0.25">
      <c r="A62" t="s">
        <v>83</v>
      </c>
      <c r="B62" t="s">
        <v>10</v>
      </c>
      <c r="C62" t="s">
        <v>1364</v>
      </c>
      <c r="E62" s="51">
        <v>-47147.81</v>
      </c>
      <c r="F62" s="51">
        <v>-3575.9</v>
      </c>
      <c r="G62" s="51">
        <v>-50723.71</v>
      </c>
    </row>
    <row r="63" spans="1:7" x14ac:dyDescent="0.25">
      <c r="A63" t="s">
        <v>83</v>
      </c>
      <c r="B63" t="s">
        <v>10</v>
      </c>
      <c r="C63" t="s">
        <v>1367</v>
      </c>
      <c r="E63" s="51">
        <v>51322</v>
      </c>
      <c r="F63" s="51"/>
      <c r="G63" s="51">
        <v>51322</v>
      </c>
    </row>
    <row r="64" spans="1:7" x14ac:dyDescent="0.25">
      <c r="A64" t="s">
        <v>83</v>
      </c>
      <c r="B64" t="s">
        <v>10</v>
      </c>
      <c r="C64" t="s">
        <v>1371</v>
      </c>
      <c r="E64" s="51">
        <v>38584.180000000008</v>
      </c>
      <c r="F64" s="51">
        <v>1793.74</v>
      </c>
      <c r="G64" s="51">
        <v>40377.920000000006</v>
      </c>
    </row>
    <row r="65" spans="1:7" x14ac:dyDescent="0.25">
      <c r="A65" t="s">
        <v>83</v>
      </c>
      <c r="B65" t="s">
        <v>10</v>
      </c>
      <c r="C65" t="s">
        <v>1458</v>
      </c>
      <c r="E65" s="51"/>
      <c r="F65" s="51">
        <v>733.35</v>
      </c>
      <c r="G65" s="51">
        <v>733.35</v>
      </c>
    </row>
    <row r="66" spans="1:7" x14ac:dyDescent="0.25">
      <c r="A66" t="s">
        <v>83</v>
      </c>
      <c r="B66" t="s">
        <v>10</v>
      </c>
      <c r="C66" t="s">
        <v>1374</v>
      </c>
      <c r="E66" s="51">
        <v>84737.44</v>
      </c>
      <c r="F66" s="51">
        <v>30129.49</v>
      </c>
      <c r="G66" s="51">
        <v>114866.93000000001</v>
      </c>
    </row>
    <row r="67" spans="1:7" x14ac:dyDescent="0.25">
      <c r="A67" t="s">
        <v>83</v>
      </c>
      <c r="B67" t="s">
        <v>10</v>
      </c>
      <c r="C67" t="s">
        <v>1377</v>
      </c>
      <c r="E67" s="51">
        <v>52976.04</v>
      </c>
      <c r="F67" s="51">
        <v>12659.25</v>
      </c>
      <c r="G67" s="51">
        <v>65635.290000000008</v>
      </c>
    </row>
    <row r="68" spans="1:7" x14ac:dyDescent="0.25">
      <c r="A68" t="s">
        <v>83</v>
      </c>
      <c r="B68" t="s">
        <v>10</v>
      </c>
      <c r="C68" t="s">
        <v>1380</v>
      </c>
      <c r="E68" s="51">
        <v>16973.21</v>
      </c>
      <c r="F68" s="51">
        <v>7056.45</v>
      </c>
      <c r="G68" s="51">
        <v>24029.66</v>
      </c>
    </row>
    <row r="69" spans="1:7" x14ac:dyDescent="0.25">
      <c r="A69" t="s">
        <v>83</v>
      </c>
      <c r="B69" t="s">
        <v>10</v>
      </c>
      <c r="C69" t="s">
        <v>1383</v>
      </c>
      <c r="E69" s="51">
        <v>29805.920000000002</v>
      </c>
      <c r="F69" s="51">
        <v>11184.98</v>
      </c>
      <c r="G69" s="51">
        <v>40990.9</v>
      </c>
    </row>
    <row r="70" spans="1:7" x14ac:dyDescent="0.25">
      <c r="A70" t="s">
        <v>83</v>
      </c>
      <c r="B70" t="s">
        <v>10</v>
      </c>
      <c r="C70" t="s">
        <v>1386</v>
      </c>
      <c r="E70" s="51">
        <v>1665.88</v>
      </c>
      <c r="F70" s="51">
        <v>476.14</v>
      </c>
      <c r="G70" s="51">
        <v>2142.02</v>
      </c>
    </row>
    <row r="71" spans="1:7" x14ac:dyDescent="0.25">
      <c r="A71" t="s">
        <v>83</v>
      </c>
      <c r="B71" t="s">
        <v>10</v>
      </c>
      <c r="C71" t="s">
        <v>1461</v>
      </c>
      <c r="E71" s="51"/>
      <c r="F71" s="51">
        <v>94</v>
      </c>
      <c r="G71" s="51">
        <v>94</v>
      </c>
    </row>
    <row r="72" spans="1:7" x14ac:dyDescent="0.25">
      <c r="A72" t="s">
        <v>83</v>
      </c>
      <c r="B72" t="s">
        <v>10</v>
      </c>
      <c r="C72" t="s">
        <v>1389</v>
      </c>
      <c r="E72" s="51">
        <v>8482.77</v>
      </c>
      <c r="F72" s="51">
        <v>5433</v>
      </c>
      <c r="G72" s="51">
        <v>13915.77</v>
      </c>
    </row>
    <row r="73" spans="1:7" x14ac:dyDescent="0.25">
      <c r="A73" t="s">
        <v>83</v>
      </c>
      <c r="B73" t="s">
        <v>10</v>
      </c>
      <c r="C73" t="s">
        <v>1393</v>
      </c>
      <c r="E73" s="51">
        <v>10207.85</v>
      </c>
      <c r="F73" s="51">
        <v>3027.48</v>
      </c>
      <c r="G73" s="51">
        <v>13235.33</v>
      </c>
    </row>
    <row r="74" spans="1:7" x14ac:dyDescent="0.25">
      <c r="A74" t="s">
        <v>83</v>
      </c>
      <c r="B74" t="s">
        <v>10</v>
      </c>
      <c r="C74" t="s">
        <v>1396</v>
      </c>
      <c r="E74" s="51">
        <v>8272</v>
      </c>
      <c r="F74" s="51">
        <v>3246</v>
      </c>
      <c r="G74" s="51">
        <v>11518</v>
      </c>
    </row>
    <row r="75" spans="1:7" x14ac:dyDescent="0.25">
      <c r="A75" t="s">
        <v>83</v>
      </c>
      <c r="B75" t="s">
        <v>10</v>
      </c>
      <c r="C75" t="s">
        <v>1399</v>
      </c>
      <c r="E75" s="51">
        <v>5809.72</v>
      </c>
      <c r="F75" s="51">
        <v>454.51</v>
      </c>
      <c r="G75" s="51">
        <v>6264.2300000000005</v>
      </c>
    </row>
    <row r="76" spans="1:7" x14ac:dyDescent="0.25">
      <c r="A76" t="s">
        <v>83</v>
      </c>
      <c r="B76" t="s">
        <v>10</v>
      </c>
      <c r="C76" t="s">
        <v>1402</v>
      </c>
      <c r="E76" s="51">
        <v>673.54000000000008</v>
      </c>
      <c r="F76" s="51">
        <v>1235.1600000000001</v>
      </c>
      <c r="G76" s="51">
        <v>1908.7000000000003</v>
      </c>
    </row>
    <row r="77" spans="1:7" x14ac:dyDescent="0.25">
      <c r="A77" t="s">
        <v>83</v>
      </c>
      <c r="B77" t="s">
        <v>10</v>
      </c>
      <c r="C77" t="s">
        <v>1405</v>
      </c>
      <c r="E77" s="51">
        <v>4414.83</v>
      </c>
      <c r="F77" s="51">
        <v>1728.02</v>
      </c>
      <c r="G77" s="51">
        <v>6142.85</v>
      </c>
    </row>
    <row r="78" spans="1:7" x14ac:dyDescent="0.25">
      <c r="A78" t="s">
        <v>83</v>
      </c>
      <c r="B78" t="s">
        <v>10</v>
      </c>
      <c r="C78" t="s">
        <v>1408</v>
      </c>
      <c r="E78" s="51">
        <v>7991.15</v>
      </c>
      <c r="F78" s="51">
        <v>1550.45</v>
      </c>
      <c r="G78" s="51">
        <v>9541.6</v>
      </c>
    </row>
    <row r="79" spans="1:7" x14ac:dyDescent="0.25">
      <c r="A79" t="s">
        <v>83</v>
      </c>
      <c r="B79" t="s">
        <v>10</v>
      </c>
      <c r="C79" t="s">
        <v>1464</v>
      </c>
      <c r="E79" s="51">
        <v>280</v>
      </c>
      <c r="F79" s="51">
        <v>24</v>
      </c>
      <c r="G79" s="51">
        <v>304</v>
      </c>
    </row>
    <row r="80" spans="1:7" x14ac:dyDescent="0.25">
      <c r="A80" t="s">
        <v>83</v>
      </c>
      <c r="B80" t="s">
        <v>10</v>
      </c>
      <c r="C80" t="s">
        <v>1411</v>
      </c>
      <c r="E80" s="51">
        <v>2412</v>
      </c>
      <c r="F80" s="51">
        <v>-44</v>
      </c>
      <c r="G80" s="51">
        <v>2368</v>
      </c>
    </row>
    <row r="81" spans="1:7" x14ac:dyDescent="0.25">
      <c r="A81" t="s">
        <v>83</v>
      </c>
      <c r="B81" t="s">
        <v>10</v>
      </c>
      <c r="C81" t="s">
        <v>1428</v>
      </c>
      <c r="E81" s="51">
        <v>220.09</v>
      </c>
      <c r="F81" s="51">
        <v>25.01</v>
      </c>
      <c r="G81" s="51">
        <v>245.1</v>
      </c>
    </row>
    <row r="82" spans="1:7" x14ac:dyDescent="0.25">
      <c r="A82" t="s">
        <v>83</v>
      </c>
      <c r="B82" t="s">
        <v>10</v>
      </c>
      <c r="C82" t="s">
        <v>1414</v>
      </c>
      <c r="E82" s="51">
        <v>18111.190000000002</v>
      </c>
      <c r="F82" s="51">
        <v>9111.68</v>
      </c>
      <c r="G82" s="51">
        <v>27222.870000000003</v>
      </c>
    </row>
    <row r="83" spans="1:7" x14ac:dyDescent="0.25">
      <c r="A83" t="s">
        <v>83</v>
      </c>
      <c r="B83" t="s">
        <v>10</v>
      </c>
      <c r="C83" t="s">
        <v>1418</v>
      </c>
      <c r="E83" s="51">
        <v>42596.78</v>
      </c>
      <c r="F83" s="51">
        <v>18231.68</v>
      </c>
      <c r="G83" s="51">
        <v>60828.46</v>
      </c>
    </row>
    <row r="84" spans="1:7" x14ac:dyDescent="0.25">
      <c r="A84" t="s">
        <v>83</v>
      </c>
      <c r="B84" t="s">
        <v>10</v>
      </c>
      <c r="C84" t="s">
        <v>1563</v>
      </c>
      <c r="E84" s="51"/>
      <c r="F84" s="51">
        <v>50.9</v>
      </c>
      <c r="G84" s="51">
        <v>50.9</v>
      </c>
    </row>
    <row r="85" spans="1:7" x14ac:dyDescent="0.25">
      <c r="A85" t="s">
        <v>83</v>
      </c>
      <c r="B85" t="s">
        <v>10</v>
      </c>
      <c r="C85" t="s">
        <v>1421</v>
      </c>
      <c r="E85" s="51">
        <v>244.1</v>
      </c>
      <c r="F85" s="51">
        <v>120.53</v>
      </c>
      <c r="G85" s="51">
        <v>364.63</v>
      </c>
    </row>
    <row r="86" spans="1:7" x14ac:dyDescent="0.25">
      <c r="A86" t="s">
        <v>83</v>
      </c>
      <c r="B86" t="s">
        <v>10</v>
      </c>
      <c r="C86" t="s">
        <v>1431</v>
      </c>
      <c r="E86" s="51">
        <v>1252.21</v>
      </c>
      <c r="F86" s="51">
        <v>1442.6</v>
      </c>
      <c r="G86" s="51">
        <v>2694.81</v>
      </c>
    </row>
    <row r="87" spans="1:7" x14ac:dyDescent="0.25">
      <c r="A87" t="s">
        <v>83</v>
      </c>
      <c r="B87" t="s">
        <v>10</v>
      </c>
      <c r="C87" t="s">
        <v>1424</v>
      </c>
      <c r="E87" s="51">
        <v>727.09</v>
      </c>
      <c r="F87" s="51">
        <v>140.13</v>
      </c>
      <c r="G87" s="51">
        <v>867.22</v>
      </c>
    </row>
    <row r="88" spans="1:7" x14ac:dyDescent="0.25">
      <c r="A88" t="s">
        <v>83</v>
      </c>
      <c r="B88" t="s">
        <v>10</v>
      </c>
      <c r="C88" t="s">
        <v>1467</v>
      </c>
      <c r="E88" s="51">
        <v>734.68</v>
      </c>
      <c r="F88" s="51">
        <v>2241.3000000000002</v>
      </c>
      <c r="G88" s="51">
        <v>2975.98</v>
      </c>
    </row>
    <row r="89" spans="1:7" x14ac:dyDescent="0.25">
      <c r="A89" t="s">
        <v>83</v>
      </c>
      <c r="B89" t="s">
        <v>10</v>
      </c>
      <c r="C89" t="s">
        <v>1435</v>
      </c>
      <c r="E89" s="51">
        <v>663.26</v>
      </c>
      <c r="F89" s="51"/>
      <c r="G89" s="51">
        <v>663.26</v>
      </c>
    </row>
    <row r="90" spans="1:7" x14ac:dyDescent="0.25">
      <c r="A90" t="s">
        <v>83</v>
      </c>
      <c r="B90" t="s">
        <v>10</v>
      </c>
      <c r="C90" t="s">
        <v>1432</v>
      </c>
      <c r="E90" s="51">
        <v>880</v>
      </c>
      <c r="F90" s="51"/>
      <c r="G90" s="51">
        <v>880</v>
      </c>
    </row>
    <row r="91" spans="1:7" x14ac:dyDescent="0.25">
      <c r="A91" t="s">
        <v>83</v>
      </c>
      <c r="B91" t="s">
        <v>10</v>
      </c>
      <c r="C91" t="s">
        <v>1470</v>
      </c>
      <c r="E91" s="51"/>
      <c r="F91" s="51">
        <v>300</v>
      </c>
      <c r="G91" s="51">
        <v>300</v>
      </c>
    </row>
    <row r="92" spans="1:7" x14ac:dyDescent="0.25">
      <c r="A92" t="s">
        <v>83</v>
      </c>
      <c r="B92" t="s">
        <v>10</v>
      </c>
      <c r="C92" t="s">
        <v>1473</v>
      </c>
      <c r="E92" s="51">
        <v>1500</v>
      </c>
      <c r="F92" s="51">
        <v>16385.25</v>
      </c>
      <c r="G92" s="51">
        <v>17885.25</v>
      </c>
    </row>
    <row r="93" spans="1:7" x14ac:dyDescent="0.25">
      <c r="A93" t="s">
        <v>83</v>
      </c>
      <c r="B93" t="s">
        <v>10</v>
      </c>
      <c r="C93" t="s">
        <v>1441</v>
      </c>
      <c r="E93" s="51">
        <v>2215.33</v>
      </c>
      <c r="F93" s="51">
        <v>3755.54</v>
      </c>
      <c r="G93" s="51">
        <v>5970.87</v>
      </c>
    </row>
    <row r="94" spans="1:7" x14ac:dyDescent="0.25">
      <c r="A94" t="s">
        <v>83</v>
      </c>
      <c r="B94" t="s">
        <v>10</v>
      </c>
      <c r="C94" t="s">
        <v>1444</v>
      </c>
      <c r="E94" s="51">
        <v>750</v>
      </c>
      <c r="F94" s="51">
        <v>2532</v>
      </c>
      <c r="G94" s="51">
        <v>3282</v>
      </c>
    </row>
    <row r="95" spans="1:7" x14ac:dyDescent="0.25">
      <c r="A95" t="s">
        <v>83</v>
      </c>
      <c r="B95" t="s">
        <v>127</v>
      </c>
      <c r="C95" t="s">
        <v>1486</v>
      </c>
      <c r="E95" s="51">
        <v>-2.42</v>
      </c>
      <c r="F95" s="51">
        <v>-1.07</v>
      </c>
      <c r="G95" s="51">
        <v>-3.49</v>
      </c>
    </row>
    <row r="96" spans="1:7" x14ac:dyDescent="0.25">
      <c r="A96" t="s">
        <v>83</v>
      </c>
      <c r="B96" t="s">
        <v>127</v>
      </c>
      <c r="C96" t="s">
        <v>1493</v>
      </c>
      <c r="E96" s="51">
        <v>644.70000000000027</v>
      </c>
      <c r="F96" s="51">
        <v>1294.99</v>
      </c>
      <c r="G96" s="51">
        <v>1939.6900000000003</v>
      </c>
    </row>
    <row r="97" spans="1:7" x14ac:dyDescent="0.25">
      <c r="A97" t="s">
        <v>83</v>
      </c>
      <c r="B97" t="s">
        <v>127</v>
      </c>
      <c r="C97" t="s">
        <v>1496</v>
      </c>
      <c r="E97" s="51">
        <v>1476.7799999999997</v>
      </c>
      <c r="F97" s="51">
        <v>-6616.88</v>
      </c>
      <c r="G97" s="51">
        <v>-5140.1000000000004</v>
      </c>
    </row>
    <row r="98" spans="1:7" x14ac:dyDescent="0.25">
      <c r="A98" t="s">
        <v>83</v>
      </c>
      <c r="B98" t="s">
        <v>129</v>
      </c>
      <c r="C98" t="s">
        <v>1499</v>
      </c>
      <c r="E98" s="51">
        <v>1977.53</v>
      </c>
      <c r="F98" s="51"/>
      <c r="G98" s="51">
        <v>1977.53</v>
      </c>
    </row>
    <row r="99" spans="1:7" x14ac:dyDescent="0.25">
      <c r="A99" t="s">
        <v>83</v>
      </c>
      <c r="B99" t="s">
        <v>129</v>
      </c>
      <c r="C99" t="s">
        <v>1502</v>
      </c>
      <c r="E99" s="51">
        <v>-103.65</v>
      </c>
      <c r="F99" s="51">
        <v>-45.519999999999996</v>
      </c>
      <c r="G99" s="51">
        <v>-149.17000000000002</v>
      </c>
    </row>
    <row r="100" spans="1:7" x14ac:dyDescent="0.25">
      <c r="A100" t="s">
        <v>83</v>
      </c>
      <c r="B100" t="s">
        <v>129</v>
      </c>
      <c r="C100" t="s">
        <v>1505</v>
      </c>
      <c r="E100" s="51">
        <v>-40.509999999999991</v>
      </c>
      <c r="F100" s="51">
        <v>-90.639999999999986</v>
      </c>
      <c r="G100" s="51">
        <v>-131.14999999999998</v>
      </c>
    </row>
    <row r="101" spans="1:7" x14ac:dyDescent="0.25">
      <c r="A101" t="s">
        <v>83</v>
      </c>
      <c r="B101" t="s">
        <v>177</v>
      </c>
      <c r="C101" t="s">
        <v>1512</v>
      </c>
      <c r="E101" s="51">
        <v>-0.29000000000000004</v>
      </c>
      <c r="F101" s="51">
        <v>-0.11</v>
      </c>
      <c r="G101" s="51">
        <v>-0.4</v>
      </c>
    </row>
    <row r="102" spans="1:7" x14ac:dyDescent="0.25">
      <c r="A102" t="s">
        <v>83</v>
      </c>
      <c r="B102" t="s">
        <v>169</v>
      </c>
      <c r="C102" t="s">
        <v>1515</v>
      </c>
      <c r="E102" s="51">
        <v>792.18999999999994</v>
      </c>
      <c r="F102" s="51">
        <v>231.95</v>
      </c>
      <c r="G102" s="51">
        <v>1024.1399999999999</v>
      </c>
    </row>
    <row r="103" spans="1:7" x14ac:dyDescent="0.25">
      <c r="A103" t="s">
        <v>1191</v>
      </c>
      <c r="B103" t="s">
        <v>288</v>
      </c>
      <c r="C103" t="s">
        <v>1208</v>
      </c>
      <c r="E103" s="51">
        <v>151.81</v>
      </c>
      <c r="F103" s="51"/>
      <c r="G103" s="51">
        <v>151.81</v>
      </c>
    </row>
    <row r="104" spans="1:7" x14ac:dyDescent="0.25">
      <c r="A104" t="s">
        <v>1191</v>
      </c>
      <c r="B104" t="s">
        <v>399</v>
      </c>
      <c r="C104" t="s">
        <v>399</v>
      </c>
      <c r="E104" s="51">
        <v>52417</v>
      </c>
      <c r="F104" s="51"/>
      <c r="G104" s="51">
        <v>52417</v>
      </c>
    </row>
    <row r="105" spans="1:7" x14ac:dyDescent="0.25">
      <c r="A105" t="s">
        <v>1191</v>
      </c>
      <c r="B105" t="s">
        <v>477</v>
      </c>
      <c r="C105" t="s">
        <v>1247</v>
      </c>
      <c r="D105" t="s">
        <v>1249</v>
      </c>
      <c r="E105" s="51">
        <v>3190081.38</v>
      </c>
      <c r="F105" s="51"/>
      <c r="G105" s="51">
        <v>3190081.38</v>
      </c>
    </row>
    <row r="106" spans="1:7" x14ac:dyDescent="0.25">
      <c r="A106" t="s">
        <v>1191</v>
      </c>
      <c r="B106" t="s">
        <v>387</v>
      </c>
      <c r="C106" t="s">
        <v>387</v>
      </c>
      <c r="D106" t="s">
        <v>1252</v>
      </c>
      <c r="E106" s="51">
        <v>777400</v>
      </c>
      <c r="F106" s="51"/>
      <c r="G106" s="51">
        <v>777400</v>
      </c>
    </row>
    <row r="107" spans="1:7" x14ac:dyDescent="0.25">
      <c r="A107" t="s">
        <v>1191</v>
      </c>
      <c r="B107" t="s">
        <v>617</v>
      </c>
      <c r="C107" t="s">
        <v>617</v>
      </c>
      <c r="E107" s="51">
        <v>80993.259999999995</v>
      </c>
      <c r="F107" s="51"/>
      <c r="G107" s="51">
        <v>80993.259999999995</v>
      </c>
    </row>
    <row r="108" spans="1:7" x14ac:dyDescent="0.25">
      <c r="A108" t="s">
        <v>1191</v>
      </c>
      <c r="B108" t="s">
        <v>617</v>
      </c>
      <c r="C108" t="s">
        <v>1296</v>
      </c>
      <c r="E108" s="51">
        <v>-105106</v>
      </c>
      <c r="F108" s="51"/>
      <c r="G108" s="51">
        <v>-105106</v>
      </c>
    </row>
    <row r="109" spans="1:7" x14ac:dyDescent="0.25">
      <c r="A109" t="s">
        <v>1191</v>
      </c>
      <c r="B109" t="s">
        <v>675</v>
      </c>
      <c r="C109" t="s">
        <v>675</v>
      </c>
      <c r="E109" s="51">
        <v>-174</v>
      </c>
      <c r="F109" s="51"/>
      <c r="G109" s="51">
        <v>-174</v>
      </c>
    </row>
    <row r="110" spans="1:7" x14ac:dyDescent="0.25">
      <c r="A110" t="s">
        <v>1191</v>
      </c>
      <c r="B110" t="s">
        <v>739</v>
      </c>
      <c r="C110" t="s">
        <v>1316</v>
      </c>
      <c r="E110" s="51">
        <v>-2354630.6</v>
      </c>
      <c r="F110" s="51"/>
      <c r="G110" s="51">
        <v>-2354630.6</v>
      </c>
    </row>
    <row r="111" spans="1:7" x14ac:dyDescent="0.25">
      <c r="A111" t="s">
        <v>1191</v>
      </c>
      <c r="B111" t="s">
        <v>54</v>
      </c>
      <c r="C111" t="s">
        <v>1479</v>
      </c>
      <c r="E111" s="51">
        <v>-7.9</v>
      </c>
      <c r="F111" s="51"/>
      <c r="G111" s="51">
        <v>-7.9</v>
      </c>
    </row>
    <row r="112" spans="1:7" x14ac:dyDescent="0.25">
      <c r="A112" t="s">
        <v>1191</v>
      </c>
      <c r="B112" t="s">
        <v>41</v>
      </c>
      <c r="C112" t="s">
        <v>41</v>
      </c>
      <c r="E112" s="51">
        <v>73010</v>
      </c>
      <c r="F112" s="51"/>
      <c r="G112" s="51">
        <v>73010</v>
      </c>
    </row>
    <row r="113" spans="1:7" x14ac:dyDescent="0.25">
      <c r="A113" t="s">
        <v>1191</v>
      </c>
      <c r="B113" t="s">
        <v>48</v>
      </c>
      <c r="C113" t="s">
        <v>1510</v>
      </c>
      <c r="D113" t="s">
        <v>1249</v>
      </c>
      <c r="E113" s="51">
        <v>-1599.13</v>
      </c>
      <c r="F113" s="51"/>
      <c r="G113" s="51">
        <v>-1599.13</v>
      </c>
    </row>
    <row r="114" spans="1:7" x14ac:dyDescent="0.25">
      <c r="A114" t="s">
        <v>1191</v>
      </c>
      <c r="B114" t="s">
        <v>143</v>
      </c>
      <c r="C114" t="s">
        <v>143</v>
      </c>
      <c r="D114" t="s">
        <v>1252</v>
      </c>
      <c r="E114" s="51">
        <v>-715474.5</v>
      </c>
      <c r="F114" s="51"/>
      <c r="G114" s="51">
        <v>-715474.5</v>
      </c>
    </row>
    <row r="115" spans="1:7" x14ac:dyDescent="0.25">
      <c r="A115" t="s">
        <v>1191</v>
      </c>
      <c r="B115" t="s">
        <v>143</v>
      </c>
      <c r="C115" t="s">
        <v>1518</v>
      </c>
      <c r="D115" t="s">
        <v>1252</v>
      </c>
      <c r="E115" s="51">
        <v>-777400</v>
      </c>
      <c r="F115" s="51"/>
      <c r="G115" s="51">
        <v>-777400</v>
      </c>
    </row>
    <row r="116" spans="1:7" x14ac:dyDescent="0.25">
      <c r="A116" t="s">
        <v>1191</v>
      </c>
      <c r="B116" t="s">
        <v>133</v>
      </c>
      <c r="C116" t="s">
        <v>133</v>
      </c>
      <c r="D116" t="s">
        <v>1278</v>
      </c>
      <c r="E116" s="51">
        <v>33437.79</v>
      </c>
      <c r="F116" s="51"/>
      <c r="G116" s="51">
        <v>33437.79</v>
      </c>
    </row>
    <row r="117" spans="1:7" x14ac:dyDescent="0.25">
      <c r="A117" t="s">
        <v>1191</v>
      </c>
      <c r="B117" t="s">
        <v>1321</v>
      </c>
      <c r="C117" t="s">
        <v>1319</v>
      </c>
      <c r="E117" s="51">
        <v>6201180.4299999997</v>
      </c>
      <c r="F117" s="51"/>
      <c r="G117" s="51">
        <v>6201180.4299999997</v>
      </c>
    </row>
    <row r="118" spans="1:7" x14ac:dyDescent="0.25">
      <c r="A118" t="s">
        <v>1191</v>
      </c>
      <c r="B118" t="s">
        <v>1321</v>
      </c>
      <c r="C118" t="s">
        <v>1323</v>
      </c>
      <c r="E118" s="51">
        <v>-7317915.46</v>
      </c>
      <c r="F118" s="51"/>
      <c r="G118" s="51">
        <v>-7317915.46</v>
      </c>
    </row>
    <row r="119" spans="1:7" x14ac:dyDescent="0.25">
      <c r="A119" t="s">
        <v>310</v>
      </c>
      <c r="B119" t="s">
        <v>335</v>
      </c>
      <c r="C119" t="s">
        <v>335</v>
      </c>
      <c r="E119" s="51">
        <v>1846.75</v>
      </c>
      <c r="F119" s="51"/>
      <c r="G119" s="51">
        <v>1846.75</v>
      </c>
    </row>
    <row r="120" spans="1:7" x14ac:dyDescent="0.25">
      <c r="A120" t="s">
        <v>310</v>
      </c>
      <c r="B120" t="s">
        <v>323</v>
      </c>
      <c r="C120" t="s">
        <v>323</v>
      </c>
      <c r="E120" s="51">
        <v>17867.580000000002</v>
      </c>
      <c r="F120" s="51"/>
      <c r="G120" s="51">
        <v>17867.580000000002</v>
      </c>
    </row>
    <row r="121" spans="1:7" x14ac:dyDescent="0.25">
      <c r="A121" t="s">
        <v>310</v>
      </c>
      <c r="B121" t="s">
        <v>325</v>
      </c>
      <c r="C121" t="s">
        <v>325</v>
      </c>
      <c r="E121" s="51">
        <v>19192.66</v>
      </c>
      <c r="F121" s="51"/>
      <c r="G121" s="51">
        <v>19192.66</v>
      </c>
    </row>
    <row r="122" spans="1:7" x14ac:dyDescent="0.25">
      <c r="A122" t="s">
        <v>310</v>
      </c>
      <c r="B122" t="s">
        <v>329</v>
      </c>
      <c r="C122" t="s">
        <v>1230</v>
      </c>
      <c r="E122" s="51">
        <v>11856.61</v>
      </c>
      <c r="F122" s="51"/>
      <c r="G122" s="51">
        <v>11856.61</v>
      </c>
    </row>
    <row r="123" spans="1:7" x14ac:dyDescent="0.25">
      <c r="A123" t="s">
        <v>310</v>
      </c>
      <c r="B123" t="s">
        <v>329</v>
      </c>
      <c r="C123" t="s">
        <v>1233</v>
      </c>
      <c r="E123" s="51">
        <v>9270</v>
      </c>
      <c r="F123" s="51"/>
      <c r="G123" s="51">
        <v>9270</v>
      </c>
    </row>
    <row r="124" spans="1:7" x14ac:dyDescent="0.25">
      <c r="A124" t="s">
        <v>310</v>
      </c>
      <c r="B124" t="s">
        <v>329</v>
      </c>
      <c r="C124" t="s">
        <v>1236</v>
      </c>
      <c r="E124" s="51">
        <v>6362.35</v>
      </c>
      <c r="F124" s="51"/>
      <c r="G124" s="51">
        <v>6362.35</v>
      </c>
    </row>
    <row r="125" spans="1:7" x14ac:dyDescent="0.25">
      <c r="A125" t="s">
        <v>310</v>
      </c>
      <c r="B125" t="s">
        <v>329</v>
      </c>
      <c r="C125" t="s">
        <v>1239</v>
      </c>
      <c r="E125" s="51">
        <v>32152.16</v>
      </c>
      <c r="F125" s="51"/>
      <c r="G125" s="51">
        <v>32152.16</v>
      </c>
    </row>
    <row r="126" spans="1:7" x14ac:dyDescent="0.25">
      <c r="A126" t="s">
        <v>310</v>
      </c>
      <c r="B126" t="s">
        <v>365</v>
      </c>
      <c r="C126" t="s">
        <v>1242</v>
      </c>
      <c r="E126" s="51">
        <v>5859.81</v>
      </c>
      <c r="F126" s="51"/>
      <c r="G126" s="51">
        <v>5859.81</v>
      </c>
    </row>
    <row r="127" spans="1:7" x14ac:dyDescent="0.25">
      <c r="A127" t="s">
        <v>310</v>
      </c>
      <c r="B127" t="s">
        <v>411</v>
      </c>
      <c r="C127" t="s">
        <v>899</v>
      </c>
      <c r="E127" s="51">
        <v>132993.57</v>
      </c>
      <c r="F127" s="51"/>
      <c r="G127" s="51">
        <v>132993.57</v>
      </c>
    </row>
    <row r="128" spans="1:7" x14ac:dyDescent="0.25">
      <c r="A128" t="s">
        <v>310</v>
      </c>
      <c r="B128" t="s">
        <v>415</v>
      </c>
      <c r="C128" t="s">
        <v>907</v>
      </c>
      <c r="E128" s="51">
        <v>8513.2099999999991</v>
      </c>
      <c r="F128" s="51"/>
      <c r="G128" s="51">
        <v>8513.2099999999991</v>
      </c>
    </row>
    <row r="129" spans="1:7" x14ac:dyDescent="0.25">
      <c r="A129" t="s">
        <v>310</v>
      </c>
      <c r="B129" t="s">
        <v>417</v>
      </c>
      <c r="C129" t="s">
        <v>913</v>
      </c>
      <c r="E129" s="51">
        <v>110423.83</v>
      </c>
      <c r="F129" s="51"/>
      <c r="G129" s="51">
        <v>110423.83</v>
      </c>
    </row>
    <row r="130" spans="1:7" x14ac:dyDescent="0.25">
      <c r="A130" t="s">
        <v>310</v>
      </c>
      <c r="B130" t="s">
        <v>421</v>
      </c>
      <c r="C130" t="s">
        <v>917</v>
      </c>
      <c r="E130" s="51">
        <v>5131.92</v>
      </c>
      <c r="F130" s="51"/>
      <c r="G130" s="51">
        <v>5131.92</v>
      </c>
    </row>
    <row r="131" spans="1:7" x14ac:dyDescent="0.25">
      <c r="A131" t="s">
        <v>310</v>
      </c>
      <c r="B131" t="s">
        <v>429</v>
      </c>
      <c r="C131" t="s">
        <v>429</v>
      </c>
      <c r="E131" s="51">
        <v>-132993.57</v>
      </c>
      <c r="F131" s="51"/>
      <c r="G131" s="51">
        <v>-132993.57</v>
      </c>
    </row>
    <row r="132" spans="1:7" x14ac:dyDescent="0.25">
      <c r="A132" t="s">
        <v>310</v>
      </c>
      <c r="B132" t="s">
        <v>433</v>
      </c>
      <c r="C132" t="s">
        <v>928</v>
      </c>
      <c r="E132" s="51">
        <v>-8513.2099999999991</v>
      </c>
      <c r="F132" s="51"/>
      <c r="G132" s="51">
        <v>-8513.2099999999991</v>
      </c>
    </row>
    <row r="133" spans="1:7" x14ac:dyDescent="0.25">
      <c r="A133" t="s">
        <v>310</v>
      </c>
      <c r="B133" t="s">
        <v>435</v>
      </c>
      <c r="C133" t="s">
        <v>932</v>
      </c>
      <c r="E133" s="51">
        <v>-104276.83</v>
      </c>
      <c r="F133" s="51"/>
      <c r="G133" s="51">
        <v>-104276.83</v>
      </c>
    </row>
    <row r="134" spans="1:7" x14ac:dyDescent="0.25">
      <c r="A134" t="s">
        <v>310</v>
      </c>
      <c r="B134" t="s">
        <v>439</v>
      </c>
      <c r="C134" t="s">
        <v>936</v>
      </c>
      <c r="E134" s="51">
        <v>-5131.92</v>
      </c>
      <c r="F134" s="51"/>
      <c r="G134" s="51">
        <v>-5131.92</v>
      </c>
    </row>
    <row r="135" spans="1:7" x14ac:dyDescent="0.25">
      <c r="A135" t="s">
        <v>310</v>
      </c>
      <c r="B135" t="s">
        <v>515</v>
      </c>
      <c r="C135" t="s">
        <v>515</v>
      </c>
      <c r="E135" s="51">
        <v>-28850.37</v>
      </c>
      <c r="F135" s="51"/>
      <c r="G135" s="51">
        <v>-28850.37</v>
      </c>
    </row>
    <row r="136" spans="1:7" x14ac:dyDescent="0.25">
      <c r="A136" t="s">
        <v>310</v>
      </c>
      <c r="B136" t="s">
        <v>515</v>
      </c>
      <c r="C136" t="s">
        <v>1148</v>
      </c>
      <c r="E136" s="51">
        <v>-1166.6500000000001</v>
      </c>
      <c r="F136" s="51"/>
      <c r="G136" s="51">
        <v>-1166.6500000000001</v>
      </c>
    </row>
    <row r="137" spans="1:7" x14ac:dyDescent="0.25">
      <c r="A137" t="s">
        <v>310</v>
      </c>
      <c r="B137" t="s">
        <v>517</v>
      </c>
      <c r="C137" t="s">
        <v>1149</v>
      </c>
      <c r="E137" s="51">
        <v>-18666.2</v>
      </c>
      <c r="F137" s="51"/>
      <c r="G137" s="51">
        <v>-18666.2</v>
      </c>
    </row>
    <row r="138" spans="1:7" x14ac:dyDescent="0.25">
      <c r="A138" t="s">
        <v>310</v>
      </c>
      <c r="B138" t="s">
        <v>517</v>
      </c>
      <c r="C138" t="s">
        <v>1274</v>
      </c>
      <c r="E138" s="51">
        <v>18666.2</v>
      </c>
      <c r="F138" s="51"/>
      <c r="G138" s="51">
        <v>18666.2</v>
      </c>
    </row>
    <row r="139" spans="1:7" x14ac:dyDescent="0.25">
      <c r="A139" t="s">
        <v>310</v>
      </c>
      <c r="B139" t="s">
        <v>585</v>
      </c>
      <c r="C139" t="s">
        <v>1282</v>
      </c>
      <c r="E139" s="51">
        <v>-47800</v>
      </c>
      <c r="F139" s="51"/>
      <c r="G139" s="51">
        <v>-47800</v>
      </c>
    </row>
    <row r="140" spans="1:7" x14ac:dyDescent="0.25">
      <c r="A140" t="s">
        <v>310</v>
      </c>
      <c r="B140" t="s">
        <v>527</v>
      </c>
      <c r="C140" t="s">
        <v>1285</v>
      </c>
      <c r="E140" s="51">
        <v>-181778.18</v>
      </c>
      <c r="F140" s="51"/>
      <c r="G140" s="51">
        <v>-181778.18</v>
      </c>
    </row>
    <row r="141" spans="1:7" x14ac:dyDescent="0.25">
      <c r="A141" t="s">
        <v>310</v>
      </c>
      <c r="B141" t="s">
        <v>521</v>
      </c>
      <c r="C141" t="s">
        <v>1288</v>
      </c>
      <c r="E141" s="51">
        <v>-31773.37</v>
      </c>
      <c r="F141" s="51"/>
      <c r="G141" s="51">
        <v>-31773.37</v>
      </c>
    </row>
    <row r="142" spans="1:7" x14ac:dyDescent="0.25">
      <c r="A142" t="s">
        <v>310</v>
      </c>
      <c r="B142" t="s">
        <v>521</v>
      </c>
      <c r="C142" t="s">
        <v>1291</v>
      </c>
      <c r="E142" s="51">
        <v>-1940.14</v>
      </c>
      <c r="F142" s="51"/>
      <c r="G142" s="51">
        <v>-1940.14</v>
      </c>
    </row>
    <row r="143" spans="1:7" x14ac:dyDescent="0.25">
      <c r="A143" t="s">
        <v>310</v>
      </c>
      <c r="B143" t="s">
        <v>539</v>
      </c>
      <c r="C143" t="s">
        <v>1299</v>
      </c>
      <c r="E143" s="51">
        <v>-550</v>
      </c>
      <c r="F143" s="51"/>
      <c r="G143" s="51">
        <v>-550</v>
      </c>
    </row>
    <row r="144" spans="1:7" x14ac:dyDescent="0.25">
      <c r="A144" t="s">
        <v>310</v>
      </c>
      <c r="B144" t="s">
        <v>539</v>
      </c>
      <c r="C144" t="s">
        <v>1302</v>
      </c>
      <c r="E144" s="51">
        <v>-533.05999999999995</v>
      </c>
      <c r="F144" s="51"/>
      <c r="G144" s="51">
        <v>-533.05999999999995</v>
      </c>
    </row>
    <row r="145" spans="1:7" x14ac:dyDescent="0.25">
      <c r="A145" t="s">
        <v>310</v>
      </c>
      <c r="B145" t="s">
        <v>541</v>
      </c>
      <c r="C145" t="s">
        <v>541</v>
      </c>
      <c r="E145" s="51">
        <v>-2700</v>
      </c>
      <c r="F145" s="51"/>
      <c r="G145" s="51">
        <v>-2700</v>
      </c>
    </row>
    <row r="146" spans="1:7" x14ac:dyDescent="0.25">
      <c r="A146" t="s">
        <v>310</v>
      </c>
      <c r="B146" t="s">
        <v>541</v>
      </c>
      <c r="C146" t="s">
        <v>1306</v>
      </c>
      <c r="E146" s="51">
        <v>-2967</v>
      </c>
      <c r="F146" s="51"/>
      <c r="G146" s="51">
        <v>-2967</v>
      </c>
    </row>
    <row r="147" spans="1:7" x14ac:dyDescent="0.25">
      <c r="A147" t="s">
        <v>310</v>
      </c>
      <c r="B147" t="s">
        <v>533</v>
      </c>
      <c r="C147" t="s">
        <v>1309</v>
      </c>
      <c r="E147" s="51">
        <v>-14100</v>
      </c>
      <c r="F147" s="51"/>
      <c r="G147" s="51">
        <v>-14100</v>
      </c>
    </row>
    <row r="148" spans="1:7" x14ac:dyDescent="0.25">
      <c r="A148" t="s">
        <v>310</v>
      </c>
      <c r="B148" t="s">
        <v>703</v>
      </c>
      <c r="C148" t="s">
        <v>1313</v>
      </c>
      <c r="E148" s="51">
        <v>-33618</v>
      </c>
      <c r="F148" s="51"/>
      <c r="G148" s="51">
        <v>-33618</v>
      </c>
    </row>
    <row r="149" spans="1:7" x14ac:dyDescent="0.25">
      <c r="A149" t="s">
        <v>310</v>
      </c>
      <c r="B149" t="s">
        <v>62</v>
      </c>
      <c r="C149" t="s">
        <v>1483</v>
      </c>
      <c r="E149" s="51">
        <v>38.68</v>
      </c>
      <c r="F149" s="51"/>
      <c r="G149" s="51">
        <v>38.68</v>
      </c>
    </row>
    <row r="150" spans="1:7" x14ac:dyDescent="0.25">
      <c r="A150" t="s">
        <v>46</v>
      </c>
      <c r="B150" t="s">
        <v>379</v>
      </c>
      <c r="C150" t="s">
        <v>379</v>
      </c>
      <c r="D150" t="s">
        <v>1217</v>
      </c>
      <c r="E150" s="51">
        <v>194.57</v>
      </c>
      <c r="F150" s="51"/>
      <c r="G150" s="51">
        <v>194.57</v>
      </c>
    </row>
    <row r="151" spans="1:7" x14ac:dyDescent="0.25">
      <c r="A151" t="s">
        <v>46</v>
      </c>
      <c r="B151" t="s">
        <v>379</v>
      </c>
      <c r="C151" t="s">
        <v>379</v>
      </c>
      <c r="D151" t="s">
        <v>1252</v>
      </c>
      <c r="E151" s="51">
        <v>4320.16</v>
      </c>
      <c r="F151" s="51"/>
      <c r="G151" s="51">
        <v>4320.16</v>
      </c>
    </row>
    <row r="152" spans="1:7" x14ac:dyDescent="0.25">
      <c r="A152" t="s">
        <v>46</v>
      </c>
      <c r="B152" t="s">
        <v>639</v>
      </c>
      <c r="C152" t="s">
        <v>639</v>
      </c>
      <c r="D152" t="s">
        <v>1217</v>
      </c>
      <c r="E152" s="51">
        <v>-7210.59</v>
      </c>
      <c r="F152" s="51"/>
      <c r="G152" s="51">
        <v>-7210.59</v>
      </c>
    </row>
    <row r="153" spans="1:7" x14ac:dyDescent="0.25">
      <c r="A153" t="s">
        <v>46</v>
      </c>
      <c r="B153" t="s">
        <v>639</v>
      </c>
      <c r="C153" t="s">
        <v>639</v>
      </c>
      <c r="D153" t="s">
        <v>1252</v>
      </c>
      <c r="E153" s="51">
        <v>-390.15</v>
      </c>
      <c r="F153" s="51"/>
      <c r="G153" s="51">
        <v>-390.15</v>
      </c>
    </row>
    <row r="154" spans="1:7" x14ac:dyDescent="0.25">
      <c r="A154" t="s">
        <v>46</v>
      </c>
      <c r="B154" t="s">
        <v>639</v>
      </c>
      <c r="C154" t="s">
        <v>639</v>
      </c>
      <c r="D154" t="s">
        <v>1278</v>
      </c>
      <c r="E154" s="51">
        <v>-8970.83</v>
      </c>
      <c r="F154" s="51"/>
      <c r="G154" s="51">
        <v>-8970.83</v>
      </c>
    </row>
    <row r="155" spans="1:7" x14ac:dyDescent="0.25">
      <c r="A155" t="s">
        <v>46</v>
      </c>
      <c r="B155" t="s">
        <v>639</v>
      </c>
      <c r="C155" t="s">
        <v>1280</v>
      </c>
      <c r="D155" t="s">
        <v>1217</v>
      </c>
      <c r="E155" s="51">
        <v>149.16999999999999</v>
      </c>
      <c r="F155" s="51"/>
      <c r="G155" s="51">
        <v>149.16999999999999</v>
      </c>
    </row>
    <row r="156" spans="1:7" x14ac:dyDescent="0.25">
      <c r="A156" t="s">
        <v>46</v>
      </c>
      <c r="B156" t="s">
        <v>639</v>
      </c>
      <c r="C156" t="s">
        <v>1280</v>
      </c>
      <c r="D156" t="s">
        <v>1278</v>
      </c>
      <c r="E156" s="51">
        <v>-77.53</v>
      </c>
      <c r="F156" s="51"/>
      <c r="G156" s="51">
        <v>-77.53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FF"/>
  </sheetPr>
  <dimension ref="A1:G105"/>
  <sheetViews>
    <sheetView zoomScale="85" zoomScaleNormal="85" workbookViewId="0">
      <selection sqref="A1:G105"/>
    </sheetView>
  </sheetViews>
  <sheetFormatPr defaultRowHeight="15" x14ac:dyDescent="0.25"/>
  <cols>
    <col min="1" max="1" width="14.5703125" bestFit="1" customWidth="1"/>
    <col min="2" max="2" width="15.7109375" bestFit="1" customWidth="1"/>
    <col min="3" max="3" width="11.7109375" bestFit="1" customWidth="1"/>
    <col min="4" max="4" width="17.5703125" bestFit="1" customWidth="1"/>
    <col min="5" max="5" width="14" bestFit="1" customWidth="1"/>
    <col min="6" max="6" width="11.5703125" bestFit="1" customWidth="1"/>
    <col min="7" max="7" width="18.7109375" bestFit="1" customWidth="1"/>
  </cols>
  <sheetData>
    <row r="1" spans="1:7" x14ac:dyDescent="0.25">
      <c r="A1" s="54" t="s">
        <v>1580</v>
      </c>
      <c r="B1" s="54" t="s">
        <v>1198</v>
      </c>
      <c r="C1" s="54" t="s">
        <v>1205</v>
      </c>
      <c r="D1" s="54" t="s">
        <v>1581</v>
      </c>
      <c r="E1" s="54" t="s">
        <v>1585</v>
      </c>
      <c r="F1" s="54" t="s">
        <v>803</v>
      </c>
      <c r="G1" s="54" t="s">
        <v>1586</v>
      </c>
    </row>
    <row r="2" spans="1:7" x14ac:dyDescent="0.25">
      <c r="A2" s="10" t="s">
        <v>83</v>
      </c>
      <c r="B2" s="10" t="s">
        <v>9</v>
      </c>
      <c r="C2" t="s">
        <v>1330</v>
      </c>
      <c r="E2" s="51">
        <v>13715.56</v>
      </c>
      <c r="F2" s="51"/>
      <c r="G2" s="51">
        <v>13715.56</v>
      </c>
    </row>
    <row r="3" spans="1:7" x14ac:dyDescent="0.25">
      <c r="A3" s="10" t="s">
        <v>83</v>
      </c>
      <c r="B3" s="10" t="s">
        <v>9</v>
      </c>
      <c r="C3" t="s">
        <v>1449</v>
      </c>
      <c r="E3" s="51">
        <v>556.5</v>
      </c>
      <c r="F3" s="51"/>
      <c r="G3" s="51">
        <v>556.5</v>
      </c>
    </row>
    <row r="4" spans="1:7" x14ac:dyDescent="0.25">
      <c r="A4" s="10" t="s">
        <v>83</v>
      </c>
      <c r="B4" s="10" t="s">
        <v>9</v>
      </c>
      <c r="C4" t="s">
        <v>1452</v>
      </c>
      <c r="E4" s="51">
        <v>-556.5</v>
      </c>
      <c r="F4" s="51"/>
      <c r="G4" s="51">
        <v>-556.5</v>
      </c>
    </row>
    <row r="5" spans="1:7" x14ac:dyDescent="0.25">
      <c r="A5" s="10" t="s">
        <v>83</v>
      </c>
      <c r="B5" s="10" t="s">
        <v>9</v>
      </c>
      <c r="C5" t="s">
        <v>1535</v>
      </c>
      <c r="E5" s="51">
        <v>1197.03</v>
      </c>
      <c r="F5" s="51"/>
      <c r="G5" s="51">
        <v>1197.03</v>
      </c>
    </row>
    <row r="6" spans="1:7" x14ac:dyDescent="0.25">
      <c r="A6" s="10" t="s">
        <v>83</v>
      </c>
      <c r="B6" s="10" t="s">
        <v>9</v>
      </c>
      <c r="C6" t="s">
        <v>1340</v>
      </c>
      <c r="E6" s="51">
        <v>66.5</v>
      </c>
      <c r="F6" s="51"/>
      <c r="G6" s="51">
        <v>66.5</v>
      </c>
    </row>
    <row r="7" spans="1:7" x14ac:dyDescent="0.25">
      <c r="A7" s="10" t="s">
        <v>83</v>
      </c>
      <c r="B7" s="10" t="s">
        <v>9</v>
      </c>
      <c r="C7" t="s">
        <v>1343</v>
      </c>
      <c r="E7" s="51">
        <v>2787.41</v>
      </c>
      <c r="F7" s="51"/>
      <c r="G7" s="51">
        <v>2787.41</v>
      </c>
    </row>
    <row r="8" spans="1:7" x14ac:dyDescent="0.25">
      <c r="A8" s="10" t="s">
        <v>83</v>
      </c>
      <c r="B8" s="10" t="s">
        <v>9</v>
      </c>
      <c r="C8" t="s">
        <v>1018</v>
      </c>
      <c r="E8" s="51">
        <v>582</v>
      </c>
      <c r="F8" s="51"/>
      <c r="G8" s="51">
        <v>582</v>
      </c>
    </row>
    <row r="9" spans="1:7" x14ac:dyDescent="0.25">
      <c r="A9" s="10" t="s">
        <v>83</v>
      </c>
      <c r="B9" s="10" t="s">
        <v>9</v>
      </c>
      <c r="C9" t="s">
        <v>1541</v>
      </c>
      <c r="E9" s="51">
        <v>3140.66</v>
      </c>
      <c r="F9" s="51"/>
      <c r="G9" s="51">
        <v>3140.66</v>
      </c>
    </row>
    <row r="10" spans="1:7" x14ac:dyDescent="0.25">
      <c r="A10" s="10" t="s">
        <v>83</v>
      </c>
      <c r="B10" s="10" t="s">
        <v>9</v>
      </c>
      <c r="C10" t="s">
        <v>1544</v>
      </c>
      <c r="E10" s="51">
        <v>645.02</v>
      </c>
      <c r="F10" s="51"/>
      <c r="G10" s="51">
        <v>645.02</v>
      </c>
    </row>
    <row r="11" spans="1:7" x14ac:dyDescent="0.25">
      <c r="A11" s="10" t="s">
        <v>83</v>
      </c>
      <c r="B11" s="10" t="s">
        <v>9</v>
      </c>
      <c r="C11" t="s">
        <v>1346</v>
      </c>
      <c r="E11" s="51">
        <v>-2400</v>
      </c>
      <c r="F11" s="51"/>
      <c r="G11" s="51">
        <v>-2400</v>
      </c>
    </row>
    <row r="12" spans="1:7" x14ac:dyDescent="0.25">
      <c r="A12" s="10" t="s">
        <v>83</v>
      </c>
      <c r="B12" s="10" t="s">
        <v>9</v>
      </c>
      <c r="C12" t="s">
        <v>1547</v>
      </c>
      <c r="E12" s="51">
        <v>1012.42</v>
      </c>
      <c r="F12" s="51"/>
      <c r="G12" s="51">
        <v>1012.42</v>
      </c>
    </row>
    <row r="13" spans="1:7" x14ac:dyDescent="0.25">
      <c r="A13" s="10" t="s">
        <v>83</v>
      </c>
      <c r="B13" s="10" t="s">
        <v>9</v>
      </c>
      <c r="C13" t="s">
        <v>1550</v>
      </c>
      <c r="E13" s="51">
        <v>1421.7</v>
      </c>
      <c r="F13" s="51"/>
      <c r="G13" s="51">
        <v>1421.7</v>
      </c>
    </row>
    <row r="14" spans="1:7" x14ac:dyDescent="0.25">
      <c r="A14" s="10" t="s">
        <v>83</v>
      </c>
      <c r="B14" s="10" t="s">
        <v>9</v>
      </c>
      <c r="C14" t="s">
        <v>1554</v>
      </c>
      <c r="E14" s="51">
        <v>1937.12</v>
      </c>
      <c r="F14" s="51"/>
      <c r="G14" s="51">
        <v>1937.12</v>
      </c>
    </row>
    <row r="15" spans="1:7" x14ac:dyDescent="0.25">
      <c r="A15" s="10" t="s">
        <v>83</v>
      </c>
      <c r="B15" s="10" t="s">
        <v>9</v>
      </c>
      <c r="C15" t="s">
        <v>1350</v>
      </c>
      <c r="E15" s="51">
        <v>895.02</v>
      </c>
      <c r="F15" s="51"/>
      <c r="G15" s="51">
        <v>895.02</v>
      </c>
    </row>
    <row r="16" spans="1:7" x14ac:dyDescent="0.25">
      <c r="A16" s="10" t="s">
        <v>83</v>
      </c>
      <c r="B16" s="10" t="s">
        <v>9</v>
      </c>
      <c r="C16" t="s">
        <v>1354</v>
      </c>
      <c r="E16" s="51">
        <v>359.19</v>
      </c>
      <c r="F16" s="51"/>
      <c r="G16" s="51">
        <v>359.19</v>
      </c>
    </row>
    <row r="17" spans="1:7" x14ac:dyDescent="0.25">
      <c r="A17" s="10" t="s">
        <v>83</v>
      </c>
      <c r="B17" s="10" t="s">
        <v>9</v>
      </c>
      <c r="C17" t="s">
        <v>1357</v>
      </c>
      <c r="E17" s="51">
        <v>124</v>
      </c>
      <c r="F17" s="51"/>
      <c r="G17" s="51">
        <v>124</v>
      </c>
    </row>
    <row r="18" spans="1:7" x14ac:dyDescent="0.25">
      <c r="A18" s="10" t="s">
        <v>83</v>
      </c>
      <c r="B18" s="10" t="s">
        <v>9</v>
      </c>
      <c r="C18" t="s">
        <v>1557</v>
      </c>
      <c r="E18" s="51">
        <v>24472.6</v>
      </c>
      <c r="F18" s="51"/>
      <c r="G18" s="51">
        <v>24472.6</v>
      </c>
    </row>
    <row r="19" spans="1:7" x14ac:dyDescent="0.25">
      <c r="A19" s="10" t="s">
        <v>83</v>
      </c>
      <c r="B19" s="10" t="s">
        <v>9</v>
      </c>
      <c r="C19" t="s">
        <v>1560</v>
      </c>
      <c r="E19" s="51">
        <v>263</v>
      </c>
      <c r="F19" s="51"/>
      <c r="G19" s="51">
        <v>263</v>
      </c>
    </row>
    <row r="20" spans="1:7" x14ac:dyDescent="0.25">
      <c r="A20" s="10" t="s">
        <v>83</v>
      </c>
      <c r="B20" s="10" t="s">
        <v>9</v>
      </c>
      <c r="C20" t="s">
        <v>1360</v>
      </c>
      <c r="E20" s="51">
        <v>291.69</v>
      </c>
      <c r="F20" s="51"/>
      <c r="G20" s="51">
        <v>291.69</v>
      </c>
    </row>
    <row r="21" spans="1:7" x14ac:dyDescent="0.25">
      <c r="A21" s="10" t="s">
        <v>83</v>
      </c>
      <c r="B21" s="10" t="s">
        <v>9</v>
      </c>
      <c r="C21" t="s">
        <v>1374</v>
      </c>
      <c r="E21" s="51">
        <v>2542</v>
      </c>
      <c r="F21" s="51"/>
      <c r="G21" s="51">
        <v>2542</v>
      </c>
    </row>
    <row r="22" spans="1:7" x14ac:dyDescent="0.25">
      <c r="A22" s="10" t="s">
        <v>83</v>
      </c>
      <c r="B22" s="10" t="s">
        <v>9</v>
      </c>
      <c r="C22" t="s">
        <v>1380</v>
      </c>
      <c r="E22" s="51">
        <v>12.85</v>
      </c>
      <c r="F22" s="51"/>
      <c r="G22" s="51">
        <v>12.85</v>
      </c>
    </row>
    <row r="23" spans="1:7" x14ac:dyDescent="0.25">
      <c r="A23" s="10" t="s">
        <v>83</v>
      </c>
      <c r="B23" s="10" t="s">
        <v>9</v>
      </c>
      <c r="C23" t="s">
        <v>1383</v>
      </c>
      <c r="E23" s="51">
        <v>4838.17</v>
      </c>
      <c r="F23" s="51"/>
      <c r="G23" s="51">
        <v>4838.17</v>
      </c>
    </row>
    <row r="24" spans="1:7" x14ac:dyDescent="0.25">
      <c r="A24" s="10" t="s">
        <v>83</v>
      </c>
      <c r="B24" s="10" t="s">
        <v>9</v>
      </c>
      <c r="C24" t="s">
        <v>1386</v>
      </c>
      <c r="E24" s="51">
        <v>32.950000000000003</v>
      </c>
      <c r="F24" s="51"/>
      <c r="G24" s="51">
        <v>32.950000000000003</v>
      </c>
    </row>
    <row r="25" spans="1:7" x14ac:dyDescent="0.25">
      <c r="A25" s="10" t="s">
        <v>83</v>
      </c>
      <c r="B25" s="10" t="s">
        <v>9</v>
      </c>
      <c r="C25" t="s">
        <v>1461</v>
      </c>
      <c r="E25" s="51">
        <v>449.41</v>
      </c>
      <c r="F25" s="51"/>
      <c r="G25" s="51">
        <v>449.41</v>
      </c>
    </row>
    <row r="26" spans="1:7" x14ac:dyDescent="0.25">
      <c r="A26" s="10" t="s">
        <v>83</v>
      </c>
      <c r="B26" s="10" t="s">
        <v>9</v>
      </c>
      <c r="C26" t="s">
        <v>1389</v>
      </c>
      <c r="E26" s="51">
        <v>147.11000000000001</v>
      </c>
      <c r="F26" s="51"/>
      <c r="G26" s="51">
        <v>147.11000000000001</v>
      </c>
    </row>
    <row r="27" spans="1:7" x14ac:dyDescent="0.25">
      <c r="A27" s="10" t="s">
        <v>83</v>
      </c>
      <c r="B27" s="10" t="s">
        <v>9</v>
      </c>
      <c r="C27" t="s">
        <v>1393</v>
      </c>
      <c r="E27" s="51">
        <v>405.3</v>
      </c>
      <c r="F27" s="51"/>
      <c r="G27" s="51">
        <v>405.3</v>
      </c>
    </row>
    <row r="28" spans="1:7" x14ac:dyDescent="0.25">
      <c r="A28" s="10" t="s">
        <v>83</v>
      </c>
      <c r="B28" s="10" t="s">
        <v>9</v>
      </c>
      <c r="C28" t="s">
        <v>1396</v>
      </c>
      <c r="E28" s="51">
        <v>231</v>
      </c>
      <c r="F28" s="51"/>
      <c r="G28" s="51">
        <v>231</v>
      </c>
    </row>
    <row r="29" spans="1:7" x14ac:dyDescent="0.25">
      <c r="A29" s="10" t="s">
        <v>83</v>
      </c>
      <c r="B29" s="10" t="s">
        <v>9</v>
      </c>
      <c r="C29" t="s">
        <v>1402</v>
      </c>
      <c r="E29" s="51">
        <v>84.210000000000008</v>
      </c>
      <c r="F29" s="51"/>
      <c r="G29" s="51">
        <v>84.210000000000008</v>
      </c>
    </row>
    <row r="30" spans="1:7" x14ac:dyDescent="0.25">
      <c r="A30" s="10" t="s">
        <v>83</v>
      </c>
      <c r="B30" s="10" t="s">
        <v>9</v>
      </c>
      <c r="C30" t="s">
        <v>1405</v>
      </c>
      <c r="E30" s="51">
        <v>95.47</v>
      </c>
      <c r="F30" s="51"/>
      <c r="G30" s="51">
        <v>95.47</v>
      </c>
    </row>
    <row r="31" spans="1:7" x14ac:dyDescent="0.25">
      <c r="A31" s="10" t="s">
        <v>83</v>
      </c>
      <c r="B31" s="10" t="s">
        <v>9</v>
      </c>
      <c r="C31" t="s">
        <v>1563</v>
      </c>
      <c r="E31" s="51">
        <v>1323.85</v>
      </c>
      <c r="F31" s="51"/>
      <c r="G31" s="51">
        <v>1323.85</v>
      </c>
    </row>
    <row r="32" spans="1:7" x14ac:dyDescent="0.25">
      <c r="A32" s="10" t="s">
        <v>83</v>
      </c>
      <c r="B32" s="10" t="s">
        <v>9</v>
      </c>
      <c r="C32" t="s">
        <v>1421</v>
      </c>
      <c r="E32" s="51">
        <v>426.34</v>
      </c>
      <c r="F32" s="51"/>
      <c r="G32" s="51">
        <v>426.34</v>
      </c>
    </row>
    <row r="33" spans="1:7" x14ac:dyDescent="0.25">
      <c r="A33" s="10" t="s">
        <v>83</v>
      </c>
      <c r="B33" s="10" t="s">
        <v>9</v>
      </c>
      <c r="C33" t="s">
        <v>1524</v>
      </c>
      <c r="E33" s="51">
        <v>4270</v>
      </c>
      <c r="F33" s="51"/>
      <c r="G33" s="51">
        <v>4270</v>
      </c>
    </row>
    <row r="34" spans="1:7" x14ac:dyDescent="0.25">
      <c r="A34" s="10" t="s">
        <v>83</v>
      </c>
      <c r="B34" s="10" t="s">
        <v>9</v>
      </c>
      <c r="C34" t="s">
        <v>1527</v>
      </c>
      <c r="E34" s="51">
        <v>2328.4699999999998</v>
      </c>
      <c r="F34" s="51"/>
      <c r="G34" s="51">
        <v>2328.4699999999998</v>
      </c>
    </row>
    <row r="35" spans="1:7" x14ac:dyDescent="0.25">
      <c r="A35" s="10" t="s">
        <v>83</v>
      </c>
      <c r="B35" s="10" t="s">
        <v>9</v>
      </c>
      <c r="C35" t="s">
        <v>1566</v>
      </c>
      <c r="E35" s="51">
        <v>7863.2</v>
      </c>
      <c r="F35" s="51"/>
      <c r="G35" s="51">
        <v>7863.2</v>
      </c>
    </row>
    <row r="36" spans="1:7" x14ac:dyDescent="0.25">
      <c r="A36" s="10" t="s">
        <v>83</v>
      </c>
      <c r="B36" s="10" t="s">
        <v>9</v>
      </c>
      <c r="C36" t="s">
        <v>1531</v>
      </c>
      <c r="E36" s="51">
        <v>7.94</v>
      </c>
      <c r="F36" s="51"/>
      <c r="G36" s="51">
        <v>7.94</v>
      </c>
    </row>
    <row r="37" spans="1:7" x14ac:dyDescent="0.25">
      <c r="A37" s="10" t="s">
        <v>83</v>
      </c>
      <c r="B37" s="10" t="s">
        <v>9</v>
      </c>
      <c r="C37" t="s">
        <v>1569</v>
      </c>
      <c r="E37" s="51">
        <v>1465.39</v>
      </c>
      <c r="F37" s="51"/>
      <c r="G37" s="51">
        <v>1465.39</v>
      </c>
    </row>
    <row r="38" spans="1:7" x14ac:dyDescent="0.25">
      <c r="A38" s="10" t="s">
        <v>83</v>
      </c>
      <c r="B38" s="10" t="s">
        <v>9</v>
      </c>
      <c r="C38" t="s">
        <v>1435</v>
      </c>
      <c r="E38" s="51">
        <v>8814.2400000000016</v>
      </c>
      <c r="F38" s="51"/>
      <c r="G38" s="51">
        <v>8814.2400000000016</v>
      </c>
    </row>
    <row r="39" spans="1:7" x14ac:dyDescent="0.25">
      <c r="A39" s="10" t="s">
        <v>83</v>
      </c>
      <c r="B39" s="10" t="s">
        <v>9</v>
      </c>
      <c r="C39" t="s">
        <v>1572</v>
      </c>
      <c r="E39" s="51">
        <v>335</v>
      </c>
      <c r="F39" s="51"/>
      <c r="G39" s="51">
        <v>335</v>
      </c>
    </row>
    <row r="40" spans="1:7" x14ac:dyDescent="0.25">
      <c r="A40" s="10" t="s">
        <v>83</v>
      </c>
      <c r="B40" s="10" t="s">
        <v>9</v>
      </c>
      <c r="C40" t="s">
        <v>1441</v>
      </c>
      <c r="E40" s="51">
        <v>1237.3000000000002</v>
      </c>
      <c r="F40" s="51"/>
      <c r="G40" s="51">
        <v>1237.3000000000002</v>
      </c>
    </row>
    <row r="41" spans="1:7" x14ac:dyDescent="0.25">
      <c r="A41" s="10" t="s">
        <v>83</v>
      </c>
      <c r="B41" s="10" t="s">
        <v>9</v>
      </c>
      <c r="C41" t="s">
        <v>1575</v>
      </c>
      <c r="E41" s="51">
        <v>-1328</v>
      </c>
      <c r="F41" s="51"/>
      <c r="G41" s="51">
        <v>-1328</v>
      </c>
    </row>
    <row r="42" spans="1:7" x14ac:dyDescent="0.25">
      <c r="A42" s="10" t="s">
        <v>83</v>
      </c>
      <c r="B42" s="10" t="s">
        <v>8</v>
      </c>
      <c r="C42" t="s">
        <v>1579</v>
      </c>
      <c r="E42" s="51">
        <v>33921.910000000003</v>
      </c>
      <c r="F42" s="51"/>
      <c r="G42" s="51">
        <v>33921.910000000003</v>
      </c>
    </row>
    <row r="43" spans="1:7" x14ac:dyDescent="0.25">
      <c r="A43" s="10" t="s">
        <v>83</v>
      </c>
      <c r="B43" s="10" t="s">
        <v>10</v>
      </c>
      <c r="C43" t="s">
        <v>1330</v>
      </c>
      <c r="E43" s="51">
        <v>244318.7</v>
      </c>
      <c r="F43" s="51">
        <v>118468</v>
      </c>
      <c r="G43" s="51">
        <v>362786.7</v>
      </c>
    </row>
    <row r="44" spans="1:7" x14ac:dyDescent="0.25">
      <c r="A44" s="10" t="s">
        <v>83</v>
      </c>
      <c r="B44" s="10" t="s">
        <v>10</v>
      </c>
      <c r="C44" t="s">
        <v>1449</v>
      </c>
      <c r="E44" s="51">
        <v>1408.41</v>
      </c>
      <c r="F44" s="51">
        <v>911.4</v>
      </c>
      <c r="G44" s="51">
        <v>2319.81</v>
      </c>
    </row>
    <row r="45" spans="1:7" x14ac:dyDescent="0.25">
      <c r="A45" s="10" t="s">
        <v>83</v>
      </c>
      <c r="B45" s="10" t="s">
        <v>10</v>
      </c>
      <c r="C45" t="s">
        <v>1452</v>
      </c>
      <c r="E45" s="51">
        <v>-1408.41</v>
      </c>
      <c r="F45" s="51">
        <v>-911.4</v>
      </c>
      <c r="G45" s="51">
        <v>-2319.81</v>
      </c>
    </row>
    <row r="46" spans="1:7" x14ac:dyDescent="0.25">
      <c r="A46" s="10" t="s">
        <v>83</v>
      </c>
      <c r="B46" s="10" t="s">
        <v>10</v>
      </c>
      <c r="C46" t="s">
        <v>1333</v>
      </c>
      <c r="E46" s="51">
        <v>15173.2</v>
      </c>
      <c r="F46" s="51">
        <v>3474.68</v>
      </c>
      <c r="G46" s="51">
        <v>18647.88</v>
      </c>
    </row>
    <row r="47" spans="1:7" x14ac:dyDescent="0.25">
      <c r="A47" s="10" t="s">
        <v>83</v>
      </c>
      <c r="B47" s="10" t="s">
        <v>10</v>
      </c>
      <c r="C47" t="s">
        <v>1337</v>
      </c>
      <c r="E47" s="51">
        <v>-8881.66</v>
      </c>
      <c r="F47" s="51">
        <v>-2189.25</v>
      </c>
      <c r="G47" s="51">
        <v>-11070.91</v>
      </c>
    </row>
    <row r="48" spans="1:7" x14ac:dyDescent="0.25">
      <c r="A48" s="10" t="s">
        <v>83</v>
      </c>
      <c r="B48" s="10" t="s">
        <v>10</v>
      </c>
      <c r="C48" t="s">
        <v>1340</v>
      </c>
      <c r="E48" s="51">
        <v>1147</v>
      </c>
      <c r="F48" s="51">
        <v>794</v>
      </c>
      <c r="G48" s="51">
        <v>1941</v>
      </c>
    </row>
    <row r="49" spans="1:7" x14ac:dyDescent="0.25">
      <c r="A49" s="10" t="s">
        <v>83</v>
      </c>
      <c r="B49" s="10" t="s">
        <v>10</v>
      </c>
      <c r="C49" t="s">
        <v>1477</v>
      </c>
      <c r="E49" s="51">
        <v>1250</v>
      </c>
      <c r="F49" s="51"/>
      <c r="G49" s="51">
        <v>1250</v>
      </c>
    </row>
    <row r="50" spans="1:7" x14ac:dyDescent="0.25">
      <c r="A50" s="10" t="s">
        <v>83</v>
      </c>
      <c r="B50" s="10" t="s">
        <v>10</v>
      </c>
      <c r="C50" t="s">
        <v>1343</v>
      </c>
      <c r="E50" s="51">
        <v>1283.3400000000001</v>
      </c>
      <c r="F50" s="51">
        <v>450</v>
      </c>
      <c r="G50" s="51">
        <v>1733.3400000000001</v>
      </c>
    </row>
    <row r="51" spans="1:7" x14ac:dyDescent="0.25">
      <c r="A51" s="10" t="s">
        <v>83</v>
      </c>
      <c r="B51" s="10" t="s">
        <v>10</v>
      </c>
      <c r="C51" t="s">
        <v>1014</v>
      </c>
      <c r="E51" s="51"/>
      <c r="F51" s="51">
        <v>203</v>
      </c>
      <c r="G51" s="51">
        <v>203</v>
      </c>
    </row>
    <row r="52" spans="1:7" x14ac:dyDescent="0.25">
      <c r="A52" s="10" t="s">
        <v>83</v>
      </c>
      <c r="B52" s="10" t="s">
        <v>10</v>
      </c>
      <c r="C52" t="s">
        <v>1346</v>
      </c>
      <c r="E52" s="51">
        <v>1600</v>
      </c>
      <c r="F52" s="51">
        <v>800</v>
      </c>
      <c r="G52" s="51">
        <v>2400</v>
      </c>
    </row>
    <row r="53" spans="1:7" x14ac:dyDescent="0.25">
      <c r="A53" s="10" t="s">
        <v>83</v>
      </c>
      <c r="B53" s="10" t="s">
        <v>10</v>
      </c>
      <c r="C53" t="s">
        <v>1350</v>
      </c>
      <c r="E53" s="51">
        <v>1057.1500000000001</v>
      </c>
      <c r="F53" s="51">
        <v>445.49</v>
      </c>
      <c r="G53" s="51">
        <v>1502.64</v>
      </c>
    </row>
    <row r="54" spans="1:7" x14ac:dyDescent="0.25">
      <c r="A54" s="10" t="s">
        <v>83</v>
      </c>
      <c r="B54" s="10" t="s">
        <v>10</v>
      </c>
      <c r="C54" t="s">
        <v>1354</v>
      </c>
      <c r="E54" s="51">
        <v>2755.03</v>
      </c>
      <c r="F54" s="51">
        <v>1116.79</v>
      </c>
      <c r="G54" s="51">
        <v>3871.82</v>
      </c>
    </row>
    <row r="55" spans="1:7" x14ac:dyDescent="0.25">
      <c r="A55" s="10" t="s">
        <v>83</v>
      </c>
      <c r="B55" s="10" t="s">
        <v>10</v>
      </c>
      <c r="C55" t="s">
        <v>1357</v>
      </c>
      <c r="E55" s="51">
        <v>992</v>
      </c>
      <c r="F55" s="51">
        <v>496</v>
      </c>
      <c r="G55" s="51">
        <v>1488</v>
      </c>
    </row>
    <row r="56" spans="1:7" x14ac:dyDescent="0.25">
      <c r="A56" s="10" t="s">
        <v>83</v>
      </c>
      <c r="B56" s="10" t="s">
        <v>10</v>
      </c>
      <c r="C56" t="s">
        <v>1360</v>
      </c>
      <c r="E56" s="51">
        <v>9197.41</v>
      </c>
      <c r="F56" s="51">
        <v>3053.98</v>
      </c>
      <c r="G56" s="51">
        <v>12251.39</v>
      </c>
    </row>
    <row r="57" spans="1:7" x14ac:dyDescent="0.25">
      <c r="A57" s="10" t="s">
        <v>83</v>
      </c>
      <c r="B57" s="10" t="s">
        <v>10</v>
      </c>
      <c r="C57" t="s">
        <v>1364</v>
      </c>
      <c r="E57" s="51">
        <v>-46334.81</v>
      </c>
      <c r="F57" s="51">
        <v>-3575.9</v>
      </c>
      <c r="G57" s="51">
        <v>-49910.71</v>
      </c>
    </row>
    <row r="58" spans="1:7" x14ac:dyDescent="0.25">
      <c r="A58" s="10" t="s">
        <v>83</v>
      </c>
      <c r="B58" s="10" t="s">
        <v>10</v>
      </c>
      <c r="C58" t="s">
        <v>1367</v>
      </c>
      <c r="E58" s="51">
        <v>46700</v>
      </c>
      <c r="F58" s="51"/>
      <c r="G58" s="51">
        <v>46700</v>
      </c>
    </row>
    <row r="59" spans="1:7" x14ac:dyDescent="0.25">
      <c r="A59" s="10" t="s">
        <v>83</v>
      </c>
      <c r="B59" s="10" t="s">
        <v>10</v>
      </c>
      <c r="C59" t="s">
        <v>1371</v>
      </c>
      <c r="E59" s="51">
        <v>38584.180000000008</v>
      </c>
      <c r="F59" s="51">
        <v>1793.74</v>
      </c>
      <c r="G59" s="51">
        <v>40377.920000000006</v>
      </c>
    </row>
    <row r="60" spans="1:7" x14ac:dyDescent="0.25">
      <c r="A60" s="10" t="s">
        <v>83</v>
      </c>
      <c r="B60" s="10" t="s">
        <v>10</v>
      </c>
      <c r="C60" t="s">
        <v>1458</v>
      </c>
      <c r="E60" s="51"/>
      <c r="F60" s="51">
        <v>733.35</v>
      </c>
      <c r="G60" s="51">
        <v>733.35</v>
      </c>
    </row>
    <row r="61" spans="1:7" x14ac:dyDescent="0.25">
      <c r="A61" s="10" t="s">
        <v>83</v>
      </c>
      <c r="B61" s="10" t="s">
        <v>10</v>
      </c>
      <c r="C61" t="s">
        <v>1374</v>
      </c>
      <c r="E61" s="51">
        <v>73686.38</v>
      </c>
      <c r="F61" s="51">
        <v>25072.75</v>
      </c>
      <c r="G61" s="51">
        <v>98759.13</v>
      </c>
    </row>
    <row r="62" spans="1:7" x14ac:dyDescent="0.25">
      <c r="A62" s="10" t="s">
        <v>83</v>
      </c>
      <c r="B62" s="10" t="s">
        <v>10</v>
      </c>
      <c r="C62" t="s">
        <v>1377</v>
      </c>
      <c r="E62" s="51">
        <v>43931.040000000001</v>
      </c>
      <c r="F62" s="51">
        <v>10498.25</v>
      </c>
      <c r="G62" s="51">
        <v>54429.29</v>
      </c>
    </row>
    <row r="63" spans="1:7" x14ac:dyDescent="0.25">
      <c r="A63" s="10" t="s">
        <v>83</v>
      </c>
      <c r="B63" s="10" t="s">
        <v>10</v>
      </c>
      <c r="C63" t="s">
        <v>1380</v>
      </c>
      <c r="E63" s="51">
        <v>555.83999999999992</v>
      </c>
      <c r="F63" s="51">
        <v>-48.55</v>
      </c>
      <c r="G63" s="51">
        <v>507.28999999999991</v>
      </c>
    </row>
    <row r="64" spans="1:7" x14ac:dyDescent="0.25">
      <c r="A64" s="10" t="s">
        <v>83</v>
      </c>
      <c r="B64" s="10" t="s">
        <v>10</v>
      </c>
      <c r="C64" t="s">
        <v>1383</v>
      </c>
      <c r="E64" s="51">
        <v>36078.33</v>
      </c>
      <c r="F64" s="51">
        <v>10343.19</v>
      </c>
      <c r="G64" s="51">
        <v>46421.520000000004</v>
      </c>
    </row>
    <row r="65" spans="1:7" x14ac:dyDescent="0.25">
      <c r="A65" s="10" t="s">
        <v>83</v>
      </c>
      <c r="B65" s="10" t="s">
        <v>10</v>
      </c>
      <c r="C65" t="s">
        <v>1386</v>
      </c>
      <c r="E65" s="51">
        <v>1304.99</v>
      </c>
      <c r="F65" s="51">
        <v>308.88</v>
      </c>
      <c r="G65" s="51">
        <v>1613.87</v>
      </c>
    </row>
    <row r="66" spans="1:7" x14ac:dyDescent="0.25">
      <c r="A66" s="10" t="s">
        <v>83</v>
      </c>
      <c r="B66" s="10" t="s">
        <v>10</v>
      </c>
      <c r="C66" t="s">
        <v>1461</v>
      </c>
      <c r="E66" s="51"/>
      <c r="F66" s="51">
        <v>94</v>
      </c>
      <c r="G66" s="51">
        <v>94</v>
      </c>
    </row>
    <row r="67" spans="1:7" x14ac:dyDescent="0.25">
      <c r="A67" s="10" t="s">
        <v>83</v>
      </c>
      <c r="B67" s="10" t="s">
        <v>10</v>
      </c>
      <c r="C67" t="s">
        <v>1389</v>
      </c>
      <c r="E67" s="51">
        <v>6674.6500000000005</v>
      </c>
      <c r="F67" s="51">
        <v>3155.31</v>
      </c>
      <c r="G67" s="51">
        <v>9829.9600000000009</v>
      </c>
    </row>
    <row r="68" spans="1:7" x14ac:dyDescent="0.25">
      <c r="A68" s="10" t="s">
        <v>83</v>
      </c>
      <c r="B68" s="10" t="s">
        <v>10</v>
      </c>
      <c r="C68" t="s">
        <v>1393</v>
      </c>
      <c r="E68" s="51">
        <v>9377.5999999999985</v>
      </c>
      <c r="F68" s="51">
        <v>2945.08</v>
      </c>
      <c r="G68" s="51">
        <v>12322.679999999998</v>
      </c>
    </row>
    <row r="69" spans="1:7" x14ac:dyDescent="0.25">
      <c r="A69" s="10" t="s">
        <v>83</v>
      </c>
      <c r="B69" s="10" t="s">
        <v>10</v>
      </c>
      <c r="C69" t="s">
        <v>1396</v>
      </c>
      <c r="E69" s="51">
        <v>7501</v>
      </c>
      <c r="F69" s="51">
        <v>2598</v>
      </c>
      <c r="G69" s="51">
        <v>10099</v>
      </c>
    </row>
    <row r="70" spans="1:7" x14ac:dyDescent="0.25">
      <c r="A70" s="10" t="s">
        <v>83</v>
      </c>
      <c r="B70" s="10" t="s">
        <v>10</v>
      </c>
      <c r="C70" t="s">
        <v>1399</v>
      </c>
      <c r="E70" s="51">
        <v>4580.8799999999992</v>
      </c>
      <c r="F70" s="51">
        <v>454.51</v>
      </c>
      <c r="G70" s="51">
        <v>5035.3899999999994</v>
      </c>
    </row>
    <row r="71" spans="1:7" x14ac:dyDescent="0.25">
      <c r="A71" s="10" t="s">
        <v>83</v>
      </c>
      <c r="B71" s="10" t="s">
        <v>10</v>
      </c>
      <c r="C71" t="s">
        <v>1402</v>
      </c>
      <c r="E71" s="51">
        <v>593.23</v>
      </c>
      <c r="F71" s="51">
        <v>1111.26</v>
      </c>
      <c r="G71" s="51">
        <v>1704.49</v>
      </c>
    </row>
    <row r="72" spans="1:7" x14ac:dyDescent="0.25">
      <c r="A72" s="10" t="s">
        <v>83</v>
      </c>
      <c r="B72" s="10" t="s">
        <v>10</v>
      </c>
      <c r="C72" t="s">
        <v>1405</v>
      </c>
      <c r="E72" s="51">
        <v>4231.6499999999996</v>
      </c>
      <c r="F72" s="51">
        <v>1415.69</v>
      </c>
      <c r="G72" s="51">
        <v>5647.34</v>
      </c>
    </row>
    <row r="73" spans="1:7" x14ac:dyDescent="0.25">
      <c r="A73" s="10" t="s">
        <v>83</v>
      </c>
      <c r="B73" s="10" t="s">
        <v>10</v>
      </c>
      <c r="C73" t="s">
        <v>1408</v>
      </c>
      <c r="E73" s="51">
        <v>6948.1499999999987</v>
      </c>
      <c r="F73" s="51">
        <v>1516.8</v>
      </c>
      <c r="G73" s="51">
        <v>8464.9499999999989</v>
      </c>
    </row>
    <row r="74" spans="1:7" x14ac:dyDescent="0.25">
      <c r="A74" s="10" t="s">
        <v>83</v>
      </c>
      <c r="B74" s="10" t="s">
        <v>10</v>
      </c>
      <c r="C74" t="s">
        <v>1464</v>
      </c>
      <c r="E74" s="51">
        <v>110</v>
      </c>
      <c r="F74" s="51">
        <v>24</v>
      </c>
      <c r="G74" s="51">
        <v>134</v>
      </c>
    </row>
    <row r="75" spans="1:7" x14ac:dyDescent="0.25">
      <c r="A75" s="10" t="s">
        <v>83</v>
      </c>
      <c r="B75" s="10" t="s">
        <v>10</v>
      </c>
      <c r="C75" t="s">
        <v>1411</v>
      </c>
      <c r="E75" s="51">
        <v>921</v>
      </c>
      <c r="F75" s="51">
        <v>9</v>
      </c>
      <c r="G75" s="51">
        <v>930</v>
      </c>
    </row>
    <row r="76" spans="1:7" x14ac:dyDescent="0.25">
      <c r="A76" s="10" t="s">
        <v>83</v>
      </c>
      <c r="B76" s="10" t="s">
        <v>10</v>
      </c>
      <c r="C76" t="s">
        <v>1428</v>
      </c>
      <c r="E76" s="51">
        <v>128.04</v>
      </c>
      <c r="F76" s="51">
        <v>25.01</v>
      </c>
      <c r="G76" s="51">
        <v>153.04999999999998</v>
      </c>
    </row>
    <row r="77" spans="1:7" x14ac:dyDescent="0.25">
      <c r="A77" s="10" t="s">
        <v>83</v>
      </c>
      <c r="B77" s="10" t="s">
        <v>10</v>
      </c>
      <c r="C77" t="s">
        <v>1414</v>
      </c>
      <c r="E77" s="51">
        <v>15138.199999999999</v>
      </c>
      <c r="F77" s="51">
        <v>7898.68</v>
      </c>
      <c r="G77" s="51">
        <v>23036.879999999997</v>
      </c>
    </row>
    <row r="78" spans="1:7" x14ac:dyDescent="0.25">
      <c r="A78" s="10" t="s">
        <v>83</v>
      </c>
      <c r="B78" s="10" t="s">
        <v>10</v>
      </c>
      <c r="C78" t="s">
        <v>1418</v>
      </c>
      <c r="E78" s="51">
        <v>35819.519999999997</v>
      </c>
      <c r="F78" s="51">
        <v>15225.5</v>
      </c>
      <c r="G78" s="51">
        <v>51045.02</v>
      </c>
    </row>
    <row r="79" spans="1:7" x14ac:dyDescent="0.25">
      <c r="A79" s="10" t="s">
        <v>83</v>
      </c>
      <c r="B79" s="10" t="s">
        <v>10</v>
      </c>
      <c r="C79" t="s">
        <v>1421</v>
      </c>
      <c r="E79" s="51">
        <v>236.20000000000002</v>
      </c>
      <c r="F79" s="51">
        <v>120.53</v>
      </c>
      <c r="G79" s="51">
        <v>356.73</v>
      </c>
    </row>
    <row r="80" spans="1:7" x14ac:dyDescent="0.25">
      <c r="A80" s="10" t="s">
        <v>83</v>
      </c>
      <c r="B80" s="10" t="s">
        <v>10</v>
      </c>
      <c r="C80" t="s">
        <v>1431</v>
      </c>
      <c r="E80" s="51">
        <v>1049.07</v>
      </c>
      <c r="F80" s="51">
        <v>5651.27</v>
      </c>
      <c r="G80" s="51">
        <v>6700.34</v>
      </c>
    </row>
    <row r="81" spans="1:7" x14ac:dyDescent="0.25">
      <c r="A81" s="10" t="s">
        <v>83</v>
      </c>
      <c r="B81" s="10" t="s">
        <v>10</v>
      </c>
      <c r="C81" t="s">
        <v>1424</v>
      </c>
      <c r="E81" s="51">
        <v>585.25</v>
      </c>
      <c r="F81" s="51">
        <v>1661.31</v>
      </c>
      <c r="G81" s="51">
        <v>2246.56</v>
      </c>
    </row>
    <row r="82" spans="1:7" x14ac:dyDescent="0.25">
      <c r="A82" s="10" t="s">
        <v>83</v>
      </c>
      <c r="B82" s="10" t="s">
        <v>10</v>
      </c>
      <c r="C82" t="s">
        <v>1467</v>
      </c>
      <c r="E82" s="51"/>
      <c r="F82" s="51">
        <v>720.12</v>
      </c>
      <c r="G82" s="51">
        <v>720.12</v>
      </c>
    </row>
    <row r="83" spans="1:7" x14ac:dyDescent="0.25">
      <c r="A83" s="10" t="s">
        <v>83</v>
      </c>
      <c r="B83" s="10" t="s">
        <v>10</v>
      </c>
      <c r="C83" t="s">
        <v>1435</v>
      </c>
      <c r="E83" s="51">
        <v>663.26</v>
      </c>
      <c r="F83" s="51"/>
      <c r="G83" s="51">
        <v>663.26</v>
      </c>
    </row>
    <row r="84" spans="1:7" x14ac:dyDescent="0.25">
      <c r="A84" s="10" t="s">
        <v>83</v>
      </c>
      <c r="B84" s="10" t="s">
        <v>10</v>
      </c>
      <c r="C84" t="s">
        <v>1432</v>
      </c>
      <c r="E84" s="51">
        <v>880</v>
      </c>
      <c r="F84" s="51"/>
      <c r="G84" s="51">
        <v>880</v>
      </c>
    </row>
    <row r="85" spans="1:7" x14ac:dyDescent="0.25">
      <c r="A85" s="10" t="s">
        <v>83</v>
      </c>
      <c r="B85" s="10" t="s">
        <v>10</v>
      </c>
      <c r="C85" t="s">
        <v>1470</v>
      </c>
      <c r="E85" s="51"/>
      <c r="F85" s="51">
        <v>300</v>
      </c>
      <c r="G85" s="51">
        <v>300</v>
      </c>
    </row>
    <row r="86" spans="1:7" x14ac:dyDescent="0.25">
      <c r="A86" s="10" t="s">
        <v>83</v>
      </c>
      <c r="B86" s="10" t="s">
        <v>10</v>
      </c>
      <c r="C86" t="s">
        <v>1473</v>
      </c>
      <c r="E86" s="51"/>
      <c r="F86" s="51">
        <v>16385.25</v>
      </c>
      <c r="G86" s="51">
        <v>16385.25</v>
      </c>
    </row>
    <row r="87" spans="1:7" x14ac:dyDescent="0.25">
      <c r="A87" s="10" t="s">
        <v>83</v>
      </c>
      <c r="B87" s="10" t="s">
        <v>10</v>
      </c>
      <c r="C87" t="s">
        <v>1441</v>
      </c>
      <c r="E87" s="51">
        <v>1549.36</v>
      </c>
      <c r="F87" s="51">
        <v>3148</v>
      </c>
      <c r="G87" s="51">
        <v>4697.3599999999997</v>
      </c>
    </row>
    <row r="88" spans="1:7" x14ac:dyDescent="0.25">
      <c r="A88" s="10" t="s">
        <v>83</v>
      </c>
      <c r="B88" s="10" t="s">
        <v>10</v>
      </c>
      <c r="C88" t="s">
        <v>1444</v>
      </c>
      <c r="E88" s="51">
        <v>750</v>
      </c>
      <c r="F88" s="51">
        <v>2532</v>
      </c>
      <c r="G88" s="51">
        <v>3282</v>
      </c>
    </row>
    <row r="89" spans="1:7" x14ac:dyDescent="0.25">
      <c r="A89" s="10" t="s">
        <v>83</v>
      </c>
      <c r="B89" s="10" t="s">
        <v>127</v>
      </c>
      <c r="C89" t="s">
        <v>1486</v>
      </c>
      <c r="E89" s="51">
        <v>-2.42</v>
      </c>
      <c r="F89" s="51">
        <v>-1.07</v>
      </c>
      <c r="G89" s="51">
        <v>-3.49</v>
      </c>
    </row>
    <row r="90" spans="1:7" x14ac:dyDescent="0.25">
      <c r="A90" s="10" t="s">
        <v>83</v>
      </c>
      <c r="B90" s="10" t="s">
        <v>127</v>
      </c>
      <c r="C90" t="s">
        <v>1493</v>
      </c>
      <c r="E90" s="51">
        <v>644.70000000000027</v>
      </c>
      <c r="F90" s="51">
        <v>1294.99</v>
      </c>
      <c r="G90" s="51">
        <v>1939.6900000000003</v>
      </c>
    </row>
    <row r="91" spans="1:7" x14ac:dyDescent="0.25">
      <c r="A91" s="10" t="s">
        <v>83</v>
      </c>
      <c r="B91" s="10" t="s">
        <v>127</v>
      </c>
      <c r="C91" t="s">
        <v>1496</v>
      </c>
      <c r="E91" s="51">
        <v>1476.7799999999997</v>
      </c>
      <c r="F91" s="51">
        <v>-6616.88</v>
      </c>
      <c r="G91" s="51">
        <v>-5140.1000000000004</v>
      </c>
    </row>
    <row r="92" spans="1:7" x14ac:dyDescent="0.25">
      <c r="A92" s="10" t="s">
        <v>83</v>
      </c>
      <c r="B92" s="10" t="s">
        <v>129</v>
      </c>
      <c r="C92" t="s">
        <v>1499</v>
      </c>
      <c r="E92" s="51">
        <v>1073.92</v>
      </c>
      <c r="F92" s="51"/>
      <c r="G92" s="51">
        <v>1073.92</v>
      </c>
    </row>
    <row r="93" spans="1:7" x14ac:dyDescent="0.25">
      <c r="A93" s="10" t="s">
        <v>83</v>
      </c>
      <c r="B93" s="10" t="s">
        <v>129</v>
      </c>
      <c r="C93" t="s">
        <v>1502</v>
      </c>
      <c r="E93" s="51">
        <v>-0.39000000000000007</v>
      </c>
      <c r="F93" s="51">
        <v>0.39</v>
      </c>
      <c r="G93" s="51">
        <v>-5.5511151231257827E-17</v>
      </c>
    </row>
    <row r="94" spans="1:7" x14ac:dyDescent="0.25">
      <c r="A94" s="10" t="s">
        <v>83</v>
      </c>
      <c r="B94" s="10" t="s">
        <v>129</v>
      </c>
      <c r="C94" t="s">
        <v>1505</v>
      </c>
      <c r="E94" s="51">
        <v>22.859999999999985</v>
      </c>
      <c r="F94" s="51">
        <v>-62.47</v>
      </c>
      <c r="G94" s="51">
        <v>-39.610000000000014</v>
      </c>
    </row>
    <row r="95" spans="1:7" x14ac:dyDescent="0.25">
      <c r="A95" s="10" t="s">
        <v>83</v>
      </c>
      <c r="B95" s="10" t="s">
        <v>177</v>
      </c>
      <c r="C95" t="s">
        <v>1512</v>
      </c>
      <c r="E95" s="51">
        <v>-0.24</v>
      </c>
      <c r="F95" s="51">
        <v>-0.1</v>
      </c>
      <c r="G95" s="51">
        <v>-0.33999999999999997</v>
      </c>
    </row>
    <row r="96" spans="1:7" x14ac:dyDescent="0.25">
      <c r="A96" s="53" t="s">
        <v>83</v>
      </c>
      <c r="B96" s="10" t="s">
        <v>169</v>
      </c>
      <c r="C96" t="s">
        <v>1515</v>
      </c>
      <c r="E96" s="51">
        <v>696.69</v>
      </c>
      <c r="F96" s="51">
        <v>189.48999999999998</v>
      </c>
      <c r="G96" s="51">
        <v>886.18000000000006</v>
      </c>
    </row>
    <row r="97" spans="1:7" x14ac:dyDescent="0.25">
      <c r="A97" s="10" t="s">
        <v>1191</v>
      </c>
      <c r="B97" s="10" t="s">
        <v>54</v>
      </c>
      <c r="C97" t="s">
        <v>1479</v>
      </c>
      <c r="E97" s="51">
        <v>-7.9</v>
      </c>
      <c r="F97" s="51"/>
      <c r="G97" s="51">
        <v>-7.9</v>
      </c>
    </row>
    <row r="98" spans="1:7" x14ac:dyDescent="0.25">
      <c r="A98" s="10" t="s">
        <v>1191</v>
      </c>
      <c r="B98" s="10" t="s">
        <v>41</v>
      </c>
      <c r="C98" t="s">
        <v>41</v>
      </c>
      <c r="E98" s="51">
        <v>68069</v>
      </c>
      <c r="F98" s="51"/>
      <c r="G98" s="51">
        <v>68069</v>
      </c>
    </row>
    <row r="99" spans="1:7" x14ac:dyDescent="0.25">
      <c r="A99" s="10" t="s">
        <v>1191</v>
      </c>
      <c r="B99" s="10" t="s">
        <v>48</v>
      </c>
      <c r="C99" t="s">
        <v>1510</v>
      </c>
      <c r="D99" t="s">
        <v>1249</v>
      </c>
      <c r="E99" s="51">
        <v>-1343.21</v>
      </c>
      <c r="F99" s="51"/>
      <c r="G99" s="51">
        <v>-1343.21</v>
      </c>
    </row>
    <row r="100" spans="1:7" x14ac:dyDescent="0.25">
      <c r="A100" s="10" t="s">
        <v>1191</v>
      </c>
      <c r="B100" s="10" t="s">
        <v>143</v>
      </c>
      <c r="C100" t="s">
        <v>143</v>
      </c>
      <c r="D100" t="s">
        <v>1252</v>
      </c>
      <c r="E100" s="51">
        <v>-715474.5</v>
      </c>
      <c r="F100" s="51"/>
      <c r="G100" s="51">
        <v>-715474.5</v>
      </c>
    </row>
    <row r="101" spans="1:7" x14ac:dyDescent="0.25">
      <c r="A101" s="10" t="s">
        <v>1191</v>
      </c>
      <c r="B101" s="10" t="s">
        <v>143</v>
      </c>
      <c r="C101" t="s">
        <v>1518</v>
      </c>
      <c r="D101" t="s">
        <v>1252</v>
      </c>
      <c r="E101" s="51">
        <v>-538200</v>
      </c>
      <c r="F101" s="51"/>
      <c r="G101" s="51">
        <v>-538200</v>
      </c>
    </row>
    <row r="102" spans="1:7" x14ac:dyDescent="0.25">
      <c r="A102" s="10" t="s">
        <v>1191</v>
      </c>
      <c r="B102" s="10" t="s">
        <v>133</v>
      </c>
      <c r="C102" t="s">
        <v>133</v>
      </c>
      <c r="D102" t="s">
        <v>1278</v>
      </c>
      <c r="E102" s="51">
        <v>24466.959999999999</v>
      </c>
      <c r="F102" s="51"/>
      <c r="G102" s="51">
        <v>24466.959999999999</v>
      </c>
    </row>
    <row r="103" spans="1:7" x14ac:dyDescent="0.25">
      <c r="A103" s="10" t="s">
        <v>1191</v>
      </c>
      <c r="B103" s="10" t="s">
        <v>1321</v>
      </c>
      <c r="C103" t="s">
        <v>1319</v>
      </c>
      <c r="E103" s="51">
        <v>6201180.4299999997</v>
      </c>
      <c r="F103" s="51"/>
      <c r="G103" s="51">
        <v>6201180.4299999997</v>
      </c>
    </row>
    <row r="104" spans="1:7" x14ac:dyDescent="0.25">
      <c r="A104" s="53" t="s">
        <v>1191</v>
      </c>
      <c r="B104" s="10" t="s">
        <v>1321</v>
      </c>
      <c r="C104" t="s">
        <v>1323</v>
      </c>
      <c r="E104" s="51">
        <v>-7317915.46</v>
      </c>
      <c r="F104" s="51"/>
      <c r="G104" s="51">
        <v>-7317915.46</v>
      </c>
    </row>
    <row r="105" spans="1:7" x14ac:dyDescent="0.25">
      <c r="A105" s="53" t="s">
        <v>310</v>
      </c>
      <c r="B105" s="10" t="s">
        <v>62</v>
      </c>
      <c r="C105" t="s">
        <v>1483</v>
      </c>
      <c r="E105" s="51">
        <v>7.25</v>
      </c>
      <c r="F105" s="51"/>
      <c r="G105" s="51">
        <v>7.25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G108"/>
  <sheetViews>
    <sheetView zoomScale="85" zoomScaleNormal="85" workbookViewId="0">
      <selection activeCell="A4" sqref="A4:G108"/>
    </sheetView>
  </sheetViews>
  <sheetFormatPr defaultRowHeight="15" x14ac:dyDescent="0.25"/>
  <cols>
    <col min="1" max="1" width="14.5703125" bestFit="1" customWidth="1"/>
    <col min="2" max="2" width="15.7109375" customWidth="1"/>
    <col min="3" max="3" width="11.7109375" bestFit="1" customWidth="1"/>
    <col min="4" max="4" width="17.5703125" bestFit="1" customWidth="1"/>
    <col min="5" max="5" width="14" bestFit="1" customWidth="1"/>
    <col min="6" max="6" width="11.5703125" customWidth="1"/>
    <col min="7" max="7" width="16.42578125" bestFit="1" customWidth="1"/>
  </cols>
  <sheetData>
    <row r="1" spans="1:7" x14ac:dyDescent="0.25">
      <c r="A1" s="50" t="s">
        <v>1203</v>
      </c>
      <c r="B1" t="s">
        <v>1583</v>
      </c>
    </row>
    <row r="3" spans="1:7" x14ac:dyDescent="0.25">
      <c r="A3" s="50" t="s">
        <v>1584</v>
      </c>
      <c r="E3" s="50" t="s">
        <v>1582</v>
      </c>
    </row>
    <row r="4" spans="1:7" x14ac:dyDescent="0.25">
      <c r="A4" s="50" t="s">
        <v>1580</v>
      </c>
      <c r="B4" s="50" t="s">
        <v>1198</v>
      </c>
      <c r="C4" s="50" t="s">
        <v>1205</v>
      </c>
      <c r="D4" s="50" t="s">
        <v>1581</v>
      </c>
      <c r="E4" t="s">
        <v>1585</v>
      </c>
      <c r="F4" t="s">
        <v>803</v>
      </c>
      <c r="G4" t="s">
        <v>1586</v>
      </c>
    </row>
    <row r="5" spans="1:7" x14ac:dyDescent="0.25">
      <c r="A5" t="s">
        <v>83</v>
      </c>
      <c r="B5" t="s">
        <v>9</v>
      </c>
      <c r="C5" t="s">
        <v>1330</v>
      </c>
      <c r="E5" s="51">
        <v>13715.56</v>
      </c>
      <c r="F5" s="51"/>
      <c r="G5" s="51">
        <v>13715.56</v>
      </c>
    </row>
    <row r="6" spans="1:7" x14ac:dyDescent="0.25">
      <c r="A6" t="s">
        <v>83</v>
      </c>
      <c r="B6" t="s">
        <v>9</v>
      </c>
      <c r="C6" t="s">
        <v>1449</v>
      </c>
      <c r="E6" s="51">
        <v>556.5</v>
      </c>
      <c r="F6" s="51"/>
      <c r="G6" s="51">
        <v>556.5</v>
      </c>
    </row>
    <row r="7" spans="1:7" x14ac:dyDescent="0.25">
      <c r="A7" t="s">
        <v>83</v>
      </c>
      <c r="B7" t="s">
        <v>9</v>
      </c>
      <c r="C7" t="s">
        <v>1452</v>
      </c>
      <c r="E7" s="51">
        <v>-556.5</v>
      </c>
      <c r="F7" s="51"/>
      <c r="G7" s="51">
        <v>-556.5</v>
      </c>
    </row>
    <row r="8" spans="1:7" x14ac:dyDescent="0.25">
      <c r="A8" t="s">
        <v>83</v>
      </c>
      <c r="B8" t="s">
        <v>9</v>
      </c>
      <c r="C8" t="s">
        <v>1535</v>
      </c>
      <c r="E8" s="51">
        <v>1197.03</v>
      </c>
      <c r="F8" s="51"/>
      <c r="G8" s="51">
        <v>1197.03</v>
      </c>
    </row>
    <row r="9" spans="1:7" x14ac:dyDescent="0.25">
      <c r="A9" t="s">
        <v>83</v>
      </c>
      <c r="B9" t="s">
        <v>9</v>
      </c>
      <c r="C9" t="s">
        <v>1340</v>
      </c>
      <c r="E9" s="51">
        <v>66.5</v>
      </c>
      <c r="F9" s="51"/>
      <c r="G9" s="51">
        <v>66.5</v>
      </c>
    </row>
    <row r="10" spans="1:7" x14ac:dyDescent="0.25">
      <c r="A10" t="s">
        <v>83</v>
      </c>
      <c r="B10" t="s">
        <v>9</v>
      </c>
      <c r="C10" t="s">
        <v>1343</v>
      </c>
      <c r="E10" s="51">
        <v>2787.41</v>
      </c>
      <c r="F10" s="51"/>
      <c r="G10" s="51">
        <v>2787.41</v>
      </c>
    </row>
    <row r="11" spans="1:7" x14ac:dyDescent="0.25">
      <c r="A11" t="s">
        <v>83</v>
      </c>
      <c r="B11" t="s">
        <v>9</v>
      </c>
      <c r="C11" t="s">
        <v>1018</v>
      </c>
      <c r="E11" s="51">
        <v>582</v>
      </c>
      <c r="F11" s="51"/>
      <c r="G11" s="51">
        <v>582</v>
      </c>
    </row>
    <row r="12" spans="1:7" x14ac:dyDescent="0.25">
      <c r="A12" t="s">
        <v>83</v>
      </c>
      <c r="B12" t="s">
        <v>9</v>
      </c>
      <c r="C12" t="s">
        <v>1541</v>
      </c>
      <c r="E12" s="51">
        <v>3140.66</v>
      </c>
      <c r="F12" s="51"/>
      <c r="G12" s="51">
        <v>3140.66</v>
      </c>
    </row>
    <row r="13" spans="1:7" x14ac:dyDescent="0.25">
      <c r="A13" t="s">
        <v>83</v>
      </c>
      <c r="B13" t="s">
        <v>9</v>
      </c>
      <c r="C13" t="s">
        <v>1544</v>
      </c>
      <c r="E13" s="51">
        <v>645.02</v>
      </c>
      <c r="F13" s="51"/>
      <c r="G13" s="51">
        <v>645.02</v>
      </c>
    </row>
    <row r="14" spans="1:7" x14ac:dyDescent="0.25">
      <c r="A14" t="s">
        <v>83</v>
      </c>
      <c r="B14" t="s">
        <v>9</v>
      </c>
      <c r="C14" t="s">
        <v>1346</v>
      </c>
      <c r="E14" s="51">
        <v>-2400</v>
      </c>
      <c r="F14" s="51"/>
      <c r="G14" s="51">
        <v>-2400</v>
      </c>
    </row>
    <row r="15" spans="1:7" x14ac:dyDescent="0.25">
      <c r="A15" t="s">
        <v>83</v>
      </c>
      <c r="B15" t="s">
        <v>9</v>
      </c>
      <c r="C15" t="s">
        <v>1547</v>
      </c>
      <c r="E15" s="51">
        <v>1012.42</v>
      </c>
      <c r="F15" s="51"/>
      <c r="G15" s="51">
        <v>1012.42</v>
      </c>
    </row>
    <row r="16" spans="1:7" x14ac:dyDescent="0.25">
      <c r="A16" t="s">
        <v>83</v>
      </c>
      <c r="B16" t="s">
        <v>9</v>
      </c>
      <c r="C16" t="s">
        <v>1550</v>
      </c>
      <c r="E16" s="51">
        <v>1421.7</v>
      </c>
      <c r="F16" s="51"/>
      <c r="G16" s="51">
        <v>1421.7</v>
      </c>
    </row>
    <row r="17" spans="1:7" x14ac:dyDescent="0.25">
      <c r="A17" t="s">
        <v>83</v>
      </c>
      <c r="B17" t="s">
        <v>9</v>
      </c>
      <c r="C17" t="s">
        <v>1554</v>
      </c>
      <c r="E17" s="51">
        <v>1937.12</v>
      </c>
      <c r="F17" s="51"/>
      <c r="G17" s="51">
        <v>1937.12</v>
      </c>
    </row>
    <row r="18" spans="1:7" x14ac:dyDescent="0.25">
      <c r="A18" t="s">
        <v>83</v>
      </c>
      <c r="B18" t="s">
        <v>9</v>
      </c>
      <c r="C18" t="s">
        <v>1350</v>
      </c>
      <c r="E18" s="51">
        <v>895.02</v>
      </c>
      <c r="F18" s="51"/>
      <c r="G18" s="51">
        <v>895.02</v>
      </c>
    </row>
    <row r="19" spans="1:7" x14ac:dyDescent="0.25">
      <c r="A19" t="s">
        <v>83</v>
      </c>
      <c r="B19" t="s">
        <v>9</v>
      </c>
      <c r="C19" t="s">
        <v>1354</v>
      </c>
      <c r="E19" s="51">
        <v>359.19</v>
      </c>
      <c r="F19" s="51"/>
      <c r="G19" s="51">
        <v>359.19</v>
      </c>
    </row>
    <row r="20" spans="1:7" x14ac:dyDescent="0.25">
      <c r="A20" t="s">
        <v>83</v>
      </c>
      <c r="B20" t="s">
        <v>9</v>
      </c>
      <c r="C20" t="s">
        <v>1357</v>
      </c>
      <c r="E20" s="51">
        <v>124</v>
      </c>
      <c r="F20" s="51"/>
      <c r="G20" s="51">
        <v>124</v>
      </c>
    </row>
    <row r="21" spans="1:7" x14ac:dyDescent="0.25">
      <c r="A21" t="s">
        <v>83</v>
      </c>
      <c r="B21" t="s">
        <v>9</v>
      </c>
      <c r="C21" t="s">
        <v>1557</v>
      </c>
      <c r="E21" s="51">
        <v>24472.6</v>
      </c>
      <c r="F21" s="51"/>
      <c r="G21" s="51">
        <v>24472.6</v>
      </c>
    </row>
    <row r="22" spans="1:7" x14ac:dyDescent="0.25">
      <c r="A22" t="s">
        <v>83</v>
      </c>
      <c r="B22" t="s">
        <v>9</v>
      </c>
      <c r="C22" t="s">
        <v>1560</v>
      </c>
      <c r="E22" s="51">
        <v>263</v>
      </c>
      <c r="F22" s="51"/>
      <c r="G22" s="51">
        <v>263</v>
      </c>
    </row>
    <row r="23" spans="1:7" x14ac:dyDescent="0.25">
      <c r="A23" t="s">
        <v>83</v>
      </c>
      <c r="B23" t="s">
        <v>9</v>
      </c>
      <c r="C23" t="s">
        <v>1360</v>
      </c>
      <c r="E23" s="51">
        <v>291.69</v>
      </c>
      <c r="F23" s="51"/>
      <c r="G23" s="51">
        <v>291.69</v>
      </c>
    </row>
    <row r="24" spans="1:7" x14ac:dyDescent="0.25">
      <c r="A24" t="s">
        <v>83</v>
      </c>
      <c r="B24" t="s">
        <v>9</v>
      </c>
      <c r="C24" t="s">
        <v>1374</v>
      </c>
      <c r="E24" s="51">
        <v>2542</v>
      </c>
      <c r="F24" s="51"/>
      <c r="G24" s="51">
        <v>2542</v>
      </c>
    </row>
    <row r="25" spans="1:7" x14ac:dyDescent="0.25">
      <c r="A25" t="s">
        <v>83</v>
      </c>
      <c r="B25" t="s">
        <v>9</v>
      </c>
      <c r="C25" t="s">
        <v>1380</v>
      </c>
      <c r="E25" s="51">
        <v>12.85</v>
      </c>
      <c r="F25" s="51"/>
      <c r="G25" s="51">
        <v>12.85</v>
      </c>
    </row>
    <row r="26" spans="1:7" x14ac:dyDescent="0.25">
      <c r="A26" t="s">
        <v>83</v>
      </c>
      <c r="B26" t="s">
        <v>9</v>
      </c>
      <c r="C26" t="s">
        <v>1383</v>
      </c>
      <c r="E26" s="51">
        <v>4838.17</v>
      </c>
      <c r="F26" s="51"/>
      <c r="G26" s="51">
        <v>4838.17</v>
      </c>
    </row>
    <row r="27" spans="1:7" x14ac:dyDescent="0.25">
      <c r="A27" t="s">
        <v>83</v>
      </c>
      <c r="B27" t="s">
        <v>9</v>
      </c>
      <c r="C27" t="s">
        <v>1386</v>
      </c>
      <c r="E27" s="51">
        <v>32.950000000000003</v>
      </c>
      <c r="F27" s="51"/>
      <c r="G27" s="51">
        <v>32.950000000000003</v>
      </c>
    </row>
    <row r="28" spans="1:7" x14ac:dyDescent="0.25">
      <c r="A28" t="s">
        <v>83</v>
      </c>
      <c r="B28" t="s">
        <v>9</v>
      </c>
      <c r="C28" t="s">
        <v>1461</v>
      </c>
      <c r="E28" s="51">
        <v>449.41</v>
      </c>
      <c r="F28" s="51"/>
      <c r="G28" s="51">
        <v>449.41</v>
      </c>
    </row>
    <row r="29" spans="1:7" x14ac:dyDescent="0.25">
      <c r="A29" t="s">
        <v>83</v>
      </c>
      <c r="B29" t="s">
        <v>9</v>
      </c>
      <c r="C29" t="s">
        <v>1389</v>
      </c>
      <c r="E29" s="51">
        <v>147.11000000000001</v>
      </c>
      <c r="F29" s="51"/>
      <c r="G29" s="51">
        <v>147.11000000000001</v>
      </c>
    </row>
    <row r="30" spans="1:7" x14ac:dyDescent="0.25">
      <c r="A30" t="s">
        <v>83</v>
      </c>
      <c r="B30" t="s">
        <v>9</v>
      </c>
      <c r="C30" t="s">
        <v>1393</v>
      </c>
      <c r="E30" s="51">
        <v>405.3</v>
      </c>
      <c r="F30" s="51"/>
      <c r="G30" s="51">
        <v>405.3</v>
      </c>
    </row>
    <row r="31" spans="1:7" x14ac:dyDescent="0.25">
      <c r="A31" t="s">
        <v>83</v>
      </c>
      <c r="B31" t="s">
        <v>9</v>
      </c>
      <c r="C31" t="s">
        <v>1396</v>
      </c>
      <c r="E31" s="51">
        <v>231</v>
      </c>
      <c r="F31" s="51"/>
      <c r="G31" s="51">
        <v>231</v>
      </c>
    </row>
    <row r="32" spans="1:7" x14ac:dyDescent="0.25">
      <c r="A32" t="s">
        <v>83</v>
      </c>
      <c r="B32" t="s">
        <v>9</v>
      </c>
      <c r="C32" t="s">
        <v>1402</v>
      </c>
      <c r="E32" s="51">
        <v>84.210000000000008</v>
      </c>
      <c r="F32" s="51"/>
      <c r="G32" s="51">
        <v>84.210000000000008</v>
      </c>
    </row>
    <row r="33" spans="1:7" x14ac:dyDescent="0.25">
      <c r="A33" t="s">
        <v>83</v>
      </c>
      <c r="B33" t="s">
        <v>9</v>
      </c>
      <c r="C33" t="s">
        <v>1405</v>
      </c>
      <c r="E33" s="51">
        <v>95.47</v>
      </c>
      <c r="F33" s="51"/>
      <c r="G33" s="51">
        <v>95.47</v>
      </c>
    </row>
    <row r="34" spans="1:7" x14ac:dyDescent="0.25">
      <c r="A34" t="s">
        <v>83</v>
      </c>
      <c r="B34" t="s">
        <v>9</v>
      </c>
      <c r="C34" t="s">
        <v>1563</v>
      </c>
      <c r="E34" s="51">
        <v>1323.85</v>
      </c>
      <c r="F34" s="51"/>
      <c r="G34" s="51">
        <v>1323.85</v>
      </c>
    </row>
    <row r="35" spans="1:7" x14ac:dyDescent="0.25">
      <c r="A35" t="s">
        <v>83</v>
      </c>
      <c r="B35" t="s">
        <v>9</v>
      </c>
      <c r="C35" t="s">
        <v>1421</v>
      </c>
      <c r="E35" s="51">
        <v>426.34</v>
      </c>
      <c r="F35" s="51"/>
      <c r="G35" s="51">
        <v>426.34</v>
      </c>
    </row>
    <row r="36" spans="1:7" x14ac:dyDescent="0.25">
      <c r="A36" t="s">
        <v>83</v>
      </c>
      <c r="B36" t="s">
        <v>9</v>
      </c>
      <c r="C36" t="s">
        <v>1524</v>
      </c>
      <c r="E36" s="51">
        <v>4270</v>
      </c>
      <c r="F36" s="51"/>
      <c r="G36" s="51">
        <v>4270</v>
      </c>
    </row>
    <row r="37" spans="1:7" x14ac:dyDescent="0.25">
      <c r="A37" t="s">
        <v>83</v>
      </c>
      <c r="B37" t="s">
        <v>9</v>
      </c>
      <c r="C37" t="s">
        <v>1527</v>
      </c>
      <c r="E37" s="51">
        <v>2328.4699999999998</v>
      </c>
      <c r="F37" s="51"/>
      <c r="G37" s="51">
        <v>2328.4699999999998</v>
      </c>
    </row>
    <row r="38" spans="1:7" x14ac:dyDescent="0.25">
      <c r="A38" t="s">
        <v>83</v>
      </c>
      <c r="B38" t="s">
        <v>9</v>
      </c>
      <c r="C38" t="s">
        <v>1566</v>
      </c>
      <c r="E38" s="51">
        <v>7863.2</v>
      </c>
      <c r="F38" s="51"/>
      <c r="G38" s="51">
        <v>7863.2</v>
      </c>
    </row>
    <row r="39" spans="1:7" x14ac:dyDescent="0.25">
      <c r="A39" t="s">
        <v>83</v>
      </c>
      <c r="B39" t="s">
        <v>9</v>
      </c>
      <c r="C39" t="s">
        <v>1531</v>
      </c>
      <c r="E39" s="51">
        <v>7.94</v>
      </c>
      <c r="F39" s="51"/>
      <c r="G39" s="51">
        <v>7.94</v>
      </c>
    </row>
    <row r="40" spans="1:7" x14ac:dyDescent="0.25">
      <c r="A40" t="s">
        <v>83</v>
      </c>
      <c r="B40" t="s">
        <v>9</v>
      </c>
      <c r="C40" t="s">
        <v>1569</v>
      </c>
      <c r="E40" s="51">
        <v>1465.39</v>
      </c>
      <c r="F40" s="51"/>
      <c r="G40" s="51">
        <v>1465.39</v>
      </c>
    </row>
    <row r="41" spans="1:7" x14ac:dyDescent="0.25">
      <c r="A41" t="s">
        <v>83</v>
      </c>
      <c r="B41" t="s">
        <v>9</v>
      </c>
      <c r="C41" t="s">
        <v>1435</v>
      </c>
      <c r="E41" s="51">
        <v>8814.2400000000016</v>
      </c>
      <c r="F41" s="51"/>
      <c r="G41" s="51">
        <v>8814.2400000000016</v>
      </c>
    </row>
    <row r="42" spans="1:7" x14ac:dyDescent="0.25">
      <c r="A42" t="s">
        <v>83</v>
      </c>
      <c r="B42" t="s">
        <v>9</v>
      </c>
      <c r="C42" t="s">
        <v>1572</v>
      </c>
      <c r="E42" s="51">
        <v>335</v>
      </c>
      <c r="F42" s="51"/>
      <c r="G42" s="51">
        <v>335</v>
      </c>
    </row>
    <row r="43" spans="1:7" x14ac:dyDescent="0.25">
      <c r="A43" t="s">
        <v>83</v>
      </c>
      <c r="B43" t="s">
        <v>9</v>
      </c>
      <c r="C43" t="s">
        <v>1441</v>
      </c>
      <c r="E43" s="51">
        <v>1237.3000000000002</v>
      </c>
      <c r="F43" s="51"/>
      <c r="G43" s="51">
        <v>1237.3000000000002</v>
      </c>
    </row>
    <row r="44" spans="1:7" x14ac:dyDescent="0.25">
      <c r="A44" t="s">
        <v>83</v>
      </c>
      <c r="B44" t="s">
        <v>9</v>
      </c>
      <c r="C44" t="s">
        <v>1575</v>
      </c>
      <c r="E44" s="51">
        <v>-1328</v>
      </c>
      <c r="F44" s="51"/>
      <c r="G44" s="51">
        <v>-1328</v>
      </c>
    </row>
    <row r="45" spans="1:7" x14ac:dyDescent="0.25">
      <c r="A45" t="s">
        <v>83</v>
      </c>
      <c r="B45" t="s">
        <v>8</v>
      </c>
      <c r="C45" t="s">
        <v>1579</v>
      </c>
      <c r="E45" s="51">
        <v>33921.910000000003</v>
      </c>
      <c r="F45" s="51"/>
      <c r="G45" s="51">
        <v>33921.910000000003</v>
      </c>
    </row>
    <row r="46" spans="1:7" x14ac:dyDescent="0.25">
      <c r="A46" t="s">
        <v>83</v>
      </c>
      <c r="B46" t="s">
        <v>10</v>
      </c>
      <c r="C46" t="s">
        <v>1330</v>
      </c>
      <c r="E46" s="51">
        <v>244318.7</v>
      </c>
      <c r="F46" s="51">
        <v>118468</v>
      </c>
      <c r="G46" s="51">
        <v>362786.7</v>
      </c>
    </row>
    <row r="47" spans="1:7" x14ac:dyDescent="0.25">
      <c r="A47" t="s">
        <v>83</v>
      </c>
      <c r="B47" t="s">
        <v>10</v>
      </c>
      <c r="C47" t="s">
        <v>1449</v>
      </c>
      <c r="E47" s="51">
        <v>1408.41</v>
      </c>
      <c r="F47" s="51">
        <v>911.4</v>
      </c>
      <c r="G47" s="51">
        <v>2319.81</v>
      </c>
    </row>
    <row r="48" spans="1:7" x14ac:dyDescent="0.25">
      <c r="A48" t="s">
        <v>83</v>
      </c>
      <c r="B48" t="s">
        <v>10</v>
      </c>
      <c r="C48" t="s">
        <v>1452</v>
      </c>
      <c r="E48" s="51">
        <v>-1408.41</v>
      </c>
      <c r="F48" s="51">
        <v>-911.4</v>
      </c>
      <c r="G48" s="51">
        <v>-2319.81</v>
      </c>
    </row>
    <row r="49" spans="1:7" x14ac:dyDescent="0.25">
      <c r="A49" t="s">
        <v>83</v>
      </c>
      <c r="B49" t="s">
        <v>10</v>
      </c>
      <c r="C49" t="s">
        <v>1333</v>
      </c>
      <c r="E49" s="51">
        <v>15173.2</v>
      </c>
      <c r="F49" s="51">
        <v>3474.68</v>
      </c>
      <c r="G49" s="51">
        <v>18647.88</v>
      </c>
    </row>
    <row r="50" spans="1:7" x14ac:dyDescent="0.25">
      <c r="A50" t="s">
        <v>83</v>
      </c>
      <c r="B50" t="s">
        <v>10</v>
      </c>
      <c r="C50" t="s">
        <v>1337</v>
      </c>
      <c r="E50" s="51">
        <v>-8881.66</v>
      </c>
      <c r="F50" s="51">
        <v>-2189.25</v>
      </c>
      <c r="G50" s="51">
        <v>-11070.91</v>
      </c>
    </row>
    <row r="51" spans="1:7" x14ac:dyDescent="0.25">
      <c r="A51" t="s">
        <v>83</v>
      </c>
      <c r="B51" t="s">
        <v>10</v>
      </c>
      <c r="C51" t="s">
        <v>1340</v>
      </c>
      <c r="E51" s="51">
        <v>1147</v>
      </c>
      <c r="F51" s="51">
        <v>794</v>
      </c>
      <c r="G51" s="51">
        <v>1941</v>
      </c>
    </row>
    <row r="52" spans="1:7" x14ac:dyDescent="0.25">
      <c r="A52" t="s">
        <v>83</v>
      </c>
      <c r="B52" t="s">
        <v>10</v>
      </c>
      <c r="C52" t="s">
        <v>1477</v>
      </c>
      <c r="E52" s="51">
        <v>1250</v>
      </c>
      <c r="F52" s="51"/>
      <c r="G52" s="51">
        <v>1250</v>
      </c>
    </row>
    <row r="53" spans="1:7" x14ac:dyDescent="0.25">
      <c r="A53" t="s">
        <v>83</v>
      </c>
      <c r="B53" t="s">
        <v>10</v>
      </c>
      <c r="C53" t="s">
        <v>1343</v>
      </c>
      <c r="E53" s="51">
        <v>1283.3400000000001</v>
      </c>
      <c r="F53" s="51">
        <v>450</v>
      </c>
      <c r="G53" s="51">
        <v>1733.3400000000001</v>
      </c>
    </row>
    <row r="54" spans="1:7" x14ac:dyDescent="0.25">
      <c r="A54" t="s">
        <v>83</v>
      </c>
      <c r="B54" t="s">
        <v>10</v>
      </c>
      <c r="C54" t="s">
        <v>1014</v>
      </c>
      <c r="E54" s="51"/>
      <c r="F54" s="51">
        <v>203</v>
      </c>
      <c r="G54" s="51">
        <v>203</v>
      </c>
    </row>
    <row r="55" spans="1:7" x14ac:dyDescent="0.25">
      <c r="A55" t="s">
        <v>83</v>
      </c>
      <c r="B55" t="s">
        <v>10</v>
      </c>
      <c r="C55" t="s">
        <v>1346</v>
      </c>
      <c r="E55" s="51">
        <v>1600</v>
      </c>
      <c r="F55" s="51">
        <v>800</v>
      </c>
      <c r="G55" s="51">
        <v>2400</v>
      </c>
    </row>
    <row r="56" spans="1:7" x14ac:dyDescent="0.25">
      <c r="A56" t="s">
        <v>83</v>
      </c>
      <c r="B56" t="s">
        <v>10</v>
      </c>
      <c r="C56" t="s">
        <v>1350</v>
      </c>
      <c r="E56" s="51">
        <v>1057.1500000000001</v>
      </c>
      <c r="F56" s="51">
        <v>445.49</v>
      </c>
      <c r="G56" s="51">
        <v>1502.64</v>
      </c>
    </row>
    <row r="57" spans="1:7" x14ac:dyDescent="0.25">
      <c r="A57" t="s">
        <v>83</v>
      </c>
      <c r="B57" t="s">
        <v>10</v>
      </c>
      <c r="C57" t="s">
        <v>1354</v>
      </c>
      <c r="E57" s="51">
        <v>2755.03</v>
      </c>
      <c r="F57" s="51">
        <v>1116.79</v>
      </c>
      <c r="G57" s="51">
        <v>3871.82</v>
      </c>
    </row>
    <row r="58" spans="1:7" x14ac:dyDescent="0.25">
      <c r="A58" t="s">
        <v>83</v>
      </c>
      <c r="B58" t="s">
        <v>10</v>
      </c>
      <c r="C58" t="s">
        <v>1357</v>
      </c>
      <c r="E58" s="51">
        <v>992</v>
      </c>
      <c r="F58" s="51">
        <v>496</v>
      </c>
      <c r="G58" s="51">
        <v>1488</v>
      </c>
    </row>
    <row r="59" spans="1:7" x14ac:dyDescent="0.25">
      <c r="A59" t="s">
        <v>83</v>
      </c>
      <c r="B59" t="s">
        <v>10</v>
      </c>
      <c r="C59" t="s">
        <v>1360</v>
      </c>
      <c r="E59" s="51">
        <v>9197.41</v>
      </c>
      <c r="F59" s="51">
        <v>3053.98</v>
      </c>
      <c r="G59" s="51">
        <v>12251.39</v>
      </c>
    </row>
    <row r="60" spans="1:7" x14ac:dyDescent="0.25">
      <c r="A60" t="s">
        <v>83</v>
      </c>
      <c r="B60" t="s">
        <v>10</v>
      </c>
      <c r="C60" t="s">
        <v>1364</v>
      </c>
      <c r="E60" s="51">
        <v>-46334.81</v>
      </c>
      <c r="F60" s="51">
        <v>-3575.9</v>
      </c>
      <c r="G60" s="51">
        <v>-49910.71</v>
      </c>
    </row>
    <row r="61" spans="1:7" x14ac:dyDescent="0.25">
      <c r="A61" t="s">
        <v>83</v>
      </c>
      <c r="B61" t="s">
        <v>10</v>
      </c>
      <c r="C61" t="s">
        <v>1367</v>
      </c>
      <c r="E61" s="51">
        <v>46700</v>
      </c>
      <c r="F61" s="51"/>
      <c r="G61" s="51">
        <v>46700</v>
      </c>
    </row>
    <row r="62" spans="1:7" x14ac:dyDescent="0.25">
      <c r="A62" t="s">
        <v>83</v>
      </c>
      <c r="B62" t="s">
        <v>10</v>
      </c>
      <c r="C62" t="s">
        <v>1371</v>
      </c>
      <c r="E62" s="51">
        <v>38584.180000000008</v>
      </c>
      <c r="F62" s="51">
        <v>1793.74</v>
      </c>
      <c r="G62" s="51">
        <v>40377.920000000006</v>
      </c>
    </row>
    <row r="63" spans="1:7" x14ac:dyDescent="0.25">
      <c r="A63" t="s">
        <v>83</v>
      </c>
      <c r="B63" t="s">
        <v>10</v>
      </c>
      <c r="C63" t="s">
        <v>1458</v>
      </c>
      <c r="E63" s="51"/>
      <c r="F63" s="51">
        <v>733.35</v>
      </c>
      <c r="G63" s="51">
        <v>733.35</v>
      </c>
    </row>
    <row r="64" spans="1:7" x14ac:dyDescent="0.25">
      <c r="A64" t="s">
        <v>83</v>
      </c>
      <c r="B64" t="s">
        <v>10</v>
      </c>
      <c r="C64" t="s">
        <v>1374</v>
      </c>
      <c r="E64" s="51">
        <v>73686.38</v>
      </c>
      <c r="F64" s="51">
        <v>25072.75</v>
      </c>
      <c r="G64" s="51">
        <v>98759.13</v>
      </c>
    </row>
    <row r="65" spans="1:7" x14ac:dyDescent="0.25">
      <c r="A65" t="s">
        <v>83</v>
      </c>
      <c r="B65" t="s">
        <v>10</v>
      </c>
      <c r="C65" t="s">
        <v>1377</v>
      </c>
      <c r="E65" s="51">
        <v>43931.040000000001</v>
      </c>
      <c r="F65" s="51">
        <v>10498.25</v>
      </c>
      <c r="G65" s="51">
        <v>54429.29</v>
      </c>
    </row>
    <row r="66" spans="1:7" x14ac:dyDescent="0.25">
      <c r="A66" t="s">
        <v>83</v>
      </c>
      <c r="B66" t="s">
        <v>10</v>
      </c>
      <c r="C66" t="s">
        <v>1380</v>
      </c>
      <c r="E66" s="51">
        <v>555.83999999999992</v>
      </c>
      <c r="F66" s="51">
        <v>-48.55</v>
      </c>
      <c r="G66" s="51">
        <v>507.28999999999991</v>
      </c>
    </row>
    <row r="67" spans="1:7" x14ac:dyDescent="0.25">
      <c r="A67" t="s">
        <v>83</v>
      </c>
      <c r="B67" t="s">
        <v>10</v>
      </c>
      <c r="C67" t="s">
        <v>1383</v>
      </c>
      <c r="E67" s="51">
        <v>36078.33</v>
      </c>
      <c r="F67" s="51">
        <v>10343.19</v>
      </c>
      <c r="G67" s="51">
        <v>46421.520000000004</v>
      </c>
    </row>
    <row r="68" spans="1:7" x14ac:dyDescent="0.25">
      <c r="A68" t="s">
        <v>83</v>
      </c>
      <c r="B68" t="s">
        <v>10</v>
      </c>
      <c r="C68" t="s">
        <v>1386</v>
      </c>
      <c r="E68" s="51">
        <v>1304.99</v>
      </c>
      <c r="F68" s="51">
        <v>308.88</v>
      </c>
      <c r="G68" s="51">
        <v>1613.87</v>
      </c>
    </row>
    <row r="69" spans="1:7" x14ac:dyDescent="0.25">
      <c r="A69" t="s">
        <v>83</v>
      </c>
      <c r="B69" t="s">
        <v>10</v>
      </c>
      <c r="C69" t="s">
        <v>1461</v>
      </c>
      <c r="E69" s="51"/>
      <c r="F69" s="51">
        <v>94</v>
      </c>
      <c r="G69" s="51">
        <v>94</v>
      </c>
    </row>
    <row r="70" spans="1:7" x14ac:dyDescent="0.25">
      <c r="A70" t="s">
        <v>83</v>
      </c>
      <c r="B70" t="s">
        <v>10</v>
      </c>
      <c r="C70" t="s">
        <v>1389</v>
      </c>
      <c r="E70" s="51">
        <v>6674.6500000000005</v>
      </c>
      <c r="F70" s="51">
        <v>3155.31</v>
      </c>
      <c r="G70" s="51">
        <v>9829.9600000000009</v>
      </c>
    </row>
    <row r="71" spans="1:7" x14ac:dyDescent="0.25">
      <c r="A71" t="s">
        <v>83</v>
      </c>
      <c r="B71" t="s">
        <v>10</v>
      </c>
      <c r="C71" t="s">
        <v>1393</v>
      </c>
      <c r="E71" s="51">
        <v>9377.5999999999985</v>
      </c>
      <c r="F71" s="51">
        <v>2945.08</v>
      </c>
      <c r="G71" s="51">
        <v>12322.679999999998</v>
      </c>
    </row>
    <row r="72" spans="1:7" x14ac:dyDescent="0.25">
      <c r="A72" t="s">
        <v>83</v>
      </c>
      <c r="B72" t="s">
        <v>10</v>
      </c>
      <c r="C72" t="s">
        <v>1396</v>
      </c>
      <c r="E72" s="51">
        <v>7501</v>
      </c>
      <c r="F72" s="51">
        <v>2598</v>
      </c>
      <c r="G72" s="51">
        <v>10099</v>
      </c>
    </row>
    <row r="73" spans="1:7" x14ac:dyDescent="0.25">
      <c r="A73" t="s">
        <v>83</v>
      </c>
      <c r="B73" t="s">
        <v>10</v>
      </c>
      <c r="C73" t="s">
        <v>1399</v>
      </c>
      <c r="E73" s="51">
        <v>4580.8799999999992</v>
      </c>
      <c r="F73" s="51">
        <v>454.51</v>
      </c>
      <c r="G73" s="51">
        <v>5035.3899999999994</v>
      </c>
    </row>
    <row r="74" spans="1:7" x14ac:dyDescent="0.25">
      <c r="A74" t="s">
        <v>83</v>
      </c>
      <c r="B74" t="s">
        <v>10</v>
      </c>
      <c r="C74" t="s">
        <v>1402</v>
      </c>
      <c r="E74" s="51">
        <v>593.23</v>
      </c>
      <c r="F74" s="51">
        <v>1111.26</v>
      </c>
      <c r="G74" s="51">
        <v>1704.49</v>
      </c>
    </row>
    <row r="75" spans="1:7" x14ac:dyDescent="0.25">
      <c r="A75" t="s">
        <v>83</v>
      </c>
      <c r="B75" t="s">
        <v>10</v>
      </c>
      <c r="C75" t="s">
        <v>1405</v>
      </c>
      <c r="E75" s="51">
        <v>4231.6499999999996</v>
      </c>
      <c r="F75" s="51">
        <v>1415.69</v>
      </c>
      <c r="G75" s="51">
        <v>5647.34</v>
      </c>
    </row>
    <row r="76" spans="1:7" x14ac:dyDescent="0.25">
      <c r="A76" t="s">
        <v>83</v>
      </c>
      <c r="B76" t="s">
        <v>10</v>
      </c>
      <c r="C76" t="s">
        <v>1408</v>
      </c>
      <c r="E76" s="51">
        <v>6948.1499999999987</v>
      </c>
      <c r="F76" s="51">
        <v>1516.8</v>
      </c>
      <c r="G76" s="51">
        <v>8464.9499999999989</v>
      </c>
    </row>
    <row r="77" spans="1:7" x14ac:dyDescent="0.25">
      <c r="A77" t="s">
        <v>83</v>
      </c>
      <c r="B77" t="s">
        <v>10</v>
      </c>
      <c r="C77" t="s">
        <v>1464</v>
      </c>
      <c r="E77" s="51">
        <v>110</v>
      </c>
      <c r="F77" s="51">
        <v>24</v>
      </c>
      <c r="G77" s="51">
        <v>134</v>
      </c>
    </row>
    <row r="78" spans="1:7" x14ac:dyDescent="0.25">
      <c r="A78" t="s">
        <v>83</v>
      </c>
      <c r="B78" t="s">
        <v>10</v>
      </c>
      <c r="C78" t="s">
        <v>1411</v>
      </c>
      <c r="E78" s="51">
        <v>921</v>
      </c>
      <c r="F78" s="51">
        <v>9</v>
      </c>
      <c r="G78" s="51">
        <v>930</v>
      </c>
    </row>
    <row r="79" spans="1:7" x14ac:dyDescent="0.25">
      <c r="A79" t="s">
        <v>83</v>
      </c>
      <c r="B79" t="s">
        <v>10</v>
      </c>
      <c r="C79" t="s">
        <v>1428</v>
      </c>
      <c r="E79" s="51">
        <v>128.04</v>
      </c>
      <c r="F79" s="51">
        <v>25.01</v>
      </c>
      <c r="G79" s="51">
        <v>153.04999999999998</v>
      </c>
    </row>
    <row r="80" spans="1:7" x14ac:dyDescent="0.25">
      <c r="A80" t="s">
        <v>83</v>
      </c>
      <c r="B80" t="s">
        <v>10</v>
      </c>
      <c r="C80" t="s">
        <v>1414</v>
      </c>
      <c r="E80" s="51">
        <v>15138.199999999999</v>
      </c>
      <c r="F80" s="51">
        <v>7898.68</v>
      </c>
      <c r="G80" s="51">
        <v>23036.879999999997</v>
      </c>
    </row>
    <row r="81" spans="1:7" x14ac:dyDescent="0.25">
      <c r="A81" t="s">
        <v>83</v>
      </c>
      <c r="B81" t="s">
        <v>10</v>
      </c>
      <c r="C81" t="s">
        <v>1418</v>
      </c>
      <c r="E81" s="51">
        <v>35819.519999999997</v>
      </c>
      <c r="F81" s="51">
        <v>15225.5</v>
      </c>
      <c r="G81" s="51">
        <v>51045.02</v>
      </c>
    </row>
    <row r="82" spans="1:7" x14ac:dyDescent="0.25">
      <c r="A82" t="s">
        <v>83</v>
      </c>
      <c r="B82" t="s">
        <v>10</v>
      </c>
      <c r="C82" t="s">
        <v>1421</v>
      </c>
      <c r="E82" s="51">
        <v>236.20000000000002</v>
      </c>
      <c r="F82" s="51">
        <v>120.53</v>
      </c>
      <c r="G82" s="51">
        <v>356.73</v>
      </c>
    </row>
    <row r="83" spans="1:7" x14ac:dyDescent="0.25">
      <c r="A83" t="s">
        <v>83</v>
      </c>
      <c r="B83" t="s">
        <v>10</v>
      </c>
      <c r="C83" t="s">
        <v>1431</v>
      </c>
      <c r="E83" s="51">
        <v>1049.07</v>
      </c>
      <c r="F83" s="51">
        <v>5651.27</v>
      </c>
      <c r="G83" s="51">
        <v>6700.34</v>
      </c>
    </row>
    <row r="84" spans="1:7" x14ac:dyDescent="0.25">
      <c r="A84" t="s">
        <v>83</v>
      </c>
      <c r="B84" t="s">
        <v>10</v>
      </c>
      <c r="C84" t="s">
        <v>1424</v>
      </c>
      <c r="E84" s="51">
        <v>585.25</v>
      </c>
      <c r="F84" s="51">
        <v>1661.31</v>
      </c>
      <c r="G84" s="51">
        <v>2246.56</v>
      </c>
    </row>
    <row r="85" spans="1:7" x14ac:dyDescent="0.25">
      <c r="A85" t="s">
        <v>83</v>
      </c>
      <c r="B85" t="s">
        <v>10</v>
      </c>
      <c r="C85" t="s">
        <v>1467</v>
      </c>
      <c r="E85" s="51"/>
      <c r="F85" s="51">
        <v>720.12</v>
      </c>
      <c r="G85" s="51">
        <v>720.12</v>
      </c>
    </row>
    <row r="86" spans="1:7" x14ac:dyDescent="0.25">
      <c r="A86" t="s">
        <v>83</v>
      </c>
      <c r="B86" t="s">
        <v>10</v>
      </c>
      <c r="C86" t="s">
        <v>1435</v>
      </c>
      <c r="E86" s="51">
        <v>663.26</v>
      </c>
      <c r="F86" s="51"/>
      <c r="G86" s="51">
        <v>663.26</v>
      </c>
    </row>
    <row r="87" spans="1:7" x14ac:dyDescent="0.25">
      <c r="A87" t="s">
        <v>83</v>
      </c>
      <c r="B87" t="s">
        <v>10</v>
      </c>
      <c r="C87" t="s">
        <v>1432</v>
      </c>
      <c r="E87" s="51">
        <v>880</v>
      </c>
      <c r="F87" s="51"/>
      <c r="G87" s="51">
        <v>880</v>
      </c>
    </row>
    <row r="88" spans="1:7" x14ac:dyDescent="0.25">
      <c r="A88" t="s">
        <v>83</v>
      </c>
      <c r="B88" t="s">
        <v>10</v>
      </c>
      <c r="C88" t="s">
        <v>1470</v>
      </c>
      <c r="E88" s="51"/>
      <c r="F88" s="51">
        <v>300</v>
      </c>
      <c r="G88" s="51">
        <v>300</v>
      </c>
    </row>
    <row r="89" spans="1:7" x14ac:dyDescent="0.25">
      <c r="A89" t="s">
        <v>83</v>
      </c>
      <c r="B89" t="s">
        <v>10</v>
      </c>
      <c r="C89" t="s">
        <v>1473</v>
      </c>
      <c r="E89" s="51"/>
      <c r="F89" s="51">
        <v>16385.25</v>
      </c>
      <c r="G89" s="51">
        <v>16385.25</v>
      </c>
    </row>
    <row r="90" spans="1:7" x14ac:dyDescent="0.25">
      <c r="A90" t="s">
        <v>83</v>
      </c>
      <c r="B90" t="s">
        <v>10</v>
      </c>
      <c r="C90" t="s">
        <v>1441</v>
      </c>
      <c r="E90" s="51">
        <v>1549.36</v>
      </c>
      <c r="F90" s="51">
        <v>3148</v>
      </c>
      <c r="G90" s="51">
        <v>4697.3599999999997</v>
      </c>
    </row>
    <row r="91" spans="1:7" x14ac:dyDescent="0.25">
      <c r="A91" t="s">
        <v>83</v>
      </c>
      <c r="B91" t="s">
        <v>10</v>
      </c>
      <c r="C91" t="s">
        <v>1444</v>
      </c>
      <c r="E91" s="51">
        <v>750</v>
      </c>
      <c r="F91" s="51">
        <v>2532</v>
      </c>
      <c r="G91" s="51">
        <v>3282</v>
      </c>
    </row>
    <row r="92" spans="1:7" x14ac:dyDescent="0.25">
      <c r="A92" t="s">
        <v>83</v>
      </c>
      <c r="B92" t="s">
        <v>127</v>
      </c>
      <c r="C92" t="s">
        <v>1486</v>
      </c>
      <c r="E92" s="51">
        <v>-2.42</v>
      </c>
      <c r="F92" s="51">
        <v>-1.07</v>
      </c>
      <c r="G92" s="51">
        <v>-3.49</v>
      </c>
    </row>
    <row r="93" spans="1:7" x14ac:dyDescent="0.25">
      <c r="A93" t="s">
        <v>83</v>
      </c>
      <c r="B93" t="s">
        <v>127</v>
      </c>
      <c r="C93" t="s">
        <v>1493</v>
      </c>
      <c r="E93" s="51">
        <v>644.70000000000027</v>
      </c>
      <c r="F93" s="51">
        <v>1294.99</v>
      </c>
      <c r="G93" s="51">
        <v>1939.6900000000003</v>
      </c>
    </row>
    <row r="94" spans="1:7" x14ac:dyDescent="0.25">
      <c r="A94" t="s">
        <v>83</v>
      </c>
      <c r="B94" t="s">
        <v>127</v>
      </c>
      <c r="C94" t="s">
        <v>1496</v>
      </c>
      <c r="E94" s="51">
        <v>1476.7799999999997</v>
      </c>
      <c r="F94" s="51">
        <v>-6616.88</v>
      </c>
      <c r="G94" s="51">
        <v>-5140.1000000000004</v>
      </c>
    </row>
    <row r="95" spans="1:7" x14ac:dyDescent="0.25">
      <c r="A95" t="s">
        <v>83</v>
      </c>
      <c r="B95" t="s">
        <v>129</v>
      </c>
      <c r="C95" t="s">
        <v>1499</v>
      </c>
      <c r="E95" s="51">
        <v>1073.92</v>
      </c>
      <c r="F95" s="51"/>
      <c r="G95" s="51">
        <v>1073.92</v>
      </c>
    </row>
    <row r="96" spans="1:7" x14ac:dyDescent="0.25">
      <c r="A96" t="s">
        <v>83</v>
      </c>
      <c r="B96" t="s">
        <v>129</v>
      </c>
      <c r="C96" t="s">
        <v>1502</v>
      </c>
      <c r="E96" s="51">
        <v>-0.39000000000000007</v>
      </c>
      <c r="F96" s="51">
        <v>0.39</v>
      </c>
      <c r="G96" s="51">
        <v>-5.5511151231257827E-17</v>
      </c>
    </row>
    <row r="97" spans="1:7" x14ac:dyDescent="0.25">
      <c r="A97" t="s">
        <v>83</v>
      </c>
      <c r="B97" t="s">
        <v>129</v>
      </c>
      <c r="C97" t="s">
        <v>1505</v>
      </c>
      <c r="E97" s="51">
        <v>22.859999999999985</v>
      </c>
      <c r="F97" s="51">
        <v>-62.47</v>
      </c>
      <c r="G97" s="51">
        <v>-39.610000000000014</v>
      </c>
    </row>
    <row r="98" spans="1:7" x14ac:dyDescent="0.25">
      <c r="A98" t="s">
        <v>83</v>
      </c>
      <c r="B98" t="s">
        <v>177</v>
      </c>
      <c r="C98" t="s">
        <v>1512</v>
      </c>
      <c r="E98" s="51">
        <v>-0.24</v>
      </c>
      <c r="F98" s="51">
        <v>-0.1</v>
      </c>
      <c r="G98" s="51">
        <v>-0.33999999999999997</v>
      </c>
    </row>
    <row r="99" spans="1:7" x14ac:dyDescent="0.25">
      <c r="A99" t="s">
        <v>83</v>
      </c>
      <c r="B99" t="s">
        <v>169</v>
      </c>
      <c r="C99" t="s">
        <v>1515</v>
      </c>
      <c r="E99" s="51">
        <v>696.69</v>
      </c>
      <c r="F99" s="51">
        <v>189.48999999999998</v>
      </c>
      <c r="G99" s="51">
        <v>886.18000000000006</v>
      </c>
    </row>
    <row r="100" spans="1:7" x14ac:dyDescent="0.25">
      <c r="A100" t="s">
        <v>1191</v>
      </c>
      <c r="B100" t="s">
        <v>54</v>
      </c>
      <c r="C100" t="s">
        <v>1479</v>
      </c>
      <c r="E100" s="51">
        <v>-7.9</v>
      </c>
      <c r="F100" s="51"/>
      <c r="G100" s="51">
        <v>-7.9</v>
      </c>
    </row>
    <row r="101" spans="1:7" x14ac:dyDescent="0.25">
      <c r="A101" t="s">
        <v>1191</v>
      </c>
      <c r="B101" t="s">
        <v>41</v>
      </c>
      <c r="C101" t="s">
        <v>41</v>
      </c>
      <c r="E101" s="51">
        <v>68069</v>
      </c>
      <c r="F101" s="51"/>
      <c r="G101" s="51">
        <v>68069</v>
      </c>
    </row>
    <row r="102" spans="1:7" x14ac:dyDescent="0.25">
      <c r="A102" t="s">
        <v>1191</v>
      </c>
      <c r="B102" t="s">
        <v>48</v>
      </c>
      <c r="C102" t="s">
        <v>1510</v>
      </c>
      <c r="D102" t="s">
        <v>1249</v>
      </c>
      <c r="E102" s="51">
        <v>-1343.21</v>
      </c>
      <c r="F102" s="51"/>
      <c r="G102" s="51">
        <v>-1343.21</v>
      </c>
    </row>
    <row r="103" spans="1:7" x14ac:dyDescent="0.25">
      <c r="A103" t="s">
        <v>1191</v>
      </c>
      <c r="B103" t="s">
        <v>143</v>
      </c>
      <c r="C103" t="s">
        <v>143</v>
      </c>
      <c r="D103" t="s">
        <v>1252</v>
      </c>
      <c r="E103" s="51">
        <v>-715474.5</v>
      </c>
      <c r="F103" s="51"/>
      <c r="G103" s="51">
        <v>-715474.5</v>
      </c>
    </row>
    <row r="104" spans="1:7" x14ac:dyDescent="0.25">
      <c r="A104" t="s">
        <v>1191</v>
      </c>
      <c r="B104" t="s">
        <v>143</v>
      </c>
      <c r="C104" t="s">
        <v>1518</v>
      </c>
      <c r="D104" t="s">
        <v>1252</v>
      </c>
      <c r="E104" s="51">
        <v>-538200</v>
      </c>
      <c r="F104" s="51"/>
      <c r="G104" s="51">
        <v>-538200</v>
      </c>
    </row>
    <row r="105" spans="1:7" x14ac:dyDescent="0.25">
      <c r="A105" t="s">
        <v>1191</v>
      </c>
      <c r="B105" t="s">
        <v>133</v>
      </c>
      <c r="C105" t="s">
        <v>133</v>
      </c>
      <c r="D105" t="s">
        <v>1278</v>
      </c>
      <c r="E105" s="51">
        <v>24466.959999999999</v>
      </c>
      <c r="F105" s="51"/>
      <c r="G105" s="51">
        <v>24466.959999999999</v>
      </c>
    </row>
    <row r="106" spans="1:7" x14ac:dyDescent="0.25">
      <c r="A106" t="s">
        <v>1191</v>
      </c>
      <c r="B106" t="s">
        <v>1321</v>
      </c>
      <c r="C106" t="s">
        <v>1319</v>
      </c>
      <c r="E106" s="51">
        <v>6201180.4299999997</v>
      </c>
      <c r="F106" s="51"/>
      <c r="G106" s="51">
        <v>6201180.4299999997</v>
      </c>
    </row>
    <row r="107" spans="1:7" x14ac:dyDescent="0.25">
      <c r="A107" t="s">
        <v>1191</v>
      </c>
      <c r="B107" t="s">
        <v>1321</v>
      </c>
      <c r="C107" t="s">
        <v>1323</v>
      </c>
      <c r="E107" s="51">
        <v>-7317915.46</v>
      </c>
      <c r="F107" s="51"/>
      <c r="G107" s="51">
        <v>-7317915.46</v>
      </c>
    </row>
    <row r="108" spans="1:7" x14ac:dyDescent="0.25">
      <c r="A108" t="s">
        <v>310</v>
      </c>
      <c r="B108" t="s">
        <v>62</v>
      </c>
      <c r="C108" t="s">
        <v>1483</v>
      </c>
      <c r="E108" s="51">
        <v>7.25</v>
      </c>
      <c r="F108" s="51"/>
      <c r="G108" s="51">
        <v>7.25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O350"/>
  <sheetViews>
    <sheetView zoomScale="85" zoomScaleNormal="85" workbookViewId="0">
      <selection activeCell="A6" sqref="A6:L350"/>
    </sheetView>
  </sheetViews>
  <sheetFormatPr defaultRowHeight="15" x14ac:dyDescent="0.25"/>
  <cols>
    <col min="1" max="1" width="13.7109375" customWidth="1"/>
    <col min="2" max="2" width="46.5703125" customWidth="1"/>
    <col min="3" max="3" width="15.7109375" customWidth="1"/>
    <col min="4" max="4" width="14.5703125" customWidth="1"/>
    <col min="5" max="5" width="11.7109375" customWidth="1"/>
    <col min="6" max="6" width="13.5703125" customWidth="1"/>
    <col min="7" max="7" width="14.140625" customWidth="1"/>
    <col min="8" max="8" width="17.5703125" customWidth="1"/>
    <col min="9" max="9" width="11.28515625" customWidth="1"/>
    <col min="10" max="10" width="8.85546875" customWidth="1"/>
    <col min="11" max="11" width="13.28515625" customWidth="1"/>
    <col min="12" max="12" width="10.7109375" customWidth="1"/>
    <col min="13" max="13" width="11.7109375" customWidth="1"/>
    <col min="14" max="14" width="13.5703125" customWidth="1"/>
    <col min="15" max="15" width="11.7109375" style="33" customWidth="1"/>
  </cols>
  <sheetData>
    <row r="1" spans="1:15" ht="18.75" x14ac:dyDescent="0.3">
      <c r="A1" s="43" t="s">
        <v>1192</v>
      </c>
    </row>
    <row r="3" spans="1:15" ht="15.75" x14ac:dyDescent="0.25">
      <c r="A3" s="44" t="s">
        <v>1193</v>
      </c>
      <c r="B3" s="44" t="s">
        <v>1194</v>
      </c>
    </row>
    <row r="4" spans="1:15" ht="15.75" x14ac:dyDescent="0.25">
      <c r="A4" s="44" t="s">
        <v>1195</v>
      </c>
      <c r="B4" s="44" t="s">
        <v>1196</v>
      </c>
    </row>
    <row r="5" spans="1:15" ht="15.75" x14ac:dyDescent="0.25">
      <c r="A5" s="44"/>
      <c r="B5" s="44"/>
    </row>
    <row r="6" spans="1:15" x14ac:dyDescent="0.25">
      <c r="A6" s="47" t="s">
        <v>13</v>
      </c>
      <c r="B6" s="47" t="s">
        <v>1197</v>
      </c>
      <c r="C6" s="47" t="s">
        <v>1198</v>
      </c>
      <c r="D6" s="49" t="s">
        <v>1580</v>
      </c>
      <c r="E6" s="47" t="s">
        <v>1199</v>
      </c>
      <c r="F6" s="47" t="s">
        <v>1200</v>
      </c>
      <c r="G6" s="47" t="s">
        <v>1201</v>
      </c>
      <c r="H6" s="49" t="s">
        <v>1581</v>
      </c>
      <c r="I6" s="47" t="s">
        <v>1202</v>
      </c>
      <c r="J6" s="47" t="s">
        <v>1203</v>
      </c>
      <c r="K6" s="49" t="s">
        <v>1582</v>
      </c>
      <c r="L6" s="47" t="s">
        <v>1204</v>
      </c>
      <c r="M6" s="47" t="s">
        <v>1205</v>
      </c>
      <c r="N6" s="47" t="s">
        <v>1206</v>
      </c>
      <c r="O6" s="48" t="s">
        <v>1207</v>
      </c>
    </row>
    <row r="7" spans="1:15" x14ac:dyDescent="0.25">
      <c r="A7" t="s">
        <v>1208</v>
      </c>
      <c r="B7" t="s">
        <v>1209</v>
      </c>
      <c r="C7" t="s">
        <v>288</v>
      </c>
      <c r="D7" t="str">
        <f>VLOOKUP(Pre_Close_AMF_Table[[#This Row],[HFM_Account]],HFM_Acct_OCF_Activity[],3,FALSE)</f>
        <v>Exclude</v>
      </c>
      <c r="E7" t="s">
        <v>1210</v>
      </c>
      <c r="F7" t="s">
        <v>1194</v>
      </c>
      <c r="G7" t="s">
        <v>1211</v>
      </c>
      <c r="H7" t="str">
        <f>IF(NOT(ISERROR(FIND("NoICP",Pre_Close_AMF_Table[[#This Row],[GL_ICP]]))),"",Pre_Close_AMF_Table[[#This Row],[GL_ICP]])</f>
        <v/>
      </c>
      <c r="I7" t="s">
        <v>1212</v>
      </c>
      <c r="J7" t="s">
        <v>1213</v>
      </c>
      <c r="K7" t="str">
        <f>IFERROR(VLOOKUP(VALUE(Pre_Close_AMF_Table[[#This Row],[GL_PC]]),BNS_Profit_Centers[],2,FALSE),"TE")</f>
        <v>TE</v>
      </c>
      <c r="L7" t="s">
        <v>1213</v>
      </c>
      <c r="M7" t="s">
        <v>1208</v>
      </c>
      <c r="N7" t="s">
        <v>1214</v>
      </c>
      <c r="O7" s="33">
        <v>367.77</v>
      </c>
    </row>
    <row r="8" spans="1:15" x14ac:dyDescent="0.25">
      <c r="A8" t="s">
        <v>335</v>
      </c>
      <c r="B8" t="s">
        <v>336</v>
      </c>
      <c r="C8" t="s">
        <v>335</v>
      </c>
      <c r="D8" t="str">
        <f>VLOOKUP(Pre_Close_AMF_Table[[#This Row],[HFM_Account]],HFM_Acct_OCF_Activity[],3,FALSE)</f>
        <v>Indirect</v>
      </c>
      <c r="E8" t="s">
        <v>1210</v>
      </c>
      <c r="F8" t="s">
        <v>1194</v>
      </c>
      <c r="G8" t="s">
        <v>1215</v>
      </c>
      <c r="H8" t="str">
        <f>IF(NOT(ISERROR(FIND("NoICP",Pre_Close_AMF_Table[[#This Row],[GL_ICP]]))),"",Pre_Close_AMF_Table[[#This Row],[GL_ICP]])</f>
        <v/>
      </c>
      <c r="I8" t="s">
        <v>1212</v>
      </c>
      <c r="J8" t="s">
        <v>1213</v>
      </c>
      <c r="K8" t="str">
        <f>IFERROR(VLOOKUP(VALUE(Pre_Close_AMF_Table[[#This Row],[GL_PC]]),BNS_Profit_Centers[],2,FALSE),"TE")</f>
        <v>TE</v>
      </c>
      <c r="L8" t="s">
        <v>1213</v>
      </c>
      <c r="M8" t="s">
        <v>335</v>
      </c>
      <c r="N8" t="s">
        <v>1214</v>
      </c>
      <c r="O8" s="33">
        <v>1846.75</v>
      </c>
    </row>
    <row r="9" spans="1:15" x14ac:dyDescent="0.25">
      <c r="A9" t="s">
        <v>379</v>
      </c>
      <c r="B9" t="s">
        <v>1216</v>
      </c>
      <c r="C9" t="s">
        <v>379</v>
      </c>
      <c r="D9" t="str">
        <f>VLOOKUP(Pre_Close_AMF_Table[[#This Row],[HFM_Account]],HFM_Acct_OCF_Activity[],3,FALSE)</f>
        <v>Intercompany</v>
      </c>
      <c r="E9" t="s">
        <v>1210</v>
      </c>
      <c r="F9" t="s">
        <v>1194</v>
      </c>
      <c r="G9" t="s">
        <v>1217</v>
      </c>
      <c r="H9" t="str">
        <f>IF(NOT(ISERROR(FIND("NoICP",Pre_Close_AMF_Table[[#This Row],[GL_ICP]]))),"",Pre_Close_AMF_Table[[#This Row],[GL_ICP]])</f>
        <v>ZZ0048</v>
      </c>
      <c r="I9" t="s">
        <v>1218</v>
      </c>
      <c r="J9" t="s">
        <v>1213</v>
      </c>
      <c r="K9" t="str">
        <f>IFERROR(VLOOKUP(VALUE(Pre_Close_AMF_Table[[#This Row],[GL_PC]]),BNS_Profit_Centers[],2,FALSE),"TE")</f>
        <v>TE</v>
      </c>
      <c r="L9" t="s">
        <v>1213</v>
      </c>
      <c r="M9" t="s">
        <v>379</v>
      </c>
      <c r="N9" t="s">
        <v>1214</v>
      </c>
      <c r="O9" s="33">
        <v>195</v>
      </c>
    </row>
    <row r="10" spans="1:15" x14ac:dyDescent="0.25">
      <c r="A10" t="s">
        <v>379</v>
      </c>
      <c r="B10" t="s">
        <v>1216</v>
      </c>
      <c r="C10" t="s">
        <v>379</v>
      </c>
      <c r="D10" t="str">
        <f>VLOOKUP(Pre_Close_AMF_Table[[#This Row],[HFM_Account]],HFM_Acct_OCF_Activity[],3,FALSE)</f>
        <v>Intercompany</v>
      </c>
      <c r="E10" t="s">
        <v>1210</v>
      </c>
      <c r="F10" t="s">
        <v>1194</v>
      </c>
      <c r="G10" t="s">
        <v>1219</v>
      </c>
      <c r="H10" t="str">
        <f>IF(NOT(ISERROR(FIND("NoICP",Pre_Close_AMF_Table[[#This Row],[GL_ICP]]))),"",Pre_Close_AMF_Table[[#This Row],[GL_ICP]])</f>
        <v>ZZ0436</v>
      </c>
      <c r="I10" t="s">
        <v>1220</v>
      </c>
      <c r="J10" t="s">
        <v>1213</v>
      </c>
      <c r="K10" t="str">
        <f>IFERROR(VLOOKUP(VALUE(Pre_Close_AMF_Table[[#This Row],[GL_PC]]),BNS_Profit_Centers[],2,FALSE),"TE")</f>
        <v>TE</v>
      </c>
      <c r="L10" t="s">
        <v>1213</v>
      </c>
      <c r="M10" t="s">
        <v>379</v>
      </c>
      <c r="N10" t="s">
        <v>1214</v>
      </c>
      <c r="O10" s="33">
        <v>6852.92</v>
      </c>
    </row>
    <row r="11" spans="1:15" x14ac:dyDescent="0.25">
      <c r="A11" t="s">
        <v>1221</v>
      </c>
      <c r="B11" t="s">
        <v>1222</v>
      </c>
      <c r="C11" t="s">
        <v>315</v>
      </c>
      <c r="D11" t="str">
        <f>VLOOKUP(Pre_Close_AMF_Table[[#This Row],[HFM_Account]],HFM_Acct_OCF_Activity[],3,FALSE)</f>
        <v>Direct</v>
      </c>
      <c r="E11" t="s">
        <v>1210</v>
      </c>
      <c r="F11" t="s">
        <v>1194</v>
      </c>
      <c r="G11" t="s">
        <v>1223</v>
      </c>
      <c r="H11" t="str">
        <f>IF(NOT(ISERROR(FIND("NoICP",Pre_Close_AMF_Table[[#This Row],[GL_ICP]]))),"",Pre_Close_AMF_Table[[#This Row],[GL_ICP]])</f>
        <v/>
      </c>
      <c r="I11" t="s">
        <v>1212</v>
      </c>
      <c r="J11" t="s">
        <v>1224</v>
      </c>
      <c r="K11" t="str">
        <f>IFERROR(VLOOKUP(VALUE(Pre_Close_AMF_Table[[#This Row],[GL_PC]]),BNS_Profit_Centers[],2,FALSE),"TE")</f>
        <v>TE</v>
      </c>
      <c r="L11" t="s">
        <v>1224</v>
      </c>
      <c r="M11" t="s">
        <v>1221</v>
      </c>
      <c r="N11" t="s">
        <v>1214</v>
      </c>
      <c r="O11" s="33">
        <v>-0.01</v>
      </c>
    </row>
    <row r="12" spans="1:15" x14ac:dyDescent="0.25">
      <c r="A12" t="s">
        <v>1221</v>
      </c>
      <c r="B12" t="s">
        <v>1222</v>
      </c>
      <c r="C12" t="s">
        <v>315</v>
      </c>
      <c r="D12" t="str">
        <f>VLOOKUP(Pre_Close_AMF_Table[[#This Row],[HFM_Account]],HFM_Acct_OCF_Activity[],3,FALSE)</f>
        <v>Direct</v>
      </c>
      <c r="E12" t="s">
        <v>1210</v>
      </c>
      <c r="F12" t="s">
        <v>1194</v>
      </c>
      <c r="G12" t="s">
        <v>1223</v>
      </c>
      <c r="H12" t="str">
        <f>IF(NOT(ISERROR(FIND("NoICP",Pre_Close_AMF_Table[[#This Row],[GL_ICP]]))),"",Pre_Close_AMF_Table[[#This Row],[GL_ICP]])</f>
        <v/>
      </c>
      <c r="I12" t="s">
        <v>1212</v>
      </c>
      <c r="J12" t="s">
        <v>1225</v>
      </c>
      <c r="K12" t="str">
        <f>IFERROR(VLOOKUP(VALUE(Pre_Close_AMF_Table[[#This Row],[GL_PC]]),BNS_Profit_Centers[],2,FALSE),"TE")</f>
        <v>TE</v>
      </c>
      <c r="L12" t="s">
        <v>1225</v>
      </c>
      <c r="M12" t="s">
        <v>1221</v>
      </c>
      <c r="N12" t="s">
        <v>1214</v>
      </c>
      <c r="O12" s="33">
        <v>0.01</v>
      </c>
    </row>
    <row r="13" spans="1:15" x14ac:dyDescent="0.25">
      <c r="A13" t="s">
        <v>323</v>
      </c>
      <c r="B13" t="s">
        <v>1226</v>
      </c>
      <c r="C13" t="s">
        <v>323</v>
      </c>
      <c r="D13" t="str">
        <f>VLOOKUP(Pre_Close_AMF_Table[[#This Row],[HFM_Account]],HFM_Acct_OCF_Activity[],3,FALSE)</f>
        <v>Indirect</v>
      </c>
      <c r="E13" t="s">
        <v>1210</v>
      </c>
      <c r="F13" t="s">
        <v>1194</v>
      </c>
      <c r="G13" t="s">
        <v>1227</v>
      </c>
      <c r="H13" t="str">
        <f>IF(NOT(ISERROR(FIND("NoICP",Pre_Close_AMF_Table[[#This Row],[GL_ICP]]))),"",Pre_Close_AMF_Table[[#This Row],[GL_ICP]])</f>
        <v/>
      </c>
      <c r="I13" t="s">
        <v>1212</v>
      </c>
      <c r="J13" t="s">
        <v>1213</v>
      </c>
      <c r="K13" t="str">
        <f>IFERROR(VLOOKUP(VALUE(Pre_Close_AMF_Table[[#This Row],[GL_PC]]),BNS_Profit_Centers[],2,FALSE),"TE")</f>
        <v>TE</v>
      </c>
      <c r="L13" t="s">
        <v>1213</v>
      </c>
      <c r="M13" t="s">
        <v>323</v>
      </c>
      <c r="N13" t="s">
        <v>1214</v>
      </c>
      <c r="O13" s="33">
        <v>41346.65</v>
      </c>
    </row>
    <row r="14" spans="1:15" x14ac:dyDescent="0.25">
      <c r="A14" t="s">
        <v>325</v>
      </c>
      <c r="B14" t="s">
        <v>1228</v>
      </c>
      <c r="C14" t="s">
        <v>325</v>
      </c>
      <c r="D14" t="str">
        <f>VLOOKUP(Pre_Close_AMF_Table[[#This Row],[HFM_Account]],HFM_Acct_OCF_Activity[],3,FALSE)</f>
        <v>Indirect</v>
      </c>
      <c r="E14" t="s">
        <v>1210</v>
      </c>
      <c r="F14" t="s">
        <v>1194</v>
      </c>
      <c r="G14" t="s">
        <v>1229</v>
      </c>
      <c r="H14" t="str">
        <f>IF(NOT(ISERROR(FIND("NoICP",Pre_Close_AMF_Table[[#This Row],[GL_ICP]]))),"",Pre_Close_AMF_Table[[#This Row],[GL_ICP]])</f>
        <v/>
      </c>
      <c r="I14" t="s">
        <v>1212</v>
      </c>
      <c r="J14" t="s">
        <v>1213</v>
      </c>
      <c r="K14" t="str">
        <f>IFERROR(VLOOKUP(VALUE(Pre_Close_AMF_Table[[#This Row],[GL_PC]]),BNS_Profit_Centers[],2,FALSE),"TE")</f>
        <v>TE</v>
      </c>
      <c r="L14" t="s">
        <v>1213</v>
      </c>
      <c r="M14" t="s">
        <v>325</v>
      </c>
      <c r="N14" t="s">
        <v>1214</v>
      </c>
      <c r="O14" s="33">
        <v>21843.91</v>
      </c>
    </row>
    <row r="15" spans="1:15" x14ac:dyDescent="0.25">
      <c r="A15" t="s">
        <v>1230</v>
      </c>
      <c r="B15" t="s">
        <v>1231</v>
      </c>
      <c r="C15" t="s">
        <v>329</v>
      </c>
      <c r="D15" t="str">
        <f>VLOOKUP(Pre_Close_AMF_Table[[#This Row],[HFM_Account]],HFM_Acct_OCF_Activity[],3,FALSE)</f>
        <v>Indirect</v>
      </c>
      <c r="E15" t="s">
        <v>1210</v>
      </c>
      <c r="F15" t="s">
        <v>1194</v>
      </c>
      <c r="G15" t="s">
        <v>1232</v>
      </c>
      <c r="H15" t="str">
        <f>IF(NOT(ISERROR(FIND("NoICP",Pre_Close_AMF_Table[[#This Row],[GL_ICP]]))),"",Pre_Close_AMF_Table[[#This Row],[GL_ICP]])</f>
        <v/>
      </c>
      <c r="I15" t="s">
        <v>1212</v>
      </c>
      <c r="J15" t="s">
        <v>1213</v>
      </c>
      <c r="K15" t="str">
        <f>IFERROR(VLOOKUP(VALUE(Pre_Close_AMF_Table[[#This Row],[GL_PC]]),BNS_Profit_Centers[],2,FALSE),"TE")</f>
        <v>TE</v>
      </c>
      <c r="L15" t="s">
        <v>1213</v>
      </c>
      <c r="M15" t="s">
        <v>1230</v>
      </c>
      <c r="N15" t="s">
        <v>1214</v>
      </c>
      <c r="O15" s="33">
        <v>11465.21</v>
      </c>
    </row>
    <row r="16" spans="1:15" x14ac:dyDescent="0.25">
      <c r="A16" t="s">
        <v>1233</v>
      </c>
      <c r="B16" t="s">
        <v>1234</v>
      </c>
      <c r="C16" t="s">
        <v>329</v>
      </c>
      <c r="D16" t="str">
        <f>VLOOKUP(Pre_Close_AMF_Table[[#This Row],[HFM_Account]],HFM_Acct_OCF_Activity[],3,FALSE)</f>
        <v>Indirect</v>
      </c>
      <c r="E16" t="s">
        <v>1210</v>
      </c>
      <c r="F16" t="s">
        <v>1194</v>
      </c>
      <c r="G16" t="s">
        <v>1235</v>
      </c>
      <c r="H16" t="str">
        <f>IF(NOT(ISERROR(FIND("NoICP",Pre_Close_AMF_Table[[#This Row],[GL_ICP]]))),"",Pre_Close_AMF_Table[[#This Row],[GL_ICP]])</f>
        <v/>
      </c>
      <c r="I16" t="s">
        <v>1212</v>
      </c>
      <c r="J16" t="s">
        <v>1213</v>
      </c>
      <c r="K16" t="str">
        <f>IFERROR(VLOOKUP(VALUE(Pre_Close_AMF_Table[[#This Row],[GL_PC]]),BNS_Profit_Centers[],2,FALSE),"TE")</f>
        <v>TE</v>
      </c>
      <c r="L16" t="s">
        <v>1213</v>
      </c>
      <c r="M16" t="s">
        <v>1233</v>
      </c>
      <c r="N16" t="s">
        <v>1214</v>
      </c>
      <c r="O16" s="33">
        <v>11430</v>
      </c>
    </row>
    <row r="17" spans="1:15" x14ac:dyDescent="0.25">
      <c r="A17" t="s">
        <v>1236</v>
      </c>
      <c r="B17" t="s">
        <v>1237</v>
      </c>
      <c r="C17" t="s">
        <v>329</v>
      </c>
      <c r="D17" t="str">
        <f>VLOOKUP(Pre_Close_AMF_Table[[#This Row],[HFM_Account]],HFM_Acct_OCF_Activity[],3,FALSE)</f>
        <v>Indirect</v>
      </c>
      <c r="E17" t="s">
        <v>1210</v>
      </c>
      <c r="F17" t="s">
        <v>1194</v>
      </c>
      <c r="G17" t="s">
        <v>1238</v>
      </c>
      <c r="H17" t="str">
        <f>IF(NOT(ISERROR(FIND("NoICP",Pre_Close_AMF_Table[[#This Row],[GL_ICP]]))),"",Pre_Close_AMF_Table[[#This Row],[GL_ICP]])</f>
        <v/>
      </c>
      <c r="I17" t="s">
        <v>1212</v>
      </c>
      <c r="J17" t="s">
        <v>1213</v>
      </c>
      <c r="K17" t="str">
        <f>IFERROR(VLOOKUP(VALUE(Pre_Close_AMF_Table[[#This Row],[GL_PC]]),BNS_Profit_Centers[],2,FALSE),"TE")</f>
        <v>TE</v>
      </c>
      <c r="L17" t="s">
        <v>1213</v>
      </c>
      <c r="M17" t="s">
        <v>1236</v>
      </c>
      <c r="N17" t="s">
        <v>1214</v>
      </c>
      <c r="O17" s="33">
        <v>4008.05</v>
      </c>
    </row>
    <row r="18" spans="1:15" x14ac:dyDescent="0.25">
      <c r="A18" t="s">
        <v>1239</v>
      </c>
      <c r="B18" t="s">
        <v>1240</v>
      </c>
      <c r="C18" t="s">
        <v>329</v>
      </c>
      <c r="D18" t="str">
        <f>VLOOKUP(Pre_Close_AMF_Table[[#This Row],[HFM_Account]],HFM_Acct_OCF_Activity[],3,FALSE)</f>
        <v>Indirect</v>
      </c>
      <c r="E18" t="s">
        <v>1210</v>
      </c>
      <c r="F18" t="s">
        <v>1194</v>
      </c>
      <c r="G18" t="s">
        <v>1241</v>
      </c>
      <c r="H18" t="str">
        <f>IF(NOT(ISERROR(FIND("NoICP",Pre_Close_AMF_Table[[#This Row],[GL_ICP]]))),"",Pre_Close_AMF_Table[[#This Row],[GL_ICP]])</f>
        <v/>
      </c>
      <c r="I18" t="s">
        <v>1212</v>
      </c>
      <c r="J18" t="s">
        <v>1213</v>
      </c>
      <c r="K18" t="str">
        <f>IFERROR(VLOOKUP(VALUE(Pre_Close_AMF_Table[[#This Row],[GL_PC]]),BNS_Profit_Centers[],2,FALSE),"TE")</f>
        <v>TE</v>
      </c>
      <c r="L18" t="s">
        <v>1213</v>
      </c>
      <c r="M18" t="s">
        <v>1239</v>
      </c>
      <c r="N18" t="s">
        <v>1214</v>
      </c>
      <c r="O18" s="33">
        <v>30209.88</v>
      </c>
    </row>
    <row r="19" spans="1:15" x14ac:dyDescent="0.25">
      <c r="A19" t="s">
        <v>1242</v>
      </c>
      <c r="B19" t="s">
        <v>1243</v>
      </c>
      <c r="C19" t="s">
        <v>365</v>
      </c>
      <c r="D19" t="str">
        <f>VLOOKUP(Pre_Close_AMF_Table[[#This Row],[HFM_Account]],HFM_Acct_OCF_Activity[],3,FALSE)</f>
        <v>Indirect</v>
      </c>
      <c r="E19" t="s">
        <v>1210</v>
      </c>
      <c r="F19" t="s">
        <v>1194</v>
      </c>
      <c r="G19" t="s">
        <v>1244</v>
      </c>
      <c r="H19" t="str">
        <f>IF(NOT(ISERROR(FIND("NoICP",Pre_Close_AMF_Table[[#This Row],[GL_ICP]]))),"",Pre_Close_AMF_Table[[#This Row],[GL_ICP]])</f>
        <v/>
      </c>
      <c r="I19" t="s">
        <v>1212</v>
      </c>
      <c r="J19" t="s">
        <v>1213</v>
      </c>
      <c r="K19" t="str">
        <f>IFERROR(VLOOKUP(VALUE(Pre_Close_AMF_Table[[#This Row],[GL_PC]]),BNS_Profit_Centers[],2,FALSE),"TE")</f>
        <v>TE</v>
      </c>
      <c r="L19" t="s">
        <v>1213</v>
      </c>
      <c r="M19" t="s">
        <v>1242</v>
      </c>
      <c r="N19" t="s">
        <v>1214</v>
      </c>
      <c r="O19" s="33">
        <v>9948.58</v>
      </c>
    </row>
    <row r="20" spans="1:15" x14ac:dyDescent="0.25">
      <c r="A20" t="s">
        <v>399</v>
      </c>
      <c r="B20" t="s">
        <v>1245</v>
      </c>
      <c r="C20" t="s">
        <v>399</v>
      </c>
      <c r="D20" t="str">
        <f>VLOOKUP(Pre_Close_AMF_Table[[#This Row],[HFM_Account]],HFM_Acct_OCF_Activity[],3,FALSE)</f>
        <v>Exclude</v>
      </c>
      <c r="E20" t="s">
        <v>1210</v>
      </c>
      <c r="F20" t="s">
        <v>1194</v>
      </c>
      <c r="G20" t="s">
        <v>1246</v>
      </c>
      <c r="H20" t="str">
        <f>IF(NOT(ISERROR(FIND("NoICP",Pre_Close_AMF_Table[[#This Row],[GL_ICP]]))),"",Pre_Close_AMF_Table[[#This Row],[GL_ICP]])</f>
        <v/>
      </c>
      <c r="I20" t="s">
        <v>1212</v>
      </c>
      <c r="J20" t="s">
        <v>1213</v>
      </c>
      <c r="K20" t="str">
        <f>IFERROR(VLOOKUP(VALUE(Pre_Close_AMF_Table[[#This Row],[GL_PC]]),BNS_Profit_Centers[],2,FALSE),"TE")</f>
        <v>TE</v>
      </c>
      <c r="L20" t="s">
        <v>1213</v>
      </c>
      <c r="M20" t="s">
        <v>399</v>
      </c>
      <c r="N20" t="s">
        <v>1214</v>
      </c>
      <c r="O20" s="33">
        <v>52417</v>
      </c>
    </row>
    <row r="21" spans="1:15" x14ac:dyDescent="0.25">
      <c r="A21" t="s">
        <v>1247</v>
      </c>
      <c r="B21" t="s">
        <v>1248</v>
      </c>
      <c r="C21" t="s">
        <v>477</v>
      </c>
      <c r="D21" t="str">
        <f>VLOOKUP(Pre_Close_AMF_Table[[#This Row],[HFM_Account]],HFM_Acct_OCF_Activity[],3,FALSE)</f>
        <v>Exclude</v>
      </c>
      <c r="E21" t="s">
        <v>1210</v>
      </c>
      <c r="F21" t="s">
        <v>1194</v>
      </c>
      <c r="G21" t="s">
        <v>1249</v>
      </c>
      <c r="H21" t="str">
        <f>IF(NOT(ISERROR(FIND("NoICP",Pre_Close_AMF_Table[[#This Row],[GL_ICP]]))),"",Pre_Close_AMF_Table[[#This Row],[GL_ICP]])</f>
        <v>ZZ1797</v>
      </c>
      <c r="I21" t="s">
        <v>1250</v>
      </c>
      <c r="J21" t="s">
        <v>1213</v>
      </c>
      <c r="K21" t="str">
        <f>IFERROR(VLOOKUP(VALUE(Pre_Close_AMF_Table[[#This Row],[GL_PC]]),BNS_Profit_Centers[],2,FALSE),"TE")</f>
        <v>TE</v>
      </c>
      <c r="L21" t="s">
        <v>1213</v>
      </c>
      <c r="M21" t="s">
        <v>1247</v>
      </c>
      <c r="N21" t="s">
        <v>1214</v>
      </c>
      <c r="O21" s="33">
        <v>3353703.31</v>
      </c>
    </row>
    <row r="22" spans="1:15" x14ac:dyDescent="0.25">
      <c r="A22" t="s">
        <v>387</v>
      </c>
      <c r="B22" t="s">
        <v>1251</v>
      </c>
      <c r="C22" t="s">
        <v>387</v>
      </c>
      <c r="D22" t="str">
        <f>VLOOKUP(Pre_Close_AMF_Table[[#This Row],[HFM_Account]],HFM_Acct_OCF_Activity[],3,FALSE)</f>
        <v>Exclude</v>
      </c>
      <c r="E22" t="s">
        <v>1210</v>
      </c>
      <c r="F22" t="s">
        <v>1194</v>
      </c>
      <c r="G22" t="s">
        <v>1252</v>
      </c>
      <c r="H22" t="str">
        <f>IF(NOT(ISERROR(FIND("NoICP",Pre_Close_AMF_Table[[#This Row],[GL_ICP]]))),"",Pre_Close_AMF_Table[[#This Row],[GL_ICP]])</f>
        <v>ZZ1151</v>
      </c>
      <c r="I22" t="s">
        <v>1253</v>
      </c>
      <c r="J22" t="s">
        <v>1213</v>
      </c>
      <c r="K22" t="str">
        <f>IFERROR(VLOOKUP(VALUE(Pre_Close_AMF_Table[[#This Row],[GL_PC]]),BNS_Profit_Centers[],2,FALSE),"TE")</f>
        <v>TE</v>
      </c>
      <c r="L22" t="s">
        <v>1213</v>
      </c>
      <c r="M22" t="s">
        <v>387</v>
      </c>
      <c r="N22" t="s">
        <v>1214</v>
      </c>
      <c r="O22" s="33">
        <v>538200</v>
      </c>
    </row>
    <row r="23" spans="1:15" x14ac:dyDescent="0.25">
      <c r="A23" t="s">
        <v>899</v>
      </c>
      <c r="B23" t="s">
        <v>412</v>
      </c>
      <c r="C23" t="s">
        <v>411</v>
      </c>
      <c r="D23" t="str">
        <f>VLOOKUP(Pre_Close_AMF_Table[[#This Row],[HFM_Account]],HFM_Acct_OCF_Activity[],3,FALSE)</f>
        <v>Indirect</v>
      </c>
      <c r="E23" t="s">
        <v>1210</v>
      </c>
      <c r="F23" t="s">
        <v>1194</v>
      </c>
      <c r="G23" t="s">
        <v>1254</v>
      </c>
      <c r="H23" t="str">
        <f>IF(NOT(ISERROR(FIND("NoICP",Pre_Close_AMF_Table[[#This Row],[GL_ICP]]))),"",Pre_Close_AMF_Table[[#This Row],[GL_ICP]])</f>
        <v/>
      </c>
      <c r="I23" t="s">
        <v>1212</v>
      </c>
      <c r="J23" t="s">
        <v>1213</v>
      </c>
      <c r="K23" t="str">
        <f>IFERROR(VLOOKUP(VALUE(Pre_Close_AMF_Table[[#This Row],[GL_PC]]),BNS_Profit_Centers[],2,FALSE),"TE")</f>
        <v>TE</v>
      </c>
      <c r="L23" t="s">
        <v>1213</v>
      </c>
      <c r="M23" t="s">
        <v>899</v>
      </c>
      <c r="N23" t="s">
        <v>1214</v>
      </c>
      <c r="O23" s="33">
        <v>132993.57</v>
      </c>
    </row>
    <row r="24" spans="1:15" x14ac:dyDescent="0.25">
      <c r="A24" t="s">
        <v>907</v>
      </c>
      <c r="B24" t="s">
        <v>1255</v>
      </c>
      <c r="C24" t="s">
        <v>415</v>
      </c>
      <c r="D24" t="str">
        <f>VLOOKUP(Pre_Close_AMF_Table[[#This Row],[HFM_Account]],HFM_Acct_OCF_Activity[],3,FALSE)</f>
        <v>Indirect</v>
      </c>
      <c r="E24" t="s">
        <v>1210</v>
      </c>
      <c r="F24" t="s">
        <v>1194</v>
      </c>
      <c r="G24" t="s">
        <v>1256</v>
      </c>
      <c r="H24" t="str">
        <f>IF(NOT(ISERROR(FIND("NoICP",Pre_Close_AMF_Table[[#This Row],[GL_ICP]]))),"",Pre_Close_AMF_Table[[#This Row],[GL_ICP]])</f>
        <v/>
      </c>
      <c r="I24" t="s">
        <v>1212</v>
      </c>
      <c r="J24" t="s">
        <v>1213</v>
      </c>
      <c r="K24" t="str">
        <f>IFERROR(VLOOKUP(VALUE(Pre_Close_AMF_Table[[#This Row],[GL_PC]]),BNS_Profit_Centers[],2,FALSE),"TE")</f>
        <v>TE</v>
      </c>
      <c r="L24" t="s">
        <v>1213</v>
      </c>
      <c r="M24" t="s">
        <v>907</v>
      </c>
      <c r="N24" t="s">
        <v>1214</v>
      </c>
      <c r="O24" s="33">
        <v>8513.2099999999991</v>
      </c>
    </row>
    <row r="25" spans="1:15" x14ac:dyDescent="0.25">
      <c r="A25" t="s">
        <v>913</v>
      </c>
      <c r="B25" t="s">
        <v>1257</v>
      </c>
      <c r="C25" t="s">
        <v>417</v>
      </c>
      <c r="D25" t="str">
        <f>VLOOKUP(Pre_Close_AMF_Table[[#This Row],[HFM_Account]],HFM_Acct_OCF_Activity[],3,FALSE)</f>
        <v>Indirect</v>
      </c>
      <c r="E25" t="s">
        <v>1210</v>
      </c>
      <c r="F25" t="s">
        <v>1194</v>
      </c>
      <c r="G25" t="s">
        <v>1258</v>
      </c>
      <c r="H25" t="str">
        <f>IF(NOT(ISERROR(FIND("NoICP",Pre_Close_AMF_Table[[#This Row],[GL_ICP]]))),"",Pre_Close_AMF_Table[[#This Row],[GL_ICP]])</f>
        <v/>
      </c>
      <c r="I25" t="s">
        <v>1212</v>
      </c>
      <c r="J25" t="s">
        <v>1213</v>
      </c>
      <c r="K25" t="str">
        <f>IFERROR(VLOOKUP(VALUE(Pre_Close_AMF_Table[[#This Row],[GL_PC]]),BNS_Profit_Centers[],2,FALSE),"TE")</f>
        <v>TE</v>
      </c>
      <c r="L25" t="s">
        <v>1213</v>
      </c>
      <c r="M25" t="s">
        <v>913</v>
      </c>
      <c r="N25" t="s">
        <v>1214</v>
      </c>
      <c r="O25" s="33">
        <v>110423.83</v>
      </c>
    </row>
    <row r="26" spans="1:15" x14ac:dyDescent="0.25">
      <c r="A26" t="s">
        <v>917</v>
      </c>
      <c r="B26" t="s">
        <v>1259</v>
      </c>
      <c r="C26" t="s">
        <v>421</v>
      </c>
      <c r="D26" t="str">
        <f>VLOOKUP(Pre_Close_AMF_Table[[#This Row],[HFM_Account]],HFM_Acct_OCF_Activity[],3,FALSE)</f>
        <v>Indirect</v>
      </c>
      <c r="E26" t="s">
        <v>1210</v>
      </c>
      <c r="F26" t="s">
        <v>1194</v>
      </c>
      <c r="G26" t="s">
        <v>1260</v>
      </c>
      <c r="H26" t="str">
        <f>IF(NOT(ISERROR(FIND("NoICP",Pre_Close_AMF_Table[[#This Row],[GL_ICP]]))),"",Pre_Close_AMF_Table[[#This Row],[GL_ICP]])</f>
        <v/>
      </c>
      <c r="I26" t="s">
        <v>1212</v>
      </c>
      <c r="J26" t="s">
        <v>1213</v>
      </c>
      <c r="K26" t="str">
        <f>IFERROR(VLOOKUP(VALUE(Pre_Close_AMF_Table[[#This Row],[GL_PC]]),BNS_Profit_Centers[],2,FALSE),"TE")</f>
        <v>TE</v>
      </c>
      <c r="L26" t="s">
        <v>1213</v>
      </c>
      <c r="M26" t="s">
        <v>917</v>
      </c>
      <c r="N26" t="s">
        <v>1214</v>
      </c>
      <c r="O26" s="33">
        <v>5131.92</v>
      </c>
    </row>
    <row r="27" spans="1:15" x14ac:dyDescent="0.25">
      <c r="A27" t="s">
        <v>429</v>
      </c>
      <c r="B27" t="s">
        <v>1261</v>
      </c>
      <c r="C27" t="s">
        <v>429</v>
      </c>
      <c r="D27" t="str">
        <f>VLOOKUP(Pre_Close_AMF_Table[[#This Row],[HFM_Account]],HFM_Acct_OCF_Activity[],3,FALSE)</f>
        <v>Indirect</v>
      </c>
      <c r="E27" t="s">
        <v>1210</v>
      </c>
      <c r="F27" t="s">
        <v>1194</v>
      </c>
      <c r="G27" t="s">
        <v>1262</v>
      </c>
      <c r="H27" t="str">
        <f>IF(NOT(ISERROR(FIND("NoICP",Pre_Close_AMF_Table[[#This Row],[GL_ICP]]))),"",Pre_Close_AMF_Table[[#This Row],[GL_ICP]])</f>
        <v/>
      </c>
      <c r="I27" t="s">
        <v>1212</v>
      </c>
      <c r="J27" t="s">
        <v>1213</v>
      </c>
      <c r="K27" t="str">
        <f>IFERROR(VLOOKUP(VALUE(Pre_Close_AMF_Table[[#This Row],[GL_PC]]),BNS_Profit_Centers[],2,FALSE),"TE")</f>
        <v>TE</v>
      </c>
      <c r="L27" t="s">
        <v>1213</v>
      </c>
      <c r="M27" t="s">
        <v>429</v>
      </c>
      <c r="N27" t="s">
        <v>1214</v>
      </c>
      <c r="O27" s="33">
        <v>-132993.57</v>
      </c>
    </row>
    <row r="28" spans="1:15" x14ac:dyDescent="0.25">
      <c r="A28" t="s">
        <v>928</v>
      </c>
      <c r="B28" t="s">
        <v>1263</v>
      </c>
      <c r="C28" t="s">
        <v>433</v>
      </c>
      <c r="D28" t="str">
        <f>VLOOKUP(Pre_Close_AMF_Table[[#This Row],[HFM_Account]],HFM_Acct_OCF_Activity[],3,FALSE)</f>
        <v>Indirect</v>
      </c>
      <c r="E28" t="s">
        <v>1210</v>
      </c>
      <c r="F28" t="s">
        <v>1194</v>
      </c>
      <c r="G28" t="s">
        <v>1264</v>
      </c>
      <c r="H28" t="str">
        <f>IF(NOT(ISERROR(FIND("NoICP",Pre_Close_AMF_Table[[#This Row],[GL_ICP]]))),"",Pre_Close_AMF_Table[[#This Row],[GL_ICP]])</f>
        <v/>
      </c>
      <c r="I28" t="s">
        <v>1212</v>
      </c>
      <c r="J28" t="s">
        <v>1213</v>
      </c>
      <c r="K28" t="str">
        <f>IFERROR(VLOOKUP(VALUE(Pre_Close_AMF_Table[[#This Row],[GL_PC]]),BNS_Profit_Centers[],2,FALSE),"TE")</f>
        <v>TE</v>
      </c>
      <c r="L28" t="s">
        <v>1213</v>
      </c>
      <c r="M28" t="s">
        <v>928</v>
      </c>
      <c r="N28" t="s">
        <v>1214</v>
      </c>
      <c r="O28" s="33">
        <v>-8513.2099999999991</v>
      </c>
    </row>
    <row r="29" spans="1:15" x14ac:dyDescent="0.25">
      <c r="A29" t="s">
        <v>932</v>
      </c>
      <c r="B29" t="s">
        <v>1265</v>
      </c>
      <c r="C29" t="s">
        <v>435</v>
      </c>
      <c r="D29" t="str">
        <f>VLOOKUP(Pre_Close_AMF_Table[[#This Row],[HFM_Account]],HFM_Acct_OCF_Activity[],3,FALSE)</f>
        <v>Indirect</v>
      </c>
      <c r="E29" t="s">
        <v>1210</v>
      </c>
      <c r="F29" t="s">
        <v>1194</v>
      </c>
      <c r="G29" t="s">
        <v>1266</v>
      </c>
      <c r="H29" t="str">
        <f>IF(NOT(ISERROR(FIND("NoICP",Pre_Close_AMF_Table[[#This Row],[GL_ICP]]))),"",Pre_Close_AMF_Table[[#This Row],[GL_ICP]])</f>
        <v/>
      </c>
      <c r="I29" t="s">
        <v>1212</v>
      </c>
      <c r="J29" t="s">
        <v>1213</v>
      </c>
      <c r="K29" t="str">
        <f>IFERROR(VLOOKUP(VALUE(Pre_Close_AMF_Table[[#This Row],[GL_PC]]),BNS_Profit_Centers[],2,FALSE),"TE")</f>
        <v>TE</v>
      </c>
      <c r="L29" t="s">
        <v>1213</v>
      </c>
      <c r="M29" t="s">
        <v>932</v>
      </c>
      <c r="N29" t="s">
        <v>1214</v>
      </c>
      <c r="O29" s="33">
        <v>-104161.83</v>
      </c>
    </row>
    <row r="30" spans="1:15" x14ac:dyDescent="0.25">
      <c r="A30" t="s">
        <v>936</v>
      </c>
      <c r="B30" t="s">
        <v>1267</v>
      </c>
      <c r="C30" t="s">
        <v>439</v>
      </c>
      <c r="D30" t="str">
        <f>VLOOKUP(Pre_Close_AMF_Table[[#This Row],[HFM_Account]],HFM_Acct_OCF_Activity[],3,FALSE)</f>
        <v>Indirect</v>
      </c>
      <c r="E30" t="s">
        <v>1210</v>
      </c>
      <c r="F30" t="s">
        <v>1194</v>
      </c>
      <c r="G30" t="s">
        <v>1268</v>
      </c>
      <c r="H30" t="str">
        <f>IF(NOT(ISERROR(FIND("NoICP",Pre_Close_AMF_Table[[#This Row],[GL_ICP]]))),"",Pre_Close_AMF_Table[[#This Row],[GL_ICP]])</f>
        <v/>
      </c>
      <c r="I30" t="s">
        <v>1212</v>
      </c>
      <c r="J30" t="s">
        <v>1213</v>
      </c>
      <c r="K30" t="str">
        <f>IFERROR(VLOOKUP(VALUE(Pre_Close_AMF_Table[[#This Row],[GL_PC]]),BNS_Profit_Centers[],2,FALSE),"TE")</f>
        <v>TE</v>
      </c>
      <c r="L30" t="s">
        <v>1213</v>
      </c>
      <c r="M30" t="s">
        <v>936</v>
      </c>
      <c r="N30" t="s">
        <v>1214</v>
      </c>
      <c r="O30" s="33">
        <v>-5131.92</v>
      </c>
    </row>
    <row r="31" spans="1:15" x14ac:dyDescent="0.25">
      <c r="A31" t="s">
        <v>515</v>
      </c>
      <c r="B31" t="s">
        <v>516</v>
      </c>
      <c r="C31" t="s">
        <v>515</v>
      </c>
      <c r="D31" t="str">
        <f>VLOOKUP(Pre_Close_AMF_Table[[#This Row],[HFM_Account]],HFM_Acct_OCF_Activity[],3,FALSE)</f>
        <v>Indirect</v>
      </c>
      <c r="E31" t="s">
        <v>1210</v>
      </c>
      <c r="F31" t="s">
        <v>1194</v>
      </c>
      <c r="G31" t="s">
        <v>1269</v>
      </c>
      <c r="H31" t="str">
        <f>IF(NOT(ISERROR(FIND("NoICP",Pre_Close_AMF_Table[[#This Row],[GL_ICP]]))),"",Pre_Close_AMF_Table[[#This Row],[GL_ICP]])</f>
        <v/>
      </c>
      <c r="I31" t="s">
        <v>1212</v>
      </c>
      <c r="J31" t="s">
        <v>1213</v>
      </c>
      <c r="K31" t="str">
        <f>IFERROR(VLOOKUP(VALUE(Pre_Close_AMF_Table[[#This Row],[GL_PC]]),BNS_Profit_Centers[],2,FALSE),"TE")</f>
        <v>TE</v>
      </c>
      <c r="L31" t="s">
        <v>1213</v>
      </c>
      <c r="M31" t="s">
        <v>515</v>
      </c>
      <c r="N31" t="s">
        <v>1214</v>
      </c>
      <c r="O31" s="33">
        <v>-25564.39</v>
      </c>
    </row>
    <row r="32" spans="1:15" x14ac:dyDescent="0.25">
      <c r="A32" t="s">
        <v>1148</v>
      </c>
      <c r="B32" t="s">
        <v>1270</v>
      </c>
      <c r="C32" t="s">
        <v>515</v>
      </c>
      <c r="D32" t="str">
        <f>VLOOKUP(Pre_Close_AMF_Table[[#This Row],[HFM_Account]],HFM_Acct_OCF_Activity[],3,FALSE)</f>
        <v>Indirect</v>
      </c>
      <c r="E32" t="s">
        <v>1210</v>
      </c>
      <c r="F32" t="s">
        <v>1194</v>
      </c>
      <c r="G32" t="s">
        <v>1271</v>
      </c>
      <c r="H32" t="str">
        <f>IF(NOT(ISERROR(FIND("NoICP",Pre_Close_AMF_Table[[#This Row],[GL_ICP]]))),"",Pre_Close_AMF_Table[[#This Row],[GL_ICP]])</f>
        <v/>
      </c>
      <c r="I32" t="s">
        <v>1212</v>
      </c>
      <c r="J32" t="s">
        <v>1213</v>
      </c>
      <c r="K32" t="str">
        <f>IFERROR(VLOOKUP(VALUE(Pre_Close_AMF_Table[[#This Row],[GL_PC]]),BNS_Profit_Centers[],2,FALSE),"TE")</f>
        <v>TE</v>
      </c>
      <c r="L32" t="s">
        <v>1213</v>
      </c>
      <c r="M32" t="s">
        <v>1148</v>
      </c>
      <c r="N32" t="s">
        <v>1214</v>
      </c>
      <c r="O32" s="33">
        <v>-102.5</v>
      </c>
    </row>
    <row r="33" spans="1:15" x14ac:dyDescent="0.25">
      <c r="A33" t="s">
        <v>1149</v>
      </c>
      <c r="B33" t="s">
        <v>1272</v>
      </c>
      <c r="C33" t="s">
        <v>517</v>
      </c>
      <c r="D33" t="str">
        <f>VLOOKUP(Pre_Close_AMF_Table[[#This Row],[HFM_Account]],HFM_Acct_OCF_Activity[],3,FALSE)</f>
        <v>Indirect</v>
      </c>
      <c r="E33" t="s">
        <v>1210</v>
      </c>
      <c r="F33" t="s">
        <v>1194</v>
      </c>
      <c r="G33" t="s">
        <v>1273</v>
      </c>
      <c r="H33" t="str">
        <f>IF(NOT(ISERROR(FIND("NoICP",Pre_Close_AMF_Table[[#This Row],[GL_ICP]]))),"",Pre_Close_AMF_Table[[#This Row],[GL_ICP]])</f>
        <v/>
      </c>
      <c r="I33" t="s">
        <v>1212</v>
      </c>
      <c r="J33" t="s">
        <v>1213</v>
      </c>
      <c r="K33" t="str">
        <f>IFERROR(VLOOKUP(VALUE(Pre_Close_AMF_Table[[#This Row],[GL_PC]]),BNS_Profit_Centers[],2,FALSE),"TE")</f>
        <v>TE</v>
      </c>
      <c r="L33" t="s">
        <v>1213</v>
      </c>
      <c r="M33" t="s">
        <v>1149</v>
      </c>
      <c r="N33" t="s">
        <v>1214</v>
      </c>
      <c r="O33" s="33">
        <v>-18666.2</v>
      </c>
    </row>
    <row r="34" spans="1:15" x14ac:dyDescent="0.25">
      <c r="A34" t="s">
        <v>1274</v>
      </c>
      <c r="B34" t="s">
        <v>1275</v>
      </c>
      <c r="C34" t="s">
        <v>517</v>
      </c>
      <c r="D34" t="str">
        <f>VLOOKUP(Pre_Close_AMF_Table[[#This Row],[HFM_Account]],HFM_Acct_OCF_Activity[],3,FALSE)</f>
        <v>Indirect</v>
      </c>
      <c r="E34" t="s">
        <v>1210</v>
      </c>
      <c r="F34" t="s">
        <v>1194</v>
      </c>
      <c r="G34" t="s">
        <v>1276</v>
      </c>
      <c r="H34" t="str">
        <f>IF(NOT(ISERROR(FIND("NoICP",Pre_Close_AMF_Table[[#This Row],[GL_ICP]]))),"",Pre_Close_AMF_Table[[#This Row],[GL_ICP]])</f>
        <v/>
      </c>
      <c r="I34" t="s">
        <v>1212</v>
      </c>
      <c r="J34" t="s">
        <v>1213</v>
      </c>
      <c r="K34" t="str">
        <f>IFERROR(VLOOKUP(VALUE(Pre_Close_AMF_Table[[#This Row],[GL_PC]]),BNS_Profit_Centers[],2,FALSE),"TE")</f>
        <v>TE</v>
      </c>
      <c r="L34" t="s">
        <v>1213</v>
      </c>
      <c r="M34" t="s">
        <v>1274</v>
      </c>
      <c r="N34" t="s">
        <v>1214</v>
      </c>
      <c r="O34" s="33">
        <v>18666.2</v>
      </c>
    </row>
    <row r="35" spans="1:15" x14ac:dyDescent="0.25">
      <c r="A35" t="s">
        <v>639</v>
      </c>
      <c r="B35" t="s">
        <v>1277</v>
      </c>
      <c r="C35" t="s">
        <v>639</v>
      </c>
      <c r="D35" t="str">
        <f>VLOOKUP(Pre_Close_AMF_Table[[#This Row],[HFM_Account]],HFM_Acct_OCF_Activity[],3,FALSE)</f>
        <v>Intercompany</v>
      </c>
      <c r="E35" t="s">
        <v>1210</v>
      </c>
      <c r="F35" t="s">
        <v>1194</v>
      </c>
      <c r="G35" t="s">
        <v>1217</v>
      </c>
      <c r="H35" t="str">
        <f>IF(NOT(ISERROR(FIND("NoICP",Pre_Close_AMF_Table[[#This Row],[GL_ICP]]))),"",Pre_Close_AMF_Table[[#This Row],[GL_ICP]])</f>
        <v>ZZ0048</v>
      </c>
      <c r="I35" t="s">
        <v>1218</v>
      </c>
      <c r="J35" t="s">
        <v>1213</v>
      </c>
      <c r="K35" t="str">
        <f>IFERROR(VLOOKUP(VALUE(Pre_Close_AMF_Table[[#This Row],[GL_PC]]),BNS_Profit_Centers[],2,FALSE),"TE")</f>
        <v>TE</v>
      </c>
      <c r="L35" t="s">
        <v>1213</v>
      </c>
      <c r="M35" t="s">
        <v>639</v>
      </c>
      <c r="N35" t="s">
        <v>1214</v>
      </c>
      <c r="O35" s="33">
        <v>-6700.11</v>
      </c>
    </row>
    <row r="36" spans="1:15" x14ac:dyDescent="0.25">
      <c r="A36" t="s">
        <v>639</v>
      </c>
      <c r="B36" t="s">
        <v>1277</v>
      </c>
      <c r="C36" t="s">
        <v>639</v>
      </c>
      <c r="D36" t="str">
        <f>VLOOKUP(Pre_Close_AMF_Table[[#This Row],[HFM_Account]],HFM_Acct_OCF_Activity[],3,FALSE)</f>
        <v>Intercompany</v>
      </c>
      <c r="E36" t="s">
        <v>1210</v>
      </c>
      <c r="F36" t="s">
        <v>1194</v>
      </c>
      <c r="G36" t="s">
        <v>1252</v>
      </c>
      <c r="H36" t="str">
        <f>IF(NOT(ISERROR(FIND("NoICP",Pre_Close_AMF_Table[[#This Row],[GL_ICP]]))),"",Pre_Close_AMF_Table[[#This Row],[GL_ICP]])</f>
        <v>ZZ1151</v>
      </c>
      <c r="I36" t="s">
        <v>1253</v>
      </c>
      <c r="J36" t="s">
        <v>1213</v>
      </c>
      <c r="K36" t="str">
        <f>IFERROR(VLOOKUP(VALUE(Pre_Close_AMF_Table[[#This Row],[GL_PC]]),BNS_Profit_Centers[],2,FALSE),"TE")</f>
        <v>TE</v>
      </c>
      <c r="L36" t="s">
        <v>1213</v>
      </c>
      <c r="M36" t="s">
        <v>639</v>
      </c>
      <c r="N36" t="s">
        <v>1214</v>
      </c>
      <c r="O36" s="33">
        <v>-24.94</v>
      </c>
    </row>
    <row r="37" spans="1:15" x14ac:dyDescent="0.25">
      <c r="A37" t="s">
        <v>639</v>
      </c>
      <c r="B37" t="s">
        <v>1277</v>
      </c>
      <c r="C37" t="s">
        <v>639</v>
      </c>
      <c r="D37" t="str">
        <f>VLOOKUP(Pre_Close_AMF_Table[[#This Row],[HFM_Account]],HFM_Acct_OCF_Activity[],3,FALSE)</f>
        <v>Intercompany</v>
      </c>
      <c r="E37" t="s">
        <v>1210</v>
      </c>
      <c r="F37" t="s">
        <v>1194</v>
      </c>
      <c r="G37" t="s">
        <v>1278</v>
      </c>
      <c r="H37" t="str">
        <f>IF(NOT(ISERROR(FIND("NoICP",Pre_Close_AMF_Table[[#This Row],[GL_ICP]]))),"",Pre_Close_AMF_Table[[#This Row],[GL_ICP]])</f>
        <v>ZZ1798</v>
      </c>
      <c r="I37" t="s">
        <v>1279</v>
      </c>
      <c r="J37" t="s">
        <v>1213</v>
      </c>
      <c r="K37" t="str">
        <f>IFERROR(VLOOKUP(VALUE(Pre_Close_AMF_Table[[#This Row],[GL_PC]]),BNS_Profit_Centers[],2,FALSE),"TE")</f>
        <v>TE</v>
      </c>
      <c r="L37" t="s">
        <v>1213</v>
      </c>
      <c r="M37" t="s">
        <v>639</v>
      </c>
      <c r="N37" t="s">
        <v>1214</v>
      </c>
      <c r="O37" s="33">
        <v>-6098.44</v>
      </c>
    </row>
    <row r="38" spans="1:15" x14ac:dyDescent="0.25">
      <c r="A38" t="s">
        <v>1280</v>
      </c>
      <c r="B38" t="s">
        <v>1281</v>
      </c>
      <c r="C38" t="s">
        <v>639</v>
      </c>
      <c r="D38" t="str">
        <f>VLOOKUP(Pre_Close_AMF_Table[[#This Row],[HFM_Account]],HFM_Acct_OCF_Activity[],3,FALSE)</f>
        <v>Intercompany</v>
      </c>
      <c r="E38" t="s">
        <v>1210</v>
      </c>
      <c r="F38" t="s">
        <v>1194</v>
      </c>
      <c r="G38" t="s">
        <v>1217</v>
      </c>
      <c r="H38" t="str">
        <f>IF(NOT(ISERROR(FIND("NoICP",Pre_Close_AMF_Table[[#This Row],[GL_ICP]]))),"",Pre_Close_AMF_Table[[#This Row],[GL_ICP]])</f>
        <v>ZZ0048</v>
      </c>
      <c r="I38" t="s">
        <v>1218</v>
      </c>
      <c r="J38" t="s">
        <v>1213</v>
      </c>
      <c r="K38" t="str">
        <f>IFERROR(VLOOKUP(VALUE(Pre_Close_AMF_Table[[#This Row],[GL_PC]]),BNS_Profit_Centers[],2,FALSE),"TE")</f>
        <v>TE</v>
      </c>
      <c r="L38" t="s">
        <v>1213</v>
      </c>
      <c r="M38" t="s">
        <v>1280</v>
      </c>
      <c r="N38" t="s">
        <v>1214</v>
      </c>
      <c r="O38" s="33">
        <v>-89.65</v>
      </c>
    </row>
    <row r="39" spans="1:15" x14ac:dyDescent="0.25">
      <c r="A39" t="s">
        <v>1280</v>
      </c>
      <c r="B39" t="s">
        <v>1281</v>
      </c>
      <c r="C39" t="s">
        <v>639</v>
      </c>
      <c r="D39" t="str">
        <f>VLOOKUP(Pre_Close_AMF_Table[[#This Row],[HFM_Account]],HFM_Acct_OCF_Activity[],3,FALSE)</f>
        <v>Intercompany</v>
      </c>
      <c r="E39" t="s">
        <v>1210</v>
      </c>
      <c r="F39" t="s">
        <v>1194</v>
      </c>
      <c r="G39" t="s">
        <v>1278</v>
      </c>
      <c r="H39" t="str">
        <f>IF(NOT(ISERROR(FIND("NoICP",Pre_Close_AMF_Table[[#This Row],[GL_ICP]]))),"",Pre_Close_AMF_Table[[#This Row],[GL_ICP]])</f>
        <v>ZZ1798</v>
      </c>
      <c r="I39" t="s">
        <v>1279</v>
      </c>
      <c r="J39" t="s">
        <v>1213</v>
      </c>
      <c r="K39" t="str">
        <f>IFERROR(VLOOKUP(VALUE(Pre_Close_AMF_Table[[#This Row],[GL_PC]]),BNS_Profit_Centers[],2,FALSE),"TE")</f>
        <v>TE</v>
      </c>
      <c r="L39" t="s">
        <v>1213</v>
      </c>
      <c r="M39" t="s">
        <v>1280</v>
      </c>
      <c r="N39" t="s">
        <v>1214</v>
      </c>
      <c r="O39" s="33">
        <v>-79.42</v>
      </c>
    </row>
    <row r="40" spans="1:15" x14ac:dyDescent="0.25">
      <c r="A40" t="s">
        <v>1282</v>
      </c>
      <c r="B40" t="s">
        <v>1283</v>
      </c>
      <c r="C40" t="s">
        <v>585</v>
      </c>
      <c r="D40" t="str">
        <f>VLOOKUP(Pre_Close_AMF_Table[[#This Row],[HFM_Account]],HFM_Acct_OCF_Activity[],3,FALSE)</f>
        <v>Indirect</v>
      </c>
      <c r="E40" t="s">
        <v>1210</v>
      </c>
      <c r="F40" t="s">
        <v>1194</v>
      </c>
      <c r="G40" t="s">
        <v>1284</v>
      </c>
      <c r="H40" t="str">
        <f>IF(NOT(ISERROR(FIND("NoICP",Pre_Close_AMF_Table[[#This Row],[GL_ICP]]))),"",Pre_Close_AMF_Table[[#This Row],[GL_ICP]])</f>
        <v/>
      </c>
      <c r="I40" t="s">
        <v>1212</v>
      </c>
      <c r="J40" t="s">
        <v>1213</v>
      </c>
      <c r="K40" t="str">
        <f>IFERROR(VLOOKUP(VALUE(Pre_Close_AMF_Table[[#This Row],[GL_PC]]),BNS_Profit_Centers[],2,FALSE),"TE")</f>
        <v>TE</v>
      </c>
      <c r="L40" t="s">
        <v>1213</v>
      </c>
      <c r="M40" t="s">
        <v>1282</v>
      </c>
      <c r="N40" t="s">
        <v>1214</v>
      </c>
      <c r="O40" s="33">
        <v>-46700</v>
      </c>
    </row>
    <row r="41" spans="1:15" x14ac:dyDescent="0.25">
      <c r="A41" t="s">
        <v>1285</v>
      </c>
      <c r="B41" t="s">
        <v>1286</v>
      </c>
      <c r="C41" t="s">
        <v>527</v>
      </c>
      <c r="D41" t="str">
        <f>VLOOKUP(Pre_Close_AMF_Table[[#This Row],[HFM_Account]],HFM_Acct_OCF_Activity[],3,FALSE)</f>
        <v>Indirect</v>
      </c>
      <c r="E41" t="s">
        <v>1210</v>
      </c>
      <c r="F41" t="s">
        <v>1194</v>
      </c>
      <c r="G41" t="s">
        <v>1287</v>
      </c>
      <c r="H41" t="str">
        <f>IF(NOT(ISERROR(FIND("NoICP",Pre_Close_AMF_Table[[#This Row],[GL_ICP]]))),"",Pre_Close_AMF_Table[[#This Row],[GL_ICP]])</f>
        <v/>
      </c>
      <c r="I41" t="s">
        <v>1212</v>
      </c>
      <c r="J41" t="s">
        <v>1213</v>
      </c>
      <c r="K41" t="str">
        <f>IFERROR(VLOOKUP(VALUE(Pre_Close_AMF_Table[[#This Row],[GL_PC]]),BNS_Profit_Centers[],2,FALSE),"TE")</f>
        <v>TE</v>
      </c>
      <c r="L41" t="s">
        <v>1213</v>
      </c>
      <c r="M41" t="s">
        <v>1285</v>
      </c>
      <c r="N41" t="s">
        <v>1214</v>
      </c>
      <c r="O41" s="33">
        <v>-186668.03</v>
      </c>
    </row>
    <row r="42" spans="1:15" x14ac:dyDescent="0.25">
      <c r="A42" t="s">
        <v>1288</v>
      </c>
      <c r="B42" t="s">
        <v>1289</v>
      </c>
      <c r="C42" t="s">
        <v>521</v>
      </c>
      <c r="D42" t="str">
        <f>VLOOKUP(Pre_Close_AMF_Table[[#This Row],[HFM_Account]],HFM_Acct_OCF_Activity[],3,FALSE)</f>
        <v>Indirect</v>
      </c>
      <c r="E42" t="s">
        <v>1210</v>
      </c>
      <c r="F42" t="s">
        <v>1194</v>
      </c>
      <c r="G42" t="s">
        <v>1290</v>
      </c>
      <c r="H42" t="str">
        <f>IF(NOT(ISERROR(FIND("NoICP",Pre_Close_AMF_Table[[#This Row],[GL_ICP]]))),"",Pre_Close_AMF_Table[[#This Row],[GL_ICP]])</f>
        <v/>
      </c>
      <c r="I42" t="s">
        <v>1212</v>
      </c>
      <c r="J42" t="s">
        <v>1213</v>
      </c>
      <c r="K42" t="str">
        <f>IFERROR(VLOOKUP(VALUE(Pre_Close_AMF_Table[[#This Row],[GL_PC]]),BNS_Profit_Centers[],2,FALSE),"TE")</f>
        <v>TE</v>
      </c>
      <c r="L42" t="s">
        <v>1213</v>
      </c>
      <c r="M42" t="s">
        <v>1288</v>
      </c>
      <c r="N42" t="s">
        <v>1214</v>
      </c>
      <c r="O42" s="33">
        <v>-30147.77</v>
      </c>
    </row>
    <row r="43" spans="1:15" x14ac:dyDescent="0.25">
      <c r="A43" t="s">
        <v>1291</v>
      </c>
      <c r="B43" t="s">
        <v>1292</v>
      </c>
      <c r="C43" t="s">
        <v>521</v>
      </c>
      <c r="D43" t="str">
        <f>VLOOKUP(Pre_Close_AMF_Table[[#This Row],[HFM_Account]],HFM_Acct_OCF_Activity[],3,FALSE)</f>
        <v>Indirect</v>
      </c>
      <c r="E43" t="s">
        <v>1210</v>
      </c>
      <c r="F43" t="s">
        <v>1194</v>
      </c>
      <c r="G43" t="s">
        <v>1293</v>
      </c>
      <c r="H43" t="str">
        <f>IF(NOT(ISERROR(FIND("NoICP",Pre_Close_AMF_Table[[#This Row],[GL_ICP]]))),"",Pre_Close_AMF_Table[[#This Row],[GL_ICP]])</f>
        <v/>
      </c>
      <c r="I43" t="s">
        <v>1212</v>
      </c>
      <c r="J43" t="s">
        <v>1213</v>
      </c>
      <c r="K43" t="str">
        <f>IFERROR(VLOOKUP(VALUE(Pre_Close_AMF_Table[[#This Row],[GL_PC]]),BNS_Profit_Centers[],2,FALSE),"TE")</f>
        <v>TE</v>
      </c>
      <c r="L43" t="s">
        <v>1213</v>
      </c>
      <c r="M43" t="s">
        <v>1291</v>
      </c>
      <c r="N43" t="s">
        <v>1214</v>
      </c>
      <c r="O43" s="33">
        <v>-1852.42</v>
      </c>
    </row>
    <row r="44" spans="1:15" x14ac:dyDescent="0.25">
      <c r="A44" t="s">
        <v>617</v>
      </c>
      <c r="B44" t="s">
        <v>1294</v>
      </c>
      <c r="C44" t="s">
        <v>617</v>
      </c>
      <c r="D44" t="str">
        <f>VLOOKUP(Pre_Close_AMF_Table[[#This Row],[HFM_Account]],HFM_Acct_OCF_Activity[],3,FALSE)</f>
        <v>Exclude</v>
      </c>
      <c r="E44" t="s">
        <v>1210</v>
      </c>
      <c r="F44" t="s">
        <v>1194</v>
      </c>
      <c r="G44" t="s">
        <v>1295</v>
      </c>
      <c r="H44" t="str">
        <f>IF(NOT(ISERROR(FIND("NoICP",Pre_Close_AMF_Table[[#This Row],[GL_ICP]]))),"",Pre_Close_AMF_Table[[#This Row],[GL_ICP]])</f>
        <v/>
      </c>
      <c r="I44" t="s">
        <v>1212</v>
      </c>
      <c r="J44" t="s">
        <v>1213</v>
      </c>
      <c r="K44" t="str">
        <f>IFERROR(VLOOKUP(VALUE(Pre_Close_AMF_Table[[#This Row],[GL_PC]]),BNS_Profit_Centers[],2,FALSE),"TE")</f>
        <v>TE</v>
      </c>
      <c r="L44" t="s">
        <v>1213</v>
      </c>
      <c r="M44" t="s">
        <v>617</v>
      </c>
      <c r="N44" t="s">
        <v>1214</v>
      </c>
      <c r="O44" s="33">
        <v>73916.55</v>
      </c>
    </row>
    <row r="45" spans="1:15" x14ac:dyDescent="0.25">
      <c r="A45" t="s">
        <v>1296</v>
      </c>
      <c r="B45" t="s">
        <v>1297</v>
      </c>
      <c r="C45" t="s">
        <v>617</v>
      </c>
      <c r="D45" t="str">
        <f>VLOOKUP(Pre_Close_AMF_Table[[#This Row],[HFM_Account]],HFM_Acct_OCF_Activity[],3,FALSE)</f>
        <v>Exclude</v>
      </c>
      <c r="E45" t="s">
        <v>1210</v>
      </c>
      <c r="F45" t="s">
        <v>1194</v>
      </c>
      <c r="G45" t="s">
        <v>1298</v>
      </c>
      <c r="H45" t="str">
        <f>IF(NOT(ISERROR(FIND("NoICP",Pre_Close_AMF_Table[[#This Row],[GL_ICP]]))),"",Pre_Close_AMF_Table[[#This Row],[GL_ICP]])</f>
        <v/>
      </c>
      <c r="I45" t="s">
        <v>1212</v>
      </c>
      <c r="J45" t="s">
        <v>1213</v>
      </c>
      <c r="K45" t="str">
        <f>IFERROR(VLOOKUP(VALUE(Pre_Close_AMF_Table[[#This Row],[GL_PC]]),BNS_Profit_Centers[],2,FALSE),"TE")</f>
        <v>TE</v>
      </c>
      <c r="L45" t="s">
        <v>1213</v>
      </c>
      <c r="M45" t="s">
        <v>1296</v>
      </c>
      <c r="N45" t="s">
        <v>1214</v>
      </c>
      <c r="O45" s="33">
        <v>-105106</v>
      </c>
    </row>
    <row r="46" spans="1:15" x14ac:dyDescent="0.25">
      <c r="A46" t="s">
        <v>1299</v>
      </c>
      <c r="B46" t="s">
        <v>1300</v>
      </c>
      <c r="C46" t="s">
        <v>539</v>
      </c>
      <c r="D46" t="str">
        <f>VLOOKUP(Pre_Close_AMF_Table[[#This Row],[HFM_Account]],HFM_Acct_OCF_Activity[],3,FALSE)</f>
        <v>Indirect</v>
      </c>
      <c r="E46" t="s">
        <v>1210</v>
      </c>
      <c r="F46" t="s">
        <v>1194</v>
      </c>
      <c r="G46" t="s">
        <v>1301</v>
      </c>
      <c r="H46" t="str">
        <f>IF(NOT(ISERROR(FIND("NoICP",Pre_Close_AMF_Table[[#This Row],[GL_ICP]]))),"",Pre_Close_AMF_Table[[#This Row],[GL_ICP]])</f>
        <v/>
      </c>
      <c r="I46" t="s">
        <v>1212</v>
      </c>
      <c r="J46" t="s">
        <v>1213</v>
      </c>
      <c r="K46" t="str">
        <f>IFERROR(VLOOKUP(VALUE(Pre_Close_AMF_Table[[#This Row],[GL_PC]]),BNS_Profit_Centers[],2,FALSE),"TE")</f>
        <v>TE</v>
      </c>
      <c r="L46" t="s">
        <v>1213</v>
      </c>
      <c r="M46" t="s">
        <v>1299</v>
      </c>
      <c r="N46" t="s">
        <v>1214</v>
      </c>
      <c r="O46" s="33">
        <v>-380</v>
      </c>
    </row>
    <row r="47" spans="1:15" x14ac:dyDescent="0.25">
      <c r="A47" t="s">
        <v>1302</v>
      </c>
      <c r="B47" t="s">
        <v>1303</v>
      </c>
      <c r="C47" t="s">
        <v>539</v>
      </c>
      <c r="D47" t="str">
        <f>VLOOKUP(Pre_Close_AMF_Table[[#This Row],[HFM_Account]],HFM_Acct_OCF_Activity[],3,FALSE)</f>
        <v>Indirect</v>
      </c>
      <c r="E47" t="s">
        <v>1210</v>
      </c>
      <c r="F47" t="s">
        <v>1194</v>
      </c>
      <c r="G47" t="s">
        <v>1304</v>
      </c>
      <c r="H47" t="str">
        <f>IF(NOT(ISERROR(FIND("NoICP",Pre_Close_AMF_Table[[#This Row],[GL_ICP]]))),"",Pre_Close_AMF_Table[[#This Row],[GL_ICP]])</f>
        <v/>
      </c>
      <c r="I47" t="s">
        <v>1212</v>
      </c>
      <c r="J47" t="s">
        <v>1213</v>
      </c>
      <c r="K47" t="str">
        <f>IFERROR(VLOOKUP(VALUE(Pre_Close_AMF_Table[[#This Row],[GL_PC]]),BNS_Profit_Centers[],2,FALSE),"TE")</f>
        <v>TE</v>
      </c>
      <c r="L47" t="s">
        <v>1213</v>
      </c>
      <c r="M47" t="s">
        <v>1302</v>
      </c>
      <c r="N47" t="s">
        <v>1214</v>
      </c>
      <c r="O47" s="33">
        <v>-533.05999999999995</v>
      </c>
    </row>
    <row r="48" spans="1:15" x14ac:dyDescent="0.25">
      <c r="A48" t="s">
        <v>541</v>
      </c>
      <c r="B48" t="s">
        <v>542</v>
      </c>
      <c r="C48" t="s">
        <v>541</v>
      </c>
      <c r="D48" t="str">
        <f>VLOOKUP(Pre_Close_AMF_Table[[#This Row],[HFM_Account]],HFM_Acct_OCF_Activity[],3,FALSE)</f>
        <v>Indirect</v>
      </c>
      <c r="E48" t="s">
        <v>1210</v>
      </c>
      <c r="F48" t="s">
        <v>1194</v>
      </c>
      <c r="G48" t="s">
        <v>1305</v>
      </c>
      <c r="H48" t="str">
        <f>IF(NOT(ISERROR(FIND("NoICP",Pre_Close_AMF_Table[[#This Row],[GL_ICP]]))),"",Pre_Close_AMF_Table[[#This Row],[GL_ICP]])</f>
        <v/>
      </c>
      <c r="I48" t="s">
        <v>1212</v>
      </c>
      <c r="J48" t="s">
        <v>1213</v>
      </c>
      <c r="K48" t="str">
        <f>IFERROR(VLOOKUP(VALUE(Pre_Close_AMF_Table[[#This Row],[GL_PC]]),BNS_Profit_Centers[],2,FALSE),"TE")</f>
        <v>TE</v>
      </c>
      <c r="L48" t="s">
        <v>1213</v>
      </c>
      <c r="M48" t="s">
        <v>541</v>
      </c>
      <c r="N48" t="s">
        <v>1214</v>
      </c>
      <c r="O48" s="33">
        <v>-1650</v>
      </c>
    </row>
    <row r="49" spans="1:15" x14ac:dyDescent="0.25">
      <c r="A49" t="s">
        <v>1306</v>
      </c>
      <c r="B49" t="s">
        <v>1307</v>
      </c>
      <c r="C49" t="s">
        <v>541</v>
      </c>
      <c r="D49" t="str">
        <f>VLOOKUP(Pre_Close_AMF_Table[[#This Row],[HFM_Account]],HFM_Acct_OCF_Activity[],3,FALSE)</f>
        <v>Indirect</v>
      </c>
      <c r="E49" t="s">
        <v>1210</v>
      </c>
      <c r="F49" t="s">
        <v>1194</v>
      </c>
      <c r="G49" t="s">
        <v>1308</v>
      </c>
      <c r="H49" t="str">
        <f>IF(NOT(ISERROR(FIND("NoICP",Pre_Close_AMF_Table[[#This Row],[GL_ICP]]))),"",Pre_Close_AMF_Table[[#This Row],[GL_ICP]])</f>
        <v/>
      </c>
      <c r="I49" t="s">
        <v>1212</v>
      </c>
      <c r="J49" t="s">
        <v>1213</v>
      </c>
      <c r="K49" t="str">
        <f>IFERROR(VLOOKUP(VALUE(Pre_Close_AMF_Table[[#This Row],[GL_PC]]),BNS_Profit_Centers[],2,FALSE),"TE")</f>
        <v>TE</v>
      </c>
      <c r="L49" t="s">
        <v>1213</v>
      </c>
      <c r="M49" t="s">
        <v>1306</v>
      </c>
      <c r="N49" t="s">
        <v>1214</v>
      </c>
      <c r="O49" s="33">
        <v>-1529</v>
      </c>
    </row>
    <row r="50" spans="1:15" x14ac:dyDescent="0.25">
      <c r="A50" t="s">
        <v>1309</v>
      </c>
      <c r="B50" t="s">
        <v>534</v>
      </c>
      <c r="C50" t="s">
        <v>533</v>
      </c>
      <c r="D50" t="str">
        <f>VLOOKUP(Pre_Close_AMF_Table[[#This Row],[HFM_Account]],HFM_Acct_OCF_Activity[],3,FALSE)</f>
        <v>Indirect</v>
      </c>
      <c r="E50" t="s">
        <v>1210</v>
      </c>
      <c r="F50" t="s">
        <v>1194</v>
      </c>
      <c r="G50" t="s">
        <v>1310</v>
      </c>
      <c r="H50" t="str">
        <f>IF(NOT(ISERROR(FIND("NoICP",Pre_Close_AMF_Table[[#This Row],[GL_ICP]]))),"",Pre_Close_AMF_Table[[#This Row],[GL_ICP]])</f>
        <v/>
      </c>
      <c r="I50" t="s">
        <v>1212</v>
      </c>
      <c r="J50" t="s">
        <v>1213</v>
      </c>
      <c r="K50" t="str">
        <f>IFERROR(VLOOKUP(VALUE(Pre_Close_AMF_Table[[#This Row],[GL_PC]]),BNS_Profit_Centers[],2,FALSE),"TE")</f>
        <v>TE</v>
      </c>
      <c r="L50" t="s">
        <v>1213</v>
      </c>
      <c r="M50" t="s">
        <v>1309</v>
      </c>
      <c r="N50" t="s">
        <v>1214</v>
      </c>
      <c r="O50" s="33">
        <v>-14450</v>
      </c>
    </row>
    <row r="51" spans="1:15" x14ac:dyDescent="0.25">
      <c r="A51" t="s">
        <v>675</v>
      </c>
      <c r="B51" t="s">
        <v>1311</v>
      </c>
      <c r="C51" t="s">
        <v>675</v>
      </c>
      <c r="D51" t="str">
        <f>VLOOKUP(Pre_Close_AMF_Table[[#This Row],[HFM_Account]],HFM_Acct_OCF_Activity[],3,FALSE)</f>
        <v>Exclude</v>
      </c>
      <c r="E51" t="s">
        <v>1210</v>
      </c>
      <c r="F51" t="s">
        <v>1194</v>
      </c>
      <c r="G51" t="s">
        <v>1312</v>
      </c>
      <c r="H51" t="str">
        <f>IF(NOT(ISERROR(FIND("NoICP",Pre_Close_AMF_Table[[#This Row],[GL_ICP]]))),"",Pre_Close_AMF_Table[[#This Row],[GL_ICP]])</f>
        <v/>
      </c>
      <c r="I51" t="s">
        <v>1212</v>
      </c>
      <c r="J51" t="s">
        <v>1213</v>
      </c>
      <c r="K51" t="str">
        <f>IFERROR(VLOOKUP(VALUE(Pre_Close_AMF_Table[[#This Row],[GL_PC]]),BNS_Profit_Centers[],2,FALSE),"TE")</f>
        <v>TE</v>
      </c>
      <c r="L51" t="s">
        <v>1213</v>
      </c>
      <c r="M51" t="s">
        <v>675</v>
      </c>
      <c r="N51" t="s">
        <v>1214</v>
      </c>
      <c r="O51" s="33">
        <v>-174</v>
      </c>
    </row>
    <row r="52" spans="1:15" x14ac:dyDescent="0.25">
      <c r="A52" t="s">
        <v>1313</v>
      </c>
      <c r="B52" t="s">
        <v>1314</v>
      </c>
      <c r="C52" t="s">
        <v>703</v>
      </c>
      <c r="D52" t="str">
        <f>VLOOKUP(Pre_Close_AMF_Table[[#This Row],[HFM_Account]],HFM_Acct_OCF_Activity[],3,FALSE)</f>
        <v>Indirect</v>
      </c>
      <c r="E52" t="s">
        <v>1210</v>
      </c>
      <c r="F52" t="s">
        <v>1194</v>
      </c>
      <c r="G52" t="s">
        <v>1315</v>
      </c>
      <c r="H52" t="str">
        <f>IF(NOT(ISERROR(FIND("NoICP",Pre_Close_AMF_Table[[#This Row],[GL_ICP]]))),"",Pre_Close_AMF_Table[[#This Row],[GL_ICP]])</f>
        <v/>
      </c>
      <c r="I52" t="s">
        <v>1212</v>
      </c>
      <c r="J52" t="s">
        <v>1213</v>
      </c>
      <c r="K52" t="str">
        <f>IFERROR(VLOOKUP(VALUE(Pre_Close_AMF_Table[[#This Row],[GL_PC]]),BNS_Profit_Centers[],2,FALSE),"TE")</f>
        <v>TE</v>
      </c>
      <c r="L52" t="s">
        <v>1213</v>
      </c>
      <c r="M52" t="s">
        <v>1313</v>
      </c>
      <c r="N52" t="s">
        <v>1214</v>
      </c>
      <c r="O52" s="33">
        <v>-22412</v>
      </c>
    </row>
    <row r="53" spans="1:15" x14ac:dyDescent="0.25">
      <c r="A53" t="s">
        <v>1316</v>
      </c>
      <c r="B53" t="s">
        <v>1317</v>
      </c>
      <c r="C53" t="s">
        <v>739</v>
      </c>
      <c r="D53" t="str">
        <f>VLOOKUP(Pre_Close_AMF_Table[[#This Row],[HFM_Account]],HFM_Acct_OCF_Activity[],3,FALSE)</f>
        <v>Exclude</v>
      </c>
      <c r="E53" t="s">
        <v>1210</v>
      </c>
      <c r="F53" t="s">
        <v>1194</v>
      </c>
      <c r="G53" t="s">
        <v>1318</v>
      </c>
      <c r="H53" t="str">
        <f>IF(NOT(ISERROR(FIND("NoICP",Pre_Close_AMF_Table[[#This Row],[GL_ICP]]))),"",Pre_Close_AMF_Table[[#This Row],[GL_ICP]])</f>
        <v/>
      </c>
      <c r="I53" t="s">
        <v>1212</v>
      </c>
      <c r="J53" t="s">
        <v>1213</v>
      </c>
      <c r="K53" t="str">
        <f>IFERROR(VLOOKUP(VALUE(Pre_Close_AMF_Table[[#This Row],[GL_PC]]),BNS_Profit_Centers[],2,FALSE),"TE")</f>
        <v>TE</v>
      </c>
      <c r="L53" t="s">
        <v>1213</v>
      </c>
      <c r="M53" t="s">
        <v>1316</v>
      </c>
      <c r="N53" t="s">
        <v>1214</v>
      </c>
      <c r="O53" s="33">
        <v>-2354630.6</v>
      </c>
    </row>
    <row r="54" spans="1:15" x14ac:dyDescent="0.25">
      <c r="A54" t="s">
        <v>1319</v>
      </c>
      <c r="B54" t="s">
        <v>1320</v>
      </c>
      <c r="C54" t="s">
        <v>1321</v>
      </c>
      <c r="D54" t="str">
        <f>VLOOKUP(Pre_Close_AMF_Table[[#This Row],[HFM_Account]],HFM_Acct_OCF_Activity[],3,FALSE)</f>
        <v>Exclude</v>
      </c>
      <c r="E54" t="s">
        <v>1210</v>
      </c>
      <c r="F54" t="s">
        <v>1194</v>
      </c>
      <c r="G54" t="s">
        <v>1322</v>
      </c>
      <c r="H54" t="str">
        <f>IF(NOT(ISERROR(FIND("NoICP",Pre_Close_AMF_Table[[#This Row],[GL_ICP]]))),"",Pre_Close_AMF_Table[[#This Row],[GL_ICP]])</f>
        <v/>
      </c>
      <c r="I54" t="s">
        <v>1212</v>
      </c>
      <c r="J54" t="s">
        <v>1213</v>
      </c>
      <c r="K54" t="str">
        <f>IFERROR(VLOOKUP(VALUE(Pre_Close_AMF_Table[[#This Row],[GL_PC]]),BNS_Profit_Centers[],2,FALSE),"TE")</f>
        <v>TE</v>
      </c>
      <c r="L54" t="s">
        <v>1213</v>
      </c>
      <c r="M54" t="s">
        <v>1319</v>
      </c>
      <c r="N54" t="s">
        <v>1214</v>
      </c>
      <c r="O54" s="33">
        <v>6201180.4299999997</v>
      </c>
    </row>
    <row r="55" spans="1:15" x14ac:dyDescent="0.25">
      <c r="A55" t="s">
        <v>1323</v>
      </c>
      <c r="B55" t="s">
        <v>1324</v>
      </c>
      <c r="C55" t="s">
        <v>1321</v>
      </c>
      <c r="D55" t="str">
        <f>VLOOKUP(Pre_Close_AMF_Table[[#This Row],[HFM_Account]],HFM_Acct_OCF_Activity[],3,FALSE)</f>
        <v>Exclude</v>
      </c>
      <c r="E55" t="s">
        <v>1210</v>
      </c>
      <c r="F55" t="s">
        <v>1194</v>
      </c>
      <c r="G55" t="s">
        <v>1325</v>
      </c>
      <c r="H55" t="str">
        <f>IF(NOT(ISERROR(FIND("NoICP",Pre_Close_AMF_Table[[#This Row],[GL_ICP]]))),"",Pre_Close_AMF_Table[[#This Row],[GL_ICP]])</f>
        <v/>
      </c>
      <c r="I55" t="s">
        <v>1212</v>
      </c>
      <c r="J55" t="s">
        <v>1213</v>
      </c>
      <c r="K55" t="str">
        <f>IFERROR(VLOOKUP(VALUE(Pre_Close_AMF_Table[[#This Row],[GL_PC]]),BNS_Profit_Centers[],2,FALSE),"TE")</f>
        <v>TE</v>
      </c>
      <c r="L55" t="s">
        <v>1213</v>
      </c>
      <c r="M55" t="s">
        <v>1323</v>
      </c>
      <c r="N55" t="s">
        <v>1214</v>
      </c>
      <c r="O55" s="33">
        <v>-7317915.46</v>
      </c>
    </row>
    <row r="56" spans="1:15" x14ac:dyDescent="0.25">
      <c r="A56" t="s">
        <v>1326</v>
      </c>
      <c r="B56" t="s">
        <v>1327</v>
      </c>
      <c r="C56" t="s">
        <v>10</v>
      </c>
      <c r="D56" t="str">
        <f>VLOOKUP(Pre_Close_AMF_Table[[#This Row],[HFM_Account]],HFM_Acct_OCF_Activity[],3,FALSE)</f>
        <v>Direct</v>
      </c>
      <c r="E56" t="s">
        <v>1210</v>
      </c>
      <c r="F56" t="s">
        <v>1194</v>
      </c>
      <c r="G56" t="s">
        <v>1328</v>
      </c>
      <c r="H56" t="str">
        <f>IF(NOT(ISERROR(FIND("NoICP",Pre_Close_AMF_Table[[#This Row],[GL_ICP]]))),"",Pre_Close_AMF_Table[[#This Row],[GL_ICP]])</f>
        <v/>
      </c>
      <c r="I56" t="s">
        <v>1212</v>
      </c>
      <c r="J56" t="s">
        <v>1329</v>
      </c>
      <c r="K56" t="str">
        <f>IFERROR(VLOOKUP(VALUE(Pre_Close_AMF_Table[[#This Row],[GL_PC]]),BNS_Profit_Centers[],2,FALSE),"TE")</f>
        <v>TE</v>
      </c>
      <c r="L56" t="s">
        <v>1329</v>
      </c>
      <c r="M56" t="s">
        <v>1330</v>
      </c>
      <c r="N56" t="s">
        <v>1330</v>
      </c>
      <c r="O56" s="33">
        <v>32835</v>
      </c>
    </row>
    <row r="57" spans="1:15" x14ac:dyDescent="0.25">
      <c r="A57" t="s">
        <v>1326</v>
      </c>
      <c r="B57" t="s">
        <v>1331</v>
      </c>
      <c r="C57" t="s">
        <v>10</v>
      </c>
      <c r="D57" t="str">
        <f>VLOOKUP(Pre_Close_AMF_Table[[#This Row],[HFM_Account]],HFM_Acct_OCF_Activity[],3,FALSE)</f>
        <v>Direct</v>
      </c>
      <c r="E57" t="s">
        <v>1210</v>
      </c>
      <c r="F57" t="s">
        <v>1194</v>
      </c>
      <c r="G57" t="s">
        <v>1332</v>
      </c>
      <c r="H57" t="str">
        <f>IF(NOT(ISERROR(FIND("NoICP",Pre_Close_AMF_Table[[#This Row],[GL_ICP]]))),"",Pre_Close_AMF_Table[[#This Row],[GL_ICP]])</f>
        <v/>
      </c>
      <c r="I57" t="s">
        <v>1212</v>
      </c>
      <c r="J57" t="s">
        <v>1329</v>
      </c>
      <c r="K57" t="str">
        <f>IFERROR(VLOOKUP(VALUE(Pre_Close_AMF_Table[[#This Row],[GL_PC]]),BNS_Profit_Centers[],2,FALSE),"TE")</f>
        <v>TE</v>
      </c>
      <c r="L57" t="s">
        <v>1329</v>
      </c>
      <c r="M57" t="s">
        <v>1333</v>
      </c>
      <c r="N57" t="s">
        <v>1334</v>
      </c>
      <c r="O57" s="33">
        <v>2519.7600000000002</v>
      </c>
    </row>
    <row r="58" spans="1:15" x14ac:dyDescent="0.25">
      <c r="A58" t="s">
        <v>1326</v>
      </c>
      <c r="B58" t="s">
        <v>1335</v>
      </c>
      <c r="C58" t="s">
        <v>10</v>
      </c>
      <c r="D58" t="str">
        <f>VLOOKUP(Pre_Close_AMF_Table[[#This Row],[HFM_Account]],HFM_Acct_OCF_Activity[],3,FALSE)</f>
        <v>Direct</v>
      </c>
      <c r="E58" t="s">
        <v>1210</v>
      </c>
      <c r="F58" t="s">
        <v>1194</v>
      </c>
      <c r="G58" t="s">
        <v>1336</v>
      </c>
      <c r="H58" t="str">
        <f>IF(NOT(ISERROR(FIND("NoICP",Pre_Close_AMF_Table[[#This Row],[GL_ICP]]))),"",Pre_Close_AMF_Table[[#This Row],[GL_ICP]])</f>
        <v/>
      </c>
      <c r="I58" t="s">
        <v>1212</v>
      </c>
      <c r="J58" t="s">
        <v>1329</v>
      </c>
      <c r="K58" t="str">
        <f>IFERROR(VLOOKUP(VALUE(Pre_Close_AMF_Table[[#This Row],[GL_PC]]),BNS_Profit_Centers[],2,FALSE),"TE")</f>
        <v>TE</v>
      </c>
      <c r="L58" t="s">
        <v>1329</v>
      </c>
      <c r="M58" t="s">
        <v>1337</v>
      </c>
      <c r="N58" t="s">
        <v>1334</v>
      </c>
      <c r="O58" s="33">
        <v>-1628.75</v>
      </c>
    </row>
    <row r="59" spans="1:15" x14ac:dyDescent="0.25">
      <c r="A59" t="s">
        <v>1326</v>
      </c>
      <c r="B59" t="s">
        <v>1338</v>
      </c>
      <c r="C59" t="s">
        <v>10</v>
      </c>
      <c r="D59" t="str">
        <f>VLOOKUP(Pre_Close_AMF_Table[[#This Row],[HFM_Account]],HFM_Acct_OCF_Activity[],3,FALSE)</f>
        <v>Direct</v>
      </c>
      <c r="E59" t="s">
        <v>1210</v>
      </c>
      <c r="F59" t="s">
        <v>1194</v>
      </c>
      <c r="G59" t="s">
        <v>1339</v>
      </c>
      <c r="H59" t="str">
        <f>IF(NOT(ISERROR(FIND("NoICP",Pre_Close_AMF_Table[[#This Row],[GL_ICP]]))),"",Pre_Close_AMF_Table[[#This Row],[GL_ICP]])</f>
        <v/>
      </c>
      <c r="I59" t="s">
        <v>1212</v>
      </c>
      <c r="J59" t="s">
        <v>1329</v>
      </c>
      <c r="K59" t="str">
        <f>IFERROR(VLOOKUP(VALUE(Pre_Close_AMF_Table[[#This Row],[GL_PC]]),BNS_Profit_Centers[],2,FALSE),"TE")</f>
        <v>TE</v>
      </c>
      <c r="L59" t="s">
        <v>1329</v>
      </c>
      <c r="M59" t="s">
        <v>1340</v>
      </c>
      <c r="N59" t="s">
        <v>1334</v>
      </c>
      <c r="O59" s="33">
        <v>176</v>
      </c>
    </row>
    <row r="60" spans="1:15" x14ac:dyDescent="0.25">
      <c r="A60" t="s">
        <v>1326</v>
      </c>
      <c r="B60" t="s">
        <v>1341</v>
      </c>
      <c r="C60" t="s">
        <v>10</v>
      </c>
      <c r="D60" t="str">
        <f>VLOOKUP(Pre_Close_AMF_Table[[#This Row],[HFM_Account]],HFM_Acct_OCF_Activity[],3,FALSE)</f>
        <v>Direct</v>
      </c>
      <c r="E60" t="s">
        <v>1210</v>
      </c>
      <c r="F60" t="s">
        <v>1194</v>
      </c>
      <c r="G60" t="s">
        <v>1342</v>
      </c>
      <c r="H60" t="str">
        <f>IF(NOT(ISERROR(FIND("NoICP",Pre_Close_AMF_Table[[#This Row],[GL_ICP]]))),"",Pre_Close_AMF_Table[[#This Row],[GL_ICP]])</f>
        <v/>
      </c>
      <c r="I60" t="s">
        <v>1212</v>
      </c>
      <c r="J60" t="s">
        <v>1329</v>
      </c>
      <c r="K60" t="str">
        <f>IFERROR(VLOOKUP(VALUE(Pre_Close_AMF_Table[[#This Row],[GL_PC]]),BNS_Profit_Centers[],2,FALSE),"TE")</f>
        <v>TE</v>
      </c>
      <c r="L60" t="s">
        <v>1329</v>
      </c>
      <c r="M60" t="s">
        <v>1343</v>
      </c>
      <c r="N60" t="s">
        <v>1334</v>
      </c>
      <c r="O60" s="33">
        <v>223.34</v>
      </c>
    </row>
    <row r="61" spans="1:15" x14ac:dyDescent="0.25">
      <c r="A61" t="s">
        <v>1326</v>
      </c>
      <c r="B61" t="s">
        <v>1344</v>
      </c>
      <c r="C61" t="s">
        <v>10</v>
      </c>
      <c r="D61" t="str">
        <f>VLOOKUP(Pre_Close_AMF_Table[[#This Row],[HFM_Account]],HFM_Acct_OCF_Activity[],3,FALSE)</f>
        <v>Direct</v>
      </c>
      <c r="E61" t="s">
        <v>1210</v>
      </c>
      <c r="F61" t="s">
        <v>1194</v>
      </c>
      <c r="G61" t="s">
        <v>1345</v>
      </c>
      <c r="H61" t="str">
        <f>IF(NOT(ISERROR(FIND("NoICP",Pre_Close_AMF_Table[[#This Row],[GL_ICP]]))),"",Pre_Close_AMF_Table[[#This Row],[GL_ICP]])</f>
        <v/>
      </c>
      <c r="I61" t="s">
        <v>1212</v>
      </c>
      <c r="J61" t="s">
        <v>1329</v>
      </c>
      <c r="K61" t="str">
        <f>IFERROR(VLOOKUP(VALUE(Pre_Close_AMF_Table[[#This Row],[GL_PC]]),BNS_Profit_Centers[],2,FALSE),"TE")</f>
        <v>TE</v>
      </c>
      <c r="L61" t="s">
        <v>1329</v>
      </c>
      <c r="M61" t="s">
        <v>1346</v>
      </c>
      <c r="N61" t="s">
        <v>1347</v>
      </c>
      <c r="O61" s="33">
        <v>200</v>
      </c>
    </row>
    <row r="62" spans="1:15" x14ac:dyDescent="0.25">
      <c r="A62" t="s">
        <v>1326</v>
      </c>
      <c r="B62" t="s">
        <v>1348</v>
      </c>
      <c r="C62" t="s">
        <v>10</v>
      </c>
      <c r="D62" t="str">
        <f>VLOOKUP(Pre_Close_AMF_Table[[#This Row],[HFM_Account]],HFM_Acct_OCF_Activity[],3,FALSE)</f>
        <v>Direct</v>
      </c>
      <c r="E62" t="s">
        <v>1210</v>
      </c>
      <c r="F62" t="s">
        <v>1194</v>
      </c>
      <c r="G62" t="s">
        <v>1349</v>
      </c>
      <c r="H62" t="str">
        <f>IF(NOT(ISERROR(FIND("NoICP",Pre_Close_AMF_Table[[#This Row],[GL_ICP]]))),"",Pre_Close_AMF_Table[[#This Row],[GL_ICP]])</f>
        <v/>
      </c>
      <c r="I62" t="s">
        <v>1212</v>
      </c>
      <c r="J62" t="s">
        <v>1329</v>
      </c>
      <c r="K62" t="str">
        <f>IFERROR(VLOOKUP(VALUE(Pre_Close_AMF_Table[[#This Row],[GL_PC]]),BNS_Profit_Centers[],2,FALSE),"TE")</f>
        <v>TE</v>
      </c>
      <c r="L62" t="s">
        <v>1329</v>
      </c>
      <c r="M62" t="s">
        <v>1350</v>
      </c>
      <c r="N62" t="s">
        <v>1351</v>
      </c>
      <c r="O62" s="33">
        <v>147.5</v>
      </c>
    </row>
    <row r="63" spans="1:15" x14ac:dyDescent="0.25">
      <c r="A63" t="s">
        <v>1326</v>
      </c>
      <c r="B63" t="s">
        <v>1352</v>
      </c>
      <c r="C63" t="s">
        <v>10</v>
      </c>
      <c r="D63" t="str">
        <f>VLOOKUP(Pre_Close_AMF_Table[[#This Row],[HFM_Account]],HFM_Acct_OCF_Activity[],3,FALSE)</f>
        <v>Direct</v>
      </c>
      <c r="E63" t="s">
        <v>1210</v>
      </c>
      <c r="F63" t="s">
        <v>1194</v>
      </c>
      <c r="G63" t="s">
        <v>1353</v>
      </c>
      <c r="H63" t="str">
        <f>IF(NOT(ISERROR(FIND("NoICP",Pre_Close_AMF_Table[[#This Row],[GL_ICP]]))),"",Pre_Close_AMF_Table[[#This Row],[GL_ICP]])</f>
        <v/>
      </c>
      <c r="I63" t="s">
        <v>1212</v>
      </c>
      <c r="J63" t="s">
        <v>1329</v>
      </c>
      <c r="K63" t="str">
        <f>IFERROR(VLOOKUP(VALUE(Pre_Close_AMF_Table[[#This Row],[GL_PC]]),BNS_Profit_Centers[],2,FALSE),"TE")</f>
        <v>TE</v>
      </c>
      <c r="L63" t="s">
        <v>1329</v>
      </c>
      <c r="M63" t="s">
        <v>1354</v>
      </c>
      <c r="N63" t="s">
        <v>1351</v>
      </c>
      <c r="O63" s="33">
        <v>963.45</v>
      </c>
    </row>
    <row r="64" spans="1:15" x14ac:dyDescent="0.25">
      <c r="A64" t="s">
        <v>1326</v>
      </c>
      <c r="B64" t="s">
        <v>1355</v>
      </c>
      <c r="C64" t="s">
        <v>10</v>
      </c>
      <c r="D64" t="str">
        <f>VLOOKUP(Pre_Close_AMF_Table[[#This Row],[HFM_Account]],HFM_Acct_OCF_Activity[],3,FALSE)</f>
        <v>Direct</v>
      </c>
      <c r="E64" t="s">
        <v>1210</v>
      </c>
      <c r="F64" t="s">
        <v>1194</v>
      </c>
      <c r="G64" t="s">
        <v>1356</v>
      </c>
      <c r="H64" t="str">
        <f>IF(NOT(ISERROR(FIND("NoICP",Pre_Close_AMF_Table[[#This Row],[GL_ICP]]))),"",Pre_Close_AMF_Table[[#This Row],[GL_ICP]])</f>
        <v/>
      </c>
      <c r="I64" t="s">
        <v>1212</v>
      </c>
      <c r="J64" t="s">
        <v>1329</v>
      </c>
      <c r="K64" t="str">
        <f>IFERROR(VLOOKUP(VALUE(Pre_Close_AMF_Table[[#This Row],[GL_PC]]),BNS_Profit_Centers[],2,FALSE),"TE")</f>
        <v>TE</v>
      </c>
      <c r="L64" t="s">
        <v>1329</v>
      </c>
      <c r="M64" t="s">
        <v>1357</v>
      </c>
      <c r="N64" t="s">
        <v>1351</v>
      </c>
      <c r="O64" s="33">
        <v>124</v>
      </c>
    </row>
    <row r="65" spans="1:15" x14ac:dyDescent="0.25">
      <c r="A65" t="s">
        <v>1326</v>
      </c>
      <c r="B65" t="s">
        <v>1358</v>
      </c>
      <c r="C65" t="s">
        <v>10</v>
      </c>
      <c r="D65" t="str">
        <f>VLOOKUP(Pre_Close_AMF_Table[[#This Row],[HFM_Account]],HFM_Acct_OCF_Activity[],3,FALSE)</f>
        <v>Direct</v>
      </c>
      <c r="E65" t="s">
        <v>1210</v>
      </c>
      <c r="F65" t="s">
        <v>1194</v>
      </c>
      <c r="G65" t="s">
        <v>1359</v>
      </c>
      <c r="H65" t="str">
        <f>IF(NOT(ISERROR(FIND("NoICP",Pre_Close_AMF_Table[[#This Row],[GL_ICP]]))),"",Pre_Close_AMF_Table[[#This Row],[GL_ICP]])</f>
        <v/>
      </c>
      <c r="I65" t="s">
        <v>1212</v>
      </c>
      <c r="J65" t="s">
        <v>1329</v>
      </c>
      <c r="K65" t="str">
        <f>IFERROR(VLOOKUP(VALUE(Pre_Close_AMF_Table[[#This Row],[GL_PC]]),BNS_Profit_Centers[],2,FALSE),"TE")</f>
        <v>TE</v>
      </c>
      <c r="L65" t="s">
        <v>1329</v>
      </c>
      <c r="M65" t="s">
        <v>1360</v>
      </c>
      <c r="N65" t="s">
        <v>1361</v>
      </c>
      <c r="O65" s="33">
        <v>878.12</v>
      </c>
    </row>
    <row r="66" spans="1:15" x14ac:dyDescent="0.25">
      <c r="A66" t="s">
        <v>1326</v>
      </c>
      <c r="B66" t="s">
        <v>1362</v>
      </c>
      <c r="C66" t="s">
        <v>10</v>
      </c>
      <c r="D66" t="str">
        <f>VLOOKUP(Pre_Close_AMF_Table[[#This Row],[HFM_Account]],HFM_Acct_OCF_Activity[],3,FALSE)</f>
        <v>Direct</v>
      </c>
      <c r="E66" t="s">
        <v>1210</v>
      </c>
      <c r="F66" t="s">
        <v>1194</v>
      </c>
      <c r="G66" t="s">
        <v>1363</v>
      </c>
      <c r="H66" t="str">
        <f>IF(NOT(ISERROR(FIND("NoICP",Pre_Close_AMF_Table[[#This Row],[GL_ICP]]))),"",Pre_Close_AMF_Table[[#This Row],[GL_ICP]])</f>
        <v/>
      </c>
      <c r="I66" t="s">
        <v>1212</v>
      </c>
      <c r="J66" t="s">
        <v>1329</v>
      </c>
      <c r="K66" t="str">
        <f>IFERROR(VLOOKUP(VALUE(Pre_Close_AMF_Table[[#This Row],[GL_PC]]),BNS_Profit_Centers[],2,FALSE),"TE")</f>
        <v>TE</v>
      </c>
      <c r="L66" t="s">
        <v>1329</v>
      </c>
      <c r="M66" t="s">
        <v>1364</v>
      </c>
      <c r="N66" t="s">
        <v>1364</v>
      </c>
      <c r="O66" s="33">
        <v>-1036.8</v>
      </c>
    </row>
    <row r="67" spans="1:15" x14ac:dyDescent="0.25">
      <c r="A67" t="s">
        <v>1326</v>
      </c>
      <c r="B67" t="s">
        <v>1365</v>
      </c>
      <c r="C67" t="s">
        <v>10</v>
      </c>
      <c r="D67" t="str">
        <f>VLOOKUP(Pre_Close_AMF_Table[[#This Row],[HFM_Account]],HFM_Acct_OCF_Activity[],3,FALSE)</f>
        <v>Direct</v>
      </c>
      <c r="E67" t="s">
        <v>1210</v>
      </c>
      <c r="F67" t="s">
        <v>1194</v>
      </c>
      <c r="G67" t="s">
        <v>1366</v>
      </c>
      <c r="H67" t="str">
        <f>IF(NOT(ISERROR(FIND("NoICP",Pre_Close_AMF_Table[[#This Row],[GL_ICP]]))),"",Pre_Close_AMF_Table[[#This Row],[GL_ICP]])</f>
        <v/>
      </c>
      <c r="I67" t="s">
        <v>1212</v>
      </c>
      <c r="J67" t="s">
        <v>1329</v>
      </c>
      <c r="K67" t="str">
        <f>IFERROR(VLOOKUP(VALUE(Pre_Close_AMF_Table[[#This Row],[GL_PC]]),BNS_Profit_Centers[],2,FALSE),"TE")</f>
        <v>TE</v>
      </c>
      <c r="L67" t="s">
        <v>1329</v>
      </c>
      <c r="M67" t="s">
        <v>1367</v>
      </c>
      <c r="N67" t="s">
        <v>1368</v>
      </c>
      <c r="O67" s="33">
        <v>8400</v>
      </c>
    </row>
    <row r="68" spans="1:15" x14ac:dyDescent="0.25">
      <c r="A68" t="s">
        <v>1326</v>
      </c>
      <c r="B68" t="s">
        <v>1369</v>
      </c>
      <c r="C68" t="s">
        <v>10</v>
      </c>
      <c r="D68" t="str">
        <f>VLOOKUP(Pre_Close_AMF_Table[[#This Row],[HFM_Account]],HFM_Acct_OCF_Activity[],3,FALSE)</f>
        <v>Direct</v>
      </c>
      <c r="E68" t="s">
        <v>1210</v>
      </c>
      <c r="F68" t="s">
        <v>1194</v>
      </c>
      <c r="G68" t="s">
        <v>1370</v>
      </c>
      <c r="H68" t="str">
        <f>IF(NOT(ISERROR(FIND("NoICP",Pre_Close_AMF_Table[[#This Row],[GL_ICP]]))),"",Pre_Close_AMF_Table[[#This Row],[GL_ICP]])</f>
        <v/>
      </c>
      <c r="I68" t="s">
        <v>1212</v>
      </c>
      <c r="J68" t="s">
        <v>1329</v>
      </c>
      <c r="K68" t="str">
        <f>IFERROR(VLOOKUP(VALUE(Pre_Close_AMF_Table[[#This Row],[GL_PC]]),BNS_Profit_Centers[],2,FALSE),"TE")</f>
        <v>TE</v>
      </c>
      <c r="L68" t="s">
        <v>1329</v>
      </c>
      <c r="M68" t="s">
        <v>1371</v>
      </c>
      <c r="N68" t="s">
        <v>1368</v>
      </c>
      <c r="O68" s="33">
        <v>-16607.2</v>
      </c>
    </row>
    <row r="69" spans="1:15" x14ac:dyDescent="0.25">
      <c r="A69" t="s">
        <v>1326</v>
      </c>
      <c r="B69" t="s">
        <v>1372</v>
      </c>
      <c r="C69" t="s">
        <v>10</v>
      </c>
      <c r="D69" t="str">
        <f>VLOOKUP(Pre_Close_AMF_Table[[#This Row],[HFM_Account]],HFM_Acct_OCF_Activity[],3,FALSE)</f>
        <v>Direct</v>
      </c>
      <c r="E69" t="s">
        <v>1210</v>
      </c>
      <c r="F69" t="s">
        <v>1194</v>
      </c>
      <c r="G69" t="s">
        <v>1373</v>
      </c>
      <c r="H69" t="str">
        <f>IF(NOT(ISERROR(FIND("NoICP",Pre_Close_AMF_Table[[#This Row],[GL_ICP]]))),"",Pre_Close_AMF_Table[[#This Row],[GL_ICP]])</f>
        <v/>
      </c>
      <c r="I69" t="s">
        <v>1212</v>
      </c>
      <c r="J69" t="s">
        <v>1329</v>
      </c>
      <c r="K69" t="str">
        <f>IFERROR(VLOOKUP(VALUE(Pre_Close_AMF_Table[[#This Row],[GL_PC]]),BNS_Profit_Centers[],2,FALSE),"TE")</f>
        <v>TE</v>
      </c>
      <c r="L69" t="s">
        <v>1329</v>
      </c>
      <c r="M69" t="s">
        <v>1374</v>
      </c>
      <c r="N69" t="s">
        <v>1374</v>
      </c>
      <c r="O69" s="33">
        <v>6948.37</v>
      </c>
    </row>
    <row r="70" spans="1:15" x14ac:dyDescent="0.25">
      <c r="A70" t="s">
        <v>1326</v>
      </c>
      <c r="B70" t="s">
        <v>1375</v>
      </c>
      <c r="C70" t="s">
        <v>10</v>
      </c>
      <c r="D70" t="str">
        <f>VLOOKUP(Pre_Close_AMF_Table[[#This Row],[HFM_Account]],HFM_Acct_OCF_Activity[],3,FALSE)</f>
        <v>Direct</v>
      </c>
      <c r="E70" t="s">
        <v>1210</v>
      </c>
      <c r="F70" t="s">
        <v>1194</v>
      </c>
      <c r="G70" t="s">
        <v>1376</v>
      </c>
      <c r="H70" t="str">
        <f>IF(NOT(ISERROR(FIND("NoICP",Pre_Close_AMF_Table[[#This Row],[GL_ICP]]))),"",Pre_Close_AMF_Table[[#This Row],[GL_ICP]])</f>
        <v/>
      </c>
      <c r="I70" t="s">
        <v>1212</v>
      </c>
      <c r="J70" t="s">
        <v>1329</v>
      </c>
      <c r="K70" t="str">
        <f>IFERROR(VLOOKUP(VALUE(Pre_Close_AMF_Table[[#This Row],[GL_PC]]),BNS_Profit_Centers[],2,FALSE),"TE")</f>
        <v>TE</v>
      </c>
      <c r="L70" t="s">
        <v>1329</v>
      </c>
      <c r="M70" t="s">
        <v>1377</v>
      </c>
      <c r="N70" t="s">
        <v>1374</v>
      </c>
      <c r="O70" s="33">
        <v>9107.58</v>
      </c>
    </row>
    <row r="71" spans="1:15" x14ac:dyDescent="0.25">
      <c r="A71" t="s">
        <v>1326</v>
      </c>
      <c r="B71" t="s">
        <v>1378</v>
      </c>
      <c r="C71" t="s">
        <v>10</v>
      </c>
      <c r="D71" t="str">
        <f>VLOOKUP(Pre_Close_AMF_Table[[#This Row],[HFM_Account]],HFM_Acct_OCF_Activity[],3,FALSE)</f>
        <v>Direct</v>
      </c>
      <c r="E71" t="s">
        <v>1210</v>
      </c>
      <c r="F71" t="s">
        <v>1194</v>
      </c>
      <c r="G71" t="s">
        <v>1379</v>
      </c>
      <c r="H71" t="str">
        <f>IF(NOT(ISERROR(FIND("NoICP",Pre_Close_AMF_Table[[#This Row],[GL_ICP]]))),"",Pre_Close_AMF_Table[[#This Row],[GL_ICP]])</f>
        <v/>
      </c>
      <c r="I71" t="s">
        <v>1212</v>
      </c>
      <c r="J71" t="s">
        <v>1329</v>
      </c>
      <c r="K71" t="str">
        <f>IFERROR(VLOOKUP(VALUE(Pre_Close_AMF_Table[[#This Row],[GL_PC]]),BNS_Profit_Centers[],2,FALSE),"TE")</f>
        <v>TE</v>
      </c>
      <c r="L71" t="s">
        <v>1329</v>
      </c>
      <c r="M71" t="s">
        <v>1380</v>
      </c>
      <c r="N71" t="s">
        <v>1380</v>
      </c>
      <c r="O71" s="33">
        <v>-29.26</v>
      </c>
    </row>
    <row r="72" spans="1:15" x14ac:dyDescent="0.25">
      <c r="A72" t="s">
        <v>1326</v>
      </c>
      <c r="B72" t="s">
        <v>1381</v>
      </c>
      <c r="C72" t="s">
        <v>10</v>
      </c>
      <c r="D72" t="str">
        <f>VLOOKUP(Pre_Close_AMF_Table[[#This Row],[HFM_Account]],HFM_Acct_OCF_Activity[],3,FALSE)</f>
        <v>Direct</v>
      </c>
      <c r="E72" t="s">
        <v>1210</v>
      </c>
      <c r="F72" t="s">
        <v>1194</v>
      </c>
      <c r="G72" t="s">
        <v>1382</v>
      </c>
      <c r="H72" t="str">
        <f>IF(NOT(ISERROR(FIND("NoICP",Pre_Close_AMF_Table[[#This Row],[GL_ICP]]))),"",Pre_Close_AMF_Table[[#This Row],[GL_ICP]])</f>
        <v/>
      </c>
      <c r="I72" t="s">
        <v>1212</v>
      </c>
      <c r="J72" t="s">
        <v>1329</v>
      </c>
      <c r="K72" t="str">
        <f>IFERROR(VLOOKUP(VALUE(Pre_Close_AMF_Table[[#This Row],[GL_PC]]),BNS_Profit_Centers[],2,FALSE),"TE")</f>
        <v>TE</v>
      </c>
      <c r="L72" t="s">
        <v>1329</v>
      </c>
      <c r="M72" t="s">
        <v>1383</v>
      </c>
      <c r="N72" t="s">
        <v>1334</v>
      </c>
      <c r="O72" s="33">
        <v>3926.78</v>
      </c>
    </row>
    <row r="73" spans="1:15" x14ac:dyDescent="0.25">
      <c r="A73" t="s">
        <v>1326</v>
      </c>
      <c r="B73" t="s">
        <v>1384</v>
      </c>
      <c r="C73" t="s">
        <v>10</v>
      </c>
      <c r="D73" t="str">
        <f>VLOOKUP(Pre_Close_AMF_Table[[#This Row],[HFM_Account]],HFM_Acct_OCF_Activity[],3,FALSE)</f>
        <v>Direct</v>
      </c>
      <c r="E73" t="s">
        <v>1210</v>
      </c>
      <c r="F73" t="s">
        <v>1194</v>
      </c>
      <c r="G73" t="s">
        <v>1385</v>
      </c>
      <c r="H73" t="str">
        <f>IF(NOT(ISERROR(FIND("NoICP",Pre_Close_AMF_Table[[#This Row],[GL_ICP]]))),"",Pre_Close_AMF_Table[[#This Row],[GL_ICP]])</f>
        <v/>
      </c>
      <c r="I73" t="s">
        <v>1212</v>
      </c>
      <c r="J73" t="s">
        <v>1329</v>
      </c>
      <c r="K73" t="str">
        <f>IFERROR(VLOOKUP(VALUE(Pre_Close_AMF_Table[[#This Row],[GL_PC]]),BNS_Profit_Centers[],2,FALSE),"TE")</f>
        <v>TE</v>
      </c>
      <c r="L73" t="s">
        <v>1329</v>
      </c>
      <c r="M73" t="s">
        <v>1386</v>
      </c>
      <c r="N73" t="s">
        <v>1386</v>
      </c>
      <c r="O73" s="33">
        <v>229.66</v>
      </c>
    </row>
    <row r="74" spans="1:15" x14ac:dyDescent="0.25">
      <c r="A74" t="s">
        <v>1326</v>
      </c>
      <c r="B74" t="s">
        <v>1387</v>
      </c>
      <c r="C74" t="s">
        <v>10</v>
      </c>
      <c r="D74" t="str">
        <f>VLOOKUP(Pre_Close_AMF_Table[[#This Row],[HFM_Account]],HFM_Acct_OCF_Activity[],3,FALSE)</f>
        <v>Direct</v>
      </c>
      <c r="E74" t="s">
        <v>1210</v>
      </c>
      <c r="F74" t="s">
        <v>1194</v>
      </c>
      <c r="G74" t="s">
        <v>1388</v>
      </c>
      <c r="H74" t="str">
        <f>IF(NOT(ISERROR(FIND("NoICP",Pre_Close_AMF_Table[[#This Row],[GL_ICP]]))),"",Pre_Close_AMF_Table[[#This Row],[GL_ICP]])</f>
        <v/>
      </c>
      <c r="I74" t="s">
        <v>1212</v>
      </c>
      <c r="J74" t="s">
        <v>1329</v>
      </c>
      <c r="K74" t="str">
        <f>IFERROR(VLOOKUP(VALUE(Pre_Close_AMF_Table[[#This Row],[GL_PC]]),BNS_Profit_Centers[],2,FALSE),"TE")</f>
        <v>TE</v>
      </c>
      <c r="L74" t="s">
        <v>1329</v>
      </c>
      <c r="M74" t="s">
        <v>1389</v>
      </c>
      <c r="N74" t="s">
        <v>1390</v>
      </c>
      <c r="O74" s="33">
        <v>573.25</v>
      </c>
    </row>
    <row r="75" spans="1:15" x14ac:dyDescent="0.25">
      <c r="A75" t="s">
        <v>1326</v>
      </c>
      <c r="B75" t="s">
        <v>1391</v>
      </c>
      <c r="C75" t="s">
        <v>10</v>
      </c>
      <c r="D75" t="str">
        <f>VLOOKUP(Pre_Close_AMF_Table[[#This Row],[HFM_Account]],HFM_Acct_OCF_Activity[],3,FALSE)</f>
        <v>Direct</v>
      </c>
      <c r="E75" t="s">
        <v>1210</v>
      </c>
      <c r="F75" t="s">
        <v>1194</v>
      </c>
      <c r="G75" t="s">
        <v>1392</v>
      </c>
      <c r="H75" t="str">
        <f>IF(NOT(ISERROR(FIND("NoICP",Pre_Close_AMF_Table[[#This Row],[GL_ICP]]))),"",Pre_Close_AMF_Table[[#This Row],[GL_ICP]])</f>
        <v/>
      </c>
      <c r="I75" t="s">
        <v>1212</v>
      </c>
      <c r="J75" t="s">
        <v>1329</v>
      </c>
      <c r="K75" t="str">
        <f>IFERROR(VLOOKUP(VALUE(Pre_Close_AMF_Table[[#This Row],[GL_PC]]),BNS_Profit_Centers[],2,FALSE),"TE")</f>
        <v>TE</v>
      </c>
      <c r="L75" t="s">
        <v>1329</v>
      </c>
      <c r="M75" t="s">
        <v>1393</v>
      </c>
      <c r="N75" t="s">
        <v>1390</v>
      </c>
      <c r="O75" s="33">
        <v>1628.1</v>
      </c>
    </row>
    <row r="76" spans="1:15" x14ac:dyDescent="0.25">
      <c r="A76" t="s">
        <v>1326</v>
      </c>
      <c r="B76" t="s">
        <v>1394</v>
      </c>
      <c r="C76" t="s">
        <v>10</v>
      </c>
      <c r="D76" t="str">
        <f>VLOOKUP(Pre_Close_AMF_Table[[#This Row],[HFM_Account]],HFM_Acct_OCF_Activity[],3,FALSE)</f>
        <v>Direct</v>
      </c>
      <c r="E76" t="s">
        <v>1210</v>
      </c>
      <c r="F76" t="s">
        <v>1194</v>
      </c>
      <c r="G76" t="s">
        <v>1395</v>
      </c>
      <c r="H76" t="str">
        <f>IF(NOT(ISERROR(FIND("NoICP",Pre_Close_AMF_Table[[#This Row],[GL_ICP]]))),"",Pre_Close_AMF_Table[[#This Row],[GL_ICP]])</f>
        <v/>
      </c>
      <c r="I76" t="s">
        <v>1212</v>
      </c>
      <c r="J76" t="s">
        <v>1329</v>
      </c>
      <c r="K76" t="str">
        <f>IFERROR(VLOOKUP(VALUE(Pre_Close_AMF_Table[[#This Row],[GL_PC]]),BNS_Profit_Centers[],2,FALSE),"TE")</f>
        <v>TE</v>
      </c>
      <c r="L76" t="s">
        <v>1329</v>
      </c>
      <c r="M76" t="s">
        <v>1396</v>
      </c>
      <c r="N76" t="s">
        <v>1390</v>
      </c>
      <c r="O76" s="33">
        <v>1610</v>
      </c>
    </row>
    <row r="77" spans="1:15" x14ac:dyDescent="0.25">
      <c r="A77" t="s">
        <v>1326</v>
      </c>
      <c r="B77" t="s">
        <v>1397</v>
      </c>
      <c r="C77" t="s">
        <v>10</v>
      </c>
      <c r="D77" t="str">
        <f>VLOOKUP(Pre_Close_AMF_Table[[#This Row],[HFM_Account]],HFM_Acct_OCF_Activity[],3,FALSE)</f>
        <v>Direct</v>
      </c>
      <c r="E77" t="s">
        <v>1210</v>
      </c>
      <c r="F77" t="s">
        <v>1194</v>
      </c>
      <c r="G77" t="s">
        <v>1398</v>
      </c>
      <c r="H77" t="str">
        <f>IF(NOT(ISERROR(FIND("NoICP",Pre_Close_AMF_Table[[#This Row],[GL_ICP]]))),"",Pre_Close_AMF_Table[[#This Row],[GL_ICP]])</f>
        <v/>
      </c>
      <c r="I77" t="s">
        <v>1212</v>
      </c>
      <c r="J77" t="s">
        <v>1329</v>
      </c>
      <c r="K77" t="str">
        <f>IFERROR(VLOOKUP(VALUE(Pre_Close_AMF_Table[[#This Row],[GL_PC]]),BNS_Profit_Centers[],2,FALSE),"TE")</f>
        <v>TE</v>
      </c>
      <c r="L77" t="s">
        <v>1329</v>
      </c>
      <c r="M77" t="s">
        <v>1399</v>
      </c>
      <c r="N77" t="s">
        <v>1390</v>
      </c>
      <c r="O77" s="33">
        <v>932.35</v>
      </c>
    </row>
    <row r="78" spans="1:15" x14ac:dyDescent="0.25">
      <c r="A78" t="s">
        <v>1326</v>
      </c>
      <c r="B78" t="s">
        <v>1400</v>
      </c>
      <c r="C78" t="s">
        <v>10</v>
      </c>
      <c r="D78" t="str">
        <f>VLOOKUP(Pre_Close_AMF_Table[[#This Row],[HFM_Account]],HFM_Acct_OCF_Activity[],3,FALSE)</f>
        <v>Direct</v>
      </c>
      <c r="E78" t="s">
        <v>1210</v>
      </c>
      <c r="F78" t="s">
        <v>1194</v>
      </c>
      <c r="G78" t="s">
        <v>1401</v>
      </c>
      <c r="H78" t="str">
        <f>IF(NOT(ISERROR(FIND("NoICP",Pre_Close_AMF_Table[[#This Row],[GL_ICP]]))),"",Pre_Close_AMF_Table[[#This Row],[GL_ICP]])</f>
        <v/>
      </c>
      <c r="I78" t="s">
        <v>1212</v>
      </c>
      <c r="J78" t="s">
        <v>1329</v>
      </c>
      <c r="K78" t="str">
        <f>IFERROR(VLOOKUP(VALUE(Pre_Close_AMF_Table[[#This Row],[GL_PC]]),BNS_Profit_Centers[],2,FALSE),"TE")</f>
        <v>TE</v>
      </c>
      <c r="L78" t="s">
        <v>1329</v>
      </c>
      <c r="M78" t="s">
        <v>1402</v>
      </c>
      <c r="N78" t="s">
        <v>1390</v>
      </c>
      <c r="O78" s="33">
        <v>6.84</v>
      </c>
    </row>
    <row r="79" spans="1:15" x14ac:dyDescent="0.25">
      <c r="A79" t="s">
        <v>1326</v>
      </c>
      <c r="B79" t="s">
        <v>1403</v>
      </c>
      <c r="C79" t="s">
        <v>10</v>
      </c>
      <c r="D79" t="str">
        <f>VLOOKUP(Pre_Close_AMF_Table[[#This Row],[HFM_Account]],HFM_Acct_OCF_Activity[],3,FALSE)</f>
        <v>Direct</v>
      </c>
      <c r="E79" t="s">
        <v>1210</v>
      </c>
      <c r="F79" t="s">
        <v>1194</v>
      </c>
      <c r="G79" t="s">
        <v>1404</v>
      </c>
      <c r="H79" t="str">
        <f>IF(NOT(ISERROR(FIND("NoICP",Pre_Close_AMF_Table[[#This Row],[GL_ICP]]))),"",Pre_Close_AMF_Table[[#This Row],[GL_ICP]])</f>
        <v/>
      </c>
      <c r="I79" t="s">
        <v>1212</v>
      </c>
      <c r="J79" t="s">
        <v>1329</v>
      </c>
      <c r="K79" t="str">
        <f>IFERROR(VLOOKUP(VALUE(Pre_Close_AMF_Table[[#This Row],[GL_PC]]),BNS_Profit_Centers[],2,FALSE),"TE")</f>
        <v>TE</v>
      </c>
      <c r="L79" t="s">
        <v>1329</v>
      </c>
      <c r="M79" t="s">
        <v>1405</v>
      </c>
      <c r="N79" t="s">
        <v>1390</v>
      </c>
      <c r="O79" s="33">
        <v>580.37</v>
      </c>
    </row>
    <row r="80" spans="1:15" x14ac:dyDescent="0.25">
      <c r="A80" t="s">
        <v>1326</v>
      </c>
      <c r="B80" t="s">
        <v>1406</v>
      </c>
      <c r="C80" t="s">
        <v>10</v>
      </c>
      <c r="D80" t="str">
        <f>VLOOKUP(Pre_Close_AMF_Table[[#This Row],[HFM_Account]],HFM_Acct_OCF_Activity[],3,FALSE)</f>
        <v>Direct</v>
      </c>
      <c r="E80" t="s">
        <v>1210</v>
      </c>
      <c r="F80" t="s">
        <v>1194</v>
      </c>
      <c r="G80" t="s">
        <v>1407</v>
      </c>
      <c r="H80" t="str">
        <f>IF(NOT(ISERROR(FIND("NoICP",Pre_Close_AMF_Table[[#This Row],[GL_ICP]]))),"",Pre_Close_AMF_Table[[#This Row],[GL_ICP]])</f>
        <v/>
      </c>
      <c r="I80" t="s">
        <v>1212</v>
      </c>
      <c r="J80" t="s">
        <v>1329</v>
      </c>
      <c r="K80" t="str">
        <f>IFERROR(VLOOKUP(VALUE(Pre_Close_AMF_Table[[#This Row],[GL_PC]]),BNS_Profit_Centers[],2,FALSE),"TE")</f>
        <v>TE</v>
      </c>
      <c r="L80" t="s">
        <v>1329</v>
      </c>
      <c r="M80" t="s">
        <v>1408</v>
      </c>
      <c r="N80" t="s">
        <v>1390</v>
      </c>
      <c r="O80" s="33">
        <v>1135.75</v>
      </c>
    </row>
    <row r="81" spans="1:15" x14ac:dyDescent="0.25">
      <c r="A81" t="s">
        <v>1326</v>
      </c>
      <c r="B81" t="s">
        <v>1409</v>
      </c>
      <c r="C81" t="s">
        <v>10</v>
      </c>
      <c r="D81" t="str">
        <f>VLOOKUP(Pre_Close_AMF_Table[[#This Row],[HFM_Account]],HFM_Acct_OCF_Activity[],3,FALSE)</f>
        <v>Direct</v>
      </c>
      <c r="E81" t="s">
        <v>1210</v>
      </c>
      <c r="F81" t="s">
        <v>1194</v>
      </c>
      <c r="G81" t="s">
        <v>1410</v>
      </c>
      <c r="H81" t="str">
        <f>IF(NOT(ISERROR(FIND("NoICP",Pre_Close_AMF_Table[[#This Row],[GL_ICP]]))),"",Pre_Close_AMF_Table[[#This Row],[GL_ICP]])</f>
        <v/>
      </c>
      <c r="I81" t="s">
        <v>1212</v>
      </c>
      <c r="J81" t="s">
        <v>1329</v>
      </c>
      <c r="K81" t="str">
        <f>IFERROR(VLOOKUP(VALUE(Pre_Close_AMF_Table[[#This Row],[GL_PC]]),BNS_Profit_Centers[],2,FALSE),"TE")</f>
        <v>TE</v>
      </c>
      <c r="L81" t="s">
        <v>1329</v>
      </c>
      <c r="M81" t="s">
        <v>1411</v>
      </c>
      <c r="N81" t="s">
        <v>1390</v>
      </c>
      <c r="O81" s="33">
        <v>120</v>
      </c>
    </row>
    <row r="82" spans="1:15" x14ac:dyDescent="0.25">
      <c r="A82" t="s">
        <v>1326</v>
      </c>
      <c r="B82" t="s">
        <v>1412</v>
      </c>
      <c r="C82" t="s">
        <v>10</v>
      </c>
      <c r="D82" t="str">
        <f>VLOOKUP(Pre_Close_AMF_Table[[#This Row],[HFM_Account]],HFM_Acct_OCF_Activity[],3,FALSE)</f>
        <v>Direct</v>
      </c>
      <c r="E82" t="s">
        <v>1210</v>
      </c>
      <c r="F82" t="s">
        <v>1194</v>
      </c>
      <c r="G82" t="s">
        <v>1413</v>
      </c>
      <c r="H82" t="str">
        <f>IF(NOT(ISERROR(FIND("NoICP",Pre_Close_AMF_Table[[#This Row],[GL_ICP]]))),"",Pre_Close_AMF_Table[[#This Row],[GL_ICP]])</f>
        <v/>
      </c>
      <c r="I82" t="s">
        <v>1212</v>
      </c>
      <c r="J82" t="s">
        <v>1329</v>
      </c>
      <c r="K82" t="str">
        <f>IFERROR(VLOOKUP(VALUE(Pre_Close_AMF_Table[[#This Row],[GL_PC]]),BNS_Profit_Centers[],2,FALSE),"TE")</f>
        <v>TE</v>
      </c>
      <c r="L82" t="s">
        <v>1329</v>
      </c>
      <c r="M82" t="s">
        <v>1414</v>
      </c>
      <c r="N82" t="s">
        <v>1415</v>
      </c>
      <c r="O82" s="33">
        <v>1624.05</v>
      </c>
    </row>
    <row r="83" spans="1:15" x14ac:dyDescent="0.25">
      <c r="A83" t="s">
        <v>1326</v>
      </c>
      <c r="B83" t="s">
        <v>1416</v>
      </c>
      <c r="C83" t="s">
        <v>10</v>
      </c>
      <c r="D83" t="str">
        <f>VLOOKUP(Pre_Close_AMF_Table[[#This Row],[HFM_Account]],HFM_Acct_OCF_Activity[],3,FALSE)</f>
        <v>Direct</v>
      </c>
      <c r="E83" t="s">
        <v>1210</v>
      </c>
      <c r="F83" t="s">
        <v>1194</v>
      </c>
      <c r="G83" t="s">
        <v>1417</v>
      </c>
      <c r="H83" t="str">
        <f>IF(NOT(ISERROR(FIND("NoICP",Pre_Close_AMF_Table[[#This Row],[GL_ICP]]))),"",Pre_Close_AMF_Table[[#This Row],[GL_ICP]])</f>
        <v/>
      </c>
      <c r="I83" t="s">
        <v>1212</v>
      </c>
      <c r="J83" t="s">
        <v>1329</v>
      </c>
      <c r="K83" t="str">
        <f>IFERROR(VLOOKUP(VALUE(Pre_Close_AMF_Table[[#This Row],[GL_PC]]),BNS_Profit_Centers[],2,FALSE),"TE")</f>
        <v>TE</v>
      </c>
      <c r="L83" t="s">
        <v>1329</v>
      </c>
      <c r="M83" t="s">
        <v>1418</v>
      </c>
      <c r="N83" t="s">
        <v>1415</v>
      </c>
      <c r="O83" s="33">
        <v>5681.69</v>
      </c>
    </row>
    <row r="84" spans="1:15" x14ac:dyDescent="0.25">
      <c r="A84" t="s">
        <v>1326</v>
      </c>
      <c r="B84" t="s">
        <v>1419</v>
      </c>
      <c r="C84" t="s">
        <v>10</v>
      </c>
      <c r="D84" t="str">
        <f>VLOOKUP(Pre_Close_AMF_Table[[#This Row],[HFM_Account]],HFM_Acct_OCF_Activity[],3,FALSE)</f>
        <v>Direct</v>
      </c>
      <c r="E84" t="s">
        <v>1210</v>
      </c>
      <c r="F84" t="s">
        <v>1194</v>
      </c>
      <c r="G84" t="s">
        <v>1420</v>
      </c>
      <c r="H84" t="str">
        <f>IF(NOT(ISERROR(FIND("NoICP",Pre_Close_AMF_Table[[#This Row],[GL_ICP]]))),"",Pre_Close_AMF_Table[[#This Row],[GL_ICP]])</f>
        <v/>
      </c>
      <c r="I84" t="s">
        <v>1212</v>
      </c>
      <c r="J84" t="s">
        <v>1329</v>
      </c>
      <c r="K84" t="str">
        <f>IFERROR(VLOOKUP(VALUE(Pre_Close_AMF_Table[[#This Row],[GL_PC]]),BNS_Profit_Centers[],2,FALSE),"TE")</f>
        <v>TE</v>
      </c>
      <c r="L84" t="s">
        <v>1329</v>
      </c>
      <c r="M84" t="s">
        <v>1421</v>
      </c>
      <c r="N84" t="s">
        <v>1421</v>
      </c>
      <c r="O84" s="33">
        <v>51.3</v>
      </c>
    </row>
    <row r="85" spans="1:15" x14ac:dyDescent="0.25">
      <c r="A85" t="s">
        <v>1326</v>
      </c>
      <c r="B85" t="s">
        <v>1422</v>
      </c>
      <c r="C85" t="s">
        <v>10</v>
      </c>
      <c r="D85" t="str">
        <f>VLOOKUP(Pre_Close_AMF_Table[[#This Row],[HFM_Account]],HFM_Acct_OCF_Activity[],3,FALSE)</f>
        <v>Direct</v>
      </c>
      <c r="E85" t="s">
        <v>1210</v>
      </c>
      <c r="F85" t="s">
        <v>1194</v>
      </c>
      <c r="G85" t="s">
        <v>1423</v>
      </c>
      <c r="H85" t="str">
        <f>IF(NOT(ISERROR(FIND("NoICP",Pre_Close_AMF_Table[[#This Row],[GL_ICP]]))),"",Pre_Close_AMF_Table[[#This Row],[GL_ICP]])</f>
        <v/>
      </c>
      <c r="I85" t="s">
        <v>1212</v>
      </c>
      <c r="J85" t="s">
        <v>1329</v>
      </c>
      <c r="K85" t="str">
        <f>IFERROR(VLOOKUP(VALUE(Pre_Close_AMF_Table[[#This Row],[GL_PC]]),BNS_Profit_Centers[],2,FALSE),"TE")</f>
        <v>TE</v>
      </c>
      <c r="L85" t="s">
        <v>1329</v>
      </c>
      <c r="M85" t="s">
        <v>1424</v>
      </c>
      <c r="N85" t="s">
        <v>1424</v>
      </c>
      <c r="O85" s="33">
        <v>365.08</v>
      </c>
    </row>
    <row r="86" spans="1:15" x14ac:dyDescent="0.25">
      <c r="A86" t="s">
        <v>1326</v>
      </c>
      <c r="B86" t="s">
        <v>1327</v>
      </c>
      <c r="C86" t="s">
        <v>10</v>
      </c>
      <c r="D86" t="str">
        <f>VLOOKUP(Pre_Close_AMF_Table[[#This Row],[HFM_Account]],HFM_Acct_OCF_Activity[],3,FALSE)</f>
        <v>Direct</v>
      </c>
      <c r="E86" t="s">
        <v>1210</v>
      </c>
      <c r="F86" t="s">
        <v>1194</v>
      </c>
      <c r="G86" t="s">
        <v>1328</v>
      </c>
      <c r="H86" t="str">
        <f>IF(NOT(ISERROR(FIND("NoICP",Pre_Close_AMF_Table[[#This Row],[GL_ICP]]))),"",Pre_Close_AMF_Table[[#This Row],[GL_ICP]])</f>
        <v/>
      </c>
      <c r="I86" t="s">
        <v>1212</v>
      </c>
      <c r="J86" t="s">
        <v>1425</v>
      </c>
      <c r="K86" t="str">
        <f>IFERROR(VLOOKUP(VALUE(Pre_Close_AMF_Table[[#This Row],[GL_PC]]),BNS_Profit_Centers[],2,FALSE),"TE")</f>
        <v>TE</v>
      </c>
      <c r="L86" t="s">
        <v>1425</v>
      </c>
      <c r="M86" t="s">
        <v>1330</v>
      </c>
      <c r="N86" t="s">
        <v>1330</v>
      </c>
      <c r="O86" s="33">
        <v>82794</v>
      </c>
    </row>
    <row r="87" spans="1:15" x14ac:dyDescent="0.25">
      <c r="A87" t="s">
        <v>1326</v>
      </c>
      <c r="B87" t="s">
        <v>1331</v>
      </c>
      <c r="C87" t="s">
        <v>10</v>
      </c>
      <c r="D87" t="str">
        <f>VLOOKUP(Pre_Close_AMF_Table[[#This Row],[HFM_Account]],HFM_Acct_OCF_Activity[],3,FALSE)</f>
        <v>Direct</v>
      </c>
      <c r="E87" t="s">
        <v>1210</v>
      </c>
      <c r="F87" t="s">
        <v>1194</v>
      </c>
      <c r="G87" t="s">
        <v>1332</v>
      </c>
      <c r="H87" t="str">
        <f>IF(NOT(ISERROR(FIND("NoICP",Pre_Close_AMF_Table[[#This Row],[GL_ICP]]))),"",Pre_Close_AMF_Table[[#This Row],[GL_ICP]])</f>
        <v/>
      </c>
      <c r="I87" t="s">
        <v>1212</v>
      </c>
      <c r="J87" t="s">
        <v>1425</v>
      </c>
      <c r="K87" t="str">
        <f>IFERROR(VLOOKUP(VALUE(Pre_Close_AMF_Table[[#This Row],[GL_PC]]),BNS_Profit_Centers[],2,FALSE),"TE")</f>
        <v>TE</v>
      </c>
      <c r="L87" t="s">
        <v>1425</v>
      </c>
      <c r="M87" t="s">
        <v>1333</v>
      </c>
      <c r="N87" t="s">
        <v>1334</v>
      </c>
      <c r="O87" s="33">
        <v>5569.97</v>
      </c>
    </row>
    <row r="88" spans="1:15" x14ac:dyDescent="0.25">
      <c r="A88" t="s">
        <v>1326</v>
      </c>
      <c r="B88" t="s">
        <v>1335</v>
      </c>
      <c r="C88" t="s">
        <v>10</v>
      </c>
      <c r="D88" t="str">
        <f>VLOOKUP(Pre_Close_AMF_Table[[#This Row],[HFM_Account]],HFM_Acct_OCF_Activity[],3,FALSE)</f>
        <v>Direct</v>
      </c>
      <c r="E88" t="s">
        <v>1210</v>
      </c>
      <c r="F88" t="s">
        <v>1194</v>
      </c>
      <c r="G88" t="s">
        <v>1336</v>
      </c>
      <c r="H88" t="str">
        <f>IF(NOT(ISERROR(FIND("NoICP",Pre_Close_AMF_Table[[#This Row],[GL_ICP]]))),"",Pre_Close_AMF_Table[[#This Row],[GL_ICP]])</f>
        <v/>
      </c>
      <c r="I88" t="s">
        <v>1212</v>
      </c>
      <c r="J88" t="s">
        <v>1425</v>
      </c>
      <c r="K88" t="str">
        <f>IFERROR(VLOOKUP(VALUE(Pre_Close_AMF_Table[[#This Row],[GL_PC]]),BNS_Profit_Centers[],2,FALSE),"TE")</f>
        <v>TE</v>
      </c>
      <c r="L88" t="s">
        <v>1425</v>
      </c>
      <c r="M88" t="s">
        <v>1337</v>
      </c>
      <c r="N88" t="s">
        <v>1334</v>
      </c>
      <c r="O88" s="33">
        <v>-3252</v>
      </c>
    </row>
    <row r="89" spans="1:15" x14ac:dyDescent="0.25">
      <c r="A89" t="s">
        <v>1326</v>
      </c>
      <c r="B89" t="s">
        <v>1338</v>
      </c>
      <c r="C89" t="s">
        <v>10</v>
      </c>
      <c r="D89" t="str">
        <f>VLOOKUP(Pre_Close_AMF_Table[[#This Row],[HFM_Account]],HFM_Acct_OCF_Activity[],3,FALSE)</f>
        <v>Direct</v>
      </c>
      <c r="E89" t="s">
        <v>1210</v>
      </c>
      <c r="F89" t="s">
        <v>1194</v>
      </c>
      <c r="G89" t="s">
        <v>1339</v>
      </c>
      <c r="H89" t="str">
        <f>IF(NOT(ISERROR(FIND("NoICP",Pre_Close_AMF_Table[[#This Row],[GL_ICP]]))),"",Pre_Close_AMF_Table[[#This Row],[GL_ICP]])</f>
        <v/>
      </c>
      <c r="I89" t="s">
        <v>1212</v>
      </c>
      <c r="J89" t="s">
        <v>1425</v>
      </c>
      <c r="K89" t="str">
        <f>IFERROR(VLOOKUP(VALUE(Pre_Close_AMF_Table[[#This Row],[GL_PC]]),BNS_Profit_Centers[],2,FALSE),"TE")</f>
        <v>TE</v>
      </c>
      <c r="L89" t="s">
        <v>1425</v>
      </c>
      <c r="M89" t="s">
        <v>1340</v>
      </c>
      <c r="N89" t="s">
        <v>1334</v>
      </c>
      <c r="O89" s="33">
        <v>419</v>
      </c>
    </row>
    <row r="90" spans="1:15" x14ac:dyDescent="0.25">
      <c r="A90" t="s">
        <v>1326</v>
      </c>
      <c r="B90" t="s">
        <v>1341</v>
      </c>
      <c r="C90" t="s">
        <v>10</v>
      </c>
      <c r="D90" t="str">
        <f>VLOOKUP(Pre_Close_AMF_Table[[#This Row],[HFM_Account]],HFM_Acct_OCF_Activity[],3,FALSE)</f>
        <v>Direct</v>
      </c>
      <c r="E90" t="s">
        <v>1210</v>
      </c>
      <c r="F90" t="s">
        <v>1194</v>
      </c>
      <c r="G90" t="s">
        <v>1342</v>
      </c>
      <c r="H90" t="str">
        <f>IF(NOT(ISERROR(FIND("NoICP",Pre_Close_AMF_Table[[#This Row],[GL_ICP]]))),"",Pre_Close_AMF_Table[[#This Row],[GL_ICP]])</f>
        <v/>
      </c>
      <c r="I90" t="s">
        <v>1212</v>
      </c>
      <c r="J90" t="s">
        <v>1425</v>
      </c>
      <c r="K90" t="str">
        <f>IFERROR(VLOOKUP(VALUE(Pre_Close_AMF_Table[[#This Row],[GL_PC]]),BNS_Profit_Centers[],2,FALSE),"TE")</f>
        <v>TE</v>
      </c>
      <c r="L90" t="s">
        <v>1425</v>
      </c>
      <c r="M90" t="s">
        <v>1343</v>
      </c>
      <c r="N90" t="s">
        <v>1334</v>
      </c>
      <c r="O90" s="33">
        <v>460</v>
      </c>
    </row>
    <row r="91" spans="1:15" x14ac:dyDescent="0.25">
      <c r="A91" t="s">
        <v>1326</v>
      </c>
      <c r="B91" t="s">
        <v>1344</v>
      </c>
      <c r="C91" t="s">
        <v>10</v>
      </c>
      <c r="D91" t="str">
        <f>VLOOKUP(Pre_Close_AMF_Table[[#This Row],[HFM_Account]],HFM_Acct_OCF_Activity[],3,FALSE)</f>
        <v>Direct</v>
      </c>
      <c r="E91" t="s">
        <v>1210</v>
      </c>
      <c r="F91" t="s">
        <v>1194</v>
      </c>
      <c r="G91" t="s">
        <v>1345</v>
      </c>
      <c r="H91" t="str">
        <f>IF(NOT(ISERROR(FIND("NoICP",Pre_Close_AMF_Table[[#This Row],[GL_ICP]]))),"",Pre_Close_AMF_Table[[#This Row],[GL_ICP]])</f>
        <v/>
      </c>
      <c r="I91" t="s">
        <v>1212</v>
      </c>
      <c r="J91" t="s">
        <v>1425</v>
      </c>
      <c r="K91" t="str">
        <f>IFERROR(VLOOKUP(VALUE(Pre_Close_AMF_Table[[#This Row],[GL_PC]]),BNS_Profit_Centers[],2,FALSE),"TE")</f>
        <v>TE</v>
      </c>
      <c r="L91" t="s">
        <v>1425</v>
      </c>
      <c r="M91" t="s">
        <v>1346</v>
      </c>
      <c r="N91" t="s">
        <v>1347</v>
      </c>
      <c r="O91" s="33">
        <v>600</v>
      </c>
    </row>
    <row r="92" spans="1:15" x14ac:dyDescent="0.25">
      <c r="A92" t="s">
        <v>1326</v>
      </c>
      <c r="B92" t="s">
        <v>1348</v>
      </c>
      <c r="C92" t="s">
        <v>10</v>
      </c>
      <c r="D92" t="str">
        <f>VLOOKUP(Pre_Close_AMF_Table[[#This Row],[HFM_Account]],HFM_Acct_OCF_Activity[],3,FALSE)</f>
        <v>Direct</v>
      </c>
      <c r="E92" t="s">
        <v>1210</v>
      </c>
      <c r="F92" t="s">
        <v>1194</v>
      </c>
      <c r="G92" t="s">
        <v>1349</v>
      </c>
      <c r="H92" t="str">
        <f>IF(NOT(ISERROR(FIND("NoICP",Pre_Close_AMF_Table[[#This Row],[GL_ICP]]))),"",Pre_Close_AMF_Table[[#This Row],[GL_ICP]])</f>
        <v/>
      </c>
      <c r="I92" t="s">
        <v>1212</v>
      </c>
      <c r="J92" t="s">
        <v>1425</v>
      </c>
      <c r="K92" t="str">
        <f>IFERROR(VLOOKUP(VALUE(Pre_Close_AMF_Table[[#This Row],[GL_PC]]),BNS_Profit_Centers[],2,FALSE),"TE")</f>
        <v>TE</v>
      </c>
      <c r="L92" t="s">
        <v>1425</v>
      </c>
      <c r="M92" t="s">
        <v>1350</v>
      </c>
      <c r="N92" t="s">
        <v>1351</v>
      </c>
      <c r="O92" s="33">
        <v>516.09</v>
      </c>
    </row>
    <row r="93" spans="1:15" x14ac:dyDescent="0.25">
      <c r="A93" t="s">
        <v>1326</v>
      </c>
      <c r="B93" t="s">
        <v>1352</v>
      </c>
      <c r="C93" t="s">
        <v>10</v>
      </c>
      <c r="D93" t="str">
        <f>VLOOKUP(Pre_Close_AMF_Table[[#This Row],[HFM_Account]],HFM_Acct_OCF_Activity[],3,FALSE)</f>
        <v>Direct</v>
      </c>
      <c r="E93" t="s">
        <v>1210</v>
      </c>
      <c r="F93" t="s">
        <v>1194</v>
      </c>
      <c r="G93" t="s">
        <v>1353</v>
      </c>
      <c r="H93" t="str">
        <f>IF(NOT(ISERROR(FIND("NoICP",Pre_Close_AMF_Table[[#This Row],[GL_ICP]]))),"",Pre_Close_AMF_Table[[#This Row],[GL_ICP]])</f>
        <v/>
      </c>
      <c r="I93" t="s">
        <v>1212</v>
      </c>
      <c r="J93" t="s">
        <v>1425</v>
      </c>
      <c r="K93" t="str">
        <f>IFERROR(VLOOKUP(VALUE(Pre_Close_AMF_Table[[#This Row],[GL_PC]]),BNS_Profit_Centers[],2,FALSE),"TE")</f>
        <v>TE</v>
      </c>
      <c r="L93" t="s">
        <v>1425</v>
      </c>
      <c r="M93" t="s">
        <v>1354</v>
      </c>
      <c r="N93" t="s">
        <v>1351</v>
      </c>
      <c r="O93" s="33">
        <v>331.23</v>
      </c>
    </row>
    <row r="94" spans="1:15" x14ac:dyDescent="0.25">
      <c r="A94" t="s">
        <v>1326</v>
      </c>
      <c r="B94" t="s">
        <v>1355</v>
      </c>
      <c r="C94" t="s">
        <v>10</v>
      </c>
      <c r="D94" t="str">
        <f>VLOOKUP(Pre_Close_AMF_Table[[#This Row],[HFM_Account]],HFM_Acct_OCF_Activity[],3,FALSE)</f>
        <v>Direct</v>
      </c>
      <c r="E94" t="s">
        <v>1210</v>
      </c>
      <c r="F94" t="s">
        <v>1194</v>
      </c>
      <c r="G94" t="s">
        <v>1356</v>
      </c>
      <c r="H94" t="str">
        <f>IF(NOT(ISERROR(FIND("NoICP",Pre_Close_AMF_Table[[#This Row],[GL_ICP]]))),"",Pre_Close_AMF_Table[[#This Row],[GL_ICP]])</f>
        <v/>
      </c>
      <c r="I94" t="s">
        <v>1212</v>
      </c>
      <c r="J94" t="s">
        <v>1425</v>
      </c>
      <c r="K94" t="str">
        <f>IFERROR(VLOOKUP(VALUE(Pre_Close_AMF_Table[[#This Row],[GL_PC]]),BNS_Profit_Centers[],2,FALSE),"TE")</f>
        <v>TE</v>
      </c>
      <c r="L94" t="s">
        <v>1425</v>
      </c>
      <c r="M94" t="s">
        <v>1357</v>
      </c>
      <c r="N94" t="s">
        <v>1351</v>
      </c>
      <c r="O94" s="33">
        <v>372</v>
      </c>
    </row>
    <row r="95" spans="1:15" x14ac:dyDescent="0.25">
      <c r="A95" t="s">
        <v>1326</v>
      </c>
      <c r="B95" t="s">
        <v>1358</v>
      </c>
      <c r="C95" t="s">
        <v>10</v>
      </c>
      <c r="D95" t="str">
        <f>VLOOKUP(Pre_Close_AMF_Table[[#This Row],[HFM_Account]],HFM_Acct_OCF_Activity[],3,FALSE)</f>
        <v>Direct</v>
      </c>
      <c r="E95" t="s">
        <v>1210</v>
      </c>
      <c r="F95" t="s">
        <v>1194</v>
      </c>
      <c r="G95" t="s">
        <v>1359</v>
      </c>
      <c r="H95" t="str">
        <f>IF(NOT(ISERROR(FIND("NoICP",Pre_Close_AMF_Table[[#This Row],[GL_ICP]]))),"",Pre_Close_AMF_Table[[#This Row],[GL_ICP]])</f>
        <v/>
      </c>
      <c r="I95" t="s">
        <v>1212</v>
      </c>
      <c r="J95" t="s">
        <v>1425</v>
      </c>
      <c r="K95" t="str">
        <f>IFERROR(VLOOKUP(VALUE(Pre_Close_AMF_Table[[#This Row],[GL_PC]]),BNS_Profit_Centers[],2,FALSE),"TE")</f>
        <v>TE</v>
      </c>
      <c r="L95" t="s">
        <v>1425</v>
      </c>
      <c r="M95" t="s">
        <v>1360</v>
      </c>
      <c r="N95" t="s">
        <v>1361</v>
      </c>
      <c r="O95" s="33">
        <v>3221.38</v>
      </c>
    </row>
    <row r="96" spans="1:15" x14ac:dyDescent="0.25">
      <c r="A96" t="s">
        <v>1326</v>
      </c>
      <c r="B96" t="s">
        <v>1362</v>
      </c>
      <c r="C96" t="s">
        <v>10</v>
      </c>
      <c r="D96" t="str">
        <f>VLOOKUP(Pre_Close_AMF_Table[[#This Row],[HFM_Account]],HFM_Acct_OCF_Activity[],3,FALSE)</f>
        <v>Direct</v>
      </c>
      <c r="E96" t="s">
        <v>1210</v>
      </c>
      <c r="F96" t="s">
        <v>1194</v>
      </c>
      <c r="G96" t="s">
        <v>1363</v>
      </c>
      <c r="H96" t="str">
        <f>IF(NOT(ISERROR(FIND("NoICP",Pre_Close_AMF_Table[[#This Row],[GL_ICP]]))),"",Pre_Close_AMF_Table[[#This Row],[GL_ICP]])</f>
        <v/>
      </c>
      <c r="I96" t="s">
        <v>1212</v>
      </c>
      <c r="J96" t="s">
        <v>1425</v>
      </c>
      <c r="K96" t="str">
        <f>IFERROR(VLOOKUP(VALUE(Pre_Close_AMF_Table[[#This Row],[GL_PC]]),BNS_Profit_Centers[],2,FALSE),"TE")</f>
        <v>TE</v>
      </c>
      <c r="L96" t="s">
        <v>1425</v>
      </c>
      <c r="M96" t="s">
        <v>1364</v>
      </c>
      <c r="N96" t="s">
        <v>1364</v>
      </c>
      <c r="O96" s="33">
        <v>-17633.099999999999</v>
      </c>
    </row>
    <row r="97" spans="1:15" x14ac:dyDescent="0.25">
      <c r="A97" t="s">
        <v>1326</v>
      </c>
      <c r="B97" t="s">
        <v>1369</v>
      </c>
      <c r="C97" t="s">
        <v>10</v>
      </c>
      <c r="D97" t="str">
        <f>VLOOKUP(Pre_Close_AMF_Table[[#This Row],[HFM_Account]],HFM_Acct_OCF_Activity[],3,FALSE)</f>
        <v>Direct</v>
      </c>
      <c r="E97" t="s">
        <v>1210</v>
      </c>
      <c r="F97" t="s">
        <v>1194</v>
      </c>
      <c r="G97" t="s">
        <v>1370</v>
      </c>
      <c r="H97" t="str">
        <f>IF(NOT(ISERROR(FIND("NoICP",Pre_Close_AMF_Table[[#This Row],[GL_ICP]]))),"",Pre_Close_AMF_Table[[#This Row],[GL_ICP]])</f>
        <v/>
      </c>
      <c r="I97" t="s">
        <v>1212</v>
      </c>
      <c r="J97" t="s">
        <v>1425</v>
      </c>
      <c r="K97" t="str">
        <f>IFERROR(VLOOKUP(VALUE(Pre_Close_AMF_Table[[#This Row],[GL_PC]]),BNS_Profit_Centers[],2,FALSE),"TE")</f>
        <v>TE</v>
      </c>
      <c r="L97" t="s">
        <v>1425</v>
      </c>
      <c r="M97" t="s">
        <v>1371</v>
      </c>
      <c r="N97" t="s">
        <v>1368</v>
      </c>
      <c r="O97" s="33">
        <v>76410.100000000006</v>
      </c>
    </row>
    <row r="98" spans="1:15" x14ac:dyDescent="0.25">
      <c r="A98" t="s">
        <v>1326</v>
      </c>
      <c r="B98" t="s">
        <v>1372</v>
      </c>
      <c r="C98" t="s">
        <v>10</v>
      </c>
      <c r="D98" t="str">
        <f>VLOOKUP(Pre_Close_AMF_Table[[#This Row],[HFM_Account]],HFM_Acct_OCF_Activity[],3,FALSE)</f>
        <v>Direct</v>
      </c>
      <c r="E98" t="s">
        <v>1210</v>
      </c>
      <c r="F98" t="s">
        <v>1194</v>
      </c>
      <c r="G98" t="s">
        <v>1373</v>
      </c>
      <c r="H98" t="str">
        <f>IF(NOT(ISERROR(FIND("NoICP",Pre_Close_AMF_Table[[#This Row],[GL_ICP]]))),"",Pre_Close_AMF_Table[[#This Row],[GL_ICP]])</f>
        <v/>
      </c>
      <c r="I98" t="s">
        <v>1212</v>
      </c>
      <c r="J98" t="s">
        <v>1425</v>
      </c>
      <c r="K98" t="str">
        <f>IFERROR(VLOOKUP(VALUE(Pre_Close_AMF_Table[[#This Row],[GL_PC]]),BNS_Profit_Centers[],2,FALSE),"TE")</f>
        <v>TE</v>
      </c>
      <c r="L98" t="s">
        <v>1425</v>
      </c>
      <c r="M98" t="s">
        <v>1374</v>
      </c>
      <c r="N98" t="s">
        <v>1374</v>
      </c>
      <c r="O98" s="33">
        <v>25237.71</v>
      </c>
    </row>
    <row r="99" spans="1:15" x14ac:dyDescent="0.25">
      <c r="A99" t="s">
        <v>1326</v>
      </c>
      <c r="B99" t="s">
        <v>1375</v>
      </c>
      <c r="C99" t="s">
        <v>10</v>
      </c>
      <c r="D99" t="str">
        <f>VLOOKUP(Pre_Close_AMF_Table[[#This Row],[HFM_Account]],HFM_Acct_OCF_Activity[],3,FALSE)</f>
        <v>Direct</v>
      </c>
      <c r="E99" t="s">
        <v>1210</v>
      </c>
      <c r="F99" t="s">
        <v>1194</v>
      </c>
      <c r="G99" t="s">
        <v>1376</v>
      </c>
      <c r="H99" t="str">
        <f>IF(NOT(ISERROR(FIND("NoICP",Pre_Close_AMF_Table[[#This Row],[GL_ICP]]))),"",Pre_Close_AMF_Table[[#This Row],[GL_ICP]])</f>
        <v/>
      </c>
      <c r="I99" t="s">
        <v>1212</v>
      </c>
      <c r="J99" t="s">
        <v>1425</v>
      </c>
      <c r="K99" t="str">
        <f>IFERROR(VLOOKUP(VALUE(Pre_Close_AMF_Table[[#This Row],[GL_PC]]),BNS_Profit_Centers[],2,FALSE),"TE")</f>
        <v>TE</v>
      </c>
      <c r="L99" t="s">
        <v>1425</v>
      </c>
      <c r="M99" t="s">
        <v>1377</v>
      </c>
      <c r="N99" t="s">
        <v>1374</v>
      </c>
      <c r="O99" s="33">
        <v>10334.36</v>
      </c>
    </row>
    <row r="100" spans="1:15" x14ac:dyDescent="0.25">
      <c r="A100" t="s">
        <v>1326</v>
      </c>
      <c r="B100" t="s">
        <v>1378</v>
      </c>
      <c r="C100" t="s">
        <v>10</v>
      </c>
      <c r="D100" t="str">
        <f>VLOOKUP(Pre_Close_AMF_Table[[#This Row],[HFM_Account]],HFM_Acct_OCF_Activity[],3,FALSE)</f>
        <v>Direct</v>
      </c>
      <c r="E100" t="s">
        <v>1210</v>
      </c>
      <c r="F100" t="s">
        <v>1194</v>
      </c>
      <c r="G100" t="s">
        <v>1379</v>
      </c>
      <c r="H100" t="str">
        <f>IF(NOT(ISERROR(FIND("NoICP",Pre_Close_AMF_Table[[#This Row],[GL_ICP]]))),"",Pre_Close_AMF_Table[[#This Row],[GL_ICP]])</f>
        <v/>
      </c>
      <c r="I100" t="s">
        <v>1212</v>
      </c>
      <c r="J100" t="s">
        <v>1425</v>
      </c>
      <c r="K100" t="str">
        <f>IFERROR(VLOOKUP(VALUE(Pre_Close_AMF_Table[[#This Row],[GL_PC]]),BNS_Profit_Centers[],2,FALSE),"TE")</f>
        <v>TE</v>
      </c>
      <c r="L100" t="s">
        <v>1425</v>
      </c>
      <c r="M100" t="s">
        <v>1380</v>
      </c>
      <c r="N100" t="s">
        <v>1380</v>
      </c>
      <c r="O100" s="33">
        <v>247.35</v>
      </c>
    </row>
    <row r="101" spans="1:15" x14ac:dyDescent="0.25">
      <c r="A101" t="s">
        <v>1326</v>
      </c>
      <c r="B101" t="s">
        <v>1381</v>
      </c>
      <c r="C101" t="s">
        <v>10</v>
      </c>
      <c r="D101" t="str">
        <f>VLOOKUP(Pre_Close_AMF_Table[[#This Row],[HFM_Account]],HFM_Acct_OCF_Activity[],3,FALSE)</f>
        <v>Direct</v>
      </c>
      <c r="E101" t="s">
        <v>1210</v>
      </c>
      <c r="F101" t="s">
        <v>1194</v>
      </c>
      <c r="G101" t="s">
        <v>1382</v>
      </c>
      <c r="H101" t="str">
        <f>IF(NOT(ISERROR(FIND("NoICP",Pre_Close_AMF_Table[[#This Row],[GL_ICP]]))),"",Pre_Close_AMF_Table[[#This Row],[GL_ICP]])</f>
        <v/>
      </c>
      <c r="I101" t="s">
        <v>1212</v>
      </c>
      <c r="J101" t="s">
        <v>1425</v>
      </c>
      <c r="K101" t="str">
        <f>IFERROR(VLOOKUP(VALUE(Pre_Close_AMF_Table[[#This Row],[GL_PC]]),BNS_Profit_Centers[],2,FALSE),"TE")</f>
        <v>TE</v>
      </c>
      <c r="L101" t="s">
        <v>1425</v>
      </c>
      <c r="M101" t="s">
        <v>1383</v>
      </c>
      <c r="N101" t="s">
        <v>1334</v>
      </c>
      <c r="O101" s="33">
        <v>9779.25</v>
      </c>
    </row>
    <row r="102" spans="1:15" x14ac:dyDescent="0.25">
      <c r="A102" t="s">
        <v>1326</v>
      </c>
      <c r="B102" t="s">
        <v>1384</v>
      </c>
      <c r="C102" t="s">
        <v>10</v>
      </c>
      <c r="D102" t="str">
        <f>VLOOKUP(Pre_Close_AMF_Table[[#This Row],[HFM_Account]],HFM_Acct_OCF_Activity[],3,FALSE)</f>
        <v>Direct</v>
      </c>
      <c r="E102" t="s">
        <v>1210</v>
      </c>
      <c r="F102" t="s">
        <v>1194</v>
      </c>
      <c r="G102" t="s">
        <v>1385</v>
      </c>
      <c r="H102" t="str">
        <f>IF(NOT(ISERROR(FIND("NoICP",Pre_Close_AMF_Table[[#This Row],[GL_ICP]]))),"",Pre_Close_AMF_Table[[#This Row],[GL_ICP]])</f>
        <v/>
      </c>
      <c r="I102" t="s">
        <v>1212</v>
      </c>
      <c r="J102" t="s">
        <v>1425</v>
      </c>
      <c r="K102" t="str">
        <f>IFERROR(VLOOKUP(VALUE(Pre_Close_AMF_Table[[#This Row],[GL_PC]]),BNS_Profit_Centers[],2,FALSE),"TE")</f>
        <v>TE</v>
      </c>
      <c r="L102" t="s">
        <v>1425</v>
      </c>
      <c r="M102" t="s">
        <v>1386</v>
      </c>
      <c r="N102" t="s">
        <v>1386</v>
      </c>
      <c r="O102" s="33">
        <v>439.8</v>
      </c>
    </row>
    <row r="103" spans="1:15" x14ac:dyDescent="0.25">
      <c r="A103" t="s">
        <v>1326</v>
      </c>
      <c r="B103" t="s">
        <v>1387</v>
      </c>
      <c r="C103" t="s">
        <v>10</v>
      </c>
      <c r="D103" t="str">
        <f>VLOOKUP(Pre_Close_AMF_Table[[#This Row],[HFM_Account]],HFM_Acct_OCF_Activity[],3,FALSE)</f>
        <v>Direct</v>
      </c>
      <c r="E103" t="s">
        <v>1210</v>
      </c>
      <c r="F103" t="s">
        <v>1194</v>
      </c>
      <c r="G103" t="s">
        <v>1388</v>
      </c>
      <c r="H103" t="str">
        <f>IF(NOT(ISERROR(FIND("NoICP",Pre_Close_AMF_Table[[#This Row],[GL_ICP]]))),"",Pre_Close_AMF_Table[[#This Row],[GL_ICP]])</f>
        <v/>
      </c>
      <c r="I103" t="s">
        <v>1212</v>
      </c>
      <c r="J103" t="s">
        <v>1425</v>
      </c>
      <c r="K103" t="str">
        <f>IFERROR(VLOOKUP(VALUE(Pre_Close_AMF_Table[[#This Row],[GL_PC]]),BNS_Profit_Centers[],2,FALSE),"TE")</f>
        <v>TE</v>
      </c>
      <c r="L103" t="s">
        <v>1425</v>
      </c>
      <c r="M103" t="s">
        <v>1389</v>
      </c>
      <c r="N103" t="s">
        <v>1390</v>
      </c>
      <c r="O103" s="33">
        <v>1350.69</v>
      </c>
    </row>
    <row r="104" spans="1:15" x14ac:dyDescent="0.25">
      <c r="A104" t="s">
        <v>1326</v>
      </c>
      <c r="B104" t="s">
        <v>1391</v>
      </c>
      <c r="C104" t="s">
        <v>10</v>
      </c>
      <c r="D104" t="str">
        <f>VLOOKUP(Pre_Close_AMF_Table[[#This Row],[HFM_Account]],HFM_Acct_OCF_Activity[],3,FALSE)</f>
        <v>Direct</v>
      </c>
      <c r="E104" t="s">
        <v>1210</v>
      </c>
      <c r="F104" t="s">
        <v>1194</v>
      </c>
      <c r="G104" t="s">
        <v>1392</v>
      </c>
      <c r="H104" t="str">
        <f>IF(NOT(ISERROR(FIND("NoICP",Pre_Close_AMF_Table[[#This Row],[GL_ICP]]))),"",Pre_Close_AMF_Table[[#This Row],[GL_ICP]])</f>
        <v/>
      </c>
      <c r="I104" t="s">
        <v>1212</v>
      </c>
      <c r="J104" t="s">
        <v>1425</v>
      </c>
      <c r="K104" t="str">
        <f>IFERROR(VLOOKUP(VALUE(Pre_Close_AMF_Table[[#This Row],[GL_PC]]),BNS_Profit_Centers[],2,FALSE),"TE")</f>
        <v>TE</v>
      </c>
      <c r="L104" t="s">
        <v>1425</v>
      </c>
      <c r="M104" t="s">
        <v>1393</v>
      </c>
      <c r="N104" t="s">
        <v>1390</v>
      </c>
      <c r="O104" s="33">
        <v>2141.87</v>
      </c>
    </row>
    <row r="105" spans="1:15" x14ac:dyDescent="0.25">
      <c r="A105" t="s">
        <v>1326</v>
      </c>
      <c r="B105" t="s">
        <v>1394</v>
      </c>
      <c r="C105" t="s">
        <v>10</v>
      </c>
      <c r="D105" t="str">
        <f>VLOOKUP(Pre_Close_AMF_Table[[#This Row],[HFM_Account]],HFM_Acct_OCF_Activity[],3,FALSE)</f>
        <v>Direct</v>
      </c>
      <c r="E105" t="s">
        <v>1210</v>
      </c>
      <c r="F105" t="s">
        <v>1194</v>
      </c>
      <c r="G105" t="s">
        <v>1395</v>
      </c>
      <c r="H105" t="str">
        <f>IF(NOT(ISERROR(FIND("NoICP",Pre_Close_AMF_Table[[#This Row],[GL_ICP]]))),"",Pre_Close_AMF_Table[[#This Row],[GL_ICP]])</f>
        <v/>
      </c>
      <c r="I105" t="s">
        <v>1212</v>
      </c>
      <c r="J105" t="s">
        <v>1425</v>
      </c>
      <c r="K105" t="str">
        <f>IFERROR(VLOOKUP(VALUE(Pre_Close_AMF_Table[[#This Row],[GL_PC]]),BNS_Profit_Centers[],2,FALSE),"TE")</f>
        <v>TE</v>
      </c>
      <c r="L105" t="s">
        <v>1425</v>
      </c>
      <c r="M105" t="s">
        <v>1396</v>
      </c>
      <c r="N105" t="s">
        <v>1390</v>
      </c>
      <c r="O105" s="33">
        <v>1700</v>
      </c>
    </row>
    <row r="106" spans="1:15" x14ac:dyDescent="0.25">
      <c r="A106" t="s">
        <v>1326</v>
      </c>
      <c r="B106" t="s">
        <v>1397</v>
      </c>
      <c r="C106" t="s">
        <v>10</v>
      </c>
      <c r="D106" t="str">
        <f>VLOOKUP(Pre_Close_AMF_Table[[#This Row],[HFM_Account]],HFM_Acct_OCF_Activity[],3,FALSE)</f>
        <v>Direct</v>
      </c>
      <c r="E106" t="s">
        <v>1210</v>
      </c>
      <c r="F106" t="s">
        <v>1194</v>
      </c>
      <c r="G106" t="s">
        <v>1398</v>
      </c>
      <c r="H106" t="str">
        <f>IF(NOT(ISERROR(FIND("NoICP",Pre_Close_AMF_Table[[#This Row],[GL_ICP]]))),"",Pre_Close_AMF_Table[[#This Row],[GL_ICP]])</f>
        <v/>
      </c>
      <c r="I106" t="s">
        <v>1212</v>
      </c>
      <c r="J106" t="s">
        <v>1425</v>
      </c>
      <c r="K106" t="str">
        <f>IFERROR(VLOOKUP(VALUE(Pre_Close_AMF_Table[[#This Row],[GL_PC]]),BNS_Profit_Centers[],2,FALSE),"TE")</f>
        <v>TE</v>
      </c>
      <c r="L106" t="s">
        <v>1425</v>
      </c>
      <c r="M106" t="s">
        <v>1399</v>
      </c>
      <c r="N106" t="s">
        <v>1390</v>
      </c>
      <c r="O106" s="33">
        <v>2547.41</v>
      </c>
    </row>
    <row r="107" spans="1:15" x14ac:dyDescent="0.25">
      <c r="A107" t="s">
        <v>1326</v>
      </c>
      <c r="B107" t="s">
        <v>1400</v>
      </c>
      <c r="C107" t="s">
        <v>10</v>
      </c>
      <c r="D107" t="str">
        <f>VLOOKUP(Pre_Close_AMF_Table[[#This Row],[HFM_Account]],HFM_Acct_OCF_Activity[],3,FALSE)</f>
        <v>Direct</v>
      </c>
      <c r="E107" t="s">
        <v>1210</v>
      </c>
      <c r="F107" t="s">
        <v>1194</v>
      </c>
      <c r="G107" t="s">
        <v>1401</v>
      </c>
      <c r="H107" t="str">
        <f>IF(NOT(ISERROR(FIND("NoICP",Pre_Close_AMF_Table[[#This Row],[GL_ICP]]))),"",Pre_Close_AMF_Table[[#This Row],[GL_ICP]])</f>
        <v/>
      </c>
      <c r="I107" t="s">
        <v>1212</v>
      </c>
      <c r="J107" t="s">
        <v>1425</v>
      </c>
      <c r="K107" t="str">
        <f>IFERROR(VLOOKUP(VALUE(Pre_Close_AMF_Table[[#This Row],[GL_PC]]),BNS_Profit_Centers[],2,FALSE),"TE")</f>
        <v>TE</v>
      </c>
      <c r="L107" t="s">
        <v>1425</v>
      </c>
      <c r="M107" t="s">
        <v>1402</v>
      </c>
      <c r="N107" t="s">
        <v>1390</v>
      </c>
      <c r="O107" s="33">
        <v>334.16</v>
      </c>
    </row>
    <row r="108" spans="1:15" x14ac:dyDescent="0.25">
      <c r="A108" t="s">
        <v>1326</v>
      </c>
      <c r="B108" t="s">
        <v>1403</v>
      </c>
      <c r="C108" t="s">
        <v>10</v>
      </c>
      <c r="D108" t="str">
        <f>VLOOKUP(Pre_Close_AMF_Table[[#This Row],[HFM_Account]],HFM_Acct_OCF_Activity[],3,FALSE)</f>
        <v>Direct</v>
      </c>
      <c r="E108" t="s">
        <v>1210</v>
      </c>
      <c r="F108" t="s">
        <v>1194</v>
      </c>
      <c r="G108" t="s">
        <v>1404</v>
      </c>
      <c r="H108" t="str">
        <f>IF(NOT(ISERROR(FIND("NoICP",Pre_Close_AMF_Table[[#This Row],[GL_ICP]]))),"",Pre_Close_AMF_Table[[#This Row],[GL_ICP]])</f>
        <v/>
      </c>
      <c r="I108" t="s">
        <v>1212</v>
      </c>
      <c r="J108" t="s">
        <v>1425</v>
      </c>
      <c r="K108" t="str">
        <f>IFERROR(VLOOKUP(VALUE(Pre_Close_AMF_Table[[#This Row],[GL_PC]]),BNS_Profit_Centers[],2,FALSE),"TE")</f>
        <v>TE</v>
      </c>
      <c r="L108" t="s">
        <v>1425</v>
      </c>
      <c r="M108" t="s">
        <v>1405</v>
      </c>
      <c r="N108" t="s">
        <v>1390</v>
      </c>
      <c r="O108" s="33">
        <v>775.55</v>
      </c>
    </row>
    <row r="109" spans="1:15" x14ac:dyDescent="0.25">
      <c r="A109" t="s">
        <v>1326</v>
      </c>
      <c r="B109" t="s">
        <v>1406</v>
      </c>
      <c r="C109" t="s">
        <v>10</v>
      </c>
      <c r="D109" t="str">
        <f>VLOOKUP(Pre_Close_AMF_Table[[#This Row],[HFM_Account]],HFM_Acct_OCF_Activity[],3,FALSE)</f>
        <v>Direct</v>
      </c>
      <c r="E109" t="s">
        <v>1210</v>
      </c>
      <c r="F109" t="s">
        <v>1194</v>
      </c>
      <c r="G109" t="s">
        <v>1407</v>
      </c>
      <c r="H109" t="str">
        <f>IF(NOT(ISERROR(FIND("NoICP",Pre_Close_AMF_Table[[#This Row],[GL_ICP]]))),"",Pre_Close_AMF_Table[[#This Row],[GL_ICP]])</f>
        <v/>
      </c>
      <c r="I109" t="s">
        <v>1212</v>
      </c>
      <c r="J109" t="s">
        <v>1425</v>
      </c>
      <c r="K109" t="str">
        <f>IFERROR(VLOOKUP(VALUE(Pre_Close_AMF_Table[[#This Row],[GL_PC]]),BNS_Profit_Centers[],2,FALSE),"TE")</f>
        <v>TE</v>
      </c>
      <c r="L109" t="s">
        <v>1425</v>
      </c>
      <c r="M109" t="s">
        <v>1408</v>
      </c>
      <c r="N109" t="s">
        <v>1390</v>
      </c>
      <c r="O109" s="33">
        <v>2545.6999999999998</v>
      </c>
    </row>
    <row r="110" spans="1:15" x14ac:dyDescent="0.25">
      <c r="A110" t="s">
        <v>1326</v>
      </c>
      <c r="B110" t="s">
        <v>1409</v>
      </c>
      <c r="C110" t="s">
        <v>10</v>
      </c>
      <c r="D110" t="str">
        <f>VLOOKUP(Pre_Close_AMF_Table[[#This Row],[HFM_Account]],HFM_Acct_OCF_Activity[],3,FALSE)</f>
        <v>Direct</v>
      </c>
      <c r="E110" t="s">
        <v>1210</v>
      </c>
      <c r="F110" t="s">
        <v>1194</v>
      </c>
      <c r="G110" t="s">
        <v>1410</v>
      </c>
      <c r="H110" t="str">
        <f>IF(NOT(ISERROR(FIND("NoICP",Pre_Close_AMF_Table[[#This Row],[GL_ICP]]))),"",Pre_Close_AMF_Table[[#This Row],[GL_ICP]])</f>
        <v/>
      </c>
      <c r="I110" t="s">
        <v>1212</v>
      </c>
      <c r="J110" t="s">
        <v>1425</v>
      </c>
      <c r="K110" t="str">
        <f>IFERROR(VLOOKUP(VALUE(Pre_Close_AMF_Table[[#This Row],[GL_PC]]),BNS_Profit_Centers[],2,FALSE),"TE")</f>
        <v>TE</v>
      </c>
      <c r="L110" t="s">
        <v>1425</v>
      </c>
      <c r="M110" t="s">
        <v>1411</v>
      </c>
      <c r="N110" t="s">
        <v>1390</v>
      </c>
      <c r="O110" s="33">
        <v>810</v>
      </c>
    </row>
    <row r="111" spans="1:15" x14ac:dyDescent="0.25">
      <c r="A111" t="s">
        <v>1326</v>
      </c>
      <c r="B111" t="s">
        <v>1426</v>
      </c>
      <c r="C111" t="s">
        <v>10</v>
      </c>
      <c r="D111" t="str">
        <f>VLOOKUP(Pre_Close_AMF_Table[[#This Row],[HFM_Account]],HFM_Acct_OCF_Activity[],3,FALSE)</f>
        <v>Direct</v>
      </c>
      <c r="E111" t="s">
        <v>1210</v>
      </c>
      <c r="F111" t="s">
        <v>1194</v>
      </c>
      <c r="G111" t="s">
        <v>1427</v>
      </c>
      <c r="H111" t="str">
        <f>IF(NOT(ISERROR(FIND("NoICP",Pre_Close_AMF_Table[[#This Row],[GL_ICP]]))),"",Pre_Close_AMF_Table[[#This Row],[GL_ICP]])</f>
        <v/>
      </c>
      <c r="I111" t="s">
        <v>1212</v>
      </c>
      <c r="J111" t="s">
        <v>1425</v>
      </c>
      <c r="K111" t="str">
        <f>IFERROR(VLOOKUP(VALUE(Pre_Close_AMF_Table[[#This Row],[GL_PC]]),BNS_Profit_Centers[],2,FALSE),"TE")</f>
        <v>TE</v>
      </c>
      <c r="L111" t="s">
        <v>1425</v>
      </c>
      <c r="M111" t="s">
        <v>1428</v>
      </c>
      <c r="N111" t="s">
        <v>1415</v>
      </c>
      <c r="O111" s="33">
        <v>128.04</v>
      </c>
    </row>
    <row r="112" spans="1:15" x14ac:dyDescent="0.25">
      <c r="A112" t="s">
        <v>1326</v>
      </c>
      <c r="B112" t="s">
        <v>1412</v>
      </c>
      <c r="C112" t="s">
        <v>10</v>
      </c>
      <c r="D112" t="str">
        <f>VLOOKUP(Pre_Close_AMF_Table[[#This Row],[HFM_Account]],HFM_Acct_OCF_Activity[],3,FALSE)</f>
        <v>Direct</v>
      </c>
      <c r="E112" t="s">
        <v>1210</v>
      </c>
      <c r="F112" t="s">
        <v>1194</v>
      </c>
      <c r="G112" t="s">
        <v>1413</v>
      </c>
      <c r="H112" t="str">
        <f>IF(NOT(ISERROR(FIND("NoICP",Pre_Close_AMF_Table[[#This Row],[GL_ICP]]))),"",Pre_Close_AMF_Table[[#This Row],[GL_ICP]])</f>
        <v/>
      </c>
      <c r="I112" t="s">
        <v>1212</v>
      </c>
      <c r="J112" t="s">
        <v>1425</v>
      </c>
      <c r="K112" t="str">
        <f>IFERROR(VLOOKUP(VALUE(Pre_Close_AMF_Table[[#This Row],[GL_PC]]),BNS_Profit_Centers[],2,FALSE),"TE")</f>
        <v>TE</v>
      </c>
      <c r="L112" t="s">
        <v>1425</v>
      </c>
      <c r="M112" t="s">
        <v>1414</v>
      </c>
      <c r="N112" t="s">
        <v>1415</v>
      </c>
      <c r="O112" s="33">
        <v>5952.46</v>
      </c>
    </row>
    <row r="113" spans="1:15" x14ac:dyDescent="0.25">
      <c r="A113" t="s">
        <v>1326</v>
      </c>
      <c r="B113" t="s">
        <v>1416</v>
      </c>
      <c r="C113" t="s">
        <v>10</v>
      </c>
      <c r="D113" t="str">
        <f>VLOOKUP(Pre_Close_AMF_Table[[#This Row],[HFM_Account]],HFM_Acct_OCF_Activity[],3,FALSE)</f>
        <v>Direct</v>
      </c>
      <c r="E113" t="s">
        <v>1210</v>
      </c>
      <c r="F113" t="s">
        <v>1194</v>
      </c>
      <c r="G113" t="s">
        <v>1417</v>
      </c>
      <c r="H113" t="str">
        <f>IF(NOT(ISERROR(FIND("NoICP",Pre_Close_AMF_Table[[#This Row],[GL_ICP]]))),"",Pre_Close_AMF_Table[[#This Row],[GL_ICP]])</f>
        <v/>
      </c>
      <c r="I113" t="s">
        <v>1212</v>
      </c>
      <c r="J113" t="s">
        <v>1425</v>
      </c>
      <c r="K113" t="str">
        <f>IFERROR(VLOOKUP(VALUE(Pre_Close_AMF_Table[[#This Row],[GL_PC]]),BNS_Profit_Centers[],2,FALSE),"TE")</f>
        <v>TE</v>
      </c>
      <c r="L113" t="s">
        <v>1425</v>
      </c>
      <c r="M113" t="s">
        <v>1418</v>
      </c>
      <c r="N113" t="s">
        <v>1415</v>
      </c>
      <c r="O113" s="33">
        <v>11868.55</v>
      </c>
    </row>
    <row r="114" spans="1:15" x14ac:dyDescent="0.25">
      <c r="A114" t="s">
        <v>1326</v>
      </c>
      <c r="B114" t="s">
        <v>1429</v>
      </c>
      <c r="C114" t="s">
        <v>10</v>
      </c>
      <c r="D114" t="str">
        <f>VLOOKUP(Pre_Close_AMF_Table[[#This Row],[HFM_Account]],HFM_Acct_OCF_Activity[],3,FALSE)</f>
        <v>Direct</v>
      </c>
      <c r="E114" t="s">
        <v>1210</v>
      </c>
      <c r="F114" t="s">
        <v>1194</v>
      </c>
      <c r="G114" t="s">
        <v>1430</v>
      </c>
      <c r="H114" t="str">
        <f>IF(NOT(ISERROR(FIND("NoICP",Pre_Close_AMF_Table[[#This Row],[GL_ICP]]))),"",Pre_Close_AMF_Table[[#This Row],[GL_ICP]])</f>
        <v/>
      </c>
      <c r="I114" t="s">
        <v>1212</v>
      </c>
      <c r="J114" t="s">
        <v>1425</v>
      </c>
      <c r="K114" t="str">
        <f>IFERROR(VLOOKUP(VALUE(Pre_Close_AMF_Table[[#This Row],[GL_PC]]),BNS_Profit_Centers[],2,FALSE),"TE")</f>
        <v>TE</v>
      </c>
      <c r="L114" t="s">
        <v>1425</v>
      </c>
      <c r="M114" t="s">
        <v>1431</v>
      </c>
      <c r="N114" t="s">
        <v>1432</v>
      </c>
      <c r="O114" s="33">
        <v>1023.23</v>
      </c>
    </row>
    <row r="115" spans="1:15" x14ac:dyDescent="0.25">
      <c r="A115" t="s">
        <v>1326</v>
      </c>
      <c r="B115" t="s">
        <v>1422</v>
      </c>
      <c r="C115" t="s">
        <v>10</v>
      </c>
      <c r="D115" t="str">
        <f>VLOOKUP(Pre_Close_AMF_Table[[#This Row],[HFM_Account]],HFM_Acct_OCF_Activity[],3,FALSE)</f>
        <v>Direct</v>
      </c>
      <c r="E115" t="s">
        <v>1210</v>
      </c>
      <c r="F115" t="s">
        <v>1194</v>
      </c>
      <c r="G115" t="s">
        <v>1423</v>
      </c>
      <c r="H115" t="str">
        <f>IF(NOT(ISERROR(FIND("NoICP",Pre_Close_AMF_Table[[#This Row],[GL_ICP]]))),"",Pre_Close_AMF_Table[[#This Row],[GL_ICP]])</f>
        <v/>
      </c>
      <c r="I115" t="s">
        <v>1212</v>
      </c>
      <c r="J115" t="s">
        <v>1425</v>
      </c>
      <c r="K115" t="str">
        <f>IFERROR(VLOOKUP(VALUE(Pre_Close_AMF_Table[[#This Row],[GL_PC]]),BNS_Profit_Centers[],2,FALSE),"TE")</f>
        <v>TE</v>
      </c>
      <c r="L115" t="s">
        <v>1425</v>
      </c>
      <c r="M115" t="s">
        <v>1424</v>
      </c>
      <c r="N115" t="s">
        <v>1424</v>
      </c>
      <c r="O115" s="33">
        <v>153.58000000000001</v>
      </c>
    </row>
    <row r="116" spans="1:15" x14ac:dyDescent="0.25">
      <c r="A116" t="s">
        <v>1326</v>
      </c>
      <c r="B116" t="s">
        <v>1433</v>
      </c>
      <c r="C116" t="s">
        <v>10</v>
      </c>
      <c r="D116" t="str">
        <f>VLOOKUP(Pre_Close_AMF_Table[[#This Row],[HFM_Account]],HFM_Acct_OCF_Activity[],3,FALSE)</f>
        <v>Direct</v>
      </c>
      <c r="E116" t="s">
        <v>1210</v>
      </c>
      <c r="F116" t="s">
        <v>1194</v>
      </c>
      <c r="G116" t="s">
        <v>1434</v>
      </c>
      <c r="H116" t="str">
        <f>IF(NOT(ISERROR(FIND("NoICP",Pre_Close_AMF_Table[[#This Row],[GL_ICP]]))),"",Pre_Close_AMF_Table[[#This Row],[GL_ICP]])</f>
        <v/>
      </c>
      <c r="I116" t="s">
        <v>1212</v>
      </c>
      <c r="J116" t="s">
        <v>1425</v>
      </c>
      <c r="K116" t="str">
        <f>IFERROR(VLOOKUP(VALUE(Pre_Close_AMF_Table[[#This Row],[GL_PC]]),BNS_Profit_Centers[],2,FALSE),"TE")</f>
        <v>TE</v>
      </c>
      <c r="L116" t="s">
        <v>1425</v>
      </c>
      <c r="M116" t="s">
        <v>1435</v>
      </c>
      <c r="N116" t="s">
        <v>1436</v>
      </c>
      <c r="O116" s="33">
        <v>663.26</v>
      </c>
    </row>
    <row r="117" spans="1:15" x14ac:dyDescent="0.25">
      <c r="A117" t="s">
        <v>1326</v>
      </c>
      <c r="B117" t="s">
        <v>1437</v>
      </c>
      <c r="C117" t="s">
        <v>10</v>
      </c>
      <c r="D117" t="str">
        <f>VLOOKUP(Pre_Close_AMF_Table[[#This Row],[HFM_Account]],HFM_Acct_OCF_Activity[],3,FALSE)</f>
        <v>Direct</v>
      </c>
      <c r="E117" t="s">
        <v>1210</v>
      </c>
      <c r="F117" t="s">
        <v>1194</v>
      </c>
      <c r="G117" t="s">
        <v>1438</v>
      </c>
      <c r="H117" t="str">
        <f>IF(NOT(ISERROR(FIND("NoICP",Pre_Close_AMF_Table[[#This Row],[GL_ICP]]))),"",Pre_Close_AMF_Table[[#This Row],[GL_ICP]])</f>
        <v/>
      </c>
      <c r="I117" t="s">
        <v>1212</v>
      </c>
      <c r="J117" t="s">
        <v>1425</v>
      </c>
      <c r="K117" t="str">
        <f>IFERROR(VLOOKUP(VALUE(Pre_Close_AMF_Table[[#This Row],[GL_PC]]),BNS_Profit_Centers[],2,FALSE),"TE")</f>
        <v>TE</v>
      </c>
      <c r="L117" t="s">
        <v>1425</v>
      </c>
      <c r="M117" t="s">
        <v>1432</v>
      </c>
      <c r="N117" t="s">
        <v>1432</v>
      </c>
      <c r="O117" s="33">
        <v>880</v>
      </c>
    </row>
    <row r="118" spans="1:15" x14ac:dyDescent="0.25">
      <c r="A118" t="s">
        <v>1326</v>
      </c>
      <c r="B118" t="s">
        <v>1439</v>
      </c>
      <c r="C118" t="s">
        <v>10</v>
      </c>
      <c r="D118" t="str">
        <f>VLOOKUP(Pre_Close_AMF_Table[[#This Row],[HFM_Account]],HFM_Acct_OCF_Activity[],3,FALSE)</f>
        <v>Direct</v>
      </c>
      <c r="E118" t="s">
        <v>1210</v>
      </c>
      <c r="F118" t="s">
        <v>1194</v>
      </c>
      <c r="G118" t="s">
        <v>1440</v>
      </c>
      <c r="H118" t="str">
        <f>IF(NOT(ISERROR(FIND("NoICP",Pre_Close_AMF_Table[[#This Row],[GL_ICP]]))),"",Pre_Close_AMF_Table[[#This Row],[GL_ICP]])</f>
        <v/>
      </c>
      <c r="I118" t="s">
        <v>1212</v>
      </c>
      <c r="J118" t="s">
        <v>1425</v>
      </c>
      <c r="K118" t="str">
        <f>IFERROR(VLOOKUP(VALUE(Pre_Close_AMF_Table[[#This Row],[GL_PC]]),BNS_Profit_Centers[],2,FALSE),"TE")</f>
        <v>TE</v>
      </c>
      <c r="L118" t="s">
        <v>1425</v>
      </c>
      <c r="M118" t="s">
        <v>1441</v>
      </c>
      <c r="N118" t="s">
        <v>1441</v>
      </c>
      <c r="O118" s="33">
        <v>1549.36</v>
      </c>
    </row>
    <row r="119" spans="1:15" x14ac:dyDescent="0.25">
      <c r="A119" t="s">
        <v>1326</v>
      </c>
      <c r="B119" t="s">
        <v>1442</v>
      </c>
      <c r="C119" t="s">
        <v>10</v>
      </c>
      <c r="D119" t="str">
        <f>VLOOKUP(Pre_Close_AMF_Table[[#This Row],[HFM_Account]],HFM_Acct_OCF_Activity[],3,FALSE)</f>
        <v>Direct</v>
      </c>
      <c r="E119" t="s">
        <v>1210</v>
      </c>
      <c r="F119" t="s">
        <v>1194</v>
      </c>
      <c r="G119" t="s">
        <v>1443</v>
      </c>
      <c r="H119" t="str">
        <f>IF(NOT(ISERROR(FIND("NoICP",Pre_Close_AMF_Table[[#This Row],[GL_ICP]]))),"",Pre_Close_AMF_Table[[#This Row],[GL_ICP]])</f>
        <v/>
      </c>
      <c r="I119" t="s">
        <v>1212</v>
      </c>
      <c r="J119" t="s">
        <v>1425</v>
      </c>
      <c r="K119" t="str">
        <f>IFERROR(VLOOKUP(VALUE(Pre_Close_AMF_Table[[#This Row],[GL_PC]]),BNS_Profit_Centers[],2,FALSE),"TE")</f>
        <v>TE</v>
      </c>
      <c r="L119" t="s">
        <v>1425</v>
      </c>
      <c r="M119" t="s">
        <v>1444</v>
      </c>
      <c r="N119" t="s">
        <v>1444</v>
      </c>
      <c r="O119" s="33">
        <v>750</v>
      </c>
    </row>
    <row r="120" spans="1:15" x14ac:dyDescent="0.25">
      <c r="A120" t="s">
        <v>1326</v>
      </c>
      <c r="B120" t="s">
        <v>1327</v>
      </c>
      <c r="C120" t="s">
        <v>10</v>
      </c>
      <c r="D120" t="str">
        <f>VLOOKUP(Pre_Close_AMF_Table[[#This Row],[HFM_Account]],HFM_Acct_OCF_Activity[],3,FALSE)</f>
        <v>Direct</v>
      </c>
      <c r="E120" t="s">
        <v>1210</v>
      </c>
      <c r="F120" t="s">
        <v>1194</v>
      </c>
      <c r="G120" t="s">
        <v>1328</v>
      </c>
      <c r="H120" t="str">
        <f>IF(NOT(ISERROR(FIND("NoICP",Pre_Close_AMF_Table[[#This Row],[GL_ICP]]))),"",Pre_Close_AMF_Table[[#This Row],[GL_ICP]])</f>
        <v/>
      </c>
      <c r="I120" t="s">
        <v>1212</v>
      </c>
      <c r="J120" t="s">
        <v>1445</v>
      </c>
      <c r="K120" t="str">
        <f>IFERROR(VLOOKUP(VALUE(Pre_Close_AMF_Table[[#This Row],[GL_PC]]),BNS_Profit_Centers[],2,FALSE),"TE")</f>
        <v>TE</v>
      </c>
      <c r="L120" t="s">
        <v>1445</v>
      </c>
      <c r="M120" t="s">
        <v>1330</v>
      </c>
      <c r="N120" t="s">
        <v>1330</v>
      </c>
      <c r="O120" s="33">
        <v>33970</v>
      </c>
    </row>
    <row r="121" spans="1:15" x14ac:dyDescent="0.25">
      <c r="A121" t="s">
        <v>1326</v>
      </c>
      <c r="B121" t="s">
        <v>1338</v>
      </c>
      <c r="C121" t="s">
        <v>10</v>
      </c>
      <c r="D121" t="str">
        <f>VLOOKUP(Pre_Close_AMF_Table[[#This Row],[HFM_Account]],HFM_Acct_OCF_Activity[],3,FALSE)</f>
        <v>Direct</v>
      </c>
      <c r="E121" t="s">
        <v>1210</v>
      </c>
      <c r="F121" t="s">
        <v>1194</v>
      </c>
      <c r="G121" t="s">
        <v>1339</v>
      </c>
      <c r="H121" t="str">
        <f>IF(NOT(ISERROR(FIND("NoICP",Pre_Close_AMF_Table[[#This Row],[GL_ICP]]))),"",Pre_Close_AMF_Table[[#This Row],[GL_ICP]])</f>
        <v/>
      </c>
      <c r="I121" t="s">
        <v>1212</v>
      </c>
      <c r="J121" t="s">
        <v>1445</v>
      </c>
      <c r="K121" t="str">
        <f>IFERROR(VLOOKUP(VALUE(Pre_Close_AMF_Table[[#This Row],[GL_PC]]),BNS_Profit_Centers[],2,FALSE),"TE")</f>
        <v>TE</v>
      </c>
      <c r="L121" t="s">
        <v>1445</v>
      </c>
      <c r="M121" t="s">
        <v>1340</v>
      </c>
      <c r="N121" t="s">
        <v>1334</v>
      </c>
      <c r="O121" s="33">
        <v>132</v>
      </c>
    </row>
    <row r="122" spans="1:15" x14ac:dyDescent="0.25">
      <c r="A122" t="s">
        <v>1326</v>
      </c>
      <c r="B122" t="s">
        <v>1341</v>
      </c>
      <c r="C122" t="s">
        <v>10</v>
      </c>
      <c r="D122" t="str">
        <f>VLOOKUP(Pre_Close_AMF_Table[[#This Row],[HFM_Account]],HFM_Acct_OCF_Activity[],3,FALSE)</f>
        <v>Direct</v>
      </c>
      <c r="E122" t="s">
        <v>1210</v>
      </c>
      <c r="F122" t="s">
        <v>1194</v>
      </c>
      <c r="G122" t="s">
        <v>1342</v>
      </c>
      <c r="H122" t="str">
        <f>IF(NOT(ISERROR(FIND("NoICP",Pre_Close_AMF_Table[[#This Row],[GL_ICP]]))),"",Pre_Close_AMF_Table[[#This Row],[GL_ICP]])</f>
        <v/>
      </c>
      <c r="I122" t="s">
        <v>1212</v>
      </c>
      <c r="J122" t="s">
        <v>1445</v>
      </c>
      <c r="K122" t="str">
        <f>IFERROR(VLOOKUP(VALUE(Pre_Close_AMF_Table[[#This Row],[GL_PC]]),BNS_Profit_Centers[],2,FALSE),"TE")</f>
        <v>TE</v>
      </c>
      <c r="L122" t="s">
        <v>1445</v>
      </c>
      <c r="M122" t="s">
        <v>1343</v>
      </c>
      <c r="N122" t="s">
        <v>1334</v>
      </c>
      <c r="O122" s="33">
        <v>150</v>
      </c>
    </row>
    <row r="123" spans="1:15" x14ac:dyDescent="0.25">
      <c r="A123" t="s">
        <v>1326</v>
      </c>
      <c r="B123" t="s">
        <v>1344</v>
      </c>
      <c r="C123" t="s">
        <v>10</v>
      </c>
      <c r="D123" t="str">
        <f>VLOOKUP(Pre_Close_AMF_Table[[#This Row],[HFM_Account]],HFM_Acct_OCF_Activity[],3,FALSE)</f>
        <v>Direct</v>
      </c>
      <c r="E123" t="s">
        <v>1210</v>
      </c>
      <c r="F123" t="s">
        <v>1194</v>
      </c>
      <c r="G123" t="s">
        <v>1345</v>
      </c>
      <c r="H123" t="str">
        <f>IF(NOT(ISERROR(FIND("NoICP",Pre_Close_AMF_Table[[#This Row],[GL_ICP]]))),"",Pre_Close_AMF_Table[[#This Row],[GL_ICP]])</f>
        <v/>
      </c>
      <c r="I123" t="s">
        <v>1212</v>
      </c>
      <c r="J123" t="s">
        <v>1445</v>
      </c>
      <c r="K123" t="str">
        <f>IFERROR(VLOOKUP(VALUE(Pre_Close_AMF_Table[[#This Row],[GL_PC]]),BNS_Profit_Centers[],2,FALSE),"TE")</f>
        <v>TE</v>
      </c>
      <c r="L123" t="s">
        <v>1445</v>
      </c>
      <c r="M123" t="s">
        <v>1346</v>
      </c>
      <c r="N123" t="s">
        <v>1347</v>
      </c>
      <c r="O123" s="33">
        <v>200</v>
      </c>
    </row>
    <row r="124" spans="1:15" x14ac:dyDescent="0.25">
      <c r="A124" t="s">
        <v>1326</v>
      </c>
      <c r="B124" t="s">
        <v>1348</v>
      </c>
      <c r="C124" t="s">
        <v>10</v>
      </c>
      <c r="D124" t="str">
        <f>VLOOKUP(Pre_Close_AMF_Table[[#This Row],[HFM_Account]],HFM_Acct_OCF_Activity[],3,FALSE)</f>
        <v>Direct</v>
      </c>
      <c r="E124" t="s">
        <v>1210</v>
      </c>
      <c r="F124" t="s">
        <v>1194</v>
      </c>
      <c r="G124" t="s">
        <v>1349</v>
      </c>
      <c r="H124" t="str">
        <f>IF(NOT(ISERROR(FIND("NoICP",Pre_Close_AMF_Table[[#This Row],[GL_ICP]]))),"",Pre_Close_AMF_Table[[#This Row],[GL_ICP]])</f>
        <v/>
      </c>
      <c r="I124" t="s">
        <v>1212</v>
      </c>
      <c r="J124" t="s">
        <v>1445</v>
      </c>
      <c r="K124" t="str">
        <f>IFERROR(VLOOKUP(VALUE(Pre_Close_AMF_Table[[#This Row],[GL_PC]]),BNS_Profit_Centers[],2,FALSE),"TE")</f>
        <v>TE</v>
      </c>
      <c r="L124" t="s">
        <v>1445</v>
      </c>
      <c r="M124" t="s">
        <v>1350</v>
      </c>
      <c r="N124" t="s">
        <v>1351</v>
      </c>
      <c r="O124" s="33">
        <v>147.5</v>
      </c>
    </row>
    <row r="125" spans="1:15" x14ac:dyDescent="0.25">
      <c r="A125" t="s">
        <v>1326</v>
      </c>
      <c r="B125" t="s">
        <v>1352</v>
      </c>
      <c r="C125" t="s">
        <v>10</v>
      </c>
      <c r="D125" t="str">
        <f>VLOOKUP(Pre_Close_AMF_Table[[#This Row],[HFM_Account]],HFM_Acct_OCF_Activity[],3,FALSE)</f>
        <v>Direct</v>
      </c>
      <c r="E125" t="s">
        <v>1210</v>
      </c>
      <c r="F125" t="s">
        <v>1194</v>
      </c>
      <c r="G125" t="s">
        <v>1353</v>
      </c>
      <c r="H125" t="str">
        <f>IF(NOT(ISERROR(FIND("NoICP",Pre_Close_AMF_Table[[#This Row],[GL_ICP]]))),"",Pre_Close_AMF_Table[[#This Row],[GL_ICP]])</f>
        <v/>
      </c>
      <c r="I125" t="s">
        <v>1212</v>
      </c>
      <c r="J125" t="s">
        <v>1445</v>
      </c>
      <c r="K125" t="str">
        <f>IFERROR(VLOOKUP(VALUE(Pre_Close_AMF_Table[[#This Row],[GL_PC]]),BNS_Profit_Centers[],2,FALSE),"TE")</f>
        <v>TE</v>
      </c>
      <c r="L125" t="s">
        <v>1445</v>
      </c>
      <c r="M125" t="s">
        <v>1354</v>
      </c>
      <c r="N125" t="s">
        <v>1351</v>
      </c>
      <c r="O125" s="33">
        <v>862.28</v>
      </c>
    </row>
    <row r="126" spans="1:15" x14ac:dyDescent="0.25">
      <c r="A126" t="s">
        <v>1326</v>
      </c>
      <c r="B126" t="s">
        <v>1355</v>
      </c>
      <c r="C126" t="s">
        <v>10</v>
      </c>
      <c r="D126" t="str">
        <f>VLOOKUP(Pre_Close_AMF_Table[[#This Row],[HFM_Account]],HFM_Acct_OCF_Activity[],3,FALSE)</f>
        <v>Direct</v>
      </c>
      <c r="E126" t="s">
        <v>1210</v>
      </c>
      <c r="F126" t="s">
        <v>1194</v>
      </c>
      <c r="G126" t="s">
        <v>1356</v>
      </c>
      <c r="H126" t="str">
        <f>IF(NOT(ISERROR(FIND("NoICP",Pre_Close_AMF_Table[[#This Row],[GL_ICP]]))),"",Pre_Close_AMF_Table[[#This Row],[GL_ICP]])</f>
        <v/>
      </c>
      <c r="I126" t="s">
        <v>1212</v>
      </c>
      <c r="J126" t="s">
        <v>1445</v>
      </c>
      <c r="K126" t="str">
        <f>IFERROR(VLOOKUP(VALUE(Pre_Close_AMF_Table[[#This Row],[GL_PC]]),BNS_Profit_Centers[],2,FALSE),"TE")</f>
        <v>TE</v>
      </c>
      <c r="L126" t="s">
        <v>1445</v>
      </c>
      <c r="M126" t="s">
        <v>1357</v>
      </c>
      <c r="N126" t="s">
        <v>1351</v>
      </c>
      <c r="O126" s="33">
        <v>124</v>
      </c>
    </row>
    <row r="127" spans="1:15" x14ac:dyDescent="0.25">
      <c r="A127" t="s">
        <v>1326</v>
      </c>
      <c r="B127" t="s">
        <v>1358</v>
      </c>
      <c r="C127" t="s">
        <v>10</v>
      </c>
      <c r="D127" t="str">
        <f>VLOOKUP(Pre_Close_AMF_Table[[#This Row],[HFM_Account]],HFM_Acct_OCF_Activity[],3,FALSE)</f>
        <v>Direct</v>
      </c>
      <c r="E127" t="s">
        <v>1210</v>
      </c>
      <c r="F127" t="s">
        <v>1194</v>
      </c>
      <c r="G127" t="s">
        <v>1359</v>
      </c>
      <c r="H127" t="str">
        <f>IF(NOT(ISERROR(FIND("NoICP",Pre_Close_AMF_Table[[#This Row],[GL_ICP]]))),"",Pre_Close_AMF_Table[[#This Row],[GL_ICP]])</f>
        <v/>
      </c>
      <c r="I127" t="s">
        <v>1212</v>
      </c>
      <c r="J127" t="s">
        <v>1445</v>
      </c>
      <c r="K127" t="str">
        <f>IFERROR(VLOOKUP(VALUE(Pre_Close_AMF_Table[[#This Row],[GL_PC]]),BNS_Profit_Centers[],2,FALSE),"TE")</f>
        <v>TE</v>
      </c>
      <c r="L127" t="s">
        <v>1445</v>
      </c>
      <c r="M127" t="s">
        <v>1360</v>
      </c>
      <c r="N127" t="s">
        <v>1361</v>
      </c>
      <c r="O127" s="33">
        <v>1797.78</v>
      </c>
    </row>
    <row r="128" spans="1:15" x14ac:dyDescent="0.25">
      <c r="A128" t="s">
        <v>1326</v>
      </c>
      <c r="B128" t="s">
        <v>1362</v>
      </c>
      <c r="C128" t="s">
        <v>10</v>
      </c>
      <c r="D128" t="str">
        <f>VLOOKUP(Pre_Close_AMF_Table[[#This Row],[HFM_Account]],HFM_Acct_OCF_Activity[],3,FALSE)</f>
        <v>Direct</v>
      </c>
      <c r="E128" t="s">
        <v>1210</v>
      </c>
      <c r="F128" t="s">
        <v>1194</v>
      </c>
      <c r="G128" t="s">
        <v>1363</v>
      </c>
      <c r="H128" t="str">
        <f>IF(NOT(ISERROR(FIND("NoICP",Pre_Close_AMF_Table[[#This Row],[GL_ICP]]))),"",Pre_Close_AMF_Table[[#This Row],[GL_ICP]])</f>
        <v/>
      </c>
      <c r="I128" t="s">
        <v>1212</v>
      </c>
      <c r="J128" t="s">
        <v>1445</v>
      </c>
      <c r="K128" t="str">
        <f>IFERROR(VLOOKUP(VALUE(Pre_Close_AMF_Table[[#This Row],[GL_PC]]),BNS_Profit_Centers[],2,FALSE),"TE")</f>
        <v>TE</v>
      </c>
      <c r="L128" t="s">
        <v>1445</v>
      </c>
      <c r="M128" t="s">
        <v>1364</v>
      </c>
      <c r="N128" t="s">
        <v>1364</v>
      </c>
      <c r="O128" s="33">
        <v>-13731</v>
      </c>
    </row>
    <row r="129" spans="1:15" x14ac:dyDescent="0.25">
      <c r="A129" t="s">
        <v>1326</v>
      </c>
      <c r="B129" t="s">
        <v>1365</v>
      </c>
      <c r="C129" t="s">
        <v>10</v>
      </c>
      <c r="D129" t="str">
        <f>VLOOKUP(Pre_Close_AMF_Table[[#This Row],[HFM_Account]],HFM_Acct_OCF_Activity[],3,FALSE)</f>
        <v>Direct</v>
      </c>
      <c r="E129" t="s">
        <v>1210</v>
      </c>
      <c r="F129" t="s">
        <v>1194</v>
      </c>
      <c r="G129" t="s">
        <v>1366</v>
      </c>
      <c r="H129" t="str">
        <f>IF(NOT(ISERROR(FIND("NoICP",Pre_Close_AMF_Table[[#This Row],[GL_ICP]]))),"",Pre_Close_AMF_Table[[#This Row],[GL_ICP]])</f>
        <v/>
      </c>
      <c r="I129" t="s">
        <v>1212</v>
      </c>
      <c r="J129" t="s">
        <v>1445</v>
      </c>
      <c r="K129" t="str">
        <f>IFERROR(VLOOKUP(VALUE(Pre_Close_AMF_Table[[#This Row],[GL_PC]]),BNS_Profit_Centers[],2,FALSE),"TE")</f>
        <v>TE</v>
      </c>
      <c r="L129" t="s">
        <v>1445</v>
      </c>
      <c r="M129" t="s">
        <v>1367</v>
      </c>
      <c r="N129" t="s">
        <v>1368</v>
      </c>
      <c r="O129" s="33">
        <v>8000</v>
      </c>
    </row>
    <row r="130" spans="1:15" x14ac:dyDescent="0.25">
      <c r="A130" t="s">
        <v>1326</v>
      </c>
      <c r="B130" t="s">
        <v>1369</v>
      </c>
      <c r="C130" t="s">
        <v>10</v>
      </c>
      <c r="D130" t="str">
        <f>VLOOKUP(Pre_Close_AMF_Table[[#This Row],[HFM_Account]],HFM_Acct_OCF_Activity[],3,FALSE)</f>
        <v>Direct</v>
      </c>
      <c r="E130" t="s">
        <v>1210</v>
      </c>
      <c r="F130" t="s">
        <v>1194</v>
      </c>
      <c r="G130" t="s">
        <v>1370</v>
      </c>
      <c r="H130" t="str">
        <f>IF(NOT(ISERROR(FIND("NoICP",Pre_Close_AMF_Table[[#This Row],[GL_ICP]]))),"",Pre_Close_AMF_Table[[#This Row],[GL_ICP]])</f>
        <v/>
      </c>
      <c r="I130" t="s">
        <v>1212</v>
      </c>
      <c r="J130" t="s">
        <v>1445</v>
      </c>
      <c r="K130" t="str">
        <f>IFERROR(VLOOKUP(VALUE(Pre_Close_AMF_Table[[#This Row],[GL_PC]]),BNS_Profit_Centers[],2,FALSE),"TE")</f>
        <v>TE</v>
      </c>
      <c r="L130" t="s">
        <v>1445</v>
      </c>
      <c r="M130" t="s">
        <v>1371</v>
      </c>
      <c r="N130" t="s">
        <v>1368</v>
      </c>
      <c r="O130" s="33">
        <v>-6399</v>
      </c>
    </row>
    <row r="131" spans="1:15" x14ac:dyDescent="0.25">
      <c r="A131" t="s">
        <v>1326</v>
      </c>
      <c r="B131" t="s">
        <v>1372</v>
      </c>
      <c r="C131" t="s">
        <v>10</v>
      </c>
      <c r="D131" t="str">
        <f>VLOOKUP(Pre_Close_AMF_Table[[#This Row],[HFM_Account]],HFM_Acct_OCF_Activity[],3,FALSE)</f>
        <v>Direct</v>
      </c>
      <c r="E131" t="s">
        <v>1210</v>
      </c>
      <c r="F131" t="s">
        <v>1194</v>
      </c>
      <c r="G131" t="s">
        <v>1373</v>
      </c>
      <c r="H131" t="str">
        <f>IF(NOT(ISERROR(FIND("NoICP",Pre_Close_AMF_Table[[#This Row],[GL_ICP]]))),"",Pre_Close_AMF_Table[[#This Row],[GL_ICP]])</f>
        <v/>
      </c>
      <c r="I131" t="s">
        <v>1212</v>
      </c>
      <c r="J131" t="s">
        <v>1445</v>
      </c>
      <c r="K131" t="str">
        <f>IFERROR(VLOOKUP(VALUE(Pre_Close_AMF_Table[[#This Row],[GL_PC]]),BNS_Profit_Centers[],2,FALSE),"TE")</f>
        <v>TE</v>
      </c>
      <c r="L131" t="s">
        <v>1445</v>
      </c>
      <c r="M131" t="s">
        <v>1374</v>
      </c>
      <c r="N131" t="s">
        <v>1374</v>
      </c>
      <c r="O131" s="33">
        <v>15252.03</v>
      </c>
    </row>
    <row r="132" spans="1:15" x14ac:dyDescent="0.25">
      <c r="A132" t="s">
        <v>1326</v>
      </c>
      <c r="B132" t="s">
        <v>1375</v>
      </c>
      <c r="C132" t="s">
        <v>10</v>
      </c>
      <c r="D132" t="str">
        <f>VLOOKUP(Pre_Close_AMF_Table[[#This Row],[HFM_Account]],HFM_Acct_OCF_Activity[],3,FALSE)</f>
        <v>Direct</v>
      </c>
      <c r="E132" t="s">
        <v>1210</v>
      </c>
      <c r="F132" t="s">
        <v>1194</v>
      </c>
      <c r="G132" t="s">
        <v>1376</v>
      </c>
      <c r="H132" t="str">
        <f>IF(NOT(ISERROR(FIND("NoICP",Pre_Close_AMF_Table[[#This Row],[GL_ICP]]))),"",Pre_Close_AMF_Table[[#This Row],[GL_ICP]])</f>
        <v/>
      </c>
      <c r="I132" t="s">
        <v>1212</v>
      </c>
      <c r="J132" t="s">
        <v>1445</v>
      </c>
      <c r="K132" t="str">
        <f>IFERROR(VLOOKUP(VALUE(Pre_Close_AMF_Table[[#This Row],[GL_PC]]),BNS_Profit_Centers[],2,FALSE),"TE")</f>
        <v>TE</v>
      </c>
      <c r="L132" t="s">
        <v>1445</v>
      </c>
      <c r="M132" t="s">
        <v>1377</v>
      </c>
      <c r="N132" t="s">
        <v>1374</v>
      </c>
      <c r="O132" s="33">
        <v>1690.5</v>
      </c>
    </row>
    <row r="133" spans="1:15" x14ac:dyDescent="0.25">
      <c r="A133" t="s">
        <v>1326</v>
      </c>
      <c r="B133" t="s">
        <v>1378</v>
      </c>
      <c r="C133" t="s">
        <v>10</v>
      </c>
      <c r="D133" t="str">
        <f>VLOOKUP(Pre_Close_AMF_Table[[#This Row],[HFM_Account]],HFM_Acct_OCF_Activity[],3,FALSE)</f>
        <v>Direct</v>
      </c>
      <c r="E133" t="s">
        <v>1210</v>
      </c>
      <c r="F133" t="s">
        <v>1194</v>
      </c>
      <c r="G133" t="s">
        <v>1379</v>
      </c>
      <c r="H133" t="str">
        <f>IF(NOT(ISERROR(FIND("NoICP",Pre_Close_AMF_Table[[#This Row],[GL_ICP]]))),"",Pre_Close_AMF_Table[[#This Row],[GL_ICP]])</f>
        <v/>
      </c>
      <c r="I133" t="s">
        <v>1212</v>
      </c>
      <c r="J133" t="s">
        <v>1445</v>
      </c>
      <c r="K133" t="str">
        <f>IFERROR(VLOOKUP(VALUE(Pre_Close_AMF_Table[[#This Row],[GL_PC]]),BNS_Profit_Centers[],2,FALSE),"TE")</f>
        <v>TE</v>
      </c>
      <c r="L133" t="s">
        <v>1445</v>
      </c>
      <c r="M133" t="s">
        <v>1380</v>
      </c>
      <c r="N133" t="s">
        <v>1380</v>
      </c>
      <c r="O133" s="33">
        <v>220.93</v>
      </c>
    </row>
    <row r="134" spans="1:15" x14ac:dyDescent="0.25">
      <c r="A134" t="s">
        <v>1326</v>
      </c>
      <c r="B134" t="s">
        <v>1381</v>
      </c>
      <c r="C134" t="s">
        <v>10</v>
      </c>
      <c r="D134" t="str">
        <f>VLOOKUP(Pre_Close_AMF_Table[[#This Row],[HFM_Account]],HFM_Acct_OCF_Activity[],3,FALSE)</f>
        <v>Direct</v>
      </c>
      <c r="E134" t="s">
        <v>1210</v>
      </c>
      <c r="F134" t="s">
        <v>1194</v>
      </c>
      <c r="G134" t="s">
        <v>1382</v>
      </c>
      <c r="H134" t="str">
        <f>IF(NOT(ISERROR(FIND("NoICP",Pre_Close_AMF_Table[[#This Row],[GL_ICP]]))),"",Pre_Close_AMF_Table[[#This Row],[GL_ICP]])</f>
        <v/>
      </c>
      <c r="I134" t="s">
        <v>1212</v>
      </c>
      <c r="J134" t="s">
        <v>1445</v>
      </c>
      <c r="K134" t="str">
        <f>IFERROR(VLOOKUP(VALUE(Pre_Close_AMF_Table[[#This Row],[GL_PC]]),BNS_Profit_Centers[],2,FALSE),"TE")</f>
        <v>TE</v>
      </c>
      <c r="L134" t="s">
        <v>1445</v>
      </c>
      <c r="M134" t="s">
        <v>1383</v>
      </c>
      <c r="N134" t="s">
        <v>1334</v>
      </c>
      <c r="O134" s="33">
        <v>6454.9</v>
      </c>
    </row>
    <row r="135" spans="1:15" x14ac:dyDescent="0.25">
      <c r="A135" t="s">
        <v>1326</v>
      </c>
      <c r="B135" t="s">
        <v>1384</v>
      </c>
      <c r="C135" t="s">
        <v>10</v>
      </c>
      <c r="D135" t="str">
        <f>VLOOKUP(Pre_Close_AMF_Table[[#This Row],[HFM_Account]],HFM_Acct_OCF_Activity[],3,FALSE)</f>
        <v>Direct</v>
      </c>
      <c r="E135" t="s">
        <v>1210</v>
      </c>
      <c r="F135" t="s">
        <v>1194</v>
      </c>
      <c r="G135" t="s">
        <v>1385</v>
      </c>
      <c r="H135" t="str">
        <f>IF(NOT(ISERROR(FIND("NoICP",Pre_Close_AMF_Table[[#This Row],[GL_ICP]]))),"",Pre_Close_AMF_Table[[#This Row],[GL_ICP]])</f>
        <v/>
      </c>
      <c r="I135" t="s">
        <v>1212</v>
      </c>
      <c r="J135" t="s">
        <v>1445</v>
      </c>
      <c r="K135" t="str">
        <f>IFERROR(VLOOKUP(VALUE(Pre_Close_AMF_Table[[#This Row],[GL_PC]]),BNS_Profit_Centers[],2,FALSE),"TE")</f>
        <v>TE</v>
      </c>
      <c r="L135" t="s">
        <v>1445</v>
      </c>
      <c r="M135" t="s">
        <v>1386</v>
      </c>
      <c r="N135" t="s">
        <v>1386</v>
      </c>
      <c r="O135" s="33">
        <v>231.02</v>
      </c>
    </row>
    <row r="136" spans="1:15" x14ac:dyDescent="0.25">
      <c r="A136" t="s">
        <v>1326</v>
      </c>
      <c r="B136" t="s">
        <v>1387</v>
      </c>
      <c r="C136" t="s">
        <v>10</v>
      </c>
      <c r="D136" t="str">
        <f>VLOOKUP(Pre_Close_AMF_Table[[#This Row],[HFM_Account]],HFM_Acct_OCF_Activity[],3,FALSE)</f>
        <v>Direct</v>
      </c>
      <c r="E136" t="s">
        <v>1210</v>
      </c>
      <c r="F136" t="s">
        <v>1194</v>
      </c>
      <c r="G136" t="s">
        <v>1388</v>
      </c>
      <c r="H136" t="str">
        <f>IF(NOT(ISERROR(FIND("NoICP",Pre_Close_AMF_Table[[#This Row],[GL_ICP]]))),"",Pre_Close_AMF_Table[[#This Row],[GL_ICP]])</f>
        <v/>
      </c>
      <c r="I136" t="s">
        <v>1212</v>
      </c>
      <c r="J136" t="s">
        <v>1445</v>
      </c>
      <c r="K136" t="str">
        <f>IFERROR(VLOOKUP(VALUE(Pre_Close_AMF_Table[[#This Row],[GL_PC]]),BNS_Profit_Centers[],2,FALSE),"TE")</f>
        <v>TE</v>
      </c>
      <c r="L136" t="s">
        <v>1445</v>
      </c>
      <c r="M136" t="s">
        <v>1389</v>
      </c>
      <c r="N136" t="s">
        <v>1390</v>
      </c>
      <c r="O136" s="33">
        <v>789.63</v>
      </c>
    </row>
    <row r="137" spans="1:15" x14ac:dyDescent="0.25">
      <c r="A137" t="s">
        <v>1326</v>
      </c>
      <c r="B137" t="s">
        <v>1391</v>
      </c>
      <c r="C137" t="s">
        <v>10</v>
      </c>
      <c r="D137" t="str">
        <f>VLOOKUP(Pre_Close_AMF_Table[[#This Row],[HFM_Account]],HFM_Acct_OCF_Activity[],3,FALSE)</f>
        <v>Direct</v>
      </c>
      <c r="E137" t="s">
        <v>1210</v>
      </c>
      <c r="F137" t="s">
        <v>1194</v>
      </c>
      <c r="G137" t="s">
        <v>1392</v>
      </c>
      <c r="H137" t="str">
        <f>IF(NOT(ISERROR(FIND("NoICP",Pre_Close_AMF_Table[[#This Row],[GL_ICP]]))),"",Pre_Close_AMF_Table[[#This Row],[GL_ICP]])</f>
        <v/>
      </c>
      <c r="I137" t="s">
        <v>1212</v>
      </c>
      <c r="J137" t="s">
        <v>1445</v>
      </c>
      <c r="K137" t="str">
        <f>IFERROR(VLOOKUP(VALUE(Pre_Close_AMF_Table[[#This Row],[GL_PC]]),BNS_Profit_Centers[],2,FALSE),"TE")</f>
        <v>TE</v>
      </c>
      <c r="L137" t="s">
        <v>1445</v>
      </c>
      <c r="M137" t="s">
        <v>1393</v>
      </c>
      <c r="N137" t="s">
        <v>1390</v>
      </c>
      <c r="O137" s="33">
        <v>2836.01</v>
      </c>
    </row>
    <row r="138" spans="1:15" x14ac:dyDescent="0.25">
      <c r="A138" t="s">
        <v>1326</v>
      </c>
      <c r="B138" t="s">
        <v>1394</v>
      </c>
      <c r="C138" t="s">
        <v>10</v>
      </c>
      <c r="D138" t="str">
        <f>VLOOKUP(Pre_Close_AMF_Table[[#This Row],[HFM_Account]],HFM_Acct_OCF_Activity[],3,FALSE)</f>
        <v>Direct</v>
      </c>
      <c r="E138" t="s">
        <v>1210</v>
      </c>
      <c r="F138" t="s">
        <v>1194</v>
      </c>
      <c r="G138" t="s">
        <v>1395</v>
      </c>
      <c r="H138" t="str">
        <f>IF(NOT(ISERROR(FIND("NoICP",Pre_Close_AMF_Table[[#This Row],[GL_ICP]]))),"",Pre_Close_AMF_Table[[#This Row],[GL_ICP]])</f>
        <v/>
      </c>
      <c r="I138" t="s">
        <v>1212</v>
      </c>
      <c r="J138" t="s">
        <v>1445</v>
      </c>
      <c r="K138" t="str">
        <f>IFERROR(VLOOKUP(VALUE(Pre_Close_AMF_Table[[#This Row],[GL_PC]]),BNS_Profit_Centers[],2,FALSE),"TE")</f>
        <v>TE</v>
      </c>
      <c r="L138" t="s">
        <v>1445</v>
      </c>
      <c r="M138" t="s">
        <v>1396</v>
      </c>
      <c r="N138" t="s">
        <v>1390</v>
      </c>
      <c r="O138" s="33">
        <v>1856</v>
      </c>
    </row>
    <row r="139" spans="1:15" x14ac:dyDescent="0.25">
      <c r="A139" t="s">
        <v>1326</v>
      </c>
      <c r="B139" t="s">
        <v>1397</v>
      </c>
      <c r="C139" t="s">
        <v>10</v>
      </c>
      <c r="D139" t="str">
        <f>VLOOKUP(Pre_Close_AMF_Table[[#This Row],[HFM_Account]],HFM_Acct_OCF_Activity[],3,FALSE)</f>
        <v>Direct</v>
      </c>
      <c r="E139" t="s">
        <v>1210</v>
      </c>
      <c r="F139" t="s">
        <v>1194</v>
      </c>
      <c r="G139" t="s">
        <v>1398</v>
      </c>
      <c r="H139" t="str">
        <f>IF(NOT(ISERROR(FIND("NoICP",Pre_Close_AMF_Table[[#This Row],[GL_ICP]]))),"",Pre_Close_AMF_Table[[#This Row],[GL_ICP]])</f>
        <v/>
      </c>
      <c r="I139" t="s">
        <v>1212</v>
      </c>
      <c r="J139" t="s">
        <v>1445</v>
      </c>
      <c r="K139" t="str">
        <f>IFERROR(VLOOKUP(VALUE(Pre_Close_AMF_Table[[#This Row],[GL_PC]]),BNS_Profit_Centers[],2,FALSE),"TE")</f>
        <v>TE</v>
      </c>
      <c r="L139" t="s">
        <v>1445</v>
      </c>
      <c r="M139" t="s">
        <v>1399</v>
      </c>
      <c r="N139" t="s">
        <v>1390</v>
      </c>
      <c r="O139" s="33">
        <v>344.12</v>
      </c>
    </row>
    <row r="140" spans="1:15" x14ac:dyDescent="0.25">
      <c r="A140" t="s">
        <v>1326</v>
      </c>
      <c r="B140" t="s">
        <v>1400</v>
      </c>
      <c r="C140" t="s">
        <v>10</v>
      </c>
      <c r="D140" t="str">
        <f>VLOOKUP(Pre_Close_AMF_Table[[#This Row],[HFM_Account]],HFM_Acct_OCF_Activity[],3,FALSE)</f>
        <v>Direct</v>
      </c>
      <c r="E140" t="s">
        <v>1210</v>
      </c>
      <c r="F140" t="s">
        <v>1194</v>
      </c>
      <c r="G140" t="s">
        <v>1401</v>
      </c>
      <c r="H140" t="str">
        <f>IF(NOT(ISERROR(FIND("NoICP",Pre_Close_AMF_Table[[#This Row],[GL_ICP]]))),"",Pre_Close_AMF_Table[[#This Row],[GL_ICP]])</f>
        <v/>
      </c>
      <c r="I140" t="s">
        <v>1212</v>
      </c>
      <c r="J140" t="s">
        <v>1445</v>
      </c>
      <c r="K140" t="str">
        <f>IFERROR(VLOOKUP(VALUE(Pre_Close_AMF_Table[[#This Row],[GL_PC]]),BNS_Profit_Centers[],2,FALSE),"TE")</f>
        <v>TE</v>
      </c>
      <c r="L140" t="s">
        <v>1445</v>
      </c>
      <c r="M140" t="s">
        <v>1402</v>
      </c>
      <c r="N140" t="s">
        <v>1390</v>
      </c>
      <c r="O140" s="33">
        <v>88.5</v>
      </c>
    </row>
    <row r="141" spans="1:15" x14ac:dyDescent="0.25">
      <c r="A141" t="s">
        <v>1326</v>
      </c>
      <c r="B141" t="s">
        <v>1403</v>
      </c>
      <c r="C141" t="s">
        <v>10</v>
      </c>
      <c r="D141" t="str">
        <f>VLOOKUP(Pre_Close_AMF_Table[[#This Row],[HFM_Account]],HFM_Acct_OCF_Activity[],3,FALSE)</f>
        <v>Direct</v>
      </c>
      <c r="E141" t="s">
        <v>1210</v>
      </c>
      <c r="F141" t="s">
        <v>1194</v>
      </c>
      <c r="G141" t="s">
        <v>1404</v>
      </c>
      <c r="H141" t="str">
        <f>IF(NOT(ISERROR(FIND("NoICP",Pre_Close_AMF_Table[[#This Row],[GL_ICP]]))),"",Pre_Close_AMF_Table[[#This Row],[GL_ICP]])</f>
        <v/>
      </c>
      <c r="I141" t="s">
        <v>1212</v>
      </c>
      <c r="J141" t="s">
        <v>1445</v>
      </c>
      <c r="K141" t="str">
        <f>IFERROR(VLOOKUP(VALUE(Pre_Close_AMF_Table[[#This Row],[GL_PC]]),BNS_Profit_Centers[],2,FALSE),"TE")</f>
        <v>TE</v>
      </c>
      <c r="L141" t="s">
        <v>1445</v>
      </c>
      <c r="M141" t="s">
        <v>1405</v>
      </c>
      <c r="N141" t="s">
        <v>1390</v>
      </c>
      <c r="O141" s="33">
        <v>1176.24</v>
      </c>
    </row>
    <row r="142" spans="1:15" x14ac:dyDescent="0.25">
      <c r="A142" t="s">
        <v>1326</v>
      </c>
      <c r="B142" t="s">
        <v>1406</v>
      </c>
      <c r="C142" t="s">
        <v>10</v>
      </c>
      <c r="D142" t="str">
        <f>VLOOKUP(Pre_Close_AMF_Table[[#This Row],[HFM_Account]],HFM_Acct_OCF_Activity[],3,FALSE)</f>
        <v>Direct</v>
      </c>
      <c r="E142" t="s">
        <v>1210</v>
      </c>
      <c r="F142" t="s">
        <v>1194</v>
      </c>
      <c r="G142" t="s">
        <v>1407</v>
      </c>
      <c r="H142" t="str">
        <f>IF(NOT(ISERROR(FIND("NoICP",Pre_Close_AMF_Table[[#This Row],[GL_ICP]]))),"",Pre_Close_AMF_Table[[#This Row],[GL_ICP]])</f>
        <v/>
      </c>
      <c r="I142" t="s">
        <v>1212</v>
      </c>
      <c r="J142" t="s">
        <v>1445</v>
      </c>
      <c r="K142" t="str">
        <f>IFERROR(VLOOKUP(VALUE(Pre_Close_AMF_Table[[#This Row],[GL_PC]]),BNS_Profit_Centers[],2,FALSE),"TE")</f>
        <v>TE</v>
      </c>
      <c r="L142" t="s">
        <v>1445</v>
      </c>
      <c r="M142" t="s">
        <v>1408</v>
      </c>
      <c r="N142" t="s">
        <v>1390</v>
      </c>
      <c r="O142" s="33">
        <v>363.18</v>
      </c>
    </row>
    <row r="143" spans="1:15" x14ac:dyDescent="0.25">
      <c r="A143" t="s">
        <v>1326</v>
      </c>
      <c r="B143" t="s">
        <v>1412</v>
      </c>
      <c r="C143" t="s">
        <v>10</v>
      </c>
      <c r="D143" t="str">
        <f>VLOOKUP(Pre_Close_AMF_Table[[#This Row],[HFM_Account]],HFM_Acct_OCF_Activity[],3,FALSE)</f>
        <v>Direct</v>
      </c>
      <c r="E143" t="s">
        <v>1210</v>
      </c>
      <c r="F143" t="s">
        <v>1194</v>
      </c>
      <c r="G143" t="s">
        <v>1413</v>
      </c>
      <c r="H143" t="str">
        <f>IF(NOT(ISERROR(FIND("NoICP",Pre_Close_AMF_Table[[#This Row],[GL_ICP]]))),"",Pre_Close_AMF_Table[[#This Row],[GL_ICP]])</f>
        <v/>
      </c>
      <c r="I143" t="s">
        <v>1212</v>
      </c>
      <c r="J143" t="s">
        <v>1445</v>
      </c>
      <c r="K143" t="str">
        <f>IFERROR(VLOOKUP(VALUE(Pre_Close_AMF_Table[[#This Row],[GL_PC]]),BNS_Profit_Centers[],2,FALSE),"TE")</f>
        <v>TE</v>
      </c>
      <c r="L143" t="s">
        <v>1445</v>
      </c>
      <c r="M143" t="s">
        <v>1414</v>
      </c>
      <c r="N143" t="s">
        <v>1415</v>
      </c>
      <c r="O143" s="33">
        <v>2357.9499999999998</v>
      </c>
    </row>
    <row r="144" spans="1:15" x14ac:dyDescent="0.25">
      <c r="A144" t="s">
        <v>1326</v>
      </c>
      <c r="B144" t="s">
        <v>1416</v>
      </c>
      <c r="C144" t="s">
        <v>10</v>
      </c>
      <c r="D144" t="str">
        <f>VLOOKUP(Pre_Close_AMF_Table[[#This Row],[HFM_Account]],HFM_Acct_OCF_Activity[],3,FALSE)</f>
        <v>Direct</v>
      </c>
      <c r="E144" t="s">
        <v>1210</v>
      </c>
      <c r="F144" t="s">
        <v>1194</v>
      </c>
      <c r="G144" t="s">
        <v>1417</v>
      </c>
      <c r="H144" t="str">
        <f>IF(NOT(ISERROR(FIND("NoICP",Pre_Close_AMF_Table[[#This Row],[GL_ICP]]))),"",Pre_Close_AMF_Table[[#This Row],[GL_ICP]])</f>
        <v/>
      </c>
      <c r="I144" t="s">
        <v>1212</v>
      </c>
      <c r="J144" t="s">
        <v>1445</v>
      </c>
      <c r="K144" t="str">
        <f>IFERROR(VLOOKUP(VALUE(Pre_Close_AMF_Table[[#This Row],[GL_PC]]),BNS_Profit_Centers[],2,FALSE),"TE")</f>
        <v>TE</v>
      </c>
      <c r="L144" t="s">
        <v>1445</v>
      </c>
      <c r="M144" t="s">
        <v>1418</v>
      </c>
      <c r="N144" t="s">
        <v>1415</v>
      </c>
      <c r="O144" s="33">
        <v>6719.64</v>
      </c>
    </row>
    <row r="145" spans="1:15" x14ac:dyDescent="0.25">
      <c r="A145" t="s">
        <v>1326</v>
      </c>
      <c r="B145" t="s">
        <v>1419</v>
      </c>
      <c r="C145" t="s">
        <v>10</v>
      </c>
      <c r="D145" t="str">
        <f>VLOOKUP(Pre_Close_AMF_Table[[#This Row],[HFM_Account]],HFM_Acct_OCF_Activity[],3,FALSE)</f>
        <v>Direct</v>
      </c>
      <c r="E145" t="s">
        <v>1210</v>
      </c>
      <c r="F145" t="s">
        <v>1194</v>
      </c>
      <c r="G145" t="s">
        <v>1420</v>
      </c>
      <c r="H145" t="str">
        <f>IF(NOT(ISERROR(FIND("NoICP",Pre_Close_AMF_Table[[#This Row],[GL_ICP]]))),"",Pre_Close_AMF_Table[[#This Row],[GL_ICP]])</f>
        <v/>
      </c>
      <c r="I145" t="s">
        <v>1212</v>
      </c>
      <c r="J145" t="s">
        <v>1445</v>
      </c>
      <c r="K145" t="str">
        <f>IFERROR(VLOOKUP(VALUE(Pre_Close_AMF_Table[[#This Row],[GL_PC]]),BNS_Profit_Centers[],2,FALSE),"TE")</f>
        <v>TE</v>
      </c>
      <c r="L145" t="s">
        <v>1445</v>
      </c>
      <c r="M145" t="s">
        <v>1421</v>
      </c>
      <c r="N145" t="s">
        <v>1421</v>
      </c>
      <c r="O145" s="33">
        <v>127.5</v>
      </c>
    </row>
    <row r="146" spans="1:15" x14ac:dyDescent="0.25">
      <c r="A146" t="s">
        <v>1326</v>
      </c>
      <c r="B146" t="s">
        <v>1327</v>
      </c>
      <c r="C146" t="s">
        <v>10</v>
      </c>
      <c r="D146" t="str">
        <f>VLOOKUP(Pre_Close_AMF_Table[[#This Row],[HFM_Account]],HFM_Acct_OCF_Activity[],3,FALSE)</f>
        <v>Direct</v>
      </c>
      <c r="E146" t="s">
        <v>1210</v>
      </c>
      <c r="F146" t="s">
        <v>1194</v>
      </c>
      <c r="G146" t="s">
        <v>1328</v>
      </c>
      <c r="H146" t="str">
        <f>IF(NOT(ISERROR(FIND("NoICP",Pre_Close_AMF_Table[[#This Row],[GL_ICP]]))),"",Pre_Close_AMF_Table[[#This Row],[GL_ICP]])</f>
        <v/>
      </c>
      <c r="I146" t="s">
        <v>1212</v>
      </c>
      <c r="J146" t="s">
        <v>1446</v>
      </c>
      <c r="K146" t="str">
        <f>IFERROR(VLOOKUP(VALUE(Pre_Close_AMF_Table[[#This Row],[GL_PC]]),BNS_Profit_Centers[],2,FALSE),"TE")</f>
        <v>BNS</v>
      </c>
      <c r="L146" t="s">
        <v>1446</v>
      </c>
      <c r="M146" t="s">
        <v>1330</v>
      </c>
      <c r="N146" t="s">
        <v>1330</v>
      </c>
      <c r="O146" s="33">
        <v>118468</v>
      </c>
    </row>
    <row r="147" spans="1:15" x14ac:dyDescent="0.25">
      <c r="A147" t="s">
        <v>1326</v>
      </c>
      <c r="B147" t="s">
        <v>1447</v>
      </c>
      <c r="C147" t="s">
        <v>10</v>
      </c>
      <c r="D147" t="str">
        <f>VLOOKUP(Pre_Close_AMF_Table[[#This Row],[HFM_Account]],HFM_Acct_OCF_Activity[],3,FALSE)</f>
        <v>Direct</v>
      </c>
      <c r="E147" t="s">
        <v>1210</v>
      </c>
      <c r="F147" t="s">
        <v>1194</v>
      </c>
      <c r="G147" t="s">
        <v>1448</v>
      </c>
      <c r="H147" t="str">
        <f>IF(NOT(ISERROR(FIND("NoICP",Pre_Close_AMF_Table[[#This Row],[GL_ICP]]))),"",Pre_Close_AMF_Table[[#This Row],[GL_ICP]])</f>
        <v/>
      </c>
      <c r="I147" t="s">
        <v>1212</v>
      </c>
      <c r="J147" t="s">
        <v>1446</v>
      </c>
      <c r="K147" t="str">
        <f>IFERROR(VLOOKUP(VALUE(Pre_Close_AMF_Table[[#This Row],[GL_PC]]),BNS_Profit_Centers[],2,FALSE),"TE")</f>
        <v>BNS</v>
      </c>
      <c r="L147" t="s">
        <v>1446</v>
      </c>
      <c r="M147" t="s">
        <v>1449</v>
      </c>
      <c r="N147" t="s">
        <v>1334</v>
      </c>
      <c r="O147" s="33">
        <v>911.4</v>
      </c>
    </row>
    <row r="148" spans="1:15" x14ac:dyDescent="0.25">
      <c r="A148" t="s">
        <v>1326</v>
      </c>
      <c r="B148" t="s">
        <v>1450</v>
      </c>
      <c r="C148" t="s">
        <v>10</v>
      </c>
      <c r="D148" t="str">
        <f>VLOOKUP(Pre_Close_AMF_Table[[#This Row],[HFM_Account]],HFM_Acct_OCF_Activity[],3,FALSE)</f>
        <v>Direct</v>
      </c>
      <c r="E148" t="s">
        <v>1210</v>
      </c>
      <c r="F148" t="s">
        <v>1194</v>
      </c>
      <c r="G148" t="s">
        <v>1451</v>
      </c>
      <c r="H148" t="str">
        <f>IF(NOT(ISERROR(FIND("NoICP",Pre_Close_AMF_Table[[#This Row],[GL_ICP]]))),"",Pre_Close_AMF_Table[[#This Row],[GL_ICP]])</f>
        <v/>
      </c>
      <c r="I148" t="s">
        <v>1212</v>
      </c>
      <c r="J148" t="s">
        <v>1446</v>
      </c>
      <c r="K148" t="str">
        <f>IFERROR(VLOOKUP(VALUE(Pre_Close_AMF_Table[[#This Row],[GL_PC]]),BNS_Profit_Centers[],2,FALSE),"TE")</f>
        <v>BNS</v>
      </c>
      <c r="L148" t="s">
        <v>1446</v>
      </c>
      <c r="M148" t="s">
        <v>1452</v>
      </c>
      <c r="N148" t="s">
        <v>1330</v>
      </c>
      <c r="O148" s="33">
        <v>-911.4</v>
      </c>
    </row>
    <row r="149" spans="1:15" x14ac:dyDescent="0.25">
      <c r="A149" t="s">
        <v>1326</v>
      </c>
      <c r="B149" t="s">
        <v>1331</v>
      </c>
      <c r="C149" t="s">
        <v>10</v>
      </c>
      <c r="D149" t="str">
        <f>VLOOKUP(Pre_Close_AMF_Table[[#This Row],[HFM_Account]],HFM_Acct_OCF_Activity[],3,FALSE)</f>
        <v>Direct</v>
      </c>
      <c r="E149" t="s">
        <v>1210</v>
      </c>
      <c r="F149" t="s">
        <v>1194</v>
      </c>
      <c r="G149" t="s">
        <v>1332</v>
      </c>
      <c r="H149" t="str">
        <f>IF(NOT(ISERROR(FIND("NoICP",Pre_Close_AMF_Table[[#This Row],[GL_ICP]]))),"",Pre_Close_AMF_Table[[#This Row],[GL_ICP]])</f>
        <v/>
      </c>
      <c r="I149" t="s">
        <v>1212</v>
      </c>
      <c r="J149" t="s">
        <v>1446</v>
      </c>
      <c r="K149" t="str">
        <f>IFERROR(VLOOKUP(VALUE(Pre_Close_AMF_Table[[#This Row],[GL_PC]]),BNS_Profit_Centers[],2,FALSE),"TE")</f>
        <v>BNS</v>
      </c>
      <c r="L149" t="s">
        <v>1446</v>
      </c>
      <c r="M149" t="s">
        <v>1333</v>
      </c>
      <c r="N149" t="s">
        <v>1334</v>
      </c>
      <c r="O149" s="33">
        <v>3474.68</v>
      </c>
    </row>
    <row r="150" spans="1:15" x14ac:dyDescent="0.25">
      <c r="A150" t="s">
        <v>1326</v>
      </c>
      <c r="B150" t="s">
        <v>1335</v>
      </c>
      <c r="C150" t="s">
        <v>10</v>
      </c>
      <c r="D150" t="str">
        <f>VLOOKUP(Pre_Close_AMF_Table[[#This Row],[HFM_Account]],HFM_Acct_OCF_Activity[],3,FALSE)</f>
        <v>Direct</v>
      </c>
      <c r="E150" t="s">
        <v>1210</v>
      </c>
      <c r="F150" t="s">
        <v>1194</v>
      </c>
      <c r="G150" t="s">
        <v>1336</v>
      </c>
      <c r="H150" t="str">
        <f>IF(NOT(ISERROR(FIND("NoICP",Pre_Close_AMF_Table[[#This Row],[GL_ICP]]))),"",Pre_Close_AMF_Table[[#This Row],[GL_ICP]])</f>
        <v/>
      </c>
      <c r="I150" t="s">
        <v>1212</v>
      </c>
      <c r="J150" t="s">
        <v>1446</v>
      </c>
      <c r="K150" t="str">
        <f>IFERROR(VLOOKUP(VALUE(Pre_Close_AMF_Table[[#This Row],[GL_PC]]),BNS_Profit_Centers[],2,FALSE),"TE")</f>
        <v>BNS</v>
      </c>
      <c r="L150" t="s">
        <v>1446</v>
      </c>
      <c r="M150" t="s">
        <v>1337</v>
      </c>
      <c r="N150" t="s">
        <v>1334</v>
      </c>
      <c r="O150" s="33">
        <v>-2189.25</v>
      </c>
    </row>
    <row r="151" spans="1:15" x14ac:dyDescent="0.25">
      <c r="A151" t="s">
        <v>1326</v>
      </c>
      <c r="B151" t="s">
        <v>1338</v>
      </c>
      <c r="C151" t="s">
        <v>10</v>
      </c>
      <c r="D151" t="str">
        <f>VLOOKUP(Pre_Close_AMF_Table[[#This Row],[HFM_Account]],HFM_Acct_OCF_Activity[],3,FALSE)</f>
        <v>Direct</v>
      </c>
      <c r="E151" t="s">
        <v>1210</v>
      </c>
      <c r="F151" t="s">
        <v>1194</v>
      </c>
      <c r="G151" t="s">
        <v>1339</v>
      </c>
      <c r="H151" t="str">
        <f>IF(NOT(ISERROR(FIND("NoICP",Pre_Close_AMF_Table[[#This Row],[GL_ICP]]))),"",Pre_Close_AMF_Table[[#This Row],[GL_ICP]])</f>
        <v/>
      </c>
      <c r="I151" t="s">
        <v>1212</v>
      </c>
      <c r="J151" t="s">
        <v>1446</v>
      </c>
      <c r="K151" t="str">
        <f>IFERROR(VLOOKUP(VALUE(Pre_Close_AMF_Table[[#This Row],[GL_PC]]),BNS_Profit_Centers[],2,FALSE),"TE")</f>
        <v>BNS</v>
      </c>
      <c r="L151" t="s">
        <v>1446</v>
      </c>
      <c r="M151" t="s">
        <v>1340</v>
      </c>
      <c r="N151" t="s">
        <v>1334</v>
      </c>
      <c r="O151" s="33">
        <v>794</v>
      </c>
    </row>
    <row r="152" spans="1:15" x14ac:dyDescent="0.25">
      <c r="A152" t="s">
        <v>1326</v>
      </c>
      <c r="B152" t="s">
        <v>1341</v>
      </c>
      <c r="C152" t="s">
        <v>10</v>
      </c>
      <c r="D152" t="str">
        <f>VLOOKUP(Pre_Close_AMF_Table[[#This Row],[HFM_Account]],HFM_Acct_OCF_Activity[],3,FALSE)</f>
        <v>Direct</v>
      </c>
      <c r="E152" t="s">
        <v>1210</v>
      </c>
      <c r="F152" t="s">
        <v>1194</v>
      </c>
      <c r="G152" t="s">
        <v>1342</v>
      </c>
      <c r="H152" t="str">
        <f>IF(NOT(ISERROR(FIND("NoICP",Pre_Close_AMF_Table[[#This Row],[GL_ICP]]))),"",Pre_Close_AMF_Table[[#This Row],[GL_ICP]])</f>
        <v/>
      </c>
      <c r="I152" t="s">
        <v>1212</v>
      </c>
      <c r="J152" t="s">
        <v>1446</v>
      </c>
      <c r="K152" t="str">
        <f>IFERROR(VLOOKUP(VALUE(Pre_Close_AMF_Table[[#This Row],[GL_PC]]),BNS_Profit_Centers[],2,FALSE),"TE")</f>
        <v>BNS</v>
      </c>
      <c r="L152" t="s">
        <v>1446</v>
      </c>
      <c r="M152" t="s">
        <v>1343</v>
      </c>
      <c r="N152" t="s">
        <v>1334</v>
      </c>
      <c r="O152" s="33">
        <v>450</v>
      </c>
    </row>
    <row r="153" spans="1:15" x14ac:dyDescent="0.25">
      <c r="A153" t="s">
        <v>1326</v>
      </c>
      <c r="B153" t="s">
        <v>1453</v>
      </c>
      <c r="C153" t="s">
        <v>10</v>
      </c>
      <c r="D153" t="str">
        <f>VLOOKUP(Pre_Close_AMF_Table[[#This Row],[HFM_Account]],HFM_Acct_OCF_Activity[],3,FALSE)</f>
        <v>Direct</v>
      </c>
      <c r="E153" t="s">
        <v>1210</v>
      </c>
      <c r="F153" t="s">
        <v>1194</v>
      </c>
      <c r="G153" t="s">
        <v>1454</v>
      </c>
      <c r="H153" t="str">
        <f>IF(NOT(ISERROR(FIND("NoICP",Pre_Close_AMF_Table[[#This Row],[GL_ICP]]))),"",Pre_Close_AMF_Table[[#This Row],[GL_ICP]])</f>
        <v/>
      </c>
      <c r="I153" t="s">
        <v>1212</v>
      </c>
      <c r="J153" t="s">
        <v>1446</v>
      </c>
      <c r="K153" t="str">
        <f>IFERROR(VLOOKUP(VALUE(Pre_Close_AMF_Table[[#This Row],[GL_PC]]),BNS_Profit_Centers[],2,FALSE),"TE")</f>
        <v>BNS</v>
      </c>
      <c r="L153" t="s">
        <v>1446</v>
      </c>
      <c r="M153" t="s">
        <v>1014</v>
      </c>
      <c r="N153" t="s">
        <v>1455</v>
      </c>
      <c r="O153" s="33">
        <v>203</v>
      </c>
    </row>
    <row r="154" spans="1:15" x14ac:dyDescent="0.25">
      <c r="A154" t="s">
        <v>1326</v>
      </c>
      <c r="B154" t="s">
        <v>1344</v>
      </c>
      <c r="C154" t="s">
        <v>10</v>
      </c>
      <c r="D154" t="str">
        <f>VLOOKUP(Pre_Close_AMF_Table[[#This Row],[HFM_Account]],HFM_Acct_OCF_Activity[],3,FALSE)</f>
        <v>Direct</v>
      </c>
      <c r="E154" t="s">
        <v>1210</v>
      </c>
      <c r="F154" t="s">
        <v>1194</v>
      </c>
      <c r="G154" t="s">
        <v>1345</v>
      </c>
      <c r="H154" t="str">
        <f>IF(NOT(ISERROR(FIND("NoICP",Pre_Close_AMF_Table[[#This Row],[GL_ICP]]))),"",Pre_Close_AMF_Table[[#This Row],[GL_ICP]])</f>
        <v/>
      </c>
      <c r="I154" t="s">
        <v>1212</v>
      </c>
      <c r="J154" t="s">
        <v>1446</v>
      </c>
      <c r="K154" t="str">
        <f>IFERROR(VLOOKUP(VALUE(Pre_Close_AMF_Table[[#This Row],[GL_PC]]),BNS_Profit_Centers[],2,FALSE),"TE")</f>
        <v>BNS</v>
      </c>
      <c r="L154" t="s">
        <v>1446</v>
      </c>
      <c r="M154" t="s">
        <v>1346</v>
      </c>
      <c r="N154" t="s">
        <v>1347</v>
      </c>
      <c r="O154" s="33">
        <v>800</v>
      </c>
    </row>
    <row r="155" spans="1:15" x14ac:dyDescent="0.25">
      <c r="A155" t="s">
        <v>1326</v>
      </c>
      <c r="B155" t="s">
        <v>1348</v>
      </c>
      <c r="C155" t="s">
        <v>10</v>
      </c>
      <c r="D155" t="str">
        <f>VLOOKUP(Pre_Close_AMF_Table[[#This Row],[HFM_Account]],HFM_Acct_OCF_Activity[],3,FALSE)</f>
        <v>Direct</v>
      </c>
      <c r="E155" t="s">
        <v>1210</v>
      </c>
      <c r="F155" t="s">
        <v>1194</v>
      </c>
      <c r="G155" t="s">
        <v>1349</v>
      </c>
      <c r="H155" t="str">
        <f>IF(NOT(ISERROR(FIND("NoICP",Pre_Close_AMF_Table[[#This Row],[GL_ICP]]))),"",Pre_Close_AMF_Table[[#This Row],[GL_ICP]])</f>
        <v/>
      </c>
      <c r="I155" t="s">
        <v>1212</v>
      </c>
      <c r="J155" t="s">
        <v>1446</v>
      </c>
      <c r="K155" t="str">
        <f>IFERROR(VLOOKUP(VALUE(Pre_Close_AMF_Table[[#This Row],[GL_PC]]),BNS_Profit_Centers[],2,FALSE),"TE")</f>
        <v>BNS</v>
      </c>
      <c r="L155" t="s">
        <v>1446</v>
      </c>
      <c r="M155" t="s">
        <v>1350</v>
      </c>
      <c r="N155" t="s">
        <v>1351</v>
      </c>
      <c r="O155" s="33">
        <v>445.49</v>
      </c>
    </row>
    <row r="156" spans="1:15" x14ac:dyDescent="0.25">
      <c r="A156" t="s">
        <v>1326</v>
      </c>
      <c r="B156" t="s">
        <v>1352</v>
      </c>
      <c r="C156" t="s">
        <v>10</v>
      </c>
      <c r="D156" t="str">
        <f>VLOOKUP(Pre_Close_AMF_Table[[#This Row],[HFM_Account]],HFM_Acct_OCF_Activity[],3,FALSE)</f>
        <v>Direct</v>
      </c>
      <c r="E156" t="s">
        <v>1210</v>
      </c>
      <c r="F156" t="s">
        <v>1194</v>
      </c>
      <c r="G156" t="s">
        <v>1353</v>
      </c>
      <c r="H156" t="str">
        <f>IF(NOT(ISERROR(FIND("NoICP",Pre_Close_AMF_Table[[#This Row],[GL_ICP]]))),"",Pre_Close_AMF_Table[[#This Row],[GL_ICP]])</f>
        <v/>
      </c>
      <c r="I156" t="s">
        <v>1212</v>
      </c>
      <c r="J156" t="s">
        <v>1446</v>
      </c>
      <c r="K156" t="str">
        <f>IFERROR(VLOOKUP(VALUE(Pre_Close_AMF_Table[[#This Row],[GL_PC]]),BNS_Profit_Centers[],2,FALSE),"TE")</f>
        <v>BNS</v>
      </c>
      <c r="L156" t="s">
        <v>1446</v>
      </c>
      <c r="M156" t="s">
        <v>1354</v>
      </c>
      <c r="N156" t="s">
        <v>1351</v>
      </c>
      <c r="O156" s="33">
        <v>1116.79</v>
      </c>
    </row>
    <row r="157" spans="1:15" x14ac:dyDescent="0.25">
      <c r="A157" t="s">
        <v>1326</v>
      </c>
      <c r="B157" t="s">
        <v>1355</v>
      </c>
      <c r="C157" t="s">
        <v>10</v>
      </c>
      <c r="D157" t="str">
        <f>VLOOKUP(Pre_Close_AMF_Table[[#This Row],[HFM_Account]],HFM_Acct_OCF_Activity[],3,FALSE)</f>
        <v>Direct</v>
      </c>
      <c r="E157" t="s">
        <v>1210</v>
      </c>
      <c r="F157" t="s">
        <v>1194</v>
      </c>
      <c r="G157" t="s">
        <v>1356</v>
      </c>
      <c r="H157" t="str">
        <f>IF(NOT(ISERROR(FIND("NoICP",Pre_Close_AMF_Table[[#This Row],[GL_ICP]]))),"",Pre_Close_AMF_Table[[#This Row],[GL_ICP]])</f>
        <v/>
      </c>
      <c r="I157" t="s">
        <v>1212</v>
      </c>
      <c r="J157" t="s">
        <v>1446</v>
      </c>
      <c r="K157" t="str">
        <f>IFERROR(VLOOKUP(VALUE(Pre_Close_AMF_Table[[#This Row],[GL_PC]]),BNS_Profit_Centers[],2,FALSE),"TE")</f>
        <v>BNS</v>
      </c>
      <c r="L157" t="s">
        <v>1446</v>
      </c>
      <c r="M157" t="s">
        <v>1357</v>
      </c>
      <c r="N157" t="s">
        <v>1351</v>
      </c>
      <c r="O157" s="33">
        <v>496</v>
      </c>
    </row>
    <row r="158" spans="1:15" x14ac:dyDescent="0.25">
      <c r="A158" t="s">
        <v>1326</v>
      </c>
      <c r="B158" t="s">
        <v>1358</v>
      </c>
      <c r="C158" t="s">
        <v>10</v>
      </c>
      <c r="D158" t="str">
        <f>VLOOKUP(Pre_Close_AMF_Table[[#This Row],[HFM_Account]],HFM_Acct_OCF_Activity[],3,FALSE)</f>
        <v>Direct</v>
      </c>
      <c r="E158" t="s">
        <v>1210</v>
      </c>
      <c r="F158" t="s">
        <v>1194</v>
      </c>
      <c r="G158" t="s">
        <v>1359</v>
      </c>
      <c r="H158" t="str">
        <f>IF(NOT(ISERROR(FIND("NoICP",Pre_Close_AMF_Table[[#This Row],[GL_ICP]]))),"",Pre_Close_AMF_Table[[#This Row],[GL_ICP]])</f>
        <v/>
      </c>
      <c r="I158" t="s">
        <v>1212</v>
      </c>
      <c r="J158" t="s">
        <v>1446</v>
      </c>
      <c r="K158" t="str">
        <f>IFERROR(VLOOKUP(VALUE(Pre_Close_AMF_Table[[#This Row],[GL_PC]]),BNS_Profit_Centers[],2,FALSE),"TE")</f>
        <v>BNS</v>
      </c>
      <c r="L158" t="s">
        <v>1446</v>
      </c>
      <c r="M158" t="s">
        <v>1360</v>
      </c>
      <c r="N158" t="s">
        <v>1361</v>
      </c>
      <c r="O158" s="33">
        <v>3053.98</v>
      </c>
    </row>
    <row r="159" spans="1:15" x14ac:dyDescent="0.25">
      <c r="A159" t="s">
        <v>1326</v>
      </c>
      <c r="B159" t="s">
        <v>1362</v>
      </c>
      <c r="C159" t="s">
        <v>10</v>
      </c>
      <c r="D159" t="str">
        <f>VLOOKUP(Pre_Close_AMF_Table[[#This Row],[HFM_Account]],HFM_Acct_OCF_Activity[],3,FALSE)</f>
        <v>Direct</v>
      </c>
      <c r="E159" t="s">
        <v>1210</v>
      </c>
      <c r="F159" t="s">
        <v>1194</v>
      </c>
      <c r="G159" t="s">
        <v>1363</v>
      </c>
      <c r="H159" t="str">
        <f>IF(NOT(ISERROR(FIND("NoICP",Pre_Close_AMF_Table[[#This Row],[GL_ICP]]))),"",Pre_Close_AMF_Table[[#This Row],[GL_ICP]])</f>
        <v/>
      </c>
      <c r="I159" t="s">
        <v>1212</v>
      </c>
      <c r="J159" t="s">
        <v>1446</v>
      </c>
      <c r="K159" t="str">
        <f>IFERROR(VLOOKUP(VALUE(Pre_Close_AMF_Table[[#This Row],[GL_PC]]),BNS_Profit_Centers[],2,FALSE),"TE")</f>
        <v>BNS</v>
      </c>
      <c r="L159" t="s">
        <v>1446</v>
      </c>
      <c r="M159" t="s">
        <v>1364</v>
      </c>
      <c r="N159" t="s">
        <v>1364</v>
      </c>
      <c r="O159" s="33">
        <v>-3575.9</v>
      </c>
    </row>
    <row r="160" spans="1:15" x14ac:dyDescent="0.25">
      <c r="A160" t="s">
        <v>1326</v>
      </c>
      <c r="B160" t="s">
        <v>1369</v>
      </c>
      <c r="C160" t="s">
        <v>10</v>
      </c>
      <c r="D160" t="str">
        <f>VLOOKUP(Pre_Close_AMF_Table[[#This Row],[HFM_Account]],HFM_Acct_OCF_Activity[],3,FALSE)</f>
        <v>Direct</v>
      </c>
      <c r="E160" t="s">
        <v>1210</v>
      </c>
      <c r="F160" t="s">
        <v>1194</v>
      </c>
      <c r="G160" t="s">
        <v>1370</v>
      </c>
      <c r="H160" t="str">
        <f>IF(NOT(ISERROR(FIND("NoICP",Pre_Close_AMF_Table[[#This Row],[GL_ICP]]))),"",Pre_Close_AMF_Table[[#This Row],[GL_ICP]])</f>
        <v/>
      </c>
      <c r="I160" t="s">
        <v>1212</v>
      </c>
      <c r="J160" t="s">
        <v>1446</v>
      </c>
      <c r="K160" t="str">
        <f>IFERROR(VLOOKUP(VALUE(Pre_Close_AMF_Table[[#This Row],[GL_PC]]),BNS_Profit_Centers[],2,FALSE),"TE")</f>
        <v>BNS</v>
      </c>
      <c r="L160" t="s">
        <v>1446</v>
      </c>
      <c r="M160" t="s">
        <v>1371</v>
      </c>
      <c r="N160" t="s">
        <v>1368</v>
      </c>
      <c r="O160" s="33">
        <v>1793.74</v>
      </c>
    </row>
    <row r="161" spans="1:15" x14ac:dyDescent="0.25">
      <c r="A161" t="s">
        <v>1326</v>
      </c>
      <c r="B161" t="s">
        <v>1456</v>
      </c>
      <c r="C161" t="s">
        <v>10</v>
      </c>
      <c r="D161" t="str">
        <f>VLOOKUP(Pre_Close_AMF_Table[[#This Row],[HFM_Account]],HFM_Acct_OCF_Activity[],3,FALSE)</f>
        <v>Direct</v>
      </c>
      <c r="E161" t="s">
        <v>1210</v>
      </c>
      <c r="F161" t="s">
        <v>1194</v>
      </c>
      <c r="G161" t="s">
        <v>1457</v>
      </c>
      <c r="H161" t="str">
        <f>IF(NOT(ISERROR(FIND("NoICP",Pre_Close_AMF_Table[[#This Row],[GL_ICP]]))),"",Pre_Close_AMF_Table[[#This Row],[GL_ICP]])</f>
        <v/>
      </c>
      <c r="I161" t="s">
        <v>1212</v>
      </c>
      <c r="J161" t="s">
        <v>1446</v>
      </c>
      <c r="K161" t="str">
        <f>IFERROR(VLOOKUP(VALUE(Pre_Close_AMF_Table[[#This Row],[GL_PC]]),BNS_Profit_Centers[],2,FALSE),"TE")</f>
        <v>BNS</v>
      </c>
      <c r="L161" t="s">
        <v>1446</v>
      </c>
      <c r="M161" t="s">
        <v>1458</v>
      </c>
      <c r="N161" t="s">
        <v>1364</v>
      </c>
      <c r="O161" s="33">
        <v>733.35</v>
      </c>
    </row>
    <row r="162" spans="1:15" x14ac:dyDescent="0.25">
      <c r="A162" t="s">
        <v>1326</v>
      </c>
      <c r="B162" t="s">
        <v>1372</v>
      </c>
      <c r="C162" t="s">
        <v>10</v>
      </c>
      <c r="D162" t="str">
        <f>VLOOKUP(Pre_Close_AMF_Table[[#This Row],[HFM_Account]],HFM_Acct_OCF_Activity[],3,FALSE)</f>
        <v>Direct</v>
      </c>
      <c r="E162" t="s">
        <v>1210</v>
      </c>
      <c r="F162" t="s">
        <v>1194</v>
      </c>
      <c r="G162" t="s">
        <v>1373</v>
      </c>
      <c r="H162" t="str">
        <f>IF(NOT(ISERROR(FIND("NoICP",Pre_Close_AMF_Table[[#This Row],[GL_ICP]]))),"",Pre_Close_AMF_Table[[#This Row],[GL_ICP]])</f>
        <v/>
      </c>
      <c r="I162" t="s">
        <v>1212</v>
      </c>
      <c r="J162" t="s">
        <v>1446</v>
      </c>
      <c r="K162" t="str">
        <f>IFERROR(VLOOKUP(VALUE(Pre_Close_AMF_Table[[#This Row],[GL_PC]]),BNS_Profit_Centers[],2,FALSE),"TE")</f>
        <v>BNS</v>
      </c>
      <c r="L162" t="s">
        <v>1446</v>
      </c>
      <c r="M162" t="s">
        <v>1374</v>
      </c>
      <c r="N162" t="s">
        <v>1374</v>
      </c>
      <c r="O162" s="33">
        <v>25072.75</v>
      </c>
    </row>
    <row r="163" spans="1:15" x14ac:dyDescent="0.25">
      <c r="A163" t="s">
        <v>1326</v>
      </c>
      <c r="B163" t="s">
        <v>1375</v>
      </c>
      <c r="C163" t="s">
        <v>10</v>
      </c>
      <c r="D163" t="str">
        <f>VLOOKUP(Pre_Close_AMF_Table[[#This Row],[HFM_Account]],HFM_Acct_OCF_Activity[],3,FALSE)</f>
        <v>Direct</v>
      </c>
      <c r="E163" t="s">
        <v>1210</v>
      </c>
      <c r="F163" t="s">
        <v>1194</v>
      </c>
      <c r="G163" t="s">
        <v>1376</v>
      </c>
      <c r="H163" t="str">
        <f>IF(NOT(ISERROR(FIND("NoICP",Pre_Close_AMF_Table[[#This Row],[GL_ICP]]))),"",Pre_Close_AMF_Table[[#This Row],[GL_ICP]])</f>
        <v/>
      </c>
      <c r="I163" t="s">
        <v>1212</v>
      </c>
      <c r="J163" t="s">
        <v>1446</v>
      </c>
      <c r="K163" t="str">
        <f>IFERROR(VLOOKUP(VALUE(Pre_Close_AMF_Table[[#This Row],[GL_PC]]),BNS_Profit_Centers[],2,FALSE),"TE")</f>
        <v>BNS</v>
      </c>
      <c r="L163" t="s">
        <v>1446</v>
      </c>
      <c r="M163" t="s">
        <v>1377</v>
      </c>
      <c r="N163" t="s">
        <v>1374</v>
      </c>
      <c r="O163" s="33">
        <v>10498.25</v>
      </c>
    </row>
    <row r="164" spans="1:15" x14ac:dyDescent="0.25">
      <c r="A164" t="s">
        <v>1326</v>
      </c>
      <c r="B164" t="s">
        <v>1378</v>
      </c>
      <c r="C164" t="s">
        <v>10</v>
      </c>
      <c r="D164" t="str">
        <f>VLOOKUP(Pre_Close_AMF_Table[[#This Row],[HFM_Account]],HFM_Acct_OCF_Activity[],3,FALSE)</f>
        <v>Direct</v>
      </c>
      <c r="E164" t="s">
        <v>1210</v>
      </c>
      <c r="F164" t="s">
        <v>1194</v>
      </c>
      <c r="G164" t="s">
        <v>1379</v>
      </c>
      <c r="H164" t="str">
        <f>IF(NOT(ISERROR(FIND("NoICP",Pre_Close_AMF_Table[[#This Row],[GL_ICP]]))),"",Pre_Close_AMF_Table[[#This Row],[GL_ICP]])</f>
        <v/>
      </c>
      <c r="I164" t="s">
        <v>1212</v>
      </c>
      <c r="J164" t="s">
        <v>1446</v>
      </c>
      <c r="K164" t="str">
        <f>IFERROR(VLOOKUP(VALUE(Pre_Close_AMF_Table[[#This Row],[GL_PC]]),BNS_Profit_Centers[],2,FALSE),"TE")</f>
        <v>BNS</v>
      </c>
      <c r="L164" t="s">
        <v>1446</v>
      </c>
      <c r="M164" t="s">
        <v>1380</v>
      </c>
      <c r="N164" t="s">
        <v>1380</v>
      </c>
      <c r="O164" s="33">
        <v>-48.55</v>
      </c>
    </row>
    <row r="165" spans="1:15" x14ac:dyDescent="0.25">
      <c r="A165" t="s">
        <v>1326</v>
      </c>
      <c r="B165" t="s">
        <v>1381</v>
      </c>
      <c r="C165" t="s">
        <v>10</v>
      </c>
      <c r="D165" t="str">
        <f>VLOOKUP(Pre_Close_AMF_Table[[#This Row],[HFM_Account]],HFM_Acct_OCF_Activity[],3,FALSE)</f>
        <v>Direct</v>
      </c>
      <c r="E165" t="s">
        <v>1210</v>
      </c>
      <c r="F165" t="s">
        <v>1194</v>
      </c>
      <c r="G165" t="s">
        <v>1382</v>
      </c>
      <c r="H165" t="str">
        <f>IF(NOT(ISERROR(FIND("NoICP",Pre_Close_AMF_Table[[#This Row],[GL_ICP]]))),"",Pre_Close_AMF_Table[[#This Row],[GL_ICP]])</f>
        <v/>
      </c>
      <c r="I165" t="s">
        <v>1212</v>
      </c>
      <c r="J165" t="s">
        <v>1446</v>
      </c>
      <c r="K165" t="str">
        <f>IFERROR(VLOOKUP(VALUE(Pre_Close_AMF_Table[[#This Row],[GL_PC]]),BNS_Profit_Centers[],2,FALSE),"TE")</f>
        <v>BNS</v>
      </c>
      <c r="L165" t="s">
        <v>1446</v>
      </c>
      <c r="M165" t="s">
        <v>1383</v>
      </c>
      <c r="N165" t="s">
        <v>1334</v>
      </c>
      <c r="O165" s="33">
        <v>10343.19</v>
      </c>
    </row>
    <row r="166" spans="1:15" x14ac:dyDescent="0.25">
      <c r="A166" t="s">
        <v>1326</v>
      </c>
      <c r="B166" t="s">
        <v>1384</v>
      </c>
      <c r="C166" t="s">
        <v>10</v>
      </c>
      <c r="D166" t="str">
        <f>VLOOKUP(Pre_Close_AMF_Table[[#This Row],[HFM_Account]],HFM_Acct_OCF_Activity[],3,FALSE)</f>
        <v>Direct</v>
      </c>
      <c r="E166" t="s">
        <v>1210</v>
      </c>
      <c r="F166" t="s">
        <v>1194</v>
      </c>
      <c r="G166" t="s">
        <v>1385</v>
      </c>
      <c r="H166" t="str">
        <f>IF(NOT(ISERROR(FIND("NoICP",Pre_Close_AMF_Table[[#This Row],[GL_ICP]]))),"",Pre_Close_AMF_Table[[#This Row],[GL_ICP]])</f>
        <v/>
      </c>
      <c r="I166" t="s">
        <v>1212</v>
      </c>
      <c r="J166" t="s">
        <v>1446</v>
      </c>
      <c r="K166" t="str">
        <f>IFERROR(VLOOKUP(VALUE(Pre_Close_AMF_Table[[#This Row],[GL_PC]]),BNS_Profit_Centers[],2,FALSE),"TE")</f>
        <v>BNS</v>
      </c>
      <c r="L166" t="s">
        <v>1446</v>
      </c>
      <c r="M166" t="s">
        <v>1386</v>
      </c>
      <c r="N166" t="s">
        <v>1386</v>
      </c>
      <c r="O166" s="33">
        <v>308.88</v>
      </c>
    </row>
    <row r="167" spans="1:15" x14ac:dyDescent="0.25">
      <c r="A167" t="s">
        <v>1326</v>
      </c>
      <c r="B167" t="s">
        <v>1459</v>
      </c>
      <c r="C167" t="s">
        <v>10</v>
      </c>
      <c r="D167" t="str">
        <f>VLOOKUP(Pre_Close_AMF_Table[[#This Row],[HFM_Account]],HFM_Acct_OCF_Activity[],3,FALSE)</f>
        <v>Direct</v>
      </c>
      <c r="E167" t="s">
        <v>1210</v>
      </c>
      <c r="F167" t="s">
        <v>1194</v>
      </c>
      <c r="G167" t="s">
        <v>1460</v>
      </c>
      <c r="H167" t="str">
        <f>IF(NOT(ISERROR(FIND("NoICP",Pre_Close_AMF_Table[[#This Row],[GL_ICP]]))),"",Pre_Close_AMF_Table[[#This Row],[GL_ICP]])</f>
        <v/>
      </c>
      <c r="I167" t="s">
        <v>1212</v>
      </c>
      <c r="J167" t="s">
        <v>1446</v>
      </c>
      <c r="K167" t="str">
        <f>IFERROR(VLOOKUP(VALUE(Pre_Close_AMF_Table[[#This Row],[GL_PC]]),BNS_Profit_Centers[],2,FALSE),"TE")</f>
        <v>BNS</v>
      </c>
      <c r="L167" t="s">
        <v>1446</v>
      </c>
      <c r="M167" t="s">
        <v>1461</v>
      </c>
      <c r="N167" t="s">
        <v>1461</v>
      </c>
      <c r="O167" s="33">
        <v>94</v>
      </c>
    </row>
    <row r="168" spans="1:15" x14ac:dyDescent="0.25">
      <c r="A168" t="s">
        <v>1326</v>
      </c>
      <c r="B168" t="s">
        <v>1387</v>
      </c>
      <c r="C168" t="s">
        <v>10</v>
      </c>
      <c r="D168" t="str">
        <f>VLOOKUP(Pre_Close_AMF_Table[[#This Row],[HFM_Account]],HFM_Acct_OCF_Activity[],3,FALSE)</f>
        <v>Direct</v>
      </c>
      <c r="E168" t="s">
        <v>1210</v>
      </c>
      <c r="F168" t="s">
        <v>1194</v>
      </c>
      <c r="G168" t="s">
        <v>1388</v>
      </c>
      <c r="H168" t="str">
        <f>IF(NOT(ISERROR(FIND("NoICP",Pre_Close_AMF_Table[[#This Row],[GL_ICP]]))),"",Pre_Close_AMF_Table[[#This Row],[GL_ICP]])</f>
        <v/>
      </c>
      <c r="I168" t="s">
        <v>1212</v>
      </c>
      <c r="J168" t="s">
        <v>1446</v>
      </c>
      <c r="K168" t="str">
        <f>IFERROR(VLOOKUP(VALUE(Pre_Close_AMF_Table[[#This Row],[GL_PC]]),BNS_Profit_Centers[],2,FALSE),"TE")</f>
        <v>BNS</v>
      </c>
      <c r="L168" t="s">
        <v>1446</v>
      </c>
      <c r="M168" t="s">
        <v>1389</v>
      </c>
      <c r="N168" t="s">
        <v>1390</v>
      </c>
      <c r="O168" s="33">
        <v>3155.31</v>
      </c>
    </row>
    <row r="169" spans="1:15" x14ac:dyDescent="0.25">
      <c r="A169" t="s">
        <v>1326</v>
      </c>
      <c r="B169" t="s">
        <v>1391</v>
      </c>
      <c r="C169" t="s">
        <v>10</v>
      </c>
      <c r="D169" t="str">
        <f>VLOOKUP(Pre_Close_AMF_Table[[#This Row],[HFM_Account]],HFM_Acct_OCF_Activity[],3,FALSE)</f>
        <v>Direct</v>
      </c>
      <c r="E169" t="s">
        <v>1210</v>
      </c>
      <c r="F169" t="s">
        <v>1194</v>
      </c>
      <c r="G169" t="s">
        <v>1392</v>
      </c>
      <c r="H169" t="str">
        <f>IF(NOT(ISERROR(FIND("NoICP",Pre_Close_AMF_Table[[#This Row],[GL_ICP]]))),"",Pre_Close_AMF_Table[[#This Row],[GL_ICP]])</f>
        <v/>
      </c>
      <c r="I169" t="s">
        <v>1212</v>
      </c>
      <c r="J169" t="s">
        <v>1446</v>
      </c>
      <c r="K169" t="str">
        <f>IFERROR(VLOOKUP(VALUE(Pre_Close_AMF_Table[[#This Row],[GL_PC]]),BNS_Profit_Centers[],2,FALSE),"TE")</f>
        <v>BNS</v>
      </c>
      <c r="L169" t="s">
        <v>1446</v>
      </c>
      <c r="M169" t="s">
        <v>1393</v>
      </c>
      <c r="N169" t="s">
        <v>1390</v>
      </c>
      <c r="O169" s="33">
        <v>2945.08</v>
      </c>
    </row>
    <row r="170" spans="1:15" x14ac:dyDescent="0.25">
      <c r="A170" t="s">
        <v>1326</v>
      </c>
      <c r="B170" t="s">
        <v>1394</v>
      </c>
      <c r="C170" t="s">
        <v>10</v>
      </c>
      <c r="D170" t="str">
        <f>VLOOKUP(Pre_Close_AMF_Table[[#This Row],[HFM_Account]],HFM_Acct_OCF_Activity[],3,FALSE)</f>
        <v>Direct</v>
      </c>
      <c r="E170" t="s">
        <v>1210</v>
      </c>
      <c r="F170" t="s">
        <v>1194</v>
      </c>
      <c r="G170" t="s">
        <v>1395</v>
      </c>
      <c r="H170" t="str">
        <f>IF(NOT(ISERROR(FIND("NoICP",Pre_Close_AMF_Table[[#This Row],[GL_ICP]]))),"",Pre_Close_AMF_Table[[#This Row],[GL_ICP]])</f>
        <v/>
      </c>
      <c r="I170" t="s">
        <v>1212</v>
      </c>
      <c r="J170" t="s">
        <v>1446</v>
      </c>
      <c r="K170" t="str">
        <f>IFERROR(VLOOKUP(VALUE(Pre_Close_AMF_Table[[#This Row],[GL_PC]]),BNS_Profit_Centers[],2,FALSE),"TE")</f>
        <v>BNS</v>
      </c>
      <c r="L170" t="s">
        <v>1446</v>
      </c>
      <c r="M170" t="s">
        <v>1396</v>
      </c>
      <c r="N170" t="s">
        <v>1390</v>
      </c>
      <c r="O170" s="33">
        <v>2598</v>
      </c>
    </row>
    <row r="171" spans="1:15" x14ac:dyDescent="0.25">
      <c r="A171" t="s">
        <v>1326</v>
      </c>
      <c r="B171" t="s">
        <v>1397</v>
      </c>
      <c r="C171" t="s">
        <v>10</v>
      </c>
      <c r="D171" t="str">
        <f>VLOOKUP(Pre_Close_AMF_Table[[#This Row],[HFM_Account]],HFM_Acct_OCF_Activity[],3,FALSE)</f>
        <v>Direct</v>
      </c>
      <c r="E171" t="s">
        <v>1210</v>
      </c>
      <c r="F171" t="s">
        <v>1194</v>
      </c>
      <c r="G171" t="s">
        <v>1398</v>
      </c>
      <c r="H171" t="str">
        <f>IF(NOT(ISERROR(FIND("NoICP",Pre_Close_AMF_Table[[#This Row],[GL_ICP]]))),"",Pre_Close_AMF_Table[[#This Row],[GL_ICP]])</f>
        <v/>
      </c>
      <c r="I171" t="s">
        <v>1212</v>
      </c>
      <c r="J171" t="s">
        <v>1446</v>
      </c>
      <c r="K171" t="str">
        <f>IFERROR(VLOOKUP(VALUE(Pre_Close_AMF_Table[[#This Row],[GL_PC]]),BNS_Profit_Centers[],2,FALSE),"TE")</f>
        <v>BNS</v>
      </c>
      <c r="L171" t="s">
        <v>1446</v>
      </c>
      <c r="M171" t="s">
        <v>1399</v>
      </c>
      <c r="N171" t="s">
        <v>1390</v>
      </c>
      <c r="O171" s="33">
        <v>454.51</v>
      </c>
    </row>
    <row r="172" spans="1:15" x14ac:dyDescent="0.25">
      <c r="A172" t="s">
        <v>1326</v>
      </c>
      <c r="B172" t="s">
        <v>1400</v>
      </c>
      <c r="C172" t="s">
        <v>10</v>
      </c>
      <c r="D172" t="str">
        <f>VLOOKUP(Pre_Close_AMF_Table[[#This Row],[HFM_Account]],HFM_Acct_OCF_Activity[],3,FALSE)</f>
        <v>Direct</v>
      </c>
      <c r="E172" t="s">
        <v>1210</v>
      </c>
      <c r="F172" t="s">
        <v>1194</v>
      </c>
      <c r="G172" t="s">
        <v>1401</v>
      </c>
      <c r="H172" t="str">
        <f>IF(NOT(ISERROR(FIND("NoICP",Pre_Close_AMF_Table[[#This Row],[GL_ICP]]))),"",Pre_Close_AMF_Table[[#This Row],[GL_ICP]])</f>
        <v/>
      </c>
      <c r="I172" t="s">
        <v>1212</v>
      </c>
      <c r="J172" t="s">
        <v>1446</v>
      </c>
      <c r="K172" t="str">
        <f>IFERROR(VLOOKUP(VALUE(Pre_Close_AMF_Table[[#This Row],[GL_PC]]),BNS_Profit_Centers[],2,FALSE),"TE")</f>
        <v>BNS</v>
      </c>
      <c r="L172" t="s">
        <v>1446</v>
      </c>
      <c r="M172" t="s">
        <v>1402</v>
      </c>
      <c r="N172" t="s">
        <v>1390</v>
      </c>
      <c r="O172" s="33">
        <v>1111.26</v>
      </c>
    </row>
    <row r="173" spans="1:15" x14ac:dyDescent="0.25">
      <c r="A173" t="s">
        <v>1326</v>
      </c>
      <c r="B173" t="s">
        <v>1403</v>
      </c>
      <c r="C173" t="s">
        <v>10</v>
      </c>
      <c r="D173" t="str">
        <f>VLOOKUP(Pre_Close_AMF_Table[[#This Row],[HFM_Account]],HFM_Acct_OCF_Activity[],3,FALSE)</f>
        <v>Direct</v>
      </c>
      <c r="E173" t="s">
        <v>1210</v>
      </c>
      <c r="F173" t="s">
        <v>1194</v>
      </c>
      <c r="G173" t="s">
        <v>1404</v>
      </c>
      <c r="H173" t="str">
        <f>IF(NOT(ISERROR(FIND("NoICP",Pre_Close_AMF_Table[[#This Row],[GL_ICP]]))),"",Pre_Close_AMF_Table[[#This Row],[GL_ICP]])</f>
        <v/>
      </c>
      <c r="I173" t="s">
        <v>1212</v>
      </c>
      <c r="J173" t="s">
        <v>1446</v>
      </c>
      <c r="K173" t="str">
        <f>IFERROR(VLOOKUP(VALUE(Pre_Close_AMF_Table[[#This Row],[GL_PC]]),BNS_Profit_Centers[],2,FALSE),"TE")</f>
        <v>BNS</v>
      </c>
      <c r="L173" t="s">
        <v>1446</v>
      </c>
      <c r="M173" t="s">
        <v>1405</v>
      </c>
      <c r="N173" t="s">
        <v>1390</v>
      </c>
      <c r="O173" s="33">
        <v>1415.69</v>
      </c>
    </row>
    <row r="174" spans="1:15" x14ac:dyDescent="0.25">
      <c r="A174" t="s">
        <v>1326</v>
      </c>
      <c r="B174" t="s">
        <v>1406</v>
      </c>
      <c r="C174" t="s">
        <v>10</v>
      </c>
      <c r="D174" t="str">
        <f>VLOOKUP(Pre_Close_AMF_Table[[#This Row],[HFM_Account]],HFM_Acct_OCF_Activity[],3,FALSE)</f>
        <v>Direct</v>
      </c>
      <c r="E174" t="s">
        <v>1210</v>
      </c>
      <c r="F174" t="s">
        <v>1194</v>
      </c>
      <c r="G174" t="s">
        <v>1407</v>
      </c>
      <c r="H174" t="str">
        <f>IF(NOT(ISERROR(FIND("NoICP",Pre_Close_AMF_Table[[#This Row],[GL_ICP]]))),"",Pre_Close_AMF_Table[[#This Row],[GL_ICP]])</f>
        <v/>
      </c>
      <c r="I174" t="s">
        <v>1212</v>
      </c>
      <c r="J174" t="s">
        <v>1446</v>
      </c>
      <c r="K174" t="str">
        <f>IFERROR(VLOOKUP(VALUE(Pre_Close_AMF_Table[[#This Row],[GL_PC]]),BNS_Profit_Centers[],2,FALSE),"TE")</f>
        <v>BNS</v>
      </c>
      <c r="L174" t="s">
        <v>1446</v>
      </c>
      <c r="M174" t="s">
        <v>1408</v>
      </c>
      <c r="N174" t="s">
        <v>1390</v>
      </c>
      <c r="O174" s="33">
        <v>1516.8</v>
      </c>
    </row>
    <row r="175" spans="1:15" x14ac:dyDescent="0.25">
      <c r="A175" t="s">
        <v>1326</v>
      </c>
      <c r="B175" t="s">
        <v>1462</v>
      </c>
      <c r="C175" t="s">
        <v>10</v>
      </c>
      <c r="D175" t="str">
        <f>VLOOKUP(Pre_Close_AMF_Table[[#This Row],[HFM_Account]],HFM_Acct_OCF_Activity[],3,FALSE)</f>
        <v>Direct</v>
      </c>
      <c r="E175" t="s">
        <v>1210</v>
      </c>
      <c r="F175" t="s">
        <v>1194</v>
      </c>
      <c r="G175" t="s">
        <v>1463</v>
      </c>
      <c r="H175" t="str">
        <f>IF(NOT(ISERROR(FIND("NoICP",Pre_Close_AMF_Table[[#This Row],[GL_ICP]]))),"",Pre_Close_AMF_Table[[#This Row],[GL_ICP]])</f>
        <v/>
      </c>
      <c r="I175" t="s">
        <v>1212</v>
      </c>
      <c r="J175" t="s">
        <v>1446</v>
      </c>
      <c r="K175" t="str">
        <f>IFERROR(VLOOKUP(VALUE(Pre_Close_AMF_Table[[#This Row],[GL_PC]]),BNS_Profit_Centers[],2,FALSE),"TE")</f>
        <v>BNS</v>
      </c>
      <c r="L175" t="s">
        <v>1446</v>
      </c>
      <c r="M175" t="s">
        <v>1464</v>
      </c>
      <c r="N175" t="s">
        <v>1390</v>
      </c>
      <c r="O175" s="33">
        <v>24</v>
      </c>
    </row>
    <row r="176" spans="1:15" x14ac:dyDescent="0.25">
      <c r="A176" t="s">
        <v>1326</v>
      </c>
      <c r="B176" t="s">
        <v>1409</v>
      </c>
      <c r="C176" t="s">
        <v>10</v>
      </c>
      <c r="D176" t="str">
        <f>VLOOKUP(Pre_Close_AMF_Table[[#This Row],[HFM_Account]],HFM_Acct_OCF_Activity[],3,FALSE)</f>
        <v>Direct</v>
      </c>
      <c r="E176" t="s">
        <v>1210</v>
      </c>
      <c r="F176" t="s">
        <v>1194</v>
      </c>
      <c r="G176" t="s">
        <v>1410</v>
      </c>
      <c r="H176" t="str">
        <f>IF(NOT(ISERROR(FIND("NoICP",Pre_Close_AMF_Table[[#This Row],[GL_ICP]]))),"",Pre_Close_AMF_Table[[#This Row],[GL_ICP]])</f>
        <v/>
      </c>
      <c r="I176" t="s">
        <v>1212</v>
      </c>
      <c r="J176" t="s">
        <v>1446</v>
      </c>
      <c r="K176" t="str">
        <f>IFERROR(VLOOKUP(VALUE(Pre_Close_AMF_Table[[#This Row],[GL_PC]]),BNS_Profit_Centers[],2,FALSE),"TE")</f>
        <v>BNS</v>
      </c>
      <c r="L176" t="s">
        <v>1446</v>
      </c>
      <c r="M176" t="s">
        <v>1411</v>
      </c>
      <c r="N176" t="s">
        <v>1390</v>
      </c>
      <c r="O176" s="33">
        <v>9</v>
      </c>
    </row>
    <row r="177" spans="1:15" x14ac:dyDescent="0.25">
      <c r="A177" t="s">
        <v>1326</v>
      </c>
      <c r="B177" t="s">
        <v>1426</v>
      </c>
      <c r="C177" t="s">
        <v>10</v>
      </c>
      <c r="D177" t="str">
        <f>VLOOKUP(Pre_Close_AMF_Table[[#This Row],[HFM_Account]],HFM_Acct_OCF_Activity[],3,FALSE)</f>
        <v>Direct</v>
      </c>
      <c r="E177" t="s">
        <v>1210</v>
      </c>
      <c r="F177" t="s">
        <v>1194</v>
      </c>
      <c r="G177" t="s">
        <v>1427</v>
      </c>
      <c r="H177" t="str">
        <f>IF(NOT(ISERROR(FIND("NoICP",Pre_Close_AMF_Table[[#This Row],[GL_ICP]]))),"",Pre_Close_AMF_Table[[#This Row],[GL_ICP]])</f>
        <v/>
      </c>
      <c r="I177" t="s">
        <v>1212</v>
      </c>
      <c r="J177" t="s">
        <v>1446</v>
      </c>
      <c r="K177" t="str">
        <f>IFERROR(VLOOKUP(VALUE(Pre_Close_AMF_Table[[#This Row],[GL_PC]]),BNS_Profit_Centers[],2,FALSE),"TE")</f>
        <v>BNS</v>
      </c>
      <c r="L177" t="s">
        <v>1446</v>
      </c>
      <c r="M177" t="s">
        <v>1428</v>
      </c>
      <c r="N177" t="s">
        <v>1415</v>
      </c>
      <c r="O177" s="33">
        <v>25.01</v>
      </c>
    </row>
    <row r="178" spans="1:15" x14ac:dyDescent="0.25">
      <c r="A178" t="s">
        <v>1326</v>
      </c>
      <c r="B178" t="s">
        <v>1412</v>
      </c>
      <c r="C178" t="s">
        <v>10</v>
      </c>
      <c r="D178" t="str">
        <f>VLOOKUP(Pre_Close_AMF_Table[[#This Row],[HFM_Account]],HFM_Acct_OCF_Activity[],3,FALSE)</f>
        <v>Direct</v>
      </c>
      <c r="E178" t="s">
        <v>1210</v>
      </c>
      <c r="F178" t="s">
        <v>1194</v>
      </c>
      <c r="G178" t="s">
        <v>1413</v>
      </c>
      <c r="H178" t="str">
        <f>IF(NOT(ISERROR(FIND("NoICP",Pre_Close_AMF_Table[[#This Row],[GL_ICP]]))),"",Pre_Close_AMF_Table[[#This Row],[GL_ICP]])</f>
        <v/>
      </c>
      <c r="I178" t="s">
        <v>1212</v>
      </c>
      <c r="J178" t="s">
        <v>1446</v>
      </c>
      <c r="K178" t="str">
        <f>IFERROR(VLOOKUP(VALUE(Pre_Close_AMF_Table[[#This Row],[GL_PC]]),BNS_Profit_Centers[],2,FALSE),"TE")</f>
        <v>BNS</v>
      </c>
      <c r="L178" t="s">
        <v>1446</v>
      </c>
      <c r="M178" t="s">
        <v>1414</v>
      </c>
      <c r="N178" t="s">
        <v>1415</v>
      </c>
      <c r="O178" s="33">
        <v>7898.68</v>
      </c>
    </row>
    <row r="179" spans="1:15" x14ac:dyDescent="0.25">
      <c r="A179" t="s">
        <v>1326</v>
      </c>
      <c r="B179" t="s">
        <v>1416</v>
      </c>
      <c r="C179" t="s">
        <v>10</v>
      </c>
      <c r="D179" t="str">
        <f>VLOOKUP(Pre_Close_AMF_Table[[#This Row],[HFM_Account]],HFM_Acct_OCF_Activity[],3,FALSE)</f>
        <v>Direct</v>
      </c>
      <c r="E179" t="s">
        <v>1210</v>
      </c>
      <c r="F179" t="s">
        <v>1194</v>
      </c>
      <c r="G179" t="s">
        <v>1417</v>
      </c>
      <c r="H179" t="str">
        <f>IF(NOT(ISERROR(FIND("NoICP",Pre_Close_AMF_Table[[#This Row],[GL_ICP]]))),"",Pre_Close_AMF_Table[[#This Row],[GL_ICP]])</f>
        <v/>
      </c>
      <c r="I179" t="s">
        <v>1212</v>
      </c>
      <c r="J179" t="s">
        <v>1446</v>
      </c>
      <c r="K179" t="str">
        <f>IFERROR(VLOOKUP(VALUE(Pre_Close_AMF_Table[[#This Row],[GL_PC]]),BNS_Profit_Centers[],2,FALSE),"TE")</f>
        <v>BNS</v>
      </c>
      <c r="L179" t="s">
        <v>1446</v>
      </c>
      <c r="M179" t="s">
        <v>1418</v>
      </c>
      <c r="N179" t="s">
        <v>1415</v>
      </c>
      <c r="O179" s="33">
        <v>15225.5</v>
      </c>
    </row>
    <row r="180" spans="1:15" x14ac:dyDescent="0.25">
      <c r="A180" t="s">
        <v>1326</v>
      </c>
      <c r="B180" t="s">
        <v>1419</v>
      </c>
      <c r="C180" t="s">
        <v>10</v>
      </c>
      <c r="D180" t="str">
        <f>VLOOKUP(Pre_Close_AMF_Table[[#This Row],[HFM_Account]],HFM_Acct_OCF_Activity[],3,FALSE)</f>
        <v>Direct</v>
      </c>
      <c r="E180" t="s">
        <v>1210</v>
      </c>
      <c r="F180" t="s">
        <v>1194</v>
      </c>
      <c r="G180" t="s">
        <v>1420</v>
      </c>
      <c r="H180" t="str">
        <f>IF(NOT(ISERROR(FIND("NoICP",Pre_Close_AMF_Table[[#This Row],[GL_ICP]]))),"",Pre_Close_AMF_Table[[#This Row],[GL_ICP]])</f>
        <v/>
      </c>
      <c r="I180" t="s">
        <v>1212</v>
      </c>
      <c r="J180" t="s">
        <v>1446</v>
      </c>
      <c r="K180" t="str">
        <f>IFERROR(VLOOKUP(VALUE(Pre_Close_AMF_Table[[#This Row],[GL_PC]]),BNS_Profit_Centers[],2,FALSE),"TE")</f>
        <v>BNS</v>
      </c>
      <c r="L180" t="s">
        <v>1446</v>
      </c>
      <c r="M180" t="s">
        <v>1421</v>
      </c>
      <c r="N180" t="s">
        <v>1421</v>
      </c>
      <c r="O180" s="33">
        <v>120.53</v>
      </c>
    </row>
    <row r="181" spans="1:15" x14ac:dyDescent="0.25">
      <c r="A181" t="s">
        <v>1326</v>
      </c>
      <c r="B181" t="s">
        <v>1429</v>
      </c>
      <c r="C181" t="s">
        <v>10</v>
      </c>
      <c r="D181" t="str">
        <f>VLOOKUP(Pre_Close_AMF_Table[[#This Row],[HFM_Account]],HFM_Acct_OCF_Activity[],3,FALSE)</f>
        <v>Direct</v>
      </c>
      <c r="E181" t="s">
        <v>1210</v>
      </c>
      <c r="F181" t="s">
        <v>1194</v>
      </c>
      <c r="G181" t="s">
        <v>1430</v>
      </c>
      <c r="H181" t="str">
        <f>IF(NOT(ISERROR(FIND("NoICP",Pre_Close_AMF_Table[[#This Row],[GL_ICP]]))),"",Pre_Close_AMF_Table[[#This Row],[GL_ICP]])</f>
        <v/>
      </c>
      <c r="I181" t="s">
        <v>1212</v>
      </c>
      <c r="J181" t="s">
        <v>1446</v>
      </c>
      <c r="K181" t="str">
        <f>IFERROR(VLOOKUP(VALUE(Pre_Close_AMF_Table[[#This Row],[GL_PC]]),BNS_Profit_Centers[],2,FALSE),"TE")</f>
        <v>BNS</v>
      </c>
      <c r="L181" t="s">
        <v>1446</v>
      </c>
      <c r="M181" t="s">
        <v>1431</v>
      </c>
      <c r="N181" t="s">
        <v>1432</v>
      </c>
      <c r="O181" s="33">
        <v>5651.27</v>
      </c>
    </row>
    <row r="182" spans="1:15" x14ac:dyDescent="0.25">
      <c r="A182" t="s">
        <v>1326</v>
      </c>
      <c r="B182" t="s">
        <v>1422</v>
      </c>
      <c r="C182" t="s">
        <v>10</v>
      </c>
      <c r="D182" t="str">
        <f>VLOOKUP(Pre_Close_AMF_Table[[#This Row],[HFM_Account]],HFM_Acct_OCF_Activity[],3,FALSE)</f>
        <v>Direct</v>
      </c>
      <c r="E182" t="s">
        <v>1210</v>
      </c>
      <c r="F182" t="s">
        <v>1194</v>
      </c>
      <c r="G182" t="s">
        <v>1423</v>
      </c>
      <c r="H182" t="str">
        <f>IF(NOT(ISERROR(FIND("NoICP",Pre_Close_AMF_Table[[#This Row],[GL_ICP]]))),"",Pre_Close_AMF_Table[[#This Row],[GL_ICP]])</f>
        <v/>
      </c>
      <c r="I182" t="s">
        <v>1212</v>
      </c>
      <c r="J182" t="s">
        <v>1446</v>
      </c>
      <c r="K182" t="str">
        <f>IFERROR(VLOOKUP(VALUE(Pre_Close_AMF_Table[[#This Row],[GL_PC]]),BNS_Profit_Centers[],2,FALSE),"TE")</f>
        <v>BNS</v>
      </c>
      <c r="L182" t="s">
        <v>1446</v>
      </c>
      <c r="M182" t="s">
        <v>1424</v>
      </c>
      <c r="N182" t="s">
        <v>1424</v>
      </c>
      <c r="O182" s="33">
        <v>1661.31</v>
      </c>
    </row>
    <row r="183" spans="1:15" x14ac:dyDescent="0.25">
      <c r="A183" t="s">
        <v>1326</v>
      </c>
      <c r="B183" t="s">
        <v>1465</v>
      </c>
      <c r="C183" t="s">
        <v>10</v>
      </c>
      <c r="D183" t="str">
        <f>VLOOKUP(Pre_Close_AMF_Table[[#This Row],[HFM_Account]],HFM_Acct_OCF_Activity[],3,FALSE)</f>
        <v>Direct</v>
      </c>
      <c r="E183" t="s">
        <v>1210</v>
      </c>
      <c r="F183" t="s">
        <v>1194</v>
      </c>
      <c r="G183" t="s">
        <v>1466</v>
      </c>
      <c r="H183" t="str">
        <f>IF(NOT(ISERROR(FIND("NoICP",Pre_Close_AMF_Table[[#This Row],[GL_ICP]]))),"",Pre_Close_AMF_Table[[#This Row],[GL_ICP]])</f>
        <v/>
      </c>
      <c r="I183" t="s">
        <v>1212</v>
      </c>
      <c r="J183" t="s">
        <v>1446</v>
      </c>
      <c r="K183" t="str">
        <f>IFERROR(VLOOKUP(VALUE(Pre_Close_AMF_Table[[#This Row],[GL_PC]]),BNS_Profit_Centers[],2,FALSE),"TE")</f>
        <v>BNS</v>
      </c>
      <c r="L183" t="s">
        <v>1446</v>
      </c>
      <c r="M183" t="s">
        <v>1467</v>
      </c>
      <c r="N183" t="s">
        <v>1424</v>
      </c>
      <c r="O183" s="33">
        <v>720.12</v>
      </c>
    </row>
    <row r="184" spans="1:15" x14ac:dyDescent="0.25">
      <c r="A184" t="s">
        <v>1326</v>
      </c>
      <c r="B184" t="s">
        <v>1468</v>
      </c>
      <c r="C184" t="s">
        <v>10</v>
      </c>
      <c r="D184" t="str">
        <f>VLOOKUP(Pre_Close_AMF_Table[[#This Row],[HFM_Account]],HFM_Acct_OCF_Activity[],3,FALSE)</f>
        <v>Direct</v>
      </c>
      <c r="E184" t="s">
        <v>1210</v>
      </c>
      <c r="F184" t="s">
        <v>1194</v>
      </c>
      <c r="G184" t="s">
        <v>1469</v>
      </c>
      <c r="H184" t="str">
        <f>IF(NOT(ISERROR(FIND("NoICP",Pre_Close_AMF_Table[[#This Row],[GL_ICP]]))),"",Pre_Close_AMF_Table[[#This Row],[GL_ICP]])</f>
        <v/>
      </c>
      <c r="I184" t="s">
        <v>1212</v>
      </c>
      <c r="J184" t="s">
        <v>1446</v>
      </c>
      <c r="K184" t="str">
        <f>IFERROR(VLOOKUP(VALUE(Pre_Close_AMF_Table[[#This Row],[GL_PC]]),BNS_Profit_Centers[],2,FALSE),"TE")</f>
        <v>BNS</v>
      </c>
      <c r="L184" t="s">
        <v>1446</v>
      </c>
      <c r="M184" t="s">
        <v>1470</v>
      </c>
      <c r="N184" t="s">
        <v>1432</v>
      </c>
      <c r="O184" s="33">
        <v>300</v>
      </c>
    </row>
    <row r="185" spans="1:15" x14ac:dyDescent="0.25">
      <c r="A185" t="s">
        <v>1326</v>
      </c>
      <c r="B185" t="s">
        <v>1471</v>
      </c>
      <c r="C185" t="s">
        <v>10</v>
      </c>
      <c r="D185" t="str">
        <f>VLOOKUP(Pre_Close_AMF_Table[[#This Row],[HFM_Account]],HFM_Acct_OCF_Activity[],3,FALSE)</f>
        <v>Direct</v>
      </c>
      <c r="E185" t="s">
        <v>1210</v>
      </c>
      <c r="F185" t="s">
        <v>1194</v>
      </c>
      <c r="G185" t="s">
        <v>1472</v>
      </c>
      <c r="H185" t="str">
        <f>IF(NOT(ISERROR(FIND("NoICP",Pre_Close_AMF_Table[[#This Row],[GL_ICP]]))),"",Pre_Close_AMF_Table[[#This Row],[GL_ICP]])</f>
        <v/>
      </c>
      <c r="I185" t="s">
        <v>1212</v>
      </c>
      <c r="J185" t="s">
        <v>1446</v>
      </c>
      <c r="K185" t="str">
        <f>IFERROR(VLOOKUP(VALUE(Pre_Close_AMF_Table[[#This Row],[GL_PC]]),BNS_Profit_Centers[],2,FALSE),"TE")</f>
        <v>BNS</v>
      </c>
      <c r="L185" t="s">
        <v>1446</v>
      </c>
      <c r="M185" t="s">
        <v>1473</v>
      </c>
      <c r="N185" t="s">
        <v>1432</v>
      </c>
      <c r="O185" s="33">
        <v>16385.25</v>
      </c>
    </row>
    <row r="186" spans="1:15" x14ac:dyDescent="0.25">
      <c r="A186" t="s">
        <v>1326</v>
      </c>
      <c r="B186" t="s">
        <v>1439</v>
      </c>
      <c r="C186" t="s">
        <v>10</v>
      </c>
      <c r="D186" t="str">
        <f>VLOOKUP(Pre_Close_AMF_Table[[#This Row],[HFM_Account]],HFM_Acct_OCF_Activity[],3,FALSE)</f>
        <v>Direct</v>
      </c>
      <c r="E186" t="s">
        <v>1210</v>
      </c>
      <c r="F186" t="s">
        <v>1194</v>
      </c>
      <c r="G186" t="s">
        <v>1440</v>
      </c>
      <c r="H186" t="str">
        <f>IF(NOT(ISERROR(FIND("NoICP",Pre_Close_AMF_Table[[#This Row],[GL_ICP]]))),"",Pre_Close_AMF_Table[[#This Row],[GL_ICP]])</f>
        <v/>
      </c>
      <c r="I186" t="s">
        <v>1212</v>
      </c>
      <c r="J186" t="s">
        <v>1446</v>
      </c>
      <c r="K186" t="str">
        <f>IFERROR(VLOOKUP(VALUE(Pre_Close_AMF_Table[[#This Row],[GL_PC]]),BNS_Profit_Centers[],2,FALSE),"TE")</f>
        <v>BNS</v>
      </c>
      <c r="L186" t="s">
        <v>1446</v>
      </c>
      <c r="M186" t="s">
        <v>1441</v>
      </c>
      <c r="N186" t="s">
        <v>1441</v>
      </c>
      <c r="O186" s="33">
        <v>3148</v>
      </c>
    </row>
    <row r="187" spans="1:15" x14ac:dyDescent="0.25">
      <c r="A187" t="s">
        <v>1326</v>
      </c>
      <c r="B187" t="s">
        <v>1442</v>
      </c>
      <c r="C187" t="s">
        <v>10</v>
      </c>
      <c r="D187" t="str">
        <f>VLOOKUP(Pre_Close_AMF_Table[[#This Row],[HFM_Account]],HFM_Acct_OCF_Activity[],3,FALSE)</f>
        <v>Direct</v>
      </c>
      <c r="E187" t="s">
        <v>1210</v>
      </c>
      <c r="F187" t="s">
        <v>1194</v>
      </c>
      <c r="G187" t="s">
        <v>1443</v>
      </c>
      <c r="H187" t="str">
        <f>IF(NOT(ISERROR(FIND("NoICP",Pre_Close_AMF_Table[[#This Row],[GL_ICP]]))),"",Pre_Close_AMF_Table[[#This Row],[GL_ICP]])</f>
        <v/>
      </c>
      <c r="I187" t="s">
        <v>1212</v>
      </c>
      <c r="J187" t="s">
        <v>1446</v>
      </c>
      <c r="K187" t="str">
        <f>IFERROR(VLOOKUP(VALUE(Pre_Close_AMF_Table[[#This Row],[GL_PC]]),BNS_Profit_Centers[],2,FALSE),"TE")</f>
        <v>BNS</v>
      </c>
      <c r="L187" t="s">
        <v>1446</v>
      </c>
      <c r="M187" t="s">
        <v>1444</v>
      </c>
      <c r="N187" t="s">
        <v>1444</v>
      </c>
      <c r="O187" s="33">
        <v>2532</v>
      </c>
    </row>
    <row r="188" spans="1:15" x14ac:dyDescent="0.25">
      <c r="A188" t="s">
        <v>1326</v>
      </c>
      <c r="B188" t="s">
        <v>1327</v>
      </c>
      <c r="C188" t="s">
        <v>10</v>
      </c>
      <c r="D188" t="str">
        <f>VLOOKUP(Pre_Close_AMF_Table[[#This Row],[HFM_Account]],HFM_Acct_OCF_Activity[],3,FALSE)</f>
        <v>Direct</v>
      </c>
      <c r="E188" t="s">
        <v>1210</v>
      </c>
      <c r="F188" t="s">
        <v>1194</v>
      </c>
      <c r="G188" t="s">
        <v>1328</v>
      </c>
      <c r="H188" t="str">
        <f>IF(NOT(ISERROR(FIND("NoICP",Pre_Close_AMF_Table[[#This Row],[GL_ICP]]))),"",Pre_Close_AMF_Table[[#This Row],[GL_ICP]])</f>
        <v/>
      </c>
      <c r="I188" t="s">
        <v>1212</v>
      </c>
      <c r="J188" t="s">
        <v>1474</v>
      </c>
      <c r="K188" t="str">
        <f>IFERROR(VLOOKUP(VALUE(Pre_Close_AMF_Table[[#This Row],[GL_PC]]),BNS_Profit_Centers[],2,FALSE),"TE")</f>
        <v>TE</v>
      </c>
      <c r="L188" t="s">
        <v>1474</v>
      </c>
      <c r="M188" t="s">
        <v>1330</v>
      </c>
      <c r="N188" t="s">
        <v>1330</v>
      </c>
      <c r="O188" s="33">
        <v>61388.7</v>
      </c>
    </row>
    <row r="189" spans="1:15" x14ac:dyDescent="0.25">
      <c r="A189" t="s">
        <v>1326</v>
      </c>
      <c r="B189" t="s">
        <v>1447</v>
      </c>
      <c r="C189" t="s">
        <v>10</v>
      </c>
      <c r="D189" t="str">
        <f>VLOOKUP(Pre_Close_AMF_Table[[#This Row],[HFM_Account]],HFM_Acct_OCF_Activity[],3,FALSE)</f>
        <v>Direct</v>
      </c>
      <c r="E189" t="s">
        <v>1210</v>
      </c>
      <c r="F189" t="s">
        <v>1194</v>
      </c>
      <c r="G189" t="s">
        <v>1448</v>
      </c>
      <c r="H189" t="str">
        <f>IF(NOT(ISERROR(FIND("NoICP",Pre_Close_AMF_Table[[#This Row],[GL_ICP]]))),"",Pre_Close_AMF_Table[[#This Row],[GL_ICP]])</f>
        <v/>
      </c>
      <c r="I189" t="s">
        <v>1212</v>
      </c>
      <c r="J189" t="s">
        <v>1474</v>
      </c>
      <c r="K189" t="str">
        <f>IFERROR(VLOOKUP(VALUE(Pre_Close_AMF_Table[[#This Row],[GL_PC]]),BNS_Profit_Centers[],2,FALSE),"TE")</f>
        <v>TE</v>
      </c>
      <c r="L189" t="s">
        <v>1474</v>
      </c>
      <c r="M189" t="s">
        <v>1449</v>
      </c>
      <c r="N189" t="s">
        <v>1334</v>
      </c>
      <c r="O189" s="33">
        <v>1408.41</v>
      </c>
    </row>
    <row r="190" spans="1:15" x14ac:dyDescent="0.25">
      <c r="A190" t="s">
        <v>1326</v>
      </c>
      <c r="B190" t="s">
        <v>1450</v>
      </c>
      <c r="C190" t="s">
        <v>10</v>
      </c>
      <c r="D190" t="str">
        <f>VLOOKUP(Pre_Close_AMF_Table[[#This Row],[HFM_Account]],HFM_Acct_OCF_Activity[],3,FALSE)</f>
        <v>Direct</v>
      </c>
      <c r="E190" t="s">
        <v>1210</v>
      </c>
      <c r="F190" t="s">
        <v>1194</v>
      </c>
      <c r="G190" t="s">
        <v>1451</v>
      </c>
      <c r="H190" t="str">
        <f>IF(NOT(ISERROR(FIND("NoICP",Pre_Close_AMF_Table[[#This Row],[GL_ICP]]))),"",Pre_Close_AMF_Table[[#This Row],[GL_ICP]])</f>
        <v/>
      </c>
      <c r="I190" t="s">
        <v>1212</v>
      </c>
      <c r="J190" t="s">
        <v>1474</v>
      </c>
      <c r="K190" t="str">
        <f>IFERROR(VLOOKUP(VALUE(Pre_Close_AMF_Table[[#This Row],[GL_PC]]),BNS_Profit_Centers[],2,FALSE),"TE")</f>
        <v>TE</v>
      </c>
      <c r="L190" t="s">
        <v>1474</v>
      </c>
      <c r="M190" t="s">
        <v>1452</v>
      </c>
      <c r="N190" t="s">
        <v>1330</v>
      </c>
      <c r="O190" s="33">
        <v>-1408.41</v>
      </c>
    </row>
    <row r="191" spans="1:15" x14ac:dyDescent="0.25">
      <c r="A191" t="s">
        <v>1326</v>
      </c>
      <c r="B191" t="s">
        <v>1331</v>
      </c>
      <c r="C191" t="s">
        <v>10</v>
      </c>
      <c r="D191" t="str">
        <f>VLOOKUP(Pre_Close_AMF_Table[[#This Row],[HFM_Account]],HFM_Acct_OCF_Activity[],3,FALSE)</f>
        <v>Direct</v>
      </c>
      <c r="E191" t="s">
        <v>1210</v>
      </c>
      <c r="F191" t="s">
        <v>1194</v>
      </c>
      <c r="G191" t="s">
        <v>1332</v>
      </c>
      <c r="H191" t="str">
        <f>IF(NOT(ISERROR(FIND("NoICP",Pre_Close_AMF_Table[[#This Row],[GL_ICP]]))),"",Pre_Close_AMF_Table[[#This Row],[GL_ICP]])</f>
        <v/>
      </c>
      <c r="I191" t="s">
        <v>1212</v>
      </c>
      <c r="J191" t="s">
        <v>1474</v>
      </c>
      <c r="K191" t="str">
        <f>IFERROR(VLOOKUP(VALUE(Pre_Close_AMF_Table[[#This Row],[GL_PC]]),BNS_Profit_Centers[],2,FALSE),"TE")</f>
        <v>TE</v>
      </c>
      <c r="L191" t="s">
        <v>1474</v>
      </c>
      <c r="M191" t="s">
        <v>1333</v>
      </c>
      <c r="N191" t="s">
        <v>1334</v>
      </c>
      <c r="O191" s="33">
        <v>2021.74</v>
      </c>
    </row>
    <row r="192" spans="1:15" x14ac:dyDescent="0.25">
      <c r="A192" t="s">
        <v>1326</v>
      </c>
      <c r="B192" t="s">
        <v>1335</v>
      </c>
      <c r="C192" t="s">
        <v>10</v>
      </c>
      <c r="D192" t="str">
        <f>VLOOKUP(Pre_Close_AMF_Table[[#This Row],[HFM_Account]],HFM_Acct_OCF_Activity[],3,FALSE)</f>
        <v>Direct</v>
      </c>
      <c r="E192" t="s">
        <v>1210</v>
      </c>
      <c r="F192" t="s">
        <v>1194</v>
      </c>
      <c r="G192" t="s">
        <v>1336</v>
      </c>
      <c r="H192" t="str">
        <f>IF(NOT(ISERROR(FIND("NoICP",Pre_Close_AMF_Table[[#This Row],[GL_ICP]]))),"",Pre_Close_AMF_Table[[#This Row],[GL_ICP]])</f>
        <v/>
      </c>
      <c r="I192" t="s">
        <v>1212</v>
      </c>
      <c r="J192" t="s">
        <v>1474</v>
      </c>
      <c r="K192" t="str">
        <f>IFERROR(VLOOKUP(VALUE(Pre_Close_AMF_Table[[#This Row],[GL_PC]]),BNS_Profit_Centers[],2,FALSE),"TE")</f>
        <v>TE</v>
      </c>
      <c r="L192" t="s">
        <v>1474</v>
      </c>
      <c r="M192" t="s">
        <v>1337</v>
      </c>
      <c r="N192" t="s">
        <v>1334</v>
      </c>
      <c r="O192" s="33">
        <v>-1444.1</v>
      </c>
    </row>
    <row r="193" spans="1:15" x14ac:dyDescent="0.25">
      <c r="A193" t="s">
        <v>1326</v>
      </c>
      <c r="B193" t="s">
        <v>1338</v>
      </c>
      <c r="C193" t="s">
        <v>10</v>
      </c>
      <c r="D193" t="str">
        <f>VLOOKUP(Pre_Close_AMF_Table[[#This Row],[HFM_Account]],HFM_Acct_OCF_Activity[],3,FALSE)</f>
        <v>Direct</v>
      </c>
      <c r="E193" t="s">
        <v>1210</v>
      </c>
      <c r="F193" t="s">
        <v>1194</v>
      </c>
      <c r="G193" t="s">
        <v>1339</v>
      </c>
      <c r="H193" t="str">
        <f>IF(NOT(ISERROR(FIND("NoICP",Pre_Close_AMF_Table[[#This Row],[GL_ICP]]))),"",Pre_Close_AMF_Table[[#This Row],[GL_ICP]])</f>
        <v/>
      </c>
      <c r="I193" t="s">
        <v>1212</v>
      </c>
      <c r="J193" t="s">
        <v>1474</v>
      </c>
      <c r="K193" t="str">
        <f>IFERROR(VLOOKUP(VALUE(Pre_Close_AMF_Table[[#This Row],[GL_PC]]),BNS_Profit_Centers[],2,FALSE),"TE")</f>
        <v>TE</v>
      </c>
      <c r="L193" t="s">
        <v>1474</v>
      </c>
      <c r="M193" t="s">
        <v>1340</v>
      </c>
      <c r="N193" t="s">
        <v>1334</v>
      </c>
      <c r="O193" s="33">
        <v>221</v>
      </c>
    </row>
    <row r="194" spans="1:15" x14ac:dyDescent="0.25">
      <c r="A194" t="s">
        <v>1326</v>
      </c>
      <c r="B194" t="s">
        <v>1475</v>
      </c>
      <c r="C194" t="s">
        <v>10</v>
      </c>
      <c r="D194" t="str">
        <f>VLOOKUP(Pre_Close_AMF_Table[[#This Row],[HFM_Account]],HFM_Acct_OCF_Activity[],3,FALSE)</f>
        <v>Direct</v>
      </c>
      <c r="E194" t="s">
        <v>1210</v>
      </c>
      <c r="F194" t="s">
        <v>1194</v>
      </c>
      <c r="G194" t="s">
        <v>1476</v>
      </c>
      <c r="H194" t="str">
        <f>IF(NOT(ISERROR(FIND("NoICP",Pre_Close_AMF_Table[[#This Row],[GL_ICP]]))),"",Pre_Close_AMF_Table[[#This Row],[GL_ICP]])</f>
        <v/>
      </c>
      <c r="I194" t="s">
        <v>1212</v>
      </c>
      <c r="J194" t="s">
        <v>1474</v>
      </c>
      <c r="K194" t="str">
        <f>IFERROR(VLOOKUP(VALUE(Pre_Close_AMF_Table[[#This Row],[GL_PC]]),BNS_Profit_Centers[],2,FALSE),"TE")</f>
        <v>TE</v>
      </c>
      <c r="L194" t="s">
        <v>1474</v>
      </c>
      <c r="M194" t="s">
        <v>1477</v>
      </c>
      <c r="N194" t="s">
        <v>1334</v>
      </c>
      <c r="O194" s="33">
        <v>1250</v>
      </c>
    </row>
    <row r="195" spans="1:15" x14ac:dyDescent="0.25">
      <c r="A195" t="s">
        <v>1326</v>
      </c>
      <c r="B195" t="s">
        <v>1341</v>
      </c>
      <c r="C195" t="s">
        <v>10</v>
      </c>
      <c r="D195" t="str">
        <f>VLOOKUP(Pre_Close_AMF_Table[[#This Row],[HFM_Account]],HFM_Acct_OCF_Activity[],3,FALSE)</f>
        <v>Direct</v>
      </c>
      <c r="E195" t="s">
        <v>1210</v>
      </c>
      <c r="F195" t="s">
        <v>1194</v>
      </c>
      <c r="G195" t="s">
        <v>1342</v>
      </c>
      <c r="H195" t="str">
        <f>IF(NOT(ISERROR(FIND("NoICP",Pre_Close_AMF_Table[[#This Row],[GL_ICP]]))),"",Pre_Close_AMF_Table[[#This Row],[GL_ICP]])</f>
        <v/>
      </c>
      <c r="I195" t="s">
        <v>1212</v>
      </c>
      <c r="J195" t="s">
        <v>1474</v>
      </c>
      <c r="K195" t="str">
        <f>IFERROR(VLOOKUP(VALUE(Pre_Close_AMF_Table[[#This Row],[GL_PC]]),BNS_Profit_Centers[],2,FALSE),"TE")</f>
        <v>TE</v>
      </c>
      <c r="L195" t="s">
        <v>1474</v>
      </c>
      <c r="M195" t="s">
        <v>1343</v>
      </c>
      <c r="N195" t="s">
        <v>1334</v>
      </c>
      <c r="O195" s="33">
        <v>300</v>
      </c>
    </row>
    <row r="196" spans="1:15" x14ac:dyDescent="0.25">
      <c r="A196" t="s">
        <v>1326</v>
      </c>
      <c r="B196" t="s">
        <v>1344</v>
      </c>
      <c r="C196" t="s">
        <v>10</v>
      </c>
      <c r="D196" t="str">
        <f>VLOOKUP(Pre_Close_AMF_Table[[#This Row],[HFM_Account]],HFM_Acct_OCF_Activity[],3,FALSE)</f>
        <v>Direct</v>
      </c>
      <c r="E196" t="s">
        <v>1210</v>
      </c>
      <c r="F196" t="s">
        <v>1194</v>
      </c>
      <c r="G196" t="s">
        <v>1345</v>
      </c>
      <c r="H196" t="str">
        <f>IF(NOT(ISERROR(FIND("NoICP",Pre_Close_AMF_Table[[#This Row],[GL_ICP]]))),"",Pre_Close_AMF_Table[[#This Row],[GL_ICP]])</f>
        <v/>
      </c>
      <c r="I196" t="s">
        <v>1212</v>
      </c>
      <c r="J196" t="s">
        <v>1474</v>
      </c>
      <c r="K196" t="str">
        <f>IFERROR(VLOOKUP(VALUE(Pre_Close_AMF_Table[[#This Row],[GL_PC]]),BNS_Profit_Centers[],2,FALSE),"TE")</f>
        <v>TE</v>
      </c>
      <c r="L196" t="s">
        <v>1474</v>
      </c>
      <c r="M196" t="s">
        <v>1346</v>
      </c>
      <c r="N196" t="s">
        <v>1347</v>
      </c>
      <c r="O196" s="33">
        <v>400</v>
      </c>
    </row>
    <row r="197" spans="1:15" x14ac:dyDescent="0.25">
      <c r="A197" t="s">
        <v>1326</v>
      </c>
      <c r="B197" t="s">
        <v>1348</v>
      </c>
      <c r="C197" t="s">
        <v>10</v>
      </c>
      <c r="D197" t="str">
        <f>VLOOKUP(Pre_Close_AMF_Table[[#This Row],[HFM_Account]],HFM_Acct_OCF_Activity[],3,FALSE)</f>
        <v>Direct</v>
      </c>
      <c r="E197" t="s">
        <v>1210</v>
      </c>
      <c r="F197" t="s">
        <v>1194</v>
      </c>
      <c r="G197" t="s">
        <v>1349</v>
      </c>
      <c r="H197" t="str">
        <f>IF(NOT(ISERROR(FIND("NoICP",Pre_Close_AMF_Table[[#This Row],[GL_ICP]]))),"",Pre_Close_AMF_Table[[#This Row],[GL_ICP]])</f>
        <v/>
      </c>
      <c r="I197" t="s">
        <v>1212</v>
      </c>
      <c r="J197" t="s">
        <v>1474</v>
      </c>
      <c r="K197" t="str">
        <f>IFERROR(VLOOKUP(VALUE(Pre_Close_AMF_Table[[#This Row],[GL_PC]]),BNS_Profit_Centers[],2,FALSE),"TE")</f>
        <v>TE</v>
      </c>
      <c r="L197" t="s">
        <v>1474</v>
      </c>
      <c r="M197" t="s">
        <v>1350</v>
      </c>
      <c r="N197" t="s">
        <v>1351</v>
      </c>
      <c r="O197" s="33">
        <v>98.56</v>
      </c>
    </row>
    <row r="198" spans="1:15" x14ac:dyDescent="0.25">
      <c r="A198" t="s">
        <v>1326</v>
      </c>
      <c r="B198" t="s">
        <v>1352</v>
      </c>
      <c r="C198" t="s">
        <v>10</v>
      </c>
      <c r="D198" t="str">
        <f>VLOOKUP(Pre_Close_AMF_Table[[#This Row],[HFM_Account]],HFM_Acct_OCF_Activity[],3,FALSE)</f>
        <v>Direct</v>
      </c>
      <c r="E198" t="s">
        <v>1210</v>
      </c>
      <c r="F198" t="s">
        <v>1194</v>
      </c>
      <c r="G198" t="s">
        <v>1353</v>
      </c>
      <c r="H198" t="str">
        <f>IF(NOT(ISERROR(FIND("NoICP",Pre_Close_AMF_Table[[#This Row],[GL_ICP]]))),"",Pre_Close_AMF_Table[[#This Row],[GL_ICP]])</f>
        <v/>
      </c>
      <c r="I198" t="s">
        <v>1212</v>
      </c>
      <c r="J198" t="s">
        <v>1474</v>
      </c>
      <c r="K198" t="str">
        <f>IFERROR(VLOOKUP(VALUE(Pre_Close_AMF_Table[[#This Row],[GL_PC]]),BNS_Profit_Centers[],2,FALSE),"TE")</f>
        <v>TE</v>
      </c>
      <c r="L198" t="s">
        <v>1474</v>
      </c>
      <c r="M198" t="s">
        <v>1354</v>
      </c>
      <c r="N198" t="s">
        <v>1351</v>
      </c>
      <c r="O198" s="33">
        <v>228.42</v>
      </c>
    </row>
    <row r="199" spans="1:15" x14ac:dyDescent="0.25">
      <c r="A199" t="s">
        <v>1326</v>
      </c>
      <c r="B199" t="s">
        <v>1355</v>
      </c>
      <c r="C199" t="s">
        <v>10</v>
      </c>
      <c r="D199" t="str">
        <f>VLOOKUP(Pre_Close_AMF_Table[[#This Row],[HFM_Account]],HFM_Acct_OCF_Activity[],3,FALSE)</f>
        <v>Direct</v>
      </c>
      <c r="E199" t="s">
        <v>1210</v>
      </c>
      <c r="F199" t="s">
        <v>1194</v>
      </c>
      <c r="G199" t="s">
        <v>1356</v>
      </c>
      <c r="H199" t="str">
        <f>IF(NOT(ISERROR(FIND("NoICP",Pre_Close_AMF_Table[[#This Row],[GL_ICP]]))),"",Pre_Close_AMF_Table[[#This Row],[GL_ICP]])</f>
        <v/>
      </c>
      <c r="I199" t="s">
        <v>1212</v>
      </c>
      <c r="J199" t="s">
        <v>1474</v>
      </c>
      <c r="K199" t="str">
        <f>IFERROR(VLOOKUP(VALUE(Pre_Close_AMF_Table[[#This Row],[GL_PC]]),BNS_Profit_Centers[],2,FALSE),"TE")</f>
        <v>TE</v>
      </c>
      <c r="L199" t="s">
        <v>1474</v>
      </c>
      <c r="M199" t="s">
        <v>1357</v>
      </c>
      <c r="N199" t="s">
        <v>1351</v>
      </c>
      <c r="O199" s="33">
        <v>248</v>
      </c>
    </row>
    <row r="200" spans="1:15" x14ac:dyDescent="0.25">
      <c r="A200" t="s">
        <v>1326</v>
      </c>
      <c r="B200" t="s">
        <v>1358</v>
      </c>
      <c r="C200" t="s">
        <v>10</v>
      </c>
      <c r="D200" t="str">
        <f>VLOOKUP(Pre_Close_AMF_Table[[#This Row],[HFM_Account]],HFM_Acct_OCF_Activity[],3,FALSE)</f>
        <v>Direct</v>
      </c>
      <c r="E200" t="s">
        <v>1210</v>
      </c>
      <c r="F200" t="s">
        <v>1194</v>
      </c>
      <c r="G200" t="s">
        <v>1359</v>
      </c>
      <c r="H200" t="str">
        <f>IF(NOT(ISERROR(FIND("NoICP",Pre_Close_AMF_Table[[#This Row],[GL_ICP]]))),"",Pre_Close_AMF_Table[[#This Row],[GL_ICP]])</f>
        <v/>
      </c>
      <c r="I200" t="s">
        <v>1212</v>
      </c>
      <c r="J200" t="s">
        <v>1474</v>
      </c>
      <c r="K200" t="str">
        <f>IFERROR(VLOOKUP(VALUE(Pre_Close_AMF_Table[[#This Row],[GL_PC]]),BNS_Profit_Centers[],2,FALSE),"TE")</f>
        <v>TE</v>
      </c>
      <c r="L200" t="s">
        <v>1474</v>
      </c>
      <c r="M200" t="s">
        <v>1360</v>
      </c>
      <c r="N200" t="s">
        <v>1361</v>
      </c>
      <c r="O200" s="33">
        <v>1610.33</v>
      </c>
    </row>
    <row r="201" spans="1:15" x14ac:dyDescent="0.25">
      <c r="A201" t="s">
        <v>1326</v>
      </c>
      <c r="B201" t="s">
        <v>1362</v>
      </c>
      <c r="C201" t="s">
        <v>10</v>
      </c>
      <c r="D201" t="str">
        <f>VLOOKUP(Pre_Close_AMF_Table[[#This Row],[HFM_Account]],HFM_Acct_OCF_Activity[],3,FALSE)</f>
        <v>Direct</v>
      </c>
      <c r="E201" t="s">
        <v>1210</v>
      </c>
      <c r="F201" t="s">
        <v>1194</v>
      </c>
      <c r="G201" t="s">
        <v>1363</v>
      </c>
      <c r="H201" t="str">
        <f>IF(NOT(ISERROR(FIND("NoICP",Pre_Close_AMF_Table[[#This Row],[GL_ICP]]))),"",Pre_Close_AMF_Table[[#This Row],[GL_ICP]])</f>
        <v/>
      </c>
      <c r="I201" t="s">
        <v>1212</v>
      </c>
      <c r="J201" t="s">
        <v>1474</v>
      </c>
      <c r="K201" t="str">
        <f>IFERROR(VLOOKUP(VALUE(Pre_Close_AMF_Table[[#This Row],[GL_PC]]),BNS_Profit_Centers[],2,FALSE),"TE")</f>
        <v>TE</v>
      </c>
      <c r="L201" t="s">
        <v>1474</v>
      </c>
      <c r="M201" t="s">
        <v>1364</v>
      </c>
      <c r="N201" t="s">
        <v>1364</v>
      </c>
      <c r="O201" s="33">
        <v>-2407.5</v>
      </c>
    </row>
    <row r="202" spans="1:15" x14ac:dyDescent="0.25">
      <c r="A202" t="s">
        <v>1326</v>
      </c>
      <c r="B202" t="s">
        <v>1365</v>
      </c>
      <c r="C202" t="s">
        <v>10</v>
      </c>
      <c r="D202" t="str">
        <f>VLOOKUP(Pre_Close_AMF_Table[[#This Row],[HFM_Account]],HFM_Acct_OCF_Activity[],3,FALSE)</f>
        <v>Direct</v>
      </c>
      <c r="E202" t="s">
        <v>1210</v>
      </c>
      <c r="F202" t="s">
        <v>1194</v>
      </c>
      <c r="G202" t="s">
        <v>1366</v>
      </c>
      <c r="H202" t="str">
        <f>IF(NOT(ISERROR(FIND("NoICP",Pre_Close_AMF_Table[[#This Row],[GL_ICP]]))),"",Pre_Close_AMF_Table[[#This Row],[GL_ICP]])</f>
        <v/>
      </c>
      <c r="I202" t="s">
        <v>1212</v>
      </c>
      <c r="J202" t="s">
        <v>1474</v>
      </c>
      <c r="K202" t="str">
        <f>IFERROR(VLOOKUP(VALUE(Pre_Close_AMF_Table[[#This Row],[GL_PC]]),BNS_Profit_Centers[],2,FALSE),"TE")</f>
        <v>TE</v>
      </c>
      <c r="L202" t="s">
        <v>1474</v>
      </c>
      <c r="M202" t="s">
        <v>1367</v>
      </c>
      <c r="N202" t="s">
        <v>1368</v>
      </c>
      <c r="O202" s="33">
        <v>13700</v>
      </c>
    </row>
    <row r="203" spans="1:15" x14ac:dyDescent="0.25">
      <c r="A203" t="s">
        <v>1326</v>
      </c>
      <c r="B203" t="s">
        <v>1369</v>
      </c>
      <c r="C203" t="s">
        <v>10</v>
      </c>
      <c r="D203" t="str">
        <f>VLOOKUP(Pre_Close_AMF_Table[[#This Row],[HFM_Account]],HFM_Acct_OCF_Activity[],3,FALSE)</f>
        <v>Direct</v>
      </c>
      <c r="E203" t="s">
        <v>1210</v>
      </c>
      <c r="F203" t="s">
        <v>1194</v>
      </c>
      <c r="G203" t="s">
        <v>1370</v>
      </c>
      <c r="H203" t="str">
        <f>IF(NOT(ISERROR(FIND("NoICP",Pre_Close_AMF_Table[[#This Row],[GL_ICP]]))),"",Pre_Close_AMF_Table[[#This Row],[GL_ICP]])</f>
        <v/>
      </c>
      <c r="I203" t="s">
        <v>1212</v>
      </c>
      <c r="J203" t="s">
        <v>1474</v>
      </c>
      <c r="K203" t="str">
        <f>IFERROR(VLOOKUP(VALUE(Pre_Close_AMF_Table[[#This Row],[GL_PC]]),BNS_Profit_Centers[],2,FALSE),"TE")</f>
        <v>TE</v>
      </c>
      <c r="L203" t="s">
        <v>1474</v>
      </c>
      <c r="M203" t="s">
        <v>1371</v>
      </c>
      <c r="N203" t="s">
        <v>1368</v>
      </c>
      <c r="O203" s="33">
        <v>-1867.5</v>
      </c>
    </row>
    <row r="204" spans="1:15" x14ac:dyDescent="0.25">
      <c r="A204" t="s">
        <v>1326</v>
      </c>
      <c r="B204" t="s">
        <v>1372</v>
      </c>
      <c r="C204" t="s">
        <v>10</v>
      </c>
      <c r="D204" t="str">
        <f>VLOOKUP(Pre_Close_AMF_Table[[#This Row],[HFM_Account]],HFM_Acct_OCF_Activity[],3,FALSE)</f>
        <v>Direct</v>
      </c>
      <c r="E204" t="s">
        <v>1210</v>
      </c>
      <c r="F204" t="s">
        <v>1194</v>
      </c>
      <c r="G204" t="s">
        <v>1373</v>
      </c>
      <c r="H204" t="str">
        <f>IF(NOT(ISERROR(FIND("NoICP",Pre_Close_AMF_Table[[#This Row],[GL_ICP]]))),"",Pre_Close_AMF_Table[[#This Row],[GL_ICP]])</f>
        <v/>
      </c>
      <c r="I204" t="s">
        <v>1212</v>
      </c>
      <c r="J204" t="s">
        <v>1474</v>
      </c>
      <c r="K204" t="str">
        <f>IFERROR(VLOOKUP(VALUE(Pre_Close_AMF_Table[[#This Row],[GL_PC]]),BNS_Profit_Centers[],2,FALSE),"TE")</f>
        <v>TE</v>
      </c>
      <c r="L204" t="s">
        <v>1474</v>
      </c>
      <c r="M204" t="s">
        <v>1374</v>
      </c>
      <c r="N204" t="s">
        <v>1374</v>
      </c>
      <c r="O204" s="33">
        <v>13062.65</v>
      </c>
    </row>
    <row r="205" spans="1:15" x14ac:dyDescent="0.25">
      <c r="A205" t="s">
        <v>1326</v>
      </c>
      <c r="B205" t="s">
        <v>1375</v>
      </c>
      <c r="C205" t="s">
        <v>10</v>
      </c>
      <c r="D205" t="str">
        <f>VLOOKUP(Pre_Close_AMF_Table[[#This Row],[HFM_Account]],HFM_Acct_OCF_Activity[],3,FALSE)</f>
        <v>Direct</v>
      </c>
      <c r="E205" t="s">
        <v>1210</v>
      </c>
      <c r="F205" t="s">
        <v>1194</v>
      </c>
      <c r="G205" t="s">
        <v>1376</v>
      </c>
      <c r="H205" t="str">
        <f>IF(NOT(ISERROR(FIND("NoICP",Pre_Close_AMF_Table[[#This Row],[GL_ICP]]))),"",Pre_Close_AMF_Table[[#This Row],[GL_ICP]])</f>
        <v/>
      </c>
      <c r="I205" t="s">
        <v>1212</v>
      </c>
      <c r="J205" t="s">
        <v>1474</v>
      </c>
      <c r="K205" t="str">
        <f>IFERROR(VLOOKUP(VALUE(Pre_Close_AMF_Table[[#This Row],[GL_PC]]),BNS_Profit_Centers[],2,FALSE),"TE")</f>
        <v>TE</v>
      </c>
      <c r="L205" t="s">
        <v>1474</v>
      </c>
      <c r="M205" t="s">
        <v>1377</v>
      </c>
      <c r="N205" t="s">
        <v>1374</v>
      </c>
      <c r="O205" s="33">
        <v>13061.03</v>
      </c>
    </row>
    <row r="206" spans="1:15" x14ac:dyDescent="0.25">
      <c r="A206" t="s">
        <v>1326</v>
      </c>
      <c r="B206" t="s">
        <v>1378</v>
      </c>
      <c r="C206" t="s">
        <v>10</v>
      </c>
      <c r="D206" t="str">
        <f>VLOOKUP(Pre_Close_AMF_Table[[#This Row],[HFM_Account]],HFM_Acct_OCF_Activity[],3,FALSE)</f>
        <v>Direct</v>
      </c>
      <c r="E206" t="s">
        <v>1210</v>
      </c>
      <c r="F206" t="s">
        <v>1194</v>
      </c>
      <c r="G206" t="s">
        <v>1379</v>
      </c>
      <c r="H206" t="str">
        <f>IF(NOT(ISERROR(FIND("NoICP",Pre_Close_AMF_Table[[#This Row],[GL_ICP]]))),"",Pre_Close_AMF_Table[[#This Row],[GL_ICP]])</f>
        <v/>
      </c>
      <c r="I206" t="s">
        <v>1212</v>
      </c>
      <c r="J206" t="s">
        <v>1474</v>
      </c>
      <c r="K206" t="str">
        <f>IFERROR(VLOOKUP(VALUE(Pre_Close_AMF_Table[[#This Row],[GL_PC]]),BNS_Profit_Centers[],2,FALSE),"TE")</f>
        <v>TE</v>
      </c>
      <c r="L206" t="s">
        <v>1474</v>
      </c>
      <c r="M206" t="s">
        <v>1380</v>
      </c>
      <c r="N206" t="s">
        <v>1380</v>
      </c>
      <c r="O206" s="33">
        <v>-69.819999999999993</v>
      </c>
    </row>
    <row r="207" spans="1:15" x14ac:dyDescent="0.25">
      <c r="A207" t="s">
        <v>1326</v>
      </c>
      <c r="B207" t="s">
        <v>1381</v>
      </c>
      <c r="C207" t="s">
        <v>10</v>
      </c>
      <c r="D207" t="str">
        <f>VLOOKUP(Pre_Close_AMF_Table[[#This Row],[HFM_Account]],HFM_Acct_OCF_Activity[],3,FALSE)</f>
        <v>Direct</v>
      </c>
      <c r="E207" t="s">
        <v>1210</v>
      </c>
      <c r="F207" t="s">
        <v>1194</v>
      </c>
      <c r="G207" t="s">
        <v>1382</v>
      </c>
      <c r="H207" t="str">
        <f>IF(NOT(ISERROR(FIND("NoICP",Pre_Close_AMF_Table[[#This Row],[GL_ICP]]))),"",Pre_Close_AMF_Table[[#This Row],[GL_ICP]])</f>
        <v/>
      </c>
      <c r="I207" t="s">
        <v>1212</v>
      </c>
      <c r="J207" t="s">
        <v>1474</v>
      </c>
      <c r="K207" t="str">
        <f>IFERROR(VLOOKUP(VALUE(Pre_Close_AMF_Table[[#This Row],[GL_PC]]),BNS_Profit_Centers[],2,FALSE),"TE")</f>
        <v>TE</v>
      </c>
      <c r="L207" t="s">
        <v>1474</v>
      </c>
      <c r="M207" t="s">
        <v>1383</v>
      </c>
      <c r="N207" t="s">
        <v>1334</v>
      </c>
      <c r="O207" s="33">
        <v>9968.76</v>
      </c>
    </row>
    <row r="208" spans="1:15" x14ac:dyDescent="0.25">
      <c r="A208" t="s">
        <v>1326</v>
      </c>
      <c r="B208" t="s">
        <v>1384</v>
      </c>
      <c r="C208" t="s">
        <v>10</v>
      </c>
      <c r="D208" t="str">
        <f>VLOOKUP(Pre_Close_AMF_Table[[#This Row],[HFM_Account]],HFM_Acct_OCF_Activity[],3,FALSE)</f>
        <v>Direct</v>
      </c>
      <c r="E208" t="s">
        <v>1210</v>
      </c>
      <c r="F208" t="s">
        <v>1194</v>
      </c>
      <c r="G208" t="s">
        <v>1385</v>
      </c>
      <c r="H208" t="str">
        <f>IF(NOT(ISERROR(FIND("NoICP",Pre_Close_AMF_Table[[#This Row],[GL_ICP]]))),"",Pre_Close_AMF_Table[[#This Row],[GL_ICP]])</f>
        <v/>
      </c>
      <c r="I208" t="s">
        <v>1212</v>
      </c>
      <c r="J208" t="s">
        <v>1474</v>
      </c>
      <c r="K208" t="str">
        <f>IFERROR(VLOOKUP(VALUE(Pre_Close_AMF_Table[[#This Row],[GL_PC]]),BNS_Profit_Centers[],2,FALSE),"TE")</f>
        <v>TE</v>
      </c>
      <c r="L208" t="s">
        <v>1474</v>
      </c>
      <c r="M208" t="s">
        <v>1386</v>
      </c>
      <c r="N208" t="s">
        <v>1386</v>
      </c>
      <c r="O208" s="33">
        <v>202.85</v>
      </c>
    </row>
    <row r="209" spans="1:15" x14ac:dyDescent="0.25">
      <c r="A209" t="s">
        <v>1326</v>
      </c>
      <c r="B209" t="s">
        <v>1387</v>
      </c>
      <c r="C209" t="s">
        <v>10</v>
      </c>
      <c r="D209" t="str">
        <f>VLOOKUP(Pre_Close_AMF_Table[[#This Row],[HFM_Account]],HFM_Acct_OCF_Activity[],3,FALSE)</f>
        <v>Direct</v>
      </c>
      <c r="E209" t="s">
        <v>1210</v>
      </c>
      <c r="F209" t="s">
        <v>1194</v>
      </c>
      <c r="G209" t="s">
        <v>1388</v>
      </c>
      <c r="H209" t="str">
        <f>IF(NOT(ISERROR(FIND("NoICP",Pre_Close_AMF_Table[[#This Row],[GL_ICP]]))),"",Pre_Close_AMF_Table[[#This Row],[GL_ICP]])</f>
        <v/>
      </c>
      <c r="I209" t="s">
        <v>1212</v>
      </c>
      <c r="J209" t="s">
        <v>1474</v>
      </c>
      <c r="K209" t="str">
        <f>IFERROR(VLOOKUP(VALUE(Pre_Close_AMF_Table[[#This Row],[GL_PC]]),BNS_Profit_Centers[],2,FALSE),"TE")</f>
        <v>TE</v>
      </c>
      <c r="L209" t="s">
        <v>1474</v>
      </c>
      <c r="M209" t="s">
        <v>1389</v>
      </c>
      <c r="N209" t="s">
        <v>1390</v>
      </c>
      <c r="O209" s="33">
        <v>422.49</v>
      </c>
    </row>
    <row r="210" spans="1:15" x14ac:dyDescent="0.25">
      <c r="A210" t="s">
        <v>1326</v>
      </c>
      <c r="B210" t="s">
        <v>1391</v>
      </c>
      <c r="C210" t="s">
        <v>10</v>
      </c>
      <c r="D210" t="str">
        <f>VLOOKUP(Pre_Close_AMF_Table[[#This Row],[HFM_Account]],HFM_Acct_OCF_Activity[],3,FALSE)</f>
        <v>Direct</v>
      </c>
      <c r="E210" t="s">
        <v>1210</v>
      </c>
      <c r="F210" t="s">
        <v>1194</v>
      </c>
      <c r="G210" t="s">
        <v>1392</v>
      </c>
      <c r="H210" t="str">
        <f>IF(NOT(ISERROR(FIND("NoICP",Pre_Close_AMF_Table[[#This Row],[GL_ICP]]))),"",Pre_Close_AMF_Table[[#This Row],[GL_ICP]])</f>
        <v/>
      </c>
      <c r="I210" t="s">
        <v>1212</v>
      </c>
      <c r="J210" t="s">
        <v>1474</v>
      </c>
      <c r="K210" t="str">
        <f>IFERROR(VLOOKUP(VALUE(Pre_Close_AMF_Table[[#This Row],[GL_PC]]),BNS_Profit_Centers[],2,FALSE),"TE")</f>
        <v>TE</v>
      </c>
      <c r="L210" t="s">
        <v>1474</v>
      </c>
      <c r="M210" t="s">
        <v>1393</v>
      </c>
      <c r="N210" t="s">
        <v>1390</v>
      </c>
      <c r="O210" s="33">
        <v>1813.47</v>
      </c>
    </row>
    <row r="211" spans="1:15" x14ac:dyDescent="0.25">
      <c r="A211" t="s">
        <v>1326</v>
      </c>
      <c r="B211" t="s">
        <v>1394</v>
      </c>
      <c r="C211" t="s">
        <v>10</v>
      </c>
      <c r="D211" t="str">
        <f>VLOOKUP(Pre_Close_AMF_Table[[#This Row],[HFM_Account]],HFM_Acct_OCF_Activity[],3,FALSE)</f>
        <v>Direct</v>
      </c>
      <c r="E211" t="s">
        <v>1210</v>
      </c>
      <c r="F211" t="s">
        <v>1194</v>
      </c>
      <c r="G211" t="s">
        <v>1395</v>
      </c>
      <c r="H211" t="str">
        <f>IF(NOT(ISERROR(FIND("NoICP",Pre_Close_AMF_Table[[#This Row],[GL_ICP]]))),"",Pre_Close_AMF_Table[[#This Row],[GL_ICP]])</f>
        <v/>
      </c>
      <c r="I211" t="s">
        <v>1212</v>
      </c>
      <c r="J211" t="s">
        <v>1474</v>
      </c>
      <c r="K211" t="str">
        <f>IFERROR(VLOOKUP(VALUE(Pre_Close_AMF_Table[[#This Row],[GL_PC]]),BNS_Profit_Centers[],2,FALSE),"TE")</f>
        <v>TE</v>
      </c>
      <c r="L211" t="s">
        <v>1474</v>
      </c>
      <c r="M211" t="s">
        <v>1396</v>
      </c>
      <c r="N211" t="s">
        <v>1390</v>
      </c>
      <c r="O211" s="33">
        <v>973</v>
      </c>
    </row>
    <row r="212" spans="1:15" x14ac:dyDescent="0.25">
      <c r="A212" t="s">
        <v>1326</v>
      </c>
      <c r="B212" t="s">
        <v>1397</v>
      </c>
      <c r="C212" t="s">
        <v>10</v>
      </c>
      <c r="D212" t="str">
        <f>VLOOKUP(Pre_Close_AMF_Table[[#This Row],[HFM_Account]],HFM_Acct_OCF_Activity[],3,FALSE)</f>
        <v>Direct</v>
      </c>
      <c r="E212" t="s">
        <v>1210</v>
      </c>
      <c r="F212" t="s">
        <v>1194</v>
      </c>
      <c r="G212" t="s">
        <v>1398</v>
      </c>
      <c r="H212" t="str">
        <f>IF(NOT(ISERROR(FIND("NoICP",Pre_Close_AMF_Table[[#This Row],[GL_ICP]]))),"",Pre_Close_AMF_Table[[#This Row],[GL_ICP]])</f>
        <v/>
      </c>
      <c r="I212" t="s">
        <v>1212</v>
      </c>
      <c r="J212" t="s">
        <v>1474</v>
      </c>
      <c r="K212" t="str">
        <f>IFERROR(VLOOKUP(VALUE(Pre_Close_AMF_Table[[#This Row],[GL_PC]]),BNS_Profit_Centers[],2,FALSE),"TE")</f>
        <v>TE</v>
      </c>
      <c r="L212" t="s">
        <v>1474</v>
      </c>
      <c r="M212" t="s">
        <v>1399</v>
      </c>
      <c r="N212" t="s">
        <v>1390</v>
      </c>
      <c r="O212" s="33">
        <v>504.3</v>
      </c>
    </row>
    <row r="213" spans="1:15" x14ac:dyDescent="0.25">
      <c r="A213" t="s">
        <v>1326</v>
      </c>
      <c r="B213" t="s">
        <v>1400</v>
      </c>
      <c r="C213" t="s">
        <v>10</v>
      </c>
      <c r="D213" t="str">
        <f>VLOOKUP(Pre_Close_AMF_Table[[#This Row],[HFM_Account]],HFM_Acct_OCF_Activity[],3,FALSE)</f>
        <v>Direct</v>
      </c>
      <c r="E213" t="s">
        <v>1210</v>
      </c>
      <c r="F213" t="s">
        <v>1194</v>
      </c>
      <c r="G213" t="s">
        <v>1401</v>
      </c>
      <c r="H213" t="str">
        <f>IF(NOT(ISERROR(FIND("NoICP",Pre_Close_AMF_Table[[#This Row],[GL_ICP]]))),"",Pre_Close_AMF_Table[[#This Row],[GL_ICP]])</f>
        <v/>
      </c>
      <c r="I213" t="s">
        <v>1212</v>
      </c>
      <c r="J213" t="s">
        <v>1474</v>
      </c>
      <c r="K213" t="str">
        <f>IFERROR(VLOOKUP(VALUE(Pre_Close_AMF_Table[[#This Row],[GL_PC]]),BNS_Profit_Centers[],2,FALSE),"TE")</f>
        <v>TE</v>
      </c>
      <c r="L213" t="s">
        <v>1474</v>
      </c>
      <c r="M213" t="s">
        <v>1402</v>
      </c>
      <c r="N213" t="s">
        <v>1390</v>
      </c>
      <c r="O213" s="33">
        <v>147.77000000000001</v>
      </c>
    </row>
    <row r="214" spans="1:15" x14ac:dyDescent="0.25">
      <c r="A214" t="s">
        <v>1326</v>
      </c>
      <c r="B214" t="s">
        <v>1403</v>
      </c>
      <c r="C214" t="s">
        <v>10</v>
      </c>
      <c r="D214" t="str">
        <f>VLOOKUP(Pre_Close_AMF_Table[[#This Row],[HFM_Account]],HFM_Acct_OCF_Activity[],3,FALSE)</f>
        <v>Direct</v>
      </c>
      <c r="E214" t="s">
        <v>1210</v>
      </c>
      <c r="F214" t="s">
        <v>1194</v>
      </c>
      <c r="G214" t="s">
        <v>1404</v>
      </c>
      <c r="H214" t="str">
        <f>IF(NOT(ISERROR(FIND("NoICP",Pre_Close_AMF_Table[[#This Row],[GL_ICP]]))),"",Pre_Close_AMF_Table[[#This Row],[GL_ICP]])</f>
        <v/>
      </c>
      <c r="I214" t="s">
        <v>1212</v>
      </c>
      <c r="J214" t="s">
        <v>1474</v>
      </c>
      <c r="K214" t="str">
        <f>IFERROR(VLOOKUP(VALUE(Pre_Close_AMF_Table[[#This Row],[GL_PC]]),BNS_Profit_Centers[],2,FALSE),"TE")</f>
        <v>TE</v>
      </c>
      <c r="L214" t="s">
        <v>1474</v>
      </c>
      <c r="M214" t="s">
        <v>1405</v>
      </c>
      <c r="N214" t="s">
        <v>1390</v>
      </c>
      <c r="O214" s="33">
        <v>490.25</v>
      </c>
    </row>
    <row r="215" spans="1:15" x14ac:dyDescent="0.25">
      <c r="A215" t="s">
        <v>1326</v>
      </c>
      <c r="B215" t="s">
        <v>1406</v>
      </c>
      <c r="C215" t="s">
        <v>10</v>
      </c>
      <c r="D215" t="str">
        <f>VLOOKUP(Pre_Close_AMF_Table[[#This Row],[HFM_Account]],HFM_Acct_OCF_Activity[],3,FALSE)</f>
        <v>Direct</v>
      </c>
      <c r="E215" t="s">
        <v>1210</v>
      </c>
      <c r="F215" t="s">
        <v>1194</v>
      </c>
      <c r="G215" t="s">
        <v>1407</v>
      </c>
      <c r="H215" t="str">
        <f>IF(NOT(ISERROR(FIND("NoICP",Pre_Close_AMF_Table[[#This Row],[GL_ICP]]))),"",Pre_Close_AMF_Table[[#This Row],[GL_ICP]])</f>
        <v/>
      </c>
      <c r="I215" t="s">
        <v>1212</v>
      </c>
      <c r="J215" t="s">
        <v>1474</v>
      </c>
      <c r="K215" t="str">
        <f>IFERROR(VLOOKUP(VALUE(Pre_Close_AMF_Table[[#This Row],[GL_PC]]),BNS_Profit_Centers[],2,FALSE),"TE")</f>
        <v>TE</v>
      </c>
      <c r="L215" t="s">
        <v>1474</v>
      </c>
      <c r="M215" t="s">
        <v>1408</v>
      </c>
      <c r="N215" t="s">
        <v>1390</v>
      </c>
      <c r="O215" s="33">
        <v>2327.7399999999998</v>
      </c>
    </row>
    <row r="216" spans="1:15" x14ac:dyDescent="0.25">
      <c r="A216" t="s">
        <v>1326</v>
      </c>
      <c r="B216" t="s">
        <v>1462</v>
      </c>
      <c r="C216" t="s">
        <v>10</v>
      </c>
      <c r="D216" t="str">
        <f>VLOOKUP(Pre_Close_AMF_Table[[#This Row],[HFM_Account]],HFM_Acct_OCF_Activity[],3,FALSE)</f>
        <v>Direct</v>
      </c>
      <c r="E216" t="s">
        <v>1210</v>
      </c>
      <c r="F216" t="s">
        <v>1194</v>
      </c>
      <c r="G216" t="s">
        <v>1463</v>
      </c>
      <c r="H216" t="str">
        <f>IF(NOT(ISERROR(FIND("NoICP",Pre_Close_AMF_Table[[#This Row],[GL_ICP]]))),"",Pre_Close_AMF_Table[[#This Row],[GL_ICP]])</f>
        <v/>
      </c>
      <c r="I216" t="s">
        <v>1212</v>
      </c>
      <c r="J216" t="s">
        <v>1474</v>
      </c>
      <c r="K216" t="str">
        <f>IFERROR(VLOOKUP(VALUE(Pre_Close_AMF_Table[[#This Row],[GL_PC]]),BNS_Profit_Centers[],2,FALSE),"TE")</f>
        <v>TE</v>
      </c>
      <c r="L216" t="s">
        <v>1474</v>
      </c>
      <c r="M216" t="s">
        <v>1464</v>
      </c>
      <c r="N216" t="s">
        <v>1390</v>
      </c>
      <c r="O216" s="33">
        <v>50</v>
      </c>
    </row>
    <row r="217" spans="1:15" x14ac:dyDescent="0.25">
      <c r="A217" t="s">
        <v>1326</v>
      </c>
      <c r="B217" t="s">
        <v>1409</v>
      </c>
      <c r="C217" t="s">
        <v>10</v>
      </c>
      <c r="D217" t="str">
        <f>VLOOKUP(Pre_Close_AMF_Table[[#This Row],[HFM_Account]],HFM_Acct_OCF_Activity[],3,FALSE)</f>
        <v>Direct</v>
      </c>
      <c r="E217" t="s">
        <v>1210</v>
      </c>
      <c r="F217" t="s">
        <v>1194</v>
      </c>
      <c r="G217" t="s">
        <v>1410</v>
      </c>
      <c r="H217" t="str">
        <f>IF(NOT(ISERROR(FIND("NoICP",Pre_Close_AMF_Table[[#This Row],[GL_ICP]]))),"",Pre_Close_AMF_Table[[#This Row],[GL_ICP]])</f>
        <v/>
      </c>
      <c r="I217" t="s">
        <v>1212</v>
      </c>
      <c r="J217" t="s">
        <v>1474</v>
      </c>
      <c r="K217" t="str">
        <f>IFERROR(VLOOKUP(VALUE(Pre_Close_AMF_Table[[#This Row],[GL_PC]]),BNS_Profit_Centers[],2,FALSE),"TE")</f>
        <v>TE</v>
      </c>
      <c r="L217" t="s">
        <v>1474</v>
      </c>
      <c r="M217" t="s">
        <v>1411</v>
      </c>
      <c r="N217" t="s">
        <v>1390</v>
      </c>
      <c r="O217" s="33">
        <v>-300</v>
      </c>
    </row>
    <row r="218" spans="1:15" x14ac:dyDescent="0.25">
      <c r="A218" t="s">
        <v>1326</v>
      </c>
      <c r="B218" t="s">
        <v>1412</v>
      </c>
      <c r="C218" t="s">
        <v>10</v>
      </c>
      <c r="D218" t="str">
        <f>VLOOKUP(Pre_Close_AMF_Table[[#This Row],[HFM_Account]],HFM_Acct_OCF_Activity[],3,FALSE)</f>
        <v>Direct</v>
      </c>
      <c r="E218" t="s">
        <v>1210</v>
      </c>
      <c r="F218" t="s">
        <v>1194</v>
      </c>
      <c r="G218" t="s">
        <v>1413</v>
      </c>
      <c r="H218" t="str">
        <f>IF(NOT(ISERROR(FIND("NoICP",Pre_Close_AMF_Table[[#This Row],[GL_ICP]]))),"",Pre_Close_AMF_Table[[#This Row],[GL_ICP]])</f>
        <v/>
      </c>
      <c r="I218" t="s">
        <v>1212</v>
      </c>
      <c r="J218" t="s">
        <v>1474</v>
      </c>
      <c r="K218" t="str">
        <f>IFERROR(VLOOKUP(VALUE(Pre_Close_AMF_Table[[#This Row],[GL_PC]]),BNS_Profit_Centers[],2,FALSE),"TE")</f>
        <v>TE</v>
      </c>
      <c r="L218" t="s">
        <v>1474</v>
      </c>
      <c r="M218" t="s">
        <v>1414</v>
      </c>
      <c r="N218" t="s">
        <v>1415</v>
      </c>
      <c r="O218" s="33">
        <v>2416</v>
      </c>
    </row>
    <row r="219" spans="1:15" x14ac:dyDescent="0.25">
      <c r="A219" t="s">
        <v>1326</v>
      </c>
      <c r="B219" t="s">
        <v>1416</v>
      </c>
      <c r="C219" t="s">
        <v>10</v>
      </c>
      <c r="D219" t="str">
        <f>VLOOKUP(Pre_Close_AMF_Table[[#This Row],[HFM_Account]],HFM_Acct_OCF_Activity[],3,FALSE)</f>
        <v>Direct</v>
      </c>
      <c r="E219" t="s">
        <v>1210</v>
      </c>
      <c r="F219" t="s">
        <v>1194</v>
      </c>
      <c r="G219" t="s">
        <v>1417</v>
      </c>
      <c r="H219" t="str">
        <f>IF(NOT(ISERROR(FIND("NoICP",Pre_Close_AMF_Table[[#This Row],[GL_ICP]]))),"",Pre_Close_AMF_Table[[#This Row],[GL_ICP]])</f>
        <v/>
      </c>
      <c r="I219" t="s">
        <v>1212</v>
      </c>
      <c r="J219" t="s">
        <v>1474</v>
      </c>
      <c r="K219" t="str">
        <f>IFERROR(VLOOKUP(VALUE(Pre_Close_AMF_Table[[#This Row],[GL_PC]]),BNS_Profit_Centers[],2,FALSE),"TE")</f>
        <v>TE</v>
      </c>
      <c r="L219" t="s">
        <v>1474</v>
      </c>
      <c r="M219" t="s">
        <v>1418</v>
      </c>
      <c r="N219" t="s">
        <v>1415</v>
      </c>
      <c r="O219" s="33">
        <v>5692.5</v>
      </c>
    </row>
    <row r="220" spans="1:15" x14ac:dyDescent="0.25">
      <c r="A220" t="s">
        <v>1326</v>
      </c>
      <c r="B220" t="s">
        <v>1419</v>
      </c>
      <c r="C220" t="s">
        <v>10</v>
      </c>
      <c r="D220" t="str">
        <f>VLOOKUP(Pre_Close_AMF_Table[[#This Row],[HFM_Account]],HFM_Acct_OCF_Activity[],3,FALSE)</f>
        <v>Direct</v>
      </c>
      <c r="E220" t="s">
        <v>1210</v>
      </c>
      <c r="F220" t="s">
        <v>1194</v>
      </c>
      <c r="G220" t="s">
        <v>1420</v>
      </c>
      <c r="H220" t="str">
        <f>IF(NOT(ISERROR(FIND("NoICP",Pre_Close_AMF_Table[[#This Row],[GL_ICP]]))),"",Pre_Close_AMF_Table[[#This Row],[GL_ICP]])</f>
        <v/>
      </c>
      <c r="I220" t="s">
        <v>1212</v>
      </c>
      <c r="J220" t="s">
        <v>1474</v>
      </c>
      <c r="K220" t="str">
        <f>IFERROR(VLOOKUP(VALUE(Pre_Close_AMF_Table[[#This Row],[GL_PC]]),BNS_Profit_Centers[],2,FALSE),"TE")</f>
        <v>TE</v>
      </c>
      <c r="L220" t="s">
        <v>1474</v>
      </c>
      <c r="M220" t="s">
        <v>1421</v>
      </c>
      <c r="N220" t="s">
        <v>1421</v>
      </c>
      <c r="O220" s="33">
        <v>57.4</v>
      </c>
    </row>
    <row r="221" spans="1:15" x14ac:dyDescent="0.25">
      <c r="A221" t="s">
        <v>1326</v>
      </c>
      <c r="B221" t="s">
        <v>1429</v>
      </c>
      <c r="C221" t="s">
        <v>10</v>
      </c>
      <c r="D221" t="str">
        <f>VLOOKUP(Pre_Close_AMF_Table[[#This Row],[HFM_Account]],HFM_Acct_OCF_Activity[],3,FALSE)</f>
        <v>Direct</v>
      </c>
      <c r="E221" t="s">
        <v>1210</v>
      </c>
      <c r="F221" t="s">
        <v>1194</v>
      </c>
      <c r="G221" t="s">
        <v>1430</v>
      </c>
      <c r="H221" t="str">
        <f>IF(NOT(ISERROR(FIND("NoICP",Pre_Close_AMF_Table[[#This Row],[GL_ICP]]))),"",Pre_Close_AMF_Table[[#This Row],[GL_ICP]])</f>
        <v/>
      </c>
      <c r="I221" t="s">
        <v>1212</v>
      </c>
      <c r="J221" t="s">
        <v>1474</v>
      </c>
      <c r="K221" t="str">
        <f>IFERROR(VLOOKUP(VALUE(Pre_Close_AMF_Table[[#This Row],[GL_PC]]),BNS_Profit_Centers[],2,FALSE),"TE")</f>
        <v>TE</v>
      </c>
      <c r="L221" t="s">
        <v>1474</v>
      </c>
      <c r="M221" t="s">
        <v>1431</v>
      </c>
      <c r="N221" t="s">
        <v>1432</v>
      </c>
      <c r="O221" s="33">
        <v>4.07</v>
      </c>
    </row>
    <row r="222" spans="1:15" x14ac:dyDescent="0.25">
      <c r="A222" t="s">
        <v>1326</v>
      </c>
      <c r="B222" t="s">
        <v>1422</v>
      </c>
      <c r="C222" t="s">
        <v>10</v>
      </c>
      <c r="D222" t="str">
        <f>VLOOKUP(Pre_Close_AMF_Table[[#This Row],[HFM_Account]],HFM_Acct_OCF_Activity[],3,FALSE)</f>
        <v>Direct</v>
      </c>
      <c r="E222" t="s">
        <v>1210</v>
      </c>
      <c r="F222" t="s">
        <v>1194</v>
      </c>
      <c r="G222" t="s">
        <v>1423</v>
      </c>
      <c r="H222" t="str">
        <f>IF(NOT(ISERROR(FIND("NoICP",Pre_Close_AMF_Table[[#This Row],[GL_ICP]]))),"",Pre_Close_AMF_Table[[#This Row],[GL_ICP]])</f>
        <v/>
      </c>
      <c r="I222" t="s">
        <v>1212</v>
      </c>
      <c r="J222" t="s">
        <v>1474</v>
      </c>
      <c r="K222" t="str">
        <f>IFERROR(VLOOKUP(VALUE(Pre_Close_AMF_Table[[#This Row],[GL_PC]]),BNS_Profit_Centers[],2,FALSE),"TE")</f>
        <v>TE</v>
      </c>
      <c r="L222" t="s">
        <v>1474</v>
      </c>
      <c r="M222" t="s">
        <v>1424</v>
      </c>
      <c r="N222" t="s">
        <v>1424</v>
      </c>
      <c r="O222" s="33">
        <v>31.45</v>
      </c>
    </row>
    <row r="223" spans="1:15" x14ac:dyDescent="0.25">
      <c r="A223" t="s">
        <v>1326</v>
      </c>
      <c r="B223" t="s">
        <v>1327</v>
      </c>
      <c r="C223" t="s">
        <v>10</v>
      </c>
      <c r="D223" t="str">
        <f>VLOOKUP(Pre_Close_AMF_Table[[#This Row],[HFM_Account]],HFM_Acct_OCF_Activity[],3,FALSE)</f>
        <v>Direct</v>
      </c>
      <c r="E223" t="s">
        <v>1210</v>
      </c>
      <c r="F223" t="s">
        <v>1194</v>
      </c>
      <c r="G223" t="s">
        <v>1328</v>
      </c>
      <c r="H223" t="str">
        <f>IF(NOT(ISERROR(FIND("NoICP",Pre_Close_AMF_Table[[#This Row],[GL_ICP]]))),"",Pre_Close_AMF_Table[[#This Row],[GL_ICP]])</f>
        <v/>
      </c>
      <c r="I223" t="s">
        <v>1212</v>
      </c>
      <c r="J223" t="s">
        <v>1478</v>
      </c>
      <c r="K223" t="str">
        <f>IFERROR(VLOOKUP(VALUE(Pre_Close_AMF_Table[[#This Row],[GL_PC]]),BNS_Profit_Centers[],2,FALSE),"TE")</f>
        <v>TE</v>
      </c>
      <c r="L223" t="s">
        <v>1478</v>
      </c>
      <c r="M223" t="s">
        <v>1330</v>
      </c>
      <c r="N223" t="s">
        <v>1330</v>
      </c>
      <c r="O223" s="33">
        <v>33331</v>
      </c>
    </row>
    <row r="224" spans="1:15" x14ac:dyDescent="0.25">
      <c r="A224" t="s">
        <v>1326</v>
      </c>
      <c r="B224" t="s">
        <v>1331</v>
      </c>
      <c r="C224" t="s">
        <v>10</v>
      </c>
      <c r="D224" t="str">
        <f>VLOOKUP(Pre_Close_AMF_Table[[#This Row],[HFM_Account]],HFM_Acct_OCF_Activity[],3,FALSE)</f>
        <v>Direct</v>
      </c>
      <c r="E224" t="s">
        <v>1210</v>
      </c>
      <c r="F224" t="s">
        <v>1194</v>
      </c>
      <c r="G224" t="s">
        <v>1332</v>
      </c>
      <c r="H224" t="str">
        <f>IF(NOT(ISERROR(FIND("NoICP",Pre_Close_AMF_Table[[#This Row],[GL_ICP]]))),"",Pre_Close_AMF_Table[[#This Row],[GL_ICP]])</f>
        <v/>
      </c>
      <c r="I224" t="s">
        <v>1212</v>
      </c>
      <c r="J224" t="s">
        <v>1478</v>
      </c>
      <c r="K224" t="str">
        <f>IFERROR(VLOOKUP(VALUE(Pre_Close_AMF_Table[[#This Row],[GL_PC]]),BNS_Profit_Centers[],2,FALSE),"TE")</f>
        <v>TE</v>
      </c>
      <c r="L224" t="s">
        <v>1478</v>
      </c>
      <c r="M224" t="s">
        <v>1333</v>
      </c>
      <c r="N224" t="s">
        <v>1334</v>
      </c>
      <c r="O224" s="33">
        <v>5061.7299999999996</v>
      </c>
    </row>
    <row r="225" spans="1:15" x14ac:dyDescent="0.25">
      <c r="A225" t="s">
        <v>1326</v>
      </c>
      <c r="B225" t="s">
        <v>1335</v>
      </c>
      <c r="C225" t="s">
        <v>10</v>
      </c>
      <c r="D225" t="str">
        <f>VLOOKUP(Pre_Close_AMF_Table[[#This Row],[HFM_Account]],HFM_Acct_OCF_Activity[],3,FALSE)</f>
        <v>Direct</v>
      </c>
      <c r="E225" t="s">
        <v>1210</v>
      </c>
      <c r="F225" t="s">
        <v>1194</v>
      </c>
      <c r="G225" t="s">
        <v>1336</v>
      </c>
      <c r="H225" t="str">
        <f>IF(NOT(ISERROR(FIND("NoICP",Pre_Close_AMF_Table[[#This Row],[GL_ICP]]))),"",Pre_Close_AMF_Table[[#This Row],[GL_ICP]])</f>
        <v/>
      </c>
      <c r="I225" t="s">
        <v>1212</v>
      </c>
      <c r="J225" t="s">
        <v>1478</v>
      </c>
      <c r="K225" t="str">
        <f>IFERROR(VLOOKUP(VALUE(Pre_Close_AMF_Table[[#This Row],[GL_PC]]),BNS_Profit_Centers[],2,FALSE),"TE")</f>
        <v>TE</v>
      </c>
      <c r="L225" t="s">
        <v>1478</v>
      </c>
      <c r="M225" t="s">
        <v>1337</v>
      </c>
      <c r="N225" t="s">
        <v>1334</v>
      </c>
      <c r="O225" s="33">
        <v>-2556.81</v>
      </c>
    </row>
    <row r="226" spans="1:15" x14ac:dyDescent="0.25">
      <c r="A226" t="s">
        <v>1326</v>
      </c>
      <c r="B226" t="s">
        <v>1338</v>
      </c>
      <c r="C226" t="s">
        <v>10</v>
      </c>
      <c r="D226" t="str">
        <f>VLOOKUP(Pre_Close_AMF_Table[[#This Row],[HFM_Account]],HFM_Acct_OCF_Activity[],3,FALSE)</f>
        <v>Direct</v>
      </c>
      <c r="E226" t="s">
        <v>1210</v>
      </c>
      <c r="F226" t="s">
        <v>1194</v>
      </c>
      <c r="G226" t="s">
        <v>1339</v>
      </c>
      <c r="H226" t="str">
        <f>IF(NOT(ISERROR(FIND("NoICP",Pre_Close_AMF_Table[[#This Row],[GL_ICP]]))),"",Pre_Close_AMF_Table[[#This Row],[GL_ICP]])</f>
        <v/>
      </c>
      <c r="I226" t="s">
        <v>1212</v>
      </c>
      <c r="J226" t="s">
        <v>1478</v>
      </c>
      <c r="K226" t="str">
        <f>IFERROR(VLOOKUP(VALUE(Pre_Close_AMF_Table[[#This Row],[GL_PC]]),BNS_Profit_Centers[],2,FALSE),"TE")</f>
        <v>TE</v>
      </c>
      <c r="L226" t="s">
        <v>1478</v>
      </c>
      <c r="M226" t="s">
        <v>1340</v>
      </c>
      <c r="N226" t="s">
        <v>1334</v>
      </c>
      <c r="O226" s="33">
        <v>199</v>
      </c>
    </row>
    <row r="227" spans="1:15" x14ac:dyDescent="0.25">
      <c r="A227" t="s">
        <v>1326</v>
      </c>
      <c r="B227" t="s">
        <v>1341</v>
      </c>
      <c r="C227" t="s">
        <v>10</v>
      </c>
      <c r="D227" t="str">
        <f>VLOOKUP(Pre_Close_AMF_Table[[#This Row],[HFM_Account]],HFM_Acct_OCF_Activity[],3,FALSE)</f>
        <v>Direct</v>
      </c>
      <c r="E227" t="s">
        <v>1210</v>
      </c>
      <c r="F227" t="s">
        <v>1194</v>
      </c>
      <c r="G227" t="s">
        <v>1342</v>
      </c>
      <c r="H227" t="str">
        <f>IF(NOT(ISERROR(FIND("NoICP",Pre_Close_AMF_Table[[#This Row],[GL_ICP]]))),"",Pre_Close_AMF_Table[[#This Row],[GL_ICP]])</f>
        <v/>
      </c>
      <c r="I227" t="s">
        <v>1212</v>
      </c>
      <c r="J227" t="s">
        <v>1478</v>
      </c>
      <c r="K227" t="str">
        <f>IFERROR(VLOOKUP(VALUE(Pre_Close_AMF_Table[[#This Row],[GL_PC]]),BNS_Profit_Centers[],2,FALSE),"TE")</f>
        <v>TE</v>
      </c>
      <c r="L227" t="s">
        <v>1478</v>
      </c>
      <c r="M227" t="s">
        <v>1343</v>
      </c>
      <c r="N227" t="s">
        <v>1334</v>
      </c>
      <c r="O227" s="33">
        <v>150</v>
      </c>
    </row>
    <row r="228" spans="1:15" x14ac:dyDescent="0.25">
      <c r="A228" t="s">
        <v>1326</v>
      </c>
      <c r="B228" t="s">
        <v>1344</v>
      </c>
      <c r="C228" t="s">
        <v>10</v>
      </c>
      <c r="D228" t="str">
        <f>VLOOKUP(Pre_Close_AMF_Table[[#This Row],[HFM_Account]],HFM_Acct_OCF_Activity[],3,FALSE)</f>
        <v>Direct</v>
      </c>
      <c r="E228" t="s">
        <v>1210</v>
      </c>
      <c r="F228" t="s">
        <v>1194</v>
      </c>
      <c r="G228" t="s">
        <v>1345</v>
      </c>
      <c r="H228" t="str">
        <f>IF(NOT(ISERROR(FIND("NoICP",Pre_Close_AMF_Table[[#This Row],[GL_ICP]]))),"",Pre_Close_AMF_Table[[#This Row],[GL_ICP]])</f>
        <v/>
      </c>
      <c r="I228" t="s">
        <v>1212</v>
      </c>
      <c r="J228" t="s">
        <v>1478</v>
      </c>
      <c r="K228" t="str">
        <f>IFERROR(VLOOKUP(VALUE(Pre_Close_AMF_Table[[#This Row],[GL_PC]]),BNS_Profit_Centers[],2,FALSE),"TE")</f>
        <v>TE</v>
      </c>
      <c r="L228" t="s">
        <v>1478</v>
      </c>
      <c r="M228" t="s">
        <v>1346</v>
      </c>
      <c r="N228" t="s">
        <v>1347</v>
      </c>
      <c r="O228" s="33">
        <v>200</v>
      </c>
    </row>
    <row r="229" spans="1:15" x14ac:dyDescent="0.25">
      <c r="A229" t="s">
        <v>1326</v>
      </c>
      <c r="B229" t="s">
        <v>1348</v>
      </c>
      <c r="C229" t="s">
        <v>10</v>
      </c>
      <c r="D229" t="str">
        <f>VLOOKUP(Pre_Close_AMF_Table[[#This Row],[HFM_Account]],HFM_Acct_OCF_Activity[],3,FALSE)</f>
        <v>Direct</v>
      </c>
      <c r="E229" t="s">
        <v>1210</v>
      </c>
      <c r="F229" t="s">
        <v>1194</v>
      </c>
      <c r="G229" t="s">
        <v>1349</v>
      </c>
      <c r="H229" t="str">
        <f>IF(NOT(ISERROR(FIND("NoICP",Pre_Close_AMF_Table[[#This Row],[GL_ICP]]))),"",Pre_Close_AMF_Table[[#This Row],[GL_ICP]])</f>
        <v/>
      </c>
      <c r="I229" t="s">
        <v>1212</v>
      </c>
      <c r="J229" t="s">
        <v>1478</v>
      </c>
      <c r="K229" t="str">
        <f>IFERROR(VLOOKUP(VALUE(Pre_Close_AMF_Table[[#This Row],[GL_PC]]),BNS_Profit_Centers[],2,FALSE),"TE")</f>
        <v>TE</v>
      </c>
      <c r="L229" t="s">
        <v>1478</v>
      </c>
      <c r="M229" t="s">
        <v>1350</v>
      </c>
      <c r="N229" t="s">
        <v>1351</v>
      </c>
      <c r="O229" s="33">
        <v>147.5</v>
      </c>
    </row>
    <row r="230" spans="1:15" x14ac:dyDescent="0.25">
      <c r="A230" t="s">
        <v>1326</v>
      </c>
      <c r="B230" t="s">
        <v>1352</v>
      </c>
      <c r="C230" t="s">
        <v>10</v>
      </c>
      <c r="D230" t="str">
        <f>VLOOKUP(Pre_Close_AMF_Table[[#This Row],[HFM_Account]],HFM_Acct_OCF_Activity[],3,FALSE)</f>
        <v>Direct</v>
      </c>
      <c r="E230" t="s">
        <v>1210</v>
      </c>
      <c r="F230" t="s">
        <v>1194</v>
      </c>
      <c r="G230" t="s">
        <v>1353</v>
      </c>
      <c r="H230" t="str">
        <f>IF(NOT(ISERROR(FIND("NoICP",Pre_Close_AMF_Table[[#This Row],[GL_ICP]]))),"",Pre_Close_AMF_Table[[#This Row],[GL_ICP]])</f>
        <v/>
      </c>
      <c r="I230" t="s">
        <v>1212</v>
      </c>
      <c r="J230" t="s">
        <v>1478</v>
      </c>
      <c r="K230" t="str">
        <f>IFERROR(VLOOKUP(VALUE(Pre_Close_AMF_Table[[#This Row],[GL_PC]]),BNS_Profit_Centers[],2,FALSE),"TE")</f>
        <v>TE</v>
      </c>
      <c r="L230" t="s">
        <v>1478</v>
      </c>
      <c r="M230" t="s">
        <v>1354</v>
      </c>
      <c r="N230" t="s">
        <v>1351</v>
      </c>
      <c r="O230" s="33">
        <v>369.65</v>
      </c>
    </row>
    <row r="231" spans="1:15" x14ac:dyDescent="0.25">
      <c r="A231" t="s">
        <v>1326</v>
      </c>
      <c r="B231" t="s">
        <v>1355</v>
      </c>
      <c r="C231" t="s">
        <v>10</v>
      </c>
      <c r="D231" t="str">
        <f>VLOOKUP(Pre_Close_AMF_Table[[#This Row],[HFM_Account]],HFM_Acct_OCF_Activity[],3,FALSE)</f>
        <v>Direct</v>
      </c>
      <c r="E231" t="s">
        <v>1210</v>
      </c>
      <c r="F231" t="s">
        <v>1194</v>
      </c>
      <c r="G231" t="s">
        <v>1356</v>
      </c>
      <c r="H231" t="str">
        <f>IF(NOT(ISERROR(FIND("NoICP",Pre_Close_AMF_Table[[#This Row],[GL_ICP]]))),"",Pre_Close_AMF_Table[[#This Row],[GL_ICP]])</f>
        <v/>
      </c>
      <c r="I231" t="s">
        <v>1212</v>
      </c>
      <c r="J231" t="s">
        <v>1478</v>
      </c>
      <c r="K231" t="str">
        <f>IFERROR(VLOOKUP(VALUE(Pre_Close_AMF_Table[[#This Row],[GL_PC]]),BNS_Profit_Centers[],2,FALSE),"TE")</f>
        <v>TE</v>
      </c>
      <c r="L231" t="s">
        <v>1478</v>
      </c>
      <c r="M231" t="s">
        <v>1357</v>
      </c>
      <c r="N231" t="s">
        <v>1351</v>
      </c>
      <c r="O231" s="33">
        <v>124</v>
      </c>
    </row>
    <row r="232" spans="1:15" x14ac:dyDescent="0.25">
      <c r="A232" t="s">
        <v>1326</v>
      </c>
      <c r="B232" t="s">
        <v>1358</v>
      </c>
      <c r="C232" t="s">
        <v>10</v>
      </c>
      <c r="D232" t="str">
        <f>VLOOKUP(Pre_Close_AMF_Table[[#This Row],[HFM_Account]],HFM_Acct_OCF_Activity[],3,FALSE)</f>
        <v>Direct</v>
      </c>
      <c r="E232" t="s">
        <v>1210</v>
      </c>
      <c r="F232" t="s">
        <v>1194</v>
      </c>
      <c r="G232" t="s">
        <v>1359</v>
      </c>
      <c r="H232" t="str">
        <f>IF(NOT(ISERROR(FIND("NoICP",Pre_Close_AMF_Table[[#This Row],[GL_ICP]]))),"",Pre_Close_AMF_Table[[#This Row],[GL_ICP]])</f>
        <v/>
      </c>
      <c r="I232" t="s">
        <v>1212</v>
      </c>
      <c r="J232" t="s">
        <v>1478</v>
      </c>
      <c r="K232" t="str">
        <f>IFERROR(VLOOKUP(VALUE(Pre_Close_AMF_Table[[#This Row],[GL_PC]]),BNS_Profit_Centers[],2,FALSE),"TE")</f>
        <v>TE</v>
      </c>
      <c r="L232" t="s">
        <v>1478</v>
      </c>
      <c r="M232" t="s">
        <v>1360</v>
      </c>
      <c r="N232" t="s">
        <v>1361</v>
      </c>
      <c r="O232" s="33">
        <v>1689.8</v>
      </c>
    </row>
    <row r="233" spans="1:15" x14ac:dyDescent="0.25">
      <c r="A233" t="s">
        <v>1326</v>
      </c>
      <c r="B233" t="s">
        <v>1362</v>
      </c>
      <c r="C233" t="s">
        <v>10</v>
      </c>
      <c r="D233" t="str">
        <f>VLOOKUP(Pre_Close_AMF_Table[[#This Row],[HFM_Account]],HFM_Acct_OCF_Activity[],3,FALSE)</f>
        <v>Direct</v>
      </c>
      <c r="E233" t="s">
        <v>1210</v>
      </c>
      <c r="F233" t="s">
        <v>1194</v>
      </c>
      <c r="G233" t="s">
        <v>1363</v>
      </c>
      <c r="H233" t="str">
        <f>IF(NOT(ISERROR(FIND("NoICP",Pre_Close_AMF_Table[[#This Row],[GL_ICP]]))),"",Pre_Close_AMF_Table[[#This Row],[GL_ICP]])</f>
        <v/>
      </c>
      <c r="I233" t="s">
        <v>1212</v>
      </c>
      <c r="J233" t="s">
        <v>1478</v>
      </c>
      <c r="K233" t="str">
        <f>IFERROR(VLOOKUP(VALUE(Pre_Close_AMF_Table[[#This Row],[GL_PC]]),BNS_Profit_Centers[],2,FALSE),"TE")</f>
        <v>TE</v>
      </c>
      <c r="L233" t="s">
        <v>1478</v>
      </c>
      <c r="M233" t="s">
        <v>1364</v>
      </c>
      <c r="N233" t="s">
        <v>1364</v>
      </c>
      <c r="O233" s="33">
        <v>-11526.41</v>
      </c>
    </row>
    <row r="234" spans="1:15" x14ac:dyDescent="0.25">
      <c r="A234" t="s">
        <v>1326</v>
      </c>
      <c r="B234" t="s">
        <v>1365</v>
      </c>
      <c r="C234" t="s">
        <v>10</v>
      </c>
      <c r="D234" t="str">
        <f>VLOOKUP(Pre_Close_AMF_Table[[#This Row],[HFM_Account]],HFM_Acct_OCF_Activity[],3,FALSE)</f>
        <v>Direct</v>
      </c>
      <c r="E234" t="s">
        <v>1210</v>
      </c>
      <c r="F234" t="s">
        <v>1194</v>
      </c>
      <c r="G234" t="s">
        <v>1366</v>
      </c>
      <c r="H234" t="str">
        <f>IF(NOT(ISERROR(FIND("NoICP",Pre_Close_AMF_Table[[#This Row],[GL_ICP]]))),"",Pre_Close_AMF_Table[[#This Row],[GL_ICP]])</f>
        <v/>
      </c>
      <c r="I234" t="s">
        <v>1212</v>
      </c>
      <c r="J234" t="s">
        <v>1478</v>
      </c>
      <c r="K234" t="str">
        <f>IFERROR(VLOOKUP(VALUE(Pre_Close_AMF_Table[[#This Row],[GL_PC]]),BNS_Profit_Centers[],2,FALSE),"TE")</f>
        <v>TE</v>
      </c>
      <c r="L234" t="s">
        <v>1478</v>
      </c>
      <c r="M234" t="s">
        <v>1367</v>
      </c>
      <c r="N234" t="s">
        <v>1368</v>
      </c>
      <c r="O234" s="33">
        <v>16600</v>
      </c>
    </row>
    <row r="235" spans="1:15" x14ac:dyDescent="0.25">
      <c r="A235" t="s">
        <v>1326</v>
      </c>
      <c r="B235" t="s">
        <v>1369</v>
      </c>
      <c r="C235" t="s">
        <v>10</v>
      </c>
      <c r="D235" t="str">
        <f>VLOOKUP(Pre_Close_AMF_Table[[#This Row],[HFM_Account]],HFM_Acct_OCF_Activity[],3,FALSE)</f>
        <v>Direct</v>
      </c>
      <c r="E235" t="s">
        <v>1210</v>
      </c>
      <c r="F235" t="s">
        <v>1194</v>
      </c>
      <c r="G235" t="s">
        <v>1370</v>
      </c>
      <c r="H235" t="str">
        <f>IF(NOT(ISERROR(FIND("NoICP",Pre_Close_AMF_Table[[#This Row],[GL_ICP]]))),"",Pre_Close_AMF_Table[[#This Row],[GL_ICP]])</f>
        <v/>
      </c>
      <c r="I235" t="s">
        <v>1212</v>
      </c>
      <c r="J235" t="s">
        <v>1478</v>
      </c>
      <c r="K235" t="str">
        <f>IFERROR(VLOOKUP(VALUE(Pre_Close_AMF_Table[[#This Row],[GL_PC]]),BNS_Profit_Centers[],2,FALSE),"TE")</f>
        <v>TE</v>
      </c>
      <c r="L235" t="s">
        <v>1478</v>
      </c>
      <c r="M235" t="s">
        <v>1371</v>
      </c>
      <c r="N235" t="s">
        <v>1368</v>
      </c>
      <c r="O235" s="33">
        <v>-12952.22</v>
      </c>
    </row>
    <row r="236" spans="1:15" x14ac:dyDescent="0.25">
      <c r="A236" t="s">
        <v>1326</v>
      </c>
      <c r="B236" t="s">
        <v>1372</v>
      </c>
      <c r="C236" t="s">
        <v>10</v>
      </c>
      <c r="D236" t="str">
        <f>VLOOKUP(Pre_Close_AMF_Table[[#This Row],[HFM_Account]],HFM_Acct_OCF_Activity[],3,FALSE)</f>
        <v>Direct</v>
      </c>
      <c r="E236" t="s">
        <v>1210</v>
      </c>
      <c r="F236" t="s">
        <v>1194</v>
      </c>
      <c r="G236" t="s">
        <v>1373</v>
      </c>
      <c r="H236" t="str">
        <f>IF(NOT(ISERROR(FIND("NoICP",Pre_Close_AMF_Table[[#This Row],[GL_ICP]]))),"",Pre_Close_AMF_Table[[#This Row],[GL_ICP]])</f>
        <v/>
      </c>
      <c r="I236" t="s">
        <v>1212</v>
      </c>
      <c r="J236" t="s">
        <v>1478</v>
      </c>
      <c r="K236" t="str">
        <f>IFERROR(VLOOKUP(VALUE(Pre_Close_AMF_Table[[#This Row],[GL_PC]]),BNS_Profit_Centers[],2,FALSE),"TE")</f>
        <v>TE</v>
      </c>
      <c r="L236" t="s">
        <v>1478</v>
      </c>
      <c r="M236" t="s">
        <v>1374</v>
      </c>
      <c r="N236" t="s">
        <v>1374</v>
      </c>
      <c r="O236" s="33">
        <v>13185.62</v>
      </c>
    </row>
    <row r="237" spans="1:15" x14ac:dyDescent="0.25">
      <c r="A237" t="s">
        <v>1326</v>
      </c>
      <c r="B237" t="s">
        <v>1375</v>
      </c>
      <c r="C237" t="s">
        <v>10</v>
      </c>
      <c r="D237" t="str">
        <f>VLOOKUP(Pre_Close_AMF_Table[[#This Row],[HFM_Account]],HFM_Acct_OCF_Activity[],3,FALSE)</f>
        <v>Direct</v>
      </c>
      <c r="E237" t="s">
        <v>1210</v>
      </c>
      <c r="F237" t="s">
        <v>1194</v>
      </c>
      <c r="G237" t="s">
        <v>1376</v>
      </c>
      <c r="H237" t="str">
        <f>IF(NOT(ISERROR(FIND("NoICP",Pre_Close_AMF_Table[[#This Row],[GL_ICP]]))),"",Pre_Close_AMF_Table[[#This Row],[GL_ICP]])</f>
        <v/>
      </c>
      <c r="I237" t="s">
        <v>1212</v>
      </c>
      <c r="J237" t="s">
        <v>1478</v>
      </c>
      <c r="K237" t="str">
        <f>IFERROR(VLOOKUP(VALUE(Pre_Close_AMF_Table[[#This Row],[GL_PC]]),BNS_Profit_Centers[],2,FALSE),"TE")</f>
        <v>TE</v>
      </c>
      <c r="L237" t="s">
        <v>1478</v>
      </c>
      <c r="M237" t="s">
        <v>1377</v>
      </c>
      <c r="N237" t="s">
        <v>1374</v>
      </c>
      <c r="O237" s="33">
        <v>9737.57</v>
      </c>
    </row>
    <row r="238" spans="1:15" x14ac:dyDescent="0.25">
      <c r="A238" t="s">
        <v>1326</v>
      </c>
      <c r="B238" t="s">
        <v>1378</v>
      </c>
      <c r="C238" t="s">
        <v>10</v>
      </c>
      <c r="D238" t="str">
        <f>VLOOKUP(Pre_Close_AMF_Table[[#This Row],[HFM_Account]],HFM_Acct_OCF_Activity[],3,FALSE)</f>
        <v>Direct</v>
      </c>
      <c r="E238" t="s">
        <v>1210</v>
      </c>
      <c r="F238" t="s">
        <v>1194</v>
      </c>
      <c r="G238" t="s">
        <v>1379</v>
      </c>
      <c r="H238" t="str">
        <f>IF(NOT(ISERROR(FIND("NoICP",Pre_Close_AMF_Table[[#This Row],[GL_ICP]]))),"",Pre_Close_AMF_Table[[#This Row],[GL_ICP]])</f>
        <v/>
      </c>
      <c r="I238" t="s">
        <v>1212</v>
      </c>
      <c r="J238" t="s">
        <v>1478</v>
      </c>
      <c r="K238" t="str">
        <f>IFERROR(VLOOKUP(VALUE(Pre_Close_AMF_Table[[#This Row],[GL_PC]]),BNS_Profit_Centers[],2,FALSE),"TE")</f>
        <v>TE</v>
      </c>
      <c r="L238" t="s">
        <v>1478</v>
      </c>
      <c r="M238" t="s">
        <v>1380</v>
      </c>
      <c r="N238" t="s">
        <v>1380</v>
      </c>
      <c r="O238" s="33">
        <v>186.64</v>
      </c>
    </row>
    <row r="239" spans="1:15" x14ac:dyDescent="0.25">
      <c r="A239" t="s">
        <v>1326</v>
      </c>
      <c r="B239" t="s">
        <v>1381</v>
      </c>
      <c r="C239" t="s">
        <v>10</v>
      </c>
      <c r="D239" t="str">
        <f>VLOOKUP(Pre_Close_AMF_Table[[#This Row],[HFM_Account]],HFM_Acct_OCF_Activity[],3,FALSE)</f>
        <v>Direct</v>
      </c>
      <c r="E239" t="s">
        <v>1210</v>
      </c>
      <c r="F239" t="s">
        <v>1194</v>
      </c>
      <c r="G239" t="s">
        <v>1382</v>
      </c>
      <c r="H239" t="str">
        <f>IF(NOT(ISERROR(FIND("NoICP",Pre_Close_AMF_Table[[#This Row],[GL_ICP]]))),"",Pre_Close_AMF_Table[[#This Row],[GL_ICP]])</f>
        <v/>
      </c>
      <c r="I239" t="s">
        <v>1212</v>
      </c>
      <c r="J239" t="s">
        <v>1478</v>
      </c>
      <c r="K239" t="str">
        <f>IFERROR(VLOOKUP(VALUE(Pre_Close_AMF_Table[[#This Row],[GL_PC]]),BNS_Profit_Centers[],2,FALSE),"TE")</f>
        <v>TE</v>
      </c>
      <c r="L239" t="s">
        <v>1478</v>
      </c>
      <c r="M239" t="s">
        <v>1383</v>
      </c>
      <c r="N239" t="s">
        <v>1334</v>
      </c>
      <c r="O239" s="33">
        <v>5948.64</v>
      </c>
    </row>
    <row r="240" spans="1:15" x14ac:dyDescent="0.25">
      <c r="A240" t="s">
        <v>1326</v>
      </c>
      <c r="B240" t="s">
        <v>1384</v>
      </c>
      <c r="C240" t="s">
        <v>10</v>
      </c>
      <c r="D240" t="str">
        <f>VLOOKUP(Pre_Close_AMF_Table[[#This Row],[HFM_Account]],HFM_Acct_OCF_Activity[],3,FALSE)</f>
        <v>Direct</v>
      </c>
      <c r="E240" t="s">
        <v>1210</v>
      </c>
      <c r="F240" t="s">
        <v>1194</v>
      </c>
      <c r="G240" t="s">
        <v>1385</v>
      </c>
      <c r="H240" t="str">
        <f>IF(NOT(ISERROR(FIND("NoICP",Pre_Close_AMF_Table[[#This Row],[GL_ICP]]))),"",Pre_Close_AMF_Table[[#This Row],[GL_ICP]])</f>
        <v/>
      </c>
      <c r="I240" t="s">
        <v>1212</v>
      </c>
      <c r="J240" t="s">
        <v>1478</v>
      </c>
      <c r="K240" t="str">
        <f>IFERROR(VLOOKUP(VALUE(Pre_Close_AMF_Table[[#This Row],[GL_PC]]),BNS_Profit_Centers[],2,FALSE),"TE")</f>
        <v>TE</v>
      </c>
      <c r="L240" t="s">
        <v>1478</v>
      </c>
      <c r="M240" t="s">
        <v>1386</v>
      </c>
      <c r="N240" t="s">
        <v>1386</v>
      </c>
      <c r="O240" s="33">
        <v>201.66</v>
      </c>
    </row>
    <row r="241" spans="1:15" x14ac:dyDescent="0.25">
      <c r="A241" t="s">
        <v>1326</v>
      </c>
      <c r="B241" t="s">
        <v>1387</v>
      </c>
      <c r="C241" t="s">
        <v>10</v>
      </c>
      <c r="D241" t="str">
        <f>VLOOKUP(Pre_Close_AMF_Table[[#This Row],[HFM_Account]],HFM_Acct_OCF_Activity[],3,FALSE)</f>
        <v>Direct</v>
      </c>
      <c r="E241" t="s">
        <v>1210</v>
      </c>
      <c r="F241" t="s">
        <v>1194</v>
      </c>
      <c r="G241" t="s">
        <v>1388</v>
      </c>
      <c r="H241" t="str">
        <f>IF(NOT(ISERROR(FIND("NoICP",Pre_Close_AMF_Table[[#This Row],[GL_ICP]]))),"",Pre_Close_AMF_Table[[#This Row],[GL_ICP]])</f>
        <v/>
      </c>
      <c r="I241" t="s">
        <v>1212</v>
      </c>
      <c r="J241" t="s">
        <v>1478</v>
      </c>
      <c r="K241" t="str">
        <f>IFERROR(VLOOKUP(VALUE(Pre_Close_AMF_Table[[#This Row],[GL_PC]]),BNS_Profit_Centers[],2,FALSE),"TE")</f>
        <v>TE</v>
      </c>
      <c r="L241" t="s">
        <v>1478</v>
      </c>
      <c r="M241" t="s">
        <v>1389</v>
      </c>
      <c r="N241" t="s">
        <v>1390</v>
      </c>
      <c r="O241" s="33">
        <v>3538.59</v>
      </c>
    </row>
    <row r="242" spans="1:15" x14ac:dyDescent="0.25">
      <c r="A242" t="s">
        <v>1326</v>
      </c>
      <c r="B242" t="s">
        <v>1391</v>
      </c>
      <c r="C242" t="s">
        <v>10</v>
      </c>
      <c r="D242" t="str">
        <f>VLOOKUP(Pre_Close_AMF_Table[[#This Row],[HFM_Account]],HFM_Acct_OCF_Activity[],3,FALSE)</f>
        <v>Direct</v>
      </c>
      <c r="E242" t="s">
        <v>1210</v>
      </c>
      <c r="F242" t="s">
        <v>1194</v>
      </c>
      <c r="G242" t="s">
        <v>1392</v>
      </c>
      <c r="H242" t="str">
        <f>IF(NOT(ISERROR(FIND("NoICP",Pre_Close_AMF_Table[[#This Row],[GL_ICP]]))),"",Pre_Close_AMF_Table[[#This Row],[GL_ICP]])</f>
        <v/>
      </c>
      <c r="I242" t="s">
        <v>1212</v>
      </c>
      <c r="J242" t="s">
        <v>1478</v>
      </c>
      <c r="K242" t="str">
        <f>IFERROR(VLOOKUP(VALUE(Pre_Close_AMF_Table[[#This Row],[GL_PC]]),BNS_Profit_Centers[],2,FALSE),"TE")</f>
        <v>TE</v>
      </c>
      <c r="L242" t="s">
        <v>1478</v>
      </c>
      <c r="M242" t="s">
        <v>1393</v>
      </c>
      <c r="N242" t="s">
        <v>1390</v>
      </c>
      <c r="O242" s="33">
        <v>958.15</v>
      </c>
    </row>
    <row r="243" spans="1:15" x14ac:dyDescent="0.25">
      <c r="A243" t="s">
        <v>1326</v>
      </c>
      <c r="B243" t="s">
        <v>1394</v>
      </c>
      <c r="C243" t="s">
        <v>10</v>
      </c>
      <c r="D243" t="str">
        <f>VLOOKUP(Pre_Close_AMF_Table[[#This Row],[HFM_Account]],HFM_Acct_OCF_Activity[],3,FALSE)</f>
        <v>Direct</v>
      </c>
      <c r="E243" t="s">
        <v>1210</v>
      </c>
      <c r="F243" t="s">
        <v>1194</v>
      </c>
      <c r="G243" t="s">
        <v>1395</v>
      </c>
      <c r="H243" t="str">
        <f>IF(NOT(ISERROR(FIND("NoICP",Pre_Close_AMF_Table[[#This Row],[GL_ICP]]))),"",Pre_Close_AMF_Table[[#This Row],[GL_ICP]])</f>
        <v/>
      </c>
      <c r="I243" t="s">
        <v>1212</v>
      </c>
      <c r="J243" t="s">
        <v>1478</v>
      </c>
      <c r="K243" t="str">
        <f>IFERROR(VLOOKUP(VALUE(Pre_Close_AMF_Table[[#This Row],[GL_PC]]),BNS_Profit_Centers[],2,FALSE),"TE")</f>
        <v>TE</v>
      </c>
      <c r="L243" t="s">
        <v>1478</v>
      </c>
      <c r="M243" t="s">
        <v>1396</v>
      </c>
      <c r="N243" t="s">
        <v>1390</v>
      </c>
      <c r="O243" s="33">
        <v>1362</v>
      </c>
    </row>
    <row r="244" spans="1:15" x14ac:dyDescent="0.25">
      <c r="A244" t="s">
        <v>1326</v>
      </c>
      <c r="B244" t="s">
        <v>1397</v>
      </c>
      <c r="C244" t="s">
        <v>10</v>
      </c>
      <c r="D244" t="str">
        <f>VLOOKUP(Pre_Close_AMF_Table[[#This Row],[HFM_Account]],HFM_Acct_OCF_Activity[],3,FALSE)</f>
        <v>Direct</v>
      </c>
      <c r="E244" t="s">
        <v>1210</v>
      </c>
      <c r="F244" t="s">
        <v>1194</v>
      </c>
      <c r="G244" t="s">
        <v>1398</v>
      </c>
      <c r="H244" t="str">
        <f>IF(NOT(ISERROR(FIND("NoICP",Pre_Close_AMF_Table[[#This Row],[GL_ICP]]))),"",Pre_Close_AMF_Table[[#This Row],[GL_ICP]])</f>
        <v/>
      </c>
      <c r="I244" t="s">
        <v>1212</v>
      </c>
      <c r="J244" t="s">
        <v>1478</v>
      </c>
      <c r="K244" t="str">
        <f>IFERROR(VLOOKUP(VALUE(Pre_Close_AMF_Table[[#This Row],[GL_PC]]),BNS_Profit_Centers[],2,FALSE),"TE")</f>
        <v>TE</v>
      </c>
      <c r="L244" t="s">
        <v>1478</v>
      </c>
      <c r="M244" t="s">
        <v>1399</v>
      </c>
      <c r="N244" t="s">
        <v>1390</v>
      </c>
      <c r="O244" s="33">
        <v>252.7</v>
      </c>
    </row>
    <row r="245" spans="1:15" x14ac:dyDescent="0.25">
      <c r="A245" t="s">
        <v>1326</v>
      </c>
      <c r="B245" t="s">
        <v>1400</v>
      </c>
      <c r="C245" t="s">
        <v>10</v>
      </c>
      <c r="D245" t="str">
        <f>VLOOKUP(Pre_Close_AMF_Table[[#This Row],[HFM_Account]],HFM_Acct_OCF_Activity[],3,FALSE)</f>
        <v>Direct</v>
      </c>
      <c r="E245" t="s">
        <v>1210</v>
      </c>
      <c r="F245" t="s">
        <v>1194</v>
      </c>
      <c r="G245" t="s">
        <v>1401</v>
      </c>
      <c r="H245" t="str">
        <f>IF(NOT(ISERROR(FIND("NoICP",Pre_Close_AMF_Table[[#This Row],[GL_ICP]]))),"",Pre_Close_AMF_Table[[#This Row],[GL_ICP]])</f>
        <v/>
      </c>
      <c r="I245" t="s">
        <v>1212</v>
      </c>
      <c r="J245" t="s">
        <v>1478</v>
      </c>
      <c r="K245" t="str">
        <f>IFERROR(VLOOKUP(VALUE(Pre_Close_AMF_Table[[#This Row],[GL_PC]]),BNS_Profit_Centers[],2,FALSE),"TE")</f>
        <v>TE</v>
      </c>
      <c r="L245" t="s">
        <v>1478</v>
      </c>
      <c r="M245" t="s">
        <v>1402</v>
      </c>
      <c r="N245" t="s">
        <v>1390</v>
      </c>
      <c r="O245" s="33">
        <v>15.96</v>
      </c>
    </row>
    <row r="246" spans="1:15" x14ac:dyDescent="0.25">
      <c r="A246" t="s">
        <v>1326</v>
      </c>
      <c r="B246" t="s">
        <v>1403</v>
      </c>
      <c r="C246" t="s">
        <v>10</v>
      </c>
      <c r="D246" t="str">
        <f>VLOOKUP(Pre_Close_AMF_Table[[#This Row],[HFM_Account]],HFM_Acct_OCF_Activity[],3,FALSE)</f>
        <v>Direct</v>
      </c>
      <c r="E246" t="s">
        <v>1210</v>
      </c>
      <c r="F246" t="s">
        <v>1194</v>
      </c>
      <c r="G246" t="s">
        <v>1404</v>
      </c>
      <c r="H246" t="str">
        <f>IF(NOT(ISERROR(FIND("NoICP",Pre_Close_AMF_Table[[#This Row],[GL_ICP]]))),"",Pre_Close_AMF_Table[[#This Row],[GL_ICP]])</f>
        <v/>
      </c>
      <c r="I246" t="s">
        <v>1212</v>
      </c>
      <c r="J246" t="s">
        <v>1478</v>
      </c>
      <c r="K246" t="str">
        <f>IFERROR(VLOOKUP(VALUE(Pre_Close_AMF_Table[[#This Row],[GL_PC]]),BNS_Profit_Centers[],2,FALSE),"TE")</f>
        <v>TE</v>
      </c>
      <c r="L246" t="s">
        <v>1478</v>
      </c>
      <c r="M246" t="s">
        <v>1405</v>
      </c>
      <c r="N246" t="s">
        <v>1390</v>
      </c>
      <c r="O246" s="33">
        <v>1209.24</v>
      </c>
    </row>
    <row r="247" spans="1:15" x14ac:dyDescent="0.25">
      <c r="A247" t="s">
        <v>1326</v>
      </c>
      <c r="B247" t="s">
        <v>1406</v>
      </c>
      <c r="C247" t="s">
        <v>10</v>
      </c>
      <c r="D247" t="str">
        <f>VLOOKUP(Pre_Close_AMF_Table[[#This Row],[HFM_Account]],HFM_Acct_OCF_Activity[],3,FALSE)</f>
        <v>Direct</v>
      </c>
      <c r="E247" t="s">
        <v>1210</v>
      </c>
      <c r="F247" t="s">
        <v>1194</v>
      </c>
      <c r="G247" t="s">
        <v>1407</v>
      </c>
      <c r="H247" t="str">
        <f>IF(NOT(ISERROR(FIND("NoICP",Pre_Close_AMF_Table[[#This Row],[GL_ICP]]))),"",Pre_Close_AMF_Table[[#This Row],[GL_ICP]])</f>
        <v/>
      </c>
      <c r="I247" t="s">
        <v>1212</v>
      </c>
      <c r="J247" t="s">
        <v>1478</v>
      </c>
      <c r="K247" t="str">
        <f>IFERROR(VLOOKUP(VALUE(Pre_Close_AMF_Table[[#This Row],[GL_PC]]),BNS_Profit_Centers[],2,FALSE),"TE")</f>
        <v>TE</v>
      </c>
      <c r="L247" t="s">
        <v>1478</v>
      </c>
      <c r="M247" t="s">
        <v>1408</v>
      </c>
      <c r="N247" t="s">
        <v>1390</v>
      </c>
      <c r="O247" s="33">
        <v>575.78</v>
      </c>
    </row>
    <row r="248" spans="1:15" x14ac:dyDescent="0.25">
      <c r="A248" t="s">
        <v>1326</v>
      </c>
      <c r="B248" t="s">
        <v>1462</v>
      </c>
      <c r="C248" t="s">
        <v>10</v>
      </c>
      <c r="D248" t="str">
        <f>VLOOKUP(Pre_Close_AMF_Table[[#This Row],[HFM_Account]],HFM_Acct_OCF_Activity[],3,FALSE)</f>
        <v>Direct</v>
      </c>
      <c r="E248" t="s">
        <v>1210</v>
      </c>
      <c r="F248" t="s">
        <v>1194</v>
      </c>
      <c r="G248" t="s">
        <v>1463</v>
      </c>
      <c r="H248" t="str">
        <f>IF(NOT(ISERROR(FIND("NoICP",Pre_Close_AMF_Table[[#This Row],[GL_ICP]]))),"",Pre_Close_AMF_Table[[#This Row],[GL_ICP]])</f>
        <v/>
      </c>
      <c r="I248" t="s">
        <v>1212</v>
      </c>
      <c r="J248" t="s">
        <v>1478</v>
      </c>
      <c r="K248" t="str">
        <f>IFERROR(VLOOKUP(VALUE(Pre_Close_AMF_Table[[#This Row],[GL_PC]]),BNS_Profit_Centers[],2,FALSE),"TE")</f>
        <v>TE</v>
      </c>
      <c r="L248" t="s">
        <v>1478</v>
      </c>
      <c r="M248" t="s">
        <v>1464</v>
      </c>
      <c r="N248" t="s">
        <v>1390</v>
      </c>
      <c r="O248" s="33">
        <v>60</v>
      </c>
    </row>
    <row r="249" spans="1:15" x14ac:dyDescent="0.25">
      <c r="A249" t="s">
        <v>1326</v>
      </c>
      <c r="B249" t="s">
        <v>1409</v>
      </c>
      <c r="C249" t="s">
        <v>10</v>
      </c>
      <c r="D249" t="str">
        <f>VLOOKUP(Pre_Close_AMF_Table[[#This Row],[HFM_Account]],HFM_Acct_OCF_Activity[],3,FALSE)</f>
        <v>Direct</v>
      </c>
      <c r="E249" t="s">
        <v>1210</v>
      </c>
      <c r="F249" t="s">
        <v>1194</v>
      </c>
      <c r="G249" t="s">
        <v>1410</v>
      </c>
      <c r="H249" t="str">
        <f>IF(NOT(ISERROR(FIND("NoICP",Pre_Close_AMF_Table[[#This Row],[GL_ICP]]))),"",Pre_Close_AMF_Table[[#This Row],[GL_ICP]])</f>
        <v/>
      </c>
      <c r="I249" t="s">
        <v>1212</v>
      </c>
      <c r="J249" t="s">
        <v>1478</v>
      </c>
      <c r="K249" t="str">
        <f>IFERROR(VLOOKUP(VALUE(Pre_Close_AMF_Table[[#This Row],[GL_PC]]),BNS_Profit_Centers[],2,FALSE),"TE")</f>
        <v>TE</v>
      </c>
      <c r="L249" t="s">
        <v>1478</v>
      </c>
      <c r="M249" t="s">
        <v>1411</v>
      </c>
      <c r="N249" t="s">
        <v>1390</v>
      </c>
      <c r="O249" s="33">
        <v>291</v>
      </c>
    </row>
    <row r="250" spans="1:15" x14ac:dyDescent="0.25">
      <c r="A250" t="s">
        <v>1326</v>
      </c>
      <c r="B250" t="s">
        <v>1412</v>
      </c>
      <c r="C250" t="s">
        <v>10</v>
      </c>
      <c r="D250" t="str">
        <f>VLOOKUP(Pre_Close_AMF_Table[[#This Row],[HFM_Account]],HFM_Acct_OCF_Activity[],3,FALSE)</f>
        <v>Direct</v>
      </c>
      <c r="E250" t="s">
        <v>1210</v>
      </c>
      <c r="F250" t="s">
        <v>1194</v>
      </c>
      <c r="G250" t="s">
        <v>1413</v>
      </c>
      <c r="H250" t="str">
        <f>IF(NOT(ISERROR(FIND("NoICP",Pre_Close_AMF_Table[[#This Row],[GL_ICP]]))),"",Pre_Close_AMF_Table[[#This Row],[GL_ICP]])</f>
        <v/>
      </c>
      <c r="I250" t="s">
        <v>1212</v>
      </c>
      <c r="J250" t="s">
        <v>1478</v>
      </c>
      <c r="K250" t="str">
        <f>IFERROR(VLOOKUP(VALUE(Pre_Close_AMF_Table[[#This Row],[GL_PC]]),BNS_Profit_Centers[],2,FALSE),"TE")</f>
        <v>TE</v>
      </c>
      <c r="L250" t="s">
        <v>1478</v>
      </c>
      <c r="M250" t="s">
        <v>1414</v>
      </c>
      <c r="N250" t="s">
        <v>1415</v>
      </c>
      <c r="O250" s="33">
        <v>2787.74</v>
      </c>
    </row>
    <row r="251" spans="1:15" x14ac:dyDescent="0.25">
      <c r="A251" t="s">
        <v>1326</v>
      </c>
      <c r="B251" t="s">
        <v>1416</v>
      </c>
      <c r="C251" t="s">
        <v>10</v>
      </c>
      <c r="D251" t="str">
        <f>VLOOKUP(Pre_Close_AMF_Table[[#This Row],[HFM_Account]],HFM_Acct_OCF_Activity[],3,FALSE)</f>
        <v>Direct</v>
      </c>
      <c r="E251" t="s">
        <v>1210</v>
      </c>
      <c r="F251" t="s">
        <v>1194</v>
      </c>
      <c r="G251" t="s">
        <v>1417</v>
      </c>
      <c r="H251" t="str">
        <f>IF(NOT(ISERROR(FIND("NoICP",Pre_Close_AMF_Table[[#This Row],[GL_ICP]]))),"",Pre_Close_AMF_Table[[#This Row],[GL_ICP]])</f>
        <v/>
      </c>
      <c r="I251" t="s">
        <v>1212</v>
      </c>
      <c r="J251" t="s">
        <v>1478</v>
      </c>
      <c r="K251" t="str">
        <f>IFERROR(VLOOKUP(VALUE(Pre_Close_AMF_Table[[#This Row],[GL_PC]]),BNS_Profit_Centers[],2,FALSE),"TE")</f>
        <v>TE</v>
      </c>
      <c r="L251" t="s">
        <v>1478</v>
      </c>
      <c r="M251" t="s">
        <v>1418</v>
      </c>
      <c r="N251" t="s">
        <v>1415</v>
      </c>
      <c r="O251" s="33">
        <v>5857.14</v>
      </c>
    </row>
    <row r="252" spans="1:15" x14ac:dyDescent="0.25">
      <c r="A252" t="s">
        <v>1326</v>
      </c>
      <c r="B252" t="s">
        <v>1429</v>
      </c>
      <c r="C252" t="s">
        <v>10</v>
      </c>
      <c r="D252" t="str">
        <f>VLOOKUP(Pre_Close_AMF_Table[[#This Row],[HFM_Account]],HFM_Acct_OCF_Activity[],3,FALSE)</f>
        <v>Direct</v>
      </c>
      <c r="E252" t="s">
        <v>1210</v>
      </c>
      <c r="F252" t="s">
        <v>1194</v>
      </c>
      <c r="G252" t="s">
        <v>1430</v>
      </c>
      <c r="H252" t="str">
        <f>IF(NOT(ISERROR(FIND("NoICP",Pre_Close_AMF_Table[[#This Row],[GL_ICP]]))),"",Pre_Close_AMF_Table[[#This Row],[GL_ICP]])</f>
        <v/>
      </c>
      <c r="I252" t="s">
        <v>1212</v>
      </c>
      <c r="J252" t="s">
        <v>1478</v>
      </c>
      <c r="K252" t="str">
        <f>IFERROR(VLOOKUP(VALUE(Pre_Close_AMF_Table[[#This Row],[GL_PC]]),BNS_Profit_Centers[],2,FALSE),"TE")</f>
        <v>TE</v>
      </c>
      <c r="L252" t="s">
        <v>1478</v>
      </c>
      <c r="M252" t="s">
        <v>1431</v>
      </c>
      <c r="N252" t="s">
        <v>1432</v>
      </c>
      <c r="O252" s="33">
        <v>21.77</v>
      </c>
    </row>
    <row r="253" spans="1:15" x14ac:dyDescent="0.25">
      <c r="A253" t="s">
        <v>1326</v>
      </c>
      <c r="B253" t="s">
        <v>1422</v>
      </c>
      <c r="C253" t="s">
        <v>10</v>
      </c>
      <c r="D253" t="str">
        <f>VLOOKUP(Pre_Close_AMF_Table[[#This Row],[HFM_Account]],HFM_Acct_OCF_Activity[],3,FALSE)</f>
        <v>Direct</v>
      </c>
      <c r="E253" t="s">
        <v>1210</v>
      </c>
      <c r="F253" t="s">
        <v>1194</v>
      </c>
      <c r="G253" t="s">
        <v>1423</v>
      </c>
      <c r="H253" t="str">
        <f>IF(NOT(ISERROR(FIND("NoICP",Pre_Close_AMF_Table[[#This Row],[GL_ICP]]))),"",Pre_Close_AMF_Table[[#This Row],[GL_ICP]])</f>
        <v/>
      </c>
      <c r="I253" t="s">
        <v>1212</v>
      </c>
      <c r="J253" t="s">
        <v>1478</v>
      </c>
      <c r="K253" t="str">
        <f>IFERROR(VLOOKUP(VALUE(Pre_Close_AMF_Table[[#This Row],[GL_PC]]),BNS_Profit_Centers[],2,FALSE),"TE")</f>
        <v>TE</v>
      </c>
      <c r="L253" t="s">
        <v>1478</v>
      </c>
      <c r="M253" t="s">
        <v>1424</v>
      </c>
      <c r="N253" t="s">
        <v>1424</v>
      </c>
      <c r="O253" s="33">
        <v>35.14</v>
      </c>
    </row>
    <row r="254" spans="1:15" x14ac:dyDescent="0.25">
      <c r="A254" t="s">
        <v>1479</v>
      </c>
      <c r="B254" t="s">
        <v>1480</v>
      </c>
      <c r="C254" t="s">
        <v>54</v>
      </c>
      <c r="D254" t="str">
        <f>VLOOKUP(Pre_Close_AMF_Table[[#This Row],[HFM_Account]],HFM_Acct_OCF_Activity[],3,FALSE)</f>
        <v>Exclude</v>
      </c>
      <c r="E254" t="s">
        <v>1210</v>
      </c>
      <c r="F254" t="s">
        <v>1194</v>
      </c>
      <c r="G254" t="s">
        <v>1481</v>
      </c>
      <c r="H254" t="str">
        <f>IF(NOT(ISERROR(FIND("NoICP",Pre_Close_AMF_Table[[#This Row],[GL_ICP]]))),"",Pre_Close_AMF_Table[[#This Row],[GL_ICP]])</f>
        <v/>
      </c>
      <c r="I254" t="s">
        <v>1212</v>
      </c>
      <c r="J254" t="s">
        <v>1213</v>
      </c>
      <c r="K254" t="str">
        <f>IFERROR(VLOOKUP(VALUE(Pre_Close_AMF_Table[[#This Row],[GL_PC]]),BNS_Profit_Centers[],2,FALSE),"TE")</f>
        <v>TE</v>
      </c>
      <c r="L254" t="s">
        <v>1213</v>
      </c>
      <c r="M254" t="s">
        <v>1479</v>
      </c>
      <c r="N254" t="s">
        <v>1482</v>
      </c>
      <c r="O254" s="33">
        <v>-7.9</v>
      </c>
    </row>
    <row r="255" spans="1:15" x14ac:dyDescent="0.25">
      <c r="A255" t="s">
        <v>1483</v>
      </c>
      <c r="B255" t="s">
        <v>1484</v>
      </c>
      <c r="C255" t="s">
        <v>62</v>
      </c>
      <c r="D255" t="str">
        <f>VLOOKUP(Pre_Close_AMF_Table[[#This Row],[HFM_Account]],HFM_Acct_OCF_Activity[],3,FALSE)</f>
        <v>Indirect</v>
      </c>
      <c r="E255" t="s">
        <v>1210</v>
      </c>
      <c r="F255" t="s">
        <v>1194</v>
      </c>
      <c r="G255" t="s">
        <v>1485</v>
      </c>
      <c r="H255" t="str">
        <f>IF(NOT(ISERROR(FIND("NoICP",Pre_Close_AMF_Table[[#This Row],[GL_ICP]]))),"",Pre_Close_AMF_Table[[#This Row],[GL_ICP]])</f>
        <v/>
      </c>
      <c r="I255" t="s">
        <v>1212</v>
      </c>
      <c r="J255" t="s">
        <v>1213</v>
      </c>
      <c r="K255" t="str">
        <f>IFERROR(VLOOKUP(VALUE(Pre_Close_AMF_Table[[#This Row],[GL_PC]]),BNS_Profit_Centers[],2,FALSE),"TE")</f>
        <v>TE</v>
      </c>
      <c r="L255" t="s">
        <v>1213</v>
      </c>
      <c r="M255" t="s">
        <v>1483</v>
      </c>
      <c r="N255" t="s">
        <v>1482</v>
      </c>
      <c r="O255" s="33">
        <v>7.25</v>
      </c>
    </row>
    <row r="256" spans="1:15" x14ac:dyDescent="0.25">
      <c r="A256" t="s">
        <v>1486</v>
      </c>
      <c r="B256" t="s">
        <v>1487</v>
      </c>
      <c r="C256" t="s">
        <v>127</v>
      </c>
      <c r="D256" t="str">
        <f>VLOOKUP(Pre_Close_AMF_Table[[#This Row],[HFM_Account]],HFM_Acct_OCF_Activity[],3,FALSE)</f>
        <v>Direct</v>
      </c>
      <c r="E256" t="s">
        <v>1210</v>
      </c>
      <c r="F256" t="s">
        <v>1194</v>
      </c>
      <c r="G256" t="s">
        <v>1488</v>
      </c>
      <c r="H256" t="str">
        <f>IF(NOT(ISERROR(FIND("NoICP",Pre_Close_AMF_Table[[#This Row],[GL_ICP]]))),"",Pre_Close_AMF_Table[[#This Row],[GL_ICP]])</f>
        <v/>
      </c>
      <c r="I256" t="s">
        <v>1212</v>
      </c>
      <c r="J256" t="s">
        <v>1489</v>
      </c>
      <c r="K256" t="str">
        <f>IFERROR(VLOOKUP(VALUE(Pre_Close_AMF_Table[[#This Row],[GL_PC]]),BNS_Profit_Centers[],2,FALSE),"TE")</f>
        <v>TE</v>
      </c>
      <c r="L256" t="s">
        <v>1489</v>
      </c>
      <c r="M256" t="s">
        <v>1486</v>
      </c>
      <c r="N256" t="s">
        <v>1482</v>
      </c>
      <c r="O256" s="33">
        <v>-0.42</v>
      </c>
    </row>
    <row r="257" spans="1:15" x14ac:dyDescent="0.25">
      <c r="A257" t="s">
        <v>1486</v>
      </c>
      <c r="B257" t="s">
        <v>1487</v>
      </c>
      <c r="C257" t="s">
        <v>127</v>
      </c>
      <c r="D257" t="str">
        <f>VLOOKUP(Pre_Close_AMF_Table[[#This Row],[HFM_Account]],HFM_Acct_OCF_Activity[],3,FALSE)</f>
        <v>Direct</v>
      </c>
      <c r="E257" t="s">
        <v>1210</v>
      </c>
      <c r="F257" t="s">
        <v>1194</v>
      </c>
      <c r="G257" t="s">
        <v>1488</v>
      </c>
      <c r="H257" t="str">
        <f>IF(NOT(ISERROR(FIND("NoICP",Pre_Close_AMF_Table[[#This Row],[GL_ICP]]))),"",Pre_Close_AMF_Table[[#This Row],[GL_ICP]])</f>
        <v/>
      </c>
      <c r="I257" t="s">
        <v>1212</v>
      </c>
      <c r="J257" t="s">
        <v>1490</v>
      </c>
      <c r="K257" t="str">
        <f>IFERROR(VLOOKUP(VALUE(Pre_Close_AMF_Table[[#This Row],[GL_PC]]),BNS_Profit_Centers[],2,FALSE),"TE")</f>
        <v>BNS</v>
      </c>
      <c r="L257" t="s">
        <v>1490</v>
      </c>
      <c r="M257" t="s">
        <v>1486</v>
      </c>
      <c r="N257" t="s">
        <v>1482</v>
      </c>
      <c r="O257" s="33">
        <v>-0.86</v>
      </c>
    </row>
    <row r="258" spans="1:15" x14ac:dyDescent="0.25">
      <c r="A258" t="s">
        <v>1486</v>
      </c>
      <c r="B258" t="s">
        <v>1487</v>
      </c>
      <c r="C258" t="s">
        <v>127</v>
      </c>
      <c r="D258" t="str">
        <f>VLOOKUP(Pre_Close_AMF_Table[[#This Row],[HFM_Account]],HFM_Acct_OCF_Activity[],3,FALSE)</f>
        <v>Direct</v>
      </c>
      <c r="E258" t="s">
        <v>1210</v>
      </c>
      <c r="F258" t="s">
        <v>1194</v>
      </c>
      <c r="G258" t="s">
        <v>1488</v>
      </c>
      <c r="H258" t="str">
        <f>IF(NOT(ISERROR(FIND("NoICP",Pre_Close_AMF_Table[[#This Row],[GL_ICP]]))),"",Pre_Close_AMF_Table[[#This Row],[GL_ICP]])</f>
        <v/>
      </c>
      <c r="I258" t="s">
        <v>1212</v>
      </c>
      <c r="J258" t="s">
        <v>1491</v>
      </c>
      <c r="K258" t="str">
        <f>IFERROR(VLOOKUP(VALUE(Pre_Close_AMF_Table[[#This Row],[GL_PC]]),BNS_Profit_Centers[],2,FALSE),"TE")</f>
        <v>TE</v>
      </c>
      <c r="L258" t="s">
        <v>1491</v>
      </c>
      <c r="M258" t="s">
        <v>1486</v>
      </c>
      <c r="N258" t="s">
        <v>1482</v>
      </c>
      <c r="O258" s="33">
        <v>-1.21</v>
      </c>
    </row>
    <row r="259" spans="1:15" x14ac:dyDescent="0.25">
      <c r="A259" t="s">
        <v>1486</v>
      </c>
      <c r="B259" t="s">
        <v>1487</v>
      </c>
      <c r="C259" t="s">
        <v>127</v>
      </c>
      <c r="D259" t="str">
        <f>VLOOKUP(Pre_Close_AMF_Table[[#This Row],[HFM_Account]],HFM_Acct_OCF_Activity[],3,FALSE)</f>
        <v>Direct</v>
      </c>
      <c r="E259" t="s">
        <v>1210</v>
      </c>
      <c r="F259" t="s">
        <v>1194</v>
      </c>
      <c r="G259" t="s">
        <v>1488</v>
      </c>
      <c r="H259" t="str">
        <f>IF(NOT(ISERROR(FIND("NoICP",Pre_Close_AMF_Table[[#This Row],[GL_ICP]]))),"",Pre_Close_AMF_Table[[#This Row],[GL_ICP]])</f>
        <v/>
      </c>
      <c r="I259" t="s">
        <v>1212</v>
      </c>
      <c r="J259" t="s">
        <v>1492</v>
      </c>
      <c r="K259" t="str">
        <f>IFERROR(VLOOKUP(VALUE(Pre_Close_AMF_Table[[#This Row],[GL_PC]]),BNS_Profit_Centers[],2,FALSE),"TE")</f>
        <v>BNS</v>
      </c>
      <c r="L259" t="s">
        <v>1492</v>
      </c>
      <c r="M259" t="s">
        <v>1486</v>
      </c>
      <c r="N259" t="s">
        <v>1482</v>
      </c>
      <c r="O259" s="33">
        <v>-0.21</v>
      </c>
    </row>
    <row r="260" spans="1:15" x14ac:dyDescent="0.25">
      <c r="A260" t="s">
        <v>1486</v>
      </c>
      <c r="B260" t="s">
        <v>1487</v>
      </c>
      <c r="C260" t="s">
        <v>127</v>
      </c>
      <c r="D260" t="str">
        <f>VLOOKUP(Pre_Close_AMF_Table[[#This Row],[HFM_Account]],HFM_Acct_OCF_Activity[],3,FALSE)</f>
        <v>Direct</v>
      </c>
      <c r="E260" t="s">
        <v>1210</v>
      </c>
      <c r="F260" t="s">
        <v>1194</v>
      </c>
      <c r="G260" t="s">
        <v>1488</v>
      </c>
      <c r="H260" t="str">
        <f>IF(NOT(ISERROR(FIND("NoICP",Pre_Close_AMF_Table[[#This Row],[GL_ICP]]))),"",Pre_Close_AMF_Table[[#This Row],[GL_ICP]])</f>
        <v/>
      </c>
      <c r="I260" t="s">
        <v>1212</v>
      </c>
      <c r="J260" t="s">
        <v>1425</v>
      </c>
      <c r="K260" t="str">
        <f>IFERROR(VLOOKUP(VALUE(Pre_Close_AMF_Table[[#This Row],[GL_PC]]),BNS_Profit_Centers[],2,FALSE),"TE")</f>
        <v>TE</v>
      </c>
      <c r="L260" t="s">
        <v>1425</v>
      </c>
      <c r="M260" t="s">
        <v>1486</v>
      </c>
      <c r="N260" t="s">
        <v>1482</v>
      </c>
      <c r="O260" s="33">
        <v>-0.79</v>
      </c>
    </row>
    <row r="261" spans="1:15" x14ac:dyDescent="0.25">
      <c r="A261" t="s">
        <v>1493</v>
      </c>
      <c r="B261" t="s">
        <v>1494</v>
      </c>
      <c r="C261" t="s">
        <v>127</v>
      </c>
      <c r="D261" t="str">
        <f>VLOOKUP(Pre_Close_AMF_Table[[#This Row],[HFM_Account]],HFM_Acct_OCF_Activity[],3,FALSE)</f>
        <v>Direct</v>
      </c>
      <c r="E261" t="s">
        <v>1210</v>
      </c>
      <c r="F261" t="s">
        <v>1194</v>
      </c>
      <c r="G261" t="s">
        <v>1495</v>
      </c>
      <c r="H261" t="str">
        <f>IF(NOT(ISERROR(FIND("NoICP",Pre_Close_AMF_Table[[#This Row],[GL_ICP]]))),"",Pre_Close_AMF_Table[[#This Row],[GL_ICP]])</f>
        <v/>
      </c>
      <c r="I261" t="s">
        <v>1212</v>
      </c>
      <c r="J261" t="s">
        <v>1425</v>
      </c>
      <c r="K261" t="str">
        <f>IFERROR(VLOOKUP(VALUE(Pre_Close_AMF_Table[[#This Row],[GL_PC]]),BNS_Profit_Centers[],2,FALSE),"TE")</f>
        <v>TE</v>
      </c>
      <c r="L261" t="s">
        <v>1425</v>
      </c>
      <c r="M261" t="s">
        <v>1493</v>
      </c>
      <c r="N261" t="s">
        <v>1482</v>
      </c>
      <c r="O261" s="33">
        <v>956.91</v>
      </c>
    </row>
    <row r="262" spans="1:15" x14ac:dyDescent="0.25">
      <c r="A262" t="s">
        <v>1493</v>
      </c>
      <c r="B262" t="s">
        <v>1494</v>
      </c>
      <c r="C262" t="s">
        <v>127</v>
      </c>
      <c r="D262" t="str">
        <f>VLOOKUP(Pre_Close_AMF_Table[[#This Row],[HFM_Account]],HFM_Acct_OCF_Activity[],3,FALSE)</f>
        <v>Direct</v>
      </c>
      <c r="E262" t="s">
        <v>1210</v>
      </c>
      <c r="F262" t="s">
        <v>1194</v>
      </c>
      <c r="G262" t="s">
        <v>1495</v>
      </c>
      <c r="H262" t="str">
        <f>IF(NOT(ISERROR(FIND("NoICP",Pre_Close_AMF_Table[[#This Row],[GL_ICP]]))),"",Pre_Close_AMF_Table[[#This Row],[GL_ICP]])</f>
        <v/>
      </c>
      <c r="I262" t="s">
        <v>1212</v>
      </c>
      <c r="J262" t="s">
        <v>1492</v>
      </c>
      <c r="K262" t="str">
        <f>IFERROR(VLOOKUP(VALUE(Pre_Close_AMF_Table[[#This Row],[GL_PC]]),BNS_Profit_Centers[],2,FALSE),"TE")</f>
        <v>BNS</v>
      </c>
      <c r="L262" t="s">
        <v>1492</v>
      </c>
      <c r="M262" t="s">
        <v>1493</v>
      </c>
      <c r="N262" t="s">
        <v>1482</v>
      </c>
      <c r="O262" s="33">
        <v>254.69</v>
      </c>
    </row>
    <row r="263" spans="1:15" x14ac:dyDescent="0.25">
      <c r="A263" t="s">
        <v>1493</v>
      </c>
      <c r="B263" t="s">
        <v>1494</v>
      </c>
      <c r="C263" t="s">
        <v>127</v>
      </c>
      <c r="D263" t="str">
        <f>VLOOKUP(Pre_Close_AMF_Table[[#This Row],[HFM_Account]],HFM_Acct_OCF_Activity[],3,FALSE)</f>
        <v>Direct</v>
      </c>
      <c r="E263" t="s">
        <v>1210</v>
      </c>
      <c r="F263" t="s">
        <v>1194</v>
      </c>
      <c r="G263" t="s">
        <v>1495</v>
      </c>
      <c r="H263" t="str">
        <f>IF(NOT(ISERROR(FIND("NoICP",Pre_Close_AMF_Table[[#This Row],[GL_ICP]]))),"",Pre_Close_AMF_Table[[#This Row],[GL_ICP]])</f>
        <v/>
      </c>
      <c r="I263" t="s">
        <v>1212</v>
      </c>
      <c r="J263" t="s">
        <v>1491</v>
      </c>
      <c r="K263" t="str">
        <f>IFERROR(VLOOKUP(VALUE(Pre_Close_AMF_Table[[#This Row],[GL_PC]]),BNS_Profit_Centers[],2,FALSE),"TE")</f>
        <v>TE</v>
      </c>
      <c r="L263" t="s">
        <v>1491</v>
      </c>
      <c r="M263" t="s">
        <v>1493</v>
      </c>
      <c r="N263" t="s">
        <v>1482</v>
      </c>
      <c r="O263" s="33">
        <v>1446.14</v>
      </c>
    </row>
    <row r="264" spans="1:15" x14ac:dyDescent="0.25">
      <c r="A264" t="s">
        <v>1493</v>
      </c>
      <c r="B264" t="s">
        <v>1494</v>
      </c>
      <c r="C264" t="s">
        <v>127</v>
      </c>
      <c r="D264" t="str">
        <f>VLOOKUP(Pre_Close_AMF_Table[[#This Row],[HFM_Account]],HFM_Acct_OCF_Activity[],3,FALSE)</f>
        <v>Direct</v>
      </c>
      <c r="E264" t="s">
        <v>1210</v>
      </c>
      <c r="F264" t="s">
        <v>1194</v>
      </c>
      <c r="G264" t="s">
        <v>1495</v>
      </c>
      <c r="H264" t="str">
        <f>IF(NOT(ISERROR(FIND("NoICP",Pre_Close_AMF_Table[[#This Row],[GL_ICP]]))),"",Pre_Close_AMF_Table[[#This Row],[GL_ICP]])</f>
        <v/>
      </c>
      <c r="I264" t="s">
        <v>1212</v>
      </c>
      <c r="J264" t="s">
        <v>1490</v>
      </c>
      <c r="K264" t="str">
        <f>IFERROR(VLOOKUP(VALUE(Pre_Close_AMF_Table[[#This Row],[GL_PC]]),BNS_Profit_Centers[],2,FALSE),"TE")</f>
        <v>BNS</v>
      </c>
      <c r="L264" t="s">
        <v>1490</v>
      </c>
      <c r="M264" t="s">
        <v>1493</v>
      </c>
      <c r="N264" t="s">
        <v>1482</v>
      </c>
      <c r="O264" s="33">
        <v>1040.3</v>
      </c>
    </row>
    <row r="265" spans="1:15" x14ac:dyDescent="0.25">
      <c r="A265" t="s">
        <v>1493</v>
      </c>
      <c r="B265" t="s">
        <v>1494</v>
      </c>
      <c r="C265" t="s">
        <v>127</v>
      </c>
      <c r="D265" t="str">
        <f>VLOOKUP(Pre_Close_AMF_Table[[#This Row],[HFM_Account]],HFM_Acct_OCF_Activity[],3,FALSE)</f>
        <v>Direct</v>
      </c>
      <c r="E265" t="s">
        <v>1210</v>
      </c>
      <c r="F265" t="s">
        <v>1194</v>
      </c>
      <c r="G265" t="s">
        <v>1495</v>
      </c>
      <c r="H265" t="str">
        <f>IF(NOT(ISERROR(FIND("NoICP",Pre_Close_AMF_Table[[#This Row],[GL_ICP]]))),"",Pre_Close_AMF_Table[[#This Row],[GL_ICP]])</f>
        <v/>
      </c>
      <c r="I265" t="s">
        <v>1212</v>
      </c>
      <c r="J265" t="s">
        <v>1489</v>
      </c>
      <c r="K265" t="str">
        <f>IFERROR(VLOOKUP(VALUE(Pre_Close_AMF_Table[[#This Row],[GL_PC]]),BNS_Profit_Centers[],2,FALSE),"TE")</f>
        <v>TE</v>
      </c>
      <c r="L265" t="s">
        <v>1489</v>
      </c>
      <c r="M265" t="s">
        <v>1493</v>
      </c>
      <c r="N265" t="s">
        <v>1482</v>
      </c>
      <c r="O265" s="33">
        <v>509.39</v>
      </c>
    </row>
    <row r="266" spans="1:15" x14ac:dyDescent="0.25">
      <c r="A266" t="s">
        <v>1493</v>
      </c>
      <c r="B266" t="s">
        <v>1494</v>
      </c>
      <c r="C266" t="s">
        <v>127</v>
      </c>
      <c r="D266" t="str">
        <f>VLOOKUP(Pre_Close_AMF_Table[[#This Row],[HFM_Account]],HFM_Acct_OCF_Activity[],3,FALSE)</f>
        <v>Direct</v>
      </c>
      <c r="E266" t="s">
        <v>1210</v>
      </c>
      <c r="F266" t="s">
        <v>1194</v>
      </c>
      <c r="G266" t="s">
        <v>1495</v>
      </c>
      <c r="H266" t="str">
        <f>IF(NOT(ISERROR(FIND("NoICP",Pre_Close_AMF_Table[[#This Row],[GL_ICP]]))),"",Pre_Close_AMF_Table[[#This Row],[GL_ICP]])</f>
        <v/>
      </c>
      <c r="I266" t="s">
        <v>1212</v>
      </c>
      <c r="J266" t="s">
        <v>1213</v>
      </c>
      <c r="K266" t="str">
        <f>IFERROR(VLOOKUP(VALUE(Pre_Close_AMF_Table[[#This Row],[GL_PC]]),BNS_Profit_Centers[],2,FALSE),"TE")</f>
        <v>TE</v>
      </c>
      <c r="L266" t="s">
        <v>1213</v>
      </c>
      <c r="M266" t="s">
        <v>1493</v>
      </c>
      <c r="N266" t="s">
        <v>1482</v>
      </c>
      <c r="O266" s="33">
        <v>-2267.7399999999998</v>
      </c>
    </row>
    <row r="267" spans="1:15" x14ac:dyDescent="0.25">
      <c r="A267" t="s">
        <v>1496</v>
      </c>
      <c r="B267" t="s">
        <v>1497</v>
      </c>
      <c r="C267" t="s">
        <v>127</v>
      </c>
      <c r="D267" t="str">
        <f>VLOOKUP(Pre_Close_AMF_Table[[#This Row],[HFM_Account]],HFM_Acct_OCF_Activity[],3,FALSE)</f>
        <v>Direct</v>
      </c>
      <c r="E267" t="s">
        <v>1210</v>
      </c>
      <c r="F267" t="s">
        <v>1194</v>
      </c>
      <c r="G267" t="s">
        <v>1498</v>
      </c>
      <c r="H267" t="str">
        <f>IF(NOT(ISERROR(FIND("NoICP",Pre_Close_AMF_Table[[#This Row],[GL_ICP]]))),"",Pre_Close_AMF_Table[[#This Row],[GL_ICP]])</f>
        <v/>
      </c>
      <c r="I267" t="s">
        <v>1212</v>
      </c>
      <c r="J267" t="s">
        <v>1213</v>
      </c>
      <c r="K267" t="str">
        <f>IFERROR(VLOOKUP(VALUE(Pre_Close_AMF_Table[[#This Row],[GL_PC]]),BNS_Profit_Centers[],2,FALSE),"TE")</f>
        <v>TE</v>
      </c>
      <c r="L267" t="s">
        <v>1213</v>
      </c>
      <c r="M267" t="s">
        <v>1496</v>
      </c>
      <c r="N267" t="s">
        <v>1482</v>
      </c>
      <c r="O267" s="33">
        <v>16358</v>
      </c>
    </row>
    <row r="268" spans="1:15" x14ac:dyDescent="0.25">
      <c r="A268" t="s">
        <v>1496</v>
      </c>
      <c r="B268" t="s">
        <v>1497</v>
      </c>
      <c r="C268" t="s">
        <v>127</v>
      </c>
      <c r="D268" t="str">
        <f>VLOOKUP(Pre_Close_AMF_Table[[#This Row],[HFM_Account]],HFM_Acct_OCF_Activity[],3,FALSE)</f>
        <v>Direct</v>
      </c>
      <c r="E268" t="s">
        <v>1210</v>
      </c>
      <c r="F268" t="s">
        <v>1194</v>
      </c>
      <c r="G268" t="s">
        <v>1498</v>
      </c>
      <c r="H268" t="str">
        <f>IF(NOT(ISERROR(FIND("NoICP",Pre_Close_AMF_Table[[#This Row],[GL_ICP]]))),"",Pre_Close_AMF_Table[[#This Row],[GL_ICP]])</f>
        <v/>
      </c>
      <c r="I268" t="s">
        <v>1212</v>
      </c>
      <c r="J268" t="s">
        <v>1489</v>
      </c>
      <c r="K268" t="str">
        <f>IFERROR(VLOOKUP(VALUE(Pre_Close_AMF_Table[[#This Row],[GL_PC]]),BNS_Profit_Centers[],2,FALSE),"TE")</f>
        <v>TE</v>
      </c>
      <c r="L268" t="s">
        <v>1489</v>
      </c>
      <c r="M268" t="s">
        <v>1496</v>
      </c>
      <c r="N268" t="s">
        <v>1482</v>
      </c>
      <c r="O268" s="33">
        <v>-2602.85</v>
      </c>
    </row>
    <row r="269" spans="1:15" x14ac:dyDescent="0.25">
      <c r="A269" t="s">
        <v>1496</v>
      </c>
      <c r="B269" t="s">
        <v>1497</v>
      </c>
      <c r="C269" t="s">
        <v>127</v>
      </c>
      <c r="D269" t="str">
        <f>VLOOKUP(Pre_Close_AMF_Table[[#This Row],[HFM_Account]],HFM_Acct_OCF_Activity[],3,FALSE)</f>
        <v>Direct</v>
      </c>
      <c r="E269" t="s">
        <v>1210</v>
      </c>
      <c r="F269" t="s">
        <v>1194</v>
      </c>
      <c r="G269" t="s">
        <v>1498</v>
      </c>
      <c r="H269" t="str">
        <f>IF(NOT(ISERROR(FIND("NoICP",Pre_Close_AMF_Table[[#This Row],[GL_ICP]]))),"",Pre_Close_AMF_Table[[#This Row],[GL_ICP]])</f>
        <v/>
      </c>
      <c r="I269" t="s">
        <v>1212</v>
      </c>
      <c r="J269" t="s">
        <v>1490</v>
      </c>
      <c r="K269" t="str">
        <f>IFERROR(VLOOKUP(VALUE(Pre_Close_AMF_Table[[#This Row],[GL_PC]]),BNS_Profit_Centers[],2,FALSE),"TE")</f>
        <v>BNS</v>
      </c>
      <c r="L269" t="s">
        <v>1490</v>
      </c>
      <c r="M269" t="s">
        <v>1496</v>
      </c>
      <c r="N269" t="s">
        <v>1482</v>
      </c>
      <c r="O269" s="33">
        <v>-5315.46</v>
      </c>
    </row>
    <row r="270" spans="1:15" x14ac:dyDescent="0.25">
      <c r="A270" t="s">
        <v>1496</v>
      </c>
      <c r="B270" t="s">
        <v>1497</v>
      </c>
      <c r="C270" t="s">
        <v>127</v>
      </c>
      <c r="D270" t="str">
        <f>VLOOKUP(Pre_Close_AMF_Table[[#This Row],[HFM_Account]],HFM_Acct_OCF_Activity[],3,FALSE)</f>
        <v>Direct</v>
      </c>
      <c r="E270" t="s">
        <v>1210</v>
      </c>
      <c r="F270" t="s">
        <v>1194</v>
      </c>
      <c r="G270" t="s">
        <v>1498</v>
      </c>
      <c r="H270" t="str">
        <f>IF(NOT(ISERROR(FIND("NoICP",Pre_Close_AMF_Table[[#This Row],[GL_ICP]]))),"",Pre_Close_AMF_Table[[#This Row],[GL_ICP]])</f>
        <v/>
      </c>
      <c r="I270" t="s">
        <v>1212</v>
      </c>
      <c r="J270" t="s">
        <v>1491</v>
      </c>
      <c r="K270" t="str">
        <f>IFERROR(VLOOKUP(VALUE(Pre_Close_AMF_Table[[#This Row],[GL_PC]]),BNS_Profit_Centers[],2,FALSE),"TE")</f>
        <v>TE</v>
      </c>
      <c r="L270" t="s">
        <v>1491</v>
      </c>
      <c r="M270" t="s">
        <v>1496</v>
      </c>
      <c r="N270" t="s">
        <v>1482</v>
      </c>
      <c r="O270" s="33">
        <v>-7388.97</v>
      </c>
    </row>
    <row r="271" spans="1:15" x14ac:dyDescent="0.25">
      <c r="A271" t="s">
        <v>1496</v>
      </c>
      <c r="B271" t="s">
        <v>1497</v>
      </c>
      <c r="C271" t="s">
        <v>127</v>
      </c>
      <c r="D271" t="str">
        <f>VLOOKUP(Pre_Close_AMF_Table[[#This Row],[HFM_Account]],HFM_Acct_OCF_Activity[],3,FALSE)</f>
        <v>Direct</v>
      </c>
      <c r="E271" t="s">
        <v>1210</v>
      </c>
      <c r="F271" t="s">
        <v>1194</v>
      </c>
      <c r="G271" t="s">
        <v>1498</v>
      </c>
      <c r="H271" t="str">
        <f>IF(NOT(ISERROR(FIND("NoICP",Pre_Close_AMF_Table[[#This Row],[GL_ICP]]))),"",Pre_Close_AMF_Table[[#This Row],[GL_ICP]])</f>
        <v/>
      </c>
      <c r="I271" t="s">
        <v>1212</v>
      </c>
      <c r="J271" t="s">
        <v>1492</v>
      </c>
      <c r="K271" t="str">
        <f>IFERROR(VLOOKUP(VALUE(Pre_Close_AMF_Table[[#This Row],[GL_PC]]),BNS_Profit_Centers[],2,FALSE),"TE")</f>
        <v>BNS</v>
      </c>
      <c r="L271" t="s">
        <v>1492</v>
      </c>
      <c r="M271" t="s">
        <v>1496</v>
      </c>
      <c r="N271" t="s">
        <v>1482</v>
      </c>
      <c r="O271" s="33">
        <v>-1301.42</v>
      </c>
    </row>
    <row r="272" spans="1:15" x14ac:dyDescent="0.25">
      <c r="A272" t="s">
        <v>1496</v>
      </c>
      <c r="B272" t="s">
        <v>1497</v>
      </c>
      <c r="C272" t="s">
        <v>127</v>
      </c>
      <c r="D272" t="str">
        <f>VLOOKUP(Pre_Close_AMF_Table[[#This Row],[HFM_Account]],HFM_Acct_OCF_Activity[],3,FALSE)</f>
        <v>Direct</v>
      </c>
      <c r="E272" t="s">
        <v>1210</v>
      </c>
      <c r="F272" t="s">
        <v>1194</v>
      </c>
      <c r="G272" t="s">
        <v>1498</v>
      </c>
      <c r="H272" t="str">
        <f>IF(NOT(ISERROR(FIND("NoICP",Pre_Close_AMF_Table[[#This Row],[GL_ICP]]))),"",Pre_Close_AMF_Table[[#This Row],[GL_ICP]])</f>
        <v/>
      </c>
      <c r="I272" t="s">
        <v>1212</v>
      </c>
      <c r="J272" t="s">
        <v>1425</v>
      </c>
      <c r="K272" t="str">
        <f>IFERROR(VLOOKUP(VALUE(Pre_Close_AMF_Table[[#This Row],[GL_PC]]),BNS_Profit_Centers[],2,FALSE),"TE")</f>
        <v>TE</v>
      </c>
      <c r="L272" t="s">
        <v>1425</v>
      </c>
      <c r="M272" t="s">
        <v>1496</v>
      </c>
      <c r="N272" t="s">
        <v>1482</v>
      </c>
      <c r="O272" s="33">
        <v>-4889.3999999999996</v>
      </c>
    </row>
    <row r="273" spans="1:15" x14ac:dyDescent="0.25">
      <c r="A273" t="s">
        <v>1499</v>
      </c>
      <c r="B273" t="s">
        <v>1500</v>
      </c>
      <c r="C273" t="s">
        <v>129</v>
      </c>
      <c r="D273" t="str">
        <f>VLOOKUP(Pre_Close_AMF_Table[[#This Row],[HFM_Account]],HFM_Acct_OCF_Activity[],3,FALSE)</f>
        <v>Direct</v>
      </c>
      <c r="E273" t="s">
        <v>1210</v>
      </c>
      <c r="F273" t="s">
        <v>1194</v>
      </c>
      <c r="G273" t="s">
        <v>1501</v>
      </c>
      <c r="H273" t="str">
        <f>IF(NOT(ISERROR(FIND("NoICP",Pre_Close_AMF_Table[[#This Row],[GL_ICP]]))),"",Pre_Close_AMF_Table[[#This Row],[GL_ICP]])</f>
        <v/>
      </c>
      <c r="I273" t="s">
        <v>1212</v>
      </c>
      <c r="J273" t="s">
        <v>1213</v>
      </c>
      <c r="K273" t="str">
        <f>IFERROR(VLOOKUP(VALUE(Pre_Close_AMF_Table[[#This Row],[GL_PC]]),BNS_Profit_Centers[],2,FALSE),"TE")</f>
        <v>TE</v>
      </c>
      <c r="L273" t="s">
        <v>1213</v>
      </c>
      <c r="M273" t="s">
        <v>1499</v>
      </c>
      <c r="N273" t="s">
        <v>1482</v>
      </c>
      <c r="O273" s="33">
        <v>1073.92</v>
      </c>
    </row>
    <row r="274" spans="1:15" x14ac:dyDescent="0.25">
      <c r="A274" t="s">
        <v>1502</v>
      </c>
      <c r="B274" t="s">
        <v>1503</v>
      </c>
      <c r="C274" t="s">
        <v>129</v>
      </c>
      <c r="D274" t="str">
        <f>VLOOKUP(Pre_Close_AMF_Table[[#This Row],[HFM_Account]],HFM_Acct_OCF_Activity[],3,FALSE)</f>
        <v>Direct</v>
      </c>
      <c r="E274" t="s">
        <v>1210</v>
      </c>
      <c r="F274" t="s">
        <v>1194</v>
      </c>
      <c r="G274" t="s">
        <v>1504</v>
      </c>
      <c r="H274" t="str">
        <f>IF(NOT(ISERROR(FIND("NoICP",Pre_Close_AMF_Table[[#This Row],[GL_ICP]]))),"",Pre_Close_AMF_Table[[#This Row],[GL_ICP]])</f>
        <v/>
      </c>
      <c r="I274" t="s">
        <v>1212</v>
      </c>
      <c r="J274" t="s">
        <v>1213</v>
      </c>
      <c r="K274" t="str">
        <f>IFERROR(VLOOKUP(VALUE(Pre_Close_AMF_Table[[#This Row],[GL_PC]]),BNS_Profit_Centers[],2,FALSE),"TE")</f>
        <v>TE</v>
      </c>
      <c r="L274" t="s">
        <v>1213</v>
      </c>
      <c r="M274" t="s">
        <v>1502</v>
      </c>
      <c r="N274" t="s">
        <v>1482</v>
      </c>
      <c r="O274" s="33">
        <v>-1.26</v>
      </c>
    </row>
    <row r="275" spans="1:15" x14ac:dyDescent="0.25">
      <c r="A275" t="s">
        <v>1502</v>
      </c>
      <c r="B275" t="s">
        <v>1503</v>
      </c>
      <c r="C275" t="s">
        <v>129</v>
      </c>
      <c r="D275" t="str">
        <f>VLOOKUP(Pre_Close_AMF_Table[[#This Row],[HFM_Account]],HFM_Acct_OCF_Activity[],3,FALSE)</f>
        <v>Direct</v>
      </c>
      <c r="E275" t="s">
        <v>1210</v>
      </c>
      <c r="F275" t="s">
        <v>1194</v>
      </c>
      <c r="G275" t="s">
        <v>1504</v>
      </c>
      <c r="H275" t="str">
        <f>IF(NOT(ISERROR(FIND("NoICP",Pre_Close_AMF_Table[[#This Row],[GL_ICP]]))),"",Pre_Close_AMF_Table[[#This Row],[GL_ICP]])</f>
        <v/>
      </c>
      <c r="I275" t="s">
        <v>1212</v>
      </c>
      <c r="J275" t="s">
        <v>1489</v>
      </c>
      <c r="K275" t="str">
        <f>IFERROR(VLOOKUP(VALUE(Pre_Close_AMF_Table[[#This Row],[GL_PC]]),BNS_Profit_Centers[],2,FALSE),"TE")</f>
        <v>TE</v>
      </c>
      <c r="L275" t="s">
        <v>1489</v>
      </c>
      <c r="M275" t="s">
        <v>1502</v>
      </c>
      <c r="N275" t="s">
        <v>1482</v>
      </c>
      <c r="O275" s="33">
        <v>0.15</v>
      </c>
    </row>
    <row r="276" spans="1:15" x14ac:dyDescent="0.25">
      <c r="A276" t="s">
        <v>1502</v>
      </c>
      <c r="B276" t="s">
        <v>1503</v>
      </c>
      <c r="C276" t="s">
        <v>129</v>
      </c>
      <c r="D276" t="str">
        <f>VLOOKUP(Pre_Close_AMF_Table[[#This Row],[HFM_Account]],HFM_Acct_OCF_Activity[],3,FALSE)</f>
        <v>Direct</v>
      </c>
      <c r="E276" t="s">
        <v>1210</v>
      </c>
      <c r="F276" t="s">
        <v>1194</v>
      </c>
      <c r="G276" t="s">
        <v>1504</v>
      </c>
      <c r="H276" t="str">
        <f>IF(NOT(ISERROR(FIND("NoICP",Pre_Close_AMF_Table[[#This Row],[GL_ICP]]))),"",Pre_Close_AMF_Table[[#This Row],[GL_ICP]])</f>
        <v/>
      </c>
      <c r="I276" t="s">
        <v>1212</v>
      </c>
      <c r="J276" t="s">
        <v>1490</v>
      </c>
      <c r="K276" t="str">
        <f>IFERROR(VLOOKUP(VALUE(Pre_Close_AMF_Table[[#This Row],[GL_PC]]),BNS_Profit_Centers[],2,FALSE),"TE")</f>
        <v>BNS</v>
      </c>
      <c r="L276" t="s">
        <v>1490</v>
      </c>
      <c r="M276" t="s">
        <v>1502</v>
      </c>
      <c r="N276" t="s">
        <v>1482</v>
      </c>
      <c r="O276" s="33">
        <v>0.31</v>
      </c>
    </row>
    <row r="277" spans="1:15" x14ac:dyDescent="0.25">
      <c r="A277" t="s">
        <v>1502</v>
      </c>
      <c r="B277" t="s">
        <v>1503</v>
      </c>
      <c r="C277" t="s">
        <v>129</v>
      </c>
      <c r="D277" t="str">
        <f>VLOOKUP(Pre_Close_AMF_Table[[#This Row],[HFM_Account]],HFM_Acct_OCF_Activity[],3,FALSE)</f>
        <v>Direct</v>
      </c>
      <c r="E277" t="s">
        <v>1210</v>
      </c>
      <c r="F277" t="s">
        <v>1194</v>
      </c>
      <c r="G277" t="s">
        <v>1504</v>
      </c>
      <c r="H277" t="str">
        <f>IF(NOT(ISERROR(FIND("NoICP",Pre_Close_AMF_Table[[#This Row],[GL_ICP]]))),"",Pre_Close_AMF_Table[[#This Row],[GL_ICP]])</f>
        <v/>
      </c>
      <c r="I277" t="s">
        <v>1212</v>
      </c>
      <c r="J277" t="s">
        <v>1425</v>
      </c>
      <c r="K277" t="str">
        <f>IFERROR(VLOOKUP(VALUE(Pre_Close_AMF_Table[[#This Row],[GL_PC]]),BNS_Profit_Centers[],2,FALSE),"TE")</f>
        <v>TE</v>
      </c>
      <c r="L277" t="s">
        <v>1425</v>
      </c>
      <c r="M277" t="s">
        <v>1502</v>
      </c>
      <c r="N277" t="s">
        <v>1482</v>
      </c>
      <c r="O277" s="33">
        <v>0.28999999999999998</v>
      </c>
    </row>
    <row r="278" spans="1:15" x14ac:dyDescent="0.25">
      <c r="A278" t="s">
        <v>1502</v>
      </c>
      <c r="B278" t="s">
        <v>1503</v>
      </c>
      <c r="C278" t="s">
        <v>129</v>
      </c>
      <c r="D278" t="str">
        <f>VLOOKUP(Pre_Close_AMF_Table[[#This Row],[HFM_Account]],HFM_Acct_OCF_Activity[],3,FALSE)</f>
        <v>Direct</v>
      </c>
      <c r="E278" t="s">
        <v>1210</v>
      </c>
      <c r="F278" t="s">
        <v>1194</v>
      </c>
      <c r="G278" t="s">
        <v>1504</v>
      </c>
      <c r="H278" t="str">
        <f>IF(NOT(ISERROR(FIND("NoICP",Pre_Close_AMF_Table[[#This Row],[GL_ICP]]))),"",Pre_Close_AMF_Table[[#This Row],[GL_ICP]])</f>
        <v/>
      </c>
      <c r="I278" t="s">
        <v>1212</v>
      </c>
      <c r="J278" t="s">
        <v>1492</v>
      </c>
      <c r="K278" t="str">
        <f>IFERROR(VLOOKUP(VALUE(Pre_Close_AMF_Table[[#This Row],[GL_PC]]),BNS_Profit_Centers[],2,FALSE),"TE")</f>
        <v>BNS</v>
      </c>
      <c r="L278" t="s">
        <v>1492</v>
      </c>
      <c r="M278" t="s">
        <v>1502</v>
      </c>
      <c r="N278" t="s">
        <v>1482</v>
      </c>
      <c r="O278" s="33">
        <v>0.08</v>
      </c>
    </row>
    <row r="279" spans="1:15" x14ac:dyDescent="0.25">
      <c r="A279" t="s">
        <v>1502</v>
      </c>
      <c r="B279" t="s">
        <v>1503</v>
      </c>
      <c r="C279" t="s">
        <v>129</v>
      </c>
      <c r="D279" t="str">
        <f>VLOOKUP(Pre_Close_AMF_Table[[#This Row],[HFM_Account]],HFM_Acct_OCF_Activity[],3,FALSE)</f>
        <v>Direct</v>
      </c>
      <c r="E279" t="s">
        <v>1210</v>
      </c>
      <c r="F279" t="s">
        <v>1194</v>
      </c>
      <c r="G279" t="s">
        <v>1504</v>
      </c>
      <c r="H279" t="str">
        <f>IF(NOT(ISERROR(FIND("NoICP",Pre_Close_AMF_Table[[#This Row],[GL_ICP]]))),"",Pre_Close_AMF_Table[[#This Row],[GL_ICP]])</f>
        <v/>
      </c>
      <c r="I279" t="s">
        <v>1212</v>
      </c>
      <c r="J279" t="s">
        <v>1491</v>
      </c>
      <c r="K279" t="str">
        <f>IFERROR(VLOOKUP(VALUE(Pre_Close_AMF_Table[[#This Row],[GL_PC]]),BNS_Profit_Centers[],2,FALSE),"TE")</f>
        <v>TE</v>
      </c>
      <c r="L279" t="s">
        <v>1491</v>
      </c>
      <c r="M279" t="s">
        <v>1502</v>
      </c>
      <c r="N279" t="s">
        <v>1482</v>
      </c>
      <c r="O279" s="33">
        <v>0.43</v>
      </c>
    </row>
    <row r="280" spans="1:15" x14ac:dyDescent="0.25">
      <c r="A280" t="s">
        <v>1505</v>
      </c>
      <c r="B280" t="s">
        <v>1506</v>
      </c>
      <c r="C280" t="s">
        <v>129</v>
      </c>
      <c r="D280" t="str">
        <f>VLOOKUP(Pre_Close_AMF_Table[[#This Row],[HFM_Account]],HFM_Acct_OCF_Activity[],3,FALSE)</f>
        <v>Direct</v>
      </c>
      <c r="E280" t="s">
        <v>1210</v>
      </c>
      <c r="F280" t="s">
        <v>1194</v>
      </c>
      <c r="G280" t="s">
        <v>1507</v>
      </c>
      <c r="H280" t="str">
        <f>IF(NOT(ISERROR(FIND("NoICP",Pre_Close_AMF_Table[[#This Row],[GL_ICP]]))),"",Pre_Close_AMF_Table[[#This Row],[GL_ICP]])</f>
        <v/>
      </c>
      <c r="I280" t="s">
        <v>1212</v>
      </c>
      <c r="J280" t="s">
        <v>1491</v>
      </c>
      <c r="K280" t="str">
        <f>IFERROR(VLOOKUP(VALUE(Pre_Close_AMF_Table[[#This Row],[GL_PC]]),BNS_Profit_Centers[],2,FALSE),"TE")</f>
        <v>TE</v>
      </c>
      <c r="L280" t="s">
        <v>1491</v>
      </c>
      <c r="M280" t="s">
        <v>1505</v>
      </c>
      <c r="N280" t="s">
        <v>1482</v>
      </c>
      <c r="O280" s="33">
        <v>-69.78</v>
      </c>
    </row>
    <row r="281" spans="1:15" x14ac:dyDescent="0.25">
      <c r="A281" t="s">
        <v>1505</v>
      </c>
      <c r="B281" t="s">
        <v>1506</v>
      </c>
      <c r="C281" t="s">
        <v>129</v>
      </c>
      <c r="D281" t="str">
        <f>VLOOKUP(Pre_Close_AMF_Table[[#This Row],[HFM_Account]],HFM_Acct_OCF_Activity[],3,FALSE)</f>
        <v>Direct</v>
      </c>
      <c r="E281" t="s">
        <v>1210</v>
      </c>
      <c r="F281" t="s">
        <v>1194</v>
      </c>
      <c r="G281" t="s">
        <v>1507</v>
      </c>
      <c r="H281" t="str">
        <f>IF(NOT(ISERROR(FIND("NoICP",Pre_Close_AMF_Table[[#This Row],[GL_ICP]]))),"",Pre_Close_AMF_Table[[#This Row],[GL_ICP]])</f>
        <v/>
      </c>
      <c r="I281" t="s">
        <v>1212</v>
      </c>
      <c r="J281" t="s">
        <v>1492</v>
      </c>
      <c r="K281" t="str">
        <f>IFERROR(VLOOKUP(VALUE(Pre_Close_AMF_Table[[#This Row],[GL_PC]]),BNS_Profit_Centers[],2,FALSE),"TE")</f>
        <v>BNS</v>
      </c>
      <c r="L281" t="s">
        <v>1492</v>
      </c>
      <c r="M281" t="s">
        <v>1505</v>
      </c>
      <c r="N281" t="s">
        <v>1482</v>
      </c>
      <c r="O281" s="33">
        <v>-12.28</v>
      </c>
    </row>
    <row r="282" spans="1:15" x14ac:dyDescent="0.25">
      <c r="A282" t="s">
        <v>1505</v>
      </c>
      <c r="B282" t="s">
        <v>1506</v>
      </c>
      <c r="C282" t="s">
        <v>129</v>
      </c>
      <c r="D282" t="str">
        <f>VLOOKUP(Pre_Close_AMF_Table[[#This Row],[HFM_Account]],HFM_Acct_OCF_Activity[],3,FALSE)</f>
        <v>Direct</v>
      </c>
      <c r="E282" t="s">
        <v>1210</v>
      </c>
      <c r="F282" t="s">
        <v>1194</v>
      </c>
      <c r="G282" t="s">
        <v>1507</v>
      </c>
      <c r="H282" t="str">
        <f>IF(NOT(ISERROR(FIND("NoICP",Pre_Close_AMF_Table[[#This Row],[GL_ICP]]))),"",Pre_Close_AMF_Table[[#This Row],[GL_ICP]])</f>
        <v/>
      </c>
      <c r="I282" t="s">
        <v>1212</v>
      </c>
      <c r="J282" t="s">
        <v>1425</v>
      </c>
      <c r="K282" t="str">
        <f>IFERROR(VLOOKUP(VALUE(Pre_Close_AMF_Table[[#This Row],[GL_PC]]),BNS_Profit_Centers[],2,FALSE),"TE")</f>
        <v>TE</v>
      </c>
      <c r="L282" t="s">
        <v>1425</v>
      </c>
      <c r="M282" t="s">
        <v>1505</v>
      </c>
      <c r="N282" t="s">
        <v>1482</v>
      </c>
      <c r="O282" s="33">
        <v>-46.17</v>
      </c>
    </row>
    <row r="283" spans="1:15" x14ac:dyDescent="0.25">
      <c r="A283" t="s">
        <v>1505</v>
      </c>
      <c r="B283" t="s">
        <v>1506</v>
      </c>
      <c r="C283" t="s">
        <v>129</v>
      </c>
      <c r="D283" t="str">
        <f>VLOOKUP(Pre_Close_AMF_Table[[#This Row],[HFM_Account]],HFM_Acct_OCF_Activity[],3,FALSE)</f>
        <v>Direct</v>
      </c>
      <c r="E283" t="s">
        <v>1210</v>
      </c>
      <c r="F283" t="s">
        <v>1194</v>
      </c>
      <c r="G283" t="s">
        <v>1507</v>
      </c>
      <c r="H283" t="str">
        <f>IF(NOT(ISERROR(FIND("NoICP",Pre_Close_AMF_Table[[#This Row],[GL_ICP]]))),"",Pre_Close_AMF_Table[[#This Row],[GL_ICP]])</f>
        <v/>
      </c>
      <c r="I283" t="s">
        <v>1212</v>
      </c>
      <c r="J283" t="s">
        <v>1490</v>
      </c>
      <c r="K283" t="str">
        <f>IFERROR(VLOOKUP(VALUE(Pre_Close_AMF_Table[[#This Row],[GL_PC]]),BNS_Profit_Centers[],2,FALSE),"TE")</f>
        <v>BNS</v>
      </c>
      <c r="L283" t="s">
        <v>1490</v>
      </c>
      <c r="M283" t="s">
        <v>1505</v>
      </c>
      <c r="N283" t="s">
        <v>1482</v>
      </c>
      <c r="O283" s="33">
        <v>-50.19</v>
      </c>
    </row>
    <row r="284" spans="1:15" x14ac:dyDescent="0.25">
      <c r="A284" t="s">
        <v>1505</v>
      </c>
      <c r="B284" t="s">
        <v>1506</v>
      </c>
      <c r="C284" t="s">
        <v>129</v>
      </c>
      <c r="D284" t="str">
        <f>VLOOKUP(Pre_Close_AMF_Table[[#This Row],[HFM_Account]],HFM_Acct_OCF_Activity[],3,FALSE)</f>
        <v>Direct</v>
      </c>
      <c r="E284" t="s">
        <v>1210</v>
      </c>
      <c r="F284" t="s">
        <v>1194</v>
      </c>
      <c r="G284" t="s">
        <v>1507</v>
      </c>
      <c r="H284" t="str">
        <f>IF(NOT(ISERROR(FIND("NoICP",Pre_Close_AMF_Table[[#This Row],[GL_ICP]]))),"",Pre_Close_AMF_Table[[#This Row],[GL_ICP]])</f>
        <v/>
      </c>
      <c r="I284" t="s">
        <v>1212</v>
      </c>
      <c r="J284" t="s">
        <v>1489</v>
      </c>
      <c r="K284" t="str">
        <f>IFERROR(VLOOKUP(VALUE(Pre_Close_AMF_Table[[#This Row],[GL_PC]]),BNS_Profit_Centers[],2,FALSE),"TE")</f>
        <v>TE</v>
      </c>
      <c r="L284" t="s">
        <v>1489</v>
      </c>
      <c r="M284" t="s">
        <v>1505</v>
      </c>
      <c r="N284" t="s">
        <v>1482</v>
      </c>
      <c r="O284" s="33">
        <v>-24.58</v>
      </c>
    </row>
    <row r="285" spans="1:15" x14ac:dyDescent="0.25">
      <c r="A285" t="s">
        <v>1505</v>
      </c>
      <c r="B285" t="s">
        <v>1506</v>
      </c>
      <c r="C285" t="s">
        <v>129</v>
      </c>
      <c r="D285" t="str">
        <f>VLOOKUP(Pre_Close_AMF_Table[[#This Row],[HFM_Account]],HFM_Acct_OCF_Activity[],3,FALSE)</f>
        <v>Direct</v>
      </c>
      <c r="E285" t="s">
        <v>1210</v>
      </c>
      <c r="F285" t="s">
        <v>1194</v>
      </c>
      <c r="G285" t="s">
        <v>1507</v>
      </c>
      <c r="H285" t="str">
        <f>IF(NOT(ISERROR(FIND("NoICP",Pre_Close_AMF_Table[[#This Row],[GL_ICP]]))),"",Pre_Close_AMF_Table[[#This Row],[GL_ICP]])</f>
        <v/>
      </c>
      <c r="I285" t="s">
        <v>1212</v>
      </c>
      <c r="J285" t="s">
        <v>1213</v>
      </c>
      <c r="K285" t="str">
        <f>IFERROR(VLOOKUP(VALUE(Pre_Close_AMF_Table[[#This Row],[GL_PC]]),BNS_Profit_Centers[],2,FALSE),"TE")</f>
        <v>TE</v>
      </c>
      <c r="L285" t="s">
        <v>1213</v>
      </c>
      <c r="M285" t="s">
        <v>1505</v>
      </c>
      <c r="N285" t="s">
        <v>1482</v>
      </c>
      <c r="O285" s="33">
        <v>163.38999999999999</v>
      </c>
    </row>
    <row r="286" spans="1:15" x14ac:dyDescent="0.25">
      <c r="A286" t="s">
        <v>41</v>
      </c>
      <c r="B286" t="s">
        <v>1508</v>
      </c>
      <c r="C286" t="s">
        <v>41</v>
      </c>
      <c r="D286" t="str">
        <f>VLOOKUP(Pre_Close_AMF_Table[[#This Row],[HFM_Account]],HFM_Acct_OCF_Activity[],3,FALSE)</f>
        <v>Exclude</v>
      </c>
      <c r="E286" t="s">
        <v>1210</v>
      </c>
      <c r="F286" t="s">
        <v>1194</v>
      </c>
      <c r="G286" t="s">
        <v>1509</v>
      </c>
      <c r="H286" t="str">
        <f>IF(NOT(ISERROR(FIND("NoICP",Pre_Close_AMF_Table[[#This Row],[GL_ICP]]))),"",Pre_Close_AMF_Table[[#This Row],[GL_ICP]])</f>
        <v/>
      </c>
      <c r="I286" t="s">
        <v>1212</v>
      </c>
      <c r="J286" t="s">
        <v>1213</v>
      </c>
      <c r="K286" t="str">
        <f>IFERROR(VLOOKUP(VALUE(Pre_Close_AMF_Table[[#This Row],[GL_PC]]),BNS_Profit_Centers[],2,FALSE),"TE")</f>
        <v>TE</v>
      </c>
      <c r="L286" t="s">
        <v>1213</v>
      </c>
      <c r="M286" t="s">
        <v>41</v>
      </c>
      <c r="N286" t="s">
        <v>1482</v>
      </c>
      <c r="O286" s="33">
        <v>68069</v>
      </c>
    </row>
    <row r="287" spans="1:15" x14ac:dyDescent="0.25">
      <c r="A287" t="s">
        <v>1510</v>
      </c>
      <c r="B287" t="s">
        <v>1511</v>
      </c>
      <c r="C287" t="s">
        <v>48</v>
      </c>
      <c r="D287" t="str">
        <f>VLOOKUP(Pre_Close_AMF_Table[[#This Row],[HFM_Account]],HFM_Acct_OCF_Activity[],3,FALSE)</f>
        <v>Exclude</v>
      </c>
      <c r="E287" t="s">
        <v>1210</v>
      </c>
      <c r="F287" t="s">
        <v>1194</v>
      </c>
      <c r="G287" t="s">
        <v>1249</v>
      </c>
      <c r="H287" t="str">
        <f>IF(NOT(ISERROR(FIND("NoICP",Pre_Close_AMF_Table[[#This Row],[GL_ICP]]))),"",Pre_Close_AMF_Table[[#This Row],[GL_ICP]])</f>
        <v>ZZ1797</v>
      </c>
      <c r="I287" t="s">
        <v>1250</v>
      </c>
      <c r="J287" t="s">
        <v>1213</v>
      </c>
      <c r="K287" t="str">
        <f>IFERROR(VLOOKUP(VALUE(Pre_Close_AMF_Table[[#This Row],[GL_PC]]),BNS_Profit_Centers[],2,FALSE),"TE")</f>
        <v>TE</v>
      </c>
      <c r="L287" t="s">
        <v>1213</v>
      </c>
      <c r="M287" t="s">
        <v>1510</v>
      </c>
      <c r="N287" t="s">
        <v>1482</v>
      </c>
      <c r="O287" s="33">
        <v>-1343.21</v>
      </c>
    </row>
    <row r="288" spans="1:15" x14ac:dyDescent="0.25">
      <c r="A288" t="s">
        <v>1512</v>
      </c>
      <c r="B288" t="s">
        <v>1513</v>
      </c>
      <c r="C288" t="s">
        <v>177</v>
      </c>
      <c r="D288" t="str">
        <f>VLOOKUP(Pre_Close_AMF_Table[[#This Row],[HFM_Account]],HFM_Acct_OCF_Activity[],3,FALSE)</f>
        <v>Direct</v>
      </c>
      <c r="E288" t="s">
        <v>1210</v>
      </c>
      <c r="F288" t="s">
        <v>1194</v>
      </c>
      <c r="G288" t="s">
        <v>1514</v>
      </c>
      <c r="H288" t="str">
        <f>IF(NOT(ISERROR(FIND("NoICP",Pre_Close_AMF_Table[[#This Row],[GL_ICP]]))),"",Pre_Close_AMF_Table[[#This Row],[GL_ICP]])</f>
        <v/>
      </c>
      <c r="I288" t="s">
        <v>1212</v>
      </c>
      <c r="J288" t="s">
        <v>1213</v>
      </c>
      <c r="K288" t="str">
        <f>IFERROR(VLOOKUP(VALUE(Pre_Close_AMF_Table[[#This Row],[GL_PC]]),BNS_Profit_Centers[],2,FALSE),"TE")</f>
        <v>TE</v>
      </c>
      <c r="L288" t="s">
        <v>1213</v>
      </c>
      <c r="M288" t="s">
        <v>1512</v>
      </c>
      <c r="N288" t="s">
        <v>1482</v>
      </c>
      <c r="O288" s="33">
        <v>-0.01</v>
      </c>
    </row>
    <row r="289" spans="1:15" x14ac:dyDescent="0.25">
      <c r="A289" t="s">
        <v>1512</v>
      </c>
      <c r="B289" t="s">
        <v>1513</v>
      </c>
      <c r="C289" t="s">
        <v>177</v>
      </c>
      <c r="D289" t="str">
        <f>VLOOKUP(Pre_Close_AMF_Table[[#This Row],[HFM_Account]],HFM_Acct_OCF_Activity[],3,FALSE)</f>
        <v>Direct</v>
      </c>
      <c r="E289" t="s">
        <v>1210</v>
      </c>
      <c r="F289" t="s">
        <v>1194</v>
      </c>
      <c r="G289" t="s">
        <v>1514</v>
      </c>
      <c r="H289" t="str">
        <f>IF(NOT(ISERROR(FIND("NoICP",Pre_Close_AMF_Table[[#This Row],[GL_ICP]]))),"",Pre_Close_AMF_Table[[#This Row],[GL_ICP]])</f>
        <v/>
      </c>
      <c r="I289" t="s">
        <v>1212</v>
      </c>
      <c r="J289" t="s">
        <v>1489</v>
      </c>
      <c r="K289" t="str">
        <f>IFERROR(VLOOKUP(VALUE(Pre_Close_AMF_Table[[#This Row],[GL_PC]]),BNS_Profit_Centers[],2,FALSE),"TE")</f>
        <v>TE</v>
      </c>
      <c r="L289" t="s">
        <v>1489</v>
      </c>
      <c r="M289" t="s">
        <v>1512</v>
      </c>
      <c r="N289" t="s">
        <v>1482</v>
      </c>
      <c r="O289" s="33">
        <v>-0.04</v>
      </c>
    </row>
    <row r="290" spans="1:15" x14ac:dyDescent="0.25">
      <c r="A290" t="s">
        <v>1512</v>
      </c>
      <c r="B290" t="s">
        <v>1513</v>
      </c>
      <c r="C290" t="s">
        <v>177</v>
      </c>
      <c r="D290" t="str">
        <f>VLOOKUP(Pre_Close_AMF_Table[[#This Row],[HFM_Account]],HFM_Acct_OCF_Activity[],3,FALSE)</f>
        <v>Direct</v>
      </c>
      <c r="E290" t="s">
        <v>1210</v>
      </c>
      <c r="F290" t="s">
        <v>1194</v>
      </c>
      <c r="G290" t="s">
        <v>1514</v>
      </c>
      <c r="H290" t="str">
        <f>IF(NOT(ISERROR(FIND("NoICP",Pre_Close_AMF_Table[[#This Row],[GL_ICP]]))),"",Pre_Close_AMF_Table[[#This Row],[GL_ICP]])</f>
        <v/>
      </c>
      <c r="I290" t="s">
        <v>1212</v>
      </c>
      <c r="J290" t="s">
        <v>1490</v>
      </c>
      <c r="K290" t="str">
        <f>IFERROR(VLOOKUP(VALUE(Pre_Close_AMF_Table[[#This Row],[GL_PC]]),BNS_Profit_Centers[],2,FALSE),"TE")</f>
        <v>BNS</v>
      </c>
      <c r="L290" t="s">
        <v>1490</v>
      </c>
      <c r="M290" t="s">
        <v>1512</v>
      </c>
      <c r="N290" t="s">
        <v>1482</v>
      </c>
      <c r="O290" s="33">
        <v>-0.08</v>
      </c>
    </row>
    <row r="291" spans="1:15" x14ac:dyDescent="0.25">
      <c r="A291" t="s">
        <v>1512</v>
      </c>
      <c r="B291" t="s">
        <v>1513</v>
      </c>
      <c r="C291" t="s">
        <v>177</v>
      </c>
      <c r="D291" t="str">
        <f>VLOOKUP(Pre_Close_AMF_Table[[#This Row],[HFM_Account]],HFM_Acct_OCF_Activity[],3,FALSE)</f>
        <v>Direct</v>
      </c>
      <c r="E291" t="s">
        <v>1210</v>
      </c>
      <c r="F291" t="s">
        <v>1194</v>
      </c>
      <c r="G291" t="s">
        <v>1514</v>
      </c>
      <c r="H291" t="str">
        <f>IF(NOT(ISERROR(FIND("NoICP",Pre_Close_AMF_Table[[#This Row],[GL_ICP]]))),"",Pre_Close_AMF_Table[[#This Row],[GL_ICP]])</f>
        <v/>
      </c>
      <c r="I291" t="s">
        <v>1212</v>
      </c>
      <c r="J291" t="s">
        <v>1425</v>
      </c>
      <c r="K291" t="str">
        <f>IFERROR(VLOOKUP(VALUE(Pre_Close_AMF_Table[[#This Row],[GL_PC]]),BNS_Profit_Centers[],2,FALSE),"TE")</f>
        <v>TE</v>
      </c>
      <c r="L291" t="s">
        <v>1425</v>
      </c>
      <c r="M291" t="s">
        <v>1512</v>
      </c>
      <c r="N291" t="s">
        <v>1482</v>
      </c>
      <c r="O291" s="33">
        <v>-0.08</v>
      </c>
    </row>
    <row r="292" spans="1:15" x14ac:dyDescent="0.25">
      <c r="A292" t="s">
        <v>1512</v>
      </c>
      <c r="B292" t="s">
        <v>1513</v>
      </c>
      <c r="C292" t="s">
        <v>177</v>
      </c>
      <c r="D292" t="str">
        <f>VLOOKUP(Pre_Close_AMF_Table[[#This Row],[HFM_Account]],HFM_Acct_OCF_Activity[],3,FALSE)</f>
        <v>Direct</v>
      </c>
      <c r="E292" t="s">
        <v>1210</v>
      </c>
      <c r="F292" t="s">
        <v>1194</v>
      </c>
      <c r="G292" t="s">
        <v>1514</v>
      </c>
      <c r="H292" t="str">
        <f>IF(NOT(ISERROR(FIND("NoICP",Pre_Close_AMF_Table[[#This Row],[GL_ICP]]))),"",Pre_Close_AMF_Table[[#This Row],[GL_ICP]])</f>
        <v/>
      </c>
      <c r="I292" t="s">
        <v>1212</v>
      </c>
      <c r="J292" t="s">
        <v>1492</v>
      </c>
      <c r="K292" t="str">
        <f>IFERROR(VLOOKUP(VALUE(Pre_Close_AMF_Table[[#This Row],[GL_PC]]),BNS_Profit_Centers[],2,FALSE),"TE")</f>
        <v>BNS</v>
      </c>
      <c r="L292" t="s">
        <v>1492</v>
      </c>
      <c r="M292" t="s">
        <v>1512</v>
      </c>
      <c r="N292" t="s">
        <v>1482</v>
      </c>
      <c r="O292" s="33">
        <v>-0.02</v>
      </c>
    </row>
    <row r="293" spans="1:15" x14ac:dyDescent="0.25">
      <c r="A293" t="s">
        <v>1512</v>
      </c>
      <c r="B293" t="s">
        <v>1513</v>
      </c>
      <c r="C293" t="s">
        <v>177</v>
      </c>
      <c r="D293" t="str">
        <f>VLOOKUP(Pre_Close_AMF_Table[[#This Row],[HFM_Account]],HFM_Acct_OCF_Activity[],3,FALSE)</f>
        <v>Direct</v>
      </c>
      <c r="E293" t="s">
        <v>1210</v>
      </c>
      <c r="F293" t="s">
        <v>1194</v>
      </c>
      <c r="G293" t="s">
        <v>1514</v>
      </c>
      <c r="H293" t="str">
        <f>IF(NOT(ISERROR(FIND("NoICP",Pre_Close_AMF_Table[[#This Row],[GL_ICP]]))),"",Pre_Close_AMF_Table[[#This Row],[GL_ICP]])</f>
        <v/>
      </c>
      <c r="I293" t="s">
        <v>1212</v>
      </c>
      <c r="J293" t="s">
        <v>1491</v>
      </c>
      <c r="K293" t="str">
        <f>IFERROR(VLOOKUP(VALUE(Pre_Close_AMF_Table[[#This Row],[GL_PC]]),BNS_Profit_Centers[],2,FALSE),"TE")</f>
        <v>TE</v>
      </c>
      <c r="L293" t="s">
        <v>1491</v>
      </c>
      <c r="M293" t="s">
        <v>1512</v>
      </c>
      <c r="N293" t="s">
        <v>1482</v>
      </c>
      <c r="O293" s="33">
        <v>-0.11</v>
      </c>
    </row>
    <row r="294" spans="1:15" x14ac:dyDescent="0.25">
      <c r="A294" t="s">
        <v>1515</v>
      </c>
      <c r="B294" t="s">
        <v>1516</v>
      </c>
      <c r="C294" t="s">
        <v>169</v>
      </c>
      <c r="D294" t="str">
        <f>VLOOKUP(Pre_Close_AMF_Table[[#This Row],[HFM_Account]],HFM_Acct_OCF_Activity[],3,FALSE)</f>
        <v>Direct</v>
      </c>
      <c r="E294" t="s">
        <v>1210</v>
      </c>
      <c r="F294" t="s">
        <v>1194</v>
      </c>
      <c r="G294" t="s">
        <v>1517</v>
      </c>
      <c r="H294" t="str">
        <f>IF(NOT(ISERROR(FIND("NoICP",Pre_Close_AMF_Table[[#This Row],[GL_ICP]]))),"",Pre_Close_AMF_Table[[#This Row],[GL_ICP]])</f>
        <v/>
      </c>
      <c r="I294" t="s">
        <v>1212</v>
      </c>
      <c r="J294" t="s">
        <v>1491</v>
      </c>
      <c r="K294" t="str">
        <f>IFERROR(VLOOKUP(VALUE(Pre_Close_AMF_Table[[#This Row],[GL_PC]]),BNS_Profit_Centers[],2,FALSE),"TE")</f>
        <v>TE</v>
      </c>
      <c r="L294" t="s">
        <v>1491</v>
      </c>
      <c r="M294" t="s">
        <v>1515</v>
      </c>
      <c r="N294" t="s">
        <v>1482</v>
      </c>
      <c r="O294" s="33">
        <v>211.61</v>
      </c>
    </row>
    <row r="295" spans="1:15" x14ac:dyDescent="0.25">
      <c r="A295" t="s">
        <v>1515</v>
      </c>
      <c r="B295" t="s">
        <v>1516</v>
      </c>
      <c r="C295" t="s">
        <v>169</v>
      </c>
      <c r="D295" t="str">
        <f>VLOOKUP(Pre_Close_AMF_Table[[#This Row],[HFM_Account]],HFM_Acct_OCF_Activity[],3,FALSE)</f>
        <v>Direct</v>
      </c>
      <c r="E295" t="s">
        <v>1210</v>
      </c>
      <c r="F295" t="s">
        <v>1194</v>
      </c>
      <c r="G295" t="s">
        <v>1517</v>
      </c>
      <c r="H295" t="str">
        <f>IF(NOT(ISERROR(FIND("NoICP",Pre_Close_AMF_Table[[#This Row],[GL_ICP]]))),"",Pre_Close_AMF_Table[[#This Row],[GL_ICP]])</f>
        <v/>
      </c>
      <c r="I295" t="s">
        <v>1212</v>
      </c>
      <c r="J295" t="s">
        <v>1492</v>
      </c>
      <c r="K295" t="str">
        <f>IFERROR(VLOOKUP(VALUE(Pre_Close_AMF_Table[[#This Row],[GL_PC]]),BNS_Profit_Centers[],2,FALSE),"TE")</f>
        <v>BNS</v>
      </c>
      <c r="L295" t="s">
        <v>1492</v>
      </c>
      <c r="M295" t="s">
        <v>1515</v>
      </c>
      <c r="N295" t="s">
        <v>1482</v>
      </c>
      <c r="O295" s="33">
        <v>37.26</v>
      </c>
    </row>
    <row r="296" spans="1:15" x14ac:dyDescent="0.25">
      <c r="A296" t="s">
        <v>1515</v>
      </c>
      <c r="B296" t="s">
        <v>1516</v>
      </c>
      <c r="C296" t="s">
        <v>169</v>
      </c>
      <c r="D296" t="str">
        <f>VLOOKUP(Pre_Close_AMF_Table[[#This Row],[HFM_Account]],HFM_Acct_OCF_Activity[],3,FALSE)</f>
        <v>Direct</v>
      </c>
      <c r="E296" t="s">
        <v>1210</v>
      </c>
      <c r="F296" t="s">
        <v>1194</v>
      </c>
      <c r="G296" t="s">
        <v>1517</v>
      </c>
      <c r="H296" t="str">
        <f>IF(NOT(ISERROR(FIND("NoICP",Pre_Close_AMF_Table[[#This Row],[GL_ICP]]))),"",Pre_Close_AMF_Table[[#This Row],[GL_ICP]])</f>
        <v/>
      </c>
      <c r="I296" t="s">
        <v>1212</v>
      </c>
      <c r="J296" t="s">
        <v>1425</v>
      </c>
      <c r="K296" t="str">
        <f>IFERROR(VLOOKUP(VALUE(Pre_Close_AMF_Table[[#This Row],[GL_PC]]),BNS_Profit_Centers[],2,FALSE),"TE")</f>
        <v>TE</v>
      </c>
      <c r="L296" t="s">
        <v>1425</v>
      </c>
      <c r="M296" t="s">
        <v>1515</v>
      </c>
      <c r="N296" t="s">
        <v>1482</v>
      </c>
      <c r="O296" s="33">
        <v>140.03</v>
      </c>
    </row>
    <row r="297" spans="1:15" x14ac:dyDescent="0.25">
      <c r="A297" t="s">
        <v>1515</v>
      </c>
      <c r="B297" t="s">
        <v>1516</v>
      </c>
      <c r="C297" t="s">
        <v>169</v>
      </c>
      <c r="D297" t="str">
        <f>VLOOKUP(Pre_Close_AMF_Table[[#This Row],[HFM_Account]],HFM_Acct_OCF_Activity[],3,FALSE)</f>
        <v>Direct</v>
      </c>
      <c r="E297" t="s">
        <v>1210</v>
      </c>
      <c r="F297" t="s">
        <v>1194</v>
      </c>
      <c r="G297" t="s">
        <v>1517</v>
      </c>
      <c r="H297" t="str">
        <f>IF(NOT(ISERROR(FIND("NoICP",Pre_Close_AMF_Table[[#This Row],[GL_ICP]]))),"",Pre_Close_AMF_Table[[#This Row],[GL_ICP]])</f>
        <v/>
      </c>
      <c r="I297" t="s">
        <v>1212</v>
      </c>
      <c r="J297" t="s">
        <v>1490</v>
      </c>
      <c r="K297" t="str">
        <f>IFERROR(VLOOKUP(VALUE(Pre_Close_AMF_Table[[#This Row],[GL_PC]]),BNS_Profit_Centers[],2,FALSE),"TE")</f>
        <v>BNS</v>
      </c>
      <c r="L297" t="s">
        <v>1490</v>
      </c>
      <c r="M297" t="s">
        <v>1515</v>
      </c>
      <c r="N297" t="s">
        <v>1482</v>
      </c>
      <c r="O297" s="33">
        <v>152.22999999999999</v>
      </c>
    </row>
    <row r="298" spans="1:15" x14ac:dyDescent="0.25">
      <c r="A298" t="s">
        <v>1515</v>
      </c>
      <c r="B298" t="s">
        <v>1516</v>
      </c>
      <c r="C298" t="s">
        <v>169</v>
      </c>
      <c r="D298" t="str">
        <f>VLOOKUP(Pre_Close_AMF_Table[[#This Row],[HFM_Account]],HFM_Acct_OCF_Activity[],3,FALSE)</f>
        <v>Direct</v>
      </c>
      <c r="E298" t="s">
        <v>1210</v>
      </c>
      <c r="F298" t="s">
        <v>1194</v>
      </c>
      <c r="G298" t="s">
        <v>1517</v>
      </c>
      <c r="H298" t="str">
        <f>IF(NOT(ISERROR(FIND("NoICP",Pre_Close_AMF_Table[[#This Row],[GL_ICP]]))),"",Pre_Close_AMF_Table[[#This Row],[GL_ICP]])</f>
        <v/>
      </c>
      <c r="I298" t="s">
        <v>1212</v>
      </c>
      <c r="J298" t="s">
        <v>1489</v>
      </c>
      <c r="K298" t="str">
        <f>IFERROR(VLOOKUP(VALUE(Pre_Close_AMF_Table[[#This Row],[GL_PC]]),BNS_Profit_Centers[],2,FALSE),"TE")</f>
        <v>TE</v>
      </c>
      <c r="L298" t="s">
        <v>1489</v>
      </c>
      <c r="M298" t="s">
        <v>1515</v>
      </c>
      <c r="N298" t="s">
        <v>1482</v>
      </c>
      <c r="O298" s="33">
        <v>109.55</v>
      </c>
    </row>
    <row r="299" spans="1:15" x14ac:dyDescent="0.25">
      <c r="A299" t="s">
        <v>1515</v>
      </c>
      <c r="B299" t="s">
        <v>1516</v>
      </c>
      <c r="C299" t="s">
        <v>169</v>
      </c>
      <c r="D299" t="str">
        <f>VLOOKUP(Pre_Close_AMF_Table[[#This Row],[HFM_Account]],HFM_Acct_OCF_Activity[],3,FALSE)</f>
        <v>Direct</v>
      </c>
      <c r="E299" t="s">
        <v>1210</v>
      </c>
      <c r="F299" t="s">
        <v>1194</v>
      </c>
      <c r="G299" t="s">
        <v>1517</v>
      </c>
      <c r="H299" t="str">
        <f>IF(NOT(ISERROR(FIND("NoICP",Pre_Close_AMF_Table[[#This Row],[GL_ICP]]))),"",Pre_Close_AMF_Table[[#This Row],[GL_ICP]])</f>
        <v/>
      </c>
      <c r="I299" t="s">
        <v>1212</v>
      </c>
      <c r="J299" t="s">
        <v>1213</v>
      </c>
      <c r="K299" t="str">
        <f>IFERROR(VLOOKUP(VALUE(Pre_Close_AMF_Table[[#This Row],[GL_PC]]),BNS_Profit_Centers[],2,FALSE),"TE")</f>
        <v>TE</v>
      </c>
      <c r="L299" t="s">
        <v>1213</v>
      </c>
      <c r="M299" t="s">
        <v>1515</v>
      </c>
      <c r="N299" t="s">
        <v>1482</v>
      </c>
      <c r="O299" s="33">
        <v>235.5</v>
      </c>
    </row>
    <row r="300" spans="1:15" x14ac:dyDescent="0.25">
      <c r="A300" t="s">
        <v>143</v>
      </c>
      <c r="B300" t="s">
        <v>142</v>
      </c>
      <c r="C300" t="s">
        <v>143</v>
      </c>
      <c r="D300" t="str">
        <f>VLOOKUP(Pre_Close_AMF_Table[[#This Row],[HFM_Account]],HFM_Acct_OCF_Activity[],3,FALSE)</f>
        <v>Exclude</v>
      </c>
      <c r="E300" t="s">
        <v>1210</v>
      </c>
      <c r="F300" t="s">
        <v>1194</v>
      </c>
      <c r="G300" t="s">
        <v>1252</v>
      </c>
      <c r="H300" t="str">
        <f>IF(NOT(ISERROR(FIND("NoICP",Pre_Close_AMF_Table[[#This Row],[GL_ICP]]))),"",Pre_Close_AMF_Table[[#This Row],[GL_ICP]])</f>
        <v>ZZ1151</v>
      </c>
      <c r="I300" t="s">
        <v>1253</v>
      </c>
      <c r="J300" t="s">
        <v>1213</v>
      </c>
      <c r="K300" t="str">
        <f>IFERROR(VLOOKUP(VALUE(Pre_Close_AMF_Table[[#This Row],[GL_PC]]),BNS_Profit_Centers[],2,FALSE),"TE")</f>
        <v>TE</v>
      </c>
      <c r="L300" t="s">
        <v>1213</v>
      </c>
      <c r="M300" t="s">
        <v>143</v>
      </c>
      <c r="N300" t="s">
        <v>1482</v>
      </c>
      <c r="O300" s="33">
        <v>-715474.5</v>
      </c>
    </row>
    <row r="301" spans="1:15" x14ac:dyDescent="0.25">
      <c r="A301" t="s">
        <v>1518</v>
      </c>
      <c r="B301" t="s">
        <v>1519</v>
      </c>
      <c r="C301" t="s">
        <v>143</v>
      </c>
      <c r="D301" t="str">
        <f>VLOOKUP(Pre_Close_AMF_Table[[#This Row],[HFM_Account]],HFM_Acct_OCF_Activity[],3,FALSE)</f>
        <v>Exclude</v>
      </c>
      <c r="E301" t="s">
        <v>1210</v>
      </c>
      <c r="F301" t="s">
        <v>1194</v>
      </c>
      <c r="G301" t="s">
        <v>1252</v>
      </c>
      <c r="H301" t="str">
        <f>IF(NOT(ISERROR(FIND("NoICP",Pre_Close_AMF_Table[[#This Row],[GL_ICP]]))),"",Pre_Close_AMF_Table[[#This Row],[GL_ICP]])</f>
        <v>ZZ1151</v>
      </c>
      <c r="I301" t="s">
        <v>1253</v>
      </c>
      <c r="J301" t="s">
        <v>1213</v>
      </c>
      <c r="K301" t="str">
        <f>IFERROR(VLOOKUP(VALUE(Pre_Close_AMF_Table[[#This Row],[GL_PC]]),BNS_Profit_Centers[],2,FALSE),"TE")</f>
        <v>TE</v>
      </c>
      <c r="L301" t="s">
        <v>1213</v>
      </c>
      <c r="M301" t="s">
        <v>1518</v>
      </c>
      <c r="N301" t="s">
        <v>1482</v>
      </c>
      <c r="O301" s="33">
        <v>-538200</v>
      </c>
    </row>
    <row r="302" spans="1:15" x14ac:dyDescent="0.25">
      <c r="A302" t="s">
        <v>133</v>
      </c>
      <c r="B302" t="s">
        <v>132</v>
      </c>
      <c r="C302" t="s">
        <v>133</v>
      </c>
      <c r="D302" t="str">
        <f>VLOOKUP(Pre_Close_AMF_Table[[#This Row],[HFM_Account]],HFM_Acct_OCF_Activity[],3,FALSE)</f>
        <v>Exclude</v>
      </c>
      <c r="E302" t="s">
        <v>1210</v>
      </c>
      <c r="F302" t="s">
        <v>1194</v>
      </c>
      <c r="G302" t="s">
        <v>1278</v>
      </c>
      <c r="H302" t="str">
        <f>IF(NOT(ISERROR(FIND("NoICP",Pre_Close_AMF_Table[[#This Row],[GL_ICP]]))),"",Pre_Close_AMF_Table[[#This Row],[GL_ICP]])</f>
        <v>ZZ1798</v>
      </c>
      <c r="I302" t="s">
        <v>1279</v>
      </c>
      <c r="J302" t="s">
        <v>1213</v>
      </c>
      <c r="K302" t="str">
        <f>IFERROR(VLOOKUP(VALUE(Pre_Close_AMF_Table[[#This Row],[GL_PC]]),BNS_Profit_Centers[],2,FALSE),"TE")</f>
        <v>TE</v>
      </c>
      <c r="L302" t="s">
        <v>1213</v>
      </c>
      <c r="M302" t="s">
        <v>133</v>
      </c>
      <c r="N302" t="s">
        <v>1482</v>
      </c>
      <c r="O302" s="33">
        <v>24466.959999999999</v>
      </c>
    </row>
    <row r="303" spans="1:15" x14ac:dyDescent="0.25">
      <c r="A303" t="s">
        <v>1520</v>
      </c>
      <c r="B303" t="s">
        <v>1327</v>
      </c>
      <c r="C303" t="s">
        <v>9</v>
      </c>
      <c r="D303" t="str">
        <f>VLOOKUP(Pre_Close_AMF_Table[[#This Row],[HFM_Account]],HFM_Acct_OCF_Activity[],3,FALSE)</f>
        <v>Direct</v>
      </c>
      <c r="E303" t="s">
        <v>1210</v>
      </c>
      <c r="F303" t="s">
        <v>1194</v>
      </c>
      <c r="G303" t="s">
        <v>1328</v>
      </c>
      <c r="H303" t="str">
        <f>IF(NOT(ISERROR(FIND("NoICP",Pre_Close_AMF_Table[[#This Row],[GL_ICP]]))),"",Pre_Close_AMF_Table[[#This Row],[GL_ICP]])</f>
        <v/>
      </c>
      <c r="I303" t="s">
        <v>1212</v>
      </c>
      <c r="J303" t="s">
        <v>1521</v>
      </c>
      <c r="K303" t="str">
        <f>IFERROR(VLOOKUP(VALUE(Pre_Close_AMF_Table[[#This Row],[GL_PC]]),BNS_Profit_Centers[],2,FALSE),"TE")</f>
        <v>TE</v>
      </c>
      <c r="L303" t="s">
        <v>1521</v>
      </c>
      <c r="M303" t="s">
        <v>1330</v>
      </c>
      <c r="N303" t="s">
        <v>1330</v>
      </c>
      <c r="O303" s="33">
        <v>13715.56</v>
      </c>
    </row>
    <row r="304" spans="1:15" x14ac:dyDescent="0.25">
      <c r="A304" t="s">
        <v>1520</v>
      </c>
      <c r="B304" t="s">
        <v>1447</v>
      </c>
      <c r="C304" t="s">
        <v>9</v>
      </c>
      <c r="D304" t="str">
        <f>VLOOKUP(Pre_Close_AMF_Table[[#This Row],[HFM_Account]],HFM_Acct_OCF_Activity[],3,FALSE)</f>
        <v>Direct</v>
      </c>
      <c r="E304" t="s">
        <v>1210</v>
      </c>
      <c r="F304" t="s">
        <v>1194</v>
      </c>
      <c r="G304" t="s">
        <v>1448</v>
      </c>
      <c r="H304" t="str">
        <f>IF(NOT(ISERROR(FIND("NoICP",Pre_Close_AMF_Table[[#This Row],[GL_ICP]]))),"",Pre_Close_AMF_Table[[#This Row],[GL_ICP]])</f>
        <v/>
      </c>
      <c r="I304" t="s">
        <v>1212</v>
      </c>
      <c r="J304" t="s">
        <v>1521</v>
      </c>
      <c r="K304" t="str">
        <f>IFERROR(VLOOKUP(VALUE(Pre_Close_AMF_Table[[#This Row],[GL_PC]]),BNS_Profit_Centers[],2,FALSE),"TE")</f>
        <v>TE</v>
      </c>
      <c r="L304" t="s">
        <v>1521</v>
      </c>
      <c r="M304" t="s">
        <v>1449</v>
      </c>
      <c r="N304" t="s">
        <v>1334</v>
      </c>
      <c r="O304" s="33">
        <v>556.5</v>
      </c>
    </row>
    <row r="305" spans="1:15" x14ac:dyDescent="0.25">
      <c r="A305" t="s">
        <v>1520</v>
      </c>
      <c r="B305" t="s">
        <v>1450</v>
      </c>
      <c r="C305" t="s">
        <v>9</v>
      </c>
      <c r="D305" t="str">
        <f>VLOOKUP(Pre_Close_AMF_Table[[#This Row],[HFM_Account]],HFM_Acct_OCF_Activity[],3,FALSE)</f>
        <v>Direct</v>
      </c>
      <c r="E305" t="s">
        <v>1210</v>
      </c>
      <c r="F305" t="s">
        <v>1194</v>
      </c>
      <c r="G305" t="s">
        <v>1451</v>
      </c>
      <c r="H305" t="str">
        <f>IF(NOT(ISERROR(FIND("NoICP",Pre_Close_AMF_Table[[#This Row],[GL_ICP]]))),"",Pre_Close_AMF_Table[[#This Row],[GL_ICP]])</f>
        <v/>
      </c>
      <c r="I305" t="s">
        <v>1212</v>
      </c>
      <c r="J305" t="s">
        <v>1521</v>
      </c>
      <c r="K305" t="str">
        <f>IFERROR(VLOOKUP(VALUE(Pre_Close_AMF_Table[[#This Row],[GL_PC]]),BNS_Profit_Centers[],2,FALSE),"TE")</f>
        <v>TE</v>
      </c>
      <c r="L305" t="s">
        <v>1521</v>
      </c>
      <c r="M305" t="s">
        <v>1452</v>
      </c>
      <c r="N305" t="s">
        <v>1330</v>
      </c>
      <c r="O305" s="33">
        <v>-556.5</v>
      </c>
    </row>
    <row r="306" spans="1:15" x14ac:dyDescent="0.25">
      <c r="A306" t="s">
        <v>1520</v>
      </c>
      <c r="B306" t="s">
        <v>1338</v>
      </c>
      <c r="C306" t="s">
        <v>9</v>
      </c>
      <c r="D306" t="str">
        <f>VLOOKUP(Pre_Close_AMF_Table[[#This Row],[HFM_Account]],HFM_Acct_OCF_Activity[],3,FALSE)</f>
        <v>Direct</v>
      </c>
      <c r="E306" t="s">
        <v>1210</v>
      </c>
      <c r="F306" t="s">
        <v>1194</v>
      </c>
      <c r="G306" t="s">
        <v>1339</v>
      </c>
      <c r="H306" t="str">
        <f>IF(NOT(ISERROR(FIND("NoICP",Pre_Close_AMF_Table[[#This Row],[GL_ICP]]))),"",Pre_Close_AMF_Table[[#This Row],[GL_ICP]])</f>
        <v/>
      </c>
      <c r="I306" t="s">
        <v>1212</v>
      </c>
      <c r="J306" t="s">
        <v>1521</v>
      </c>
      <c r="K306" t="str">
        <f>IFERROR(VLOOKUP(VALUE(Pre_Close_AMF_Table[[#This Row],[GL_PC]]),BNS_Profit_Centers[],2,FALSE),"TE")</f>
        <v>TE</v>
      </c>
      <c r="L306" t="s">
        <v>1521</v>
      </c>
      <c r="M306" t="s">
        <v>1340</v>
      </c>
      <c r="N306" t="s">
        <v>1334</v>
      </c>
      <c r="O306" s="33">
        <v>66.5</v>
      </c>
    </row>
    <row r="307" spans="1:15" x14ac:dyDescent="0.25">
      <c r="A307" t="s">
        <v>1520</v>
      </c>
      <c r="B307" t="s">
        <v>1341</v>
      </c>
      <c r="C307" t="s">
        <v>9</v>
      </c>
      <c r="D307" t="str">
        <f>VLOOKUP(Pre_Close_AMF_Table[[#This Row],[HFM_Account]],HFM_Acct_OCF_Activity[],3,FALSE)</f>
        <v>Direct</v>
      </c>
      <c r="E307" t="s">
        <v>1210</v>
      </c>
      <c r="F307" t="s">
        <v>1194</v>
      </c>
      <c r="G307" t="s">
        <v>1342</v>
      </c>
      <c r="H307" t="str">
        <f>IF(NOT(ISERROR(FIND("NoICP",Pre_Close_AMF_Table[[#This Row],[GL_ICP]]))),"",Pre_Close_AMF_Table[[#This Row],[GL_ICP]])</f>
        <v/>
      </c>
      <c r="I307" t="s">
        <v>1212</v>
      </c>
      <c r="J307" t="s">
        <v>1521</v>
      </c>
      <c r="K307" t="str">
        <f>IFERROR(VLOOKUP(VALUE(Pre_Close_AMF_Table[[#This Row],[GL_PC]]),BNS_Profit_Centers[],2,FALSE),"TE")</f>
        <v>TE</v>
      </c>
      <c r="L307" t="s">
        <v>1521</v>
      </c>
      <c r="M307" t="s">
        <v>1343</v>
      </c>
      <c r="N307" t="s">
        <v>1334</v>
      </c>
      <c r="O307" s="33">
        <v>150</v>
      </c>
    </row>
    <row r="308" spans="1:15" x14ac:dyDescent="0.25">
      <c r="A308" t="s">
        <v>1520</v>
      </c>
      <c r="B308" t="s">
        <v>1344</v>
      </c>
      <c r="C308" t="s">
        <v>9</v>
      </c>
      <c r="D308" t="str">
        <f>VLOOKUP(Pre_Close_AMF_Table[[#This Row],[HFM_Account]],HFM_Acct_OCF_Activity[],3,FALSE)</f>
        <v>Direct</v>
      </c>
      <c r="E308" t="s">
        <v>1210</v>
      </c>
      <c r="F308" t="s">
        <v>1194</v>
      </c>
      <c r="G308" t="s">
        <v>1345</v>
      </c>
      <c r="H308" t="str">
        <f>IF(NOT(ISERROR(FIND("NoICP",Pre_Close_AMF_Table[[#This Row],[GL_ICP]]))),"",Pre_Close_AMF_Table[[#This Row],[GL_ICP]])</f>
        <v/>
      </c>
      <c r="I308" t="s">
        <v>1212</v>
      </c>
      <c r="J308" t="s">
        <v>1521</v>
      </c>
      <c r="K308" t="str">
        <f>IFERROR(VLOOKUP(VALUE(Pre_Close_AMF_Table[[#This Row],[GL_PC]]),BNS_Profit_Centers[],2,FALSE),"TE")</f>
        <v>TE</v>
      </c>
      <c r="L308" t="s">
        <v>1521</v>
      </c>
      <c r="M308" t="s">
        <v>1346</v>
      </c>
      <c r="N308" t="s">
        <v>1347</v>
      </c>
      <c r="O308" s="33">
        <v>200</v>
      </c>
    </row>
    <row r="309" spans="1:15" x14ac:dyDescent="0.25">
      <c r="A309" t="s">
        <v>1520</v>
      </c>
      <c r="B309" t="s">
        <v>1352</v>
      </c>
      <c r="C309" t="s">
        <v>9</v>
      </c>
      <c r="D309" t="str">
        <f>VLOOKUP(Pre_Close_AMF_Table[[#This Row],[HFM_Account]],HFM_Acct_OCF_Activity[],3,FALSE)</f>
        <v>Direct</v>
      </c>
      <c r="E309" t="s">
        <v>1210</v>
      </c>
      <c r="F309" t="s">
        <v>1194</v>
      </c>
      <c r="G309" t="s">
        <v>1353</v>
      </c>
      <c r="H309" t="str">
        <f>IF(NOT(ISERROR(FIND("NoICP",Pre_Close_AMF_Table[[#This Row],[GL_ICP]]))),"",Pre_Close_AMF_Table[[#This Row],[GL_ICP]])</f>
        <v/>
      </c>
      <c r="I309" t="s">
        <v>1212</v>
      </c>
      <c r="J309" t="s">
        <v>1521</v>
      </c>
      <c r="K309" t="str">
        <f>IFERROR(VLOOKUP(VALUE(Pre_Close_AMF_Table[[#This Row],[GL_PC]]),BNS_Profit_Centers[],2,FALSE),"TE")</f>
        <v>TE</v>
      </c>
      <c r="L309" t="s">
        <v>1521</v>
      </c>
      <c r="M309" t="s">
        <v>1354</v>
      </c>
      <c r="N309" t="s">
        <v>1351</v>
      </c>
      <c r="O309" s="33">
        <v>39.799999999999997</v>
      </c>
    </row>
    <row r="310" spans="1:15" x14ac:dyDescent="0.25">
      <c r="A310" t="s">
        <v>1520</v>
      </c>
      <c r="B310" t="s">
        <v>1355</v>
      </c>
      <c r="C310" t="s">
        <v>9</v>
      </c>
      <c r="D310" t="str">
        <f>VLOOKUP(Pre_Close_AMF_Table[[#This Row],[HFM_Account]],HFM_Acct_OCF_Activity[],3,FALSE)</f>
        <v>Direct</v>
      </c>
      <c r="E310" t="s">
        <v>1210</v>
      </c>
      <c r="F310" t="s">
        <v>1194</v>
      </c>
      <c r="G310" t="s">
        <v>1356</v>
      </c>
      <c r="H310" t="str">
        <f>IF(NOT(ISERROR(FIND("NoICP",Pre_Close_AMF_Table[[#This Row],[GL_ICP]]))),"",Pre_Close_AMF_Table[[#This Row],[GL_ICP]])</f>
        <v/>
      </c>
      <c r="I310" t="s">
        <v>1212</v>
      </c>
      <c r="J310" t="s">
        <v>1521</v>
      </c>
      <c r="K310" t="str">
        <f>IFERROR(VLOOKUP(VALUE(Pre_Close_AMF_Table[[#This Row],[GL_PC]]),BNS_Profit_Centers[],2,FALSE),"TE")</f>
        <v>TE</v>
      </c>
      <c r="L310" t="s">
        <v>1521</v>
      </c>
      <c r="M310" t="s">
        <v>1357</v>
      </c>
      <c r="N310" t="s">
        <v>1351</v>
      </c>
      <c r="O310" s="33">
        <v>124</v>
      </c>
    </row>
    <row r="311" spans="1:15" x14ac:dyDescent="0.25">
      <c r="A311" t="s">
        <v>1520</v>
      </c>
      <c r="B311" t="s">
        <v>1358</v>
      </c>
      <c r="C311" t="s">
        <v>9</v>
      </c>
      <c r="D311" t="str">
        <f>VLOOKUP(Pre_Close_AMF_Table[[#This Row],[HFM_Account]],HFM_Acct_OCF_Activity[],3,FALSE)</f>
        <v>Direct</v>
      </c>
      <c r="E311" t="s">
        <v>1210</v>
      </c>
      <c r="F311" t="s">
        <v>1194</v>
      </c>
      <c r="G311" t="s">
        <v>1359</v>
      </c>
      <c r="H311" t="str">
        <f>IF(NOT(ISERROR(FIND("NoICP",Pre_Close_AMF_Table[[#This Row],[GL_ICP]]))),"",Pre_Close_AMF_Table[[#This Row],[GL_ICP]])</f>
        <v/>
      </c>
      <c r="I311" t="s">
        <v>1212</v>
      </c>
      <c r="J311" t="s">
        <v>1521</v>
      </c>
      <c r="K311" t="str">
        <f>IFERROR(VLOOKUP(VALUE(Pre_Close_AMF_Table[[#This Row],[GL_PC]]),BNS_Profit_Centers[],2,FALSE),"TE")</f>
        <v>TE</v>
      </c>
      <c r="L311" t="s">
        <v>1521</v>
      </c>
      <c r="M311" t="s">
        <v>1360</v>
      </c>
      <c r="N311" t="s">
        <v>1361</v>
      </c>
      <c r="O311" s="33">
        <v>291.69</v>
      </c>
    </row>
    <row r="312" spans="1:15" x14ac:dyDescent="0.25">
      <c r="A312" t="s">
        <v>1520</v>
      </c>
      <c r="B312" t="s">
        <v>1372</v>
      </c>
      <c r="C312" t="s">
        <v>9</v>
      </c>
      <c r="D312" t="str">
        <f>VLOOKUP(Pre_Close_AMF_Table[[#This Row],[HFM_Account]],HFM_Acct_OCF_Activity[],3,FALSE)</f>
        <v>Direct</v>
      </c>
      <c r="E312" t="s">
        <v>1210</v>
      </c>
      <c r="F312" t="s">
        <v>1194</v>
      </c>
      <c r="G312" t="s">
        <v>1373</v>
      </c>
      <c r="H312" t="str">
        <f>IF(NOT(ISERROR(FIND("NoICP",Pre_Close_AMF_Table[[#This Row],[GL_ICP]]))),"",Pre_Close_AMF_Table[[#This Row],[GL_ICP]])</f>
        <v/>
      </c>
      <c r="I312" t="s">
        <v>1212</v>
      </c>
      <c r="J312" t="s">
        <v>1521</v>
      </c>
      <c r="K312" t="str">
        <f>IFERROR(VLOOKUP(VALUE(Pre_Close_AMF_Table[[#This Row],[GL_PC]]),BNS_Profit_Centers[],2,FALSE),"TE")</f>
        <v>TE</v>
      </c>
      <c r="L312" t="s">
        <v>1521</v>
      </c>
      <c r="M312" t="s">
        <v>1374</v>
      </c>
      <c r="N312" t="s">
        <v>1374</v>
      </c>
      <c r="O312" s="33">
        <v>2542</v>
      </c>
    </row>
    <row r="313" spans="1:15" x14ac:dyDescent="0.25">
      <c r="A313" t="s">
        <v>1520</v>
      </c>
      <c r="B313" t="s">
        <v>1378</v>
      </c>
      <c r="C313" t="s">
        <v>9</v>
      </c>
      <c r="D313" t="str">
        <f>VLOOKUP(Pre_Close_AMF_Table[[#This Row],[HFM_Account]],HFM_Acct_OCF_Activity[],3,FALSE)</f>
        <v>Direct</v>
      </c>
      <c r="E313" t="s">
        <v>1210</v>
      </c>
      <c r="F313" t="s">
        <v>1194</v>
      </c>
      <c r="G313" t="s">
        <v>1379</v>
      </c>
      <c r="H313" t="str">
        <f>IF(NOT(ISERROR(FIND("NoICP",Pre_Close_AMF_Table[[#This Row],[GL_ICP]]))),"",Pre_Close_AMF_Table[[#This Row],[GL_ICP]])</f>
        <v/>
      </c>
      <c r="I313" t="s">
        <v>1212</v>
      </c>
      <c r="J313" t="s">
        <v>1521</v>
      </c>
      <c r="K313" t="str">
        <f>IFERROR(VLOOKUP(VALUE(Pre_Close_AMF_Table[[#This Row],[GL_PC]]),BNS_Profit_Centers[],2,FALSE),"TE")</f>
        <v>TE</v>
      </c>
      <c r="L313" t="s">
        <v>1521</v>
      </c>
      <c r="M313" t="s">
        <v>1380</v>
      </c>
      <c r="N313" t="s">
        <v>1380</v>
      </c>
      <c r="O313" s="33">
        <v>12.85</v>
      </c>
    </row>
    <row r="314" spans="1:15" x14ac:dyDescent="0.25">
      <c r="A314" t="s">
        <v>1520</v>
      </c>
      <c r="B314" t="s">
        <v>1381</v>
      </c>
      <c r="C314" t="s">
        <v>9</v>
      </c>
      <c r="D314" t="str">
        <f>VLOOKUP(Pre_Close_AMF_Table[[#This Row],[HFM_Account]],HFM_Acct_OCF_Activity[],3,FALSE)</f>
        <v>Direct</v>
      </c>
      <c r="E314" t="s">
        <v>1210</v>
      </c>
      <c r="F314" t="s">
        <v>1194</v>
      </c>
      <c r="G314" t="s">
        <v>1382</v>
      </c>
      <c r="H314" t="str">
        <f>IF(NOT(ISERROR(FIND("NoICP",Pre_Close_AMF_Table[[#This Row],[GL_ICP]]))),"",Pre_Close_AMF_Table[[#This Row],[GL_ICP]])</f>
        <v/>
      </c>
      <c r="I314" t="s">
        <v>1212</v>
      </c>
      <c r="J314" t="s">
        <v>1521</v>
      </c>
      <c r="K314" t="str">
        <f>IFERROR(VLOOKUP(VALUE(Pre_Close_AMF_Table[[#This Row],[GL_PC]]),BNS_Profit_Centers[],2,FALSE),"TE")</f>
        <v>TE</v>
      </c>
      <c r="L314" t="s">
        <v>1521</v>
      </c>
      <c r="M314" t="s">
        <v>1383</v>
      </c>
      <c r="N314" t="s">
        <v>1334</v>
      </c>
      <c r="O314" s="33">
        <v>4838.17</v>
      </c>
    </row>
    <row r="315" spans="1:15" x14ac:dyDescent="0.25">
      <c r="A315" t="s">
        <v>1520</v>
      </c>
      <c r="B315" t="s">
        <v>1384</v>
      </c>
      <c r="C315" t="s">
        <v>9</v>
      </c>
      <c r="D315" t="str">
        <f>VLOOKUP(Pre_Close_AMF_Table[[#This Row],[HFM_Account]],HFM_Acct_OCF_Activity[],3,FALSE)</f>
        <v>Direct</v>
      </c>
      <c r="E315" t="s">
        <v>1210</v>
      </c>
      <c r="F315" t="s">
        <v>1194</v>
      </c>
      <c r="G315" t="s">
        <v>1385</v>
      </c>
      <c r="H315" t="str">
        <f>IF(NOT(ISERROR(FIND("NoICP",Pre_Close_AMF_Table[[#This Row],[GL_ICP]]))),"",Pre_Close_AMF_Table[[#This Row],[GL_ICP]])</f>
        <v/>
      </c>
      <c r="I315" t="s">
        <v>1212</v>
      </c>
      <c r="J315" t="s">
        <v>1521</v>
      </c>
      <c r="K315" t="str">
        <f>IFERROR(VLOOKUP(VALUE(Pre_Close_AMF_Table[[#This Row],[GL_PC]]),BNS_Profit_Centers[],2,FALSE),"TE")</f>
        <v>TE</v>
      </c>
      <c r="L315" t="s">
        <v>1521</v>
      </c>
      <c r="M315" t="s">
        <v>1386</v>
      </c>
      <c r="N315" t="s">
        <v>1386</v>
      </c>
      <c r="O315" s="33">
        <v>19.63</v>
      </c>
    </row>
    <row r="316" spans="1:15" x14ac:dyDescent="0.25">
      <c r="A316" t="s">
        <v>1520</v>
      </c>
      <c r="B316" t="s">
        <v>1394</v>
      </c>
      <c r="C316" t="s">
        <v>9</v>
      </c>
      <c r="D316" t="str">
        <f>VLOOKUP(Pre_Close_AMF_Table[[#This Row],[HFM_Account]],HFM_Acct_OCF_Activity[],3,FALSE)</f>
        <v>Direct</v>
      </c>
      <c r="E316" t="s">
        <v>1210</v>
      </c>
      <c r="F316" t="s">
        <v>1194</v>
      </c>
      <c r="G316" t="s">
        <v>1395</v>
      </c>
      <c r="H316" t="str">
        <f>IF(NOT(ISERROR(FIND("NoICP",Pre_Close_AMF_Table[[#This Row],[GL_ICP]]))),"",Pre_Close_AMF_Table[[#This Row],[GL_ICP]])</f>
        <v/>
      </c>
      <c r="I316" t="s">
        <v>1212</v>
      </c>
      <c r="J316" t="s">
        <v>1521</v>
      </c>
      <c r="K316" t="str">
        <f>IFERROR(VLOOKUP(VALUE(Pre_Close_AMF_Table[[#This Row],[GL_PC]]),BNS_Profit_Centers[],2,FALSE),"TE")</f>
        <v>TE</v>
      </c>
      <c r="L316" t="s">
        <v>1521</v>
      </c>
      <c r="M316" t="s">
        <v>1396</v>
      </c>
      <c r="N316" t="s">
        <v>1390</v>
      </c>
      <c r="O316" s="33">
        <v>231</v>
      </c>
    </row>
    <row r="317" spans="1:15" x14ac:dyDescent="0.25">
      <c r="A317" t="s">
        <v>1520</v>
      </c>
      <c r="B317" t="s">
        <v>1400</v>
      </c>
      <c r="C317" t="s">
        <v>9</v>
      </c>
      <c r="D317" t="str">
        <f>VLOOKUP(Pre_Close_AMF_Table[[#This Row],[HFM_Account]],HFM_Acct_OCF_Activity[],3,FALSE)</f>
        <v>Direct</v>
      </c>
      <c r="E317" t="s">
        <v>1210</v>
      </c>
      <c r="F317" t="s">
        <v>1194</v>
      </c>
      <c r="G317" t="s">
        <v>1401</v>
      </c>
      <c r="H317" t="str">
        <f>IF(NOT(ISERROR(FIND("NoICP",Pre_Close_AMF_Table[[#This Row],[GL_ICP]]))),"",Pre_Close_AMF_Table[[#This Row],[GL_ICP]])</f>
        <v/>
      </c>
      <c r="I317" t="s">
        <v>1212</v>
      </c>
      <c r="J317" t="s">
        <v>1521</v>
      </c>
      <c r="K317" t="str">
        <f>IFERROR(VLOOKUP(VALUE(Pre_Close_AMF_Table[[#This Row],[GL_PC]]),BNS_Profit_Centers[],2,FALSE),"TE")</f>
        <v>TE</v>
      </c>
      <c r="L317" t="s">
        <v>1521</v>
      </c>
      <c r="M317" t="s">
        <v>1402</v>
      </c>
      <c r="N317" t="s">
        <v>1390</v>
      </c>
      <c r="O317" s="33">
        <v>16.670000000000002</v>
      </c>
    </row>
    <row r="318" spans="1:15" x14ac:dyDescent="0.25">
      <c r="A318" t="s">
        <v>1520</v>
      </c>
      <c r="B318" t="s">
        <v>1522</v>
      </c>
      <c r="C318" t="s">
        <v>9</v>
      </c>
      <c r="D318" t="str">
        <f>VLOOKUP(Pre_Close_AMF_Table[[#This Row],[HFM_Account]],HFM_Acct_OCF_Activity[],3,FALSE)</f>
        <v>Direct</v>
      </c>
      <c r="E318" t="s">
        <v>1210</v>
      </c>
      <c r="F318" t="s">
        <v>1194</v>
      </c>
      <c r="G318" t="s">
        <v>1523</v>
      </c>
      <c r="H318" t="str">
        <f>IF(NOT(ISERROR(FIND("NoICP",Pre_Close_AMF_Table[[#This Row],[GL_ICP]]))),"",Pre_Close_AMF_Table[[#This Row],[GL_ICP]])</f>
        <v/>
      </c>
      <c r="I318" t="s">
        <v>1212</v>
      </c>
      <c r="J318" t="s">
        <v>1521</v>
      </c>
      <c r="K318" t="str">
        <f>IFERROR(VLOOKUP(VALUE(Pre_Close_AMF_Table[[#This Row],[GL_PC]]),BNS_Profit_Centers[],2,FALSE),"TE")</f>
        <v>TE</v>
      </c>
      <c r="L318" t="s">
        <v>1521</v>
      </c>
      <c r="M318" t="s">
        <v>1524</v>
      </c>
      <c r="N318" t="s">
        <v>1524</v>
      </c>
      <c r="O318" s="33">
        <v>4270</v>
      </c>
    </row>
    <row r="319" spans="1:15" x14ac:dyDescent="0.25">
      <c r="A319" t="s">
        <v>1520</v>
      </c>
      <c r="B319" t="s">
        <v>1525</v>
      </c>
      <c r="C319" t="s">
        <v>9</v>
      </c>
      <c r="D319" t="str">
        <f>VLOOKUP(Pre_Close_AMF_Table[[#This Row],[HFM_Account]],HFM_Acct_OCF_Activity[],3,FALSE)</f>
        <v>Direct</v>
      </c>
      <c r="E319" t="s">
        <v>1210</v>
      </c>
      <c r="F319" t="s">
        <v>1194</v>
      </c>
      <c r="G319" t="s">
        <v>1526</v>
      </c>
      <c r="H319" t="str">
        <f>IF(NOT(ISERROR(FIND("NoICP",Pre_Close_AMF_Table[[#This Row],[GL_ICP]]))),"",Pre_Close_AMF_Table[[#This Row],[GL_ICP]])</f>
        <v/>
      </c>
      <c r="I319" t="s">
        <v>1212</v>
      </c>
      <c r="J319" t="s">
        <v>1521</v>
      </c>
      <c r="K319" t="str">
        <f>IFERROR(VLOOKUP(VALUE(Pre_Close_AMF_Table[[#This Row],[GL_PC]]),BNS_Profit_Centers[],2,FALSE),"TE")</f>
        <v>TE</v>
      </c>
      <c r="L319" t="s">
        <v>1521</v>
      </c>
      <c r="M319" t="s">
        <v>1527</v>
      </c>
      <c r="N319" t="s">
        <v>1528</v>
      </c>
      <c r="O319" s="33">
        <v>2328.4699999999998</v>
      </c>
    </row>
    <row r="320" spans="1:15" x14ac:dyDescent="0.25">
      <c r="A320" t="s">
        <v>1520</v>
      </c>
      <c r="B320" t="s">
        <v>1529</v>
      </c>
      <c r="C320" t="s">
        <v>9</v>
      </c>
      <c r="D320" t="str">
        <f>VLOOKUP(Pre_Close_AMF_Table[[#This Row],[HFM_Account]],HFM_Acct_OCF_Activity[],3,FALSE)</f>
        <v>Direct</v>
      </c>
      <c r="E320" t="s">
        <v>1210</v>
      </c>
      <c r="F320" t="s">
        <v>1194</v>
      </c>
      <c r="G320" t="s">
        <v>1530</v>
      </c>
      <c r="H320" t="str">
        <f>IF(NOT(ISERROR(FIND("NoICP",Pre_Close_AMF_Table[[#This Row],[GL_ICP]]))),"",Pre_Close_AMF_Table[[#This Row],[GL_ICP]])</f>
        <v/>
      </c>
      <c r="I320" t="s">
        <v>1212</v>
      </c>
      <c r="J320" t="s">
        <v>1521</v>
      </c>
      <c r="K320" t="str">
        <f>IFERROR(VLOOKUP(VALUE(Pre_Close_AMF_Table[[#This Row],[GL_PC]]),BNS_Profit_Centers[],2,FALSE),"TE")</f>
        <v>TE</v>
      </c>
      <c r="L320" t="s">
        <v>1521</v>
      </c>
      <c r="M320" t="s">
        <v>1531</v>
      </c>
      <c r="N320" t="s">
        <v>1531</v>
      </c>
      <c r="O320" s="33">
        <v>7.94</v>
      </c>
    </row>
    <row r="321" spans="1:15" x14ac:dyDescent="0.25">
      <c r="A321" t="s">
        <v>1520</v>
      </c>
      <c r="B321" t="s">
        <v>1433</v>
      </c>
      <c r="C321" t="s">
        <v>9</v>
      </c>
      <c r="D321" t="str">
        <f>VLOOKUP(Pre_Close_AMF_Table[[#This Row],[HFM_Account]],HFM_Acct_OCF_Activity[],3,FALSE)</f>
        <v>Direct</v>
      </c>
      <c r="E321" t="s">
        <v>1210</v>
      </c>
      <c r="F321" t="s">
        <v>1194</v>
      </c>
      <c r="G321" t="s">
        <v>1434</v>
      </c>
      <c r="H321" t="str">
        <f>IF(NOT(ISERROR(FIND("NoICP",Pre_Close_AMF_Table[[#This Row],[GL_ICP]]))),"",Pre_Close_AMF_Table[[#This Row],[GL_ICP]])</f>
        <v/>
      </c>
      <c r="I321" t="s">
        <v>1212</v>
      </c>
      <c r="J321" t="s">
        <v>1521</v>
      </c>
      <c r="K321" t="str">
        <f>IFERROR(VLOOKUP(VALUE(Pre_Close_AMF_Table[[#This Row],[GL_PC]]),BNS_Profit_Centers[],2,FALSE),"TE")</f>
        <v>TE</v>
      </c>
      <c r="L321" t="s">
        <v>1521</v>
      </c>
      <c r="M321" t="s">
        <v>1435</v>
      </c>
      <c r="N321" t="s">
        <v>1436</v>
      </c>
      <c r="O321" s="33">
        <v>607.04</v>
      </c>
    </row>
    <row r="322" spans="1:15" x14ac:dyDescent="0.25">
      <c r="A322" t="s">
        <v>1520</v>
      </c>
      <c r="B322" t="s">
        <v>1439</v>
      </c>
      <c r="C322" t="s">
        <v>9</v>
      </c>
      <c r="D322" t="str">
        <f>VLOOKUP(Pre_Close_AMF_Table[[#This Row],[HFM_Account]],HFM_Acct_OCF_Activity[],3,FALSE)</f>
        <v>Direct</v>
      </c>
      <c r="E322" t="s">
        <v>1210</v>
      </c>
      <c r="F322" t="s">
        <v>1194</v>
      </c>
      <c r="G322" t="s">
        <v>1440</v>
      </c>
      <c r="H322" t="str">
        <f>IF(NOT(ISERROR(FIND("NoICP",Pre_Close_AMF_Table[[#This Row],[GL_ICP]]))),"",Pre_Close_AMF_Table[[#This Row],[GL_ICP]])</f>
        <v/>
      </c>
      <c r="I322" t="s">
        <v>1212</v>
      </c>
      <c r="J322" t="s">
        <v>1521</v>
      </c>
      <c r="K322" t="str">
        <f>IFERROR(VLOOKUP(VALUE(Pre_Close_AMF_Table[[#This Row],[GL_PC]]),BNS_Profit_Centers[],2,FALSE),"TE")</f>
        <v>TE</v>
      </c>
      <c r="L322" t="s">
        <v>1521</v>
      </c>
      <c r="M322" t="s">
        <v>1441</v>
      </c>
      <c r="N322" t="s">
        <v>1441</v>
      </c>
      <c r="O322" s="33">
        <v>22.89</v>
      </c>
    </row>
    <row r="323" spans="1:15" x14ac:dyDescent="0.25">
      <c r="A323" t="s">
        <v>1520</v>
      </c>
      <c r="B323" t="s">
        <v>1532</v>
      </c>
      <c r="C323" t="s">
        <v>9</v>
      </c>
      <c r="D323" t="str">
        <f>VLOOKUP(Pre_Close_AMF_Table[[#This Row],[HFM_Account]],HFM_Acct_OCF_Activity[],3,FALSE)</f>
        <v>Direct</v>
      </c>
      <c r="E323" t="s">
        <v>1210</v>
      </c>
      <c r="F323" t="s">
        <v>1194</v>
      </c>
      <c r="G323" t="s">
        <v>1533</v>
      </c>
      <c r="H323" t="str">
        <f>IF(NOT(ISERROR(FIND("NoICP",Pre_Close_AMF_Table[[#This Row],[GL_ICP]]))),"",Pre_Close_AMF_Table[[#This Row],[GL_ICP]])</f>
        <v/>
      </c>
      <c r="I323" t="s">
        <v>1212</v>
      </c>
      <c r="J323" t="s">
        <v>1534</v>
      </c>
      <c r="K323" t="str">
        <f>IFERROR(VLOOKUP(VALUE(Pre_Close_AMF_Table[[#This Row],[GL_PC]]),BNS_Profit_Centers[],2,FALSE),"TE")</f>
        <v>TE</v>
      </c>
      <c r="L323" t="s">
        <v>1534</v>
      </c>
      <c r="M323" t="s">
        <v>1535</v>
      </c>
      <c r="N323" t="s">
        <v>1334</v>
      </c>
      <c r="O323" s="33">
        <v>1197.03</v>
      </c>
    </row>
    <row r="324" spans="1:15" x14ac:dyDescent="0.25">
      <c r="A324" t="s">
        <v>1520</v>
      </c>
      <c r="B324" t="s">
        <v>1341</v>
      </c>
      <c r="C324" t="s">
        <v>9</v>
      </c>
      <c r="D324" t="str">
        <f>VLOOKUP(Pre_Close_AMF_Table[[#This Row],[HFM_Account]],HFM_Acct_OCF_Activity[],3,FALSE)</f>
        <v>Direct</v>
      </c>
      <c r="E324" t="s">
        <v>1210</v>
      </c>
      <c r="F324" t="s">
        <v>1194</v>
      </c>
      <c r="G324" t="s">
        <v>1342</v>
      </c>
      <c r="H324" t="str">
        <f>IF(NOT(ISERROR(FIND("NoICP",Pre_Close_AMF_Table[[#This Row],[GL_ICP]]))),"",Pre_Close_AMF_Table[[#This Row],[GL_ICP]])</f>
        <v/>
      </c>
      <c r="I324" t="s">
        <v>1212</v>
      </c>
      <c r="J324" t="s">
        <v>1534</v>
      </c>
      <c r="K324" t="str">
        <f>IFERROR(VLOOKUP(VALUE(Pre_Close_AMF_Table[[#This Row],[GL_PC]]),BNS_Profit_Centers[],2,FALSE),"TE")</f>
        <v>TE</v>
      </c>
      <c r="L324" t="s">
        <v>1534</v>
      </c>
      <c r="M324" t="s">
        <v>1343</v>
      </c>
      <c r="N324" t="s">
        <v>1334</v>
      </c>
      <c r="O324" s="33">
        <v>2637.41</v>
      </c>
    </row>
    <row r="325" spans="1:15" x14ac:dyDescent="0.25">
      <c r="A325" t="s">
        <v>1520</v>
      </c>
      <c r="B325" t="s">
        <v>1536</v>
      </c>
      <c r="C325" t="s">
        <v>9</v>
      </c>
      <c r="D325" t="str">
        <f>VLOOKUP(Pre_Close_AMF_Table[[#This Row],[HFM_Account]],HFM_Acct_OCF_Activity[],3,FALSE)</f>
        <v>Direct</v>
      </c>
      <c r="E325" t="s">
        <v>1210</v>
      </c>
      <c r="F325" t="s">
        <v>1194</v>
      </c>
      <c r="G325" t="s">
        <v>1537</v>
      </c>
      <c r="H325" t="str">
        <f>IF(NOT(ISERROR(FIND("NoICP",Pre_Close_AMF_Table[[#This Row],[GL_ICP]]))),"",Pre_Close_AMF_Table[[#This Row],[GL_ICP]])</f>
        <v/>
      </c>
      <c r="I325" t="s">
        <v>1212</v>
      </c>
      <c r="J325" t="s">
        <v>1534</v>
      </c>
      <c r="K325" t="str">
        <f>IFERROR(VLOOKUP(VALUE(Pre_Close_AMF_Table[[#This Row],[GL_PC]]),BNS_Profit_Centers[],2,FALSE),"TE")</f>
        <v>TE</v>
      </c>
      <c r="L325" t="s">
        <v>1534</v>
      </c>
      <c r="M325" t="s">
        <v>1018</v>
      </c>
      <c r="N325" t="s">
        <v>1538</v>
      </c>
      <c r="O325" s="33">
        <v>582</v>
      </c>
    </row>
    <row r="326" spans="1:15" x14ac:dyDescent="0.25">
      <c r="A326" t="s">
        <v>1520</v>
      </c>
      <c r="B326" t="s">
        <v>1539</v>
      </c>
      <c r="C326" t="s">
        <v>9</v>
      </c>
      <c r="D326" t="str">
        <f>VLOOKUP(Pre_Close_AMF_Table[[#This Row],[HFM_Account]],HFM_Acct_OCF_Activity[],3,FALSE)</f>
        <v>Direct</v>
      </c>
      <c r="E326" t="s">
        <v>1210</v>
      </c>
      <c r="F326" t="s">
        <v>1194</v>
      </c>
      <c r="G326" t="s">
        <v>1540</v>
      </c>
      <c r="H326" t="str">
        <f>IF(NOT(ISERROR(FIND("NoICP",Pre_Close_AMF_Table[[#This Row],[GL_ICP]]))),"",Pre_Close_AMF_Table[[#This Row],[GL_ICP]])</f>
        <v/>
      </c>
      <c r="I326" t="s">
        <v>1212</v>
      </c>
      <c r="J326" t="s">
        <v>1534</v>
      </c>
      <c r="K326" t="str">
        <f>IFERROR(VLOOKUP(VALUE(Pre_Close_AMF_Table[[#This Row],[GL_PC]]),BNS_Profit_Centers[],2,FALSE),"TE")</f>
        <v>TE</v>
      </c>
      <c r="L326" t="s">
        <v>1534</v>
      </c>
      <c r="M326" t="s">
        <v>1541</v>
      </c>
      <c r="N326" t="s">
        <v>1347</v>
      </c>
      <c r="O326" s="33">
        <v>3140.66</v>
      </c>
    </row>
    <row r="327" spans="1:15" x14ac:dyDescent="0.25">
      <c r="A327" t="s">
        <v>1520</v>
      </c>
      <c r="B327" t="s">
        <v>1542</v>
      </c>
      <c r="C327" t="s">
        <v>9</v>
      </c>
      <c r="D327" t="str">
        <f>VLOOKUP(Pre_Close_AMF_Table[[#This Row],[HFM_Account]],HFM_Acct_OCF_Activity[],3,FALSE)</f>
        <v>Direct</v>
      </c>
      <c r="E327" t="s">
        <v>1210</v>
      </c>
      <c r="F327" t="s">
        <v>1194</v>
      </c>
      <c r="G327" t="s">
        <v>1543</v>
      </c>
      <c r="H327" t="str">
        <f>IF(NOT(ISERROR(FIND("NoICP",Pre_Close_AMF_Table[[#This Row],[GL_ICP]]))),"",Pre_Close_AMF_Table[[#This Row],[GL_ICP]])</f>
        <v/>
      </c>
      <c r="I327" t="s">
        <v>1212</v>
      </c>
      <c r="J327" t="s">
        <v>1534</v>
      </c>
      <c r="K327" t="str">
        <f>IFERROR(VLOOKUP(VALUE(Pre_Close_AMF_Table[[#This Row],[GL_PC]]),BNS_Profit_Centers[],2,FALSE),"TE")</f>
        <v>TE</v>
      </c>
      <c r="L327" t="s">
        <v>1534</v>
      </c>
      <c r="M327" t="s">
        <v>1544</v>
      </c>
      <c r="N327" t="s">
        <v>1347</v>
      </c>
      <c r="O327" s="33">
        <v>645.02</v>
      </c>
    </row>
    <row r="328" spans="1:15" x14ac:dyDescent="0.25">
      <c r="A328" t="s">
        <v>1520</v>
      </c>
      <c r="B328" t="s">
        <v>1344</v>
      </c>
      <c r="C328" t="s">
        <v>9</v>
      </c>
      <c r="D328" t="str">
        <f>VLOOKUP(Pre_Close_AMF_Table[[#This Row],[HFM_Account]],HFM_Acct_OCF_Activity[],3,FALSE)</f>
        <v>Direct</v>
      </c>
      <c r="E328" t="s">
        <v>1210</v>
      </c>
      <c r="F328" t="s">
        <v>1194</v>
      </c>
      <c r="G328" t="s">
        <v>1345</v>
      </c>
      <c r="H328" t="str">
        <f>IF(NOT(ISERROR(FIND("NoICP",Pre_Close_AMF_Table[[#This Row],[GL_ICP]]))),"",Pre_Close_AMF_Table[[#This Row],[GL_ICP]])</f>
        <v/>
      </c>
      <c r="I328" t="s">
        <v>1212</v>
      </c>
      <c r="J328" t="s">
        <v>1534</v>
      </c>
      <c r="K328" t="str">
        <f>IFERROR(VLOOKUP(VALUE(Pre_Close_AMF_Table[[#This Row],[GL_PC]]),BNS_Profit_Centers[],2,FALSE),"TE")</f>
        <v>TE</v>
      </c>
      <c r="L328" t="s">
        <v>1534</v>
      </c>
      <c r="M328" t="s">
        <v>1346</v>
      </c>
      <c r="N328" t="s">
        <v>1347</v>
      </c>
      <c r="O328" s="33">
        <v>-2600</v>
      </c>
    </row>
    <row r="329" spans="1:15" x14ac:dyDescent="0.25">
      <c r="A329" t="s">
        <v>1520</v>
      </c>
      <c r="B329" t="s">
        <v>1545</v>
      </c>
      <c r="C329" t="s">
        <v>9</v>
      </c>
      <c r="D329" t="str">
        <f>VLOOKUP(Pre_Close_AMF_Table[[#This Row],[HFM_Account]],HFM_Acct_OCF_Activity[],3,FALSE)</f>
        <v>Direct</v>
      </c>
      <c r="E329" t="s">
        <v>1210</v>
      </c>
      <c r="F329" t="s">
        <v>1194</v>
      </c>
      <c r="G329" t="s">
        <v>1546</v>
      </c>
      <c r="H329" t="str">
        <f>IF(NOT(ISERROR(FIND("NoICP",Pre_Close_AMF_Table[[#This Row],[GL_ICP]]))),"",Pre_Close_AMF_Table[[#This Row],[GL_ICP]])</f>
        <v/>
      </c>
      <c r="I329" t="s">
        <v>1212</v>
      </c>
      <c r="J329" t="s">
        <v>1534</v>
      </c>
      <c r="K329" t="str">
        <f>IFERROR(VLOOKUP(VALUE(Pre_Close_AMF_Table[[#This Row],[GL_PC]]),BNS_Profit_Centers[],2,FALSE),"TE")</f>
        <v>TE</v>
      </c>
      <c r="L329" t="s">
        <v>1534</v>
      </c>
      <c r="M329" t="s">
        <v>1547</v>
      </c>
      <c r="N329" t="s">
        <v>1351</v>
      </c>
      <c r="O329" s="33">
        <v>1012.42</v>
      </c>
    </row>
    <row r="330" spans="1:15" x14ac:dyDescent="0.25">
      <c r="A330" t="s">
        <v>1520</v>
      </c>
      <c r="B330" t="s">
        <v>1548</v>
      </c>
      <c r="C330" t="s">
        <v>9</v>
      </c>
      <c r="D330" t="str">
        <f>VLOOKUP(Pre_Close_AMF_Table[[#This Row],[HFM_Account]],HFM_Acct_OCF_Activity[],3,FALSE)</f>
        <v>Direct</v>
      </c>
      <c r="E330" t="s">
        <v>1210</v>
      </c>
      <c r="F330" t="s">
        <v>1194</v>
      </c>
      <c r="G330" t="s">
        <v>1549</v>
      </c>
      <c r="H330" t="str">
        <f>IF(NOT(ISERROR(FIND("NoICP",Pre_Close_AMF_Table[[#This Row],[GL_ICP]]))),"",Pre_Close_AMF_Table[[#This Row],[GL_ICP]])</f>
        <v/>
      </c>
      <c r="I330" t="s">
        <v>1212</v>
      </c>
      <c r="J330" t="s">
        <v>1534</v>
      </c>
      <c r="K330" t="str">
        <f>IFERROR(VLOOKUP(VALUE(Pre_Close_AMF_Table[[#This Row],[GL_PC]]),BNS_Profit_Centers[],2,FALSE),"TE")</f>
        <v>TE</v>
      </c>
      <c r="L330" t="s">
        <v>1534</v>
      </c>
      <c r="M330" t="s">
        <v>1550</v>
      </c>
      <c r="N330" t="s">
        <v>1551</v>
      </c>
      <c r="O330" s="33">
        <v>1421.7</v>
      </c>
    </row>
    <row r="331" spans="1:15" x14ac:dyDescent="0.25">
      <c r="A331" t="s">
        <v>1520</v>
      </c>
      <c r="B331" t="s">
        <v>1552</v>
      </c>
      <c r="C331" t="s">
        <v>9</v>
      </c>
      <c r="D331" t="str">
        <f>VLOOKUP(Pre_Close_AMF_Table[[#This Row],[HFM_Account]],HFM_Acct_OCF_Activity[],3,FALSE)</f>
        <v>Direct</v>
      </c>
      <c r="E331" t="s">
        <v>1210</v>
      </c>
      <c r="F331" t="s">
        <v>1194</v>
      </c>
      <c r="G331" t="s">
        <v>1553</v>
      </c>
      <c r="H331" t="str">
        <f>IF(NOT(ISERROR(FIND("NoICP",Pre_Close_AMF_Table[[#This Row],[GL_ICP]]))),"",Pre_Close_AMF_Table[[#This Row],[GL_ICP]])</f>
        <v/>
      </c>
      <c r="I331" t="s">
        <v>1212</v>
      </c>
      <c r="J331" t="s">
        <v>1534</v>
      </c>
      <c r="K331" t="str">
        <f>IFERROR(VLOOKUP(VALUE(Pre_Close_AMF_Table[[#This Row],[GL_PC]]),BNS_Profit_Centers[],2,FALSE),"TE")</f>
        <v>TE</v>
      </c>
      <c r="L331" t="s">
        <v>1534</v>
      </c>
      <c r="M331" t="s">
        <v>1554</v>
      </c>
      <c r="N331" t="s">
        <v>1351</v>
      </c>
      <c r="O331" s="33">
        <v>1937.12</v>
      </c>
    </row>
    <row r="332" spans="1:15" x14ac:dyDescent="0.25">
      <c r="A332" t="s">
        <v>1520</v>
      </c>
      <c r="B332" t="s">
        <v>1348</v>
      </c>
      <c r="C332" t="s">
        <v>9</v>
      </c>
      <c r="D332" t="str">
        <f>VLOOKUP(Pre_Close_AMF_Table[[#This Row],[HFM_Account]],HFM_Acct_OCF_Activity[],3,FALSE)</f>
        <v>Direct</v>
      </c>
      <c r="E332" t="s">
        <v>1210</v>
      </c>
      <c r="F332" t="s">
        <v>1194</v>
      </c>
      <c r="G332" t="s">
        <v>1349</v>
      </c>
      <c r="H332" t="str">
        <f>IF(NOT(ISERROR(FIND("NoICP",Pre_Close_AMF_Table[[#This Row],[GL_ICP]]))),"",Pre_Close_AMF_Table[[#This Row],[GL_ICP]])</f>
        <v/>
      </c>
      <c r="I332" t="s">
        <v>1212</v>
      </c>
      <c r="J332" t="s">
        <v>1534</v>
      </c>
      <c r="K332" t="str">
        <f>IFERROR(VLOOKUP(VALUE(Pre_Close_AMF_Table[[#This Row],[GL_PC]]),BNS_Profit_Centers[],2,FALSE),"TE")</f>
        <v>TE</v>
      </c>
      <c r="L332" t="s">
        <v>1534</v>
      </c>
      <c r="M332" t="s">
        <v>1350</v>
      </c>
      <c r="N332" t="s">
        <v>1351</v>
      </c>
      <c r="O332" s="33">
        <v>895.02</v>
      </c>
    </row>
    <row r="333" spans="1:15" x14ac:dyDescent="0.25">
      <c r="A333" t="s">
        <v>1520</v>
      </c>
      <c r="B333" t="s">
        <v>1352</v>
      </c>
      <c r="C333" t="s">
        <v>9</v>
      </c>
      <c r="D333" t="str">
        <f>VLOOKUP(Pre_Close_AMF_Table[[#This Row],[HFM_Account]],HFM_Acct_OCF_Activity[],3,FALSE)</f>
        <v>Direct</v>
      </c>
      <c r="E333" t="s">
        <v>1210</v>
      </c>
      <c r="F333" t="s">
        <v>1194</v>
      </c>
      <c r="G333" t="s">
        <v>1353</v>
      </c>
      <c r="H333" t="str">
        <f>IF(NOT(ISERROR(FIND("NoICP",Pre_Close_AMF_Table[[#This Row],[GL_ICP]]))),"",Pre_Close_AMF_Table[[#This Row],[GL_ICP]])</f>
        <v/>
      </c>
      <c r="I333" t="s">
        <v>1212</v>
      </c>
      <c r="J333" t="s">
        <v>1534</v>
      </c>
      <c r="K333" t="str">
        <f>IFERROR(VLOOKUP(VALUE(Pre_Close_AMF_Table[[#This Row],[GL_PC]]),BNS_Profit_Centers[],2,FALSE),"TE")</f>
        <v>TE</v>
      </c>
      <c r="L333" t="s">
        <v>1534</v>
      </c>
      <c r="M333" t="s">
        <v>1354</v>
      </c>
      <c r="N333" t="s">
        <v>1351</v>
      </c>
      <c r="O333" s="33">
        <v>319.39</v>
      </c>
    </row>
    <row r="334" spans="1:15" x14ac:dyDescent="0.25">
      <c r="A334" t="s">
        <v>1520</v>
      </c>
      <c r="B334" t="s">
        <v>1555</v>
      </c>
      <c r="C334" t="s">
        <v>9</v>
      </c>
      <c r="D334" t="str">
        <f>VLOOKUP(Pre_Close_AMF_Table[[#This Row],[HFM_Account]],HFM_Acct_OCF_Activity[],3,FALSE)</f>
        <v>Direct</v>
      </c>
      <c r="E334" t="s">
        <v>1210</v>
      </c>
      <c r="F334" t="s">
        <v>1194</v>
      </c>
      <c r="G334" t="s">
        <v>1556</v>
      </c>
      <c r="H334" t="str">
        <f>IF(NOT(ISERROR(FIND("NoICP",Pre_Close_AMF_Table[[#This Row],[GL_ICP]]))),"",Pre_Close_AMF_Table[[#This Row],[GL_ICP]])</f>
        <v/>
      </c>
      <c r="I334" t="s">
        <v>1212</v>
      </c>
      <c r="J334" t="s">
        <v>1534</v>
      </c>
      <c r="K334" t="str">
        <f>IFERROR(VLOOKUP(VALUE(Pre_Close_AMF_Table[[#This Row],[GL_PC]]),BNS_Profit_Centers[],2,FALSE),"TE")</f>
        <v>TE</v>
      </c>
      <c r="L334" t="s">
        <v>1534</v>
      </c>
      <c r="M334" t="s">
        <v>1557</v>
      </c>
      <c r="N334" t="s">
        <v>1557</v>
      </c>
      <c r="O334" s="33">
        <v>24472.6</v>
      </c>
    </row>
    <row r="335" spans="1:15" x14ac:dyDescent="0.25">
      <c r="A335" t="s">
        <v>1520</v>
      </c>
      <c r="B335" t="s">
        <v>1558</v>
      </c>
      <c r="C335" t="s">
        <v>9</v>
      </c>
      <c r="D335" t="str">
        <f>VLOOKUP(Pre_Close_AMF_Table[[#This Row],[HFM_Account]],HFM_Acct_OCF_Activity[],3,FALSE)</f>
        <v>Direct</v>
      </c>
      <c r="E335" t="s">
        <v>1210</v>
      </c>
      <c r="F335" t="s">
        <v>1194</v>
      </c>
      <c r="G335" t="s">
        <v>1559</v>
      </c>
      <c r="H335" t="str">
        <f>IF(NOT(ISERROR(FIND("NoICP",Pre_Close_AMF_Table[[#This Row],[GL_ICP]]))),"",Pre_Close_AMF_Table[[#This Row],[GL_ICP]])</f>
        <v/>
      </c>
      <c r="I335" t="s">
        <v>1212</v>
      </c>
      <c r="J335" t="s">
        <v>1534</v>
      </c>
      <c r="K335" t="str">
        <f>IFERROR(VLOOKUP(VALUE(Pre_Close_AMF_Table[[#This Row],[GL_PC]]),BNS_Profit_Centers[],2,FALSE),"TE")</f>
        <v>TE</v>
      </c>
      <c r="L335" t="s">
        <v>1534</v>
      </c>
      <c r="M335" t="s">
        <v>1560</v>
      </c>
      <c r="N335" t="s">
        <v>1557</v>
      </c>
      <c r="O335" s="33">
        <v>263</v>
      </c>
    </row>
    <row r="336" spans="1:15" x14ac:dyDescent="0.25">
      <c r="A336" t="s">
        <v>1520</v>
      </c>
      <c r="B336" t="s">
        <v>1384</v>
      </c>
      <c r="C336" t="s">
        <v>9</v>
      </c>
      <c r="D336" t="str">
        <f>VLOOKUP(Pre_Close_AMF_Table[[#This Row],[HFM_Account]],HFM_Acct_OCF_Activity[],3,FALSE)</f>
        <v>Direct</v>
      </c>
      <c r="E336" t="s">
        <v>1210</v>
      </c>
      <c r="F336" t="s">
        <v>1194</v>
      </c>
      <c r="G336" t="s">
        <v>1385</v>
      </c>
      <c r="H336" t="str">
        <f>IF(NOT(ISERROR(FIND("NoICP",Pre_Close_AMF_Table[[#This Row],[GL_ICP]]))),"",Pre_Close_AMF_Table[[#This Row],[GL_ICP]])</f>
        <v/>
      </c>
      <c r="I336" t="s">
        <v>1212</v>
      </c>
      <c r="J336" t="s">
        <v>1534</v>
      </c>
      <c r="K336" t="str">
        <f>IFERROR(VLOOKUP(VALUE(Pre_Close_AMF_Table[[#This Row],[GL_PC]]),BNS_Profit_Centers[],2,FALSE),"TE")</f>
        <v>TE</v>
      </c>
      <c r="L336" t="s">
        <v>1534</v>
      </c>
      <c r="M336" t="s">
        <v>1386</v>
      </c>
      <c r="N336" t="s">
        <v>1386</v>
      </c>
      <c r="O336" s="33">
        <v>13.32</v>
      </c>
    </row>
    <row r="337" spans="1:15" x14ac:dyDescent="0.25">
      <c r="A337" t="s">
        <v>1520</v>
      </c>
      <c r="B337" t="s">
        <v>1459</v>
      </c>
      <c r="C337" t="s">
        <v>9</v>
      </c>
      <c r="D337" t="str">
        <f>VLOOKUP(Pre_Close_AMF_Table[[#This Row],[HFM_Account]],HFM_Acct_OCF_Activity[],3,FALSE)</f>
        <v>Direct</v>
      </c>
      <c r="E337" t="s">
        <v>1210</v>
      </c>
      <c r="F337" t="s">
        <v>1194</v>
      </c>
      <c r="G337" t="s">
        <v>1460</v>
      </c>
      <c r="H337" t="str">
        <f>IF(NOT(ISERROR(FIND("NoICP",Pre_Close_AMF_Table[[#This Row],[GL_ICP]]))),"",Pre_Close_AMF_Table[[#This Row],[GL_ICP]])</f>
        <v/>
      </c>
      <c r="I337" t="s">
        <v>1212</v>
      </c>
      <c r="J337" t="s">
        <v>1534</v>
      </c>
      <c r="K337" t="str">
        <f>IFERROR(VLOOKUP(VALUE(Pre_Close_AMF_Table[[#This Row],[GL_PC]]),BNS_Profit_Centers[],2,FALSE),"TE")</f>
        <v>TE</v>
      </c>
      <c r="L337" t="s">
        <v>1534</v>
      </c>
      <c r="M337" t="s">
        <v>1461</v>
      </c>
      <c r="N337" t="s">
        <v>1461</v>
      </c>
      <c r="O337" s="33">
        <v>449.41</v>
      </c>
    </row>
    <row r="338" spans="1:15" x14ac:dyDescent="0.25">
      <c r="A338" t="s">
        <v>1520</v>
      </c>
      <c r="B338" t="s">
        <v>1387</v>
      </c>
      <c r="C338" t="s">
        <v>9</v>
      </c>
      <c r="D338" t="str">
        <f>VLOOKUP(Pre_Close_AMF_Table[[#This Row],[HFM_Account]],HFM_Acct_OCF_Activity[],3,FALSE)</f>
        <v>Direct</v>
      </c>
      <c r="E338" t="s">
        <v>1210</v>
      </c>
      <c r="F338" t="s">
        <v>1194</v>
      </c>
      <c r="G338" t="s">
        <v>1388</v>
      </c>
      <c r="H338" t="str">
        <f>IF(NOT(ISERROR(FIND("NoICP",Pre_Close_AMF_Table[[#This Row],[GL_ICP]]))),"",Pre_Close_AMF_Table[[#This Row],[GL_ICP]])</f>
        <v/>
      </c>
      <c r="I338" t="s">
        <v>1212</v>
      </c>
      <c r="J338" t="s">
        <v>1534</v>
      </c>
      <c r="K338" t="str">
        <f>IFERROR(VLOOKUP(VALUE(Pre_Close_AMF_Table[[#This Row],[GL_PC]]),BNS_Profit_Centers[],2,FALSE),"TE")</f>
        <v>TE</v>
      </c>
      <c r="L338" t="s">
        <v>1534</v>
      </c>
      <c r="M338" t="s">
        <v>1389</v>
      </c>
      <c r="N338" t="s">
        <v>1390</v>
      </c>
      <c r="O338" s="33">
        <v>147.11000000000001</v>
      </c>
    </row>
    <row r="339" spans="1:15" x14ac:dyDescent="0.25">
      <c r="A339" t="s">
        <v>1520</v>
      </c>
      <c r="B339" t="s">
        <v>1391</v>
      </c>
      <c r="C339" t="s">
        <v>9</v>
      </c>
      <c r="D339" t="str">
        <f>VLOOKUP(Pre_Close_AMF_Table[[#This Row],[HFM_Account]],HFM_Acct_OCF_Activity[],3,FALSE)</f>
        <v>Direct</v>
      </c>
      <c r="E339" t="s">
        <v>1210</v>
      </c>
      <c r="F339" t="s">
        <v>1194</v>
      </c>
      <c r="G339" t="s">
        <v>1392</v>
      </c>
      <c r="H339" t="str">
        <f>IF(NOT(ISERROR(FIND("NoICP",Pre_Close_AMF_Table[[#This Row],[GL_ICP]]))),"",Pre_Close_AMF_Table[[#This Row],[GL_ICP]])</f>
        <v/>
      </c>
      <c r="I339" t="s">
        <v>1212</v>
      </c>
      <c r="J339" t="s">
        <v>1534</v>
      </c>
      <c r="K339" t="str">
        <f>IFERROR(VLOOKUP(VALUE(Pre_Close_AMF_Table[[#This Row],[GL_PC]]),BNS_Profit_Centers[],2,FALSE),"TE")</f>
        <v>TE</v>
      </c>
      <c r="L339" t="s">
        <v>1534</v>
      </c>
      <c r="M339" t="s">
        <v>1393</v>
      </c>
      <c r="N339" t="s">
        <v>1390</v>
      </c>
      <c r="O339" s="33">
        <v>405.3</v>
      </c>
    </row>
    <row r="340" spans="1:15" x14ac:dyDescent="0.25">
      <c r="A340" t="s">
        <v>1520</v>
      </c>
      <c r="B340" t="s">
        <v>1400</v>
      </c>
      <c r="C340" t="s">
        <v>9</v>
      </c>
      <c r="D340" t="str">
        <f>VLOOKUP(Pre_Close_AMF_Table[[#This Row],[HFM_Account]],HFM_Acct_OCF_Activity[],3,FALSE)</f>
        <v>Direct</v>
      </c>
      <c r="E340" t="s">
        <v>1210</v>
      </c>
      <c r="F340" t="s">
        <v>1194</v>
      </c>
      <c r="G340" t="s">
        <v>1401</v>
      </c>
      <c r="H340" t="str">
        <f>IF(NOT(ISERROR(FIND("NoICP",Pre_Close_AMF_Table[[#This Row],[GL_ICP]]))),"",Pre_Close_AMF_Table[[#This Row],[GL_ICP]])</f>
        <v/>
      </c>
      <c r="I340" t="s">
        <v>1212</v>
      </c>
      <c r="J340" t="s">
        <v>1534</v>
      </c>
      <c r="K340" t="str">
        <f>IFERROR(VLOOKUP(VALUE(Pre_Close_AMF_Table[[#This Row],[GL_PC]]),BNS_Profit_Centers[],2,FALSE),"TE")</f>
        <v>TE</v>
      </c>
      <c r="L340" t="s">
        <v>1534</v>
      </c>
      <c r="M340" t="s">
        <v>1402</v>
      </c>
      <c r="N340" t="s">
        <v>1390</v>
      </c>
      <c r="O340" s="33">
        <v>67.540000000000006</v>
      </c>
    </row>
    <row r="341" spans="1:15" x14ac:dyDescent="0.25">
      <c r="A341" t="s">
        <v>1520</v>
      </c>
      <c r="B341" t="s">
        <v>1403</v>
      </c>
      <c r="C341" t="s">
        <v>9</v>
      </c>
      <c r="D341" t="str">
        <f>VLOOKUP(Pre_Close_AMF_Table[[#This Row],[HFM_Account]],HFM_Acct_OCF_Activity[],3,FALSE)</f>
        <v>Direct</v>
      </c>
      <c r="E341" t="s">
        <v>1210</v>
      </c>
      <c r="F341" t="s">
        <v>1194</v>
      </c>
      <c r="G341" t="s">
        <v>1404</v>
      </c>
      <c r="H341" t="str">
        <f>IF(NOT(ISERROR(FIND("NoICP",Pre_Close_AMF_Table[[#This Row],[GL_ICP]]))),"",Pre_Close_AMF_Table[[#This Row],[GL_ICP]])</f>
        <v/>
      </c>
      <c r="I341" t="s">
        <v>1212</v>
      </c>
      <c r="J341" t="s">
        <v>1534</v>
      </c>
      <c r="K341" t="str">
        <f>IFERROR(VLOOKUP(VALUE(Pre_Close_AMF_Table[[#This Row],[GL_PC]]),BNS_Profit_Centers[],2,FALSE),"TE")</f>
        <v>TE</v>
      </c>
      <c r="L341" t="s">
        <v>1534</v>
      </c>
      <c r="M341" t="s">
        <v>1405</v>
      </c>
      <c r="N341" t="s">
        <v>1390</v>
      </c>
      <c r="O341" s="33">
        <v>95.47</v>
      </c>
    </row>
    <row r="342" spans="1:15" x14ac:dyDescent="0.25">
      <c r="A342" t="s">
        <v>1520</v>
      </c>
      <c r="B342" t="s">
        <v>1561</v>
      </c>
      <c r="C342" t="s">
        <v>9</v>
      </c>
      <c r="D342" t="str">
        <f>VLOOKUP(Pre_Close_AMF_Table[[#This Row],[HFM_Account]],HFM_Acct_OCF_Activity[],3,FALSE)</f>
        <v>Direct</v>
      </c>
      <c r="E342" t="s">
        <v>1210</v>
      </c>
      <c r="F342" t="s">
        <v>1194</v>
      </c>
      <c r="G342" t="s">
        <v>1562</v>
      </c>
      <c r="H342" t="str">
        <f>IF(NOT(ISERROR(FIND("NoICP",Pre_Close_AMF_Table[[#This Row],[GL_ICP]]))),"",Pre_Close_AMF_Table[[#This Row],[GL_ICP]])</f>
        <v/>
      </c>
      <c r="I342" t="s">
        <v>1212</v>
      </c>
      <c r="J342" t="s">
        <v>1534</v>
      </c>
      <c r="K342" t="str">
        <f>IFERROR(VLOOKUP(VALUE(Pre_Close_AMF_Table[[#This Row],[GL_PC]]),BNS_Profit_Centers[],2,FALSE),"TE")</f>
        <v>TE</v>
      </c>
      <c r="L342" t="s">
        <v>1534</v>
      </c>
      <c r="M342" t="s">
        <v>1563</v>
      </c>
      <c r="N342" t="s">
        <v>1421</v>
      </c>
      <c r="O342" s="33">
        <v>1323.85</v>
      </c>
    </row>
    <row r="343" spans="1:15" x14ac:dyDescent="0.25">
      <c r="A343" t="s">
        <v>1520</v>
      </c>
      <c r="B343" t="s">
        <v>1419</v>
      </c>
      <c r="C343" t="s">
        <v>9</v>
      </c>
      <c r="D343" t="str">
        <f>VLOOKUP(Pre_Close_AMF_Table[[#This Row],[HFM_Account]],HFM_Acct_OCF_Activity[],3,FALSE)</f>
        <v>Direct</v>
      </c>
      <c r="E343" t="s">
        <v>1210</v>
      </c>
      <c r="F343" t="s">
        <v>1194</v>
      </c>
      <c r="G343" t="s">
        <v>1420</v>
      </c>
      <c r="H343" t="str">
        <f>IF(NOT(ISERROR(FIND("NoICP",Pre_Close_AMF_Table[[#This Row],[GL_ICP]]))),"",Pre_Close_AMF_Table[[#This Row],[GL_ICP]])</f>
        <v/>
      </c>
      <c r="I343" t="s">
        <v>1212</v>
      </c>
      <c r="J343" t="s">
        <v>1534</v>
      </c>
      <c r="K343" t="str">
        <f>IFERROR(VLOOKUP(VALUE(Pre_Close_AMF_Table[[#This Row],[GL_PC]]),BNS_Profit_Centers[],2,FALSE),"TE")</f>
        <v>TE</v>
      </c>
      <c r="L343" t="s">
        <v>1534</v>
      </c>
      <c r="M343" t="s">
        <v>1421</v>
      </c>
      <c r="N343" t="s">
        <v>1421</v>
      </c>
      <c r="O343" s="33">
        <v>426.34</v>
      </c>
    </row>
    <row r="344" spans="1:15" x14ac:dyDescent="0.25">
      <c r="A344" t="s">
        <v>1520</v>
      </c>
      <c r="B344" t="s">
        <v>1564</v>
      </c>
      <c r="C344" t="s">
        <v>9</v>
      </c>
      <c r="D344" t="str">
        <f>VLOOKUP(Pre_Close_AMF_Table[[#This Row],[HFM_Account]],HFM_Acct_OCF_Activity[],3,FALSE)</f>
        <v>Direct</v>
      </c>
      <c r="E344" t="s">
        <v>1210</v>
      </c>
      <c r="F344" t="s">
        <v>1194</v>
      </c>
      <c r="G344" t="s">
        <v>1565</v>
      </c>
      <c r="H344" t="str">
        <f>IF(NOT(ISERROR(FIND("NoICP",Pre_Close_AMF_Table[[#This Row],[GL_ICP]]))),"",Pre_Close_AMF_Table[[#This Row],[GL_ICP]])</f>
        <v/>
      </c>
      <c r="I344" t="s">
        <v>1212</v>
      </c>
      <c r="J344" t="s">
        <v>1534</v>
      </c>
      <c r="K344" t="str">
        <f>IFERROR(VLOOKUP(VALUE(Pre_Close_AMF_Table[[#This Row],[GL_PC]]),BNS_Profit_Centers[],2,FALSE),"TE")</f>
        <v>TE</v>
      </c>
      <c r="L344" t="s">
        <v>1534</v>
      </c>
      <c r="M344" t="s">
        <v>1566</v>
      </c>
      <c r="N344" t="s">
        <v>1566</v>
      </c>
      <c r="O344" s="33">
        <v>7863.2</v>
      </c>
    </row>
    <row r="345" spans="1:15" x14ac:dyDescent="0.25">
      <c r="A345" t="s">
        <v>1520</v>
      </c>
      <c r="B345" t="s">
        <v>1567</v>
      </c>
      <c r="C345" t="s">
        <v>9</v>
      </c>
      <c r="D345" t="str">
        <f>VLOOKUP(Pre_Close_AMF_Table[[#This Row],[HFM_Account]],HFM_Acct_OCF_Activity[],3,FALSE)</f>
        <v>Direct</v>
      </c>
      <c r="E345" t="s">
        <v>1210</v>
      </c>
      <c r="F345" t="s">
        <v>1194</v>
      </c>
      <c r="G345" t="s">
        <v>1568</v>
      </c>
      <c r="H345" t="str">
        <f>IF(NOT(ISERROR(FIND("NoICP",Pre_Close_AMF_Table[[#This Row],[GL_ICP]]))),"",Pre_Close_AMF_Table[[#This Row],[GL_ICP]])</f>
        <v/>
      </c>
      <c r="I345" t="s">
        <v>1212</v>
      </c>
      <c r="J345" t="s">
        <v>1534</v>
      </c>
      <c r="K345" t="str">
        <f>IFERROR(VLOOKUP(VALUE(Pre_Close_AMF_Table[[#This Row],[GL_PC]]),BNS_Profit_Centers[],2,FALSE),"TE")</f>
        <v>TE</v>
      </c>
      <c r="L345" t="s">
        <v>1534</v>
      </c>
      <c r="M345" t="s">
        <v>1569</v>
      </c>
      <c r="N345" t="s">
        <v>1436</v>
      </c>
      <c r="O345" s="33">
        <v>1465.39</v>
      </c>
    </row>
    <row r="346" spans="1:15" x14ac:dyDescent="0.25">
      <c r="A346" t="s">
        <v>1520</v>
      </c>
      <c r="B346" t="s">
        <v>1433</v>
      </c>
      <c r="C346" t="s">
        <v>9</v>
      </c>
      <c r="D346" t="str">
        <f>VLOOKUP(Pre_Close_AMF_Table[[#This Row],[HFM_Account]],HFM_Acct_OCF_Activity[],3,FALSE)</f>
        <v>Direct</v>
      </c>
      <c r="E346" t="s">
        <v>1210</v>
      </c>
      <c r="F346" t="s">
        <v>1194</v>
      </c>
      <c r="G346" t="s">
        <v>1434</v>
      </c>
      <c r="H346" t="str">
        <f>IF(NOT(ISERROR(FIND("NoICP",Pre_Close_AMF_Table[[#This Row],[GL_ICP]]))),"",Pre_Close_AMF_Table[[#This Row],[GL_ICP]])</f>
        <v/>
      </c>
      <c r="I346" t="s">
        <v>1212</v>
      </c>
      <c r="J346" t="s">
        <v>1534</v>
      </c>
      <c r="K346" t="str">
        <f>IFERROR(VLOOKUP(VALUE(Pre_Close_AMF_Table[[#This Row],[GL_PC]]),BNS_Profit_Centers[],2,FALSE),"TE")</f>
        <v>TE</v>
      </c>
      <c r="L346" t="s">
        <v>1534</v>
      </c>
      <c r="M346" t="s">
        <v>1435</v>
      </c>
      <c r="N346" t="s">
        <v>1436</v>
      </c>
      <c r="O346" s="33">
        <v>8207.2000000000007</v>
      </c>
    </row>
    <row r="347" spans="1:15" x14ac:dyDescent="0.25">
      <c r="A347" t="s">
        <v>1520</v>
      </c>
      <c r="B347" t="s">
        <v>1570</v>
      </c>
      <c r="C347" t="s">
        <v>9</v>
      </c>
      <c r="D347" t="str">
        <f>VLOOKUP(Pre_Close_AMF_Table[[#This Row],[HFM_Account]],HFM_Acct_OCF_Activity[],3,FALSE)</f>
        <v>Direct</v>
      </c>
      <c r="E347" t="s">
        <v>1210</v>
      </c>
      <c r="F347" t="s">
        <v>1194</v>
      </c>
      <c r="G347" t="s">
        <v>1571</v>
      </c>
      <c r="H347" t="str">
        <f>IF(NOT(ISERROR(FIND("NoICP",Pre_Close_AMF_Table[[#This Row],[GL_ICP]]))),"",Pre_Close_AMF_Table[[#This Row],[GL_ICP]])</f>
        <v/>
      </c>
      <c r="I347" t="s">
        <v>1212</v>
      </c>
      <c r="J347" t="s">
        <v>1534</v>
      </c>
      <c r="K347" t="str">
        <f>IFERROR(VLOOKUP(VALUE(Pre_Close_AMF_Table[[#This Row],[GL_PC]]),BNS_Profit_Centers[],2,FALSE),"TE")</f>
        <v>TE</v>
      </c>
      <c r="L347" t="s">
        <v>1534</v>
      </c>
      <c r="M347" t="s">
        <v>1572</v>
      </c>
      <c r="N347" t="s">
        <v>1531</v>
      </c>
      <c r="O347" s="33">
        <v>335</v>
      </c>
    </row>
    <row r="348" spans="1:15" x14ac:dyDescent="0.25">
      <c r="A348" t="s">
        <v>1520</v>
      </c>
      <c r="B348" t="s">
        <v>1439</v>
      </c>
      <c r="C348" t="s">
        <v>9</v>
      </c>
      <c r="D348" t="str">
        <f>VLOOKUP(Pre_Close_AMF_Table[[#This Row],[HFM_Account]],HFM_Acct_OCF_Activity[],3,FALSE)</f>
        <v>Direct</v>
      </c>
      <c r="E348" t="s">
        <v>1210</v>
      </c>
      <c r="F348" t="s">
        <v>1194</v>
      </c>
      <c r="G348" t="s">
        <v>1440</v>
      </c>
      <c r="H348" t="str">
        <f>IF(NOT(ISERROR(FIND("NoICP",Pre_Close_AMF_Table[[#This Row],[GL_ICP]]))),"",Pre_Close_AMF_Table[[#This Row],[GL_ICP]])</f>
        <v/>
      </c>
      <c r="I348" t="s">
        <v>1212</v>
      </c>
      <c r="J348" t="s">
        <v>1534</v>
      </c>
      <c r="K348" t="str">
        <f>IFERROR(VLOOKUP(VALUE(Pre_Close_AMF_Table[[#This Row],[GL_PC]]),BNS_Profit_Centers[],2,FALSE),"TE")</f>
        <v>TE</v>
      </c>
      <c r="L348" t="s">
        <v>1534</v>
      </c>
      <c r="M348" t="s">
        <v>1441</v>
      </c>
      <c r="N348" t="s">
        <v>1441</v>
      </c>
      <c r="O348" s="33">
        <v>1214.4100000000001</v>
      </c>
    </row>
    <row r="349" spans="1:15" x14ac:dyDescent="0.25">
      <c r="A349" t="s">
        <v>1520</v>
      </c>
      <c r="B349" t="s">
        <v>1573</v>
      </c>
      <c r="C349" t="s">
        <v>9</v>
      </c>
      <c r="D349" t="str">
        <f>VLOOKUP(Pre_Close_AMF_Table[[#This Row],[HFM_Account]],HFM_Acct_OCF_Activity[],3,FALSE)</f>
        <v>Direct</v>
      </c>
      <c r="E349" t="s">
        <v>1210</v>
      </c>
      <c r="F349" t="s">
        <v>1194</v>
      </c>
      <c r="G349" t="s">
        <v>1574</v>
      </c>
      <c r="H349" t="str">
        <f>IF(NOT(ISERROR(FIND("NoICP",Pre_Close_AMF_Table[[#This Row],[GL_ICP]]))),"",Pre_Close_AMF_Table[[#This Row],[GL_ICP]])</f>
        <v/>
      </c>
      <c r="I349" t="s">
        <v>1212</v>
      </c>
      <c r="J349" t="s">
        <v>1534</v>
      </c>
      <c r="K349" t="str">
        <f>IFERROR(VLOOKUP(VALUE(Pre_Close_AMF_Table[[#This Row],[GL_PC]]),BNS_Profit_Centers[],2,FALSE),"TE")</f>
        <v>TE</v>
      </c>
      <c r="L349" t="s">
        <v>1534</v>
      </c>
      <c r="M349" t="s">
        <v>1575</v>
      </c>
      <c r="N349" t="s">
        <v>1575</v>
      </c>
      <c r="O349" s="33">
        <v>-1328</v>
      </c>
    </row>
    <row r="350" spans="1:15" x14ac:dyDescent="0.25">
      <c r="A350" t="s">
        <v>1576</v>
      </c>
      <c r="B350" t="s">
        <v>1577</v>
      </c>
      <c r="C350" t="s">
        <v>8</v>
      </c>
      <c r="D350" t="str">
        <f>VLOOKUP(Pre_Close_AMF_Table[[#This Row],[HFM_Account]],HFM_Acct_OCF_Activity[],3,FALSE)</f>
        <v>Direct</v>
      </c>
      <c r="E350" t="s">
        <v>1210</v>
      </c>
      <c r="F350" t="s">
        <v>1194</v>
      </c>
      <c r="G350" t="s">
        <v>1578</v>
      </c>
      <c r="H350" t="str">
        <f>IF(NOT(ISERROR(FIND("NoICP",Pre_Close_AMF_Table[[#This Row],[GL_ICP]]))),"",Pre_Close_AMF_Table[[#This Row],[GL_ICP]])</f>
        <v/>
      </c>
      <c r="I350" t="s">
        <v>1212</v>
      </c>
      <c r="J350" t="s">
        <v>1521</v>
      </c>
      <c r="K350" t="str">
        <f>IFERROR(VLOOKUP(VALUE(Pre_Close_AMF_Table[[#This Row],[GL_PC]]),BNS_Profit_Centers[],2,FALSE),"TE")</f>
        <v>TE</v>
      </c>
      <c r="L350" t="s">
        <v>1521</v>
      </c>
      <c r="M350" t="s">
        <v>1579</v>
      </c>
      <c r="N350" t="s">
        <v>1579</v>
      </c>
      <c r="O350" s="33">
        <v>33921.910000000003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00"/>
  </sheetPr>
  <dimension ref="A1:L351"/>
  <sheetViews>
    <sheetView workbookViewId="0"/>
  </sheetViews>
  <sheetFormatPr defaultRowHeight="15" x14ac:dyDescent="0.25"/>
  <cols>
    <col min="1" max="11" width="30.7109375" customWidth="1"/>
    <col min="12" max="12" width="19.7109375" style="33" customWidth="1"/>
  </cols>
  <sheetData>
    <row r="1" spans="1:12" ht="18.75" x14ac:dyDescent="0.3">
      <c r="A1" s="43" t="s">
        <v>1192</v>
      </c>
    </row>
    <row r="3" spans="1:12" ht="15.75" x14ac:dyDescent="0.25">
      <c r="A3" s="44" t="s">
        <v>1193</v>
      </c>
      <c r="B3" s="44" t="s">
        <v>1194</v>
      </c>
    </row>
    <row r="4" spans="1:12" ht="15.75" x14ac:dyDescent="0.25">
      <c r="A4" s="44" t="s">
        <v>1195</v>
      </c>
      <c r="B4" s="44" t="s">
        <v>1196</v>
      </c>
    </row>
    <row r="5" spans="1:12" x14ac:dyDescent="0.25">
      <c r="A5" s="45" t="s">
        <v>13</v>
      </c>
      <c r="B5" s="45" t="s">
        <v>1197</v>
      </c>
      <c r="C5" s="45" t="s">
        <v>1198</v>
      </c>
      <c r="D5" s="45" t="s">
        <v>1199</v>
      </c>
      <c r="E5" s="45" t="s">
        <v>1200</v>
      </c>
      <c r="F5" s="45" t="s">
        <v>1201</v>
      </c>
      <c r="G5" s="45" t="s">
        <v>1202</v>
      </c>
      <c r="H5" s="45" t="s">
        <v>1203</v>
      </c>
      <c r="I5" s="45" t="s">
        <v>1204</v>
      </c>
      <c r="J5" s="45" t="s">
        <v>1205</v>
      </c>
      <c r="K5" s="45" t="s">
        <v>1206</v>
      </c>
      <c r="L5" s="46" t="s">
        <v>1207</v>
      </c>
    </row>
    <row r="6" spans="1:12" hidden="1" x14ac:dyDescent="0.25">
      <c r="A6" t="s">
        <v>1192</v>
      </c>
    </row>
    <row r="7" spans="1:12" hidden="1" x14ac:dyDescent="0.25">
      <c r="A7" t="s">
        <v>13</v>
      </c>
      <c r="B7" t="s">
        <v>1197</v>
      </c>
      <c r="C7" t="s">
        <v>1198</v>
      </c>
      <c r="D7" t="s">
        <v>1199</v>
      </c>
      <c r="E7" t="s">
        <v>1200</v>
      </c>
      <c r="F7" t="s">
        <v>1201</v>
      </c>
      <c r="G7" t="s">
        <v>1202</v>
      </c>
      <c r="H7" t="s">
        <v>1203</v>
      </c>
      <c r="I7" t="s">
        <v>1204</v>
      </c>
      <c r="J7" t="s">
        <v>1205</v>
      </c>
      <c r="K7" t="s">
        <v>1206</v>
      </c>
      <c r="L7" s="33" t="s">
        <v>1207</v>
      </c>
    </row>
    <row r="8" spans="1:12" x14ac:dyDescent="0.25">
      <c r="A8" t="s">
        <v>1208</v>
      </c>
      <c r="B8" t="s">
        <v>1209</v>
      </c>
      <c r="C8" t="s">
        <v>288</v>
      </c>
      <c r="D8" t="s">
        <v>1210</v>
      </c>
      <c r="E8" t="s">
        <v>1194</v>
      </c>
      <c r="F8" t="s">
        <v>1211</v>
      </c>
      <c r="G8" t="s">
        <v>1212</v>
      </c>
      <c r="H8" t="s">
        <v>1213</v>
      </c>
      <c r="I8" t="s">
        <v>1213</v>
      </c>
      <c r="J8" t="s">
        <v>1208</v>
      </c>
      <c r="K8" t="s">
        <v>1214</v>
      </c>
      <c r="L8" s="33">
        <v>367.77</v>
      </c>
    </row>
    <row r="9" spans="1:12" x14ac:dyDescent="0.25">
      <c r="A9" t="s">
        <v>335</v>
      </c>
      <c r="B9" t="s">
        <v>336</v>
      </c>
      <c r="C9" t="s">
        <v>335</v>
      </c>
      <c r="D9" t="s">
        <v>1210</v>
      </c>
      <c r="E9" t="s">
        <v>1194</v>
      </c>
      <c r="F9" t="s">
        <v>1215</v>
      </c>
      <c r="G9" t="s">
        <v>1212</v>
      </c>
      <c r="H9" t="s">
        <v>1213</v>
      </c>
      <c r="I9" t="s">
        <v>1213</v>
      </c>
      <c r="J9" t="s">
        <v>335</v>
      </c>
      <c r="K9" t="s">
        <v>1214</v>
      </c>
      <c r="L9" s="33">
        <v>1846.75</v>
      </c>
    </row>
    <row r="10" spans="1:12" x14ac:dyDescent="0.25">
      <c r="A10" t="s">
        <v>379</v>
      </c>
      <c r="B10" t="s">
        <v>1216</v>
      </c>
      <c r="C10" t="s">
        <v>379</v>
      </c>
      <c r="D10" t="s">
        <v>1210</v>
      </c>
      <c r="E10" t="s">
        <v>1194</v>
      </c>
      <c r="F10" t="s">
        <v>1217</v>
      </c>
      <c r="G10" t="s">
        <v>1218</v>
      </c>
      <c r="H10" t="s">
        <v>1213</v>
      </c>
      <c r="I10" t="s">
        <v>1213</v>
      </c>
      <c r="J10" t="s">
        <v>379</v>
      </c>
      <c r="K10" t="s">
        <v>1214</v>
      </c>
      <c r="L10" s="33">
        <v>195</v>
      </c>
    </row>
    <row r="11" spans="1:12" x14ac:dyDescent="0.25">
      <c r="A11" t="s">
        <v>379</v>
      </c>
      <c r="B11" t="s">
        <v>1216</v>
      </c>
      <c r="C11" t="s">
        <v>379</v>
      </c>
      <c r="D11" t="s">
        <v>1210</v>
      </c>
      <c r="E11" t="s">
        <v>1194</v>
      </c>
      <c r="F11" t="s">
        <v>1219</v>
      </c>
      <c r="G11" t="s">
        <v>1220</v>
      </c>
      <c r="H11" t="s">
        <v>1213</v>
      </c>
      <c r="I11" t="s">
        <v>1213</v>
      </c>
      <c r="J11" t="s">
        <v>379</v>
      </c>
      <c r="K11" t="s">
        <v>1214</v>
      </c>
      <c r="L11" s="33">
        <v>6852.92</v>
      </c>
    </row>
    <row r="12" spans="1:12" x14ac:dyDescent="0.25">
      <c r="A12" t="s">
        <v>1221</v>
      </c>
      <c r="B12" t="s">
        <v>1222</v>
      </c>
      <c r="C12" t="s">
        <v>315</v>
      </c>
      <c r="D12" t="s">
        <v>1210</v>
      </c>
      <c r="E12" t="s">
        <v>1194</v>
      </c>
      <c r="F12" t="s">
        <v>1223</v>
      </c>
      <c r="G12" t="s">
        <v>1212</v>
      </c>
      <c r="H12" t="s">
        <v>1224</v>
      </c>
      <c r="I12" t="s">
        <v>1224</v>
      </c>
      <c r="J12" t="s">
        <v>1221</v>
      </c>
      <c r="K12" t="s">
        <v>1214</v>
      </c>
      <c r="L12" s="33">
        <v>-0.01</v>
      </c>
    </row>
    <row r="13" spans="1:12" x14ac:dyDescent="0.25">
      <c r="A13" t="s">
        <v>1221</v>
      </c>
      <c r="B13" t="s">
        <v>1222</v>
      </c>
      <c r="C13" t="s">
        <v>315</v>
      </c>
      <c r="D13" t="s">
        <v>1210</v>
      </c>
      <c r="E13" t="s">
        <v>1194</v>
      </c>
      <c r="F13" t="s">
        <v>1223</v>
      </c>
      <c r="G13" t="s">
        <v>1212</v>
      </c>
      <c r="H13" t="s">
        <v>1225</v>
      </c>
      <c r="I13" t="s">
        <v>1225</v>
      </c>
      <c r="J13" t="s">
        <v>1221</v>
      </c>
      <c r="K13" t="s">
        <v>1214</v>
      </c>
      <c r="L13" s="33">
        <v>0.01</v>
      </c>
    </row>
    <row r="14" spans="1:12" x14ac:dyDescent="0.25">
      <c r="A14" t="s">
        <v>323</v>
      </c>
      <c r="B14" t="s">
        <v>1226</v>
      </c>
      <c r="C14" t="s">
        <v>323</v>
      </c>
      <c r="D14" t="s">
        <v>1210</v>
      </c>
      <c r="E14" t="s">
        <v>1194</v>
      </c>
      <c r="F14" t="s">
        <v>1227</v>
      </c>
      <c r="G14" t="s">
        <v>1212</v>
      </c>
      <c r="H14" t="s">
        <v>1213</v>
      </c>
      <c r="I14" t="s">
        <v>1213</v>
      </c>
      <c r="J14" t="s">
        <v>323</v>
      </c>
      <c r="K14" t="s">
        <v>1214</v>
      </c>
      <c r="L14" s="33">
        <v>41346.65</v>
      </c>
    </row>
    <row r="15" spans="1:12" x14ac:dyDescent="0.25">
      <c r="A15" t="s">
        <v>325</v>
      </c>
      <c r="B15" t="s">
        <v>1228</v>
      </c>
      <c r="C15" t="s">
        <v>325</v>
      </c>
      <c r="D15" t="s">
        <v>1210</v>
      </c>
      <c r="E15" t="s">
        <v>1194</v>
      </c>
      <c r="F15" t="s">
        <v>1229</v>
      </c>
      <c r="G15" t="s">
        <v>1212</v>
      </c>
      <c r="H15" t="s">
        <v>1213</v>
      </c>
      <c r="I15" t="s">
        <v>1213</v>
      </c>
      <c r="J15" t="s">
        <v>325</v>
      </c>
      <c r="K15" t="s">
        <v>1214</v>
      </c>
      <c r="L15" s="33">
        <v>21843.91</v>
      </c>
    </row>
    <row r="16" spans="1:12" x14ac:dyDescent="0.25">
      <c r="A16" t="s">
        <v>1230</v>
      </c>
      <c r="B16" t="s">
        <v>1231</v>
      </c>
      <c r="C16" t="s">
        <v>329</v>
      </c>
      <c r="D16" t="s">
        <v>1210</v>
      </c>
      <c r="E16" t="s">
        <v>1194</v>
      </c>
      <c r="F16" t="s">
        <v>1232</v>
      </c>
      <c r="G16" t="s">
        <v>1212</v>
      </c>
      <c r="H16" t="s">
        <v>1213</v>
      </c>
      <c r="I16" t="s">
        <v>1213</v>
      </c>
      <c r="J16" t="s">
        <v>1230</v>
      </c>
      <c r="K16" t="s">
        <v>1214</v>
      </c>
      <c r="L16" s="33">
        <v>11465.21</v>
      </c>
    </row>
    <row r="17" spans="1:12" x14ac:dyDescent="0.25">
      <c r="A17" t="s">
        <v>1233</v>
      </c>
      <c r="B17" t="s">
        <v>1234</v>
      </c>
      <c r="C17" t="s">
        <v>329</v>
      </c>
      <c r="D17" t="s">
        <v>1210</v>
      </c>
      <c r="E17" t="s">
        <v>1194</v>
      </c>
      <c r="F17" t="s">
        <v>1235</v>
      </c>
      <c r="G17" t="s">
        <v>1212</v>
      </c>
      <c r="H17" t="s">
        <v>1213</v>
      </c>
      <c r="I17" t="s">
        <v>1213</v>
      </c>
      <c r="J17" t="s">
        <v>1233</v>
      </c>
      <c r="K17" t="s">
        <v>1214</v>
      </c>
      <c r="L17" s="33">
        <v>11430</v>
      </c>
    </row>
    <row r="18" spans="1:12" x14ac:dyDescent="0.25">
      <c r="A18" t="s">
        <v>1236</v>
      </c>
      <c r="B18" t="s">
        <v>1237</v>
      </c>
      <c r="C18" t="s">
        <v>329</v>
      </c>
      <c r="D18" t="s">
        <v>1210</v>
      </c>
      <c r="E18" t="s">
        <v>1194</v>
      </c>
      <c r="F18" t="s">
        <v>1238</v>
      </c>
      <c r="G18" t="s">
        <v>1212</v>
      </c>
      <c r="H18" t="s">
        <v>1213</v>
      </c>
      <c r="I18" t="s">
        <v>1213</v>
      </c>
      <c r="J18" t="s">
        <v>1236</v>
      </c>
      <c r="K18" t="s">
        <v>1214</v>
      </c>
      <c r="L18" s="33">
        <v>4008.05</v>
      </c>
    </row>
    <row r="19" spans="1:12" x14ac:dyDescent="0.25">
      <c r="A19" t="s">
        <v>1239</v>
      </c>
      <c r="B19" t="s">
        <v>1240</v>
      </c>
      <c r="C19" t="s">
        <v>329</v>
      </c>
      <c r="D19" t="s">
        <v>1210</v>
      </c>
      <c r="E19" t="s">
        <v>1194</v>
      </c>
      <c r="F19" t="s">
        <v>1241</v>
      </c>
      <c r="G19" t="s">
        <v>1212</v>
      </c>
      <c r="H19" t="s">
        <v>1213</v>
      </c>
      <c r="I19" t="s">
        <v>1213</v>
      </c>
      <c r="J19" t="s">
        <v>1239</v>
      </c>
      <c r="K19" t="s">
        <v>1214</v>
      </c>
      <c r="L19" s="33">
        <v>30209.88</v>
      </c>
    </row>
    <row r="20" spans="1:12" x14ac:dyDescent="0.25">
      <c r="A20" t="s">
        <v>1242</v>
      </c>
      <c r="B20" t="s">
        <v>1243</v>
      </c>
      <c r="C20" t="s">
        <v>365</v>
      </c>
      <c r="D20" t="s">
        <v>1210</v>
      </c>
      <c r="E20" t="s">
        <v>1194</v>
      </c>
      <c r="F20" t="s">
        <v>1244</v>
      </c>
      <c r="G20" t="s">
        <v>1212</v>
      </c>
      <c r="H20" t="s">
        <v>1213</v>
      </c>
      <c r="I20" t="s">
        <v>1213</v>
      </c>
      <c r="J20" t="s">
        <v>1242</v>
      </c>
      <c r="K20" t="s">
        <v>1214</v>
      </c>
      <c r="L20" s="33">
        <v>9948.58</v>
      </c>
    </row>
    <row r="21" spans="1:12" x14ac:dyDescent="0.25">
      <c r="A21" t="s">
        <v>399</v>
      </c>
      <c r="B21" t="s">
        <v>1245</v>
      </c>
      <c r="C21" t="s">
        <v>399</v>
      </c>
      <c r="D21" t="s">
        <v>1210</v>
      </c>
      <c r="E21" t="s">
        <v>1194</v>
      </c>
      <c r="F21" t="s">
        <v>1246</v>
      </c>
      <c r="G21" t="s">
        <v>1212</v>
      </c>
      <c r="H21" t="s">
        <v>1213</v>
      </c>
      <c r="I21" t="s">
        <v>1213</v>
      </c>
      <c r="J21" t="s">
        <v>399</v>
      </c>
      <c r="K21" t="s">
        <v>1214</v>
      </c>
      <c r="L21" s="33">
        <v>52417</v>
      </c>
    </row>
    <row r="22" spans="1:12" x14ac:dyDescent="0.25">
      <c r="A22" t="s">
        <v>1247</v>
      </c>
      <c r="B22" t="s">
        <v>1248</v>
      </c>
      <c r="C22" t="s">
        <v>477</v>
      </c>
      <c r="D22" t="s">
        <v>1210</v>
      </c>
      <c r="E22" t="s">
        <v>1194</v>
      </c>
      <c r="F22" t="s">
        <v>1249</v>
      </c>
      <c r="G22" t="s">
        <v>1250</v>
      </c>
      <c r="H22" t="s">
        <v>1213</v>
      </c>
      <c r="I22" t="s">
        <v>1213</v>
      </c>
      <c r="J22" t="s">
        <v>1247</v>
      </c>
      <c r="K22" t="s">
        <v>1214</v>
      </c>
      <c r="L22" s="33">
        <v>3353703.31</v>
      </c>
    </row>
    <row r="23" spans="1:12" x14ac:dyDescent="0.25">
      <c r="A23" t="s">
        <v>387</v>
      </c>
      <c r="B23" t="s">
        <v>1251</v>
      </c>
      <c r="C23" t="s">
        <v>387</v>
      </c>
      <c r="D23" t="s">
        <v>1210</v>
      </c>
      <c r="E23" t="s">
        <v>1194</v>
      </c>
      <c r="F23" t="s">
        <v>1252</v>
      </c>
      <c r="G23" t="s">
        <v>1253</v>
      </c>
      <c r="H23" t="s">
        <v>1213</v>
      </c>
      <c r="I23" t="s">
        <v>1213</v>
      </c>
      <c r="J23" t="s">
        <v>387</v>
      </c>
      <c r="K23" t="s">
        <v>1214</v>
      </c>
      <c r="L23" s="33">
        <v>538200</v>
      </c>
    </row>
    <row r="24" spans="1:12" x14ac:dyDescent="0.25">
      <c r="A24" t="s">
        <v>899</v>
      </c>
      <c r="B24" t="s">
        <v>412</v>
      </c>
      <c r="C24" t="s">
        <v>411</v>
      </c>
      <c r="D24" t="s">
        <v>1210</v>
      </c>
      <c r="E24" t="s">
        <v>1194</v>
      </c>
      <c r="F24" t="s">
        <v>1254</v>
      </c>
      <c r="G24" t="s">
        <v>1212</v>
      </c>
      <c r="H24" t="s">
        <v>1213</v>
      </c>
      <c r="I24" t="s">
        <v>1213</v>
      </c>
      <c r="J24" t="s">
        <v>899</v>
      </c>
      <c r="K24" t="s">
        <v>1214</v>
      </c>
      <c r="L24" s="33">
        <v>132993.57</v>
      </c>
    </row>
    <row r="25" spans="1:12" x14ac:dyDescent="0.25">
      <c r="A25" t="s">
        <v>907</v>
      </c>
      <c r="B25" t="s">
        <v>1255</v>
      </c>
      <c r="C25" t="s">
        <v>415</v>
      </c>
      <c r="D25" t="s">
        <v>1210</v>
      </c>
      <c r="E25" t="s">
        <v>1194</v>
      </c>
      <c r="F25" t="s">
        <v>1256</v>
      </c>
      <c r="G25" t="s">
        <v>1212</v>
      </c>
      <c r="H25" t="s">
        <v>1213</v>
      </c>
      <c r="I25" t="s">
        <v>1213</v>
      </c>
      <c r="J25" t="s">
        <v>907</v>
      </c>
      <c r="K25" t="s">
        <v>1214</v>
      </c>
      <c r="L25" s="33">
        <v>8513.2099999999991</v>
      </c>
    </row>
    <row r="26" spans="1:12" x14ac:dyDescent="0.25">
      <c r="A26" t="s">
        <v>913</v>
      </c>
      <c r="B26" t="s">
        <v>1257</v>
      </c>
      <c r="C26" t="s">
        <v>417</v>
      </c>
      <c r="D26" t="s">
        <v>1210</v>
      </c>
      <c r="E26" t="s">
        <v>1194</v>
      </c>
      <c r="F26" t="s">
        <v>1258</v>
      </c>
      <c r="G26" t="s">
        <v>1212</v>
      </c>
      <c r="H26" t="s">
        <v>1213</v>
      </c>
      <c r="I26" t="s">
        <v>1213</v>
      </c>
      <c r="J26" t="s">
        <v>913</v>
      </c>
      <c r="K26" t="s">
        <v>1214</v>
      </c>
      <c r="L26" s="33">
        <v>110423.83</v>
      </c>
    </row>
    <row r="27" spans="1:12" x14ac:dyDescent="0.25">
      <c r="A27" t="s">
        <v>917</v>
      </c>
      <c r="B27" t="s">
        <v>1259</v>
      </c>
      <c r="C27" t="s">
        <v>421</v>
      </c>
      <c r="D27" t="s">
        <v>1210</v>
      </c>
      <c r="E27" t="s">
        <v>1194</v>
      </c>
      <c r="F27" t="s">
        <v>1260</v>
      </c>
      <c r="G27" t="s">
        <v>1212</v>
      </c>
      <c r="H27" t="s">
        <v>1213</v>
      </c>
      <c r="I27" t="s">
        <v>1213</v>
      </c>
      <c r="J27" t="s">
        <v>917</v>
      </c>
      <c r="K27" t="s">
        <v>1214</v>
      </c>
      <c r="L27" s="33">
        <v>5131.92</v>
      </c>
    </row>
    <row r="28" spans="1:12" x14ac:dyDescent="0.25">
      <c r="A28" t="s">
        <v>429</v>
      </c>
      <c r="B28" t="s">
        <v>1261</v>
      </c>
      <c r="C28" t="s">
        <v>429</v>
      </c>
      <c r="D28" t="s">
        <v>1210</v>
      </c>
      <c r="E28" t="s">
        <v>1194</v>
      </c>
      <c r="F28" t="s">
        <v>1262</v>
      </c>
      <c r="G28" t="s">
        <v>1212</v>
      </c>
      <c r="H28" t="s">
        <v>1213</v>
      </c>
      <c r="I28" t="s">
        <v>1213</v>
      </c>
      <c r="J28" t="s">
        <v>429</v>
      </c>
      <c r="K28" t="s">
        <v>1214</v>
      </c>
      <c r="L28" s="33">
        <v>-132993.57</v>
      </c>
    </row>
    <row r="29" spans="1:12" x14ac:dyDescent="0.25">
      <c r="A29" t="s">
        <v>928</v>
      </c>
      <c r="B29" t="s">
        <v>1263</v>
      </c>
      <c r="C29" t="s">
        <v>433</v>
      </c>
      <c r="D29" t="s">
        <v>1210</v>
      </c>
      <c r="E29" t="s">
        <v>1194</v>
      </c>
      <c r="F29" t="s">
        <v>1264</v>
      </c>
      <c r="G29" t="s">
        <v>1212</v>
      </c>
      <c r="H29" t="s">
        <v>1213</v>
      </c>
      <c r="I29" t="s">
        <v>1213</v>
      </c>
      <c r="J29" t="s">
        <v>928</v>
      </c>
      <c r="K29" t="s">
        <v>1214</v>
      </c>
      <c r="L29" s="33">
        <v>-8513.2099999999991</v>
      </c>
    </row>
    <row r="30" spans="1:12" x14ac:dyDescent="0.25">
      <c r="A30" t="s">
        <v>932</v>
      </c>
      <c r="B30" t="s">
        <v>1265</v>
      </c>
      <c r="C30" t="s">
        <v>435</v>
      </c>
      <c r="D30" t="s">
        <v>1210</v>
      </c>
      <c r="E30" t="s">
        <v>1194</v>
      </c>
      <c r="F30" t="s">
        <v>1266</v>
      </c>
      <c r="G30" t="s">
        <v>1212</v>
      </c>
      <c r="H30" t="s">
        <v>1213</v>
      </c>
      <c r="I30" t="s">
        <v>1213</v>
      </c>
      <c r="J30" t="s">
        <v>932</v>
      </c>
      <c r="K30" t="s">
        <v>1214</v>
      </c>
      <c r="L30" s="33">
        <v>-104161.83</v>
      </c>
    </row>
    <row r="31" spans="1:12" x14ac:dyDescent="0.25">
      <c r="A31" t="s">
        <v>936</v>
      </c>
      <c r="B31" t="s">
        <v>1267</v>
      </c>
      <c r="C31" t="s">
        <v>439</v>
      </c>
      <c r="D31" t="s">
        <v>1210</v>
      </c>
      <c r="E31" t="s">
        <v>1194</v>
      </c>
      <c r="F31" t="s">
        <v>1268</v>
      </c>
      <c r="G31" t="s">
        <v>1212</v>
      </c>
      <c r="H31" t="s">
        <v>1213</v>
      </c>
      <c r="I31" t="s">
        <v>1213</v>
      </c>
      <c r="J31" t="s">
        <v>936</v>
      </c>
      <c r="K31" t="s">
        <v>1214</v>
      </c>
      <c r="L31" s="33">
        <v>-5131.92</v>
      </c>
    </row>
    <row r="32" spans="1:12" x14ac:dyDescent="0.25">
      <c r="A32" t="s">
        <v>515</v>
      </c>
      <c r="B32" t="s">
        <v>516</v>
      </c>
      <c r="C32" t="s">
        <v>515</v>
      </c>
      <c r="D32" t="s">
        <v>1210</v>
      </c>
      <c r="E32" t="s">
        <v>1194</v>
      </c>
      <c r="F32" t="s">
        <v>1269</v>
      </c>
      <c r="G32" t="s">
        <v>1212</v>
      </c>
      <c r="H32" t="s">
        <v>1213</v>
      </c>
      <c r="I32" t="s">
        <v>1213</v>
      </c>
      <c r="J32" t="s">
        <v>515</v>
      </c>
      <c r="K32" t="s">
        <v>1214</v>
      </c>
      <c r="L32" s="33">
        <v>-25564.39</v>
      </c>
    </row>
    <row r="33" spans="1:12" x14ac:dyDescent="0.25">
      <c r="A33" t="s">
        <v>1148</v>
      </c>
      <c r="B33" t="s">
        <v>1270</v>
      </c>
      <c r="C33" t="s">
        <v>515</v>
      </c>
      <c r="D33" t="s">
        <v>1210</v>
      </c>
      <c r="E33" t="s">
        <v>1194</v>
      </c>
      <c r="F33" t="s">
        <v>1271</v>
      </c>
      <c r="G33" t="s">
        <v>1212</v>
      </c>
      <c r="H33" t="s">
        <v>1213</v>
      </c>
      <c r="I33" t="s">
        <v>1213</v>
      </c>
      <c r="J33" t="s">
        <v>1148</v>
      </c>
      <c r="K33" t="s">
        <v>1214</v>
      </c>
      <c r="L33" s="33">
        <v>-102.5</v>
      </c>
    </row>
    <row r="34" spans="1:12" x14ac:dyDescent="0.25">
      <c r="A34" t="s">
        <v>1149</v>
      </c>
      <c r="B34" t="s">
        <v>1272</v>
      </c>
      <c r="C34" t="s">
        <v>517</v>
      </c>
      <c r="D34" t="s">
        <v>1210</v>
      </c>
      <c r="E34" t="s">
        <v>1194</v>
      </c>
      <c r="F34" t="s">
        <v>1273</v>
      </c>
      <c r="G34" t="s">
        <v>1212</v>
      </c>
      <c r="H34" t="s">
        <v>1213</v>
      </c>
      <c r="I34" t="s">
        <v>1213</v>
      </c>
      <c r="J34" t="s">
        <v>1149</v>
      </c>
      <c r="K34" t="s">
        <v>1214</v>
      </c>
      <c r="L34" s="33">
        <v>-18666.2</v>
      </c>
    </row>
    <row r="35" spans="1:12" x14ac:dyDescent="0.25">
      <c r="A35" t="s">
        <v>1274</v>
      </c>
      <c r="B35" t="s">
        <v>1275</v>
      </c>
      <c r="C35" t="s">
        <v>517</v>
      </c>
      <c r="D35" t="s">
        <v>1210</v>
      </c>
      <c r="E35" t="s">
        <v>1194</v>
      </c>
      <c r="F35" t="s">
        <v>1276</v>
      </c>
      <c r="G35" t="s">
        <v>1212</v>
      </c>
      <c r="H35" t="s">
        <v>1213</v>
      </c>
      <c r="I35" t="s">
        <v>1213</v>
      </c>
      <c r="J35" t="s">
        <v>1274</v>
      </c>
      <c r="K35" t="s">
        <v>1214</v>
      </c>
      <c r="L35" s="33">
        <v>18666.2</v>
      </c>
    </row>
    <row r="36" spans="1:12" x14ac:dyDescent="0.25">
      <c r="A36" t="s">
        <v>639</v>
      </c>
      <c r="B36" t="s">
        <v>1277</v>
      </c>
      <c r="C36" t="s">
        <v>639</v>
      </c>
      <c r="D36" t="s">
        <v>1210</v>
      </c>
      <c r="E36" t="s">
        <v>1194</v>
      </c>
      <c r="F36" t="s">
        <v>1217</v>
      </c>
      <c r="G36" t="s">
        <v>1218</v>
      </c>
      <c r="H36" t="s">
        <v>1213</v>
      </c>
      <c r="I36" t="s">
        <v>1213</v>
      </c>
      <c r="J36" t="s">
        <v>639</v>
      </c>
      <c r="K36" t="s">
        <v>1214</v>
      </c>
      <c r="L36" s="33">
        <v>-6700.11</v>
      </c>
    </row>
    <row r="37" spans="1:12" x14ac:dyDescent="0.25">
      <c r="A37" t="s">
        <v>639</v>
      </c>
      <c r="B37" t="s">
        <v>1277</v>
      </c>
      <c r="C37" t="s">
        <v>639</v>
      </c>
      <c r="D37" t="s">
        <v>1210</v>
      </c>
      <c r="E37" t="s">
        <v>1194</v>
      </c>
      <c r="F37" t="s">
        <v>1252</v>
      </c>
      <c r="G37" t="s">
        <v>1253</v>
      </c>
      <c r="H37" t="s">
        <v>1213</v>
      </c>
      <c r="I37" t="s">
        <v>1213</v>
      </c>
      <c r="J37" t="s">
        <v>639</v>
      </c>
      <c r="K37" t="s">
        <v>1214</v>
      </c>
      <c r="L37" s="33">
        <v>-24.94</v>
      </c>
    </row>
    <row r="38" spans="1:12" x14ac:dyDescent="0.25">
      <c r="A38" t="s">
        <v>639</v>
      </c>
      <c r="B38" t="s">
        <v>1277</v>
      </c>
      <c r="C38" t="s">
        <v>639</v>
      </c>
      <c r="D38" t="s">
        <v>1210</v>
      </c>
      <c r="E38" t="s">
        <v>1194</v>
      </c>
      <c r="F38" t="s">
        <v>1278</v>
      </c>
      <c r="G38" t="s">
        <v>1279</v>
      </c>
      <c r="H38" t="s">
        <v>1213</v>
      </c>
      <c r="I38" t="s">
        <v>1213</v>
      </c>
      <c r="J38" t="s">
        <v>639</v>
      </c>
      <c r="K38" t="s">
        <v>1214</v>
      </c>
      <c r="L38" s="33">
        <v>-6098.44</v>
      </c>
    </row>
    <row r="39" spans="1:12" x14ac:dyDescent="0.25">
      <c r="A39" t="s">
        <v>1280</v>
      </c>
      <c r="B39" t="s">
        <v>1281</v>
      </c>
      <c r="C39" t="s">
        <v>639</v>
      </c>
      <c r="D39" t="s">
        <v>1210</v>
      </c>
      <c r="E39" t="s">
        <v>1194</v>
      </c>
      <c r="F39" t="s">
        <v>1217</v>
      </c>
      <c r="G39" t="s">
        <v>1218</v>
      </c>
      <c r="H39" t="s">
        <v>1213</v>
      </c>
      <c r="I39" t="s">
        <v>1213</v>
      </c>
      <c r="J39" t="s">
        <v>1280</v>
      </c>
      <c r="K39" t="s">
        <v>1214</v>
      </c>
      <c r="L39" s="33">
        <v>-89.65</v>
      </c>
    </row>
    <row r="40" spans="1:12" x14ac:dyDescent="0.25">
      <c r="A40" t="s">
        <v>1280</v>
      </c>
      <c r="B40" t="s">
        <v>1281</v>
      </c>
      <c r="C40" t="s">
        <v>639</v>
      </c>
      <c r="D40" t="s">
        <v>1210</v>
      </c>
      <c r="E40" t="s">
        <v>1194</v>
      </c>
      <c r="F40" t="s">
        <v>1278</v>
      </c>
      <c r="G40" t="s">
        <v>1279</v>
      </c>
      <c r="H40" t="s">
        <v>1213</v>
      </c>
      <c r="I40" t="s">
        <v>1213</v>
      </c>
      <c r="J40" t="s">
        <v>1280</v>
      </c>
      <c r="K40" t="s">
        <v>1214</v>
      </c>
      <c r="L40" s="33">
        <v>-79.42</v>
      </c>
    </row>
    <row r="41" spans="1:12" x14ac:dyDescent="0.25">
      <c r="A41" t="s">
        <v>1282</v>
      </c>
      <c r="B41" t="s">
        <v>1283</v>
      </c>
      <c r="C41" t="s">
        <v>585</v>
      </c>
      <c r="D41" t="s">
        <v>1210</v>
      </c>
      <c r="E41" t="s">
        <v>1194</v>
      </c>
      <c r="F41" t="s">
        <v>1284</v>
      </c>
      <c r="G41" t="s">
        <v>1212</v>
      </c>
      <c r="H41" t="s">
        <v>1213</v>
      </c>
      <c r="I41" t="s">
        <v>1213</v>
      </c>
      <c r="J41" t="s">
        <v>1282</v>
      </c>
      <c r="K41" t="s">
        <v>1214</v>
      </c>
      <c r="L41" s="33">
        <v>-46700</v>
      </c>
    </row>
    <row r="42" spans="1:12" x14ac:dyDescent="0.25">
      <c r="A42" t="s">
        <v>1285</v>
      </c>
      <c r="B42" t="s">
        <v>1286</v>
      </c>
      <c r="C42" t="s">
        <v>527</v>
      </c>
      <c r="D42" t="s">
        <v>1210</v>
      </c>
      <c r="E42" t="s">
        <v>1194</v>
      </c>
      <c r="F42" t="s">
        <v>1287</v>
      </c>
      <c r="G42" t="s">
        <v>1212</v>
      </c>
      <c r="H42" t="s">
        <v>1213</v>
      </c>
      <c r="I42" t="s">
        <v>1213</v>
      </c>
      <c r="J42" t="s">
        <v>1285</v>
      </c>
      <c r="K42" t="s">
        <v>1214</v>
      </c>
      <c r="L42" s="33">
        <v>-186668.03</v>
      </c>
    </row>
    <row r="43" spans="1:12" x14ac:dyDescent="0.25">
      <c r="A43" t="s">
        <v>1288</v>
      </c>
      <c r="B43" t="s">
        <v>1289</v>
      </c>
      <c r="C43" t="s">
        <v>521</v>
      </c>
      <c r="D43" t="s">
        <v>1210</v>
      </c>
      <c r="E43" t="s">
        <v>1194</v>
      </c>
      <c r="F43" t="s">
        <v>1290</v>
      </c>
      <c r="G43" t="s">
        <v>1212</v>
      </c>
      <c r="H43" t="s">
        <v>1213</v>
      </c>
      <c r="I43" t="s">
        <v>1213</v>
      </c>
      <c r="J43" t="s">
        <v>1288</v>
      </c>
      <c r="K43" t="s">
        <v>1214</v>
      </c>
      <c r="L43" s="33">
        <v>-30147.77</v>
      </c>
    </row>
    <row r="44" spans="1:12" x14ac:dyDescent="0.25">
      <c r="A44" t="s">
        <v>1291</v>
      </c>
      <c r="B44" t="s">
        <v>1292</v>
      </c>
      <c r="C44" t="s">
        <v>521</v>
      </c>
      <c r="D44" t="s">
        <v>1210</v>
      </c>
      <c r="E44" t="s">
        <v>1194</v>
      </c>
      <c r="F44" t="s">
        <v>1293</v>
      </c>
      <c r="G44" t="s">
        <v>1212</v>
      </c>
      <c r="H44" t="s">
        <v>1213</v>
      </c>
      <c r="I44" t="s">
        <v>1213</v>
      </c>
      <c r="J44" t="s">
        <v>1291</v>
      </c>
      <c r="K44" t="s">
        <v>1214</v>
      </c>
      <c r="L44" s="33">
        <v>-1852.42</v>
      </c>
    </row>
    <row r="45" spans="1:12" x14ac:dyDescent="0.25">
      <c r="A45" t="s">
        <v>617</v>
      </c>
      <c r="B45" t="s">
        <v>1294</v>
      </c>
      <c r="C45" t="s">
        <v>617</v>
      </c>
      <c r="D45" t="s">
        <v>1210</v>
      </c>
      <c r="E45" t="s">
        <v>1194</v>
      </c>
      <c r="F45" t="s">
        <v>1295</v>
      </c>
      <c r="G45" t="s">
        <v>1212</v>
      </c>
      <c r="H45" t="s">
        <v>1213</v>
      </c>
      <c r="I45" t="s">
        <v>1213</v>
      </c>
      <c r="J45" t="s">
        <v>617</v>
      </c>
      <c r="K45" t="s">
        <v>1214</v>
      </c>
      <c r="L45" s="33">
        <v>73916.55</v>
      </c>
    </row>
    <row r="46" spans="1:12" x14ac:dyDescent="0.25">
      <c r="A46" t="s">
        <v>1296</v>
      </c>
      <c r="B46" t="s">
        <v>1297</v>
      </c>
      <c r="C46" t="s">
        <v>617</v>
      </c>
      <c r="D46" t="s">
        <v>1210</v>
      </c>
      <c r="E46" t="s">
        <v>1194</v>
      </c>
      <c r="F46" t="s">
        <v>1298</v>
      </c>
      <c r="G46" t="s">
        <v>1212</v>
      </c>
      <c r="H46" t="s">
        <v>1213</v>
      </c>
      <c r="I46" t="s">
        <v>1213</v>
      </c>
      <c r="J46" t="s">
        <v>1296</v>
      </c>
      <c r="K46" t="s">
        <v>1214</v>
      </c>
      <c r="L46" s="33">
        <v>-105106</v>
      </c>
    </row>
    <row r="47" spans="1:12" x14ac:dyDescent="0.25">
      <c r="A47" t="s">
        <v>1299</v>
      </c>
      <c r="B47" t="s">
        <v>1300</v>
      </c>
      <c r="C47" t="s">
        <v>539</v>
      </c>
      <c r="D47" t="s">
        <v>1210</v>
      </c>
      <c r="E47" t="s">
        <v>1194</v>
      </c>
      <c r="F47" t="s">
        <v>1301</v>
      </c>
      <c r="G47" t="s">
        <v>1212</v>
      </c>
      <c r="H47" t="s">
        <v>1213</v>
      </c>
      <c r="I47" t="s">
        <v>1213</v>
      </c>
      <c r="J47" t="s">
        <v>1299</v>
      </c>
      <c r="K47" t="s">
        <v>1214</v>
      </c>
      <c r="L47" s="33">
        <v>-380</v>
      </c>
    </row>
    <row r="48" spans="1:12" x14ac:dyDescent="0.25">
      <c r="A48" t="s">
        <v>1302</v>
      </c>
      <c r="B48" t="s">
        <v>1303</v>
      </c>
      <c r="C48" t="s">
        <v>539</v>
      </c>
      <c r="D48" t="s">
        <v>1210</v>
      </c>
      <c r="E48" t="s">
        <v>1194</v>
      </c>
      <c r="F48" t="s">
        <v>1304</v>
      </c>
      <c r="G48" t="s">
        <v>1212</v>
      </c>
      <c r="H48" t="s">
        <v>1213</v>
      </c>
      <c r="I48" t="s">
        <v>1213</v>
      </c>
      <c r="J48" t="s">
        <v>1302</v>
      </c>
      <c r="K48" t="s">
        <v>1214</v>
      </c>
      <c r="L48" s="33">
        <v>-533.05999999999995</v>
      </c>
    </row>
    <row r="49" spans="1:12" x14ac:dyDescent="0.25">
      <c r="A49" t="s">
        <v>541</v>
      </c>
      <c r="B49" t="s">
        <v>542</v>
      </c>
      <c r="C49" t="s">
        <v>541</v>
      </c>
      <c r="D49" t="s">
        <v>1210</v>
      </c>
      <c r="E49" t="s">
        <v>1194</v>
      </c>
      <c r="F49" t="s">
        <v>1305</v>
      </c>
      <c r="G49" t="s">
        <v>1212</v>
      </c>
      <c r="H49" t="s">
        <v>1213</v>
      </c>
      <c r="I49" t="s">
        <v>1213</v>
      </c>
      <c r="J49" t="s">
        <v>541</v>
      </c>
      <c r="K49" t="s">
        <v>1214</v>
      </c>
      <c r="L49" s="33">
        <v>-1650</v>
      </c>
    </row>
    <row r="50" spans="1:12" x14ac:dyDescent="0.25">
      <c r="A50" t="s">
        <v>1306</v>
      </c>
      <c r="B50" t="s">
        <v>1307</v>
      </c>
      <c r="C50" t="s">
        <v>541</v>
      </c>
      <c r="D50" t="s">
        <v>1210</v>
      </c>
      <c r="E50" t="s">
        <v>1194</v>
      </c>
      <c r="F50" t="s">
        <v>1308</v>
      </c>
      <c r="G50" t="s">
        <v>1212</v>
      </c>
      <c r="H50" t="s">
        <v>1213</v>
      </c>
      <c r="I50" t="s">
        <v>1213</v>
      </c>
      <c r="J50" t="s">
        <v>1306</v>
      </c>
      <c r="K50" t="s">
        <v>1214</v>
      </c>
      <c r="L50" s="33">
        <v>-1529</v>
      </c>
    </row>
    <row r="51" spans="1:12" x14ac:dyDescent="0.25">
      <c r="A51" t="s">
        <v>1309</v>
      </c>
      <c r="B51" t="s">
        <v>534</v>
      </c>
      <c r="C51" t="s">
        <v>533</v>
      </c>
      <c r="D51" t="s">
        <v>1210</v>
      </c>
      <c r="E51" t="s">
        <v>1194</v>
      </c>
      <c r="F51" t="s">
        <v>1310</v>
      </c>
      <c r="G51" t="s">
        <v>1212</v>
      </c>
      <c r="H51" t="s">
        <v>1213</v>
      </c>
      <c r="I51" t="s">
        <v>1213</v>
      </c>
      <c r="J51" t="s">
        <v>1309</v>
      </c>
      <c r="K51" t="s">
        <v>1214</v>
      </c>
      <c r="L51" s="33">
        <v>-14450</v>
      </c>
    </row>
    <row r="52" spans="1:12" x14ac:dyDescent="0.25">
      <c r="A52" t="s">
        <v>675</v>
      </c>
      <c r="B52" t="s">
        <v>1311</v>
      </c>
      <c r="C52" t="s">
        <v>675</v>
      </c>
      <c r="D52" t="s">
        <v>1210</v>
      </c>
      <c r="E52" t="s">
        <v>1194</v>
      </c>
      <c r="F52" t="s">
        <v>1312</v>
      </c>
      <c r="G52" t="s">
        <v>1212</v>
      </c>
      <c r="H52" t="s">
        <v>1213</v>
      </c>
      <c r="I52" t="s">
        <v>1213</v>
      </c>
      <c r="J52" t="s">
        <v>675</v>
      </c>
      <c r="K52" t="s">
        <v>1214</v>
      </c>
      <c r="L52" s="33">
        <v>-174</v>
      </c>
    </row>
    <row r="53" spans="1:12" x14ac:dyDescent="0.25">
      <c r="A53" t="s">
        <v>1313</v>
      </c>
      <c r="B53" t="s">
        <v>1314</v>
      </c>
      <c r="C53" t="s">
        <v>703</v>
      </c>
      <c r="D53" t="s">
        <v>1210</v>
      </c>
      <c r="E53" t="s">
        <v>1194</v>
      </c>
      <c r="F53" t="s">
        <v>1315</v>
      </c>
      <c r="G53" t="s">
        <v>1212</v>
      </c>
      <c r="H53" t="s">
        <v>1213</v>
      </c>
      <c r="I53" t="s">
        <v>1213</v>
      </c>
      <c r="J53" t="s">
        <v>1313</v>
      </c>
      <c r="K53" t="s">
        <v>1214</v>
      </c>
      <c r="L53" s="33">
        <v>-22412</v>
      </c>
    </row>
    <row r="54" spans="1:12" x14ac:dyDescent="0.25">
      <c r="A54" t="s">
        <v>1316</v>
      </c>
      <c r="B54" t="s">
        <v>1317</v>
      </c>
      <c r="C54" t="s">
        <v>739</v>
      </c>
      <c r="D54" t="s">
        <v>1210</v>
      </c>
      <c r="E54" t="s">
        <v>1194</v>
      </c>
      <c r="F54" t="s">
        <v>1318</v>
      </c>
      <c r="G54" t="s">
        <v>1212</v>
      </c>
      <c r="H54" t="s">
        <v>1213</v>
      </c>
      <c r="I54" t="s">
        <v>1213</v>
      </c>
      <c r="J54" t="s">
        <v>1316</v>
      </c>
      <c r="K54" t="s">
        <v>1214</v>
      </c>
      <c r="L54" s="33">
        <v>-2354630.6</v>
      </c>
    </row>
    <row r="55" spans="1:12" x14ac:dyDescent="0.25">
      <c r="A55" t="s">
        <v>1319</v>
      </c>
      <c r="B55" t="s">
        <v>1320</v>
      </c>
      <c r="C55" t="s">
        <v>1321</v>
      </c>
      <c r="D55" t="s">
        <v>1210</v>
      </c>
      <c r="E55" t="s">
        <v>1194</v>
      </c>
      <c r="F55" t="s">
        <v>1322</v>
      </c>
      <c r="G55" t="s">
        <v>1212</v>
      </c>
      <c r="H55" t="s">
        <v>1213</v>
      </c>
      <c r="I55" t="s">
        <v>1213</v>
      </c>
      <c r="J55" t="s">
        <v>1319</v>
      </c>
      <c r="K55" t="s">
        <v>1214</v>
      </c>
      <c r="L55" s="33">
        <v>6201180.4299999997</v>
      </c>
    </row>
    <row r="56" spans="1:12" x14ac:dyDescent="0.25">
      <c r="A56" t="s">
        <v>1323</v>
      </c>
      <c r="B56" t="s">
        <v>1324</v>
      </c>
      <c r="C56" t="s">
        <v>1321</v>
      </c>
      <c r="D56" t="s">
        <v>1210</v>
      </c>
      <c r="E56" t="s">
        <v>1194</v>
      </c>
      <c r="F56" t="s">
        <v>1325</v>
      </c>
      <c r="G56" t="s">
        <v>1212</v>
      </c>
      <c r="H56" t="s">
        <v>1213</v>
      </c>
      <c r="I56" t="s">
        <v>1213</v>
      </c>
      <c r="J56" t="s">
        <v>1323</v>
      </c>
      <c r="K56" t="s">
        <v>1214</v>
      </c>
      <c r="L56" s="33">
        <v>-7317915.46</v>
      </c>
    </row>
    <row r="57" spans="1:12" x14ac:dyDescent="0.25">
      <c r="A57" t="s">
        <v>1326</v>
      </c>
      <c r="B57" t="s">
        <v>1327</v>
      </c>
      <c r="C57" t="s">
        <v>10</v>
      </c>
      <c r="D57" t="s">
        <v>1210</v>
      </c>
      <c r="E57" t="s">
        <v>1194</v>
      </c>
      <c r="F57" t="s">
        <v>1328</v>
      </c>
      <c r="G57" t="s">
        <v>1212</v>
      </c>
      <c r="H57" t="s">
        <v>1329</v>
      </c>
      <c r="I57" t="s">
        <v>1329</v>
      </c>
      <c r="J57" t="s">
        <v>1330</v>
      </c>
      <c r="K57" t="s">
        <v>1330</v>
      </c>
      <c r="L57" s="33">
        <v>32835</v>
      </c>
    </row>
    <row r="58" spans="1:12" x14ac:dyDescent="0.25">
      <c r="A58" t="s">
        <v>1326</v>
      </c>
      <c r="B58" t="s">
        <v>1331</v>
      </c>
      <c r="C58" t="s">
        <v>10</v>
      </c>
      <c r="D58" t="s">
        <v>1210</v>
      </c>
      <c r="E58" t="s">
        <v>1194</v>
      </c>
      <c r="F58" t="s">
        <v>1332</v>
      </c>
      <c r="G58" t="s">
        <v>1212</v>
      </c>
      <c r="H58" t="s">
        <v>1329</v>
      </c>
      <c r="I58" t="s">
        <v>1329</v>
      </c>
      <c r="J58" t="s">
        <v>1333</v>
      </c>
      <c r="K58" t="s">
        <v>1334</v>
      </c>
      <c r="L58" s="33">
        <v>2519.7600000000002</v>
      </c>
    </row>
    <row r="59" spans="1:12" x14ac:dyDescent="0.25">
      <c r="A59" t="s">
        <v>1326</v>
      </c>
      <c r="B59" t="s">
        <v>1335</v>
      </c>
      <c r="C59" t="s">
        <v>10</v>
      </c>
      <c r="D59" t="s">
        <v>1210</v>
      </c>
      <c r="E59" t="s">
        <v>1194</v>
      </c>
      <c r="F59" t="s">
        <v>1336</v>
      </c>
      <c r="G59" t="s">
        <v>1212</v>
      </c>
      <c r="H59" t="s">
        <v>1329</v>
      </c>
      <c r="I59" t="s">
        <v>1329</v>
      </c>
      <c r="J59" t="s">
        <v>1337</v>
      </c>
      <c r="K59" t="s">
        <v>1334</v>
      </c>
      <c r="L59" s="33">
        <v>-1628.75</v>
      </c>
    </row>
    <row r="60" spans="1:12" x14ac:dyDescent="0.25">
      <c r="A60" t="s">
        <v>1326</v>
      </c>
      <c r="B60" t="s">
        <v>1338</v>
      </c>
      <c r="C60" t="s">
        <v>10</v>
      </c>
      <c r="D60" t="s">
        <v>1210</v>
      </c>
      <c r="E60" t="s">
        <v>1194</v>
      </c>
      <c r="F60" t="s">
        <v>1339</v>
      </c>
      <c r="G60" t="s">
        <v>1212</v>
      </c>
      <c r="H60" t="s">
        <v>1329</v>
      </c>
      <c r="I60" t="s">
        <v>1329</v>
      </c>
      <c r="J60" t="s">
        <v>1340</v>
      </c>
      <c r="K60" t="s">
        <v>1334</v>
      </c>
      <c r="L60" s="33">
        <v>176</v>
      </c>
    </row>
    <row r="61" spans="1:12" x14ac:dyDescent="0.25">
      <c r="A61" t="s">
        <v>1326</v>
      </c>
      <c r="B61" t="s">
        <v>1341</v>
      </c>
      <c r="C61" t="s">
        <v>10</v>
      </c>
      <c r="D61" t="s">
        <v>1210</v>
      </c>
      <c r="E61" t="s">
        <v>1194</v>
      </c>
      <c r="F61" t="s">
        <v>1342</v>
      </c>
      <c r="G61" t="s">
        <v>1212</v>
      </c>
      <c r="H61" t="s">
        <v>1329</v>
      </c>
      <c r="I61" t="s">
        <v>1329</v>
      </c>
      <c r="J61" t="s">
        <v>1343</v>
      </c>
      <c r="K61" t="s">
        <v>1334</v>
      </c>
      <c r="L61" s="33">
        <v>223.34</v>
      </c>
    </row>
    <row r="62" spans="1:12" x14ac:dyDescent="0.25">
      <c r="A62" t="s">
        <v>1326</v>
      </c>
      <c r="B62" t="s">
        <v>1344</v>
      </c>
      <c r="C62" t="s">
        <v>10</v>
      </c>
      <c r="D62" t="s">
        <v>1210</v>
      </c>
      <c r="E62" t="s">
        <v>1194</v>
      </c>
      <c r="F62" t="s">
        <v>1345</v>
      </c>
      <c r="G62" t="s">
        <v>1212</v>
      </c>
      <c r="H62" t="s">
        <v>1329</v>
      </c>
      <c r="I62" t="s">
        <v>1329</v>
      </c>
      <c r="J62" t="s">
        <v>1346</v>
      </c>
      <c r="K62" t="s">
        <v>1347</v>
      </c>
      <c r="L62" s="33">
        <v>200</v>
      </c>
    </row>
    <row r="63" spans="1:12" x14ac:dyDescent="0.25">
      <c r="A63" t="s">
        <v>1326</v>
      </c>
      <c r="B63" t="s">
        <v>1348</v>
      </c>
      <c r="C63" t="s">
        <v>10</v>
      </c>
      <c r="D63" t="s">
        <v>1210</v>
      </c>
      <c r="E63" t="s">
        <v>1194</v>
      </c>
      <c r="F63" t="s">
        <v>1349</v>
      </c>
      <c r="G63" t="s">
        <v>1212</v>
      </c>
      <c r="H63" t="s">
        <v>1329</v>
      </c>
      <c r="I63" t="s">
        <v>1329</v>
      </c>
      <c r="J63" t="s">
        <v>1350</v>
      </c>
      <c r="K63" t="s">
        <v>1351</v>
      </c>
      <c r="L63" s="33">
        <v>147.5</v>
      </c>
    </row>
    <row r="64" spans="1:12" x14ac:dyDescent="0.25">
      <c r="A64" t="s">
        <v>1326</v>
      </c>
      <c r="B64" t="s">
        <v>1352</v>
      </c>
      <c r="C64" t="s">
        <v>10</v>
      </c>
      <c r="D64" t="s">
        <v>1210</v>
      </c>
      <c r="E64" t="s">
        <v>1194</v>
      </c>
      <c r="F64" t="s">
        <v>1353</v>
      </c>
      <c r="G64" t="s">
        <v>1212</v>
      </c>
      <c r="H64" t="s">
        <v>1329</v>
      </c>
      <c r="I64" t="s">
        <v>1329</v>
      </c>
      <c r="J64" t="s">
        <v>1354</v>
      </c>
      <c r="K64" t="s">
        <v>1351</v>
      </c>
      <c r="L64" s="33">
        <v>963.45</v>
      </c>
    </row>
    <row r="65" spans="1:12" x14ac:dyDescent="0.25">
      <c r="A65" t="s">
        <v>1326</v>
      </c>
      <c r="B65" t="s">
        <v>1355</v>
      </c>
      <c r="C65" t="s">
        <v>10</v>
      </c>
      <c r="D65" t="s">
        <v>1210</v>
      </c>
      <c r="E65" t="s">
        <v>1194</v>
      </c>
      <c r="F65" t="s">
        <v>1356</v>
      </c>
      <c r="G65" t="s">
        <v>1212</v>
      </c>
      <c r="H65" t="s">
        <v>1329</v>
      </c>
      <c r="I65" t="s">
        <v>1329</v>
      </c>
      <c r="J65" t="s">
        <v>1357</v>
      </c>
      <c r="K65" t="s">
        <v>1351</v>
      </c>
      <c r="L65" s="33">
        <v>124</v>
      </c>
    </row>
    <row r="66" spans="1:12" x14ac:dyDescent="0.25">
      <c r="A66" t="s">
        <v>1326</v>
      </c>
      <c r="B66" t="s">
        <v>1358</v>
      </c>
      <c r="C66" t="s">
        <v>10</v>
      </c>
      <c r="D66" t="s">
        <v>1210</v>
      </c>
      <c r="E66" t="s">
        <v>1194</v>
      </c>
      <c r="F66" t="s">
        <v>1359</v>
      </c>
      <c r="G66" t="s">
        <v>1212</v>
      </c>
      <c r="H66" t="s">
        <v>1329</v>
      </c>
      <c r="I66" t="s">
        <v>1329</v>
      </c>
      <c r="J66" t="s">
        <v>1360</v>
      </c>
      <c r="K66" t="s">
        <v>1361</v>
      </c>
      <c r="L66" s="33">
        <v>878.12</v>
      </c>
    </row>
    <row r="67" spans="1:12" x14ac:dyDescent="0.25">
      <c r="A67" t="s">
        <v>1326</v>
      </c>
      <c r="B67" t="s">
        <v>1362</v>
      </c>
      <c r="C67" t="s">
        <v>10</v>
      </c>
      <c r="D67" t="s">
        <v>1210</v>
      </c>
      <c r="E67" t="s">
        <v>1194</v>
      </c>
      <c r="F67" t="s">
        <v>1363</v>
      </c>
      <c r="G67" t="s">
        <v>1212</v>
      </c>
      <c r="H67" t="s">
        <v>1329</v>
      </c>
      <c r="I67" t="s">
        <v>1329</v>
      </c>
      <c r="J67" t="s">
        <v>1364</v>
      </c>
      <c r="K67" t="s">
        <v>1364</v>
      </c>
      <c r="L67" s="33">
        <v>-1036.8</v>
      </c>
    </row>
    <row r="68" spans="1:12" x14ac:dyDescent="0.25">
      <c r="A68" t="s">
        <v>1326</v>
      </c>
      <c r="B68" t="s">
        <v>1365</v>
      </c>
      <c r="C68" t="s">
        <v>10</v>
      </c>
      <c r="D68" t="s">
        <v>1210</v>
      </c>
      <c r="E68" t="s">
        <v>1194</v>
      </c>
      <c r="F68" t="s">
        <v>1366</v>
      </c>
      <c r="G68" t="s">
        <v>1212</v>
      </c>
      <c r="H68" t="s">
        <v>1329</v>
      </c>
      <c r="I68" t="s">
        <v>1329</v>
      </c>
      <c r="J68" t="s">
        <v>1367</v>
      </c>
      <c r="K68" t="s">
        <v>1368</v>
      </c>
      <c r="L68" s="33">
        <v>8400</v>
      </c>
    </row>
    <row r="69" spans="1:12" x14ac:dyDescent="0.25">
      <c r="A69" t="s">
        <v>1326</v>
      </c>
      <c r="B69" t="s">
        <v>1369</v>
      </c>
      <c r="C69" t="s">
        <v>10</v>
      </c>
      <c r="D69" t="s">
        <v>1210</v>
      </c>
      <c r="E69" t="s">
        <v>1194</v>
      </c>
      <c r="F69" t="s">
        <v>1370</v>
      </c>
      <c r="G69" t="s">
        <v>1212</v>
      </c>
      <c r="H69" t="s">
        <v>1329</v>
      </c>
      <c r="I69" t="s">
        <v>1329</v>
      </c>
      <c r="J69" t="s">
        <v>1371</v>
      </c>
      <c r="K69" t="s">
        <v>1368</v>
      </c>
      <c r="L69" s="33">
        <v>-16607.2</v>
      </c>
    </row>
    <row r="70" spans="1:12" x14ac:dyDescent="0.25">
      <c r="A70" t="s">
        <v>1326</v>
      </c>
      <c r="B70" t="s">
        <v>1372</v>
      </c>
      <c r="C70" t="s">
        <v>10</v>
      </c>
      <c r="D70" t="s">
        <v>1210</v>
      </c>
      <c r="E70" t="s">
        <v>1194</v>
      </c>
      <c r="F70" t="s">
        <v>1373</v>
      </c>
      <c r="G70" t="s">
        <v>1212</v>
      </c>
      <c r="H70" t="s">
        <v>1329</v>
      </c>
      <c r="I70" t="s">
        <v>1329</v>
      </c>
      <c r="J70" t="s">
        <v>1374</v>
      </c>
      <c r="K70" t="s">
        <v>1374</v>
      </c>
      <c r="L70" s="33">
        <v>6948.37</v>
      </c>
    </row>
    <row r="71" spans="1:12" x14ac:dyDescent="0.25">
      <c r="A71" t="s">
        <v>1326</v>
      </c>
      <c r="B71" t="s">
        <v>1375</v>
      </c>
      <c r="C71" t="s">
        <v>10</v>
      </c>
      <c r="D71" t="s">
        <v>1210</v>
      </c>
      <c r="E71" t="s">
        <v>1194</v>
      </c>
      <c r="F71" t="s">
        <v>1376</v>
      </c>
      <c r="G71" t="s">
        <v>1212</v>
      </c>
      <c r="H71" t="s">
        <v>1329</v>
      </c>
      <c r="I71" t="s">
        <v>1329</v>
      </c>
      <c r="J71" t="s">
        <v>1377</v>
      </c>
      <c r="K71" t="s">
        <v>1374</v>
      </c>
      <c r="L71" s="33">
        <v>9107.58</v>
      </c>
    </row>
    <row r="72" spans="1:12" x14ac:dyDescent="0.25">
      <c r="A72" t="s">
        <v>1326</v>
      </c>
      <c r="B72" t="s">
        <v>1378</v>
      </c>
      <c r="C72" t="s">
        <v>10</v>
      </c>
      <c r="D72" t="s">
        <v>1210</v>
      </c>
      <c r="E72" t="s">
        <v>1194</v>
      </c>
      <c r="F72" t="s">
        <v>1379</v>
      </c>
      <c r="G72" t="s">
        <v>1212</v>
      </c>
      <c r="H72" t="s">
        <v>1329</v>
      </c>
      <c r="I72" t="s">
        <v>1329</v>
      </c>
      <c r="J72" t="s">
        <v>1380</v>
      </c>
      <c r="K72" t="s">
        <v>1380</v>
      </c>
      <c r="L72" s="33">
        <v>-29.26</v>
      </c>
    </row>
    <row r="73" spans="1:12" x14ac:dyDescent="0.25">
      <c r="A73" t="s">
        <v>1326</v>
      </c>
      <c r="B73" t="s">
        <v>1381</v>
      </c>
      <c r="C73" t="s">
        <v>10</v>
      </c>
      <c r="D73" t="s">
        <v>1210</v>
      </c>
      <c r="E73" t="s">
        <v>1194</v>
      </c>
      <c r="F73" t="s">
        <v>1382</v>
      </c>
      <c r="G73" t="s">
        <v>1212</v>
      </c>
      <c r="H73" t="s">
        <v>1329</v>
      </c>
      <c r="I73" t="s">
        <v>1329</v>
      </c>
      <c r="J73" t="s">
        <v>1383</v>
      </c>
      <c r="K73" t="s">
        <v>1334</v>
      </c>
      <c r="L73" s="33">
        <v>3926.78</v>
      </c>
    </row>
    <row r="74" spans="1:12" x14ac:dyDescent="0.25">
      <c r="A74" t="s">
        <v>1326</v>
      </c>
      <c r="B74" t="s">
        <v>1384</v>
      </c>
      <c r="C74" t="s">
        <v>10</v>
      </c>
      <c r="D74" t="s">
        <v>1210</v>
      </c>
      <c r="E74" t="s">
        <v>1194</v>
      </c>
      <c r="F74" t="s">
        <v>1385</v>
      </c>
      <c r="G74" t="s">
        <v>1212</v>
      </c>
      <c r="H74" t="s">
        <v>1329</v>
      </c>
      <c r="I74" t="s">
        <v>1329</v>
      </c>
      <c r="J74" t="s">
        <v>1386</v>
      </c>
      <c r="K74" t="s">
        <v>1386</v>
      </c>
      <c r="L74" s="33">
        <v>229.66</v>
      </c>
    </row>
    <row r="75" spans="1:12" x14ac:dyDescent="0.25">
      <c r="A75" t="s">
        <v>1326</v>
      </c>
      <c r="B75" t="s">
        <v>1387</v>
      </c>
      <c r="C75" t="s">
        <v>10</v>
      </c>
      <c r="D75" t="s">
        <v>1210</v>
      </c>
      <c r="E75" t="s">
        <v>1194</v>
      </c>
      <c r="F75" t="s">
        <v>1388</v>
      </c>
      <c r="G75" t="s">
        <v>1212</v>
      </c>
      <c r="H75" t="s">
        <v>1329</v>
      </c>
      <c r="I75" t="s">
        <v>1329</v>
      </c>
      <c r="J75" t="s">
        <v>1389</v>
      </c>
      <c r="K75" t="s">
        <v>1390</v>
      </c>
      <c r="L75" s="33">
        <v>573.25</v>
      </c>
    </row>
    <row r="76" spans="1:12" x14ac:dyDescent="0.25">
      <c r="A76" t="s">
        <v>1326</v>
      </c>
      <c r="B76" t="s">
        <v>1391</v>
      </c>
      <c r="C76" t="s">
        <v>10</v>
      </c>
      <c r="D76" t="s">
        <v>1210</v>
      </c>
      <c r="E76" t="s">
        <v>1194</v>
      </c>
      <c r="F76" t="s">
        <v>1392</v>
      </c>
      <c r="G76" t="s">
        <v>1212</v>
      </c>
      <c r="H76" t="s">
        <v>1329</v>
      </c>
      <c r="I76" t="s">
        <v>1329</v>
      </c>
      <c r="J76" t="s">
        <v>1393</v>
      </c>
      <c r="K76" t="s">
        <v>1390</v>
      </c>
      <c r="L76" s="33">
        <v>1628.1</v>
      </c>
    </row>
    <row r="77" spans="1:12" x14ac:dyDescent="0.25">
      <c r="A77" t="s">
        <v>1326</v>
      </c>
      <c r="B77" t="s">
        <v>1394</v>
      </c>
      <c r="C77" t="s">
        <v>10</v>
      </c>
      <c r="D77" t="s">
        <v>1210</v>
      </c>
      <c r="E77" t="s">
        <v>1194</v>
      </c>
      <c r="F77" t="s">
        <v>1395</v>
      </c>
      <c r="G77" t="s">
        <v>1212</v>
      </c>
      <c r="H77" t="s">
        <v>1329</v>
      </c>
      <c r="I77" t="s">
        <v>1329</v>
      </c>
      <c r="J77" t="s">
        <v>1396</v>
      </c>
      <c r="K77" t="s">
        <v>1390</v>
      </c>
      <c r="L77" s="33">
        <v>1610</v>
      </c>
    </row>
    <row r="78" spans="1:12" x14ac:dyDescent="0.25">
      <c r="A78" t="s">
        <v>1326</v>
      </c>
      <c r="B78" t="s">
        <v>1397</v>
      </c>
      <c r="C78" t="s">
        <v>10</v>
      </c>
      <c r="D78" t="s">
        <v>1210</v>
      </c>
      <c r="E78" t="s">
        <v>1194</v>
      </c>
      <c r="F78" t="s">
        <v>1398</v>
      </c>
      <c r="G78" t="s">
        <v>1212</v>
      </c>
      <c r="H78" t="s">
        <v>1329</v>
      </c>
      <c r="I78" t="s">
        <v>1329</v>
      </c>
      <c r="J78" t="s">
        <v>1399</v>
      </c>
      <c r="K78" t="s">
        <v>1390</v>
      </c>
      <c r="L78" s="33">
        <v>932.35</v>
      </c>
    </row>
    <row r="79" spans="1:12" x14ac:dyDescent="0.25">
      <c r="A79" t="s">
        <v>1326</v>
      </c>
      <c r="B79" t="s">
        <v>1400</v>
      </c>
      <c r="C79" t="s">
        <v>10</v>
      </c>
      <c r="D79" t="s">
        <v>1210</v>
      </c>
      <c r="E79" t="s">
        <v>1194</v>
      </c>
      <c r="F79" t="s">
        <v>1401</v>
      </c>
      <c r="G79" t="s">
        <v>1212</v>
      </c>
      <c r="H79" t="s">
        <v>1329</v>
      </c>
      <c r="I79" t="s">
        <v>1329</v>
      </c>
      <c r="J79" t="s">
        <v>1402</v>
      </c>
      <c r="K79" t="s">
        <v>1390</v>
      </c>
      <c r="L79" s="33">
        <v>6.84</v>
      </c>
    </row>
    <row r="80" spans="1:12" x14ac:dyDescent="0.25">
      <c r="A80" t="s">
        <v>1326</v>
      </c>
      <c r="B80" t="s">
        <v>1403</v>
      </c>
      <c r="C80" t="s">
        <v>10</v>
      </c>
      <c r="D80" t="s">
        <v>1210</v>
      </c>
      <c r="E80" t="s">
        <v>1194</v>
      </c>
      <c r="F80" t="s">
        <v>1404</v>
      </c>
      <c r="G80" t="s">
        <v>1212</v>
      </c>
      <c r="H80" t="s">
        <v>1329</v>
      </c>
      <c r="I80" t="s">
        <v>1329</v>
      </c>
      <c r="J80" t="s">
        <v>1405</v>
      </c>
      <c r="K80" t="s">
        <v>1390</v>
      </c>
      <c r="L80" s="33">
        <v>580.37</v>
      </c>
    </row>
    <row r="81" spans="1:12" x14ac:dyDescent="0.25">
      <c r="A81" t="s">
        <v>1326</v>
      </c>
      <c r="B81" t="s">
        <v>1406</v>
      </c>
      <c r="C81" t="s">
        <v>10</v>
      </c>
      <c r="D81" t="s">
        <v>1210</v>
      </c>
      <c r="E81" t="s">
        <v>1194</v>
      </c>
      <c r="F81" t="s">
        <v>1407</v>
      </c>
      <c r="G81" t="s">
        <v>1212</v>
      </c>
      <c r="H81" t="s">
        <v>1329</v>
      </c>
      <c r="I81" t="s">
        <v>1329</v>
      </c>
      <c r="J81" t="s">
        <v>1408</v>
      </c>
      <c r="K81" t="s">
        <v>1390</v>
      </c>
      <c r="L81" s="33">
        <v>1135.75</v>
      </c>
    </row>
    <row r="82" spans="1:12" x14ac:dyDescent="0.25">
      <c r="A82" t="s">
        <v>1326</v>
      </c>
      <c r="B82" t="s">
        <v>1409</v>
      </c>
      <c r="C82" t="s">
        <v>10</v>
      </c>
      <c r="D82" t="s">
        <v>1210</v>
      </c>
      <c r="E82" t="s">
        <v>1194</v>
      </c>
      <c r="F82" t="s">
        <v>1410</v>
      </c>
      <c r="G82" t="s">
        <v>1212</v>
      </c>
      <c r="H82" t="s">
        <v>1329</v>
      </c>
      <c r="I82" t="s">
        <v>1329</v>
      </c>
      <c r="J82" t="s">
        <v>1411</v>
      </c>
      <c r="K82" t="s">
        <v>1390</v>
      </c>
      <c r="L82" s="33">
        <v>120</v>
      </c>
    </row>
    <row r="83" spans="1:12" x14ac:dyDescent="0.25">
      <c r="A83" t="s">
        <v>1326</v>
      </c>
      <c r="B83" t="s">
        <v>1412</v>
      </c>
      <c r="C83" t="s">
        <v>10</v>
      </c>
      <c r="D83" t="s">
        <v>1210</v>
      </c>
      <c r="E83" t="s">
        <v>1194</v>
      </c>
      <c r="F83" t="s">
        <v>1413</v>
      </c>
      <c r="G83" t="s">
        <v>1212</v>
      </c>
      <c r="H83" t="s">
        <v>1329</v>
      </c>
      <c r="I83" t="s">
        <v>1329</v>
      </c>
      <c r="J83" t="s">
        <v>1414</v>
      </c>
      <c r="K83" t="s">
        <v>1415</v>
      </c>
      <c r="L83" s="33">
        <v>1624.05</v>
      </c>
    </row>
    <row r="84" spans="1:12" x14ac:dyDescent="0.25">
      <c r="A84" t="s">
        <v>1326</v>
      </c>
      <c r="B84" t="s">
        <v>1416</v>
      </c>
      <c r="C84" t="s">
        <v>10</v>
      </c>
      <c r="D84" t="s">
        <v>1210</v>
      </c>
      <c r="E84" t="s">
        <v>1194</v>
      </c>
      <c r="F84" t="s">
        <v>1417</v>
      </c>
      <c r="G84" t="s">
        <v>1212</v>
      </c>
      <c r="H84" t="s">
        <v>1329</v>
      </c>
      <c r="I84" t="s">
        <v>1329</v>
      </c>
      <c r="J84" t="s">
        <v>1418</v>
      </c>
      <c r="K84" t="s">
        <v>1415</v>
      </c>
      <c r="L84" s="33">
        <v>5681.69</v>
      </c>
    </row>
    <row r="85" spans="1:12" x14ac:dyDescent="0.25">
      <c r="A85" t="s">
        <v>1326</v>
      </c>
      <c r="B85" t="s">
        <v>1419</v>
      </c>
      <c r="C85" t="s">
        <v>10</v>
      </c>
      <c r="D85" t="s">
        <v>1210</v>
      </c>
      <c r="E85" t="s">
        <v>1194</v>
      </c>
      <c r="F85" t="s">
        <v>1420</v>
      </c>
      <c r="G85" t="s">
        <v>1212</v>
      </c>
      <c r="H85" t="s">
        <v>1329</v>
      </c>
      <c r="I85" t="s">
        <v>1329</v>
      </c>
      <c r="J85" t="s">
        <v>1421</v>
      </c>
      <c r="K85" t="s">
        <v>1421</v>
      </c>
      <c r="L85" s="33">
        <v>51.3</v>
      </c>
    </row>
    <row r="86" spans="1:12" x14ac:dyDescent="0.25">
      <c r="A86" t="s">
        <v>1326</v>
      </c>
      <c r="B86" t="s">
        <v>1422</v>
      </c>
      <c r="C86" t="s">
        <v>10</v>
      </c>
      <c r="D86" t="s">
        <v>1210</v>
      </c>
      <c r="E86" t="s">
        <v>1194</v>
      </c>
      <c r="F86" t="s">
        <v>1423</v>
      </c>
      <c r="G86" t="s">
        <v>1212</v>
      </c>
      <c r="H86" t="s">
        <v>1329</v>
      </c>
      <c r="I86" t="s">
        <v>1329</v>
      </c>
      <c r="J86" t="s">
        <v>1424</v>
      </c>
      <c r="K86" t="s">
        <v>1424</v>
      </c>
      <c r="L86" s="33">
        <v>365.08</v>
      </c>
    </row>
    <row r="87" spans="1:12" x14ac:dyDescent="0.25">
      <c r="A87" t="s">
        <v>1326</v>
      </c>
      <c r="B87" t="s">
        <v>1327</v>
      </c>
      <c r="C87" t="s">
        <v>10</v>
      </c>
      <c r="D87" t="s">
        <v>1210</v>
      </c>
      <c r="E87" t="s">
        <v>1194</v>
      </c>
      <c r="F87" t="s">
        <v>1328</v>
      </c>
      <c r="G87" t="s">
        <v>1212</v>
      </c>
      <c r="H87" t="s">
        <v>1425</v>
      </c>
      <c r="I87" t="s">
        <v>1425</v>
      </c>
      <c r="J87" t="s">
        <v>1330</v>
      </c>
      <c r="K87" t="s">
        <v>1330</v>
      </c>
      <c r="L87" s="33">
        <v>82794</v>
      </c>
    </row>
    <row r="88" spans="1:12" x14ac:dyDescent="0.25">
      <c r="A88" t="s">
        <v>1326</v>
      </c>
      <c r="B88" t="s">
        <v>1331</v>
      </c>
      <c r="C88" t="s">
        <v>10</v>
      </c>
      <c r="D88" t="s">
        <v>1210</v>
      </c>
      <c r="E88" t="s">
        <v>1194</v>
      </c>
      <c r="F88" t="s">
        <v>1332</v>
      </c>
      <c r="G88" t="s">
        <v>1212</v>
      </c>
      <c r="H88" t="s">
        <v>1425</v>
      </c>
      <c r="I88" t="s">
        <v>1425</v>
      </c>
      <c r="J88" t="s">
        <v>1333</v>
      </c>
      <c r="K88" t="s">
        <v>1334</v>
      </c>
      <c r="L88" s="33">
        <v>5569.97</v>
      </c>
    </row>
    <row r="89" spans="1:12" x14ac:dyDescent="0.25">
      <c r="A89" t="s">
        <v>1326</v>
      </c>
      <c r="B89" t="s">
        <v>1335</v>
      </c>
      <c r="C89" t="s">
        <v>10</v>
      </c>
      <c r="D89" t="s">
        <v>1210</v>
      </c>
      <c r="E89" t="s">
        <v>1194</v>
      </c>
      <c r="F89" t="s">
        <v>1336</v>
      </c>
      <c r="G89" t="s">
        <v>1212</v>
      </c>
      <c r="H89" t="s">
        <v>1425</v>
      </c>
      <c r="I89" t="s">
        <v>1425</v>
      </c>
      <c r="J89" t="s">
        <v>1337</v>
      </c>
      <c r="K89" t="s">
        <v>1334</v>
      </c>
      <c r="L89" s="33">
        <v>-3252</v>
      </c>
    </row>
    <row r="90" spans="1:12" x14ac:dyDescent="0.25">
      <c r="A90" t="s">
        <v>1326</v>
      </c>
      <c r="B90" t="s">
        <v>1338</v>
      </c>
      <c r="C90" t="s">
        <v>10</v>
      </c>
      <c r="D90" t="s">
        <v>1210</v>
      </c>
      <c r="E90" t="s">
        <v>1194</v>
      </c>
      <c r="F90" t="s">
        <v>1339</v>
      </c>
      <c r="G90" t="s">
        <v>1212</v>
      </c>
      <c r="H90" t="s">
        <v>1425</v>
      </c>
      <c r="I90" t="s">
        <v>1425</v>
      </c>
      <c r="J90" t="s">
        <v>1340</v>
      </c>
      <c r="K90" t="s">
        <v>1334</v>
      </c>
      <c r="L90" s="33">
        <v>419</v>
      </c>
    </row>
    <row r="91" spans="1:12" x14ac:dyDescent="0.25">
      <c r="A91" t="s">
        <v>1326</v>
      </c>
      <c r="B91" t="s">
        <v>1341</v>
      </c>
      <c r="C91" t="s">
        <v>10</v>
      </c>
      <c r="D91" t="s">
        <v>1210</v>
      </c>
      <c r="E91" t="s">
        <v>1194</v>
      </c>
      <c r="F91" t="s">
        <v>1342</v>
      </c>
      <c r="G91" t="s">
        <v>1212</v>
      </c>
      <c r="H91" t="s">
        <v>1425</v>
      </c>
      <c r="I91" t="s">
        <v>1425</v>
      </c>
      <c r="J91" t="s">
        <v>1343</v>
      </c>
      <c r="K91" t="s">
        <v>1334</v>
      </c>
      <c r="L91" s="33">
        <v>460</v>
      </c>
    </row>
    <row r="92" spans="1:12" x14ac:dyDescent="0.25">
      <c r="A92" t="s">
        <v>1326</v>
      </c>
      <c r="B92" t="s">
        <v>1344</v>
      </c>
      <c r="C92" t="s">
        <v>10</v>
      </c>
      <c r="D92" t="s">
        <v>1210</v>
      </c>
      <c r="E92" t="s">
        <v>1194</v>
      </c>
      <c r="F92" t="s">
        <v>1345</v>
      </c>
      <c r="G92" t="s">
        <v>1212</v>
      </c>
      <c r="H92" t="s">
        <v>1425</v>
      </c>
      <c r="I92" t="s">
        <v>1425</v>
      </c>
      <c r="J92" t="s">
        <v>1346</v>
      </c>
      <c r="K92" t="s">
        <v>1347</v>
      </c>
      <c r="L92" s="33">
        <v>600</v>
      </c>
    </row>
    <row r="93" spans="1:12" x14ac:dyDescent="0.25">
      <c r="A93" t="s">
        <v>1326</v>
      </c>
      <c r="B93" t="s">
        <v>1348</v>
      </c>
      <c r="C93" t="s">
        <v>10</v>
      </c>
      <c r="D93" t="s">
        <v>1210</v>
      </c>
      <c r="E93" t="s">
        <v>1194</v>
      </c>
      <c r="F93" t="s">
        <v>1349</v>
      </c>
      <c r="G93" t="s">
        <v>1212</v>
      </c>
      <c r="H93" t="s">
        <v>1425</v>
      </c>
      <c r="I93" t="s">
        <v>1425</v>
      </c>
      <c r="J93" t="s">
        <v>1350</v>
      </c>
      <c r="K93" t="s">
        <v>1351</v>
      </c>
      <c r="L93" s="33">
        <v>516.09</v>
      </c>
    </row>
    <row r="94" spans="1:12" x14ac:dyDescent="0.25">
      <c r="A94" t="s">
        <v>1326</v>
      </c>
      <c r="B94" t="s">
        <v>1352</v>
      </c>
      <c r="C94" t="s">
        <v>10</v>
      </c>
      <c r="D94" t="s">
        <v>1210</v>
      </c>
      <c r="E94" t="s">
        <v>1194</v>
      </c>
      <c r="F94" t="s">
        <v>1353</v>
      </c>
      <c r="G94" t="s">
        <v>1212</v>
      </c>
      <c r="H94" t="s">
        <v>1425</v>
      </c>
      <c r="I94" t="s">
        <v>1425</v>
      </c>
      <c r="J94" t="s">
        <v>1354</v>
      </c>
      <c r="K94" t="s">
        <v>1351</v>
      </c>
      <c r="L94" s="33">
        <v>331.23</v>
      </c>
    </row>
    <row r="95" spans="1:12" x14ac:dyDescent="0.25">
      <c r="A95" t="s">
        <v>1326</v>
      </c>
      <c r="B95" t="s">
        <v>1355</v>
      </c>
      <c r="C95" t="s">
        <v>10</v>
      </c>
      <c r="D95" t="s">
        <v>1210</v>
      </c>
      <c r="E95" t="s">
        <v>1194</v>
      </c>
      <c r="F95" t="s">
        <v>1356</v>
      </c>
      <c r="G95" t="s">
        <v>1212</v>
      </c>
      <c r="H95" t="s">
        <v>1425</v>
      </c>
      <c r="I95" t="s">
        <v>1425</v>
      </c>
      <c r="J95" t="s">
        <v>1357</v>
      </c>
      <c r="K95" t="s">
        <v>1351</v>
      </c>
      <c r="L95" s="33">
        <v>372</v>
      </c>
    </row>
    <row r="96" spans="1:12" x14ac:dyDescent="0.25">
      <c r="A96" t="s">
        <v>1326</v>
      </c>
      <c r="B96" t="s">
        <v>1358</v>
      </c>
      <c r="C96" t="s">
        <v>10</v>
      </c>
      <c r="D96" t="s">
        <v>1210</v>
      </c>
      <c r="E96" t="s">
        <v>1194</v>
      </c>
      <c r="F96" t="s">
        <v>1359</v>
      </c>
      <c r="G96" t="s">
        <v>1212</v>
      </c>
      <c r="H96" t="s">
        <v>1425</v>
      </c>
      <c r="I96" t="s">
        <v>1425</v>
      </c>
      <c r="J96" t="s">
        <v>1360</v>
      </c>
      <c r="K96" t="s">
        <v>1361</v>
      </c>
      <c r="L96" s="33">
        <v>3221.38</v>
      </c>
    </row>
    <row r="97" spans="1:12" x14ac:dyDescent="0.25">
      <c r="A97" t="s">
        <v>1326</v>
      </c>
      <c r="B97" t="s">
        <v>1362</v>
      </c>
      <c r="C97" t="s">
        <v>10</v>
      </c>
      <c r="D97" t="s">
        <v>1210</v>
      </c>
      <c r="E97" t="s">
        <v>1194</v>
      </c>
      <c r="F97" t="s">
        <v>1363</v>
      </c>
      <c r="G97" t="s">
        <v>1212</v>
      </c>
      <c r="H97" t="s">
        <v>1425</v>
      </c>
      <c r="I97" t="s">
        <v>1425</v>
      </c>
      <c r="J97" t="s">
        <v>1364</v>
      </c>
      <c r="K97" t="s">
        <v>1364</v>
      </c>
      <c r="L97" s="33">
        <v>-17633.099999999999</v>
      </c>
    </row>
    <row r="98" spans="1:12" x14ac:dyDescent="0.25">
      <c r="A98" t="s">
        <v>1326</v>
      </c>
      <c r="B98" t="s">
        <v>1369</v>
      </c>
      <c r="C98" t="s">
        <v>10</v>
      </c>
      <c r="D98" t="s">
        <v>1210</v>
      </c>
      <c r="E98" t="s">
        <v>1194</v>
      </c>
      <c r="F98" t="s">
        <v>1370</v>
      </c>
      <c r="G98" t="s">
        <v>1212</v>
      </c>
      <c r="H98" t="s">
        <v>1425</v>
      </c>
      <c r="I98" t="s">
        <v>1425</v>
      </c>
      <c r="J98" t="s">
        <v>1371</v>
      </c>
      <c r="K98" t="s">
        <v>1368</v>
      </c>
      <c r="L98" s="33">
        <v>76410.100000000006</v>
      </c>
    </row>
    <row r="99" spans="1:12" x14ac:dyDescent="0.25">
      <c r="A99" t="s">
        <v>1326</v>
      </c>
      <c r="B99" t="s">
        <v>1372</v>
      </c>
      <c r="C99" t="s">
        <v>10</v>
      </c>
      <c r="D99" t="s">
        <v>1210</v>
      </c>
      <c r="E99" t="s">
        <v>1194</v>
      </c>
      <c r="F99" t="s">
        <v>1373</v>
      </c>
      <c r="G99" t="s">
        <v>1212</v>
      </c>
      <c r="H99" t="s">
        <v>1425</v>
      </c>
      <c r="I99" t="s">
        <v>1425</v>
      </c>
      <c r="J99" t="s">
        <v>1374</v>
      </c>
      <c r="K99" t="s">
        <v>1374</v>
      </c>
      <c r="L99" s="33">
        <v>25237.71</v>
      </c>
    </row>
    <row r="100" spans="1:12" x14ac:dyDescent="0.25">
      <c r="A100" t="s">
        <v>1326</v>
      </c>
      <c r="B100" t="s">
        <v>1375</v>
      </c>
      <c r="C100" t="s">
        <v>10</v>
      </c>
      <c r="D100" t="s">
        <v>1210</v>
      </c>
      <c r="E100" t="s">
        <v>1194</v>
      </c>
      <c r="F100" t="s">
        <v>1376</v>
      </c>
      <c r="G100" t="s">
        <v>1212</v>
      </c>
      <c r="H100" t="s">
        <v>1425</v>
      </c>
      <c r="I100" t="s">
        <v>1425</v>
      </c>
      <c r="J100" t="s">
        <v>1377</v>
      </c>
      <c r="K100" t="s">
        <v>1374</v>
      </c>
      <c r="L100" s="33">
        <v>10334.36</v>
      </c>
    </row>
    <row r="101" spans="1:12" x14ac:dyDescent="0.25">
      <c r="A101" t="s">
        <v>1326</v>
      </c>
      <c r="B101" t="s">
        <v>1378</v>
      </c>
      <c r="C101" t="s">
        <v>10</v>
      </c>
      <c r="D101" t="s">
        <v>1210</v>
      </c>
      <c r="E101" t="s">
        <v>1194</v>
      </c>
      <c r="F101" t="s">
        <v>1379</v>
      </c>
      <c r="G101" t="s">
        <v>1212</v>
      </c>
      <c r="H101" t="s">
        <v>1425</v>
      </c>
      <c r="I101" t="s">
        <v>1425</v>
      </c>
      <c r="J101" t="s">
        <v>1380</v>
      </c>
      <c r="K101" t="s">
        <v>1380</v>
      </c>
      <c r="L101" s="33">
        <v>247.35</v>
      </c>
    </row>
    <row r="102" spans="1:12" x14ac:dyDescent="0.25">
      <c r="A102" t="s">
        <v>1326</v>
      </c>
      <c r="B102" t="s">
        <v>1381</v>
      </c>
      <c r="C102" t="s">
        <v>10</v>
      </c>
      <c r="D102" t="s">
        <v>1210</v>
      </c>
      <c r="E102" t="s">
        <v>1194</v>
      </c>
      <c r="F102" t="s">
        <v>1382</v>
      </c>
      <c r="G102" t="s">
        <v>1212</v>
      </c>
      <c r="H102" t="s">
        <v>1425</v>
      </c>
      <c r="I102" t="s">
        <v>1425</v>
      </c>
      <c r="J102" t="s">
        <v>1383</v>
      </c>
      <c r="K102" t="s">
        <v>1334</v>
      </c>
      <c r="L102" s="33">
        <v>9779.25</v>
      </c>
    </row>
    <row r="103" spans="1:12" x14ac:dyDescent="0.25">
      <c r="A103" t="s">
        <v>1326</v>
      </c>
      <c r="B103" t="s">
        <v>1384</v>
      </c>
      <c r="C103" t="s">
        <v>10</v>
      </c>
      <c r="D103" t="s">
        <v>1210</v>
      </c>
      <c r="E103" t="s">
        <v>1194</v>
      </c>
      <c r="F103" t="s">
        <v>1385</v>
      </c>
      <c r="G103" t="s">
        <v>1212</v>
      </c>
      <c r="H103" t="s">
        <v>1425</v>
      </c>
      <c r="I103" t="s">
        <v>1425</v>
      </c>
      <c r="J103" t="s">
        <v>1386</v>
      </c>
      <c r="K103" t="s">
        <v>1386</v>
      </c>
      <c r="L103" s="33">
        <v>439.8</v>
      </c>
    </row>
    <row r="104" spans="1:12" x14ac:dyDescent="0.25">
      <c r="A104" t="s">
        <v>1326</v>
      </c>
      <c r="B104" t="s">
        <v>1387</v>
      </c>
      <c r="C104" t="s">
        <v>10</v>
      </c>
      <c r="D104" t="s">
        <v>1210</v>
      </c>
      <c r="E104" t="s">
        <v>1194</v>
      </c>
      <c r="F104" t="s">
        <v>1388</v>
      </c>
      <c r="G104" t="s">
        <v>1212</v>
      </c>
      <c r="H104" t="s">
        <v>1425</v>
      </c>
      <c r="I104" t="s">
        <v>1425</v>
      </c>
      <c r="J104" t="s">
        <v>1389</v>
      </c>
      <c r="K104" t="s">
        <v>1390</v>
      </c>
      <c r="L104" s="33">
        <v>1350.69</v>
      </c>
    </row>
    <row r="105" spans="1:12" x14ac:dyDescent="0.25">
      <c r="A105" t="s">
        <v>1326</v>
      </c>
      <c r="B105" t="s">
        <v>1391</v>
      </c>
      <c r="C105" t="s">
        <v>10</v>
      </c>
      <c r="D105" t="s">
        <v>1210</v>
      </c>
      <c r="E105" t="s">
        <v>1194</v>
      </c>
      <c r="F105" t="s">
        <v>1392</v>
      </c>
      <c r="G105" t="s">
        <v>1212</v>
      </c>
      <c r="H105" t="s">
        <v>1425</v>
      </c>
      <c r="I105" t="s">
        <v>1425</v>
      </c>
      <c r="J105" t="s">
        <v>1393</v>
      </c>
      <c r="K105" t="s">
        <v>1390</v>
      </c>
      <c r="L105" s="33">
        <v>2141.87</v>
      </c>
    </row>
    <row r="106" spans="1:12" x14ac:dyDescent="0.25">
      <c r="A106" t="s">
        <v>1326</v>
      </c>
      <c r="B106" t="s">
        <v>1394</v>
      </c>
      <c r="C106" t="s">
        <v>10</v>
      </c>
      <c r="D106" t="s">
        <v>1210</v>
      </c>
      <c r="E106" t="s">
        <v>1194</v>
      </c>
      <c r="F106" t="s">
        <v>1395</v>
      </c>
      <c r="G106" t="s">
        <v>1212</v>
      </c>
      <c r="H106" t="s">
        <v>1425</v>
      </c>
      <c r="I106" t="s">
        <v>1425</v>
      </c>
      <c r="J106" t="s">
        <v>1396</v>
      </c>
      <c r="K106" t="s">
        <v>1390</v>
      </c>
      <c r="L106" s="33">
        <v>1700</v>
      </c>
    </row>
    <row r="107" spans="1:12" x14ac:dyDescent="0.25">
      <c r="A107" t="s">
        <v>1326</v>
      </c>
      <c r="B107" t="s">
        <v>1397</v>
      </c>
      <c r="C107" t="s">
        <v>10</v>
      </c>
      <c r="D107" t="s">
        <v>1210</v>
      </c>
      <c r="E107" t="s">
        <v>1194</v>
      </c>
      <c r="F107" t="s">
        <v>1398</v>
      </c>
      <c r="G107" t="s">
        <v>1212</v>
      </c>
      <c r="H107" t="s">
        <v>1425</v>
      </c>
      <c r="I107" t="s">
        <v>1425</v>
      </c>
      <c r="J107" t="s">
        <v>1399</v>
      </c>
      <c r="K107" t="s">
        <v>1390</v>
      </c>
      <c r="L107" s="33">
        <v>2547.41</v>
      </c>
    </row>
    <row r="108" spans="1:12" x14ac:dyDescent="0.25">
      <c r="A108" t="s">
        <v>1326</v>
      </c>
      <c r="B108" t="s">
        <v>1400</v>
      </c>
      <c r="C108" t="s">
        <v>10</v>
      </c>
      <c r="D108" t="s">
        <v>1210</v>
      </c>
      <c r="E108" t="s">
        <v>1194</v>
      </c>
      <c r="F108" t="s">
        <v>1401</v>
      </c>
      <c r="G108" t="s">
        <v>1212</v>
      </c>
      <c r="H108" t="s">
        <v>1425</v>
      </c>
      <c r="I108" t="s">
        <v>1425</v>
      </c>
      <c r="J108" t="s">
        <v>1402</v>
      </c>
      <c r="K108" t="s">
        <v>1390</v>
      </c>
      <c r="L108" s="33">
        <v>334.16</v>
      </c>
    </row>
    <row r="109" spans="1:12" x14ac:dyDescent="0.25">
      <c r="A109" t="s">
        <v>1326</v>
      </c>
      <c r="B109" t="s">
        <v>1403</v>
      </c>
      <c r="C109" t="s">
        <v>10</v>
      </c>
      <c r="D109" t="s">
        <v>1210</v>
      </c>
      <c r="E109" t="s">
        <v>1194</v>
      </c>
      <c r="F109" t="s">
        <v>1404</v>
      </c>
      <c r="G109" t="s">
        <v>1212</v>
      </c>
      <c r="H109" t="s">
        <v>1425</v>
      </c>
      <c r="I109" t="s">
        <v>1425</v>
      </c>
      <c r="J109" t="s">
        <v>1405</v>
      </c>
      <c r="K109" t="s">
        <v>1390</v>
      </c>
      <c r="L109" s="33">
        <v>775.55</v>
      </c>
    </row>
    <row r="110" spans="1:12" x14ac:dyDescent="0.25">
      <c r="A110" t="s">
        <v>1326</v>
      </c>
      <c r="B110" t="s">
        <v>1406</v>
      </c>
      <c r="C110" t="s">
        <v>10</v>
      </c>
      <c r="D110" t="s">
        <v>1210</v>
      </c>
      <c r="E110" t="s">
        <v>1194</v>
      </c>
      <c r="F110" t="s">
        <v>1407</v>
      </c>
      <c r="G110" t="s">
        <v>1212</v>
      </c>
      <c r="H110" t="s">
        <v>1425</v>
      </c>
      <c r="I110" t="s">
        <v>1425</v>
      </c>
      <c r="J110" t="s">
        <v>1408</v>
      </c>
      <c r="K110" t="s">
        <v>1390</v>
      </c>
      <c r="L110" s="33">
        <v>2545.6999999999998</v>
      </c>
    </row>
    <row r="111" spans="1:12" x14ac:dyDescent="0.25">
      <c r="A111" t="s">
        <v>1326</v>
      </c>
      <c r="B111" t="s">
        <v>1409</v>
      </c>
      <c r="C111" t="s">
        <v>10</v>
      </c>
      <c r="D111" t="s">
        <v>1210</v>
      </c>
      <c r="E111" t="s">
        <v>1194</v>
      </c>
      <c r="F111" t="s">
        <v>1410</v>
      </c>
      <c r="G111" t="s">
        <v>1212</v>
      </c>
      <c r="H111" t="s">
        <v>1425</v>
      </c>
      <c r="I111" t="s">
        <v>1425</v>
      </c>
      <c r="J111" t="s">
        <v>1411</v>
      </c>
      <c r="K111" t="s">
        <v>1390</v>
      </c>
      <c r="L111" s="33">
        <v>810</v>
      </c>
    </row>
    <row r="112" spans="1:12" x14ac:dyDescent="0.25">
      <c r="A112" t="s">
        <v>1326</v>
      </c>
      <c r="B112" t="s">
        <v>1426</v>
      </c>
      <c r="C112" t="s">
        <v>10</v>
      </c>
      <c r="D112" t="s">
        <v>1210</v>
      </c>
      <c r="E112" t="s">
        <v>1194</v>
      </c>
      <c r="F112" t="s">
        <v>1427</v>
      </c>
      <c r="G112" t="s">
        <v>1212</v>
      </c>
      <c r="H112" t="s">
        <v>1425</v>
      </c>
      <c r="I112" t="s">
        <v>1425</v>
      </c>
      <c r="J112" t="s">
        <v>1428</v>
      </c>
      <c r="K112" t="s">
        <v>1415</v>
      </c>
      <c r="L112" s="33">
        <v>128.04</v>
      </c>
    </row>
    <row r="113" spans="1:12" x14ac:dyDescent="0.25">
      <c r="A113" t="s">
        <v>1326</v>
      </c>
      <c r="B113" t="s">
        <v>1412</v>
      </c>
      <c r="C113" t="s">
        <v>10</v>
      </c>
      <c r="D113" t="s">
        <v>1210</v>
      </c>
      <c r="E113" t="s">
        <v>1194</v>
      </c>
      <c r="F113" t="s">
        <v>1413</v>
      </c>
      <c r="G113" t="s">
        <v>1212</v>
      </c>
      <c r="H113" t="s">
        <v>1425</v>
      </c>
      <c r="I113" t="s">
        <v>1425</v>
      </c>
      <c r="J113" t="s">
        <v>1414</v>
      </c>
      <c r="K113" t="s">
        <v>1415</v>
      </c>
      <c r="L113" s="33">
        <v>5952.46</v>
      </c>
    </row>
    <row r="114" spans="1:12" x14ac:dyDescent="0.25">
      <c r="A114" t="s">
        <v>1326</v>
      </c>
      <c r="B114" t="s">
        <v>1416</v>
      </c>
      <c r="C114" t="s">
        <v>10</v>
      </c>
      <c r="D114" t="s">
        <v>1210</v>
      </c>
      <c r="E114" t="s">
        <v>1194</v>
      </c>
      <c r="F114" t="s">
        <v>1417</v>
      </c>
      <c r="G114" t="s">
        <v>1212</v>
      </c>
      <c r="H114" t="s">
        <v>1425</v>
      </c>
      <c r="I114" t="s">
        <v>1425</v>
      </c>
      <c r="J114" t="s">
        <v>1418</v>
      </c>
      <c r="K114" t="s">
        <v>1415</v>
      </c>
      <c r="L114" s="33">
        <v>11868.55</v>
      </c>
    </row>
    <row r="115" spans="1:12" x14ac:dyDescent="0.25">
      <c r="A115" t="s">
        <v>1326</v>
      </c>
      <c r="B115" t="s">
        <v>1429</v>
      </c>
      <c r="C115" t="s">
        <v>10</v>
      </c>
      <c r="D115" t="s">
        <v>1210</v>
      </c>
      <c r="E115" t="s">
        <v>1194</v>
      </c>
      <c r="F115" t="s">
        <v>1430</v>
      </c>
      <c r="G115" t="s">
        <v>1212</v>
      </c>
      <c r="H115" t="s">
        <v>1425</v>
      </c>
      <c r="I115" t="s">
        <v>1425</v>
      </c>
      <c r="J115" t="s">
        <v>1431</v>
      </c>
      <c r="K115" t="s">
        <v>1432</v>
      </c>
      <c r="L115" s="33">
        <v>1023.23</v>
      </c>
    </row>
    <row r="116" spans="1:12" x14ac:dyDescent="0.25">
      <c r="A116" t="s">
        <v>1326</v>
      </c>
      <c r="B116" t="s">
        <v>1422</v>
      </c>
      <c r="C116" t="s">
        <v>10</v>
      </c>
      <c r="D116" t="s">
        <v>1210</v>
      </c>
      <c r="E116" t="s">
        <v>1194</v>
      </c>
      <c r="F116" t="s">
        <v>1423</v>
      </c>
      <c r="G116" t="s">
        <v>1212</v>
      </c>
      <c r="H116" t="s">
        <v>1425</v>
      </c>
      <c r="I116" t="s">
        <v>1425</v>
      </c>
      <c r="J116" t="s">
        <v>1424</v>
      </c>
      <c r="K116" t="s">
        <v>1424</v>
      </c>
      <c r="L116" s="33">
        <v>153.58000000000001</v>
      </c>
    </row>
    <row r="117" spans="1:12" x14ac:dyDescent="0.25">
      <c r="A117" t="s">
        <v>1326</v>
      </c>
      <c r="B117" t="s">
        <v>1433</v>
      </c>
      <c r="C117" t="s">
        <v>10</v>
      </c>
      <c r="D117" t="s">
        <v>1210</v>
      </c>
      <c r="E117" t="s">
        <v>1194</v>
      </c>
      <c r="F117" t="s">
        <v>1434</v>
      </c>
      <c r="G117" t="s">
        <v>1212</v>
      </c>
      <c r="H117" t="s">
        <v>1425</v>
      </c>
      <c r="I117" t="s">
        <v>1425</v>
      </c>
      <c r="J117" t="s">
        <v>1435</v>
      </c>
      <c r="K117" t="s">
        <v>1436</v>
      </c>
      <c r="L117" s="33">
        <v>663.26</v>
      </c>
    </row>
    <row r="118" spans="1:12" x14ac:dyDescent="0.25">
      <c r="A118" t="s">
        <v>1326</v>
      </c>
      <c r="B118" t="s">
        <v>1437</v>
      </c>
      <c r="C118" t="s">
        <v>10</v>
      </c>
      <c r="D118" t="s">
        <v>1210</v>
      </c>
      <c r="E118" t="s">
        <v>1194</v>
      </c>
      <c r="F118" t="s">
        <v>1438</v>
      </c>
      <c r="G118" t="s">
        <v>1212</v>
      </c>
      <c r="H118" t="s">
        <v>1425</v>
      </c>
      <c r="I118" t="s">
        <v>1425</v>
      </c>
      <c r="J118" t="s">
        <v>1432</v>
      </c>
      <c r="K118" t="s">
        <v>1432</v>
      </c>
      <c r="L118" s="33">
        <v>880</v>
      </c>
    </row>
    <row r="119" spans="1:12" x14ac:dyDescent="0.25">
      <c r="A119" t="s">
        <v>1326</v>
      </c>
      <c r="B119" t="s">
        <v>1439</v>
      </c>
      <c r="C119" t="s">
        <v>10</v>
      </c>
      <c r="D119" t="s">
        <v>1210</v>
      </c>
      <c r="E119" t="s">
        <v>1194</v>
      </c>
      <c r="F119" t="s">
        <v>1440</v>
      </c>
      <c r="G119" t="s">
        <v>1212</v>
      </c>
      <c r="H119" t="s">
        <v>1425</v>
      </c>
      <c r="I119" t="s">
        <v>1425</v>
      </c>
      <c r="J119" t="s">
        <v>1441</v>
      </c>
      <c r="K119" t="s">
        <v>1441</v>
      </c>
      <c r="L119" s="33">
        <v>1549.36</v>
      </c>
    </row>
    <row r="120" spans="1:12" x14ac:dyDescent="0.25">
      <c r="A120" t="s">
        <v>1326</v>
      </c>
      <c r="B120" t="s">
        <v>1442</v>
      </c>
      <c r="C120" t="s">
        <v>10</v>
      </c>
      <c r="D120" t="s">
        <v>1210</v>
      </c>
      <c r="E120" t="s">
        <v>1194</v>
      </c>
      <c r="F120" t="s">
        <v>1443</v>
      </c>
      <c r="G120" t="s">
        <v>1212</v>
      </c>
      <c r="H120" t="s">
        <v>1425</v>
      </c>
      <c r="I120" t="s">
        <v>1425</v>
      </c>
      <c r="J120" t="s">
        <v>1444</v>
      </c>
      <c r="K120" t="s">
        <v>1444</v>
      </c>
      <c r="L120" s="33">
        <v>750</v>
      </c>
    </row>
    <row r="121" spans="1:12" x14ac:dyDescent="0.25">
      <c r="A121" t="s">
        <v>1326</v>
      </c>
      <c r="B121" t="s">
        <v>1327</v>
      </c>
      <c r="C121" t="s">
        <v>10</v>
      </c>
      <c r="D121" t="s">
        <v>1210</v>
      </c>
      <c r="E121" t="s">
        <v>1194</v>
      </c>
      <c r="F121" t="s">
        <v>1328</v>
      </c>
      <c r="G121" t="s">
        <v>1212</v>
      </c>
      <c r="H121" t="s">
        <v>1445</v>
      </c>
      <c r="I121" t="s">
        <v>1445</v>
      </c>
      <c r="J121" t="s">
        <v>1330</v>
      </c>
      <c r="K121" t="s">
        <v>1330</v>
      </c>
      <c r="L121" s="33">
        <v>33970</v>
      </c>
    </row>
    <row r="122" spans="1:12" x14ac:dyDescent="0.25">
      <c r="A122" t="s">
        <v>1326</v>
      </c>
      <c r="B122" t="s">
        <v>1338</v>
      </c>
      <c r="C122" t="s">
        <v>10</v>
      </c>
      <c r="D122" t="s">
        <v>1210</v>
      </c>
      <c r="E122" t="s">
        <v>1194</v>
      </c>
      <c r="F122" t="s">
        <v>1339</v>
      </c>
      <c r="G122" t="s">
        <v>1212</v>
      </c>
      <c r="H122" t="s">
        <v>1445</v>
      </c>
      <c r="I122" t="s">
        <v>1445</v>
      </c>
      <c r="J122" t="s">
        <v>1340</v>
      </c>
      <c r="K122" t="s">
        <v>1334</v>
      </c>
      <c r="L122" s="33">
        <v>132</v>
      </c>
    </row>
    <row r="123" spans="1:12" x14ac:dyDescent="0.25">
      <c r="A123" t="s">
        <v>1326</v>
      </c>
      <c r="B123" t="s">
        <v>1341</v>
      </c>
      <c r="C123" t="s">
        <v>10</v>
      </c>
      <c r="D123" t="s">
        <v>1210</v>
      </c>
      <c r="E123" t="s">
        <v>1194</v>
      </c>
      <c r="F123" t="s">
        <v>1342</v>
      </c>
      <c r="G123" t="s">
        <v>1212</v>
      </c>
      <c r="H123" t="s">
        <v>1445</v>
      </c>
      <c r="I123" t="s">
        <v>1445</v>
      </c>
      <c r="J123" t="s">
        <v>1343</v>
      </c>
      <c r="K123" t="s">
        <v>1334</v>
      </c>
      <c r="L123" s="33">
        <v>150</v>
      </c>
    </row>
    <row r="124" spans="1:12" x14ac:dyDescent="0.25">
      <c r="A124" t="s">
        <v>1326</v>
      </c>
      <c r="B124" t="s">
        <v>1344</v>
      </c>
      <c r="C124" t="s">
        <v>10</v>
      </c>
      <c r="D124" t="s">
        <v>1210</v>
      </c>
      <c r="E124" t="s">
        <v>1194</v>
      </c>
      <c r="F124" t="s">
        <v>1345</v>
      </c>
      <c r="G124" t="s">
        <v>1212</v>
      </c>
      <c r="H124" t="s">
        <v>1445</v>
      </c>
      <c r="I124" t="s">
        <v>1445</v>
      </c>
      <c r="J124" t="s">
        <v>1346</v>
      </c>
      <c r="K124" t="s">
        <v>1347</v>
      </c>
      <c r="L124" s="33">
        <v>200</v>
      </c>
    </row>
    <row r="125" spans="1:12" x14ac:dyDescent="0.25">
      <c r="A125" t="s">
        <v>1326</v>
      </c>
      <c r="B125" t="s">
        <v>1348</v>
      </c>
      <c r="C125" t="s">
        <v>10</v>
      </c>
      <c r="D125" t="s">
        <v>1210</v>
      </c>
      <c r="E125" t="s">
        <v>1194</v>
      </c>
      <c r="F125" t="s">
        <v>1349</v>
      </c>
      <c r="G125" t="s">
        <v>1212</v>
      </c>
      <c r="H125" t="s">
        <v>1445</v>
      </c>
      <c r="I125" t="s">
        <v>1445</v>
      </c>
      <c r="J125" t="s">
        <v>1350</v>
      </c>
      <c r="K125" t="s">
        <v>1351</v>
      </c>
      <c r="L125" s="33">
        <v>147.5</v>
      </c>
    </row>
    <row r="126" spans="1:12" x14ac:dyDescent="0.25">
      <c r="A126" t="s">
        <v>1326</v>
      </c>
      <c r="B126" t="s">
        <v>1352</v>
      </c>
      <c r="C126" t="s">
        <v>10</v>
      </c>
      <c r="D126" t="s">
        <v>1210</v>
      </c>
      <c r="E126" t="s">
        <v>1194</v>
      </c>
      <c r="F126" t="s">
        <v>1353</v>
      </c>
      <c r="G126" t="s">
        <v>1212</v>
      </c>
      <c r="H126" t="s">
        <v>1445</v>
      </c>
      <c r="I126" t="s">
        <v>1445</v>
      </c>
      <c r="J126" t="s">
        <v>1354</v>
      </c>
      <c r="K126" t="s">
        <v>1351</v>
      </c>
      <c r="L126" s="33">
        <v>862.28</v>
      </c>
    </row>
    <row r="127" spans="1:12" x14ac:dyDescent="0.25">
      <c r="A127" t="s">
        <v>1326</v>
      </c>
      <c r="B127" t="s">
        <v>1355</v>
      </c>
      <c r="C127" t="s">
        <v>10</v>
      </c>
      <c r="D127" t="s">
        <v>1210</v>
      </c>
      <c r="E127" t="s">
        <v>1194</v>
      </c>
      <c r="F127" t="s">
        <v>1356</v>
      </c>
      <c r="G127" t="s">
        <v>1212</v>
      </c>
      <c r="H127" t="s">
        <v>1445</v>
      </c>
      <c r="I127" t="s">
        <v>1445</v>
      </c>
      <c r="J127" t="s">
        <v>1357</v>
      </c>
      <c r="K127" t="s">
        <v>1351</v>
      </c>
      <c r="L127" s="33">
        <v>124</v>
      </c>
    </row>
    <row r="128" spans="1:12" x14ac:dyDescent="0.25">
      <c r="A128" t="s">
        <v>1326</v>
      </c>
      <c r="B128" t="s">
        <v>1358</v>
      </c>
      <c r="C128" t="s">
        <v>10</v>
      </c>
      <c r="D128" t="s">
        <v>1210</v>
      </c>
      <c r="E128" t="s">
        <v>1194</v>
      </c>
      <c r="F128" t="s">
        <v>1359</v>
      </c>
      <c r="G128" t="s">
        <v>1212</v>
      </c>
      <c r="H128" t="s">
        <v>1445</v>
      </c>
      <c r="I128" t="s">
        <v>1445</v>
      </c>
      <c r="J128" t="s">
        <v>1360</v>
      </c>
      <c r="K128" t="s">
        <v>1361</v>
      </c>
      <c r="L128" s="33">
        <v>1797.78</v>
      </c>
    </row>
    <row r="129" spans="1:12" x14ac:dyDescent="0.25">
      <c r="A129" t="s">
        <v>1326</v>
      </c>
      <c r="B129" t="s">
        <v>1362</v>
      </c>
      <c r="C129" t="s">
        <v>10</v>
      </c>
      <c r="D129" t="s">
        <v>1210</v>
      </c>
      <c r="E129" t="s">
        <v>1194</v>
      </c>
      <c r="F129" t="s">
        <v>1363</v>
      </c>
      <c r="G129" t="s">
        <v>1212</v>
      </c>
      <c r="H129" t="s">
        <v>1445</v>
      </c>
      <c r="I129" t="s">
        <v>1445</v>
      </c>
      <c r="J129" t="s">
        <v>1364</v>
      </c>
      <c r="K129" t="s">
        <v>1364</v>
      </c>
      <c r="L129" s="33">
        <v>-13731</v>
      </c>
    </row>
    <row r="130" spans="1:12" x14ac:dyDescent="0.25">
      <c r="A130" t="s">
        <v>1326</v>
      </c>
      <c r="B130" t="s">
        <v>1365</v>
      </c>
      <c r="C130" t="s">
        <v>10</v>
      </c>
      <c r="D130" t="s">
        <v>1210</v>
      </c>
      <c r="E130" t="s">
        <v>1194</v>
      </c>
      <c r="F130" t="s">
        <v>1366</v>
      </c>
      <c r="G130" t="s">
        <v>1212</v>
      </c>
      <c r="H130" t="s">
        <v>1445</v>
      </c>
      <c r="I130" t="s">
        <v>1445</v>
      </c>
      <c r="J130" t="s">
        <v>1367</v>
      </c>
      <c r="K130" t="s">
        <v>1368</v>
      </c>
      <c r="L130" s="33">
        <v>8000</v>
      </c>
    </row>
    <row r="131" spans="1:12" x14ac:dyDescent="0.25">
      <c r="A131" t="s">
        <v>1326</v>
      </c>
      <c r="B131" t="s">
        <v>1369</v>
      </c>
      <c r="C131" t="s">
        <v>10</v>
      </c>
      <c r="D131" t="s">
        <v>1210</v>
      </c>
      <c r="E131" t="s">
        <v>1194</v>
      </c>
      <c r="F131" t="s">
        <v>1370</v>
      </c>
      <c r="G131" t="s">
        <v>1212</v>
      </c>
      <c r="H131" t="s">
        <v>1445</v>
      </c>
      <c r="I131" t="s">
        <v>1445</v>
      </c>
      <c r="J131" t="s">
        <v>1371</v>
      </c>
      <c r="K131" t="s">
        <v>1368</v>
      </c>
      <c r="L131" s="33">
        <v>-6399</v>
      </c>
    </row>
    <row r="132" spans="1:12" x14ac:dyDescent="0.25">
      <c r="A132" t="s">
        <v>1326</v>
      </c>
      <c r="B132" t="s">
        <v>1372</v>
      </c>
      <c r="C132" t="s">
        <v>10</v>
      </c>
      <c r="D132" t="s">
        <v>1210</v>
      </c>
      <c r="E132" t="s">
        <v>1194</v>
      </c>
      <c r="F132" t="s">
        <v>1373</v>
      </c>
      <c r="G132" t="s">
        <v>1212</v>
      </c>
      <c r="H132" t="s">
        <v>1445</v>
      </c>
      <c r="I132" t="s">
        <v>1445</v>
      </c>
      <c r="J132" t="s">
        <v>1374</v>
      </c>
      <c r="K132" t="s">
        <v>1374</v>
      </c>
      <c r="L132" s="33">
        <v>15252.03</v>
      </c>
    </row>
    <row r="133" spans="1:12" x14ac:dyDescent="0.25">
      <c r="A133" t="s">
        <v>1326</v>
      </c>
      <c r="B133" t="s">
        <v>1375</v>
      </c>
      <c r="C133" t="s">
        <v>10</v>
      </c>
      <c r="D133" t="s">
        <v>1210</v>
      </c>
      <c r="E133" t="s">
        <v>1194</v>
      </c>
      <c r="F133" t="s">
        <v>1376</v>
      </c>
      <c r="G133" t="s">
        <v>1212</v>
      </c>
      <c r="H133" t="s">
        <v>1445</v>
      </c>
      <c r="I133" t="s">
        <v>1445</v>
      </c>
      <c r="J133" t="s">
        <v>1377</v>
      </c>
      <c r="K133" t="s">
        <v>1374</v>
      </c>
      <c r="L133" s="33">
        <v>1690.5</v>
      </c>
    </row>
    <row r="134" spans="1:12" x14ac:dyDescent="0.25">
      <c r="A134" t="s">
        <v>1326</v>
      </c>
      <c r="B134" t="s">
        <v>1378</v>
      </c>
      <c r="C134" t="s">
        <v>10</v>
      </c>
      <c r="D134" t="s">
        <v>1210</v>
      </c>
      <c r="E134" t="s">
        <v>1194</v>
      </c>
      <c r="F134" t="s">
        <v>1379</v>
      </c>
      <c r="G134" t="s">
        <v>1212</v>
      </c>
      <c r="H134" t="s">
        <v>1445</v>
      </c>
      <c r="I134" t="s">
        <v>1445</v>
      </c>
      <c r="J134" t="s">
        <v>1380</v>
      </c>
      <c r="K134" t="s">
        <v>1380</v>
      </c>
      <c r="L134" s="33">
        <v>220.93</v>
      </c>
    </row>
    <row r="135" spans="1:12" x14ac:dyDescent="0.25">
      <c r="A135" t="s">
        <v>1326</v>
      </c>
      <c r="B135" t="s">
        <v>1381</v>
      </c>
      <c r="C135" t="s">
        <v>10</v>
      </c>
      <c r="D135" t="s">
        <v>1210</v>
      </c>
      <c r="E135" t="s">
        <v>1194</v>
      </c>
      <c r="F135" t="s">
        <v>1382</v>
      </c>
      <c r="G135" t="s">
        <v>1212</v>
      </c>
      <c r="H135" t="s">
        <v>1445</v>
      </c>
      <c r="I135" t="s">
        <v>1445</v>
      </c>
      <c r="J135" t="s">
        <v>1383</v>
      </c>
      <c r="K135" t="s">
        <v>1334</v>
      </c>
      <c r="L135" s="33">
        <v>6454.9</v>
      </c>
    </row>
    <row r="136" spans="1:12" x14ac:dyDescent="0.25">
      <c r="A136" t="s">
        <v>1326</v>
      </c>
      <c r="B136" t="s">
        <v>1384</v>
      </c>
      <c r="C136" t="s">
        <v>10</v>
      </c>
      <c r="D136" t="s">
        <v>1210</v>
      </c>
      <c r="E136" t="s">
        <v>1194</v>
      </c>
      <c r="F136" t="s">
        <v>1385</v>
      </c>
      <c r="G136" t="s">
        <v>1212</v>
      </c>
      <c r="H136" t="s">
        <v>1445</v>
      </c>
      <c r="I136" t="s">
        <v>1445</v>
      </c>
      <c r="J136" t="s">
        <v>1386</v>
      </c>
      <c r="K136" t="s">
        <v>1386</v>
      </c>
      <c r="L136" s="33">
        <v>231.02</v>
      </c>
    </row>
    <row r="137" spans="1:12" x14ac:dyDescent="0.25">
      <c r="A137" t="s">
        <v>1326</v>
      </c>
      <c r="B137" t="s">
        <v>1387</v>
      </c>
      <c r="C137" t="s">
        <v>10</v>
      </c>
      <c r="D137" t="s">
        <v>1210</v>
      </c>
      <c r="E137" t="s">
        <v>1194</v>
      </c>
      <c r="F137" t="s">
        <v>1388</v>
      </c>
      <c r="G137" t="s">
        <v>1212</v>
      </c>
      <c r="H137" t="s">
        <v>1445</v>
      </c>
      <c r="I137" t="s">
        <v>1445</v>
      </c>
      <c r="J137" t="s">
        <v>1389</v>
      </c>
      <c r="K137" t="s">
        <v>1390</v>
      </c>
      <c r="L137" s="33">
        <v>789.63</v>
      </c>
    </row>
    <row r="138" spans="1:12" x14ac:dyDescent="0.25">
      <c r="A138" t="s">
        <v>1326</v>
      </c>
      <c r="B138" t="s">
        <v>1391</v>
      </c>
      <c r="C138" t="s">
        <v>10</v>
      </c>
      <c r="D138" t="s">
        <v>1210</v>
      </c>
      <c r="E138" t="s">
        <v>1194</v>
      </c>
      <c r="F138" t="s">
        <v>1392</v>
      </c>
      <c r="G138" t="s">
        <v>1212</v>
      </c>
      <c r="H138" t="s">
        <v>1445</v>
      </c>
      <c r="I138" t="s">
        <v>1445</v>
      </c>
      <c r="J138" t="s">
        <v>1393</v>
      </c>
      <c r="K138" t="s">
        <v>1390</v>
      </c>
      <c r="L138" s="33">
        <v>2836.01</v>
      </c>
    </row>
    <row r="139" spans="1:12" x14ac:dyDescent="0.25">
      <c r="A139" t="s">
        <v>1326</v>
      </c>
      <c r="B139" t="s">
        <v>1394</v>
      </c>
      <c r="C139" t="s">
        <v>10</v>
      </c>
      <c r="D139" t="s">
        <v>1210</v>
      </c>
      <c r="E139" t="s">
        <v>1194</v>
      </c>
      <c r="F139" t="s">
        <v>1395</v>
      </c>
      <c r="G139" t="s">
        <v>1212</v>
      </c>
      <c r="H139" t="s">
        <v>1445</v>
      </c>
      <c r="I139" t="s">
        <v>1445</v>
      </c>
      <c r="J139" t="s">
        <v>1396</v>
      </c>
      <c r="K139" t="s">
        <v>1390</v>
      </c>
      <c r="L139" s="33">
        <v>1856</v>
      </c>
    </row>
    <row r="140" spans="1:12" x14ac:dyDescent="0.25">
      <c r="A140" t="s">
        <v>1326</v>
      </c>
      <c r="B140" t="s">
        <v>1397</v>
      </c>
      <c r="C140" t="s">
        <v>10</v>
      </c>
      <c r="D140" t="s">
        <v>1210</v>
      </c>
      <c r="E140" t="s">
        <v>1194</v>
      </c>
      <c r="F140" t="s">
        <v>1398</v>
      </c>
      <c r="G140" t="s">
        <v>1212</v>
      </c>
      <c r="H140" t="s">
        <v>1445</v>
      </c>
      <c r="I140" t="s">
        <v>1445</v>
      </c>
      <c r="J140" t="s">
        <v>1399</v>
      </c>
      <c r="K140" t="s">
        <v>1390</v>
      </c>
      <c r="L140" s="33">
        <v>344.12</v>
      </c>
    </row>
    <row r="141" spans="1:12" x14ac:dyDescent="0.25">
      <c r="A141" t="s">
        <v>1326</v>
      </c>
      <c r="B141" t="s">
        <v>1400</v>
      </c>
      <c r="C141" t="s">
        <v>10</v>
      </c>
      <c r="D141" t="s">
        <v>1210</v>
      </c>
      <c r="E141" t="s">
        <v>1194</v>
      </c>
      <c r="F141" t="s">
        <v>1401</v>
      </c>
      <c r="G141" t="s">
        <v>1212</v>
      </c>
      <c r="H141" t="s">
        <v>1445</v>
      </c>
      <c r="I141" t="s">
        <v>1445</v>
      </c>
      <c r="J141" t="s">
        <v>1402</v>
      </c>
      <c r="K141" t="s">
        <v>1390</v>
      </c>
      <c r="L141" s="33">
        <v>88.5</v>
      </c>
    </row>
    <row r="142" spans="1:12" x14ac:dyDescent="0.25">
      <c r="A142" t="s">
        <v>1326</v>
      </c>
      <c r="B142" t="s">
        <v>1403</v>
      </c>
      <c r="C142" t="s">
        <v>10</v>
      </c>
      <c r="D142" t="s">
        <v>1210</v>
      </c>
      <c r="E142" t="s">
        <v>1194</v>
      </c>
      <c r="F142" t="s">
        <v>1404</v>
      </c>
      <c r="G142" t="s">
        <v>1212</v>
      </c>
      <c r="H142" t="s">
        <v>1445</v>
      </c>
      <c r="I142" t="s">
        <v>1445</v>
      </c>
      <c r="J142" t="s">
        <v>1405</v>
      </c>
      <c r="K142" t="s">
        <v>1390</v>
      </c>
      <c r="L142" s="33">
        <v>1176.24</v>
      </c>
    </row>
    <row r="143" spans="1:12" x14ac:dyDescent="0.25">
      <c r="A143" t="s">
        <v>1326</v>
      </c>
      <c r="B143" t="s">
        <v>1406</v>
      </c>
      <c r="C143" t="s">
        <v>10</v>
      </c>
      <c r="D143" t="s">
        <v>1210</v>
      </c>
      <c r="E143" t="s">
        <v>1194</v>
      </c>
      <c r="F143" t="s">
        <v>1407</v>
      </c>
      <c r="G143" t="s">
        <v>1212</v>
      </c>
      <c r="H143" t="s">
        <v>1445</v>
      </c>
      <c r="I143" t="s">
        <v>1445</v>
      </c>
      <c r="J143" t="s">
        <v>1408</v>
      </c>
      <c r="K143" t="s">
        <v>1390</v>
      </c>
      <c r="L143" s="33">
        <v>363.18</v>
      </c>
    </row>
    <row r="144" spans="1:12" x14ac:dyDescent="0.25">
      <c r="A144" t="s">
        <v>1326</v>
      </c>
      <c r="B144" t="s">
        <v>1412</v>
      </c>
      <c r="C144" t="s">
        <v>10</v>
      </c>
      <c r="D144" t="s">
        <v>1210</v>
      </c>
      <c r="E144" t="s">
        <v>1194</v>
      </c>
      <c r="F144" t="s">
        <v>1413</v>
      </c>
      <c r="G144" t="s">
        <v>1212</v>
      </c>
      <c r="H144" t="s">
        <v>1445</v>
      </c>
      <c r="I144" t="s">
        <v>1445</v>
      </c>
      <c r="J144" t="s">
        <v>1414</v>
      </c>
      <c r="K144" t="s">
        <v>1415</v>
      </c>
      <c r="L144" s="33">
        <v>2357.9499999999998</v>
      </c>
    </row>
    <row r="145" spans="1:12" x14ac:dyDescent="0.25">
      <c r="A145" t="s">
        <v>1326</v>
      </c>
      <c r="B145" t="s">
        <v>1416</v>
      </c>
      <c r="C145" t="s">
        <v>10</v>
      </c>
      <c r="D145" t="s">
        <v>1210</v>
      </c>
      <c r="E145" t="s">
        <v>1194</v>
      </c>
      <c r="F145" t="s">
        <v>1417</v>
      </c>
      <c r="G145" t="s">
        <v>1212</v>
      </c>
      <c r="H145" t="s">
        <v>1445</v>
      </c>
      <c r="I145" t="s">
        <v>1445</v>
      </c>
      <c r="J145" t="s">
        <v>1418</v>
      </c>
      <c r="K145" t="s">
        <v>1415</v>
      </c>
      <c r="L145" s="33">
        <v>6719.64</v>
      </c>
    </row>
    <row r="146" spans="1:12" x14ac:dyDescent="0.25">
      <c r="A146" t="s">
        <v>1326</v>
      </c>
      <c r="B146" t="s">
        <v>1419</v>
      </c>
      <c r="C146" t="s">
        <v>10</v>
      </c>
      <c r="D146" t="s">
        <v>1210</v>
      </c>
      <c r="E146" t="s">
        <v>1194</v>
      </c>
      <c r="F146" t="s">
        <v>1420</v>
      </c>
      <c r="G146" t="s">
        <v>1212</v>
      </c>
      <c r="H146" t="s">
        <v>1445</v>
      </c>
      <c r="I146" t="s">
        <v>1445</v>
      </c>
      <c r="J146" t="s">
        <v>1421</v>
      </c>
      <c r="K146" t="s">
        <v>1421</v>
      </c>
      <c r="L146" s="33">
        <v>127.5</v>
      </c>
    </row>
    <row r="147" spans="1:12" x14ac:dyDescent="0.25">
      <c r="A147" t="s">
        <v>1326</v>
      </c>
      <c r="B147" t="s">
        <v>1327</v>
      </c>
      <c r="C147" t="s">
        <v>10</v>
      </c>
      <c r="D147" t="s">
        <v>1210</v>
      </c>
      <c r="E147" t="s">
        <v>1194</v>
      </c>
      <c r="F147" t="s">
        <v>1328</v>
      </c>
      <c r="G147" t="s">
        <v>1212</v>
      </c>
      <c r="H147" t="s">
        <v>1446</v>
      </c>
      <c r="I147" t="s">
        <v>1446</v>
      </c>
      <c r="J147" t="s">
        <v>1330</v>
      </c>
      <c r="K147" t="s">
        <v>1330</v>
      </c>
      <c r="L147" s="33">
        <v>118468</v>
      </c>
    </row>
    <row r="148" spans="1:12" x14ac:dyDescent="0.25">
      <c r="A148" t="s">
        <v>1326</v>
      </c>
      <c r="B148" t="s">
        <v>1447</v>
      </c>
      <c r="C148" t="s">
        <v>10</v>
      </c>
      <c r="D148" t="s">
        <v>1210</v>
      </c>
      <c r="E148" t="s">
        <v>1194</v>
      </c>
      <c r="F148" t="s">
        <v>1448</v>
      </c>
      <c r="G148" t="s">
        <v>1212</v>
      </c>
      <c r="H148" t="s">
        <v>1446</v>
      </c>
      <c r="I148" t="s">
        <v>1446</v>
      </c>
      <c r="J148" t="s">
        <v>1449</v>
      </c>
      <c r="K148" t="s">
        <v>1334</v>
      </c>
      <c r="L148" s="33">
        <v>911.4</v>
      </c>
    </row>
    <row r="149" spans="1:12" x14ac:dyDescent="0.25">
      <c r="A149" t="s">
        <v>1326</v>
      </c>
      <c r="B149" t="s">
        <v>1450</v>
      </c>
      <c r="C149" t="s">
        <v>10</v>
      </c>
      <c r="D149" t="s">
        <v>1210</v>
      </c>
      <c r="E149" t="s">
        <v>1194</v>
      </c>
      <c r="F149" t="s">
        <v>1451</v>
      </c>
      <c r="G149" t="s">
        <v>1212</v>
      </c>
      <c r="H149" t="s">
        <v>1446</v>
      </c>
      <c r="I149" t="s">
        <v>1446</v>
      </c>
      <c r="J149" t="s">
        <v>1452</v>
      </c>
      <c r="K149" t="s">
        <v>1330</v>
      </c>
      <c r="L149" s="33">
        <v>-911.4</v>
      </c>
    </row>
    <row r="150" spans="1:12" x14ac:dyDescent="0.25">
      <c r="A150" t="s">
        <v>1326</v>
      </c>
      <c r="B150" t="s">
        <v>1331</v>
      </c>
      <c r="C150" t="s">
        <v>10</v>
      </c>
      <c r="D150" t="s">
        <v>1210</v>
      </c>
      <c r="E150" t="s">
        <v>1194</v>
      </c>
      <c r="F150" t="s">
        <v>1332</v>
      </c>
      <c r="G150" t="s">
        <v>1212</v>
      </c>
      <c r="H150" t="s">
        <v>1446</v>
      </c>
      <c r="I150" t="s">
        <v>1446</v>
      </c>
      <c r="J150" t="s">
        <v>1333</v>
      </c>
      <c r="K150" t="s">
        <v>1334</v>
      </c>
      <c r="L150" s="33">
        <v>3474.68</v>
      </c>
    </row>
    <row r="151" spans="1:12" x14ac:dyDescent="0.25">
      <c r="A151" t="s">
        <v>1326</v>
      </c>
      <c r="B151" t="s">
        <v>1335</v>
      </c>
      <c r="C151" t="s">
        <v>10</v>
      </c>
      <c r="D151" t="s">
        <v>1210</v>
      </c>
      <c r="E151" t="s">
        <v>1194</v>
      </c>
      <c r="F151" t="s">
        <v>1336</v>
      </c>
      <c r="G151" t="s">
        <v>1212</v>
      </c>
      <c r="H151" t="s">
        <v>1446</v>
      </c>
      <c r="I151" t="s">
        <v>1446</v>
      </c>
      <c r="J151" t="s">
        <v>1337</v>
      </c>
      <c r="K151" t="s">
        <v>1334</v>
      </c>
      <c r="L151" s="33">
        <v>-2189.25</v>
      </c>
    </row>
    <row r="152" spans="1:12" x14ac:dyDescent="0.25">
      <c r="A152" t="s">
        <v>1326</v>
      </c>
      <c r="B152" t="s">
        <v>1338</v>
      </c>
      <c r="C152" t="s">
        <v>10</v>
      </c>
      <c r="D152" t="s">
        <v>1210</v>
      </c>
      <c r="E152" t="s">
        <v>1194</v>
      </c>
      <c r="F152" t="s">
        <v>1339</v>
      </c>
      <c r="G152" t="s">
        <v>1212</v>
      </c>
      <c r="H152" t="s">
        <v>1446</v>
      </c>
      <c r="I152" t="s">
        <v>1446</v>
      </c>
      <c r="J152" t="s">
        <v>1340</v>
      </c>
      <c r="K152" t="s">
        <v>1334</v>
      </c>
      <c r="L152" s="33">
        <v>794</v>
      </c>
    </row>
    <row r="153" spans="1:12" x14ac:dyDescent="0.25">
      <c r="A153" t="s">
        <v>1326</v>
      </c>
      <c r="B153" t="s">
        <v>1341</v>
      </c>
      <c r="C153" t="s">
        <v>10</v>
      </c>
      <c r="D153" t="s">
        <v>1210</v>
      </c>
      <c r="E153" t="s">
        <v>1194</v>
      </c>
      <c r="F153" t="s">
        <v>1342</v>
      </c>
      <c r="G153" t="s">
        <v>1212</v>
      </c>
      <c r="H153" t="s">
        <v>1446</v>
      </c>
      <c r="I153" t="s">
        <v>1446</v>
      </c>
      <c r="J153" t="s">
        <v>1343</v>
      </c>
      <c r="K153" t="s">
        <v>1334</v>
      </c>
      <c r="L153" s="33">
        <v>450</v>
      </c>
    </row>
    <row r="154" spans="1:12" x14ac:dyDescent="0.25">
      <c r="A154" t="s">
        <v>1326</v>
      </c>
      <c r="B154" t="s">
        <v>1453</v>
      </c>
      <c r="C154" t="s">
        <v>10</v>
      </c>
      <c r="D154" t="s">
        <v>1210</v>
      </c>
      <c r="E154" t="s">
        <v>1194</v>
      </c>
      <c r="F154" t="s">
        <v>1454</v>
      </c>
      <c r="G154" t="s">
        <v>1212</v>
      </c>
      <c r="H154" t="s">
        <v>1446</v>
      </c>
      <c r="I154" t="s">
        <v>1446</v>
      </c>
      <c r="J154" t="s">
        <v>1014</v>
      </c>
      <c r="K154" t="s">
        <v>1455</v>
      </c>
      <c r="L154" s="33">
        <v>203</v>
      </c>
    </row>
    <row r="155" spans="1:12" x14ac:dyDescent="0.25">
      <c r="A155" t="s">
        <v>1326</v>
      </c>
      <c r="B155" t="s">
        <v>1344</v>
      </c>
      <c r="C155" t="s">
        <v>10</v>
      </c>
      <c r="D155" t="s">
        <v>1210</v>
      </c>
      <c r="E155" t="s">
        <v>1194</v>
      </c>
      <c r="F155" t="s">
        <v>1345</v>
      </c>
      <c r="G155" t="s">
        <v>1212</v>
      </c>
      <c r="H155" t="s">
        <v>1446</v>
      </c>
      <c r="I155" t="s">
        <v>1446</v>
      </c>
      <c r="J155" t="s">
        <v>1346</v>
      </c>
      <c r="K155" t="s">
        <v>1347</v>
      </c>
      <c r="L155" s="33">
        <v>800</v>
      </c>
    </row>
    <row r="156" spans="1:12" x14ac:dyDescent="0.25">
      <c r="A156" t="s">
        <v>1326</v>
      </c>
      <c r="B156" t="s">
        <v>1348</v>
      </c>
      <c r="C156" t="s">
        <v>10</v>
      </c>
      <c r="D156" t="s">
        <v>1210</v>
      </c>
      <c r="E156" t="s">
        <v>1194</v>
      </c>
      <c r="F156" t="s">
        <v>1349</v>
      </c>
      <c r="G156" t="s">
        <v>1212</v>
      </c>
      <c r="H156" t="s">
        <v>1446</v>
      </c>
      <c r="I156" t="s">
        <v>1446</v>
      </c>
      <c r="J156" t="s">
        <v>1350</v>
      </c>
      <c r="K156" t="s">
        <v>1351</v>
      </c>
      <c r="L156" s="33">
        <v>445.49</v>
      </c>
    </row>
    <row r="157" spans="1:12" x14ac:dyDescent="0.25">
      <c r="A157" t="s">
        <v>1326</v>
      </c>
      <c r="B157" t="s">
        <v>1352</v>
      </c>
      <c r="C157" t="s">
        <v>10</v>
      </c>
      <c r="D157" t="s">
        <v>1210</v>
      </c>
      <c r="E157" t="s">
        <v>1194</v>
      </c>
      <c r="F157" t="s">
        <v>1353</v>
      </c>
      <c r="G157" t="s">
        <v>1212</v>
      </c>
      <c r="H157" t="s">
        <v>1446</v>
      </c>
      <c r="I157" t="s">
        <v>1446</v>
      </c>
      <c r="J157" t="s">
        <v>1354</v>
      </c>
      <c r="K157" t="s">
        <v>1351</v>
      </c>
      <c r="L157" s="33">
        <v>1116.79</v>
      </c>
    </row>
    <row r="158" spans="1:12" x14ac:dyDescent="0.25">
      <c r="A158" t="s">
        <v>1326</v>
      </c>
      <c r="B158" t="s">
        <v>1355</v>
      </c>
      <c r="C158" t="s">
        <v>10</v>
      </c>
      <c r="D158" t="s">
        <v>1210</v>
      </c>
      <c r="E158" t="s">
        <v>1194</v>
      </c>
      <c r="F158" t="s">
        <v>1356</v>
      </c>
      <c r="G158" t="s">
        <v>1212</v>
      </c>
      <c r="H158" t="s">
        <v>1446</v>
      </c>
      <c r="I158" t="s">
        <v>1446</v>
      </c>
      <c r="J158" t="s">
        <v>1357</v>
      </c>
      <c r="K158" t="s">
        <v>1351</v>
      </c>
      <c r="L158" s="33">
        <v>496</v>
      </c>
    </row>
    <row r="159" spans="1:12" x14ac:dyDescent="0.25">
      <c r="A159" t="s">
        <v>1326</v>
      </c>
      <c r="B159" t="s">
        <v>1358</v>
      </c>
      <c r="C159" t="s">
        <v>10</v>
      </c>
      <c r="D159" t="s">
        <v>1210</v>
      </c>
      <c r="E159" t="s">
        <v>1194</v>
      </c>
      <c r="F159" t="s">
        <v>1359</v>
      </c>
      <c r="G159" t="s">
        <v>1212</v>
      </c>
      <c r="H159" t="s">
        <v>1446</v>
      </c>
      <c r="I159" t="s">
        <v>1446</v>
      </c>
      <c r="J159" t="s">
        <v>1360</v>
      </c>
      <c r="K159" t="s">
        <v>1361</v>
      </c>
      <c r="L159" s="33">
        <v>3053.98</v>
      </c>
    </row>
    <row r="160" spans="1:12" x14ac:dyDescent="0.25">
      <c r="A160" t="s">
        <v>1326</v>
      </c>
      <c r="B160" t="s">
        <v>1362</v>
      </c>
      <c r="C160" t="s">
        <v>10</v>
      </c>
      <c r="D160" t="s">
        <v>1210</v>
      </c>
      <c r="E160" t="s">
        <v>1194</v>
      </c>
      <c r="F160" t="s">
        <v>1363</v>
      </c>
      <c r="G160" t="s">
        <v>1212</v>
      </c>
      <c r="H160" t="s">
        <v>1446</v>
      </c>
      <c r="I160" t="s">
        <v>1446</v>
      </c>
      <c r="J160" t="s">
        <v>1364</v>
      </c>
      <c r="K160" t="s">
        <v>1364</v>
      </c>
      <c r="L160" s="33">
        <v>-3575.9</v>
      </c>
    </row>
    <row r="161" spans="1:12" x14ac:dyDescent="0.25">
      <c r="A161" t="s">
        <v>1326</v>
      </c>
      <c r="B161" t="s">
        <v>1369</v>
      </c>
      <c r="C161" t="s">
        <v>10</v>
      </c>
      <c r="D161" t="s">
        <v>1210</v>
      </c>
      <c r="E161" t="s">
        <v>1194</v>
      </c>
      <c r="F161" t="s">
        <v>1370</v>
      </c>
      <c r="G161" t="s">
        <v>1212</v>
      </c>
      <c r="H161" t="s">
        <v>1446</v>
      </c>
      <c r="I161" t="s">
        <v>1446</v>
      </c>
      <c r="J161" t="s">
        <v>1371</v>
      </c>
      <c r="K161" t="s">
        <v>1368</v>
      </c>
      <c r="L161" s="33">
        <v>1793.74</v>
      </c>
    </row>
    <row r="162" spans="1:12" x14ac:dyDescent="0.25">
      <c r="A162" t="s">
        <v>1326</v>
      </c>
      <c r="B162" t="s">
        <v>1456</v>
      </c>
      <c r="C162" t="s">
        <v>10</v>
      </c>
      <c r="D162" t="s">
        <v>1210</v>
      </c>
      <c r="E162" t="s">
        <v>1194</v>
      </c>
      <c r="F162" t="s">
        <v>1457</v>
      </c>
      <c r="G162" t="s">
        <v>1212</v>
      </c>
      <c r="H162" t="s">
        <v>1446</v>
      </c>
      <c r="I162" t="s">
        <v>1446</v>
      </c>
      <c r="J162" t="s">
        <v>1458</v>
      </c>
      <c r="K162" t="s">
        <v>1364</v>
      </c>
      <c r="L162" s="33">
        <v>733.35</v>
      </c>
    </row>
    <row r="163" spans="1:12" x14ac:dyDescent="0.25">
      <c r="A163" t="s">
        <v>1326</v>
      </c>
      <c r="B163" t="s">
        <v>1372</v>
      </c>
      <c r="C163" t="s">
        <v>10</v>
      </c>
      <c r="D163" t="s">
        <v>1210</v>
      </c>
      <c r="E163" t="s">
        <v>1194</v>
      </c>
      <c r="F163" t="s">
        <v>1373</v>
      </c>
      <c r="G163" t="s">
        <v>1212</v>
      </c>
      <c r="H163" t="s">
        <v>1446</v>
      </c>
      <c r="I163" t="s">
        <v>1446</v>
      </c>
      <c r="J163" t="s">
        <v>1374</v>
      </c>
      <c r="K163" t="s">
        <v>1374</v>
      </c>
      <c r="L163" s="33">
        <v>25072.75</v>
      </c>
    </row>
    <row r="164" spans="1:12" x14ac:dyDescent="0.25">
      <c r="A164" t="s">
        <v>1326</v>
      </c>
      <c r="B164" t="s">
        <v>1375</v>
      </c>
      <c r="C164" t="s">
        <v>10</v>
      </c>
      <c r="D164" t="s">
        <v>1210</v>
      </c>
      <c r="E164" t="s">
        <v>1194</v>
      </c>
      <c r="F164" t="s">
        <v>1376</v>
      </c>
      <c r="G164" t="s">
        <v>1212</v>
      </c>
      <c r="H164" t="s">
        <v>1446</v>
      </c>
      <c r="I164" t="s">
        <v>1446</v>
      </c>
      <c r="J164" t="s">
        <v>1377</v>
      </c>
      <c r="K164" t="s">
        <v>1374</v>
      </c>
      <c r="L164" s="33">
        <v>10498.25</v>
      </c>
    </row>
    <row r="165" spans="1:12" x14ac:dyDescent="0.25">
      <c r="A165" t="s">
        <v>1326</v>
      </c>
      <c r="B165" t="s">
        <v>1378</v>
      </c>
      <c r="C165" t="s">
        <v>10</v>
      </c>
      <c r="D165" t="s">
        <v>1210</v>
      </c>
      <c r="E165" t="s">
        <v>1194</v>
      </c>
      <c r="F165" t="s">
        <v>1379</v>
      </c>
      <c r="G165" t="s">
        <v>1212</v>
      </c>
      <c r="H165" t="s">
        <v>1446</v>
      </c>
      <c r="I165" t="s">
        <v>1446</v>
      </c>
      <c r="J165" t="s">
        <v>1380</v>
      </c>
      <c r="K165" t="s">
        <v>1380</v>
      </c>
      <c r="L165" s="33">
        <v>-48.55</v>
      </c>
    </row>
    <row r="166" spans="1:12" x14ac:dyDescent="0.25">
      <c r="A166" t="s">
        <v>1326</v>
      </c>
      <c r="B166" t="s">
        <v>1381</v>
      </c>
      <c r="C166" t="s">
        <v>10</v>
      </c>
      <c r="D166" t="s">
        <v>1210</v>
      </c>
      <c r="E166" t="s">
        <v>1194</v>
      </c>
      <c r="F166" t="s">
        <v>1382</v>
      </c>
      <c r="G166" t="s">
        <v>1212</v>
      </c>
      <c r="H166" t="s">
        <v>1446</v>
      </c>
      <c r="I166" t="s">
        <v>1446</v>
      </c>
      <c r="J166" t="s">
        <v>1383</v>
      </c>
      <c r="K166" t="s">
        <v>1334</v>
      </c>
      <c r="L166" s="33">
        <v>10343.19</v>
      </c>
    </row>
    <row r="167" spans="1:12" x14ac:dyDescent="0.25">
      <c r="A167" t="s">
        <v>1326</v>
      </c>
      <c r="B167" t="s">
        <v>1384</v>
      </c>
      <c r="C167" t="s">
        <v>10</v>
      </c>
      <c r="D167" t="s">
        <v>1210</v>
      </c>
      <c r="E167" t="s">
        <v>1194</v>
      </c>
      <c r="F167" t="s">
        <v>1385</v>
      </c>
      <c r="G167" t="s">
        <v>1212</v>
      </c>
      <c r="H167" t="s">
        <v>1446</v>
      </c>
      <c r="I167" t="s">
        <v>1446</v>
      </c>
      <c r="J167" t="s">
        <v>1386</v>
      </c>
      <c r="K167" t="s">
        <v>1386</v>
      </c>
      <c r="L167" s="33">
        <v>308.88</v>
      </c>
    </row>
    <row r="168" spans="1:12" x14ac:dyDescent="0.25">
      <c r="A168" t="s">
        <v>1326</v>
      </c>
      <c r="B168" t="s">
        <v>1459</v>
      </c>
      <c r="C168" t="s">
        <v>10</v>
      </c>
      <c r="D168" t="s">
        <v>1210</v>
      </c>
      <c r="E168" t="s">
        <v>1194</v>
      </c>
      <c r="F168" t="s">
        <v>1460</v>
      </c>
      <c r="G168" t="s">
        <v>1212</v>
      </c>
      <c r="H168" t="s">
        <v>1446</v>
      </c>
      <c r="I168" t="s">
        <v>1446</v>
      </c>
      <c r="J168" t="s">
        <v>1461</v>
      </c>
      <c r="K168" t="s">
        <v>1461</v>
      </c>
      <c r="L168" s="33">
        <v>94</v>
      </c>
    </row>
    <row r="169" spans="1:12" x14ac:dyDescent="0.25">
      <c r="A169" t="s">
        <v>1326</v>
      </c>
      <c r="B169" t="s">
        <v>1387</v>
      </c>
      <c r="C169" t="s">
        <v>10</v>
      </c>
      <c r="D169" t="s">
        <v>1210</v>
      </c>
      <c r="E169" t="s">
        <v>1194</v>
      </c>
      <c r="F169" t="s">
        <v>1388</v>
      </c>
      <c r="G169" t="s">
        <v>1212</v>
      </c>
      <c r="H169" t="s">
        <v>1446</v>
      </c>
      <c r="I169" t="s">
        <v>1446</v>
      </c>
      <c r="J169" t="s">
        <v>1389</v>
      </c>
      <c r="K169" t="s">
        <v>1390</v>
      </c>
      <c r="L169" s="33">
        <v>3155.31</v>
      </c>
    </row>
    <row r="170" spans="1:12" x14ac:dyDescent="0.25">
      <c r="A170" t="s">
        <v>1326</v>
      </c>
      <c r="B170" t="s">
        <v>1391</v>
      </c>
      <c r="C170" t="s">
        <v>10</v>
      </c>
      <c r="D170" t="s">
        <v>1210</v>
      </c>
      <c r="E170" t="s">
        <v>1194</v>
      </c>
      <c r="F170" t="s">
        <v>1392</v>
      </c>
      <c r="G170" t="s">
        <v>1212</v>
      </c>
      <c r="H170" t="s">
        <v>1446</v>
      </c>
      <c r="I170" t="s">
        <v>1446</v>
      </c>
      <c r="J170" t="s">
        <v>1393</v>
      </c>
      <c r="K170" t="s">
        <v>1390</v>
      </c>
      <c r="L170" s="33">
        <v>2945.08</v>
      </c>
    </row>
    <row r="171" spans="1:12" x14ac:dyDescent="0.25">
      <c r="A171" t="s">
        <v>1326</v>
      </c>
      <c r="B171" t="s">
        <v>1394</v>
      </c>
      <c r="C171" t="s">
        <v>10</v>
      </c>
      <c r="D171" t="s">
        <v>1210</v>
      </c>
      <c r="E171" t="s">
        <v>1194</v>
      </c>
      <c r="F171" t="s">
        <v>1395</v>
      </c>
      <c r="G171" t="s">
        <v>1212</v>
      </c>
      <c r="H171" t="s">
        <v>1446</v>
      </c>
      <c r="I171" t="s">
        <v>1446</v>
      </c>
      <c r="J171" t="s">
        <v>1396</v>
      </c>
      <c r="K171" t="s">
        <v>1390</v>
      </c>
      <c r="L171" s="33">
        <v>2598</v>
      </c>
    </row>
    <row r="172" spans="1:12" x14ac:dyDescent="0.25">
      <c r="A172" t="s">
        <v>1326</v>
      </c>
      <c r="B172" t="s">
        <v>1397</v>
      </c>
      <c r="C172" t="s">
        <v>10</v>
      </c>
      <c r="D172" t="s">
        <v>1210</v>
      </c>
      <c r="E172" t="s">
        <v>1194</v>
      </c>
      <c r="F172" t="s">
        <v>1398</v>
      </c>
      <c r="G172" t="s">
        <v>1212</v>
      </c>
      <c r="H172" t="s">
        <v>1446</v>
      </c>
      <c r="I172" t="s">
        <v>1446</v>
      </c>
      <c r="J172" t="s">
        <v>1399</v>
      </c>
      <c r="K172" t="s">
        <v>1390</v>
      </c>
      <c r="L172" s="33">
        <v>454.51</v>
      </c>
    </row>
    <row r="173" spans="1:12" x14ac:dyDescent="0.25">
      <c r="A173" t="s">
        <v>1326</v>
      </c>
      <c r="B173" t="s">
        <v>1400</v>
      </c>
      <c r="C173" t="s">
        <v>10</v>
      </c>
      <c r="D173" t="s">
        <v>1210</v>
      </c>
      <c r="E173" t="s">
        <v>1194</v>
      </c>
      <c r="F173" t="s">
        <v>1401</v>
      </c>
      <c r="G173" t="s">
        <v>1212</v>
      </c>
      <c r="H173" t="s">
        <v>1446</v>
      </c>
      <c r="I173" t="s">
        <v>1446</v>
      </c>
      <c r="J173" t="s">
        <v>1402</v>
      </c>
      <c r="K173" t="s">
        <v>1390</v>
      </c>
      <c r="L173" s="33">
        <v>1111.26</v>
      </c>
    </row>
    <row r="174" spans="1:12" x14ac:dyDescent="0.25">
      <c r="A174" t="s">
        <v>1326</v>
      </c>
      <c r="B174" t="s">
        <v>1403</v>
      </c>
      <c r="C174" t="s">
        <v>10</v>
      </c>
      <c r="D174" t="s">
        <v>1210</v>
      </c>
      <c r="E174" t="s">
        <v>1194</v>
      </c>
      <c r="F174" t="s">
        <v>1404</v>
      </c>
      <c r="G174" t="s">
        <v>1212</v>
      </c>
      <c r="H174" t="s">
        <v>1446</v>
      </c>
      <c r="I174" t="s">
        <v>1446</v>
      </c>
      <c r="J174" t="s">
        <v>1405</v>
      </c>
      <c r="K174" t="s">
        <v>1390</v>
      </c>
      <c r="L174" s="33">
        <v>1415.69</v>
      </c>
    </row>
    <row r="175" spans="1:12" x14ac:dyDescent="0.25">
      <c r="A175" t="s">
        <v>1326</v>
      </c>
      <c r="B175" t="s">
        <v>1406</v>
      </c>
      <c r="C175" t="s">
        <v>10</v>
      </c>
      <c r="D175" t="s">
        <v>1210</v>
      </c>
      <c r="E175" t="s">
        <v>1194</v>
      </c>
      <c r="F175" t="s">
        <v>1407</v>
      </c>
      <c r="G175" t="s">
        <v>1212</v>
      </c>
      <c r="H175" t="s">
        <v>1446</v>
      </c>
      <c r="I175" t="s">
        <v>1446</v>
      </c>
      <c r="J175" t="s">
        <v>1408</v>
      </c>
      <c r="K175" t="s">
        <v>1390</v>
      </c>
      <c r="L175" s="33">
        <v>1516.8</v>
      </c>
    </row>
    <row r="176" spans="1:12" x14ac:dyDescent="0.25">
      <c r="A176" t="s">
        <v>1326</v>
      </c>
      <c r="B176" t="s">
        <v>1462</v>
      </c>
      <c r="C176" t="s">
        <v>10</v>
      </c>
      <c r="D176" t="s">
        <v>1210</v>
      </c>
      <c r="E176" t="s">
        <v>1194</v>
      </c>
      <c r="F176" t="s">
        <v>1463</v>
      </c>
      <c r="G176" t="s">
        <v>1212</v>
      </c>
      <c r="H176" t="s">
        <v>1446</v>
      </c>
      <c r="I176" t="s">
        <v>1446</v>
      </c>
      <c r="J176" t="s">
        <v>1464</v>
      </c>
      <c r="K176" t="s">
        <v>1390</v>
      </c>
      <c r="L176" s="33">
        <v>24</v>
      </c>
    </row>
    <row r="177" spans="1:12" x14ac:dyDescent="0.25">
      <c r="A177" t="s">
        <v>1326</v>
      </c>
      <c r="B177" t="s">
        <v>1409</v>
      </c>
      <c r="C177" t="s">
        <v>10</v>
      </c>
      <c r="D177" t="s">
        <v>1210</v>
      </c>
      <c r="E177" t="s">
        <v>1194</v>
      </c>
      <c r="F177" t="s">
        <v>1410</v>
      </c>
      <c r="G177" t="s">
        <v>1212</v>
      </c>
      <c r="H177" t="s">
        <v>1446</v>
      </c>
      <c r="I177" t="s">
        <v>1446</v>
      </c>
      <c r="J177" t="s">
        <v>1411</v>
      </c>
      <c r="K177" t="s">
        <v>1390</v>
      </c>
      <c r="L177" s="33">
        <v>9</v>
      </c>
    </row>
    <row r="178" spans="1:12" x14ac:dyDescent="0.25">
      <c r="A178" t="s">
        <v>1326</v>
      </c>
      <c r="B178" t="s">
        <v>1426</v>
      </c>
      <c r="C178" t="s">
        <v>10</v>
      </c>
      <c r="D178" t="s">
        <v>1210</v>
      </c>
      <c r="E178" t="s">
        <v>1194</v>
      </c>
      <c r="F178" t="s">
        <v>1427</v>
      </c>
      <c r="G178" t="s">
        <v>1212</v>
      </c>
      <c r="H178" t="s">
        <v>1446</v>
      </c>
      <c r="I178" t="s">
        <v>1446</v>
      </c>
      <c r="J178" t="s">
        <v>1428</v>
      </c>
      <c r="K178" t="s">
        <v>1415</v>
      </c>
      <c r="L178" s="33">
        <v>25.01</v>
      </c>
    </row>
    <row r="179" spans="1:12" x14ac:dyDescent="0.25">
      <c r="A179" t="s">
        <v>1326</v>
      </c>
      <c r="B179" t="s">
        <v>1412</v>
      </c>
      <c r="C179" t="s">
        <v>10</v>
      </c>
      <c r="D179" t="s">
        <v>1210</v>
      </c>
      <c r="E179" t="s">
        <v>1194</v>
      </c>
      <c r="F179" t="s">
        <v>1413</v>
      </c>
      <c r="G179" t="s">
        <v>1212</v>
      </c>
      <c r="H179" t="s">
        <v>1446</v>
      </c>
      <c r="I179" t="s">
        <v>1446</v>
      </c>
      <c r="J179" t="s">
        <v>1414</v>
      </c>
      <c r="K179" t="s">
        <v>1415</v>
      </c>
      <c r="L179" s="33">
        <v>7898.68</v>
      </c>
    </row>
    <row r="180" spans="1:12" x14ac:dyDescent="0.25">
      <c r="A180" t="s">
        <v>1326</v>
      </c>
      <c r="B180" t="s">
        <v>1416</v>
      </c>
      <c r="C180" t="s">
        <v>10</v>
      </c>
      <c r="D180" t="s">
        <v>1210</v>
      </c>
      <c r="E180" t="s">
        <v>1194</v>
      </c>
      <c r="F180" t="s">
        <v>1417</v>
      </c>
      <c r="G180" t="s">
        <v>1212</v>
      </c>
      <c r="H180" t="s">
        <v>1446</v>
      </c>
      <c r="I180" t="s">
        <v>1446</v>
      </c>
      <c r="J180" t="s">
        <v>1418</v>
      </c>
      <c r="K180" t="s">
        <v>1415</v>
      </c>
      <c r="L180" s="33">
        <v>15225.5</v>
      </c>
    </row>
    <row r="181" spans="1:12" x14ac:dyDescent="0.25">
      <c r="A181" t="s">
        <v>1326</v>
      </c>
      <c r="B181" t="s">
        <v>1419</v>
      </c>
      <c r="C181" t="s">
        <v>10</v>
      </c>
      <c r="D181" t="s">
        <v>1210</v>
      </c>
      <c r="E181" t="s">
        <v>1194</v>
      </c>
      <c r="F181" t="s">
        <v>1420</v>
      </c>
      <c r="G181" t="s">
        <v>1212</v>
      </c>
      <c r="H181" t="s">
        <v>1446</v>
      </c>
      <c r="I181" t="s">
        <v>1446</v>
      </c>
      <c r="J181" t="s">
        <v>1421</v>
      </c>
      <c r="K181" t="s">
        <v>1421</v>
      </c>
      <c r="L181" s="33">
        <v>120.53</v>
      </c>
    </row>
    <row r="182" spans="1:12" x14ac:dyDescent="0.25">
      <c r="A182" t="s">
        <v>1326</v>
      </c>
      <c r="B182" t="s">
        <v>1429</v>
      </c>
      <c r="C182" t="s">
        <v>10</v>
      </c>
      <c r="D182" t="s">
        <v>1210</v>
      </c>
      <c r="E182" t="s">
        <v>1194</v>
      </c>
      <c r="F182" t="s">
        <v>1430</v>
      </c>
      <c r="G182" t="s">
        <v>1212</v>
      </c>
      <c r="H182" t="s">
        <v>1446</v>
      </c>
      <c r="I182" t="s">
        <v>1446</v>
      </c>
      <c r="J182" t="s">
        <v>1431</v>
      </c>
      <c r="K182" t="s">
        <v>1432</v>
      </c>
      <c r="L182" s="33">
        <v>5651.27</v>
      </c>
    </row>
    <row r="183" spans="1:12" x14ac:dyDescent="0.25">
      <c r="A183" t="s">
        <v>1326</v>
      </c>
      <c r="B183" t="s">
        <v>1422</v>
      </c>
      <c r="C183" t="s">
        <v>10</v>
      </c>
      <c r="D183" t="s">
        <v>1210</v>
      </c>
      <c r="E183" t="s">
        <v>1194</v>
      </c>
      <c r="F183" t="s">
        <v>1423</v>
      </c>
      <c r="G183" t="s">
        <v>1212</v>
      </c>
      <c r="H183" t="s">
        <v>1446</v>
      </c>
      <c r="I183" t="s">
        <v>1446</v>
      </c>
      <c r="J183" t="s">
        <v>1424</v>
      </c>
      <c r="K183" t="s">
        <v>1424</v>
      </c>
      <c r="L183" s="33">
        <v>1661.31</v>
      </c>
    </row>
    <row r="184" spans="1:12" x14ac:dyDescent="0.25">
      <c r="A184" t="s">
        <v>1326</v>
      </c>
      <c r="B184" t="s">
        <v>1465</v>
      </c>
      <c r="C184" t="s">
        <v>10</v>
      </c>
      <c r="D184" t="s">
        <v>1210</v>
      </c>
      <c r="E184" t="s">
        <v>1194</v>
      </c>
      <c r="F184" t="s">
        <v>1466</v>
      </c>
      <c r="G184" t="s">
        <v>1212</v>
      </c>
      <c r="H184" t="s">
        <v>1446</v>
      </c>
      <c r="I184" t="s">
        <v>1446</v>
      </c>
      <c r="J184" t="s">
        <v>1467</v>
      </c>
      <c r="K184" t="s">
        <v>1424</v>
      </c>
      <c r="L184" s="33">
        <v>720.12</v>
      </c>
    </row>
    <row r="185" spans="1:12" x14ac:dyDescent="0.25">
      <c r="A185" t="s">
        <v>1326</v>
      </c>
      <c r="B185" t="s">
        <v>1468</v>
      </c>
      <c r="C185" t="s">
        <v>10</v>
      </c>
      <c r="D185" t="s">
        <v>1210</v>
      </c>
      <c r="E185" t="s">
        <v>1194</v>
      </c>
      <c r="F185" t="s">
        <v>1469</v>
      </c>
      <c r="G185" t="s">
        <v>1212</v>
      </c>
      <c r="H185" t="s">
        <v>1446</v>
      </c>
      <c r="I185" t="s">
        <v>1446</v>
      </c>
      <c r="J185" t="s">
        <v>1470</v>
      </c>
      <c r="K185" t="s">
        <v>1432</v>
      </c>
      <c r="L185" s="33">
        <v>300</v>
      </c>
    </row>
    <row r="186" spans="1:12" x14ac:dyDescent="0.25">
      <c r="A186" t="s">
        <v>1326</v>
      </c>
      <c r="B186" t="s">
        <v>1471</v>
      </c>
      <c r="C186" t="s">
        <v>10</v>
      </c>
      <c r="D186" t="s">
        <v>1210</v>
      </c>
      <c r="E186" t="s">
        <v>1194</v>
      </c>
      <c r="F186" t="s">
        <v>1472</v>
      </c>
      <c r="G186" t="s">
        <v>1212</v>
      </c>
      <c r="H186" t="s">
        <v>1446</v>
      </c>
      <c r="I186" t="s">
        <v>1446</v>
      </c>
      <c r="J186" t="s">
        <v>1473</v>
      </c>
      <c r="K186" t="s">
        <v>1432</v>
      </c>
      <c r="L186" s="33">
        <v>16385.25</v>
      </c>
    </row>
    <row r="187" spans="1:12" x14ac:dyDescent="0.25">
      <c r="A187" t="s">
        <v>1326</v>
      </c>
      <c r="B187" t="s">
        <v>1439</v>
      </c>
      <c r="C187" t="s">
        <v>10</v>
      </c>
      <c r="D187" t="s">
        <v>1210</v>
      </c>
      <c r="E187" t="s">
        <v>1194</v>
      </c>
      <c r="F187" t="s">
        <v>1440</v>
      </c>
      <c r="G187" t="s">
        <v>1212</v>
      </c>
      <c r="H187" t="s">
        <v>1446</v>
      </c>
      <c r="I187" t="s">
        <v>1446</v>
      </c>
      <c r="J187" t="s">
        <v>1441</v>
      </c>
      <c r="K187" t="s">
        <v>1441</v>
      </c>
      <c r="L187" s="33">
        <v>3148</v>
      </c>
    </row>
    <row r="188" spans="1:12" x14ac:dyDescent="0.25">
      <c r="A188" t="s">
        <v>1326</v>
      </c>
      <c r="B188" t="s">
        <v>1442</v>
      </c>
      <c r="C188" t="s">
        <v>10</v>
      </c>
      <c r="D188" t="s">
        <v>1210</v>
      </c>
      <c r="E188" t="s">
        <v>1194</v>
      </c>
      <c r="F188" t="s">
        <v>1443</v>
      </c>
      <c r="G188" t="s">
        <v>1212</v>
      </c>
      <c r="H188" t="s">
        <v>1446</v>
      </c>
      <c r="I188" t="s">
        <v>1446</v>
      </c>
      <c r="J188" t="s">
        <v>1444</v>
      </c>
      <c r="K188" t="s">
        <v>1444</v>
      </c>
      <c r="L188" s="33">
        <v>2532</v>
      </c>
    </row>
    <row r="189" spans="1:12" x14ac:dyDescent="0.25">
      <c r="A189" t="s">
        <v>1326</v>
      </c>
      <c r="B189" t="s">
        <v>1327</v>
      </c>
      <c r="C189" t="s">
        <v>10</v>
      </c>
      <c r="D189" t="s">
        <v>1210</v>
      </c>
      <c r="E189" t="s">
        <v>1194</v>
      </c>
      <c r="F189" t="s">
        <v>1328</v>
      </c>
      <c r="G189" t="s">
        <v>1212</v>
      </c>
      <c r="H189" t="s">
        <v>1474</v>
      </c>
      <c r="I189" t="s">
        <v>1474</v>
      </c>
      <c r="J189" t="s">
        <v>1330</v>
      </c>
      <c r="K189" t="s">
        <v>1330</v>
      </c>
      <c r="L189" s="33">
        <v>61388.7</v>
      </c>
    </row>
    <row r="190" spans="1:12" x14ac:dyDescent="0.25">
      <c r="A190" t="s">
        <v>1326</v>
      </c>
      <c r="B190" t="s">
        <v>1447</v>
      </c>
      <c r="C190" t="s">
        <v>10</v>
      </c>
      <c r="D190" t="s">
        <v>1210</v>
      </c>
      <c r="E190" t="s">
        <v>1194</v>
      </c>
      <c r="F190" t="s">
        <v>1448</v>
      </c>
      <c r="G190" t="s">
        <v>1212</v>
      </c>
      <c r="H190" t="s">
        <v>1474</v>
      </c>
      <c r="I190" t="s">
        <v>1474</v>
      </c>
      <c r="J190" t="s">
        <v>1449</v>
      </c>
      <c r="K190" t="s">
        <v>1334</v>
      </c>
      <c r="L190" s="33">
        <v>1408.41</v>
      </c>
    </row>
    <row r="191" spans="1:12" x14ac:dyDescent="0.25">
      <c r="A191" t="s">
        <v>1326</v>
      </c>
      <c r="B191" t="s">
        <v>1450</v>
      </c>
      <c r="C191" t="s">
        <v>10</v>
      </c>
      <c r="D191" t="s">
        <v>1210</v>
      </c>
      <c r="E191" t="s">
        <v>1194</v>
      </c>
      <c r="F191" t="s">
        <v>1451</v>
      </c>
      <c r="G191" t="s">
        <v>1212</v>
      </c>
      <c r="H191" t="s">
        <v>1474</v>
      </c>
      <c r="I191" t="s">
        <v>1474</v>
      </c>
      <c r="J191" t="s">
        <v>1452</v>
      </c>
      <c r="K191" t="s">
        <v>1330</v>
      </c>
      <c r="L191" s="33">
        <v>-1408.41</v>
      </c>
    </row>
    <row r="192" spans="1:12" x14ac:dyDescent="0.25">
      <c r="A192" t="s">
        <v>1326</v>
      </c>
      <c r="B192" t="s">
        <v>1331</v>
      </c>
      <c r="C192" t="s">
        <v>10</v>
      </c>
      <c r="D192" t="s">
        <v>1210</v>
      </c>
      <c r="E192" t="s">
        <v>1194</v>
      </c>
      <c r="F192" t="s">
        <v>1332</v>
      </c>
      <c r="G192" t="s">
        <v>1212</v>
      </c>
      <c r="H192" t="s">
        <v>1474</v>
      </c>
      <c r="I192" t="s">
        <v>1474</v>
      </c>
      <c r="J192" t="s">
        <v>1333</v>
      </c>
      <c r="K192" t="s">
        <v>1334</v>
      </c>
      <c r="L192" s="33">
        <v>2021.74</v>
      </c>
    </row>
    <row r="193" spans="1:12" x14ac:dyDescent="0.25">
      <c r="A193" t="s">
        <v>1326</v>
      </c>
      <c r="B193" t="s">
        <v>1335</v>
      </c>
      <c r="C193" t="s">
        <v>10</v>
      </c>
      <c r="D193" t="s">
        <v>1210</v>
      </c>
      <c r="E193" t="s">
        <v>1194</v>
      </c>
      <c r="F193" t="s">
        <v>1336</v>
      </c>
      <c r="G193" t="s">
        <v>1212</v>
      </c>
      <c r="H193" t="s">
        <v>1474</v>
      </c>
      <c r="I193" t="s">
        <v>1474</v>
      </c>
      <c r="J193" t="s">
        <v>1337</v>
      </c>
      <c r="K193" t="s">
        <v>1334</v>
      </c>
      <c r="L193" s="33">
        <v>-1444.1</v>
      </c>
    </row>
    <row r="194" spans="1:12" x14ac:dyDescent="0.25">
      <c r="A194" t="s">
        <v>1326</v>
      </c>
      <c r="B194" t="s">
        <v>1338</v>
      </c>
      <c r="C194" t="s">
        <v>10</v>
      </c>
      <c r="D194" t="s">
        <v>1210</v>
      </c>
      <c r="E194" t="s">
        <v>1194</v>
      </c>
      <c r="F194" t="s">
        <v>1339</v>
      </c>
      <c r="G194" t="s">
        <v>1212</v>
      </c>
      <c r="H194" t="s">
        <v>1474</v>
      </c>
      <c r="I194" t="s">
        <v>1474</v>
      </c>
      <c r="J194" t="s">
        <v>1340</v>
      </c>
      <c r="K194" t="s">
        <v>1334</v>
      </c>
      <c r="L194" s="33">
        <v>221</v>
      </c>
    </row>
    <row r="195" spans="1:12" x14ac:dyDescent="0.25">
      <c r="A195" t="s">
        <v>1326</v>
      </c>
      <c r="B195" t="s">
        <v>1475</v>
      </c>
      <c r="C195" t="s">
        <v>10</v>
      </c>
      <c r="D195" t="s">
        <v>1210</v>
      </c>
      <c r="E195" t="s">
        <v>1194</v>
      </c>
      <c r="F195" t="s">
        <v>1476</v>
      </c>
      <c r="G195" t="s">
        <v>1212</v>
      </c>
      <c r="H195" t="s">
        <v>1474</v>
      </c>
      <c r="I195" t="s">
        <v>1474</v>
      </c>
      <c r="J195" t="s">
        <v>1477</v>
      </c>
      <c r="K195" t="s">
        <v>1334</v>
      </c>
      <c r="L195" s="33">
        <v>1250</v>
      </c>
    </row>
    <row r="196" spans="1:12" x14ac:dyDescent="0.25">
      <c r="A196" t="s">
        <v>1326</v>
      </c>
      <c r="B196" t="s">
        <v>1341</v>
      </c>
      <c r="C196" t="s">
        <v>10</v>
      </c>
      <c r="D196" t="s">
        <v>1210</v>
      </c>
      <c r="E196" t="s">
        <v>1194</v>
      </c>
      <c r="F196" t="s">
        <v>1342</v>
      </c>
      <c r="G196" t="s">
        <v>1212</v>
      </c>
      <c r="H196" t="s">
        <v>1474</v>
      </c>
      <c r="I196" t="s">
        <v>1474</v>
      </c>
      <c r="J196" t="s">
        <v>1343</v>
      </c>
      <c r="K196" t="s">
        <v>1334</v>
      </c>
      <c r="L196" s="33">
        <v>300</v>
      </c>
    </row>
    <row r="197" spans="1:12" x14ac:dyDescent="0.25">
      <c r="A197" t="s">
        <v>1326</v>
      </c>
      <c r="B197" t="s">
        <v>1344</v>
      </c>
      <c r="C197" t="s">
        <v>10</v>
      </c>
      <c r="D197" t="s">
        <v>1210</v>
      </c>
      <c r="E197" t="s">
        <v>1194</v>
      </c>
      <c r="F197" t="s">
        <v>1345</v>
      </c>
      <c r="G197" t="s">
        <v>1212</v>
      </c>
      <c r="H197" t="s">
        <v>1474</v>
      </c>
      <c r="I197" t="s">
        <v>1474</v>
      </c>
      <c r="J197" t="s">
        <v>1346</v>
      </c>
      <c r="K197" t="s">
        <v>1347</v>
      </c>
      <c r="L197" s="33">
        <v>400</v>
      </c>
    </row>
    <row r="198" spans="1:12" x14ac:dyDescent="0.25">
      <c r="A198" t="s">
        <v>1326</v>
      </c>
      <c r="B198" t="s">
        <v>1348</v>
      </c>
      <c r="C198" t="s">
        <v>10</v>
      </c>
      <c r="D198" t="s">
        <v>1210</v>
      </c>
      <c r="E198" t="s">
        <v>1194</v>
      </c>
      <c r="F198" t="s">
        <v>1349</v>
      </c>
      <c r="G198" t="s">
        <v>1212</v>
      </c>
      <c r="H198" t="s">
        <v>1474</v>
      </c>
      <c r="I198" t="s">
        <v>1474</v>
      </c>
      <c r="J198" t="s">
        <v>1350</v>
      </c>
      <c r="K198" t="s">
        <v>1351</v>
      </c>
      <c r="L198" s="33">
        <v>98.56</v>
      </c>
    </row>
    <row r="199" spans="1:12" x14ac:dyDescent="0.25">
      <c r="A199" t="s">
        <v>1326</v>
      </c>
      <c r="B199" t="s">
        <v>1352</v>
      </c>
      <c r="C199" t="s">
        <v>10</v>
      </c>
      <c r="D199" t="s">
        <v>1210</v>
      </c>
      <c r="E199" t="s">
        <v>1194</v>
      </c>
      <c r="F199" t="s">
        <v>1353</v>
      </c>
      <c r="G199" t="s">
        <v>1212</v>
      </c>
      <c r="H199" t="s">
        <v>1474</v>
      </c>
      <c r="I199" t="s">
        <v>1474</v>
      </c>
      <c r="J199" t="s">
        <v>1354</v>
      </c>
      <c r="K199" t="s">
        <v>1351</v>
      </c>
      <c r="L199" s="33">
        <v>228.42</v>
      </c>
    </row>
    <row r="200" spans="1:12" x14ac:dyDescent="0.25">
      <c r="A200" t="s">
        <v>1326</v>
      </c>
      <c r="B200" t="s">
        <v>1355</v>
      </c>
      <c r="C200" t="s">
        <v>10</v>
      </c>
      <c r="D200" t="s">
        <v>1210</v>
      </c>
      <c r="E200" t="s">
        <v>1194</v>
      </c>
      <c r="F200" t="s">
        <v>1356</v>
      </c>
      <c r="G200" t="s">
        <v>1212</v>
      </c>
      <c r="H200" t="s">
        <v>1474</v>
      </c>
      <c r="I200" t="s">
        <v>1474</v>
      </c>
      <c r="J200" t="s">
        <v>1357</v>
      </c>
      <c r="K200" t="s">
        <v>1351</v>
      </c>
      <c r="L200" s="33">
        <v>248</v>
      </c>
    </row>
    <row r="201" spans="1:12" x14ac:dyDescent="0.25">
      <c r="A201" t="s">
        <v>1326</v>
      </c>
      <c r="B201" t="s">
        <v>1358</v>
      </c>
      <c r="C201" t="s">
        <v>10</v>
      </c>
      <c r="D201" t="s">
        <v>1210</v>
      </c>
      <c r="E201" t="s">
        <v>1194</v>
      </c>
      <c r="F201" t="s">
        <v>1359</v>
      </c>
      <c r="G201" t="s">
        <v>1212</v>
      </c>
      <c r="H201" t="s">
        <v>1474</v>
      </c>
      <c r="I201" t="s">
        <v>1474</v>
      </c>
      <c r="J201" t="s">
        <v>1360</v>
      </c>
      <c r="K201" t="s">
        <v>1361</v>
      </c>
      <c r="L201" s="33">
        <v>1610.33</v>
      </c>
    </row>
    <row r="202" spans="1:12" x14ac:dyDescent="0.25">
      <c r="A202" t="s">
        <v>1326</v>
      </c>
      <c r="B202" t="s">
        <v>1362</v>
      </c>
      <c r="C202" t="s">
        <v>10</v>
      </c>
      <c r="D202" t="s">
        <v>1210</v>
      </c>
      <c r="E202" t="s">
        <v>1194</v>
      </c>
      <c r="F202" t="s">
        <v>1363</v>
      </c>
      <c r="G202" t="s">
        <v>1212</v>
      </c>
      <c r="H202" t="s">
        <v>1474</v>
      </c>
      <c r="I202" t="s">
        <v>1474</v>
      </c>
      <c r="J202" t="s">
        <v>1364</v>
      </c>
      <c r="K202" t="s">
        <v>1364</v>
      </c>
      <c r="L202" s="33">
        <v>-2407.5</v>
      </c>
    </row>
    <row r="203" spans="1:12" x14ac:dyDescent="0.25">
      <c r="A203" t="s">
        <v>1326</v>
      </c>
      <c r="B203" t="s">
        <v>1365</v>
      </c>
      <c r="C203" t="s">
        <v>10</v>
      </c>
      <c r="D203" t="s">
        <v>1210</v>
      </c>
      <c r="E203" t="s">
        <v>1194</v>
      </c>
      <c r="F203" t="s">
        <v>1366</v>
      </c>
      <c r="G203" t="s">
        <v>1212</v>
      </c>
      <c r="H203" t="s">
        <v>1474</v>
      </c>
      <c r="I203" t="s">
        <v>1474</v>
      </c>
      <c r="J203" t="s">
        <v>1367</v>
      </c>
      <c r="K203" t="s">
        <v>1368</v>
      </c>
      <c r="L203" s="33">
        <v>13700</v>
      </c>
    </row>
    <row r="204" spans="1:12" x14ac:dyDescent="0.25">
      <c r="A204" t="s">
        <v>1326</v>
      </c>
      <c r="B204" t="s">
        <v>1369</v>
      </c>
      <c r="C204" t="s">
        <v>10</v>
      </c>
      <c r="D204" t="s">
        <v>1210</v>
      </c>
      <c r="E204" t="s">
        <v>1194</v>
      </c>
      <c r="F204" t="s">
        <v>1370</v>
      </c>
      <c r="G204" t="s">
        <v>1212</v>
      </c>
      <c r="H204" t="s">
        <v>1474</v>
      </c>
      <c r="I204" t="s">
        <v>1474</v>
      </c>
      <c r="J204" t="s">
        <v>1371</v>
      </c>
      <c r="K204" t="s">
        <v>1368</v>
      </c>
      <c r="L204" s="33">
        <v>-1867.5</v>
      </c>
    </row>
    <row r="205" spans="1:12" x14ac:dyDescent="0.25">
      <c r="A205" t="s">
        <v>1326</v>
      </c>
      <c r="B205" t="s">
        <v>1372</v>
      </c>
      <c r="C205" t="s">
        <v>10</v>
      </c>
      <c r="D205" t="s">
        <v>1210</v>
      </c>
      <c r="E205" t="s">
        <v>1194</v>
      </c>
      <c r="F205" t="s">
        <v>1373</v>
      </c>
      <c r="G205" t="s">
        <v>1212</v>
      </c>
      <c r="H205" t="s">
        <v>1474</v>
      </c>
      <c r="I205" t="s">
        <v>1474</v>
      </c>
      <c r="J205" t="s">
        <v>1374</v>
      </c>
      <c r="K205" t="s">
        <v>1374</v>
      </c>
      <c r="L205" s="33">
        <v>13062.65</v>
      </c>
    </row>
    <row r="206" spans="1:12" x14ac:dyDescent="0.25">
      <c r="A206" t="s">
        <v>1326</v>
      </c>
      <c r="B206" t="s">
        <v>1375</v>
      </c>
      <c r="C206" t="s">
        <v>10</v>
      </c>
      <c r="D206" t="s">
        <v>1210</v>
      </c>
      <c r="E206" t="s">
        <v>1194</v>
      </c>
      <c r="F206" t="s">
        <v>1376</v>
      </c>
      <c r="G206" t="s">
        <v>1212</v>
      </c>
      <c r="H206" t="s">
        <v>1474</v>
      </c>
      <c r="I206" t="s">
        <v>1474</v>
      </c>
      <c r="J206" t="s">
        <v>1377</v>
      </c>
      <c r="K206" t="s">
        <v>1374</v>
      </c>
      <c r="L206" s="33">
        <v>13061.03</v>
      </c>
    </row>
    <row r="207" spans="1:12" x14ac:dyDescent="0.25">
      <c r="A207" t="s">
        <v>1326</v>
      </c>
      <c r="B207" t="s">
        <v>1378</v>
      </c>
      <c r="C207" t="s">
        <v>10</v>
      </c>
      <c r="D207" t="s">
        <v>1210</v>
      </c>
      <c r="E207" t="s">
        <v>1194</v>
      </c>
      <c r="F207" t="s">
        <v>1379</v>
      </c>
      <c r="G207" t="s">
        <v>1212</v>
      </c>
      <c r="H207" t="s">
        <v>1474</v>
      </c>
      <c r="I207" t="s">
        <v>1474</v>
      </c>
      <c r="J207" t="s">
        <v>1380</v>
      </c>
      <c r="K207" t="s">
        <v>1380</v>
      </c>
      <c r="L207" s="33">
        <v>-69.819999999999993</v>
      </c>
    </row>
    <row r="208" spans="1:12" x14ac:dyDescent="0.25">
      <c r="A208" t="s">
        <v>1326</v>
      </c>
      <c r="B208" t="s">
        <v>1381</v>
      </c>
      <c r="C208" t="s">
        <v>10</v>
      </c>
      <c r="D208" t="s">
        <v>1210</v>
      </c>
      <c r="E208" t="s">
        <v>1194</v>
      </c>
      <c r="F208" t="s">
        <v>1382</v>
      </c>
      <c r="G208" t="s">
        <v>1212</v>
      </c>
      <c r="H208" t="s">
        <v>1474</v>
      </c>
      <c r="I208" t="s">
        <v>1474</v>
      </c>
      <c r="J208" t="s">
        <v>1383</v>
      </c>
      <c r="K208" t="s">
        <v>1334</v>
      </c>
      <c r="L208" s="33">
        <v>9968.76</v>
      </c>
    </row>
    <row r="209" spans="1:12" x14ac:dyDescent="0.25">
      <c r="A209" t="s">
        <v>1326</v>
      </c>
      <c r="B209" t="s">
        <v>1384</v>
      </c>
      <c r="C209" t="s">
        <v>10</v>
      </c>
      <c r="D209" t="s">
        <v>1210</v>
      </c>
      <c r="E209" t="s">
        <v>1194</v>
      </c>
      <c r="F209" t="s">
        <v>1385</v>
      </c>
      <c r="G209" t="s">
        <v>1212</v>
      </c>
      <c r="H209" t="s">
        <v>1474</v>
      </c>
      <c r="I209" t="s">
        <v>1474</v>
      </c>
      <c r="J209" t="s">
        <v>1386</v>
      </c>
      <c r="K209" t="s">
        <v>1386</v>
      </c>
      <c r="L209" s="33">
        <v>202.85</v>
      </c>
    </row>
    <row r="210" spans="1:12" x14ac:dyDescent="0.25">
      <c r="A210" t="s">
        <v>1326</v>
      </c>
      <c r="B210" t="s">
        <v>1387</v>
      </c>
      <c r="C210" t="s">
        <v>10</v>
      </c>
      <c r="D210" t="s">
        <v>1210</v>
      </c>
      <c r="E210" t="s">
        <v>1194</v>
      </c>
      <c r="F210" t="s">
        <v>1388</v>
      </c>
      <c r="G210" t="s">
        <v>1212</v>
      </c>
      <c r="H210" t="s">
        <v>1474</v>
      </c>
      <c r="I210" t="s">
        <v>1474</v>
      </c>
      <c r="J210" t="s">
        <v>1389</v>
      </c>
      <c r="K210" t="s">
        <v>1390</v>
      </c>
      <c r="L210" s="33">
        <v>422.49</v>
      </c>
    </row>
    <row r="211" spans="1:12" x14ac:dyDescent="0.25">
      <c r="A211" t="s">
        <v>1326</v>
      </c>
      <c r="B211" t="s">
        <v>1391</v>
      </c>
      <c r="C211" t="s">
        <v>10</v>
      </c>
      <c r="D211" t="s">
        <v>1210</v>
      </c>
      <c r="E211" t="s">
        <v>1194</v>
      </c>
      <c r="F211" t="s">
        <v>1392</v>
      </c>
      <c r="G211" t="s">
        <v>1212</v>
      </c>
      <c r="H211" t="s">
        <v>1474</v>
      </c>
      <c r="I211" t="s">
        <v>1474</v>
      </c>
      <c r="J211" t="s">
        <v>1393</v>
      </c>
      <c r="K211" t="s">
        <v>1390</v>
      </c>
      <c r="L211" s="33">
        <v>1813.47</v>
      </c>
    </row>
    <row r="212" spans="1:12" x14ac:dyDescent="0.25">
      <c r="A212" t="s">
        <v>1326</v>
      </c>
      <c r="B212" t="s">
        <v>1394</v>
      </c>
      <c r="C212" t="s">
        <v>10</v>
      </c>
      <c r="D212" t="s">
        <v>1210</v>
      </c>
      <c r="E212" t="s">
        <v>1194</v>
      </c>
      <c r="F212" t="s">
        <v>1395</v>
      </c>
      <c r="G212" t="s">
        <v>1212</v>
      </c>
      <c r="H212" t="s">
        <v>1474</v>
      </c>
      <c r="I212" t="s">
        <v>1474</v>
      </c>
      <c r="J212" t="s">
        <v>1396</v>
      </c>
      <c r="K212" t="s">
        <v>1390</v>
      </c>
      <c r="L212" s="33">
        <v>973</v>
      </c>
    </row>
    <row r="213" spans="1:12" x14ac:dyDescent="0.25">
      <c r="A213" t="s">
        <v>1326</v>
      </c>
      <c r="B213" t="s">
        <v>1397</v>
      </c>
      <c r="C213" t="s">
        <v>10</v>
      </c>
      <c r="D213" t="s">
        <v>1210</v>
      </c>
      <c r="E213" t="s">
        <v>1194</v>
      </c>
      <c r="F213" t="s">
        <v>1398</v>
      </c>
      <c r="G213" t="s">
        <v>1212</v>
      </c>
      <c r="H213" t="s">
        <v>1474</v>
      </c>
      <c r="I213" t="s">
        <v>1474</v>
      </c>
      <c r="J213" t="s">
        <v>1399</v>
      </c>
      <c r="K213" t="s">
        <v>1390</v>
      </c>
      <c r="L213" s="33">
        <v>504.3</v>
      </c>
    </row>
    <row r="214" spans="1:12" x14ac:dyDescent="0.25">
      <c r="A214" t="s">
        <v>1326</v>
      </c>
      <c r="B214" t="s">
        <v>1400</v>
      </c>
      <c r="C214" t="s">
        <v>10</v>
      </c>
      <c r="D214" t="s">
        <v>1210</v>
      </c>
      <c r="E214" t="s">
        <v>1194</v>
      </c>
      <c r="F214" t="s">
        <v>1401</v>
      </c>
      <c r="G214" t="s">
        <v>1212</v>
      </c>
      <c r="H214" t="s">
        <v>1474</v>
      </c>
      <c r="I214" t="s">
        <v>1474</v>
      </c>
      <c r="J214" t="s">
        <v>1402</v>
      </c>
      <c r="K214" t="s">
        <v>1390</v>
      </c>
      <c r="L214" s="33">
        <v>147.77000000000001</v>
      </c>
    </row>
    <row r="215" spans="1:12" x14ac:dyDescent="0.25">
      <c r="A215" t="s">
        <v>1326</v>
      </c>
      <c r="B215" t="s">
        <v>1403</v>
      </c>
      <c r="C215" t="s">
        <v>10</v>
      </c>
      <c r="D215" t="s">
        <v>1210</v>
      </c>
      <c r="E215" t="s">
        <v>1194</v>
      </c>
      <c r="F215" t="s">
        <v>1404</v>
      </c>
      <c r="G215" t="s">
        <v>1212</v>
      </c>
      <c r="H215" t="s">
        <v>1474</v>
      </c>
      <c r="I215" t="s">
        <v>1474</v>
      </c>
      <c r="J215" t="s">
        <v>1405</v>
      </c>
      <c r="K215" t="s">
        <v>1390</v>
      </c>
      <c r="L215" s="33">
        <v>490.25</v>
      </c>
    </row>
    <row r="216" spans="1:12" x14ac:dyDescent="0.25">
      <c r="A216" t="s">
        <v>1326</v>
      </c>
      <c r="B216" t="s">
        <v>1406</v>
      </c>
      <c r="C216" t="s">
        <v>10</v>
      </c>
      <c r="D216" t="s">
        <v>1210</v>
      </c>
      <c r="E216" t="s">
        <v>1194</v>
      </c>
      <c r="F216" t="s">
        <v>1407</v>
      </c>
      <c r="G216" t="s">
        <v>1212</v>
      </c>
      <c r="H216" t="s">
        <v>1474</v>
      </c>
      <c r="I216" t="s">
        <v>1474</v>
      </c>
      <c r="J216" t="s">
        <v>1408</v>
      </c>
      <c r="K216" t="s">
        <v>1390</v>
      </c>
      <c r="L216" s="33">
        <v>2327.7399999999998</v>
      </c>
    </row>
    <row r="217" spans="1:12" x14ac:dyDescent="0.25">
      <c r="A217" t="s">
        <v>1326</v>
      </c>
      <c r="B217" t="s">
        <v>1462</v>
      </c>
      <c r="C217" t="s">
        <v>10</v>
      </c>
      <c r="D217" t="s">
        <v>1210</v>
      </c>
      <c r="E217" t="s">
        <v>1194</v>
      </c>
      <c r="F217" t="s">
        <v>1463</v>
      </c>
      <c r="G217" t="s">
        <v>1212</v>
      </c>
      <c r="H217" t="s">
        <v>1474</v>
      </c>
      <c r="I217" t="s">
        <v>1474</v>
      </c>
      <c r="J217" t="s">
        <v>1464</v>
      </c>
      <c r="K217" t="s">
        <v>1390</v>
      </c>
      <c r="L217" s="33">
        <v>50</v>
      </c>
    </row>
    <row r="218" spans="1:12" x14ac:dyDescent="0.25">
      <c r="A218" t="s">
        <v>1326</v>
      </c>
      <c r="B218" t="s">
        <v>1409</v>
      </c>
      <c r="C218" t="s">
        <v>10</v>
      </c>
      <c r="D218" t="s">
        <v>1210</v>
      </c>
      <c r="E218" t="s">
        <v>1194</v>
      </c>
      <c r="F218" t="s">
        <v>1410</v>
      </c>
      <c r="G218" t="s">
        <v>1212</v>
      </c>
      <c r="H218" t="s">
        <v>1474</v>
      </c>
      <c r="I218" t="s">
        <v>1474</v>
      </c>
      <c r="J218" t="s">
        <v>1411</v>
      </c>
      <c r="K218" t="s">
        <v>1390</v>
      </c>
      <c r="L218" s="33">
        <v>-300</v>
      </c>
    </row>
    <row r="219" spans="1:12" x14ac:dyDescent="0.25">
      <c r="A219" t="s">
        <v>1326</v>
      </c>
      <c r="B219" t="s">
        <v>1412</v>
      </c>
      <c r="C219" t="s">
        <v>10</v>
      </c>
      <c r="D219" t="s">
        <v>1210</v>
      </c>
      <c r="E219" t="s">
        <v>1194</v>
      </c>
      <c r="F219" t="s">
        <v>1413</v>
      </c>
      <c r="G219" t="s">
        <v>1212</v>
      </c>
      <c r="H219" t="s">
        <v>1474</v>
      </c>
      <c r="I219" t="s">
        <v>1474</v>
      </c>
      <c r="J219" t="s">
        <v>1414</v>
      </c>
      <c r="K219" t="s">
        <v>1415</v>
      </c>
      <c r="L219" s="33">
        <v>2416</v>
      </c>
    </row>
    <row r="220" spans="1:12" x14ac:dyDescent="0.25">
      <c r="A220" t="s">
        <v>1326</v>
      </c>
      <c r="B220" t="s">
        <v>1416</v>
      </c>
      <c r="C220" t="s">
        <v>10</v>
      </c>
      <c r="D220" t="s">
        <v>1210</v>
      </c>
      <c r="E220" t="s">
        <v>1194</v>
      </c>
      <c r="F220" t="s">
        <v>1417</v>
      </c>
      <c r="G220" t="s">
        <v>1212</v>
      </c>
      <c r="H220" t="s">
        <v>1474</v>
      </c>
      <c r="I220" t="s">
        <v>1474</v>
      </c>
      <c r="J220" t="s">
        <v>1418</v>
      </c>
      <c r="K220" t="s">
        <v>1415</v>
      </c>
      <c r="L220" s="33">
        <v>5692.5</v>
      </c>
    </row>
    <row r="221" spans="1:12" x14ac:dyDescent="0.25">
      <c r="A221" t="s">
        <v>1326</v>
      </c>
      <c r="B221" t="s">
        <v>1419</v>
      </c>
      <c r="C221" t="s">
        <v>10</v>
      </c>
      <c r="D221" t="s">
        <v>1210</v>
      </c>
      <c r="E221" t="s">
        <v>1194</v>
      </c>
      <c r="F221" t="s">
        <v>1420</v>
      </c>
      <c r="G221" t="s">
        <v>1212</v>
      </c>
      <c r="H221" t="s">
        <v>1474</v>
      </c>
      <c r="I221" t="s">
        <v>1474</v>
      </c>
      <c r="J221" t="s">
        <v>1421</v>
      </c>
      <c r="K221" t="s">
        <v>1421</v>
      </c>
      <c r="L221" s="33">
        <v>57.4</v>
      </c>
    </row>
    <row r="222" spans="1:12" x14ac:dyDescent="0.25">
      <c r="A222" t="s">
        <v>1326</v>
      </c>
      <c r="B222" t="s">
        <v>1429</v>
      </c>
      <c r="C222" t="s">
        <v>10</v>
      </c>
      <c r="D222" t="s">
        <v>1210</v>
      </c>
      <c r="E222" t="s">
        <v>1194</v>
      </c>
      <c r="F222" t="s">
        <v>1430</v>
      </c>
      <c r="G222" t="s">
        <v>1212</v>
      </c>
      <c r="H222" t="s">
        <v>1474</v>
      </c>
      <c r="I222" t="s">
        <v>1474</v>
      </c>
      <c r="J222" t="s">
        <v>1431</v>
      </c>
      <c r="K222" t="s">
        <v>1432</v>
      </c>
      <c r="L222" s="33">
        <v>4.07</v>
      </c>
    </row>
    <row r="223" spans="1:12" x14ac:dyDescent="0.25">
      <c r="A223" t="s">
        <v>1326</v>
      </c>
      <c r="B223" t="s">
        <v>1422</v>
      </c>
      <c r="C223" t="s">
        <v>10</v>
      </c>
      <c r="D223" t="s">
        <v>1210</v>
      </c>
      <c r="E223" t="s">
        <v>1194</v>
      </c>
      <c r="F223" t="s">
        <v>1423</v>
      </c>
      <c r="G223" t="s">
        <v>1212</v>
      </c>
      <c r="H223" t="s">
        <v>1474</v>
      </c>
      <c r="I223" t="s">
        <v>1474</v>
      </c>
      <c r="J223" t="s">
        <v>1424</v>
      </c>
      <c r="K223" t="s">
        <v>1424</v>
      </c>
      <c r="L223" s="33">
        <v>31.45</v>
      </c>
    </row>
    <row r="224" spans="1:12" x14ac:dyDescent="0.25">
      <c r="A224" t="s">
        <v>1326</v>
      </c>
      <c r="B224" t="s">
        <v>1327</v>
      </c>
      <c r="C224" t="s">
        <v>10</v>
      </c>
      <c r="D224" t="s">
        <v>1210</v>
      </c>
      <c r="E224" t="s">
        <v>1194</v>
      </c>
      <c r="F224" t="s">
        <v>1328</v>
      </c>
      <c r="G224" t="s">
        <v>1212</v>
      </c>
      <c r="H224" t="s">
        <v>1478</v>
      </c>
      <c r="I224" t="s">
        <v>1478</v>
      </c>
      <c r="J224" t="s">
        <v>1330</v>
      </c>
      <c r="K224" t="s">
        <v>1330</v>
      </c>
      <c r="L224" s="33">
        <v>33331</v>
      </c>
    </row>
    <row r="225" spans="1:12" x14ac:dyDescent="0.25">
      <c r="A225" t="s">
        <v>1326</v>
      </c>
      <c r="B225" t="s">
        <v>1331</v>
      </c>
      <c r="C225" t="s">
        <v>10</v>
      </c>
      <c r="D225" t="s">
        <v>1210</v>
      </c>
      <c r="E225" t="s">
        <v>1194</v>
      </c>
      <c r="F225" t="s">
        <v>1332</v>
      </c>
      <c r="G225" t="s">
        <v>1212</v>
      </c>
      <c r="H225" t="s">
        <v>1478</v>
      </c>
      <c r="I225" t="s">
        <v>1478</v>
      </c>
      <c r="J225" t="s">
        <v>1333</v>
      </c>
      <c r="K225" t="s">
        <v>1334</v>
      </c>
      <c r="L225" s="33">
        <v>5061.7299999999996</v>
      </c>
    </row>
    <row r="226" spans="1:12" x14ac:dyDescent="0.25">
      <c r="A226" t="s">
        <v>1326</v>
      </c>
      <c r="B226" t="s">
        <v>1335</v>
      </c>
      <c r="C226" t="s">
        <v>10</v>
      </c>
      <c r="D226" t="s">
        <v>1210</v>
      </c>
      <c r="E226" t="s">
        <v>1194</v>
      </c>
      <c r="F226" t="s">
        <v>1336</v>
      </c>
      <c r="G226" t="s">
        <v>1212</v>
      </c>
      <c r="H226" t="s">
        <v>1478</v>
      </c>
      <c r="I226" t="s">
        <v>1478</v>
      </c>
      <c r="J226" t="s">
        <v>1337</v>
      </c>
      <c r="K226" t="s">
        <v>1334</v>
      </c>
      <c r="L226" s="33">
        <v>-2556.81</v>
      </c>
    </row>
    <row r="227" spans="1:12" x14ac:dyDescent="0.25">
      <c r="A227" t="s">
        <v>1326</v>
      </c>
      <c r="B227" t="s">
        <v>1338</v>
      </c>
      <c r="C227" t="s">
        <v>10</v>
      </c>
      <c r="D227" t="s">
        <v>1210</v>
      </c>
      <c r="E227" t="s">
        <v>1194</v>
      </c>
      <c r="F227" t="s">
        <v>1339</v>
      </c>
      <c r="G227" t="s">
        <v>1212</v>
      </c>
      <c r="H227" t="s">
        <v>1478</v>
      </c>
      <c r="I227" t="s">
        <v>1478</v>
      </c>
      <c r="J227" t="s">
        <v>1340</v>
      </c>
      <c r="K227" t="s">
        <v>1334</v>
      </c>
      <c r="L227" s="33">
        <v>199</v>
      </c>
    </row>
    <row r="228" spans="1:12" x14ac:dyDescent="0.25">
      <c r="A228" t="s">
        <v>1326</v>
      </c>
      <c r="B228" t="s">
        <v>1341</v>
      </c>
      <c r="C228" t="s">
        <v>10</v>
      </c>
      <c r="D228" t="s">
        <v>1210</v>
      </c>
      <c r="E228" t="s">
        <v>1194</v>
      </c>
      <c r="F228" t="s">
        <v>1342</v>
      </c>
      <c r="G228" t="s">
        <v>1212</v>
      </c>
      <c r="H228" t="s">
        <v>1478</v>
      </c>
      <c r="I228" t="s">
        <v>1478</v>
      </c>
      <c r="J228" t="s">
        <v>1343</v>
      </c>
      <c r="K228" t="s">
        <v>1334</v>
      </c>
      <c r="L228" s="33">
        <v>150</v>
      </c>
    </row>
    <row r="229" spans="1:12" x14ac:dyDescent="0.25">
      <c r="A229" t="s">
        <v>1326</v>
      </c>
      <c r="B229" t="s">
        <v>1344</v>
      </c>
      <c r="C229" t="s">
        <v>10</v>
      </c>
      <c r="D229" t="s">
        <v>1210</v>
      </c>
      <c r="E229" t="s">
        <v>1194</v>
      </c>
      <c r="F229" t="s">
        <v>1345</v>
      </c>
      <c r="G229" t="s">
        <v>1212</v>
      </c>
      <c r="H229" t="s">
        <v>1478</v>
      </c>
      <c r="I229" t="s">
        <v>1478</v>
      </c>
      <c r="J229" t="s">
        <v>1346</v>
      </c>
      <c r="K229" t="s">
        <v>1347</v>
      </c>
      <c r="L229" s="33">
        <v>200</v>
      </c>
    </row>
    <row r="230" spans="1:12" x14ac:dyDescent="0.25">
      <c r="A230" t="s">
        <v>1326</v>
      </c>
      <c r="B230" t="s">
        <v>1348</v>
      </c>
      <c r="C230" t="s">
        <v>10</v>
      </c>
      <c r="D230" t="s">
        <v>1210</v>
      </c>
      <c r="E230" t="s">
        <v>1194</v>
      </c>
      <c r="F230" t="s">
        <v>1349</v>
      </c>
      <c r="G230" t="s">
        <v>1212</v>
      </c>
      <c r="H230" t="s">
        <v>1478</v>
      </c>
      <c r="I230" t="s">
        <v>1478</v>
      </c>
      <c r="J230" t="s">
        <v>1350</v>
      </c>
      <c r="K230" t="s">
        <v>1351</v>
      </c>
      <c r="L230" s="33">
        <v>147.5</v>
      </c>
    </row>
    <row r="231" spans="1:12" x14ac:dyDescent="0.25">
      <c r="A231" t="s">
        <v>1326</v>
      </c>
      <c r="B231" t="s">
        <v>1352</v>
      </c>
      <c r="C231" t="s">
        <v>10</v>
      </c>
      <c r="D231" t="s">
        <v>1210</v>
      </c>
      <c r="E231" t="s">
        <v>1194</v>
      </c>
      <c r="F231" t="s">
        <v>1353</v>
      </c>
      <c r="G231" t="s">
        <v>1212</v>
      </c>
      <c r="H231" t="s">
        <v>1478</v>
      </c>
      <c r="I231" t="s">
        <v>1478</v>
      </c>
      <c r="J231" t="s">
        <v>1354</v>
      </c>
      <c r="K231" t="s">
        <v>1351</v>
      </c>
      <c r="L231" s="33">
        <v>369.65</v>
      </c>
    </row>
    <row r="232" spans="1:12" x14ac:dyDescent="0.25">
      <c r="A232" t="s">
        <v>1326</v>
      </c>
      <c r="B232" t="s">
        <v>1355</v>
      </c>
      <c r="C232" t="s">
        <v>10</v>
      </c>
      <c r="D232" t="s">
        <v>1210</v>
      </c>
      <c r="E232" t="s">
        <v>1194</v>
      </c>
      <c r="F232" t="s">
        <v>1356</v>
      </c>
      <c r="G232" t="s">
        <v>1212</v>
      </c>
      <c r="H232" t="s">
        <v>1478</v>
      </c>
      <c r="I232" t="s">
        <v>1478</v>
      </c>
      <c r="J232" t="s">
        <v>1357</v>
      </c>
      <c r="K232" t="s">
        <v>1351</v>
      </c>
      <c r="L232" s="33">
        <v>124</v>
      </c>
    </row>
    <row r="233" spans="1:12" x14ac:dyDescent="0.25">
      <c r="A233" t="s">
        <v>1326</v>
      </c>
      <c r="B233" t="s">
        <v>1358</v>
      </c>
      <c r="C233" t="s">
        <v>10</v>
      </c>
      <c r="D233" t="s">
        <v>1210</v>
      </c>
      <c r="E233" t="s">
        <v>1194</v>
      </c>
      <c r="F233" t="s">
        <v>1359</v>
      </c>
      <c r="G233" t="s">
        <v>1212</v>
      </c>
      <c r="H233" t="s">
        <v>1478</v>
      </c>
      <c r="I233" t="s">
        <v>1478</v>
      </c>
      <c r="J233" t="s">
        <v>1360</v>
      </c>
      <c r="K233" t="s">
        <v>1361</v>
      </c>
      <c r="L233" s="33">
        <v>1689.8</v>
      </c>
    </row>
    <row r="234" spans="1:12" x14ac:dyDescent="0.25">
      <c r="A234" t="s">
        <v>1326</v>
      </c>
      <c r="B234" t="s">
        <v>1362</v>
      </c>
      <c r="C234" t="s">
        <v>10</v>
      </c>
      <c r="D234" t="s">
        <v>1210</v>
      </c>
      <c r="E234" t="s">
        <v>1194</v>
      </c>
      <c r="F234" t="s">
        <v>1363</v>
      </c>
      <c r="G234" t="s">
        <v>1212</v>
      </c>
      <c r="H234" t="s">
        <v>1478</v>
      </c>
      <c r="I234" t="s">
        <v>1478</v>
      </c>
      <c r="J234" t="s">
        <v>1364</v>
      </c>
      <c r="K234" t="s">
        <v>1364</v>
      </c>
      <c r="L234" s="33">
        <v>-11526.41</v>
      </c>
    </row>
    <row r="235" spans="1:12" x14ac:dyDescent="0.25">
      <c r="A235" t="s">
        <v>1326</v>
      </c>
      <c r="B235" t="s">
        <v>1365</v>
      </c>
      <c r="C235" t="s">
        <v>10</v>
      </c>
      <c r="D235" t="s">
        <v>1210</v>
      </c>
      <c r="E235" t="s">
        <v>1194</v>
      </c>
      <c r="F235" t="s">
        <v>1366</v>
      </c>
      <c r="G235" t="s">
        <v>1212</v>
      </c>
      <c r="H235" t="s">
        <v>1478</v>
      </c>
      <c r="I235" t="s">
        <v>1478</v>
      </c>
      <c r="J235" t="s">
        <v>1367</v>
      </c>
      <c r="K235" t="s">
        <v>1368</v>
      </c>
      <c r="L235" s="33">
        <v>16600</v>
      </c>
    </row>
    <row r="236" spans="1:12" x14ac:dyDescent="0.25">
      <c r="A236" t="s">
        <v>1326</v>
      </c>
      <c r="B236" t="s">
        <v>1369</v>
      </c>
      <c r="C236" t="s">
        <v>10</v>
      </c>
      <c r="D236" t="s">
        <v>1210</v>
      </c>
      <c r="E236" t="s">
        <v>1194</v>
      </c>
      <c r="F236" t="s">
        <v>1370</v>
      </c>
      <c r="G236" t="s">
        <v>1212</v>
      </c>
      <c r="H236" t="s">
        <v>1478</v>
      </c>
      <c r="I236" t="s">
        <v>1478</v>
      </c>
      <c r="J236" t="s">
        <v>1371</v>
      </c>
      <c r="K236" t="s">
        <v>1368</v>
      </c>
      <c r="L236" s="33">
        <v>-12952.22</v>
      </c>
    </row>
    <row r="237" spans="1:12" x14ac:dyDescent="0.25">
      <c r="A237" t="s">
        <v>1326</v>
      </c>
      <c r="B237" t="s">
        <v>1372</v>
      </c>
      <c r="C237" t="s">
        <v>10</v>
      </c>
      <c r="D237" t="s">
        <v>1210</v>
      </c>
      <c r="E237" t="s">
        <v>1194</v>
      </c>
      <c r="F237" t="s">
        <v>1373</v>
      </c>
      <c r="G237" t="s">
        <v>1212</v>
      </c>
      <c r="H237" t="s">
        <v>1478</v>
      </c>
      <c r="I237" t="s">
        <v>1478</v>
      </c>
      <c r="J237" t="s">
        <v>1374</v>
      </c>
      <c r="K237" t="s">
        <v>1374</v>
      </c>
      <c r="L237" s="33">
        <v>13185.62</v>
      </c>
    </row>
    <row r="238" spans="1:12" x14ac:dyDescent="0.25">
      <c r="A238" t="s">
        <v>1326</v>
      </c>
      <c r="B238" t="s">
        <v>1375</v>
      </c>
      <c r="C238" t="s">
        <v>10</v>
      </c>
      <c r="D238" t="s">
        <v>1210</v>
      </c>
      <c r="E238" t="s">
        <v>1194</v>
      </c>
      <c r="F238" t="s">
        <v>1376</v>
      </c>
      <c r="G238" t="s">
        <v>1212</v>
      </c>
      <c r="H238" t="s">
        <v>1478</v>
      </c>
      <c r="I238" t="s">
        <v>1478</v>
      </c>
      <c r="J238" t="s">
        <v>1377</v>
      </c>
      <c r="K238" t="s">
        <v>1374</v>
      </c>
      <c r="L238" s="33">
        <v>9737.57</v>
      </c>
    </row>
    <row r="239" spans="1:12" x14ac:dyDescent="0.25">
      <c r="A239" t="s">
        <v>1326</v>
      </c>
      <c r="B239" t="s">
        <v>1378</v>
      </c>
      <c r="C239" t="s">
        <v>10</v>
      </c>
      <c r="D239" t="s">
        <v>1210</v>
      </c>
      <c r="E239" t="s">
        <v>1194</v>
      </c>
      <c r="F239" t="s">
        <v>1379</v>
      </c>
      <c r="G239" t="s">
        <v>1212</v>
      </c>
      <c r="H239" t="s">
        <v>1478</v>
      </c>
      <c r="I239" t="s">
        <v>1478</v>
      </c>
      <c r="J239" t="s">
        <v>1380</v>
      </c>
      <c r="K239" t="s">
        <v>1380</v>
      </c>
      <c r="L239" s="33">
        <v>186.64</v>
      </c>
    </row>
    <row r="240" spans="1:12" x14ac:dyDescent="0.25">
      <c r="A240" t="s">
        <v>1326</v>
      </c>
      <c r="B240" t="s">
        <v>1381</v>
      </c>
      <c r="C240" t="s">
        <v>10</v>
      </c>
      <c r="D240" t="s">
        <v>1210</v>
      </c>
      <c r="E240" t="s">
        <v>1194</v>
      </c>
      <c r="F240" t="s">
        <v>1382</v>
      </c>
      <c r="G240" t="s">
        <v>1212</v>
      </c>
      <c r="H240" t="s">
        <v>1478</v>
      </c>
      <c r="I240" t="s">
        <v>1478</v>
      </c>
      <c r="J240" t="s">
        <v>1383</v>
      </c>
      <c r="K240" t="s">
        <v>1334</v>
      </c>
      <c r="L240" s="33">
        <v>5948.64</v>
      </c>
    </row>
    <row r="241" spans="1:12" x14ac:dyDescent="0.25">
      <c r="A241" t="s">
        <v>1326</v>
      </c>
      <c r="B241" t="s">
        <v>1384</v>
      </c>
      <c r="C241" t="s">
        <v>10</v>
      </c>
      <c r="D241" t="s">
        <v>1210</v>
      </c>
      <c r="E241" t="s">
        <v>1194</v>
      </c>
      <c r="F241" t="s">
        <v>1385</v>
      </c>
      <c r="G241" t="s">
        <v>1212</v>
      </c>
      <c r="H241" t="s">
        <v>1478</v>
      </c>
      <c r="I241" t="s">
        <v>1478</v>
      </c>
      <c r="J241" t="s">
        <v>1386</v>
      </c>
      <c r="K241" t="s">
        <v>1386</v>
      </c>
      <c r="L241" s="33">
        <v>201.66</v>
      </c>
    </row>
    <row r="242" spans="1:12" x14ac:dyDescent="0.25">
      <c r="A242" t="s">
        <v>1326</v>
      </c>
      <c r="B242" t="s">
        <v>1387</v>
      </c>
      <c r="C242" t="s">
        <v>10</v>
      </c>
      <c r="D242" t="s">
        <v>1210</v>
      </c>
      <c r="E242" t="s">
        <v>1194</v>
      </c>
      <c r="F242" t="s">
        <v>1388</v>
      </c>
      <c r="G242" t="s">
        <v>1212</v>
      </c>
      <c r="H242" t="s">
        <v>1478</v>
      </c>
      <c r="I242" t="s">
        <v>1478</v>
      </c>
      <c r="J242" t="s">
        <v>1389</v>
      </c>
      <c r="K242" t="s">
        <v>1390</v>
      </c>
      <c r="L242" s="33">
        <v>3538.59</v>
      </c>
    </row>
    <row r="243" spans="1:12" x14ac:dyDescent="0.25">
      <c r="A243" t="s">
        <v>1326</v>
      </c>
      <c r="B243" t="s">
        <v>1391</v>
      </c>
      <c r="C243" t="s">
        <v>10</v>
      </c>
      <c r="D243" t="s">
        <v>1210</v>
      </c>
      <c r="E243" t="s">
        <v>1194</v>
      </c>
      <c r="F243" t="s">
        <v>1392</v>
      </c>
      <c r="G243" t="s">
        <v>1212</v>
      </c>
      <c r="H243" t="s">
        <v>1478</v>
      </c>
      <c r="I243" t="s">
        <v>1478</v>
      </c>
      <c r="J243" t="s">
        <v>1393</v>
      </c>
      <c r="K243" t="s">
        <v>1390</v>
      </c>
      <c r="L243" s="33">
        <v>958.15</v>
      </c>
    </row>
    <row r="244" spans="1:12" x14ac:dyDescent="0.25">
      <c r="A244" t="s">
        <v>1326</v>
      </c>
      <c r="B244" t="s">
        <v>1394</v>
      </c>
      <c r="C244" t="s">
        <v>10</v>
      </c>
      <c r="D244" t="s">
        <v>1210</v>
      </c>
      <c r="E244" t="s">
        <v>1194</v>
      </c>
      <c r="F244" t="s">
        <v>1395</v>
      </c>
      <c r="G244" t="s">
        <v>1212</v>
      </c>
      <c r="H244" t="s">
        <v>1478</v>
      </c>
      <c r="I244" t="s">
        <v>1478</v>
      </c>
      <c r="J244" t="s">
        <v>1396</v>
      </c>
      <c r="K244" t="s">
        <v>1390</v>
      </c>
      <c r="L244" s="33">
        <v>1362</v>
      </c>
    </row>
    <row r="245" spans="1:12" x14ac:dyDescent="0.25">
      <c r="A245" t="s">
        <v>1326</v>
      </c>
      <c r="B245" t="s">
        <v>1397</v>
      </c>
      <c r="C245" t="s">
        <v>10</v>
      </c>
      <c r="D245" t="s">
        <v>1210</v>
      </c>
      <c r="E245" t="s">
        <v>1194</v>
      </c>
      <c r="F245" t="s">
        <v>1398</v>
      </c>
      <c r="G245" t="s">
        <v>1212</v>
      </c>
      <c r="H245" t="s">
        <v>1478</v>
      </c>
      <c r="I245" t="s">
        <v>1478</v>
      </c>
      <c r="J245" t="s">
        <v>1399</v>
      </c>
      <c r="K245" t="s">
        <v>1390</v>
      </c>
      <c r="L245" s="33">
        <v>252.7</v>
      </c>
    </row>
    <row r="246" spans="1:12" x14ac:dyDescent="0.25">
      <c r="A246" t="s">
        <v>1326</v>
      </c>
      <c r="B246" t="s">
        <v>1400</v>
      </c>
      <c r="C246" t="s">
        <v>10</v>
      </c>
      <c r="D246" t="s">
        <v>1210</v>
      </c>
      <c r="E246" t="s">
        <v>1194</v>
      </c>
      <c r="F246" t="s">
        <v>1401</v>
      </c>
      <c r="G246" t="s">
        <v>1212</v>
      </c>
      <c r="H246" t="s">
        <v>1478</v>
      </c>
      <c r="I246" t="s">
        <v>1478</v>
      </c>
      <c r="J246" t="s">
        <v>1402</v>
      </c>
      <c r="K246" t="s">
        <v>1390</v>
      </c>
      <c r="L246" s="33">
        <v>15.96</v>
      </c>
    </row>
    <row r="247" spans="1:12" x14ac:dyDescent="0.25">
      <c r="A247" t="s">
        <v>1326</v>
      </c>
      <c r="B247" t="s">
        <v>1403</v>
      </c>
      <c r="C247" t="s">
        <v>10</v>
      </c>
      <c r="D247" t="s">
        <v>1210</v>
      </c>
      <c r="E247" t="s">
        <v>1194</v>
      </c>
      <c r="F247" t="s">
        <v>1404</v>
      </c>
      <c r="G247" t="s">
        <v>1212</v>
      </c>
      <c r="H247" t="s">
        <v>1478</v>
      </c>
      <c r="I247" t="s">
        <v>1478</v>
      </c>
      <c r="J247" t="s">
        <v>1405</v>
      </c>
      <c r="K247" t="s">
        <v>1390</v>
      </c>
      <c r="L247" s="33">
        <v>1209.24</v>
      </c>
    </row>
    <row r="248" spans="1:12" x14ac:dyDescent="0.25">
      <c r="A248" t="s">
        <v>1326</v>
      </c>
      <c r="B248" t="s">
        <v>1406</v>
      </c>
      <c r="C248" t="s">
        <v>10</v>
      </c>
      <c r="D248" t="s">
        <v>1210</v>
      </c>
      <c r="E248" t="s">
        <v>1194</v>
      </c>
      <c r="F248" t="s">
        <v>1407</v>
      </c>
      <c r="G248" t="s">
        <v>1212</v>
      </c>
      <c r="H248" t="s">
        <v>1478</v>
      </c>
      <c r="I248" t="s">
        <v>1478</v>
      </c>
      <c r="J248" t="s">
        <v>1408</v>
      </c>
      <c r="K248" t="s">
        <v>1390</v>
      </c>
      <c r="L248" s="33">
        <v>575.78</v>
      </c>
    </row>
    <row r="249" spans="1:12" x14ac:dyDescent="0.25">
      <c r="A249" t="s">
        <v>1326</v>
      </c>
      <c r="B249" t="s">
        <v>1462</v>
      </c>
      <c r="C249" t="s">
        <v>10</v>
      </c>
      <c r="D249" t="s">
        <v>1210</v>
      </c>
      <c r="E249" t="s">
        <v>1194</v>
      </c>
      <c r="F249" t="s">
        <v>1463</v>
      </c>
      <c r="G249" t="s">
        <v>1212</v>
      </c>
      <c r="H249" t="s">
        <v>1478</v>
      </c>
      <c r="I249" t="s">
        <v>1478</v>
      </c>
      <c r="J249" t="s">
        <v>1464</v>
      </c>
      <c r="K249" t="s">
        <v>1390</v>
      </c>
      <c r="L249" s="33">
        <v>60</v>
      </c>
    </row>
    <row r="250" spans="1:12" x14ac:dyDescent="0.25">
      <c r="A250" t="s">
        <v>1326</v>
      </c>
      <c r="B250" t="s">
        <v>1409</v>
      </c>
      <c r="C250" t="s">
        <v>10</v>
      </c>
      <c r="D250" t="s">
        <v>1210</v>
      </c>
      <c r="E250" t="s">
        <v>1194</v>
      </c>
      <c r="F250" t="s">
        <v>1410</v>
      </c>
      <c r="G250" t="s">
        <v>1212</v>
      </c>
      <c r="H250" t="s">
        <v>1478</v>
      </c>
      <c r="I250" t="s">
        <v>1478</v>
      </c>
      <c r="J250" t="s">
        <v>1411</v>
      </c>
      <c r="K250" t="s">
        <v>1390</v>
      </c>
      <c r="L250" s="33">
        <v>291</v>
      </c>
    </row>
    <row r="251" spans="1:12" x14ac:dyDescent="0.25">
      <c r="A251" t="s">
        <v>1326</v>
      </c>
      <c r="B251" t="s">
        <v>1412</v>
      </c>
      <c r="C251" t="s">
        <v>10</v>
      </c>
      <c r="D251" t="s">
        <v>1210</v>
      </c>
      <c r="E251" t="s">
        <v>1194</v>
      </c>
      <c r="F251" t="s">
        <v>1413</v>
      </c>
      <c r="G251" t="s">
        <v>1212</v>
      </c>
      <c r="H251" t="s">
        <v>1478</v>
      </c>
      <c r="I251" t="s">
        <v>1478</v>
      </c>
      <c r="J251" t="s">
        <v>1414</v>
      </c>
      <c r="K251" t="s">
        <v>1415</v>
      </c>
      <c r="L251" s="33">
        <v>2787.74</v>
      </c>
    </row>
    <row r="252" spans="1:12" x14ac:dyDescent="0.25">
      <c r="A252" t="s">
        <v>1326</v>
      </c>
      <c r="B252" t="s">
        <v>1416</v>
      </c>
      <c r="C252" t="s">
        <v>10</v>
      </c>
      <c r="D252" t="s">
        <v>1210</v>
      </c>
      <c r="E252" t="s">
        <v>1194</v>
      </c>
      <c r="F252" t="s">
        <v>1417</v>
      </c>
      <c r="G252" t="s">
        <v>1212</v>
      </c>
      <c r="H252" t="s">
        <v>1478</v>
      </c>
      <c r="I252" t="s">
        <v>1478</v>
      </c>
      <c r="J252" t="s">
        <v>1418</v>
      </c>
      <c r="K252" t="s">
        <v>1415</v>
      </c>
      <c r="L252" s="33">
        <v>5857.14</v>
      </c>
    </row>
    <row r="253" spans="1:12" x14ac:dyDescent="0.25">
      <c r="A253" t="s">
        <v>1326</v>
      </c>
      <c r="B253" t="s">
        <v>1429</v>
      </c>
      <c r="C253" t="s">
        <v>10</v>
      </c>
      <c r="D253" t="s">
        <v>1210</v>
      </c>
      <c r="E253" t="s">
        <v>1194</v>
      </c>
      <c r="F253" t="s">
        <v>1430</v>
      </c>
      <c r="G253" t="s">
        <v>1212</v>
      </c>
      <c r="H253" t="s">
        <v>1478</v>
      </c>
      <c r="I253" t="s">
        <v>1478</v>
      </c>
      <c r="J253" t="s">
        <v>1431</v>
      </c>
      <c r="K253" t="s">
        <v>1432</v>
      </c>
      <c r="L253" s="33">
        <v>21.77</v>
      </c>
    </row>
    <row r="254" spans="1:12" x14ac:dyDescent="0.25">
      <c r="A254" t="s">
        <v>1326</v>
      </c>
      <c r="B254" t="s">
        <v>1422</v>
      </c>
      <c r="C254" t="s">
        <v>10</v>
      </c>
      <c r="D254" t="s">
        <v>1210</v>
      </c>
      <c r="E254" t="s">
        <v>1194</v>
      </c>
      <c r="F254" t="s">
        <v>1423</v>
      </c>
      <c r="G254" t="s">
        <v>1212</v>
      </c>
      <c r="H254" t="s">
        <v>1478</v>
      </c>
      <c r="I254" t="s">
        <v>1478</v>
      </c>
      <c r="J254" t="s">
        <v>1424</v>
      </c>
      <c r="K254" t="s">
        <v>1424</v>
      </c>
      <c r="L254" s="33">
        <v>35.14</v>
      </c>
    </row>
    <row r="255" spans="1:12" x14ac:dyDescent="0.25">
      <c r="A255" t="s">
        <v>1479</v>
      </c>
      <c r="B255" t="s">
        <v>1480</v>
      </c>
      <c r="C255" t="s">
        <v>54</v>
      </c>
      <c r="D255" t="s">
        <v>1210</v>
      </c>
      <c r="E255" t="s">
        <v>1194</v>
      </c>
      <c r="F255" t="s">
        <v>1481</v>
      </c>
      <c r="G255" t="s">
        <v>1212</v>
      </c>
      <c r="H255" t="s">
        <v>1213</v>
      </c>
      <c r="I255" t="s">
        <v>1213</v>
      </c>
      <c r="J255" t="s">
        <v>1479</v>
      </c>
      <c r="K255" t="s">
        <v>1482</v>
      </c>
      <c r="L255" s="33">
        <v>-7.9</v>
      </c>
    </row>
    <row r="256" spans="1:12" x14ac:dyDescent="0.25">
      <c r="A256" t="s">
        <v>1483</v>
      </c>
      <c r="B256" t="s">
        <v>1484</v>
      </c>
      <c r="C256" t="s">
        <v>62</v>
      </c>
      <c r="D256" t="s">
        <v>1210</v>
      </c>
      <c r="E256" t="s">
        <v>1194</v>
      </c>
      <c r="F256" t="s">
        <v>1485</v>
      </c>
      <c r="G256" t="s">
        <v>1212</v>
      </c>
      <c r="H256" t="s">
        <v>1213</v>
      </c>
      <c r="I256" t="s">
        <v>1213</v>
      </c>
      <c r="J256" t="s">
        <v>1483</v>
      </c>
      <c r="K256" t="s">
        <v>1482</v>
      </c>
      <c r="L256" s="33">
        <v>7.25</v>
      </c>
    </row>
    <row r="257" spans="1:12" x14ac:dyDescent="0.25">
      <c r="A257" t="s">
        <v>1486</v>
      </c>
      <c r="B257" t="s">
        <v>1487</v>
      </c>
      <c r="C257" t="s">
        <v>127</v>
      </c>
      <c r="D257" t="s">
        <v>1210</v>
      </c>
      <c r="E257" t="s">
        <v>1194</v>
      </c>
      <c r="F257" t="s">
        <v>1488</v>
      </c>
      <c r="G257" t="s">
        <v>1212</v>
      </c>
      <c r="H257" t="s">
        <v>1489</v>
      </c>
      <c r="I257" t="s">
        <v>1489</v>
      </c>
      <c r="J257" t="s">
        <v>1486</v>
      </c>
      <c r="K257" t="s">
        <v>1482</v>
      </c>
      <c r="L257" s="33">
        <v>-0.42</v>
      </c>
    </row>
    <row r="258" spans="1:12" x14ac:dyDescent="0.25">
      <c r="A258" t="s">
        <v>1486</v>
      </c>
      <c r="B258" t="s">
        <v>1487</v>
      </c>
      <c r="C258" t="s">
        <v>127</v>
      </c>
      <c r="D258" t="s">
        <v>1210</v>
      </c>
      <c r="E258" t="s">
        <v>1194</v>
      </c>
      <c r="F258" t="s">
        <v>1488</v>
      </c>
      <c r="G258" t="s">
        <v>1212</v>
      </c>
      <c r="H258" t="s">
        <v>1490</v>
      </c>
      <c r="I258" t="s">
        <v>1490</v>
      </c>
      <c r="J258" t="s">
        <v>1486</v>
      </c>
      <c r="K258" t="s">
        <v>1482</v>
      </c>
      <c r="L258" s="33">
        <v>-0.86</v>
      </c>
    </row>
    <row r="259" spans="1:12" x14ac:dyDescent="0.25">
      <c r="A259" t="s">
        <v>1486</v>
      </c>
      <c r="B259" t="s">
        <v>1487</v>
      </c>
      <c r="C259" t="s">
        <v>127</v>
      </c>
      <c r="D259" t="s">
        <v>1210</v>
      </c>
      <c r="E259" t="s">
        <v>1194</v>
      </c>
      <c r="F259" t="s">
        <v>1488</v>
      </c>
      <c r="G259" t="s">
        <v>1212</v>
      </c>
      <c r="H259" t="s">
        <v>1491</v>
      </c>
      <c r="I259" t="s">
        <v>1491</v>
      </c>
      <c r="J259" t="s">
        <v>1486</v>
      </c>
      <c r="K259" t="s">
        <v>1482</v>
      </c>
      <c r="L259" s="33">
        <v>-1.21</v>
      </c>
    </row>
    <row r="260" spans="1:12" x14ac:dyDescent="0.25">
      <c r="A260" t="s">
        <v>1486</v>
      </c>
      <c r="B260" t="s">
        <v>1487</v>
      </c>
      <c r="C260" t="s">
        <v>127</v>
      </c>
      <c r="D260" t="s">
        <v>1210</v>
      </c>
      <c r="E260" t="s">
        <v>1194</v>
      </c>
      <c r="F260" t="s">
        <v>1488</v>
      </c>
      <c r="G260" t="s">
        <v>1212</v>
      </c>
      <c r="H260" t="s">
        <v>1492</v>
      </c>
      <c r="I260" t="s">
        <v>1492</v>
      </c>
      <c r="J260" t="s">
        <v>1486</v>
      </c>
      <c r="K260" t="s">
        <v>1482</v>
      </c>
      <c r="L260" s="33">
        <v>-0.21</v>
      </c>
    </row>
    <row r="261" spans="1:12" x14ac:dyDescent="0.25">
      <c r="A261" t="s">
        <v>1486</v>
      </c>
      <c r="B261" t="s">
        <v>1487</v>
      </c>
      <c r="C261" t="s">
        <v>127</v>
      </c>
      <c r="D261" t="s">
        <v>1210</v>
      </c>
      <c r="E261" t="s">
        <v>1194</v>
      </c>
      <c r="F261" t="s">
        <v>1488</v>
      </c>
      <c r="G261" t="s">
        <v>1212</v>
      </c>
      <c r="H261" t="s">
        <v>1425</v>
      </c>
      <c r="I261" t="s">
        <v>1425</v>
      </c>
      <c r="J261" t="s">
        <v>1486</v>
      </c>
      <c r="K261" t="s">
        <v>1482</v>
      </c>
      <c r="L261" s="33">
        <v>-0.79</v>
      </c>
    </row>
    <row r="262" spans="1:12" x14ac:dyDescent="0.25">
      <c r="A262" t="s">
        <v>1493</v>
      </c>
      <c r="B262" t="s">
        <v>1494</v>
      </c>
      <c r="C262" t="s">
        <v>127</v>
      </c>
      <c r="D262" t="s">
        <v>1210</v>
      </c>
      <c r="E262" t="s">
        <v>1194</v>
      </c>
      <c r="F262" t="s">
        <v>1495</v>
      </c>
      <c r="G262" t="s">
        <v>1212</v>
      </c>
      <c r="H262" t="s">
        <v>1425</v>
      </c>
      <c r="I262" t="s">
        <v>1425</v>
      </c>
      <c r="J262" t="s">
        <v>1493</v>
      </c>
      <c r="K262" t="s">
        <v>1482</v>
      </c>
      <c r="L262" s="33">
        <v>956.91</v>
      </c>
    </row>
    <row r="263" spans="1:12" x14ac:dyDescent="0.25">
      <c r="A263" t="s">
        <v>1493</v>
      </c>
      <c r="B263" t="s">
        <v>1494</v>
      </c>
      <c r="C263" t="s">
        <v>127</v>
      </c>
      <c r="D263" t="s">
        <v>1210</v>
      </c>
      <c r="E263" t="s">
        <v>1194</v>
      </c>
      <c r="F263" t="s">
        <v>1495</v>
      </c>
      <c r="G263" t="s">
        <v>1212</v>
      </c>
      <c r="H263" t="s">
        <v>1492</v>
      </c>
      <c r="I263" t="s">
        <v>1492</v>
      </c>
      <c r="J263" t="s">
        <v>1493</v>
      </c>
      <c r="K263" t="s">
        <v>1482</v>
      </c>
      <c r="L263" s="33">
        <v>254.69</v>
      </c>
    </row>
    <row r="264" spans="1:12" x14ac:dyDescent="0.25">
      <c r="A264" t="s">
        <v>1493</v>
      </c>
      <c r="B264" t="s">
        <v>1494</v>
      </c>
      <c r="C264" t="s">
        <v>127</v>
      </c>
      <c r="D264" t="s">
        <v>1210</v>
      </c>
      <c r="E264" t="s">
        <v>1194</v>
      </c>
      <c r="F264" t="s">
        <v>1495</v>
      </c>
      <c r="G264" t="s">
        <v>1212</v>
      </c>
      <c r="H264" t="s">
        <v>1491</v>
      </c>
      <c r="I264" t="s">
        <v>1491</v>
      </c>
      <c r="J264" t="s">
        <v>1493</v>
      </c>
      <c r="K264" t="s">
        <v>1482</v>
      </c>
      <c r="L264" s="33">
        <v>1446.14</v>
      </c>
    </row>
    <row r="265" spans="1:12" x14ac:dyDescent="0.25">
      <c r="A265" t="s">
        <v>1493</v>
      </c>
      <c r="B265" t="s">
        <v>1494</v>
      </c>
      <c r="C265" t="s">
        <v>127</v>
      </c>
      <c r="D265" t="s">
        <v>1210</v>
      </c>
      <c r="E265" t="s">
        <v>1194</v>
      </c>
      <c r="F265" t="s">
        <v>1495</v>
      </c>
      <c r="G265" t="s">
        <v>1212</v>
      </c>
      <c r="H265" t="s">
        <v>1490</v>
      </c>
      <c r="I265" t="s">
        <v>1490</v>
      </c>
      <c r="J265" t="s">
        <v>1493</v>
      </c>
      <c r="K265" t="s">
        <v>1482</v>
      </c>
      <c r="L265" s="33">
        <v>1040.3</v>
      </c>
    </row>
    <row r="266" spans="1:12" x14ac:dyDescent="0.25">
      <c r="A266" t="s">
        <v>1493</v>
      </c>
      <c r="B266" t="s">
        <v>1494</v>
      </c>
      <c r="C266" t="s">
        <v>127</v>
      </c>
      <c r="D266" t="s">
        <v>1210</v>
      </c>
      <c r="E266" t="s">
        <v>1194</v>
      </c>
      <c r="F266" t="s">
        <v>1495</v>
      </c>
      <c r="G266" t="s">
        <v>1212</v>
      </c>
      <c r="H266" t="s">
        <v>1489</v>
      </c>
      <c r="I266" t="s">
        <v>1489</v>
      </c>
      <c r="J266" t="s">
        <v>1493</v>
      </c>
      <c r="K266" t="s">
        <v>1482</v>
      </c>
      <c r="L266" s="33">
        <v>509.39</v>
      </c>
    </row>
    <row r="267" spans="1:12" x14ac:dyDescent="0.25">
      <c r="A267" t="s">
        <v>1493</v>
      </c>
      <c r="B267" t="s">
        <v>1494</v>
      </c>
      <c r="C267" t="s">
        <v>127</v>
      </c>
      <c r="D267" t="s">
        <v>1210</v>
      </c>
      <c r="E267" t="s">
        <v>1194</v>
      </c>
      <c r="F267" t="s">
        <v>1495</v>
      </c>
      <c r="G267" t="s">
        <v>1212</v>
      </c>
      <c r="H267" t="s">
        <v>1213</v>
      </c>
      <c r="I267" t="s">
        <v>1213</v>
      </c>
      <c r="J267" t="s">
        <v>1493</v>
      </c>
      <c r="K267" t="s">
        <v>1482</v>
      </c>
      <c r="L267" s="33">
        <v>-2267.7399999999998</v>
      </c>
    </row>
    <row r="268" spans="1:12" x14ac:dyDescent="0.25">
      <c r="A268" t="s">
        <v>1496</v>
      </c>
      <c r="B268" t="s">
        <v>1497</v>
      </c>
      <c r="C268" t="s">
        <v>127</v>
      </c>
      <c r="D268" t="s">
        <v>1210</v>
      </c>
      <c r="E268" t="s">
        <v>1194</v>
      </c>
      <c r="F268" t="s">
        <v>1498</v>
      </c>
      <c r="G268" t="s">
        <v>1212</v>
      </c>
      <c r="H268" t="s">
        <v>1213</v>
      </c>
      <c r="I268" t="s">
        <v>1213</v>
      </c>
      <c r="J268" t="s">
        <v>1496</v>
      </c>
      <c r="K268" t="s">
        <v>1482</v>
      </c>
      <c r="L268" s="33">
        <v>16358</v>
      </c>
    </row>
    <row r="269" spans="1:12" x14ac:dyDescent="0.25">
      <c r="A269" t="s">
        <v>1496</v>
      </c>
      <c r="B269" t="s">
        <v>1497</v>
      </c>
      <c r="C269" t="s">
        <v>127</v>
      </c>
      <c r="D269" t="s">
        <v>1210</v>
      </c>
      <c r="E269" t="s">
        <v>1194</v>
      </c>
      <c r="F269" t="s">
        <v>1498</v>
      </c>
      <c r="G269" t="s">
        <v>1212</v>
      </c>
      <c r="H269" t="s">
        <v>1489</v>
      </c>
      <c r="I269" t="s">
        <v>1489</v>
      </c>
      <c r="J269" t="s">
        <v>1496</v>
      </c>
      <c r="K269" t="s">
        <v>1482</v>
      </c>
      <c r="L269" s="33">
        <v>-2602.85</v>
      </c>
    </row>
    <row r="270" spans="1:12" x14ac:dyDescent="0.25">
      <c r="A270" t="s">
        <v>1496</v>
      </c>
      <c r="B270" t="s">
        <v>1497</v>
      </c>
      <c r="C270" t="s">
        <v>127</v>
      </c>
      <c r="D270" t="s">
        <v>1210</v>
      </c>
      <c r="E270" t="s">
        <v>1194</v>
      </c>
      <c r="F270" t="s">
        <v>1498</v>
      </c>
      <c r="G270" t="s">
        <v>1212</v>
      </c>
      <c r="H270" t="s">
        <v>1490</v>
      </c>
      <c r="I270" t="s">
        <v>1490</v>
      </c>
      <c r="J270" t="s">
        <v>1496</v>
      </c>
      <c r="K270" t="s">
        <v>1482</v>
      </c>
      <c r="L270" s="33">
        <v>-5315.46</v>
      </c>
    </row>
    <row r="271" spans="1:12" x14ac:dyDescent="0.25">
      <c r="A271" t="s">
        <v>1496</v>
      </c>
      <c r="B271" t="s">
        <v>1497</v>
      </c>
      <c r="C271" t="s">
        <v>127</v>
      </c>
      <c r="D271" t="s">
        <v>1210</v>
      </c>
      <c r="E271" t="s">
        <v>1194</v>
      </c>
      <c r="F271" t="s">
        <v>1498</v>
      </c>
      <c r="G271" t="s">
        <v>1212</v>
      </c>
      <c r="H271" t="s">
        <v>1491</v>
      </c>
      <c r="I271" t="s">
        <v>1491</v>
      </c>
      <c r="J271" t="s">
        <v>1496</v>
      </c>
      <c r="K271" t="s">
        <v>1482</v>
      </c>
      <c r="L271" s="33">
        <v>-7388.97</v>
      </c>
    </row>
    <row r="272" spans="1:12" x14ac:dyDescent="0.25">
      <c r="A272" t="s">
        <v>1496</v>
      </c>
      <c r="B272" t="s">
        <v>1497</v>
      </c>
      <c r="C272" t="s">
        <v>127</v>
      </c>
      <c r="D272" t="s">
        <v>1210</v>
      </c>
      <c r="E272" t="s">
        <v>1194</v>
      </c>
      <c r="F272" t="s">
        <v>1498</v>
      </c>
      <c r="G272" t="s">
        <v>1212</v>
      </c>
      <c r="H272" t="s">
        <v>1492</v>
      </c>
      <c r="I272" t="s">
        <v>1492</v>
      </c>
      <c r="J272" t="s">
        <v>1496</v>
      </c>
      <c r="K272" t="s">
        <v>1482</v>
      </c>
      <c r="L272" s="33">
        <v>-1301.42</v>
      </c>
    </row>
    <row r="273" spans="1:12" x14ac:dyDescent="0.25">
      <c r="A273" t="s">
        <v>1496</v>
      </c>
      <c r="B273" t="s">
        <v>1497</v>
      </c>
      <c r="C273" t="s">
        <v>127</v>
      </c>
      <c r="D273" t="s">
        <v>1210</v>
      </c>
      <c r="E273" t="s">
        <v>1194</v>
      </c>
      <c r="F273" t="s">
        <v>1498</v>
      </c>
      <c r="G273" t="s">
        <v>1212</v>
      </c>
      <c r="H273" t="s">
        <v>1425</v>
      </c>
      <c r="I273" t="s">
        <v>1425</v>
      </c>
      <c r="J273" t="s">
        <v>1496</v>
      </c>
      <c r="K273" t="s">
        <v>1482</v>
      </c>
      <c r="L273" s="33">
        <v>-4889.3999999999996</v>
      </c>
    </row>
    <row r="274" spans="1:12" x14ac:dyDescent="0.25">
      <c r="A274" t="s">
        <v>1499</v>
      </c>
      <c r="B274" t="s">
        <v>1500</v>
      </c>
      <c r="C274" t="s">
        <v>129</v>
      </c>
      <c r="D274" t="s">
        <v>1210</v>
      </c>
      <c r="E274" t="s">
        <v>1194</v>
      </c>
      <c r="F274" t="s">
        <v>1501</v>
      </c>
      <c r="G274" t="s">
        <v>1212</v>
      </c>
      <c r="H274" t="s">
        <v>1213</v>
      </c>
      <c r="I274" t="s">
        <v>1213</v>
      </c>
      <c r="J274" t="s">
        <v>1499</v>
      </c>
      <c r="K274" t="s">
        <v>1482</v>
      </c>
      <c r="L274" s="33">
        <v>1073.92</v>
      </c>
    </row>
    <row r="275" spans="1:12" x14ac:dyDescent="0.25">
      <c r="A275" t="s">
        <v>1502</v>
      </c>
      <c r="B275" t="s">
        <v>1503</v>
      </c>
      <c r="C275" t="s">
        <v>129</v>
      </c>
      <c r="D275" t="s">
        <v>1210</v>
      </c>
      <c r="E275" t="s">
        <v>1194</v>
      </c>
      <c r="F275" t="s">
        <v>1504</v>
      </c>
      <c r="G275" t="s">
        <v>1212</v>
      </c>
      <c r="H275" t="s">
        <v>1213</v>
      </c>
      <c r="I275" t="s">
        <v>1213</v>
      </c>
      <c r="J275" t="s">
        <v>1502</v>
      </c>
      <c r="K275" t="s">
        <v>1482</v>
      </c>
      <c r="L275" s="33">
        <v>-1.26</v>
      </c>
    </row>
    <row r="276" spans="1:12" x14ac:dyDescent="0.25">
      <c r="A276" t="s">
        <v>1502</v>
      </c>
      <c r="B276" t="s">
        <v>1503</v>
      </c>
      <c r="C276" t="s">
        <v>129</v>
      </c>
      <c r="D276" t="s">
        <v>1210</v>
      </c>
      <c r="E276" t="s">
        <v>1194</v>
      </c>
      <c r="F276" t="s">
        <v>1504</v>
      </c>
      <c r="G276" t="s">
        <v>1212</v>
      </c>
      <c r="H276" t="s">
        <v>1489</v>
      </c>
      <c r="I276" t="s">
        <v>1489</v>
      </c>
      <c r="J276" t="s">
        <v>1502</v>
      </c>
      <c r="K276" t="s">
        <v>1482</v>
      </c>
      <c r="L276" s="33">
        <v>0.15</v>
      </c>
    </row>
    <row r="277" spans="1:12" x14ac:dyDescent="0.25">
      <c r="A277" t="s">
        <v>1502</v>
      </c>
      <c r="B277" t="s">
        <v>1503</v>
      </c>
      <c r="C277" t="s">
        <v>129</v>
      </c>
      <c r="D277" t="s">
        <v>1210</v>
      </c>
      <c r="E277" t="s">
        <v>1194</v>
      </c>
      <c r="F277" t="s">
        <v>1504</v>
      </c>
      <c r="G277" t="s">
        <v>1212</v>
      </c>
      <c r="H277" t="s">
        <v>1490</v>
      </c>
      <c r="I277" t="s">
        <v>1490</v>
      </c>
      <c r="J277" t="s">
        <v>1502</v>
      </c>
      <c r="K277" t="s">
        <v>1482</v>
      </c>
      <c r="L277" s="33">
        <v>0.31</v>
      </c>
    </row>
    <row r="278" spans="1:12" x14ac:dyDescent="0.25">
      <c r="A278" t="s">
        <v>1502</v>
      </c>
      <c r="B278" t="s">
        <v>1503</v>
      </c>
      <c r="C278" t="s">
        <v>129</v>
      </c>
      <c r="D278" t="s">
        <v>1210</v>
      </c>
      <c r="E278" t="s">
        <v>1194</v>
      </c>
      <c r="F278" t="s">
        <v>1504</v>
      </c>
      <c r="G278" t="s">
        <v>1212</v>
      </c>
      <c r="H278" t="s">
        <v>1425</v>
      </c>
      <c r="I278" t="s">
        <v>1425</v>
      </c>
      <c r="J278" t="s">
        <v>1502</v>
      </c>
      <c r="K278" t="s">
        <v>1482</v>
      </c>
      <c r="L278" s="33">
        <v>0.28999999999999998</v>
      </c>
    </row>
    <row r="279" spans="1:12" x14ac:dyDescent="0.25">
      <c r="A279" t="s">
        <v>1502</v>
      </c>
      <c r="B279" t="s">
        <v>1503</v>
      </c>
      <c r="C279" t="s">
        <v>129</v>
      </c>
      <c r="D279" t="s">
        <v>1210</v>
      </c>
      <c r="E279" t="s">
        <v>1194</v>
      </c>
      <c r="F279" t="s">
        <v>1504</v>
      </c>
      <c r="G279" t="s">
        <v>1212</v>
      </c>
      <c r="H279" t="s">
        <v>1492</v>
      </c>
      <c r="I279" t="s">
        <v>1492</v>
      </c>
      <c r="J279" t="s">
        <v>1502</v>
      </c>
      <c r="K279" t="s">
        <v>1482</v>
      </c>
      <c r="L279" s="33">
        <v>0.08</v>
      </c>
    </row>
    <row r="280" spans="1:12" x14ac:dyDescent="0.25">
      <c r="A280" t="s">
        <v>1502</v>
      </c>
      <c r="B280" t="s">
        <v>1503</v>
      </c>
      <c r="C280" t="s">
        <v>129</v>
      </c>
      <c r="D280" t="s">
        <v>1210</v>
      </c>
      <c r="E280" t="s">
        <v>1194</v>
      </c>
      <c r="F280" t="s">
        <v>1504</v>
      </c>
      <c r="G280" t="s">
        <v>1212</v>
      </c>
      <c r="H280" t="s">
        <v>1491</v>
      </c>
      <c r="I280" t="s">
        <v>1491</v>
      </c>
      <c r="J280" t="s">
        <v>1502</v>
      </c>
      <c r="K280" t="s">
        <v>1482</v>
      </c>
      <c r="L280" s="33">
        <v>0.43</v>
      </c>
    </row>
    <row r="281" spans="1:12" x14ac:dyDescent="0.25">
      <c r="A281" t="s">
        <v>1505</v>
      </c>
      <c r="B281" t="s">
        <v>1506</v>
      </c>
      <c r="C281" t="s">
        <v>129</v>
      </c>
      <c r="D281" t="s">
        <v>1210</v>
      </c>
      <c r="E281" t="s">
        <v>1194</v>
      </c>
      <c r="F281" t="s">
        <v>1507</v>
      </c>
      <c r="G281" t="s">
        <v>1212</v>
      </c>
      <c r="H281" t="s">
        <v>1491</v>
      </c>
      <c r="I281" t="s">
        <v>1491</v>
      </c>
      <c r="J281" t="s">
        <v>1505</v>
      </c>
      <c r="K281" t="s">
        <v>1482</v>
      </c>
      <c r="L281" s="33">
        <v>-69.78</v>
      </c>
    </row>
    <row r="282" spans="1:12" x14ac:dyDescent="0.25">
      <c r="A282" t="s">
        <v>1505</v>
      </c>
      <c r="B282" t="s">
        <v>1506</v>
      </c>
      <c r="C282" t="s">
        <v>129</v>
      </c>
      <c r="D282" t="s">
        <v>1210</v>
      </c>
      <c r="E282" t="s">
        <v>1194</v>
      </c>
      <c r="F282" t="s">
        <v>1507</v>
      </c>
      <c r="G282" t="s">
        <v>1212</v>
      </c>
      <c r="H282" t="s">
        <v>1492</v>
      </c>
      <c r="I282" t="s">
        <v>1492</v>
      </c>
      <c r="J282" t="s">
        <v>1505</v>
      </c>
      <c r="K282" t="s">
        <v>1482</v>
      </c>
      <c r="L282" s="33">
        <v>-12.28</v>
      </c>
    </row>
    <row r="283" spans="1:12" x14ac:dyDescent="0.25">
      <c r="A283" t="s">
        <v>1505</v>
      </c>
      <c r="B283" t="s">
        <v>1506</v>
      </c>
      <c r="C283" t="s">
        <v>129</v>
      </c>
      <c r="D283" t="s">
        <v>1210</v>
      </c>
      <c r="E283" t="s">
        <v>1194</v>
      </c>
      <c r="F283" t="s">
        <v>1507</v>
      </c>
      <c r="G283" t="s">
        <v>1212</v>
      </c>
      <c r="H283" t="s">
        <v>1425</v>
      </c>
      <c r="I283" t="s">
        <v>1425</v>
      </c>
      <c r="J283" t="s">
        <v>1505</v>
      </c>
      <c r="K283" t="s">
        <v>1482</v>
      </c>
      <c r="L283" s="33">
        <v>-46.17</v>
      </c>
    </row>
    <row r="284" spans="1:12" x14ac:dyDescent="0.25">
      <c r="A284" t="s">
        <v>1505</v>
      </c>
      <c r="B284" t="s">
        <v>1506</v>
      </c>
      <c r="C284" t="s">
        <v>129</v>
      </c>
      <c r="D284" t="s">
        <v>1210</v>
      </c>
      <c r="E284" t="s">
        <v>1194</v>
      </c>
      <c r="F284" t="s">
        <v>1507</v>
      </c>
      <c r="G284" t="s">
        <v>1212</v>
      </c>
      <c r="H284" t="s">
        <v>1490</v>
      </c>
      <c r="I284" t="s">
        <v>1490</v>
      </c>
      <c r="J284" t="s">
        <v>1505</v>
      </c>
      <c r="K284" t="s">
        <v>1482</v>
      </c>
      <c r="L284" s="33">
        <v>-50.19</v>
      </c>
    </row>
    <row r="285" spans="1:12" x14ac:dyDescent="0.25">
      <c r="A285" t="s">
        <v>1505</v>
      </c>
      <c r="B285" t="s">
        <v>1506</v>
      </c>
      <c r="C285" t="s">
        <v>129</v>
      </c>
      <c r="D285" t="s">
        <v>1210</v>
      </c>
      <c r="E285" t="s">
        <v>1194</v>
      </c>
      <c r="F285" t="s">
        <v>1507</v>
      </c>
      <c r="G285" t="s">
        <v>1212</v>
      </c>
      <c r="H285" t="s">
        <v>1489</v>
      </c>
      <c r="I285" t="s">
        <v>1489</v>
      </c>
      <c r="J285" t="s">
        <v>1505</v>
      </c>
      <c r="K285" t="s">
        <v>1482</v>
      </c>
      <c r="L285" s="33">
        <v>-24.58</v>
      </c>
    </row>
    <row r="286" spans="1:12" x14ac:dyDescent="0.25">
      <c r="A286" t="s">
        <v>1505</v>
      </c>
      <c r="B286" t="s">
        <v>1506</v>
      </c>
      <c r="C286" t="s">
        <v>129</v>
      </c>
      <c r="D286" t="s">
        <v>1210</v>
      </c>
      <c r="E286" t="s">
        <v>1194</v>
      </c>
      <c r="F286" t="s">
        <v>1507</v>
      </c>
      <c r="G286" t="s">
        <v>1212</v>
      </c>
      <c r="H286" t="s">
        <v>1213</v>
      </c>
      <c r="I286" t="s">
        <v>1213</v>
      </c>
      <c r="J286" t="s">
        <v>1505</v>
      </c>
      <c r="K286" t="s">
        <v>1482</v>
      </c>
      <c r="L286" s="33">
        <v>163.38999999999999</v>
      </c>
    </row>
    <row r="287" spans="1:12" x14ac:dyDescent="0.25">
      <c r="A287" t="s">
        <v>41</v>
      </c>
      <c r="B287" t="s">
        <v>1508</v>
      </c>
      <c r="C287" t="s">
        <v>41</v>
      </c>
      <c r="D287" t="s">
        <v>1210</v>
      </c>
      <c r="E287" t="s">
        <v>1194</v>
      </c>
      <c r="F287" t="s">
        <v>1509</v>
      </c>
      <c r="G287" t="s">
        <v>1212</v>
      </c>
      <c r="H287" t="s">
        <v>1213</v>
      </c>
      <c r="I287" t="s">
        <v>1213</v>
      </c>
      <c r="J287" t="s">
        <v>41</v>
      </c>
      <c r="K287" t="s">
        <v>1482</v>
      </c>
      <c r="L287" s="33">
        <v>68069</v>
      </c>
    </row>
    <row r="288" spans="1:12" x14ac:dyDescent="0.25">
      <c r="A288" t="s">
        <v>1510</v>
      </c>
      <c r="B288" t="s">
        <v>1511</v>
      </c>
      <c r="C288" t="s">
        <v>48</v>
      </c>
      <c r="D288" t="s">
        <v>1210</v>
      </c>
      <c r="E288" t="s">
        <v>1194</v>
      </c>
      <c r="F288" t="s">
        <v>1249</v>
      </c>
      <c r="G288" t="s">
        <v>1250</v>
      </c>
      <c r="H288" t="s">
        <v>1213</v>
      </c>
      <c r="I288" t="s">
        <v>1213</v>
      </c>
      <c r="J288" t="s">
        <v>1510</v>
      </c>
      <c r="K288" t="s">
        <v>1482</v>
      </c>
      <c r="L288" s="33">
        <v>-1343.21</v>
      </c>
    </row>
    <row r="289" spans="1:12" x14ac:dyDescent="0.25">
      <c r="A289" t="s">
        <v>1512</v>
      </c>
      <c r="B289" t="s">
        <v>1513</v>
      </c>
      <c r="C289" t="s">
        <v>177</v>
      </c>
      <c r="D289" t="s">
        <v>1210</v>
      </c>
      <c r="E289" t="s">
        <v>1194</v>
      </c>
      <c r="F289" t="s">
        <v>1514</v>
      </c>
      <c r="G289" t="s">
        <v>1212</v>
      </c>
      <c r="H289" t="s">
        <v>1213</v>
      </c>
      <c r="I289" t="s">
        <v>1213</v>
      </c>
      <c r="J289" t="s">
        <v>1512</v>
      </c>
      <c r="K289" t="s">
        <v>1482</v>
      </c>
      <c r="L289" s="33">
        <v>-0.01</v>
      </c>
    </row>
    <row r="290" spans="1:12" x14ac:dyDescent="0.25">
      <c r="A290" t="s">
        <v>1512</v>
      </c>
      <c r="B290" t="s">
        <v>1513</v>
      </c>
      <c r="C290" t="s">
        <v>177</v>
      </c>
      <c r="D290" t="s">
        <v>1210</v>
      </c>
      <c r="E290" t="s">
        <v>1194</v>
      </c>
      <c r="F290" t="s">
        <v>1514</v>
      </c>
      <c r="G290" t="s">
        <v>1212</v>
      </c>
      <c r="H290" t="s">
        <v>1489</v>
      </c>
      <c r="I290" t="s">
        <v>1489</v>
      </c>
      <c r="J290" t="s">
        <v>1512</v>
      </c>
      <c r="K290" t="s">
        <v>1482</v>
      </c>
      <c r="L290" s="33">
        <v>-0.04</v>
      </c>
    </row>
    <row r="291" spans="1:12" x14ac:dyDescent="0.25">
      <c r="A291" t="s">
        <v>1512</v>
      </c>
      <c r="B291" t="s">
        <v>1513</v>
      </c>
      <c r="C291" t="s">
        <v>177</v>
      </c>
      <c r="D291" t="s">
        <v>1210</v>
      </c>
      <c r="E291" t="s">
        <v>1194</v>
      </c>
      <c r="F291" t="s">
        <v>1514</v>
      </c>
      <c r="G291" t="s">
        <v>1212</v>
      </c>
      <c r="H291" t="s">
        <v>1490</v>
      </c>
      <c r="I291" t="s">
        <v>1490</v>
      </c>
      <c r="J291" t="s">
        <v>1512</v>
      </c>
      <c r="K291" t="s">
        <v>1482</v>
      </c>
      <c r="L291" s="33">
        <v>-0.08</v>
      </c>
    </row>
    <row r="292" spans="1:12" x14ac:dyDescent="0.25">
      <c r="A292" t="s">
        <v>1512</v>
      </c>
      <c r="B292" t="s">
        <v>1513</v>
      </c>
      <c r="C292" t="s">
        <v>177</v>
      </c>
      <c r="D292" t="s">
        <v>1210</v>
      </c>
      <c r="E292" t="s">
        <v>1194</v>
      </c>
      <c r="F292" t="s">
        <v>1514</v>
      </c>
      <c r="G292" t="s">
        <v>1212</v>
      </c>
      <c r="H292" t="s">
        <v>1425</v>
      </c>
      <c r="I292" t="s">
        <v>1425</v>
      </c>
      <c r="J292" t="s">
        <v>1512</v>
      </c>
      <c r="K292" t="s">
        <v>1482</v>
      </c>
      <c r="L292" s="33">
        <v>-0.08</v>
      </c>
    </row>
    <row r="293" spans="1:12" x14ac:dyDescent="0.25">
      <c r="A293" t="s">
        <v>1512</v>
      </c>
      <c r="B293" t="s">
        <v>1513</v>
      </c>
      <c r="C293" t="s">
        <v>177</v>
      </c>
      <c r="D293" t="s">
        <v>1210</v>
      </c>
      <c r="E293" t="s">
        <v>1194</v>
      </c>
      <c r="F293" t="s">
        <v>1514</v>
      </c>
      <c r="G293" t="s">
        <v>1212</v>
      </c>
      <c r="H293" t="s">
        <v>1492</v>
      </c>
      <c r="I293" t="s">
        <v>1492</v>
      </c>
      <c r="J293" t="s">
        <v>1512</v>
      </c>
      <c r="K293" t="s">
        <v>1482</v>
      </c>
      <c r="L293" s="33">
        <v>-0.02</v>
      </c>
    </row>
    <row r="294" spans="1:12" x14ac:dyDescent="0.25">
      <c r="A294" t="s">
        <v>1512</v>
      </c>
      <c r="B294" t="s">
        <v>1513</v>
      </c>
      <c r="C294" t="s">
        <v>177</v>
      </c>
      <c r="D294" t="s">
        <v>1210</v>
      </c>
      <c r="E294" t="s">
        <v>1194</v>
      </c>
      <c r="F294" t="s">
        <v>1514</v>
      </c>
      <c r="G294" t="s">
        <v>1212</v>
      </c>
      <c r="H294" t="s">
        <v>1491</v>
      </c>
      <c r="I294" t="s">
        <v>1491</v>
      </c>
      <c r="J294" t="s">
        <v>1512</v>
      </c>
      <c r="K294" t="s">
        <v>1482</v>
      </c>
      <c r="L294" s="33">
        <v>-0.11</v>
      </c>
    </row>
    <row r="295" spans="1:12" x14ac:dyDescent="0.25">
      <c r="A295" t="s">
        <v>1515</v>
      </c>
      <c r="B295" t="s">
        <v>1516</v>
      </c>
      <c r="C295" t="s">
        <v>169</v>
      </c>
      <c r="D295" t="s">
        <v>1210</v>
      </c>
      <c r="E295" t="s">
        <v>1194</v>
      </c>
      <c r="F295" t="s">
        <v>1517</v>
      </c>
      <c r="G295" t="s">
        <v>1212</v>
      </c>
      <c r="H295" t="s">
        <v>1491</v>
      </c>
      <c r="I295" t="s">
        <v>1491</v>
      </c>
      <c r="J295" t="s">
        <v>1515</v>
      </c>
      <c r="K295" t="s">
        <v>1482</v>
      </c>
      <c r="L295" s="33">
        <v>211.61</v>
      </c>
    </row>
    <row r="296" spans="1:12" x14ac:dyDescent="0.25">
      <c r="A296" t="s">
        <v>1515</v>
      </c>
      <c r="B296" t="s">
        <v>1516</v>
      </c>
      <c r="C296" t="s">
        <v>169</v>
      </c>
      <c r="D296" t="s">
        <v>1210</v>
      </c>
      <c r="E296" t="s">
        <v>1194</v>
      </c>
      <c r="F296" t="s">
        <v>1517</v>
      </c>
      <c r="G296" t="s">
        <v>1212</v>
      </c>
      <c r="H296" t="s">
        <v>1492</v>
      </c>
      <c r="I296" t="s">
        <v>1492</v>
      </c>
      <c r="J296" t="s">
        <v>1515</v>
      </c>
      <c r="K296" t="s">
        <v>1482</v>
      </c>
      <c r="L296" s="33">
        <v>37.26</v>
      </c>
    </row>
    <row r="297" spans="1:12" x14ac:dyDescent="0.25">
      <c r="A297" t="s">
        <v>1515</v>
      </c>
      <c r="B297" t="s">
        <v>1516</v>
      </c>
      <c r="C297" t="s">
        <v>169</v>
      </c>
      <c r="D297" t="s">
        <v>1210</v>
      </c>
      <c r="E297" t="s">
        <v>1194</v>
      </c>
      <c r="F297" t="s">
        <v>1517</v>
      </c>
      <c r="G297" t="s">
        <v>1212</v>
      </c>
      <c r="H297" t="s">
        <v>1425</v>
      </c>
      <c r="I297" t="s">
        <v>1425</v>
      </c>
      <c r="J297" t="s">
        <v>1515</v>
      </c>
      <c r="K297" t="s">
        <v>1482</v>
      </c>
      <c r="L297" s="33">
        <v>140.03</v>
      </c>
    </row>
    <row r="298" spans="1:12" x14ac:dyDescent="0.25">
      <c r="A298" t="s">
        <v>1515</v>
      </c>
      <c r="B298" t="s">
        <v>1516</v>
      </c>
      <c r="C298" t="s">
        <v>169</v>
      </c>
      <c r="D298" t="s">
        <v>1210</v>
      </c>
      <c r="E298" t="s">
        <v>1194</v>
      </c>
      <c r="F298" t="s">
        <v>1517</v>
      </c>
      <c r="G298" t="s">
        <v>1212</v>
      </c>
      <c r="H298" t="s">
        <v>1490</v>
      </c>
      <c r="I298" t="s">
        <v>1490</v>
      </c>
      <c r="J298" t="s">
        <v>1515</v>
      </c>
      <c r="K298" t="s">
        <v>1482</v>
      </c>
      <c r="L298" s="33">
        <v>152.22999999999999</v>
      </c>
    </row>
    <row r="299" spans="1:12" x14ac:dyDescent="0.25">
      <c r="A299" t="s">
        <v>1515</v>
      </c>
      <c r="B299" t="s">
        <v>1516</v>
      </c>
      <c r="C299" t="s">
        <v>169</v>
      </c>
      <c r="D299" t="s">
        <v>1210</v>
      </c>
      <c r="E299" t="s">
        <v>1194</v>
      </c>
      <c r="F299" t="s">
        <v>1517</v>
      </c>
      <c r="G299" t="s">
        <v>1212</v>
      </c>
      <c r="H299" t="s">
        <v>1489</v>
      </c>
      <c r="I299" t="s">
        <v>1489</v>
      </c>
      <c r="J299" t="s">
        <v>1515</v>
      </c>
      <c r="K299" t="s">
        <v>1482</v>
      </c>
      <c r="L299" s="33">
        <v>109.55</v>
      </c>
    </row>
    <row r="300" spans="1:12" x14ac:dyDescent="0.25">
      <c r="A300" t="s">
        <v>1515</v>
      </c>
      <c r="B300" t="s">
        <v>1516</v>
      </c>
      <c r="C300" t="s">
        <v>169</v>
      </c>
      <c r="D300" t="s">
        <v>1210</v>
      </c>
      <c r="E300" t="s">
        <v>1194</v>
      </c>
      <c r="F300" t="s">
        <v>1517</v>
      </c>
      <c r="G300" t="s">
        <v>1212</v>
      </c>
      <c r="H300" t="s">
        <v>1213</v>
      </c>
      <c r="I300" t="s">
        <v>1213</v>
      </c>
      <c r="J300" t="s">
        <v>1515</v>
      </c>
      <c r="K300" t="s">
        <v>1482</v>
      </c>
      <c r="L300" s="33">
        <v>235.5</v>
      </c>
    </row>
    <row r="301" spans="1:12" x14ac:dyDescent="0.25">
      <c r="A301" t="s">
        <v>143</v>
      </c>
      <c r="B301" t="s">
        <v>142</v>
      </c>
      <c r="C301" t="s">
        <v>143</v>
      </c>
      <c r="D301" t="s">
        <v>1210</v>
      </c>
      <c r="E301" t="s">
        <v>1194</v>
      </c>
      <c r="F301" t="s">
        <v>1252</v>
      </c>
      <c r="G301" t="s">
        <v>1253</v>
      </c>
      <c r="H301" t="s">
        <v>1213</v>
      </c>
      <c r="I301" t="s">
        <v>1213</v>
      </c>
      <c r="J301" t="s">
        <v>143</v>
      </c>
      <c r="K301" t="s">
        <v>1482</v>
      </c>
      <c r="L301" s="33">
        <v>-715474.5</v>
      </c>
    </row>
    <row r="302" spans="1:12" x14ac:dyDescent="0.25">
      <c r="A302" t="s">
        <v>1518</v>
      </c>
      <c r="B302" t="s">
        <v>1519</v>
      </c>
      <c r="C302" t="s">
        <v>143</v>
      </c>
      <c r="D302" t="s">
        <v>1210</v>
      </c>
      <c r="E302" t="s">
        <v>1194</v>
      </c>
      <c r="F302" t="s">
        <v>1252</v>
      </c>
      <c r="G302" t="s">
        <v>1253</v>
      </c>
      <c r="H302" t="s">
        <v>1213</v>
      </c>
      <c r="I302" t="s">
        <v>1213</v>
      </c>
      <c r="J302" t="s">
        <v>1518</v>
      </c>
      <c r="K302" t="s">
        <v>1482</v>
      </c>
      <c r="L302" s="33">
        <v>-538200</v>
      </c>
    </row>
    <row r="303" spans="1:12" x14ac:dyDescent="0.25">
      <c r="A303" t="s">
        <v>133</v>
      </c>
      <c r="B303" t="s">
        <v>132</v>
      </c>
      <c r="C303" t="s">
        <v>133</v>
      </c>
      <c r="D303" t="s">
        <v>1210</v>
      </c>
      <c r="E303" t="s">
        <v>1194</v>
      </c>
      <c r="F303" t="s">
        <v>1278</v>
      </c>
      <c r="G303" t="s">
        <v>1279</v>
      </c>
      <c r="H303" t="s">
        <v>1213</v>
      </c>
      <c r="I303" t="s">
        <v>1213</v>
      </c>
      <c r="J303" t="s">
        <v>133</v>
      </c>
      <c r="K303" t="s">
        <v>1482</v>
      </c>
      <c r="L303" s="33">
        <v>24466.959999999999</v>
      </c>
    </row>
    <row r="304" spans="1:12" x14ac:dyDescent="0.25">
      <c r="A304" t="s">
        <v>1520</v>
      </c>
      <c r="B304" t="s">
        <v>1327</v>
      </c>
      <c r="C304" t="s">
        <v>9</v>
      </c>
      <c r="D304" t="s">
        <v>1210</v>
      </c>
      <c r="E304" t="s">
        <v>1194</v>
      </c>
      <c r="F304" t="s">
        <v>1328</v>
      </c>
      <c r="G304" t="s">
        <v>1212</v>
      </c>
      <c r="H304" t="s">
        <v>1521</v>
      </c>
      <c r="I304" t="s">
        <v>1521</v>
      </c>
      <c r="J304" t="s">
        <v>1330</v>
      </c>
      <c r="K304" t="s">
        <v>1330</v>
      </c>
      <c r="L304" s="33">
        <v>13715.56</v>
      </c>
    </row>
    <row r="305" spans="1:12" x14ac:dyDescent="0.25">
      <c r="A305" t="s">
        <v>1520</v>
      </c>
      <c r="B305" t="s">
        <v>1447</v>
      </c>
      <c r="C305" t="s">
        <v>9</v>
      </c>
      <c r="D305" t="s">
        <v>1210</v>
      </c>
      <c r="E305" t="s">
        <v>1194</v>
      </c>
      <c r="F305" t="s">
        <v>1448</v>
      </c>
      <c r="G305" t="s">
        <v>1212</v>
      </c>
      <c r="H305" t="s">
        <v>1521</v>
      </c>
      <c r="I305" t="s">
        <v>1521</v>
      </c>
      <c r="J305" t="s">
        <v>1449</v>
      </c>
      <c r="K305" t="s">
        <v>1334</v>
      </c>
      <c r="L305" s="33">
        <v>556.5</v>
      </c>
    </row>
    <row r="306" spans="1:12" x14ac:dyDescent="0.25">
      <c r="A306" t="s">
        <v>1520</v>
      </c>
      <c r="B306" t="s">
        <v>1450</v>
      </c>
      <c r="C306" t="s">
        <v>9</v>
      </c>
      <c r="D306" t="s">
        <v>1210</v>
      </c>
      <c r="E306" t="s">
        <v>1194</v>
      </c>
      <c r="F306" t="s">
        <v>1451</v>
      </c>
      <c r="G306" t="s">
        <v>1212</v>
      </c>
      <c r="H306" t="s">
        <v>1521</v>
      </c>
      <c r="I306" t="s">
        <v>1521</v>
      </c>
      <c r="J306" t="s">
        <v>1452</v>
      </c>
      <c r="K306" t="s">
        <v>1330</v>
      </c>
      <c r="L306" s="33">
        <v>-556.5</v>
      </c>
    </row>
    <row r="307" spans="1:12" x14ac:dyDescent="0.25">
      <c r="A307" t="s">
        <v>1520</v>
      </c>
      <c r="B307" t="s">
        <v>1338</v>
      </c>
      <c r="C307" t="s">
        <v>9</v>
      </c>
      <c r="D307" t="s">
        <v>1210</v>
      </c>
      <c r="E307" t="s">
        <v>1194</v>
      </c>
      <c r="F307" t="s">
        <v>1339</v>
      </c>
      <c r="G307" t="s">
        <v>1212</v>
      </c>
      <c r="H307" t="s">
        <v>1521</v>
      </c>
      <c r="I307" t="s">
        <v>1521</v>
      </c>
      <c r="J307" t="s">
        <v>1340</v>
      </c>
      <c r="K307" t="s">
        <v>1334</v>
      </c>
      <c r="L307" s="33">
        <v>66.5</v>
      </c>
    </row>
    <row r="308" spans="1:12" x14ac:dyDescent="0.25">
      <c r="A308" t="s">
        <v>1520</v>
      </c>
      <c r="B308" t="s">
        <v>1341</v>
      </c>
      <c r="C308" t="s">
        <v>9</v>
      </c>
      <c r="D308" t="s">
        <v>1210</v>
      </c>
      <c r="E308" t="s">
        <v>1194</v>
      </c>
      <c r="F308" t="s">
        <v>1342</v>
      </c>
      <c r="G308" t="s">
        <v>1212</v>
      </c>
      <c r="H308" t="s">
        <v>1521</v>
      </c>
      <c r="I308" t="s">
        <v>1521</v>
      </c>
      <c r="J308" t="s">
        <v>1343</v>
      </c>
      <c r="K308" t="s">
        <v>1334</v>
      </c>
      <c r="L308" s="33">
        <v>150</v>
      </c>
    </row>
    <row r="309" spans="1:12" x14ac:dyDescent="0.25">
      <c r="A309" t="s">
        <v>1520</v>
      </c>
      <c r="B309" t="s">
        <v>1344</v>
      </c>
      <c r="C309" t="s">
        <v>9</v>
      </c>
      <c r="D309" t="s">
        <v>1210</v>
      </c>
      <c r="E309" t="s">
        <v>1194</v>
      </c>
      <c r="F309" t="s">
        <v>1345</v>
      </c>
      <c r="G309" t="s">
        <v>1212</v>
      </c>
      <c r="H309" t="s">
        <v>1521</v>
      </c>
      <c r="I309" t="s">
        <v>1521</v>
      </c>
      <c r="J309" t="s">
        <v>1346</v>
      </c>
      <c r="K309" t="s">
        <v>1347</v>
      </c>
      <c r="L309" s="33">
        <v>200</v>
      </c>
    </row>
    <row r="310" spans="1:12" x14ac:dyDescent="0.25">
      <c r="A310" t="s">
        <v>1520</v>
      </c>
      <c r="B310" t="s">
        <v>1352</v>
      </c>
      <c r="C310" t="s">
        <v>9</v>
      </c>
      <c r="D310" t="s">
        <v>1210</v>
      </c>
      <c r="E310" t="s">
        <v>1194</v>
      </c>
      <c r="F310" t="s">
        <v>1353</v>
      </c>
      <c r="G310" t="s">
        <v>1212</v>
      </c>
      <c r="H310" t="s">
        <v>1521</v>
      </c>
      <c r="I310" t="s">
        <v>1521</v>
      </c>
      <c r="J310" t="s">
        <v>1354</v>
      </c>
      <c r="K310" t="s">
        <v>1351</v>
      </c>
      <c r="L310" s="33">
        <v>39.799999999999997</v>
      </c>
    </row>
    <row r="311" spans="1:12" x14ac:dyDescent="0.25">
      <c r="A311" t="s">
        <v>1520</v>
      </c>
      <c r="B311" t="s">
        <v>1355</v>
      </c>
      <c r="C311" t="s">
        <v>9</v>
      </c>
      <c r="D311" t="s">
        <v>1210</v>
      </c>
      <c r="E311" t="s">
        <v>1194</v>
      </c>
      <c r="F311" t="s">
        <v>1356</v>
      </c>
      <c r="G311" t="s">
        <v>1212</v>
      </c>
      <c r="H311" t="s">
        <v>1521</v>
      </c>
      <c r="I311" t="s">
        <v>1521</v>
      </c>
      <c r="J311" t="s">
        <v>1357</v>
      </c>
      <c r="K311" t="s">
        <v>1351</v>
      </c>
      <c r="L311" s="33">
        <v>124</v>
      </c>
    </row>
    <row r="312" spans="1:12" x14ac:dyDescent="0.25">
      <c r="A312" t="s">
        <v>1520</v>
      </c>
      <c r="B312" t="s">
        <v>1358</v>
      </c>
      <c r="C312" t="s">
        <v>9</v>
      </c>
      <c r="D312" t="s">
        <v>1210</v>
      </c>
      <c r="E312" t="s">
        <v>1194</v>
      </c>
      <c r="F312" t="s">
        <v>1359</v>
      </c>
      <c r="G312" t="s">
        <v>1212</v>
      </c>
      <c r="H312" t="s">
        <v>1521</v>
      </c>
      <c r="I312" t="s">
        <v>1521</v>
      </c>
      <c r="J312" t="s">
        <v>1360</v>
      </c>
      <c r="K312" t="s">
        <v>1361</v>
      </c>
      <c r="L312" s="33">
        <v>291.69</v>
      </c>
    </row>
    <row r="313" spans="1:12" x14ac:dyDescent="0.25">
      <c r="A313" t="s">
        <v>1520</v>
      </c>
      <c r="B313" t="s">
        <v>1372</v>
      </c>
      <c r="C313" t="s">
        <v>9</v>
      </c>
      <c r="D313" t="s">
        <v>1210</v>
      </c>
      <c r="E313" t="s">
        <v>1194</v>
      </c>
      <c r="F313" t="s">
        <v>1373</v>
      </c>
      <c r="G313" t="s">
        <v>1212</v>
      </c>
      <c r="H313" t="s">
        <v>1521</v>
      </c>
      <c r="I313" t="s">
        <v>1521</v>
      </c>
      <c r="J313" t="s">
        <v>1374</v>
      </c>
      <c r="K313" t="s">
        <v>1374</v>
      </c>
      <c r="L313" s="33">
        <v>2542</v>
      </c>
    </row>
    <row r="314" spans="1:12" x14ac:dyDescent="0.25">
      <c r="A314" t="s">
        <v>1520</v>
      </c>
      <c r="B314" t="s">
        <v>1378</v>
      </c>
      <c r="C314" t="s">
        <v>9</v>
      </c>
      <c r="D314" t="s">
        <v>1210</v>
      </c>
      <c r="E314" t="s">
        <v>1194</v>
      </c>
      <c r="F314" t="s">
        <v>1379</v>
      </c>
      <c r="G314" t="s">
        <v>1212</v>
      </c>
      <c r="H314" t="s">
        <v>1521</v>
      </c>
      <c r="I314" t="s">
        <v>1521</v>
      </c>
      <c r="J314" t="s">
        <v>1380</v>
      </c>
      <c r="K314" t="s">
        <v>1380</v>
      </c>
      <c r="L314" s="33">
        <v>12.85</v>
      </c>
    </row>
    <row r="315" spans="1:12" x14ac:dyDescent="0.25">
      <c r="A315" t="s">
        <v>1520</v>
      </c>
      <c r="B315" t="s">
        <v>1381</v>
      </c>
      <c r="C315" t="s">
        <v>9</v>
      </c>
      <c r="D315" t="s">
        <v>1210</v>
      </c>
      <c r="E315" t="s">
        <v>1194</v>
      </c>
      <c r="F315" t="s">
        <v>1382</v>
      </c>
      <c r="G315" t="s">
        <v>1212</v>
      </c>
      <c r="H315" t="s">
        <v>1521</v>
      </c>
      <c r="I315" t="s">
        <v>1521</v>
      </c>
      <c r="J315" t="s">
        <v>1383</v>
      </c>
      <c r="K315" t="s">
        <v>1334</v>
      </c>
      <c r="L315" s="33">
        <v>4838.17</v>
      </c>
    </row>
    <row r="316" spans="1:12" x14ac:dyDescent="0.25">
      <c r="A316" t="s">
        <v>1520</v>
      </c>
      <c r="B316" t="s">
        <v>1384</v>
      </c>
      <c r="C316" t="s">
        <v>9</v>
      </c>
      <c r="D316" t="s">
        <v>1210</v>
      </c>
      <c r="E316" t="s">
        <v>1194</v>
      </c>
      <c r="F316" t="s">
        <v>1385</v>
      </c>
      <c r="G316" t="s">
        <v>1212</v>
      </c>
      <c r="H316" t="s">
        <v>1521</v>
      </c>
      <c r="I316" t="s">
        <v>1521</v>
      </c>
      <c r="J316" t="s">
        <v>1386</v>
      </c>
      <c r="K316" t="s">
        <v>1386</v>
      </c>
      <c r="L316" s="33">
        <v>19.63</v>
      </c>
    </row>
    <row r="317" spans="1:12" x14ac:dyDescent="0.25">
      <c r="A317" t="s">
        <v>1520</v>
      </c>
      <c r="B317" t="s">
        <v>1394</v>
      </c>
      <c r="C317" t="s">
        <v>9</v>
      </c>
      <c r="D317" t="s">
        <v>1210</v>
      </c>
      <c r="E317" t="s">
        <v>1194</v>
      </c>
      <c r="F317" t="s">
        <v>1395</v>
      </c>
      <c r="G317" t="s">
        <v>1212</v>
      </c>
      <c r="H317" t="s">
        <v>1521</v>
      </c>
      <c r="I317" t="s">
        <v>1521</v>
      </c>
      <c r="J317" t="s">
        <v>1396</v>
      </c>
      <c r="K317" t="s">
        <v>1390</v>
      </c>
      <c r="L317" s="33">
        <v>231</v>
      </c>
    </row>
    <row r="318" spans="1:12" x14ac:dyDescent="0.25">
      <c r="A318" t="s">
        <v>1520</v>
      </c>
      <c r="B318" t="s">
        <v>1400</v>
      </c>
      <c r="C318" t="s">
        <v>9</v>
      </c>
      <c r="D318" t="s">
        <v>1210</v>
      </c>
      <c r="E318" t="s">
        <v>1194</v>
      </c>
      <c r="F318" t="s">
        <v>1401</v>
      </c>
      <c r="G318" t="s">
        <v>1212</v>
      </c>
      <c r="H318" t="s">
        <v>1521</v>
      </c>
      <c r="I318" t="s">
        <v>1521</v>
      </c>
      <c r="J318" t="s">
        <v>1402</v>
      </c>
      <c r="K318" t="s">
        <v>1390</v>
      </c>
      <c r="L318" s="33">
        <v>16.670000000000002</v>
      </c>
    </row>
    <row r="319" spans="1:12" x14ac:dyDescent="0.25">
      <c r="A319" t="s">
        <v>1520</v>
      </c>
      <c r="B319" t="s">
        <v>1522</v>
      </c>
      <c r="C319" t="s">
        <v>9</v>
      </c>
      <c r="D319" t="s">
        <v>1210</v>
      </c>
      <c r="E319" t="s">
        <v>1194</v>
      </c>
      <c r="F319" t="s">
        <v>1523</v>
      </c>
      <c r="G319" t="s">
        <v>1212</v>
      </c>
      <c r="H319" t="s">
        <v>1521</v>
      </c>
      <c r="I319" t="s">
        <v>1521</v>
      </c>
      <c r="J319" t="s">
        <v>1524</v>
      </c>
      <c r="K319" t="s">
        <v>1524</v>
      </c>
      <c r="L319" s="33">
        <v>4270</v>
      </c>
    </row>
    <row r="320" spans="1:12" x14ac:dyDescent="0.25">
      <c r="A320" t="s">
        <v>1520</v>
      </c>
      <c r="B320" t="s">
        <v>1525</v>
      </c>
      <c r="C320" t="s">
        <v>9</v>
      </c>
      <c r="D320" t="s">
        <v>1210</v>
      </c>
      <c r="E320" t="s">
        <v>1194</v>
      </c>
      <c r="F320" t="s">
        <v>1526</v>
      </c>
      <c r="G320" t="s">
        <v>1212</v>
      </c>
      <c r="H320" t="s">
        <v>1521</v>
      </c>
      <c r="I320" t="s">
        <v>1521</v>
      </c>
      <c r="J320" t="s">
        <v>1527</v>
      </c>
      <c r="K320" t="s">
        <v>1528</v>
      </c>
      <c r="L320" s="33">
        <v>2328.4699999999998</v>
      </c>
    </row>
    <row r="321" spans="1:12" x14ac:dyDescent="0.25">
      <c r="A321" t="s">
        <v>1520</v>
      </c>
      <c r="B321" t="s">
        <v>1529</v>
      </c>
      <c r="C321" t="s">
        <v>9</v>
      </c>
      <c r="D321" t="s">
        <v>1210</v>
      </c>
      <c r="E321" t="s">
        <v>1194</v>
      </c>
      <c r="F321" t="s">
        <v>1530</v>
      </c>
      <c r="G321" t="s">
        <v>1212</v>
      </c>
      <c r="H321" t="s">
        <v>1521</v>
      </c>
      <c r="I321" t="s">
        <v>1521</v>
      </c>
      <c r="J321" t="s">
        <v>1531</v>
      </c>
      <c r="K321" t="s">
        <v>1531</v>
      </c>
      <c r="L321" s="33">
        <v>7.94</v>
      </c>
    </row>
    <row r="322" spans="1:12" x14ac:dyDescent="0.25">
      <c r="A322" t="s">
        <v>1520</v>
      </c>
      <c r="B322" t="s">
        <v>1433</v>
      </c>
      <c r="C322" t="s">
        <v>9</v>
      </c>
      <c r="D322" t="s">
        <v>1210</v>
      </c>
      <c r="E322" t="s">
        <v>1194</v>
      </c>
      <c r="F322" t="s">
        <v>1434</v>
      </c>
      <c r="G322" t="s">
        <v>1212</v>
      </c>
      <c r="H322" t="s">
        <v>1521</v>
      </c>
      <c r="I322" t="s">
        <v>1521</v>
      </c>
      <c r="J322" t="s">
        <v>1435</v>
      </c>
      <c r="K322" t="s">
        <v>1436</v>
      </c>
      <c r="L322" s="33">
        <v>607.04</v>
      </c>
    </row>
    <row r="323" spans="1:12" x14ac:dyDescent="0.25">
      <c r="A323" t="s">
        <v>1520</v>
      </c>
      <c r="B323" t="s">
        <v>1439</v>
      </c>
      <c r="C323" t="s">
        <v>9</v>
      </c>
      <c r="D323" t="s">
        <v>1210</v>
      </c>
      <c r="E323" t="s">
        <v>1194</v>
      </c>
      <c r="F323" t="s">
        <v>1440</v>
      </c>
      <c r="G323" t="s">
        <v>1212</v>
      </c>
      <c r="H323" t="s">
        <v>1521</v>
      </c>
      <c r="I323" t="s">
        <v>1521</v>
      </c>
      <c r="J323" t="s">
        <v>1441</v>
      </c>
      <c r="K323" t="s">
        <v>1441</v>
      </c>
      <c r="L323" s="33">
        <v>22.89</v>
      </c>
    </row>
    <row r="324" spans="1:12" x14ac:dyDescent="0.25">
      <c r="A324" t="s">
        <v>1520</v>
      </c>
      <c r="B324" t="s">
        <v>1532</v>
      </c>
      <c r="C324" t="s">
        <v>9</v>
      </c>
      <c r="D324" t="s">
        <v>1210</v>
      </c>
      <c r="E324" t="s">
        <v>1194</v>
      </c>
      <c r="F324" t="s">
        <v>1533</v>
      </c>
      <c r="G324" t="s">
        <v>1212</v>
      </c>
      <c r="H324" t="s">
        <v>1534</v>
      </c>
      <c r="I324" t="s">
        <v>1534</v>
      </c>
      <c r="J324" t="s">
        <v>1535</v>
      </c>
      <c r="K324" t="s">
        <v>1334</v>
      </c>
      <c r="L324" s="33">
        <v>1197.03</v>
      </c>
    </row>
    <row r="325" spans="1:12" x14ac:dyDescent="0.25">
      <c r="A325" t="s">
        <v>1520</v>
      </c>
      <c r="B325" t="s">
        <v>1341</v>
      </c>
      <c r="C325" t="s">
        <v>9</v>
      </c>
      <c r="D325" t="s">
        <v>1210</v>
      </c>
      <c r="E325" t="s">
        <v>1194</v>
      </c>
      <c r="F325" t="s">
        <v>1342</v>
      </c>
      <c r="G325" t="s">
        <v>1212</v>
      </c>
      <c r="H325" t="s">
        <v>1534</v>
      </c>
      <c r="I325" t="s">
        <v>1534</v>
      </c>
      <c r="J325" t="s">
        <v>1343</v>
      </c>
      <c r="K325" t="s">
        <v>1334</v>
      </c>
      <c r="L325" s="33">
        <v>2637.41</v>
      </c>
    </row>
    <row r="326" spans="1:12" x14ac:dyDescent="0.25">
      <c r="A326" t="s">
        <v>1520</v>
      </c>
      <c r="B326" t="s">
        <v>1536</v>
      </c>
      <c r="C326" t="s">
        <v>9</v>
      </c>
      <c r="D326" t="s">
        <v>1210</v>
      </c>
      <c r="E326" t="s">
        <v>1194</v>
      </c>
      <c r="F326" t="s">
        <v>1537</v>
      </c>
      <c r="G326" t="s">
        <v>1212</v>
      </c>
      <c r="H326" t="s">
        <v>1534</v>
      </c>
      <c r="I326" t="s">
        <v>1534</v>
      </c>
      <c r="J326" t="s">
        <v>1018</v>
      </c>
      <c r="K326" t="s">
        <v>1538</v>
      </c>
      <c r="L326" s="33">
        <v>582</v>
      </c>
    </row>
    <row r="327" spans="1:12" x14ac:dyDescent="0.25">
      <c r="A327" t="s">
        <v>1520</v>
      </c>
      <c r="B327" t="s">
        <v>1539</v>
      </c>
      <c r="C327" t="s">
        <v>9</v>
      </c>
      <c r="D327" t="s">
        <v>1210</v>
      </c>
      <c r="E327" t="s">
        <v>1194</v>
      </c>
      <c r="F327" t="s">
        <v>1540</v>
      </c>
      <c r="G327" t="s">
        <v>1212</v>
      </c>
      <c r="H327" t="s">
        <v>1534</v>
      </c>
      <c r="I327" t="s">
        <v>1534</v>
      </c>
      <c r="J327" t="s">
        <v>1541</v>
      </c>
      <c r="K327" t="s">
        <v>1347</v>
      </c>
      <c r="L327" s="33">
        <v>3140.66</v>
      </c>
    </row>
    <row r="328" spans="1:12" x14ac:dyDescent="0.25">
      <c r="A328" t="s">
        <v>1520</v>
      </c>
      <c r="B328" t="s">
        <v>1542</v>
      </c>
      <c r="C328" t="s">
        <v>9</v>
      </c>
      <c r="D328" t="s">
        <v>1210</v>
      </c>
      <c r="E328" t="s">
        <v>1194</v>
      </c>
      <c r="F328" t="s">
        <v>1543</v>
      </c>
      <c r="G328" t="s">
        <v>1212</v>
      </c>
      <c r="H328" t="s">
        <v>1534</v>
      </c>
      <c r="I328" t="s">
        <v>1534</v>
      </c>
      <c r="J328" t="s">
        <v>1544</v>
      </c>
      <c r="K328" t="s">
        <v>1347</v>
      </c>
      <c r="L328" s="33">
        <v>645.02</v>
      </c>
    </row>
    <row r="329" spans="1:12" x14ac:dyDescent="0.25">
      <c r="A329" t="s">
        <v>1520</v>
      </c>
      <c r="B329" t="s">
        <v>1344</v>
      </c>
      <c r="C329" t="s">
        <v>9</v>
      </c>
      <c r="D329" t="s">
        <v>1210</v>
      </c>
      <c r="E329" t="s">
        <v>1194</v>
      </c>
      <c r="F329" t="s">
        <v>1345</v>
      </c>
      <c r="G329" t="s">
        <v>1212</v>
      </c>
      <c r="H329" t="s">
        <v>1534</v>
      </c>
      <c r="I329" t="s">
        <v>1534</v>
      </c>
      <c r="J329" t="s">
        <v>1346</v>
      </c>
      <c r="K329" t="s">
        <v>1347</v>
      </c>
      <c r="L329" s="33">
        <v>-2600</v>
      </c>
    </row>
    <row r="330" spans="1:12" x14ac:dyDescent="0.25">
      <c r="A330" t="s">
        <v>1520</v>
      </c>
      <c r="B330" t="s">
        <v>1545</v>
      </c>
      <c r="C330" t="s">
        <v>9</v>
      </c>
      <c r="D330" t="s">
        <v>1210</v>
      </c>
      <c r="E330" t="s">
        <v>1194</v>
      </c>
      <c r="F330" t="s">
        <v>1546</v>
      </c>
      <c r="G330" t="s">
        <v>1212</v>
      </c>
      <c r="H330" t="s">
        <v>1534</v>
      </c>
      <c r="I330" t="s">
        <v>1534</v>
      </c>
      <c r="J330" t="s">
        <v>1547</v>
      </c>
      <c r="K330" t="s">
        <v>1351</v>
      </c>
      <c r="L330" s="33">
        <v>1012.42</v>
      </c>
    </row>
    <row r="331" spans="1:12" x14ac:dyDescent="0.25">
      <c r="A331" t="s">
        <v>1520</v>
      </c>
      <c r="B331" t="s">
        <v>1548</v>
      </c>
      <c r="C331" t="s">
        <v>9</v>
      </c>
      <c r="D331" t="s">
        <v>1210</v>
      </c>
      <c r="E331" t="s">
        <v>1194</v>
      </c>
      <c r="F331" t="s">
        <v>1549</v>
      </c>
      <c r="G331" t="s">
        <v>1212</v>
      </c>
      <c r="H331" t="s">
        <v>1534</v>
      </c>
      <c r="I331" t="s">
        <v>1534</v>
      </c>
      <c r="J331" t="s">
        <v>1550</v>
      </c>
      <c r="K331" t="s">
        <v>1551</v>
      </c>
      <c r="L331" s="33">
        <v>1421.7</v>
      </c>
    </row>
    <row r="332" spans="1:12" x14ac:dyDescent="0.25">
      <c r="A332" t="s">
        <v>1520</v>
      </c>
      <c r="B332" t="s">
        <v>1552</v>
      </c>
      <c r="C332" t="s">
        <v>9</v>
      </c>
      <c r="D332" t="s">
        <v>1210</v>
      </c>
      <c r="E332" t="s">
        <v>1194</v>
      </c>
      <c r="F332" t="s">
        <v>1553</v>
      </c>
      <c r="G332" t="s">
        <v>1212</v>
      </c>
      <c r="H332" t="s">
        <v>1534</v>
      </c>
      <c r="I332" t="s">
        <v>1534</v>
      </c>
      <c r="J332" t="s">
        <v>1554</v>
      </c>
      <c r="K332" t="s">
        <v>1351</v>
      </c>
      <c r="L332" s="33">
        <v>1937.12</v>
      </c>
    </row>
    <row r="333" spans="1:12" x14ac:dyDescent="0.25">
      <c r="A333" t="s">
        <v>1520</v>
      </c>
      <c r="B333" t="s">
        <v>1348</v>
      </c>
      <c r="C333" t="s">
        <v>9</v>
      </c>
      <c r="D333" t="s">
        <v>1210</v>
      </c>
      <c r="E333" t="s">
        <v>1194</v>
      </c>
      <c r="F333" t="s">
        <v>1349</v>
      </c>
      <c r="G333" t="s">
        <v>1212</v>
      </c>
      <c r="H333" t="s">
        <v>1534</v>
      </c>
      <c r="I333" t="s">
        <v>1534</v>
      </c>
      <c r="J333" t="s">
        <v>1350</v>
      </c>
      <c r="K333" t="s">
        <v>1351</v>
      </c>
      <c r="L333" s="33">
        <v>895.02</v>
      </c>
    </row>
    <row r="334" spans="1:12" x14ac:dyDescent="0.25">
      <c r="A334" t="s">
        <v>1520</v>
      </c>
      <c r="B334" t="s">
        <v>1352</v>
      </c>
      <c r="C334" t="s">
        <v>9</v>
      </c>
      <c r="D334" t="s">
        <v>1210</v>
      </c>
      <c r="E334" t="s">
        <v>1194</v>
      </c>
      <c r="F334" t="s">
        <v>1353</v>
      </c>
      <c r="G334" t="s">
        <v>1212</v>
      </c>
      <c r="H334" t="s">
        <v>1534</v>
      </c>
      <c r="I334" t="s">
        <v>1534</v>
      </c>
      <c r="J334" t="s">
        <v>1354</v>
      </c>
      <c r="K334" t="s">
        <v>1351</v>
      </c>
      <c r="L334" s="33">
        <v>319.39</v>
      </c>
    </row>
    <row r="335" spans="1:12" x14ac:dyDescent="0.25">
      <c r="A335" t="s">
        <v>1520</v>
      </c>
      <c r="B335" t="s">
        <v>1555</v>
      </c>
      <c r="C335" t="s">
        <v>9</v>
      </c>
      <c r="D335" t="s">
        <v>1210</v>
      </c>
      <c r="E335" t="s">
        <v>1194</v>
      </c>
      <c r="F335" t="s">
        <v>1556</v>
      </c>
      <c r="G335" t="s">
        <v>1212</v>
      </c>
      <c r="H335" t="s">
        <v>1534</v>
      </c>
      <c r="I335" t="s">
        <v>1534</v>
      </c>
      <c r="J335" t="s">
        <v>1557</v>
      </c>
      <c r="K335" t="s">
        <v>1557</v>
      </c>
      <c r="L335" s="33">
        <v>24472.6</v>
      </c>
    </row>
    <row r="336" spans="1:12" x14ac:dyDescent="0.25">
      <c r="A336" t="s">
        <v>1520</v>
      </c>
      <c r="B336" t="s">
        <v>1558</v>
      </c>
      <c r="C336" t="s">
        <v>9</v>
      </c>
      <c r="D336" t="s">
        <v>1210</v>
      </c>
      <c r="E336" t="s">
        <v>1194</v>
      </c>
      <c r="F336" t="s">
        <v>1559</v>
      </c>
      <c r="G336" t="s">
        <v>1212</v>
      </c>
      <c r="H336" t="s">
        <v>1534</v>
      </c>
      <c r="I336" t="s">
        <v>1534</v>
      </c>
      <c r="J336" t="s">
        <v>1560</v>
      </c>
      <c r="K336" t="s">
        <v>1557</v>
      </c>
      <c r="L336" s="33">
        <v>263</v>
      </c>
    </row>
    <row r="337" spans="1:12" x14ac:dyDescent="0.25">
      <c r="A337" t="s">
        <v>1520</v>
      </c>
      <c r="B337" t="s">
        <v>1384</v>
      </c>
      <c r="C337" t="s">
        <v>9</v>
      </c>
      <c r="D337" t="s">
        <v>1210</v>
      </c>
      <c r="E337" t="s">
        <v>1194</v>
      </c>
      <c r="F337" t="s">
        <v>1385</v>
      </c>
      <c r="G337" t="s">
        <v>1212</v>
      </c>
      <c r="H337" t="s">
        <v>1534</v>
      </c>
      <c r="I337" t="s">
        <v>1534</v>
      </c>
      <c r="J337" t="s">
        <v>1386</v>
      </c>
      <c r="K337" t="s">
        <v>1386</v>
      </c>
      <c r="L337" s="33">
        <v>13.32</v>
      </c>
    </row>
    <row r="338" spans="1:12" x14ac:dyDescent="0.25">
      <c r="A338" t="s">
        <v>1520</v>
      </c>
      <c r="B338" t="s">
        <v>1459</v>
      </c>
      <c r="C338" t="s">
        <v>9</v>
      </c>
      <c r="D338" t="s">
        <v>1210</v>
      </c>
      <c r="E338" t="s">
        <v>1194</v>
      </c>
      <c r="F338" t="s">
        <v>1460</v>
      </c>
      <c r="G338" t="s">
        <v>1212</v>
      </c>
      <c r="H338" t="s">
        <v>1534</v>
      </c>
      <c r="I338" t="s">
        <v>1534</v>
      </c>
      <c r="J338" t="s">
        <v>1461</v>
      </c>
      <c r="K338" t="s">
        <v>1461</v>
      </c>
      <c r="L338" s="33">
        <v>449.41</v>
      </c>
    </row>
    <row r="339" spans="1:12" x14ac:dyDescent="0.25">
      <c r="A339" t="s">
        <v>1520</v>
      </c>
      <c r="B339" t="s">
        <v>1387</v>
      </c>
      <c r="C339" t="s">
        <v>9</v>
      </c>
      <c r="D339" t="s">
        <v>1210</v>
      </c>
      <c r="E339" t="s">
        <v>1194</v>
      </c>
      <c r="F339" t="s">
        <v>1388</v>
      </c>
      <c r="G339" t="s">
        <v>1212</v>
      </c>
      <c r="H339" t="s">
        <v>1534</v>
      </c>
      <c r="I339" t="s">
        <v>1534</v>
      </c>
      <c r="J339" t="s">
        <v>1389</v>
      </c>
      <c r="K339" t="s">
        <v>1390</v>
      </c>
      <c r="L339" s="33">
        <v>147.11000000000001</v>
      </c>
    </row>
    <row r="340" spans="1:12" x14ac:dyDescent="0.25">
      <c r="A340" t="s">
        <v>1520</v>
      </c>
      <c r="B340" t="s">
        <v>1391</v>
      </c>
      <c r="C340" t="s">
        <v>9</v>
      </c>
      <c r="D340" t="s">
        <v>1210</v>
      </c>
      <c r="E340" t="s">
        <v>1194</v>
      </c>
      <c r="F340" t="s">
        <v>1392</v>
      </c>
      <c r="G340" t="s">
        <v>1212</v>
      </c>
      <c r="H340" t="s">
        <v>1534</v>
      </c>
      <c r="I340" t="s">
        <v>1534</v>
      </c>
      <c r="J340" t="s">
        <v>1393</v>
      </c>
      <c r="K340" t="s">
        <v>1390</v>
      </c>
      <c r="L340" s="33">
        <v>405.3</v>
      </c>
    </row>
    <row r="341" spans="1:12" x14ac:dyDescent="0.25">
      <c r="A341" t="s">
        <v>1520</v>
      </c>
      <c r="B341" t="s">
        <v>1400</v>
      </c>
      <c r="C341" t="s">
        <v>9</v>
      </c>
      <c r="D341" t="s">
        <v>1210</v>
      </c>
      <c r="E341" t="s">
        <v>1194</v>
      </c>
      <c r="F341" t="s">
        <v>1401</v>
      </c>
      <c r="G341" t="s">
        <v>1212</v>
      </c>
      <c r="H341" t="s">
        <v>1534</v>
      </c>
      <c r="I341" t="s">
        <v>1534</v>
      </c>
      <c r="J341" t="s">
        <v>1402</v>
      </c>
      <c r="K341" t="s">
        <v>1390</v>
      </c>
      <c r="L341" s="33">
        <v>67.540000000000006</v>
      </c>
    </row>
    <row r="342" spans="1:12" x14ac:dyDescent="0.25">
      <c r="A342" t="s">
        <v>1520</v>
      </c>
      <c r="B342" t="s">
        <v>1403</v>
      </c>
      <c r="C342" t="s">
        <v>9</v>
      </c>
      <c r="D342" t="s">
        <v>1210</v>
      </c>
      <c r="E342" t="s">
        <v>1194</v>
      </c>
      <c r="F342" t="s">
        <v>1404</v>
      </c>
      <c r="G342" t="s">
        <v>1212</v>
      </c>
      <c r="H342" t="s">
        <v>1534</v>
      </c>
      <c r="I342" t="s">
        <v>1534</v>
      </c>
      <c r="J342" t="s">
        <v>1405</v>
      </c>
      <c r="K342" t="s">
        <v>1390</v>
      </c>
      <c r="L342" s="33">
        <v>95.47</v>
      </c>
    </row>
    <row r="343" spans="1:12" x14ac:dyDescent="0.25">
      <c r="A343" t="s">
        <v>1520</v>
      </c>
      <c r="B343" t="s">
        <v>1561</v>
      </c>
      <c r="C343" t="s">
        <v>9</v>
      </c>
      <c r="D343" t="s">
        <v>1210</v>
      </c>
      <c r="E343" t="s">
        <v>1194</v>
      </c>
      <c r="F343" t="s">
        <v>1562</v>
      </c>
      <c r="G343" t="s">
        <v>1212</v>
      </c>
      <c r="H343" t="s">
        <v>1534</v>
      </c>
      <c r="I343" t="s">
        <v>1534</v>
      </c>
      <c r="J343" t="s">
        <v>1563</v>
      </c>
      <c r="K343" t="s">
        <v>1421</v>
      </c>
      <c r="L343" s="33">
        <v>1323.85</v>
      </c>
    </row>
    <row r="344" spans="1:12" x14ac:dyDescent="0.25">
      <c r="A344" t="s">
        <v>1520</v>
      </c>
      <c r="B344" t="s">
        <v>1419</v>
      </c>
      <c r="C344" t="s">
        <v>9</v>
      </c>
      <c r="D344" t="s">
        <v>1210</v>
      </c>
      <c r="E344" t="s">
        <v>1194</v>
      </c>
      <c r="F344" t="s">
        <v>1420</v>
      </c>
      <c r="G344" t="s">
        <v>1212</v>
      </c>
      <c r="H344" t="s">
        <v>1534</v>
      </c>
      <c r="I344" t="s">
        <v>1534</v>
      </c>
      <c r="J344" t="s">
        <v>1421</v>
      </c>
      <c r="K344" t="s">
        <v>1421</v>
      </c>
      <c r="L344" s="33">
        <v>426.34</v>
      </c>
    </row>
    <row r="345" spans="1:12" x14ac:dyDescent="0.25">
      <c r="A345" t="s">
        <v>1520</v>
      </c>
      <c r="B345" t="s">
        <v>1564</v>
      </c>
      <c r="C345" t="s">
        <v>9</v>
      </c>
      <c r="D345" t="s">
        <v>1210</v>
      </c>
      <c r="E345" t="s">
        <v>1194</v>
      </c>
      <c r="F345" t="s">
        <v>1565</v>
      </c>
      <c r="G345" t="s">
        <v>1212</v>
      </c>
      <c r="H345" t="s">
        <v>1534</v>
      </c>
      <c r="I345" t="s">
        <v>1534</v>
      </c>
      <c r="J345" t="s">
        <v>1566</v>
      </c>
      <c r="K345" t="s">
        <v>1566</v>
      </c>
      <c r="L345" s="33">
        <v>7863.2</v>
      </c>
    </row>
    <row r="346" spans="1:12" x14ac:dyDescent="0.25">
      <c r="A346" t="s">
        <v>1520</v>
      </c>
      <c r="B346" t="s">
        <v>1567</v>
      </c>
      <c r="C346" t="s">
        <v>9</v>
      </c>
      <c r="D346" t="s">
        <v>1210</v>
      </c>
      <c r="E346" t="s">
        <v>1194</v>
      </c>
      <c r="F346" t="s">
        <v>1568</v>
      </c>
      <c r="G346" t="s">
        <v>1212</v>
      </c>
      <c r="H346" t="s">
        <v>1534</v>
      </c>
      <c r="I346" t="s">
        <v>1534</v>
      </c>
      <c r="J346" t="s">
        <v>1569</v>
      </c>
      <c r="K346" t="s">
        <v>1436</v>
      </c>
      <c r="L346" s="33">
        <v>1465.39</v>
      </c>
    </row>
    <row r="347" spans="1:12" x14ac:dyDescent="0.25">
      <c r="A347" t="s">
        <v>1520</v>
      </c>
      <c r="B347" t="s">
        <v>1433</v>
      </c>
      <c r="C347" t="s">
        <v>9</v>
      </c>
      <c r="D347" t="s">
        <v>1210</v>
      </c>
      <c r="E347" t="s">
        <v>1194</v>
      </c>
      <c r="F347" t="s">
        <v>1434</v>
      </c>
      <c r="G347" t="s">
        <v>1212</v>
      </c>
      <c r="H347" t="s">
        <v>1534</v>
      </c>
      <c r="I347" t="s">
        <v>1534</v>
      </c>
      <c r="J347" t="s">
        <v>1435</v>
      </c>
      <c r="K347" t="s">
        <v>1436</v>
      </c>
      <c r="L347" s="33">
        <v>8207.2000000000007</v>
      </c>
    </row>
    <row r="348" spans="1:12" x14ac:dyDescent="0.25">
      <c r="A348" t="s">
        <v>1520</v>
      </c>
      <c r="B348" t="s">
        <v>1570</v>
      </c>
      <c r="C348" t="s">
        <v>9</v>
      </c>
      <c r="D348" t="s">
        <v>1210</v>
      </c>
      <c r="E348" t="s">
        <v>1194</v>
      </c>
      <c r="F348" t="s">
        <v>1571</v>
      </c>
      <c r="G348" t="s">
        <v>1212</v>
      </c>
      <c r="H348" t="s">
        <v>1534</v>
      </c>
      <c r="I348" t="s">
        <v>1534</v>
      </c>
      <c r="J348" t="s">
        <v>1572</v>
      </c>
      <c r="K348" t="s">
        <v>1531</v>
      </c>
      <c r="L348" s="33">
        <v>335</v>
      </c>
    </row>
    <row r="349" spans="1:12" x14ac:dyDescent="0.25">
      <c r="A349" t="s">
        <v>1520</v>
      </c>
      <c r="B349" t="s">
        <v>1439</v>
      </c>
      <c r="C349" t="s">
        <v>9</v>
      </c>
      <c r="D349" t="s">
        <v>1210</v>
      </c>
      <c r="E349" t="s">
        <v>1194</v>
      </c>
      <c r="F349" t="s">
        <v>1440</v>
      </c>
      <c r="G349" t="s">
        <v>1212</v>
      </c>
      <c r="H349" t="s">
        <v>1534</v>
      </c>
      <c r="I349" t="s">
        <v>1534</v>
      </c>
      <c r="J349" t="s">
        <v>1441</v>
      </c>
      <c r="K349" t="s">
        <v>1441</v>
      </c>
      <c r="L349" s="33">
        <v>1214.4100000000001</v>
      </c>
    </row>
    <row r="350" spans="1:12" x14ac:dyDescent="0.25">
      <c r="A350" t="s">
        <v>1520</v>
      </c>
      <c r="B350" t="s">
        <v>1573</v>
      </c>
      <c r="C350" t="s">
        <v>9</v>
      </c>
      <c r="D350" t="s">
        <v>1210</v>
      </c>
      <c r="E350" t="s">
        <v>1194</v>
      </c>
      <c r="F350" t="s">
        <v>1574</v>
      </c>
      <c r="G350" t="s">
        <v>1212</v>
      </c>
      <c r="H350" t="s">
        <v>1534</v>
      </c>
      <c r="I350" t="s">
        <v>1534</v>
      </c>
      <c r="J350" t="s">
        <v>1575</v>
      </c>
      <c r="K350" t="s">
        <v>1575</v>
      </c>
      <c r="L350" s="33">
        <v>-1328</v>
      </c>
    </row>
    <row r="351" spans="1:12" x14ac:dyDescent="0.25">
      <c r="A351" t="s">
        <v>1576</v>
      </c>
      <c r="B351" t="s">
        <v>1577</v>
      </c>
      <c r="C351" t="s">
        <v>8</v>
      </c>
      <c r="D351" t="s">
        <v>1210</v>
      </c>
      <c r="E351" t="s">
        <v>1194</v>
      </c>
      <c r="F351" t="s">
        <v>1578</v>
      </c>
      <c r="G351" t="s">
        <v>1212</v>
      </c>
      <c r="H351" t="s">
        <v>1521</v>
      </c>
      <c r="I351" t="s">
        <v>1521</v>
      </c>
      <c r="J351" t="s">
        <v>1579</v>
      </c>
      <c r="K351" t="s">
        <v>1579</v>
      </c>
      <c r="L351" s="33">
        <v>33921.910000000003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FF"/>
  </sheetPr>
  <dimension ref="A1:G153"/>
  <sheetViews>
    <sheetView zoomScale="85" zoomScaleNormal="85" workbookViewId="0">
      <selection sqref="A1:G153"/>
    </sheetView>
  </sheetViews>
  <sheetFormatPr defaultRowHeight="15" x14ac:dyDescent="0.25"/>
  <cols>
    <col min="1" max="1" width="14.5703125" bestFit="1" customWidth="1"/>
    <col min="2" max="2" width="15.7109375" bestFit="1" customWidth="1"/>
    <col min="3" max="3" width="11.7109375" bestFit="1" customWidth="1"/>
    <col min="4" max="4" width="17.5703125" bestFit="1" customWidth="1"/>
    <col min="5" max="5" width="14" bestFit="1" customWidth="1"/>
    <col min="6" max="6" width="11.5703125" bestFit="1" customWidth="1"/>
    <col min="7" max="7" width="18.7109375" bestFit="1" customWidth="1"/>
  </cols>
  <sheetData>
    <row r="1" spans="1:7" x14ac:dyDescent="0.25">
      <c r="A1" s="52" t="s">
        <v>1580</v>
      </c>
      <c r="B1" s="52" t="s">
        <v>1198</v>
      </c>
      <c r="C1" s="52" t="s">
        <v>1205</v>
      </c>
      <c r="D1" s="52" t="s">
        <v>1581</v>
      </c>
      <c r="E1" s="52" t="s">
        <v>1585</v>
      </c>
      <c r="F1" s="52" t="s">
        <v>803</v>
      </c>
      <c r="G1" s="52" t="s">
        <v>1586</v>
      </c>
    </row>
    <row r="2" spans="1:7" x14ac:dyDescent="0.25">
      <c r="A2" s="10" t="s">
        <v>83</v>
      </c>
      <c r="B2" s="10" t="s">
        <v>315</v>
      </c>
      <c r="C2" t="s">
        <v>1221</v>
      </c>
      <c r="E2" s="51">
        <v>0</v>
      </c>
      <c r="F2" s="51"/>
      <c r="G2" s="51">
        <v>0</v>
      </c>
    </row>
    <row r="3" spans="1:7" x14ac:dyDescent="0.25">
      <c r="A3" s="10" t="s">
        <v>83</v>
      </c>
      <c r="B3" s="10" t="s">
        <v>9</v>
      </c>
      <c r="C3" t="s">
        <v>1330</v>
      </c>
      <c r="E3" s="51">
        <v>16683.559999999998</v>
      </c>
      <c r="F3" s="51"/>
      <c r="G3" s="51">
        <v>16683.559999999998</v>
      </c>
    </row>
    <row r="4" spans="1:7" x14ac:dyDescent="0.25">
      <c r="A4" s="10" t="s">
        <v>83</v>
      </c>
      <c r="B4" s="10" t="s">
        <v>9</v>
      </c>
      <c r="C4" t="s">
        <v>1449</v>
      </c>
      <c r="E4" s="51">
        <v>853.3</v>
      </c>
      <c r="F4" s="51"/>
      <c r="G4" s="51">
        <v>853.3</v>
      </c>
    </row>
    <row r="5" spans="1:7" x14ac:dyDescent="0.25">
      <c r="A5" s="10" t="s">
        <v>83</v>
      </c>
      <c r="B5" s="10" t="s">
        <v>9</v>
      </c>
      <c r="C5" t="s">
        <v>1452</v>
      </c>
      <c r="E5" s="51">
        <v>-853.3</v>
      </c>
      <c r="F5" s="51"/>
      <c r="G5" s="51">
        <v>-853.3</v>
      </c>
    </row>
    <row r="6" spans="1:7" x14ac:dyDescent="0.25">
      <c r="A6" s="10" t="s">
        <v>83</v>
      </c>
      <c r="B6" s="10" t="s">
        <v>9</v>
      </c>
      <c r="C6" t="s">
        <v>1535</v>
      </c>
      <c r="E6" s="51">
        <v>1427.77</v>
      </c>
      <c r="F6" s="51"/>
      <c r="G6" s="51">
        <v>1427.77</v>
      </c>
    </row>
    <row r="7" spans="1:7" x14ac:dyDescent="0.25">
      <c r="A7" s="10" t="s">
        <v>83</v>
      </c>
      <c r="B7" s="10" t="s">
        <v>9</v>
      </c>
      <c r="C7" t="s">
        <v>1340</v>
      </c>
      <c r="E7" s="51">
        <v>66.5</v>
      </c>
      <c r="F7" s="51"/>
      <c r="G7" s="51">
        <v>66.5</v>
      </c>
    </row>
    <row r="8" spans="1:7" x14ac:dyDescent="0.25">
      <c r="A8" s="10" t="s">
        <v>83</v>
      </c>
      <c r="B8" s="10" t="s">
        <v>9</v>
      </c>
      <c r="C8" t="s">
        <v>1343</v>
      </c>
      <c r="E8" s="51">
        <v>2817.41</v>
      </c>
      <c r="F8" s="51"/>
      <c r="G8" s="51">
        <v>2817.41</v>
      </c>
    </row>
    <row r="9" spans="1:7" x14ac:dyDescent="0.25">
      <c r="A9" s="10" t="s">
        <v>83</v>
      </c>
      <c r="B9" s="10" t="s">
        <v>9</v>
      </c>
      <c r="C9" t="s">
        <v>1018</v>
      </c>
      <c r="E9" s="51">
        <v>697</v>
      </c>
      <c r="F9" s="51"/>
      <c r="G9" s="51">
        <v>697</v>
      </c>
    </row>
    <row r="10" spans="1:7" x14ac:dyDescent="0.25">
      <c r="A10" s="10" t="s">
        <v>83</v>
      </c>
      <c r="B10" s="10" t="s">
        <v>9</v>
      </c>
      <c r="C10" t="s">
        <v>1541</v>
      </c>
      <c r="E10" s="51">
        <v>3561.41</v>
      </c>
      <c r="F10" s="51"/>
      <c r="G10" s="51">
        <v>3561.41</v>
      </c>
    </row>
    <row r="11" spans="1:7" x14ac:dyDescent="0.25">
      <c r="A11" s="10" t="s">
        <v>83</v>
      </c>
      <c r="B11" s="10" t="s">
        <v>9</v>
      </c>
      <c r="C11" t="s">
        <v>1544</v>
      </c>
      <c r="E11" s="51">
        <v>769.01</v>
      </c>
      <c r="F11" s="51"/>
      <c r="G11" s="51">
        <v>769.01</v>
      </c>
    </row>
    <row r="12" spans="1:7" x14ac:dyDescent="0.25">
      <c r="A12" s="10" t="s">
        <v>83</v>
      </c>
      <c r="B12" s="10" t="s">
        <v>9</v>
      </c>
      <c r="C12" t="s">
        <v>1346</v>
      </c>
      <c r="E12" s="51">
        <v>-2880</v>
      </c>
      <c r="F12" s="51"/>
      <c r="G12" s="51">
        <v>-2880</v>
      </c>
    </row>
    <row r="13" spans="1:7" x14ac:dyDescent="0.25">
      <c r="A13" s="10" t="s">
        <v>83</v>
      </c>
      <c r="B13" s="10" t="s">
        <v>9</v>
      </c>
      <c r="C13" t="s">
        <v>1547</v>
      </c>
      <c r="E13" s="51">
        <v>1202.47</v>
      </c>
      <c r="F13" s="51"/>
      <c r="G13" s="51">
        <v>1202.47</v>
      </c>
    </row>
    <row r="14" spans="1:7" x14ac:dyDescent="0.25">
      <c r="A14" s="10" t="s">
        <v>83</v>
      </c>
      <c r="B14" s="10" t="s">
        <v>9</v>
      </c>
      <c r="C14" t="s">
        <v>1550</v>
      </c>
      <c r="E14" s="51">
        <v>2497.9899999999998</v>
      </c>
      <c r="F14" s="51"/>
      <c r="G14" s="51">
        <v>2497.9899999999998</v>
      </c>
    </row>
    <row r="15" spans="1:7" x14ac:dyDescent="0.25">
      <c r="A15" s="10" t="s">
        <v>83</v>
      </c>
      <c r="B15" s="10" t="s">
        <v>9</v>
      </c>
      <c r="C15" t="s">
        <v>1554</v>
      </c>
      <c r="E15" s="51">
        <v>2343.71</v>
      </c>
      <c r="F15" s="51"/>
      <c r="G15" s="51">
        <v>2343.71</v>
      </c>
    </row>
    <row r="16" spans="1:7" x14ac:dyDescent="0.25">
      <c r="A16" s="10" t="s">
        <v>83</v>
      </c>
      <c r="B16" s="10" t="s">
        <v>9</v>
      </c>
      <c r="C16" t="s">
        <v>1350</v>
      </c>
      <c r="E16" s="51">
        <v>1074.02</v>
      </c>
      <c r="F16" s="51"/>
      <c r="G16" s="51">
        <v>1074.02</v>
      </c>
    </row>
    <row r="17" spans="1:7" x14ac:dyDescent="0.25">
      <c r="A17" s="10" t="s">
        <v>83</v>
      </c>
      <c r="B17" s="10" t="s">
        <v>9</v>
      </c>
      <c r="C17" t="s">
        <v>1354</v>
      </c>
      <c r="E17" s="51">
        <v>415.95</v>
      </c>
      <c r="F17" s="51"/>
      <c r="G17" s="51">
        <v>415.95</v>
      </c>
    </row>
    <row r="18" spans="1:7" x14ac:dyDescent="0.25">
      <c r="A18" s="10" t="s">
        <v>83</v>
      </c>
      <c r="B18" s="10" t="s">
        <v>9</v>
      </c>
      <c r="C18" t="s">
        <v>1357</v>
      </c>
      <c r="E18" s="51">
        <v>148.80000000000001</v>
      </c>
      <c r="F18" s="51"/>
      <c r="G18" s="51">
        <v>148.80000000000001</v>
      </c>
    </row>
    <row r="19" spans="1:7" x14ac:dyDescent="0.25">
      <c r="A19" s="10" t="s">
        <v>83</v>
      </c>
      <c r="B19" s="10" t="s">
        <v>9</v>
      </c>
      <c r="C19" t="s">
        <v>1557</v>
      </c>
      <c r="E19" s="51">
        <v>29442.84</v>
      </c>
      <c r="F19" s="51"/>
      <c r="G19" s="51">
        <v>29442.84</v>
      </c>
    </row>
    <row r="20" spans="1:7" x14ac:dyDescent="0.25">
      <c r="A20" s="10" t="s">
        <v>83</v>
      </c>
      <c r="B20" s="10" t="s">
        <v>9</v>
      </c>
      <c r="C20" t="s">
        <v>1560</v>
      </c>
      <c r="E20" s="51">
        <v>346.02</v>
      </c>
      <c r="F20" s="51"/>
      <c r="G20" s="51">
        <v>346.02</v>
      </c>
    </row>
    <row r="21" spans="1:7" x14ac:dyDescent="0.25">
      <c r="A21" s="10" t="s">
        <v>83</v>
      </c>
      <c r="B21" s="10" t="s">
        <v>9</v>
      </c>
      <c r="C21" t="s">
        <v>1360</v>
      </c>
      <c r="E21" s="51">
        <v>353.84</v>
      </c>
      <c r="F21" s="51"/>
      <c r="G21" s="51">
        <v>353.84</v>
      </c>
    </row>
    <row r="22" spans="1:7" x14ac:dyDescent="0.25">
      <c r="A22" s="10" t="s">
        <v>83</v>
      </c>
      <c r="B22" s="10" t="s">
        <v>9</v>
      </c>
      <c r="C22" t="s">
        <v>1374</v>
      </c>
      <c r="E22" s="51">
        <v>3109.71</v>
      </c>
      <c r="F22" s="51"/>
      <c r="G22" s="51">
        <v>3109.71</v>
      </c>
    </row>
    <row r="23" spans="1:7" x14ac:dyDescent="0.25">
      <c r="A23" s="10" t="s">
        <v>83</v>
      </c>
      <c r="B23" s="10" t="s">
        <v>9</v>
      </c>
      <c r="C23" t="s">
        <v>1380</v>
      </c>
      <c r="E23" s="51">
        <v>988.08</v>
      </c>
      <c r="F23" s="51"/>
      <c r="G23" s="51">
        <v>988.08</v>
      </c>
    </row>
    <row r="24" spans="1:7" x14ac:dyDescent="0.25">
      <c r="A24" s="10" t="s">
        <v>83</v>
      </c>
      <c r="B24" s="10" t="s">
        <v>9</v>
      </c>
      <c r="C24" t="s">
        <v>1383</v>
      </c>
      <c r="E24" s="51">
        <v>5378.9400000000005</v>
      </c>
      <c r="F24" s="51"/>
      <c r="G24" s="51">
        <v>5378.9400000000005</v>
      </c>
    </row>
    <row r="25" spans="1:7" x14ac:dyDescent="0.25">
      <c r="A25" s="10" t="s">
        <v>83</v>
      </c>
      <c r="B25" s="10" t="s">
        <v>9</v>
      </c>
      <c r="C25" t="s">
        <v>1386</v>
      </c>
      <c r="E25" s="51">
        <v>32.950000000000003</v>
      </c>
      <c r="F25" s="51"/>
      <c r="G25" s="51">
        <v>32.950000000000003</v>
      </c>
    </row>
    <row r="26" spans="1:7" x14ac:dyDescent="0.25">
      <c r="A26" s="10" t="s">
        <v>83</v>
      </c>
      <c r="B26" s="10" t="s">
        <v>9</v>
      </c>
      <c r="C26" t="s">
        <v>1461</v>
      </c>
      <c r="E26" s="51">
        <v>1216.56</v>
      </c>
      <c r="F26" s="51"/>
      <c r="G26" s="51">
        <v>1216.56</v>
      </c>
    </row>
    <row r="27" spans="1:7" x14ac:dyDescent="0.25">
      <c r="A27" s="10" t="s">
        <v>83</v>
      </c>
      <c r="B27" s="10" t="s">
        <v>9</v>
      </c>
      <c r="C27" t="s">
        <v>1389</v>
      </c>
      <c r="E27" s="51">
        <v>147.11000000000001</v>
      </c>
      <c r="F27" s="51"/>
      <c r="G27" s="51">
        <v>147.11000000000001</v>
      </c>
    </row>
    <row r="28" spans="1:7" x14ac:dyDescent="0.25">
      <c r="A28" s="10" t="s">
        <v>83</v>
      </c>
      <c r="B28" s="10" t="s">
        <v>9</v>
      </c>
      <c r="C28" t="s">
        <v>1393</v>
      </c>
      <c r="E28" s="51">
        <v>405.3</v>
      </c>
      <c r="F28" s="51"/>
      <c r="G28" s="51">
        <v>405.3</v>
      </c>
    </row>
    <row r="29" spans="1:7" x14ac:dyDescent="0.25">
      <c r="A29" s="10" t="s">
        <v>83</v>
      </c>
      <c r="B29" s="10" t="s">
        <v>9</v>
      </c>
      <c r="C29" t="s">
        <v>1396</v>
      </c>
      <c r="E29" s="51">
        <v>231</v>
      </c>
      <c r="F29" s="51"/>
      <c r="G29" s="51">
        <v>231</v>
      </c>
    </row>
    <row r="30" spans="1:7" x14ac:dyDescent="0.25">
      <c r="A30" s="10" t="s">
        <v>83</v>
      </c>
      <c r="B30" s="10" t="s">
        <v>9</v>
      </c>
      <c r="C30" t="s">
        <v>1402</v>
      </c>
      <c r="E30" s="51">
        <v>84.210000000000008</v>
      </c>
      <c r="F30" s="51"/>
      <c r="G30" s="51">
        <v>84.210000000000008</v>
      </c>
    </row>
    <row r="31" spans="1:7" x14ac:dyDescent="0.25">
      <c r="A31" s="10" t="s">
        <v>83</v>
      </c>
      <c r="B31" s="10" t="s">
        <v>9</v>
      </c>
      <c r="C31" t="s">
        <v>1405</v>
      </c>
      <c r="E31" s="51">
        <v>95.47</v>
      </c>
      <c r="F31" s="51"/>
      <c r="G31" s="51">
        <v>95.47</v>
      </c>
    </row>
    <row r="32" spans="1:7" x14ac:dyDescent="0.25">
      <c r="A32" s="10" t="s">
        <v>83</v>
      </c>
      <c r="B32" s="10" t="s">
        <v>9</v>
      </c>
      <c r="C32" t="s">
        <v>1563</v>
      </c>
      <c r="E32" s="51">
        <v>1507.04</v>
      </c>
      <c r="F32" s="51"/>
      <c r="G32" s="51">
        <v>1507.04</v>
      </c>
    </row>
    <row r="33" spans="1:7" x14ac:dyDescent="0.25">
      <c r="A33" s="10" t="s">
        <v>83</v>
      </c>
      <c r="B33" s="10" t="s">
        <v>9</v>
      </c>
      <c r="C33" t="s">
        <v>1421</v>
      </c>
      <c r="E33" s="51">
        <v>474.13</v>
      </c>
      <c r="F33" s="51"/>
      <c r="G33" s="51">
        <v>474.13</v>
      </c>
    </row>
    <row r="34" spans="1:7" x14ac:dyDescent="0.25">
      <c r="A34" s="10" t="s">
        <v>83</v>
      </c>
      <c r="B34" s="10" t="s">
        <v>9</v>
      </c>
      <c r="C34" t="s">
        <v>1524</v>
      </c>
      <c r="E34" s="51">
        <v>14386.6</v>
      </c>
      <c r="F34" s="51"/>
      <c r="G34" s="51">
        <v>14386.6</v>
      </c>
    </row>
    <row r="35" spans="1:7" x14ac:dyDescent="0.25">
      <c r="A35" s="10" t="s">
        <v>83</v>
      </c>
      <c r="B35" s="10" t="s">
        <v>9</v>
      </c>
      <c r="C35" t="s">
        <v>1527</v>
      </c>
      <c r="E35" s="51">
        <v>3132.68</v>
      </c>
      <c r="F35" s="51"/>
      <c r="G35" s="51">
        <v>3132.68</v>
      </c>
    </row>
    <row r="36" spans="1:7" x14ac:dyDescent="0.25">
      <c r="A36" s="10" t="s">
        <v>83</v>
      </c>
      <c r="B36" s="10" t="s">
        <v>9</v>
      </c>
      <c r="C36" t="s">
        <v>1566</v>
      </c>
      <c r="E36" s="51">
        <v>8854.4699999999993</v>
      </c>
      <c r="F36" s="51"/>
      <c r="G36" s="51">
        <v>8854.4699999999993</v>
      </c>
    </row>
    <row r="37" spans="1:7" x14ac:dyDescent="0.25">
      <c r="A37" s="10" t="s">
        <v>83</v>
      </c>
      <c r="B37" s="10" t="s">
        <v>9</v>
      </c>
      <c r="C37" t="s">
        <v>1531</v>
      </c>
      <c r="E37" s="51">
        <v>162.94</v>
      </c>
      <c r="F37" s="51"/>
      <c r="G37" s="51">
        <v>162.94</v>
      </c>
    </row>
    <row r="38" spans="1:7" x14ac:dyDescent="0.25">
      <c r="A38" s="10" t="s">
        <v>83</v>
      </c>
      <c r="B38" s="10" t="s">
        <v>9</v>
      </c>
      <c r="C38" t="s">
        <v>1569</v>
      </c>
      <c r="E38" s="51">
        <v>1972.57</v>
      </c>
      <c r="F38" s="51"/>
      <c r="G38" s="51">
        <v>1972.57</v>
      </c>
    </row>
    <row r="39" spans="1:7" x14ac:dyDescent="0.25">
      <c r="A39" s="10" t="s">
        <v>83</v>
      </c>
      <c r="B39" s="10" t="s">
        <v>9</v>
      </c>
      <c r="C39" t="s">
        <v>1435</v>
      </c>
      <c r="E39" s="51">
        <v>8253.8300000000017</v>
      </c>
      <c r="F39" s="51"/>
      <c r="G39" s="51">
        <v>8253.8300000000017</v>
      </c>
    </row>
    <row r="40" spans="1:7" x14ac:dyDescent="0.25">
      <c r="A40" s="10" t="s">
        <v>83</v>
      </c>
      <c r="B40" s="10" t="s">
        <v>9</v>
      </c>
      <c r="C40" t="s">
        <v>1572</v>
      </c>
      <c r="E40" s="51">
        <v>402</v>
      </c>
      <c r="F40" s="51"/>
      <c r="G40" s="51">
        <v>402</v>
      </c>
    </row>
    <row r="41" spans="1:7" x14ac:dyDescent="0.25">
      <c r="A41" s="10" t="s">
        <v>83</v>
      </c>
      <c r="B41" s="10" t="s">
        <v>9</v>
      </c>
      <c r="C41" t="s">
        <v>1441</v>
      </c>
      <c r="E41" s="51">
        <v>1423.93</v>
      </c>
      <c r="F41" s="51"/>
      <c r="G41" s="51">
        <v>1423.93</v>
      </c>
    </row>
    <row r="42" spans="1:7" x14ac:dyDescent="0.25">
      <c r="A42" s="10" t="s">
        <v>83</v>
      </c>
      <c r="B42" s="10" t="s">
        <v>9</v>
      </c>
      <c r="C42" t="s">
        <v>1444</v>
      </c>
      <c r="E42" s="51">
        <v>550</v>
      </c>
      <c r="F42" s="51"/>
      <c r="G42" s="51">
        <v>550</v>
      </c>
    </row>
    <row r="43" spans="1:7" x14ac:dyDescent="0.25">
      <c r="A43" s="10" t="s">
        <v>83</v>
      </c>
      <c r="B43" s="10" t="s">
        <v>9</v>
      </c>
      <c r="C43" t="s">
        <v>1575</v>
      </c>
      <c r="E43" s="51">
        <v>-1522.57</v>
      </c>
      <c r="F43" s="51"/>
      <c r="G43" s="51">
        <v>-1522.57</v>
      </c>
    </row>
    <row r="44" spans="1:7" x14ac:dyDescent="0.25">
      <c r="A44" s="10" t="s">
        <v>83</v>
      </c>
      <c r="B44" s="10" t="s">
        <v>8</v>
      </c>
      <c r="C44" t="s">
        <v>1579</v>
      </c>
      <c r="E44" s="51">
        <v>41132.5</v>
      </c>
      <c r="F44" s="51"/>
      <c r="G44" s="51">
        <v>41132.5</v>
      </c>
    </row>
    <row r="45" spans="1:7" x14ac:dyDescent="0.25">
      <c r="A45" s="10" t="s">
        <v>83</v>
      </c>
      <c r="B45" s="10" t="s">
        <v>10</v>
      </c>
      <c r="C45" t="s">
        <v>1330</v>
      </c>
      <c r="E45" s="51">
        <v>293737.7</v>
      </c>
      <c r="F45" s="51">
        <v>142376</v>
      </c>
      <c r="G45" s="51">
        <v>436113.7</v>
      </c>
    </row>
    <row r="46" spans="1:7" x14ac:dyDescent="0.25">
      <c r="A46" s="10" t="s">
        <v>83</v>
      </c>
      <c r="B46" s="10" t="s">
        <v>10</v>
      </c>
      <c r="C46" t="s">
        <v>1449</v>
      </c>
      <c r="E46" s="51">
        <v>1618.86</v>
      </c>
      <c r="F46" s="51">
        <v>911.4</v>
      </c>
      <c r="G46" s="51">
        <v>2530.2599999999998</v>
      </c>
    </row>
    <row r="47" spans="1:7" x14ac:dyDescent="0.25">
      <c r="A47" s="10" t="s">
        <v>83</v>
      </c>
      <c r="B47" s="10" t="s">
        <v>10</v>
      </c>
      <c r="C47" t="s">
        <v>1452</v>
      </c>
      <c r="E47" s="51">
        <v>-1618.86</v>
      </c>
      <c r="F47" s="51">
        <v>-911.4</v>
      </c>
      <c r="G47" s="51">
        <v>-2530.2599999999998</v>
      </c>
    </row>
    <row r="48" spans="1:7" x14ac:dyDescent="0.25">
      <c r="A48" s="10" t="s">
        <v>83</v>
      </c>
      <c r="B48" s="10" t="s">
        <v>10</v>
      </c>
      <c r="C48" t="s">
        <v>1333</v>
      </c>
      <c r="E48" s="51">
        <v>25383.69</v>
      </c>
      <c r="F48" s="51">
        <v>9099.65</v>
      </c>
      <c r="G48" s="51">
        <v>34483.339999999997</v>
      </c>
    </row>
    <row r="49" spans="1:7" x14ac:dyDescent="0.25">
      <c r="A49" s="10" t="s">
        <v>83</v>
      </c>
      <c r="B49" s="10" t="s">
        <v>10</v>
      </c>
      <c r="C49" t="s">
        <v>1337</v>
      </c>
      <c r="E49" s="51">
        <v>-14902.22</v>
      </c>
      <c r="F49" s="51">
        <v>-5875.83</v>
      </c>
      <c r="G49" s="51">
        <v>-20778.05</v>
      </c>
    </row>
    <row r="50" spans="1:7" x14ac:dyDescent="0.25">
      <c r="A50" s="10" t="s">
        <v>83</v>
      </c>
      <c r="B50" s="10" t="s">
        <v>10</v>
      </c>
      <c r="C50" t="s">
        <v>1340</v>
      </c>
      <c r="E50" s="51">
        <v>1417</v>
      </c>
      <c r="F50" s="51">
        <v>974</v>
      </c>
      <c r="G50" s="51">
        <v>2391</v>
      </c>
    </row>
    <row r="51" spans="1:7" x14ac:dyDescent="0.25">
      <c r="A51" s="10" t="s">
        <v>83</v>
      </c>
      <c r="B51" s="10" t="s">
        <v>10</v>
      </c>
      <c r="C51" t="s">
        <v>1477</v>
      </c>
      <c r="E51" s="51">
        <v>1500</v>
      </c>
      <c r="F51" s="51"/>
      <c r="G51" s="51">
        <v>1500</v>
      </c>
    </row>
    <row r="52" spans="1:7" x14ac:dyDescent="0.25">
      <c r="A52" s="10" t="s">
        <v>83</v>
      </c>
      <c r="B52" s="10" t="s">
        <v>10</v>
      </c>
      <c r="C52" t="s">
        <v>1343</v>
      </c>
      <c r="E52" s="51">
        <v>1523.3400000000001</v>
      </c>
      <c r="F52" s="51">
        <v>540</v>
      </c>
      <c r="G52" s="51">
        <v>2063.34</v>
      </c>
    </row>
    <row r="53" spans="1:7" x14ac:dyDescent="0.25">
      <c r="A53" s="10" t="s">
        <v>83</v>
      </c>
      <c r="B53" s="10" t="s">
        <v>10</v>
      </c>
      <c r="C53" t="s">
        <v>1014</v>
      </c>
      <c r="E53" s="51"/>
      <c r="F53" s="51">
        <v>203</v>
      </c>
      <c r="G53" s="51">
        <v>203</v>
      </c>
    </row>
    <row r="54" spans="1:7" x14ac:dyDescent="0.25">
      <c r="A54" s="10" t="s">
        <v>83</v>
      </c>
      <c r="B54" s="10" t="s">
        <v>10</v>
      </c>
      <c r="C54" t="s">
        <v>1346</v>
      </c>
      <c r="E54" s="51">
        <v>1920</v>
      </c>
      <c r="F54" s="51">
        <v>960</v>
      </c>
      <c r="G54" s="51">
        <v>2880</v>
      </c>
    </row>
    <row r="55" spans="1:7" x14ac:dyDescent="0.25">
      <c r="A55" s="10" t="s">
        <v>83</v>
      </c>
      <c r="B55" s="10" t="s">
        <v>10</v>
      </c>
      <c r="C55" t="s">
        <v>1350</v>
      </c>
      <c r="E55" s="51">
        <v>1248.8699999999999</v>
      </c>
      <c r="F55" s="51">
        <v>533.99</v>
      </c>
      <c r="G55" s="51">
        <v>1782.86</v>
      </c>
    </row>
    <row r="56" spans="1:7" x14ac:dyDescent="0.25">
      <c r="A56" s="10" t="s">
        <v>83</v>
      </c>
      <c r="B56" s="10" t="s">
        <v>10</v>
      </c>
      <c r="C56" t="s">
        <v>1354</v>
      </c>
      <c r="E56" s="51">
        <v>3160.1299999999997</v>
      </c>
      <c r="F56" s="51">
        <v>1287</v>
      </c>
      <c r="G56" s="51">
        <v>4447.1299999999992</v>
      </c>
    </row>
    <row r="57" spans="1:7" x14ac:dyDescent="0.25">
      <c r="A57" s="10" t="s">
        <v>83</v>
      </c>
      <c r="B57" s="10" t="s">
        <v>10</v>
      </c>
      <c r="C57" t="s">
        <v>1357</v>
      </c>
      <c r="E57" s="51">
        <v>1190.3999999999999</v>
      </c>
      <c r="F57" s="51">
        <v>595.20000000000005</v>
      </c>
      <c r="G57" s="51">
        <v>1785.6</v>
      </c>
    </row>
    <row r="58" spans="1:7" x14ac:dyDescent="0.25">
      <c r="A58" s="10" t="s">
        <v>83</v>
      </c>
      <c r="B58" s="10" t="s">
        <v>10</v>
      </c>
      <c r="C58" t="s">
        <v>1360</v>
      </c>
      <c r="E58" s="51">
        <v>10487.42</v>
      </c>
      <c r="F58" s="51">
        <v>3641.96</v>
      </c>
      <c r="G58" s="51">
        <v>14129.380000000001</v>
      </c>
    </row>
    <row r="59" spans="1:7" x14ac:dyDescent="0.25">
      <c r="A59" s="10" t="s">
        <v>83</v>
      </c>
      <c r="B59" s="10" t="s">
        <v>10</v>
      </c>
      <c r="C59" t="s">
        <v>1364</v>
      </c>
      <c r="E59" s="51">
        <v>-47147.81</v>
      </c>
      <c r="F59" s="51">
        <v>-3575.9</v>
      </c>
      <c r="G59" s="51">
        <v>-50723.71</v>
      </c>
    </row>
    <row r="60" spans="1:7" x14ac:dyDescent="0.25">
      <c r="A60" s="10" t="s">
        <v>83</v>
      </c>
      <c r="B60" s="10" t="s">
        <v>10</v>
      </c>
      <c r="C60" t="s">
        <v>1367</v>
      </c>
      <c r="E60" s="51">
        <v>51322</v>
      </c>
      <c r="F60" s="51"/>
      <c r="G60" s="51">
        <v>51322</v>
      </c>
    </row>
    <row r="61" spans="1:7" x14ac:dyDescent="0.25">
      <c r="A61" s="10" t="s">
        <v>83</v>
      </c>
      <c r="B61" s="10" t="s">
        <v>10</v>
      </c>
      <c r="C61" t="s">
        <v>1371</v>
      </c>
      <c r="E61" s="51">
        <v>38584.180000000008</v>
      </c>
      <c r="F61" s="51">
        <v>1793.74</v>
      </c>
      <c r="G61" s="51">
        <v>40377.920000000006</v>
      </c>
    </row>
    <row r="62" spans="1:7" x14ac:dyDescent="0.25">
      <c r="A62" s="10" t="s">
        <v>83</v>
      </c>
      <c r="B62" s="10" t="s">
        <v>10</v>
      </c>
      <c r="C62" t="s">
        <v>1458</v>
      </c>
      <c r="E62" s="51"/>
      <c r="F62" s="51">
        <v>733.35</v>
      </c>
      <c r="G62" s="51">
        <v>733.35</v>
      </c>
    </row>
    <row r="63" spans="1:7" x14ac:dyDescent="0.25">
      <c r="A63" s="10" t="s">
        <v>83</v>
      </c>
      <c r="B63" s="10" t="s">
        <v>10</v>
      </c>
      <c r="C63" t="s">
        <v>1374</v>
      </c>
      <c r="E63" s="51">
        <v>84737.44</v>
      </c>
      <c r="F63" s="51">
        <v>30129.49</v>
      </c>
      <c r="G63" s="51">
        <v>114866.93000000001</v>
      </c>
    </row>
    <row r="64" spans="1:7" x14ac:dyDescent="0.25">
      <c r="A64" s="10" t="s">
        <v>83</v>
      </c>
      <c r="B64" s="10" t="s">
        <v>10</v>
      </c>
      <c r="C64" t="s">
        <v>1377</v>
      </c>
      <c r="E64" s="51">
        <v>52976.04</v>
      </c>
      <c r="F64" s="51">
        <v>12659.25</v>
      </c>
      <c r="G64" s="51">
        <v>65635.290000000008</v>
      </c>
    </row>
    <row r="65" spans="1:7" x14ac:dyDescent="0.25">
      <c r="A65" s="10" t="s">
        <v>83</v>
      </c>
      <c r="B65" s="10" t="s">
        <v>10</v>
      </c>
      <c r="C65" t="s">
        <v>1380</v>
      </c>
      <c r="E65" s="51">
        <v>16973.21</v>
      </c>
      <c r="F65" s="51">
        <v>7056.45</v>
      </c>
      <c r="G65" s="51">
        <v>24029.66</v>
      </c>
    </row>
    <row r="66" spans="1:7" x14ac:dyDescent="0.25">
      <c r="A66" s="10" t="s">
        <v>83</v>
      </c>
      <c r="B66" s="10" t="s">
        <v>10</v>
      </c>
      <c r="C66" t="s">
        <v>1383</v>
      </c>
      <c r="E66" s="51">
        <v>29805.920000000002</v>
      </c>
      <c r="F66" s="51">
        <v>11184.98</v>
      </c>
      <c r="G66" s="51">
        <v>40990.9</v>
      </c>
    </row>
    <row r="67" spans="1:7" x14ac:dyDescent="0.25">
      <c r="A67" s="10" t="s">
        <v>83</v>
      </c>
      <c r="B67" s="10" t="s">
        <v>10</v>
      </c>
      <c r="C67" t="s">
        <v>1386</v>
      </c>
      <c r="E67" s="51">
        <v>1665.88</v>
      </c>
      <c r="F67" s="51">
        <v>476.14</v>
      </c>
      <c r="G67" s="51">
        <v>2142.02</v>
      </c>
    </row>
    <row r="68" spans="1:7" x14ac:dyDescent="0.25">
      <c r="A68" s="10" t="s">
        <v>83</v>
      </c>
      <c r="B68" s="10" t="s">
        <v>10</v>
      </c>
      <c r="C68" t="s">
        <v>1461</v>
      </c>
      <c r="E68" s="51"/>
      <c r="F68" s="51">
        <v>94</v>
      </c>
      <c r="G68" s="51">
        <v>94</v>
      </c>
    </row>
    <row r="69" spans="1:7" x14ac:dyDescent="0.25">
      <c r="A69" s="10" t="s">
        <v>83</v>
      </c>
      <c r="B69" s="10" t="s">
        <v>10</v>
      </c>
      <c r="C69" t="s">
        <v>1389</v>
      </c>
      <c r="E69" s="51">
        <v>8482.77</v>
      </c>
      <c r="F69" s="51">
        <v>5433</v>
      </c>
      <c r="G69" s="51">
        <v>13915.77</v>
      </c>
    </row>
    <row r="70" spans="1:7" x14ac:dyDescent="0.25">
      <c r="A70" s="10" t="s">
        <v>83</v>
      </c>
      <c r="B70" s="10" t="s">
        <v>10</v>
      </c>
      <c r="C70" t="s">
        <v>1393</v>
      </c>
      <c r="E70" s="51">
        <v>10207.85</v>
      </c>
      <c r="F70" s="51">
        <v>3027.48</v>
      </c>
      <c r="G70" s="51">
        <v>13235.33</v>
      </c>
    </row>
    <row r="71" spans="1:7" x14ac:dyDescent="0.25">
      <c r="A71" s="10" t="s">
        <v>83</v>
      </c>
      <c r="B71" s="10" t="s">
        <v>10</v>
      </c>
      <c r="C71" t="s">
        <v>1396</v>
      </c>
      <c r="E71" s="51">
        <v>8272</v>
      </c>
      <c r="F71" s="51">
        <v>3246</v>
      </c>
      <c r="G71" s="51">
        <v>11518</v>
      </c>
    </row>
    <row r="72" spans="1:7" x14ac:dyDescent="0.25">
      <c r="A72" s="10" t="s">
        <v>83</v>
      </c>
      <c r="B72" s="10" t="s">
        <v>10</v>
      </c>
      <c r="C72" t="s">
        <v>1399</v>
      </c>
      <c r="E72" s="51">
        <v>5809.72</v>
      </c>
      <c r="F72" s="51">
        <v>454.51</v>
      </c>
      <c r="G72" s="51">
        <v>6264.2300000000005</v>
      </c>
    </row>
    <row r="73" spans="1:7" x14ac:dyDescent="0.25">
      <c r="A73" s="10" t="s">
        <v>83</v>
      </c>
      <c r="B73" s="10" t="s">
        <v>10</v>
      </c>
      <c r="C73" t="s">
        <v>1402</v>
      </c>
      <c r="E73" s="51">
        <v>673.54000000000008</v>
      </c>
      <c r="F73" s="51">
        <v>1235.1600000000001</v>
      </c>
      <c r="G73" s="51">
        <v>1908.7000000000003</v>
      </c>
    </row>
    <row r="74" spans="1:7" x14ac:dyDescent="0.25">
      <c r="A74" s="10" t="s">
        <v>83</v>
      </c>
      <c r="B74" s="10" t="s">
        <v>10</v>
      </c>
      <c r="C74" t="s">
        <v>1405</v>
      </c>
      <c r="E74" s="51">
        <v>4414.83</v>
      </c>
      <c r="F74" s="51">
        <v>1728.02</v>
      </c>
      <c r="G74" s="51">
        <v>6142.85</v>
      </c>
    </row>
    <row r="75" spans="1:7" x14ac:dyDescent="0.25">
      <c r="A75" s="10" t="s">
        <v>83</v>
      </c>
      <c r="B75" s="10" t="s">
        <v>10</v>
      </c>
      <c r="C75" t="s">
        <v>1408</v>
      </c>
      <c r="E75" s="51">
        <v>7991.15</v>
      </c>
      <c r="F75" s="51">
        <v>1550.45</v>
      </c>
      <c r="G75" s="51">
        <v>9541.6</v>
      </c>
    </row>
    <row r="76" spans="1:7" x14ac:dyDescent="0.25">
      <c r="A76" s="10" t="s">
        <v>83</v>
      </c>
      <c r="B76" s="10" t="s">
        <v>10</v>
      </c>
      <c r="C76" t="s">
        <v>1464</v>
      </c>
      <c r="E76" s="51">
        <v>280</v>
      </c>
      <c r="F76" s="51">
        <v>24</v>
      </c>
      <c r="G76" s="51">
        <v>304</v>
      </c>
    </row>
    <row r="77" spans="1:7" x14ac:dyDescent="0.25">
      <c r="A77" s="10" t="s">
        <v>83</v>
      </c>
      <c r="B77" s="10" t="s">
        <v>10</v>
      </c>
      <c r="C77" t="s">
        <v>1411</v>
      </c>
      <c r="E77" s="51">
        <v>2412</v>
      </c>
      <c r="F77" s="51">
        <v>-44</v>
      </c>
      <c r="G77" s="51">
        <v>2368</v>
      </c>
    </row>
    <row r="78" spans="1:7" x14ac:dyDescent="0.25">
      <c r="A78" s="10" t="s">
        <v>83</v>
      </c>
      <c r="B78" s="10" t="s">
        <v>10</v>
      </c>
      <c r="C78" t="s">
        <v>1428</v>
      </c>
      <c r="E78" s="51">
        <v>220.09</v>
      </c>
      <c r="F78" s="51">
        <v>25.01</v>
      </c>
      <c r="G78" s="51">
        <v>245.1</v>
      </c>
    </row>
    <row r="79" spans="1:7" x14ac:dyDescent="0.25">
      <c r="A79" s="10" t="s">
        <v>83</v>
      </c>
      <c r="B79" s="10" t="s">
        <v>10</v>
      </c>
      <c r="C79" t="s">
        <v>1414</v>
      </c>
      <c r="E79" s="51">
        <v>18111.190000000002</v>
      </c>
      <c r="F79" s="51">
        <v>9111.68</v>
      </c>
      <c r="G79" s="51">
        <v>27222.870000000003</v>
      </c>
    </row>
    <row r="80" spans="1:7" x14ac:dyDescent="0.25">
      <c r="A80" s="10" t="s">
        <v>83</v>
      </c>
      <c r="B80" s="10" t="s">
        <v>10</v>
      </c>
      <c r="C80" t="s">
        <v>1418</v>
      </c>
      <c r="E80" s="51">
        <v>42596.78</v>
      </c>
      <c r="F80" s="51">
        <v>18231.68</v>
      </c>
      <c r="G80" s="51">
        <v>60828.46</v>
      </c>
    </row>
    <row r="81" spans="1:7" x14ac:dyDescent="0.25">
      <c r="A81" s="10" t="s">
        <v>83</v>
      </c>
      <c r="B81" s="10" t="s">
        <v>10</v>
      </c>
      <c r="C81" t="s">
        <v>1563</v>
      </c>
      <c r="E81" s="51"/>
      <c r="F81" s="51">
        <v>50.9</v>
      </c>
      <c r="G81" s="51">
        <v>50.9</v>
      </c>
    </row>
    <row r="82" spans="1:7" x14ac:dyDescent="0.25">
      <c r="A82" s="10" t="s">
        <v>83</v>
      </c>
      <c r="B82" s="10" t="s">
        <v>10</v>
      </c>
      <c r="C82" t="s">
        <v>1421</v>
      </c>
      <c r="E82" s="51">
        <v>244.1</v>
      </c>
      <c r="F82" s="51">
        <v>120.53</v>
      </c>
      <c r="G82" s="51">
        <v>364.63</v>
      </c>
    </row>
    <row r="83" spans="1:7" x14ac:dyDescent="0.25">
      <c r="A83" s="10" t="s">
        <v>83</v>
      </c>
      <c r="B83" s="10" t="s">
        <v>10</v>
      </c>
      <c r="C83" t="s">
        <v>1431</v>
      </c>
      <c r="E83" s="51">
        <v>1252.21</v>
      </c>
      <c r="F83" s="51">
        <v>1442.6</v>
      </c>
      <c r="G83" s="51">
        <v>2694.81</v>
      </c>
    </row>
    <row r="84" spans="1:7" x14ac:dyDescent="0.25">
      <c r="A84" s="10" t="s">
        <v>83</v>
      </c>
      <c r="B84" s="10" t="s">
        <v>10</v>
      </c>
      <c r="C84" t="s">
        <v>1424</v>
      </c>
      <c r="E84" s="51">
        <v>727.09</v>
      </c>
      <c r="F84" s="51">
        <v>140.13</v>
      </c>
      <c r="G84" s="51">
        <v>867.22</v>
      </c>
    </row>
    <row r="85" spans="1:7" x14ac:dyDescent="0.25">
      <c r="A85" s="10" t="s">
        <v>83</v>
      </c>
      <c r="B85" s="10" t="s">
        <v>10</v>
      </c>
      <c r="C85" t="s">
        <v>1467</v>
      </c>
      <c r="E85" s="51">
        <v>734.68</v>
      </c>
      <c r="F85" s="51">
        <v>2241.3000000000002</v>
      </c>
      <c r="G85" s="51">
        <v>2975.98</v>
      </c>
    </row>
    <row r="86" spans="1:7" x14ac:dyDescent="0.25">
      <c r="A86" s="10" t="s">
        <v>83</v>
      </c>
      <c r="B86" s="10" t="s">
        <v>10</v>
      </c>
      <c r="C86" t="s">
        <v>1435</v>
      </c>
      <c r="E86" s="51">
        <v>663.26</v>
      </c>
      <c r="F86" s="51"/>
      <c r="G86" s="51">
        <v>663.26</v>
      </c>
    </row>
    <row r="87" spans="1:7" x14ac:dyDescent="0.25">
      <c r="A87" s="10" t="s">
        <v>83</v>
      </c>
      <c r="B87" s="10" t="s">
        <v>10</v>
      </c>
      <c r="C87" t="s">
        <v>1432</v>
      </c>
      <c r="E87" s="51">
        <v>880</v>
      </c>
      <c r="F87" s="51"/>
      <c r="G87" s="51">
        <v>880</v>
      </c>
    </row>
    <row r="88" spans="1:7" x14ac:dyDescent="0.25">
      <c r="A88" s="10" t="s">
        <v>83</v>
      </c>
      <c r="B88" s="10" t="s">
        <v>10</v>
      </c>
      <c r="C88" t="s">
        <v>1470</v>
      </c>
      <c r="E88" s="51"/>
      <c r="F88" s="51">
        <v>300</v>
      </c>
      <c r="G88" s="51">
        <v>300</v>
      </c>
    </row>
    <row r="89" spans="1:7" x14ac:dyDescent="0.25">
      <c r="A89" s="10" t="s">
        <v>83</v>
      </c>
      <c r="B89" s="10" t="s">
        <v>10</v>
      </c>
      <c r="C89" t="s">
        <v>1473</v>
      </c>
      <c r="E89" s="51">
        <v>1500</v>
      </c>
      <c r="F89" s="51">
        <v>16385.25</v>
      </c>
      <c r="G89" s="51">
        <v>17885.25</v>
      </c>
    </row>
    <row r="90" spans="1:7" x14ac:dyDescent="0.25">
      <c r="A90" s="10" t="s">
        <v>83</v>
      </c>
      <c r="B90" s="10" t="s">
        <v>10</v>
      </c>
      <c r="C90" t="s">
        <v>1441</v>
      </c>
      <c r="E90" s="51">
        <v>2215.33</v>
      </c>
      <c r="F90" s="51">
        <v>3755.54</v>
      </c>
      <c r="G90" s="51">
        <v>5970.87</v>
      </c>
    </row>
    <row r="91" spans="1:7" x14ac:dyDescent="0.25">
      <c r="A91" s="10" t="s">
        <v>83</v>
      </c>
      <c r="B91" s="10" t="s">
        <v>10</v>
      </c>
      <c r="C91" t="s">
        <v>1444</v>
      </c>
      <c r="E91" s="51">
        <v>750</v>
      </c>
      <c r="F91" s="51">
        <v>2532</v>
      </c>
      <c r="G91" s="51">
        <v>3282</v>
      </c>
    </row>
    <row r="92" spans="1:7" x14ac:dyDescent="0.25">
      <c r="A92" s="10" t="s">
        <v>83</v>
      </c>
      <c r="B92" s="10" t="s">
        <v>127</v>
      </c>
      <c r="C92" t="s">
        <v>1486</v>
      </c>
      <c r="E92" s="51">
        <v>-2.42</v>
      </c>
      <c r="F92" s="51">
        <v>-1.07</v>
      </c>
      <c r="G92" s="51">
        <v>-3.49</v>
      </c>
    </row>
    <row r="93" spans="1:7" x14ac:dyDescent="0.25">
      <c r="A93" s="10" t="s">
        <v>83</v>
      </c>
      <c r="B93" s="10" t="s">
        <v>127</v>
      </c>
      <c r="C93" t="s">
        <v>1493</v>
      </c>
      <c r="E93" s="51">
        <v>644.70000000000027</v>
      </c>
      <c r="F93" s="51">
        <v>1294.99</v>
      </c>
      <c r="G93" s="51">
        <v>1939.6900000000003</v>
      </c>
    </row>
    <row r="94" spans="1:7" x14ac:dyDescent="0.25">
      <c r="A94" s="10" t="s">
        <v>83</v>
      </c>
      <c r="B94" s="10" t="s">
        <v>127</v>
      </c>
      <c r="C94" t="s">
        <v>1496</v>
      </c>
      <c r="E94" s="51">
        <v>1476.7799999999997</v>
      </c>
      <c r="F94" s="51">
        <v>-6616.88</v>
      </c>
      <c r="G94" s="51">
        <v>-5140.1000000000004</v>
      </c>
    </row>
    <row r="95" spans="1:7" x14ac:dyDescent="0.25">
      <c r="A95" s="10" t="s">
        <v>83</v>
      </c>
      <c r="B95" s="10" t="s">
        <v>129</v>
      </c>
      <c r="C95" t="s">
        <v>1499</v>
      </c>
      <c r="E95" s="51">
        <v>1977.53</v>
      </c>
      <c r="F95" s="51"/>
      <c r="G95" s="51">
        <v>1977.53</v>
      </c>
    </row>
    <row r="96" spans="1:7" x14ac:dyDescent="0.25">
      <c r="A96" s="10" t="s">
        <v>83</v>
      </c>
      <c r="B96" s="10" t="s">
        <v>129</v>
      </c>
      <c r="C96" t="s">
        <v>1502</v>
      </c>
      <c r="E96" s="51">
        <v>-103.65</v>
      </c>
      <c r="F96" s="51">
        <v>-45.519999999999996</v>
      </c>
      <c r="G96" s="51">
        <v>-149.17000000000002</v>
      </c>
    </row>
    <row r="97" spans="1:7" x14ac:dyDescent="0.25">
      <c r="A97" s="10" t="s">
        <v>83</v>
      </c>
      <c r="B97" s="10" t="s">
        <v>129</v>
      </c>
      <c r="C97" t="s">
        <v>1505</v>
      </c>
      <c r="E97" s="51">
        <v>-40.509999999999991</v>
      </c>
      <c r="F97" s="51">
        <v>-90.639999999999986</v>
      </c>
      <c r="G97" s="51">
        <v>-131.14999999999998</v>
      </c>
    </row>
    <row r="98" spans="1:7" x14ac:dyDescent="0.25">
      <c r="A98" s="10" t="s">
        <v>83</v>
      </c>
      <c r="B98" s="10" t="s">
        <v>177</v>
      </c>
      <c r="C98" t="s">
        <v>1512</v>
      </c>
      <c r="E98" s="51">
        <v>-0.29000000000000004</v>
      </c>
      <c r="F98" s="51">
        <v>-0.11</v>
      </c>
      <c r="G98" s="51">
        <v>-0.4</v>
      </c>
    </row>
    <row r="99" spans="1:7" x14ac:dyDescent="0.25">
      <c r="A99" s="53" t="s">
        <v>83</v>
      </c>
      <c r="B99" s="10" t="s">
        <v>169</v>
      </c>
      <c r="C99" t="s">
        <v>1515</v>
      </c>
      <c r="E99" s="51">
        <v>792.18999999999994</v>
      </c>
      <c r="F99" s="51">
        <v>231.95</v>
      </c>
      <c r="G99" s="51">
        <v>1024.1399999999999</v>
      </c>
    </row>
    <row r="100" spans="1:7" x14ac:dyDescent="0.25">
      <c r="A100" s="10" t="s">
        <v>1191</v>
      </c>
      <c r="B100" s="10" t="s">
        <v>288</v>
      </c>
      <c r="C100" t="s">
        <v>1208</v>
      </c>
      <c r="E100" s="51">
        <v>151.81</v>
      </c>
      <c r="F100" s="51"/>
      <c r="G100" s="51">
        <v>151.81</v>
      </c>
    </row>
    <row r="101" spans="1:7" x14ac:dyDescent="0.25">
      <c r="A101" s="10" t="s">
        <v>1191</v>
      </c>
      <c r="B101" s="10" t="s">
        <v>399</v>
      </c>
      <c r="C101" t="s">
        <v>399</v>
      </c>
      <c r="E101" s="51">
        <v>52417</v>
      </c>
      <c r="F101" s="51"/>
      <c r="G101" s="51">
        <v>52417</v>
      </c>
    </row>
    <row r="102" spans="1:7" x14ac:dyDescent="0.25">
      <c r="A102" s="10" t="s">
        <v>1191</v>
      </c>
      <c r="B102" s="10" t="s">
        <v>477</v>
      </c>
      <c r="C102" t="s">
        <v>1247</v>
      </c>
      <c r="D102" t="s">
        <v>1249</v>
      </c>
      <c r="E102" s="51">
        <v>3190081.38</v>
      </c>
      <c r="F102" s="51"/>
      <c r="G102" s="51">
        <v>3190081.38</v>
      </c>
    </row>
    <row r="103" spans="1:7" x14ac:dyDescent="0.25">
      <c r="A103" s="10" t="s">
        <v>1191</v>
      </c>
      <c r="B103" s="10" t="s">
        <v>387</v>
      </c>
      <c r="C103" t="s">
        <v>387</v>
      </c>
      <c r="D103" t="s">
        <v>1252</v>
      </c>
      <c r="E103" s="51">
        <v>777400</v>
      </c>
      <c r="F103" s="51"/>
      <c r="G103" s="51">
        <v>777400</v>
      </c>
    </row>
    <row r="104" spans="1:7" x14ac:dyDescent="0.25">
      <c r="A104" s="10" t="s">
        <v>1191</v>
      </c>
      <c r="B104" s="10" t="s">
        <v>617</v>
      </c>
      <c r="C104" t="s">
        <v>617</v>
      </c>
      <c r="E104" s="51">
        <v>80993.259999999995</v>
      </c>
      <c r="F104" s="51"/>
      <c r="G104" s="51">
        <v>80993.259999999995</v>
      </c>
    </row>
    <row r="105" spans="1:7" x14ac:dyDescent="0.25">
      <c r="A105" s="10" t="s">
        <v>1191</v>
      </c>
      <c r="B105" s="10" t="s">
        <v>617</v>
      </c>
      <c r="C105" t="s">
        <v>1296</v>
      </c>
      <c r="E105" s="51">
        <v>-105106</v>
      </c>
      <c r="F105" s="51"/>
      <c r="G105" s="51">
        <v>-105106</v>
      </c>
    </row>
    <row r="106" spans="1:7" x14ac:dyDescent="0.25">
      <c r="A106" s="10" t="s">
        <v>1191</v>
      </c>
      <c r="B106" s="10" t="s">
        <v>675</v>
      </c>
      <c r="C106" t="s">
        <v>675</v>
      </c>
      <c r="E106" s="51">
        <v>-174</v>
      </c>
      <c r="F106" s="51"/>
      <c r="G106" s="51">
        <v>-174</v>
      </c>
    </row>
    <row r="107" spans="1:7" x14ac:dyDescent="0.25">
      <c r="A107" s="10" t="s">
        <v>1191</v>
      </c>
      <c r="B107" s="10" t="s">
        <v>739</v>
      </c>
      <c r="C107" t="s">
        <v>1316</v>
      </c>
      <c r="E107" s="51">
        <v>-2354630.6</v>
      </c>
      <c r="F107" s="51"/>
      <c r="G107" s="51">
        <v>-2354630.6</v>
      </c>
    </row>
    <row r="108" spans="1:7" x14ac:dyDescent="0.25">
      <c r="A108" s="10" t="s">
        <v>1191</v>
      </c>
      <c r="B108" s="10" t="s">
        <v>54</v>
      </c>
      <c r="C108" t="s">
        <v>1479</v>
      </c>
      <c r="E108" s="51">
        <v>-7.9</v>
      </c>
      <c r="F108" s="51"/>
      <c r="G108" s="51">
        <v>-7.9</v>
      </c>
    </row>
    <row r="109" spans="1:7" x14ac:dyDescent="0.25">
      <c r="A109" s="10" t="s">
        <v>1191</v>
      </c>
      <c r="B109" s="10" t="s">
        <v>41</v>
      </c>
      <c r="C109" t="s">
        <v>41</v>
      </c>
      <c r="E109" s="51">
        <v>73010</v>
      </c>
      <c r="F109" s="51"/>
      <c r="G109" s="51">
        <v>73010</v>
      </c>
    </row>
    <row r="110" spans="1:7" x14ac:dyDescent="0.25">
      <c r="A110" s="10" t="s">
        <v>1191</v>
      </c>
      <c r="B110" s="10" t="s">
        <v>48</v>
      </c>
      <c r="C110" t="s">
        <v>1510</v>
      </c>
      <c r="D110" t="s">
        <v>1249</v>
      </c>
      <c r="E110" s="51">
        <v>-1599.13</v>
      </c>
      <c r="F110" s="51"/>
      <c r="G110" s="51">
        <v>-1599.13</v>
      </c>
    </row>
    <row r="111" spans="1:7" x14ac:dyDescent="0.25">
      <c r="A111" s="10" t="s">
        <v>1191</v>
      </c>
      <c r="B111" s="10" t="s">
        <v>143</v>
      </c>
      <c r="C111" t="s">
        <v>143</v>
      </c>
      <c r="D111" t="s">
        <v>1252</v>
      </c>
      <c r="E111" s="51">
        <v>-715474.5</v>
      </c>
      <c r="F111" s="51"/>
      <c r="G111" s="51">
        <v>-715474.5</v>
      </c>
    </row>
    <row r="112" spans="1:7" x14ac:dyDescent="0.25">
      <c r="A112" s="10" t="s">
        <v>1191</v>
      </c>
      <c r="B112" s="10" t="s">
        <v>143</v>
      </c>
      <c r="C112" t="s">
        <v>1518</v>
      </c>
      <c r="D112" t="s">
        <v>1252</v>
      </c>
      <c r="E112" s="51">
        <v>-777400</v>
      </c>
      <c r="F112" s="51"/>
      <c r="G112" s="51">
        <v>-777400</v>
      </c>
    </row>
    <row r="113" spans="1:7" x14ac:dyDescent="0.25">
      <c r="A113" s="10" t="s">
        <v>1191</v>
      </c>
      <c r="B113" s="10" t="s">
        <v>133</v>
      </c>
      <c r="C113" t="s">
        <v>133</v>
      </c>
      <c r="D113" t="s">
        <v>1278</v>
      </c>
      <c r="E113" s="51">
        <v>33437.79</v>
      </c>
      <c r="F113" s="51"/>
      <c r="G113" s="51">
        <v>33437.79</v>
      </c>
    </row>
    <row r="114" spans="1:7" x14ac:dyDescent="0.25">
      <c r="A114" s="10" t="s">
        <v>1191</v>
      </c>
      <c r="B114" s="10" t="s">
        <v>1321</v>
      </c>
      <c r="C114" t="s">
        <v>1319</v>
      </c>
      <c r="E114" s="51">
        <v>6201180.4299999997</v>
      </c>
      <c r="F114" s="51"/>
      <c r="G114" s="51">
        <v>6201180.4299999997</v>
      </c>
    </row>
    <row r="115" spans="1:7" x14ac:dyDescent="0.25">
      <c r="A115" s="53" t="s">
        <v>1191</v>
      </c>
      <c r="B115" s="10" t="s">
        <v>1321</v>
      </c>
      <c r="C115" t="s">
        <v>1323</v>
      </c>
      <c r="E115" s="51">
        <v>-7317915.46</v>
      </c>
      <c r="F115" s="51"/>
      <c r="G115" s="51">
        <v>-7317915.46</v>
      </c>
    </row>
    <row r="116" spans="1:7" x14ac:dyDescent="0.25">
      <c r="A116" s="10" t="s">
        <v>310</v>
      </c>
      <c r="B116" s="10" t="s">
        <v>335</v>
      </c>
      <c r="C116" t="s">
        <v>335</v>
      </c>
      <c r="E116" s="51">
        <v>1846.75</v>
      </c>
      <c r="F116" s="51"/>
      <c r="G116" s="51">
        <v>1846.75</v>
      </c>
    </row>
    <row r="117" spans="1:7" x14ac:dyDescent="0.25">
      <c r="A117" s="10" t="s">
        <v>310</v>
      </c>
      <c r="B117" s="10" t="s">
        <v>323</v>
      </c>
      <c r="C117" t="s">
        <v>323</v>
      </c>
      <c r="E117" s="51">
        <v>17867.580000000002</v>
      </c>
      <c r="F117" s="51"/>
      <c r="G117" s="51">
        <v>17867.580000000002</v>
      </c>
    </row>
    <row r="118" spans="1:7" x14ac:dyDescent="0.25">
      <c r="A118" s="10" t="s">
        <v>310</v>
      </c>
      <c r="B118" s="10" t="s">
        <v>325</v>
      </c>
      <c r="C118" t="s">
        <v>325</v>
      </c>
      <c r="E118" s="51">
        <v>19192.66</v>
      </c>
      <c r="F118" s="51"/>
      <c r="G118" s="51">
        <v>19192.66</v>
      </c>
    </row>
    <row r="119" spans="1:7" x14ac:dyDescent="0.25">
      <c r="A119" s="10" t="s">
        <v>310</v>
      </c>
      <c r="B119" s="10" t="s">
        <v>329</v>
      </c>
      <c r="C119" t="s">
        <v>1230</v>
      </c>
      <c r="E119" s="51">
        <v>11856.61</v>
      </c>
      <c r="F119" s="51"/>
      <c r="G119" s="51">
        <v>11856.61</v>
      </c>
    </row>
    <row r="120" spans="1:7" x14ac:dyDescent="0.25">
      <c r="A120" s="10" t="s">
        <v>310</v>
      </c>
      <c r="B120" s="10" t="s">
        <v>329</v>
      </c>
      <c r="C120" t="s">
        <v>1233</v>
      </c>
      <c r="E120" s="51">
        <v>9270</v>
      </c>
      <c r="F120" s="51"/>
      <c r="G120" s="51">
        <v>9270</v>
      </c>
    </row>
    <row r="121" spans="1:7" x14ac:dyDescent="0.25">
      <c r="A121" s="10" t="s">
        <v>310</v>
      </c>
      <c r="B121" s="10" t="s">
        <v>329</v>
      </c>
      <c r="C121" t="s">
        <v>1236</v>
      </c>
      <c r="E121" s="51">
        <v>6362.35</v>
      </c>
      <c r="F121" s="51"/>
      <c r="G121" s="51">
        <v>6362.35</v>
      </c>
    </row>
    <row r="122" spans="1:7" x14ac:dyDescent="0.25">
      <c r="A122" s="10" t="s">
        <v>310</v>
      </c>
      <c r="B122" s="10" t="s">
        <v>329</v>
      </c>
      <c r="C122" t="s">
        <v>1239</v>
      </c>
      <c r="E122" s="51">
        <v>32152.16</v>
      </c>
      <c r="F122" s="51"/>
      <c r="G122" s="51">
        <v>32152.16</v>
      </c>
    </row>
    <row r="123" spans="1:7" x14ac:dyDescent="0.25">
      <c r="A123" s="10" t="s">
        <v>310</v>
      </c>
      <c r="B123" s="10" t="s">
        <v>365</v>
      </c>
      <c r="C123" t="s">
        <v>1242</v>
      </c>
      <c r="E123" s="51">
        <v>5859.81</v>
      </c>
      <c r="F123" s="51"/>
      <c r="G123" s="51">
        <v>5859.81</v>
      </c>
    </row>
    <row r="124" spans="1:7" x14ac:dyDescent="0.25">
      <c r="A124" s="10" t="s">
        <v>310</v>
      </c>
      <c r="B124" s="10" t="s">
        <v>411</v>
      </c>
      <c r="C124" t="s">
        <v>899</v>
      </c>
      <c r="E124" s="51">
        <v>132993.57</v>
      </c>
      <c r="F124" s="51"/>
      <c r="G124" s="51">
        <v>132993.57</v>
      </c>
    </row>
    <row r="125" spans="1:7" x14ac:dyDescent="0.25">
      <c r="A125" s="10" t="s">
        <v>310</v>
      </c>
      <c r="B125" s="10" t="s">
        <v>415</v>
      </c>
      <c r="C125" t="s">
        <v>907</v>
      </c>
      <c r="E125" s="51">
        <v>8513.2099999999991</v>
      </c>
      <c r="F125" s="51"/>
      <c r="G125" s="51">
        <v>8513.2099999999991</v>
      </c>
    </row>
    <row r="126" spans="1:7" x14ac:dyDescent="0.25">
      <c r="A126" s="10" t="s">
        <v>310</v>
      </c>
      <c r="B126" s="10" t="s">
        <v>417</v>
      </c>
      <c r="C126" t="s">
        <v>913</v>
      </c>
      <c r="E126" s="51">
        <v>110423.83</v>
      </c>
      <c r="F126" s="51"/>
      <c r="G126" s="51">
        <v>110423.83</v>
      </c>
    </row>
    <row r="127" spans="1:7" x14ac:dyDescent="0.25">
      <c r="A127" s="10" t="s">
        <v>310</v>
      </c>
      <c r="B127" s="10" t="s">
        <v>421</v>
      </c>
      <c r="C127" t="s">
        <v>917</v>
      </c>
      <c r="E127" s="51">
        <v>5131.92</v>
      </c>
      <c r="F127" s="51"/>
      <c r="G127" s="51">
        <v>5131.92</v>
      </c>
    </row>
    <row r="128" spans="1:7" x14ac:dyDescent="0.25">
      <c r="A128" s="10" t="s">
        <v>310</v>
      </c>
      <c r="B128" s="10" t="s">
        <v>429</v>
      </c>
      <c r="C128" t="s">
        <v>429</v>
      </c>
      <c r="E128" s="51">
        <v>-132993.57</v>
      </c>
      <c r="F128" s="51"/>
      <c r="G128" s="51">
        <v>-132993.57</v>
      </c>
    </row>
    <row r="129" spans="1:7" x14ac:dyDescent="0.25">
      <c r="A129" s="10" t="s">
        <v>310</v>
      </c>
      <c r="B129" s="10" t="s">
        <v>433</v>
      </c>
      <c r="C129" t="s">
        <v>928</v>
      </c>
      <c r="E129" s="51">
        <v>-8513.2099999999991</v>
      </c>
      <c r="F129" s="51"/>
      <c r="G129" s="51">
        <v>-8513.2099999999991</v>
      </c>
    </row>
    <row r="130" spans="1:7" x14ac:dyDescent="0.25">
      <c r="A130" s="10" t="s">
        <v>310</v>
      </c>
      <c r="B130" s="10" t="s">
        <v>435</v>
      </c>
      <c r="C130" t="s">
        <v>932</v>
      </c>
      <c r="E130" s="51">
        <v>-104276.83</v>
      </c>
      <c r="F130" s="51"/>
      <c r="G130" s="51">
        <v>-104276.83</v>
      </c>
    </row>
    <row r="131" spans="1:7" x14ac:dyDescent="0.25">
      <c r="A131" s="10" t="s">
        <v>310</v>
      </c>
      <c r="B131" s="10" t="s">
        <v>439</v>
      </c>
      <c r="C131" t="s">
        <v>936</v>
      </c>
      <c r="E131" s="51">
        <v>-5131.92</v>
      </c>
      <c r="F131" s="51"/>
      <c r="G131" s="51">
        <v>-5131.92</v>
      </c>
    </row>
    <row r="132" spans="1:7" x14ac:dyDescent="0.25">
      <c r="A132" s="10" t="s">
        <v>310</v>
      </c>
      <c r="B132" s="10" t="s">
        <v>515</v>
      </c>
      <c r="C132" t="s">
        <v>515</v>
      </c>
      <c r="E132" s="51">
        <v>-28850.37</v>
      </c>
      <c r="F132" s="51"/>
      <c r="G132" s="51">
        <v>-28850.37</v>
      </c>
    </row>
    <row r="133" spans="1:7" x14ac:dyDescent="0.25">
      <c r="A133" s="10" t="s">
        <v>310</v>
      </c>
      <c r="B133" s="10" t="s">
        <v>515</v>
      </c>
      <c r="C133" t="s">
        <v>1148</v>
      </c>
      <c r="E133" s="51">
        <v>-1166.6500000000001</v>
      </c>
      <c r="F133" s="51"/>
      <c r="G133" s="51">
        <v>-1166.6500000000001</v>
      </c>
    </row>
    <row r="134" spans="1:7" x14ac:dyDescent="0.25">
      <c r="A134" s="10" t="s">
        <v>310</v>
      </c>
      <c r="B134" s="10" t="s">
        <v>517</v>
      </c>
      <c r="C134" t="s">
        <v>1149</v>
      </c>
      <c r="E134" s="51">
        <v>-18666.2</v>
      </c>
      <c r="F134" s="51"/>
      <c r="G134" s="51">
        <v>-18666.2</v>
      </c>
    </row>
    <row r="135" spans="1:7" x14ac:dyDescent="0.25">
      <c r="A135" s="10" t="s">
        <v>310</v>
      </c>
      <c r="B135" s="10" t="s">
        <v>517</v>
      </c>
      <c r="C135" t="s">
        <v>1274</v>
      </c>
      <c r="E135" s="51">
        <v>18666.2</v>
      </c>
      <c r="F135" s="51"/>
      <c r="G135" s="51">
        <v>18666.2</v>
      </c>
    </row>
    <row r="136" spans="1:7" x14ac:dyDescent="0.25">
      <c r="A136" s="10" t="s">
        <v>310</v>
      </c>
      <c r="B136" s="10" t="s">
        <v>585</v>
      </c>
      <c r="C136" t="s">
        <v>1282</v>
      </c>
      <c r="E136" s="51">
        <v>-47800</v>
      </c>
      <c r="F136" s="51"/>
      <c r="G136" s="51">
        <v>-47800</v>
      </c>
    </row>
    <row r="137" spans="1:7" x14ac:dyDescent="0.25">
      <c r="A137" s="10" t="s">
        <v>310</v>
      </c>
      <c r="B137" s="10" t="s">
        <v>527</v>
      </c>
      <c r="C137" t="s">
        <v>1285</v>
      </c>
      <c r="E137" s="51">
        <v>-181778.18</v>
      </c>
      <c r="F137" s="51"/>
      <c r="G137" s="51">
        <v>-181778.18</v>
      </c>
    </row>
    <row r="138" spans="1:7" x14ac:dyDescent="0.25">
      <c r="A138" s="10" t="s">
        <v>310</v>
      </c>
      <c r="B138" s="10" t="s">
        <v>521</v>
      </c>
      <c r="C138" t="s">
        <v>1288</v>
      </c>
      <c r="E138" s="51">
        <v>-31773.37</v>
      </c>
      <c r="F138" s="51"/>
      <c r="G138" s="51">
        <v>-31773.37</v>
      </c>
    </row>
    <row r="139" spans="1:7" x14ac:dyDescent="0.25">
      <c r="A139" s="10" t="s">
        <v>310</v>
      </c>
      <c r="B139" s="10" t="s">
        <v>521</v>
      </c>
      <c r="C139" t="s">
        <v>1291</v>
      </c>
      <c r="E139" s="51">
        <v>-1940.14</v>
      </c>
      <c r="F139" s="51"/>
      <c r="G139" s="51">
        <v>-1940.14</v>
      </c>
    </row>
    <row r="140" spans="1:7" x14ac:dyDescent="0.25">
      <c r="A140" s="10" t="s">
        <v>310</v>
      </c>
      <c r="B140" s="10" t="s">
        <v>539</v>
      </c>
      <c r="C140" t="s">
        <v>1299</v>
      </c>
      <c r="E140" s="51">
        <v>-550</v>
      </c>
      <c r="F140" s="51"/>
      <c r="G140" s="51">
        <v>-550</v>
      </c>
    </row>
    <row r="141" spans="1:7" x14ac:dyDescent="0.25">
      <c r="A141" s="10" t="s">
        <v>310</v>
      </c>
      <c r="B141" s="10" t="s">
        <v>539</v>
      </c>
      <c r="C141" t="s">
        <v>1302</v>
      </c>
      <c r="E141" s="51">
        <v>-533.05999999999995</v>
      </c>
      <c r="F141" s="51"/>
      <c r="G141" s="51">
        <v>-533.05999999999995</v>
      </c>
    </row>
    <row r="142" spans="1:7" x14ac:dyDescent="0.25">
      <c r="A142" s="10" t="s">
        <v>310</v>
      </c>
      <c r="B142" s="10" t="s">
        <v>541</v>
      </c>
      <c r="C142" t="s">
        <v>541</v>
      </c>
      <c r="E142" s="51">
        <v>-2700</v>
      </c>
      <c r="F142" s="51"/>
      <c r="G142" s="51">
        <v>-2700</v>
      </c>
    </row>
    <row r="143" spans="1:7" x14ac:dyDescent="0.25">
      <c r="A143" s="10" t="s">
        <v>310</v>
      </c>
      <c r="B143" s="10" t="s">
        <v>541</v>
      </c>
      <c r="C143" t="s">
        <v>1306</v>
      </c>
      <c r="E143" s="51">
        <v>-2967</v>
      </c>
      <c r="F143" s="51"/>
      <c r="G143" s="51">
        <v>-2967</v>
      </c>
    </row>
    <row r="144" spans="1:7" x14ac:dyDescent="0.25">
      <c r="A144" s="10" t="s">
        <v>310</v>
      </c>
      <c r="B144" s="10" t="s">
        <v>533</v>
      </c>
      <c r="C144" t="s">
        <v>1309</v>
      </c>
      <c r="E144" s="51">
        <v>-14100</v>
      </c>
      <c r="F144" s="51"/>
      <c r="G144" s="51">
        <v>-14100</v>
      </c>
    </row>
    <row r="145" spans="1:7" x14ac:dyDescent="0.25">
      <c r="A145" s="10" t="s">
        <v>310</v>
      </c>
      <c r="B145" s="10" t="s">
        <v>703</v>
      </c>
      <c r="C145" t="s">
        <v>1313</v>
      </c>
      <c r="E145" s="51">
        <v>-33618</v>
      </c>
      <c r="F145" s="51"/>
      <c r="G145" s="51">
        <v>-33618</v>
      </c>
    </row>
    <row r="146" spans="1:7" x14ac:dyDescent="0.25">
      <c r="A146" s="53" t="s">
        <v>310</v>
      </c>
      <c r="B146" s="10" t="s">
        <v>62</v>
      </c>
      <c r="C146" t="s">
        <v>1483</v>
      </c>
      <c r="E146" s="51">
        <v>38.68</v>
      </c>
      <c r="F146" s="51"/>
      <c r="G146" s="51">
        <v>38.68</v>
      </c>
    </row>
    <row r="147" spans="1:7" x14ac:dyDescent="0.25">
      <c r="A147" s="10" t="s">
        <v>46</v>
      </c>
      <c r="B147" s="10" t="s">
        <v>379</v>
      </c>
      <c r="C147" t="s">
        <v>379</v>
      </c>
      <c r="D147" t="s">
        <v>1217</v>
      </c>
      <c r="E147" s="51">
        <v>194.57</v>
      </c>
      <c r="F147" s="51"/>
      <c r="G147" s="51">
        <v>194.57</v>
      </c>
    </row>
    <row r="148" spans="1:7" x14ac:dyDescent="0.25">
      <c r="A148" s="10" t="s">
        <v>46</v>
      </c>
      <c r="B148" s="10" t="s">
        <v>379</v>
      </c>
      <c r="C148" t="s">
        <v>379</v>
      </c>
      <c r="D148" t="s">
        <v>1252</v>
      </c>
      <c r="E148" s="51">
        <v>4320.16</v>
      </c>
      <c r="F148" s="51"/>
      <c r="G148" s="51">
        <v>4320.16</v>
      </c>
    </row>
    <row r="149" spans="1:7" x14ac:dyDescent="0.25">
      <c r="A149" s="10" t="s">
        <v>46</v>
      </c>
      <c r="B149" s="10" t="s">
        <v>639</v>
      </c>
      <c r="C149" t="s">
        <v>639</v>
      </c>
      <c r="D149" t="s">
        <v>1217</v>
      </c>
      <c r="E149" s="51">
        <v>-7210.59</v>
      </c>
      <c r="F149" s="51"/>
      <c r="G149" s="51">
        <v>-7210.59</v>
      </c>
    </row>
    <row r="150" spans="1:7" x14ac:dyDescent="0.25">
      <c r="A150" s="10" t="s">
        <v>46</v>
      </c>
      <c r="B150" s="10" t="s">
        <v>639</v>
      </c>
      <c r="C150" t="s">
        <v>639</v>
      </c>
      <c r="D150" t="s">
        <v>1252</v>
      </c>
      <c r="E150" s="51">
        <v>-390.15</v>
      </c>
      <c r="F150" s="51"/>
      <c r="G150" s="51">
        <v>-390.15</v>
      </c>
    </row>
    <row r="151" spans="1:7" x14ac:dyDescent="0.25">
      <c r="A151" s="10" t="s">
        <v>46</v>
      </c>
      <c r="B151" s="10" t="s">
        <v>639</v>
      </c>
      <c r="C151" t="s">
        <v>639</v>
      </c>
      <c r="D151" t="s">
        <v>1278</v>
      </c>
      <c r="E151" s="51">
        <v>-8970.83</v>
      </c>
      <c r="F151" s="51"/>
      <c r="G151" s="51">
        <v>-8970.83</v>
      </c>
    </row>
    <row r="152" spans="1:7" x14ac:dyDescent="0.25">
      <c r="A152" s="10" t="s">
        <v>46</v>
      </c>
      <c r="B152" s="10" t="s">
        <v>639</v>
      </c>
      <c r="C152" t="s">
        <v>1280</v>
      </c>
      <c r="D152" t="s">
        <v>1217</v>
      </c>
      <c r="E152" s="51">
        <v>149.16999999999999</v>
      </c>
      <c r="F152" s="51"/>
      <c r="G152" s="51">
        <v>149.16999999999999</v>
      </c>
    </row>
    <row r="153" spans="1:7" x14ac:dyDescent="0.25">
      <c r="A153" s="53" t="s">
        <v>46</v>
      </c>
      <c r="B153" s="10" t="s">
        <v>639</v>
      </c>
      <c r="C153" t="s">
        <v>1280</v>
      </c>
      <c r="D153" t="s">
        <v>1278</v>
      </c>
      <c r="E153" s="51">
        <v>-77.53</v>
      </c>
      <c r="F153" s="51"/>
      <c r="G153" s="51">
        <v>-77.53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G156"/>
  <sheetViews>
    <sheetView zoomScale="85" zoomScaleNormal="85" workbookViewId="0">
      <selection activeCell="A4" sqref="A4:G156"/>
    </sheetView>
  </sheetViews>
  <sheetFormatPr defaultRowHeight="15" x14ac:dyDescent="0.25"/>
  <cols>
    <col min="1" max="1" width="15.28515625" bestFit="1" customWidth="1"/>
    <col min="2" max="2" width="15.7109375" customWidth="1"/>
    <col min="3" max="3" width="11.7109375" bestFit="1" customWidth="1"/>
    <col min="4" max="4" width="17.5703125" bestFit="1" customWidth="1"/>
    <col min="5" max="5" width="14" bestFit="1" customWidth="1"/>
    <col min="6" max="6" width="11.5703125" customWidth="1"/>
    <col min="7" max="7" width="14" bestFit="1" customWidth="1"/>
  </cols>
  <sheetData>
    <row r="1" spans="1:7" x14ac:dyDescent="0.25">
      <c r="A1" s="50" t="s">
        <v>1203</v>
      </c>
      <c r="B1" t="s">
        <v>1583</v>
      </c>
    </row>
    <row r="3" spans="1:7" x14ac:dyDescent="0.25">
      <c r="A3" s="50" t="s">
        <v>1584</v>
      </c>
      <c r="E3" s="50" t="s">
        <v>1582</v>
      </c>
    </row>
    <row r="4" spans="1:7" x14ac:dyDescent="0.25">
      <c r="A4" s="50" t="s">
        <v>1580</v>
      </c>
      <c r="B4" s="50" t="s">
        <v>1198</v>
      </c>
      <c r="C4" s="50" t="s">
        <v>1205</v>
      </c>
      <c r="D4" s="50" t="s">
        <v>1581</v>
      </c>
      <c r="E4" t="s">
        <v>1585</v>
      </c>
      <c r="F4" t="s">
        <v>803</v>
      </c>
      <c r="G4" t="s">
        <v>1586</v>
      </c>
    </row>
    <row r="5" spans="1:7" x14ac:dyDescent="0.25">
      <c r="A5" t="s">
        <v>83</v>
      </c>
      <c r="B5" t="s">
        <v>315</v>
      </c>
      <c r="C5" t="s">
        <v>1221</v>
      </c>
      <c r="E5" s="51">
        <v>0</v>
      </c>
      <c r="F5" s="51"/>
      <c r="G5" s="51">
        <v>0</v>
      </c>
    </row>
    <row r="6" spans="1:7" x14ac:dyDescent="0.25">
      <c r="A6" t="s">
        <v>83</v>
      </c>
      <c r="B6" t="s">
        <v>9</v>
      </c>
      <c r="C6" t="s">
        <v>1330</v>
      </c>
      <c r="E6" s="51">
        <v>16683.559999999998</v>
      </c>
      <c r="F6" s="51"/>
      <c r="G6" s="51">
        <v>16683.559999999998</v>
      </c>
    </row>
    <row r="7" spans="1:7" x14ac:dyDescent="0.25">
      <c r="A7" t="s">
        <v>83</v>
      </c>
      <c r="B7" t="s">
        <v>9</v>
      </c>
      <c r="C7" t="s">
        <v>1449</v>
      </c>
      <c r="E7" s="51">
        <v>853.3</v>
      </c>
      <c r="F7" s="51"/>
      <c r="G7" s="51">
        <v>853.3</v>
      </c>
    </row>
    <row r="8" spans="1:7" x14ac:dyDescent="0.25">
      <c r="A8" t="s">
        <v>83</v>
      </c>
      <c r="B8" t="s">
        <v>9</v>
      </c>
      <c r="C8" t="s">
        <v>1452</v>
      </c>
      <c r="E8" s="51">
        <v>-853.3</v>
      </c>
      <c r="F8" s="51"/>
      <c r="G8" s="51">
        <v>-853.3</v>
      </c>
    </row>
    <row r="9" spans="1:7" x14ac:dyDescent="0.25">
      <c r="A9" t="s">
        <v>83</v>
      </c>
      <c r="B9" t="s">
        <v>9</v>
      </c>
      <c r="C9" t="s">
        <v>1535</v>
      </c>
      <c r="E9" s="51">
        <v>1427.77</v>
      </c>
      <c r="F9" s="51"/>
      <c r="G9" s="51">
        <v>1427.77</v>
      </c>
    </row>
    <row r="10" spans="1:7" x14ac:dyDescent="0.25">
      <c r="A10" t="s">
        <v>83</v>
      </c>
      <c r="B10" t="s">
        <v>9</v>
      </c>
      <c r="C10" t="s">
        <v>1340</v>
      </c>
      <c r="E10" s="51">
        <v>66.5</v>
      </c>
      <c r="F10" s="51"/>
      <c r="G10" s="51">
        <v>66.5</v>
      </c>
    </row>
    <row r="11" spans="1:7" x14ac:dyDescent="0.25">
      <c r="A11" t="s">
        <v>83</v>
      </c>
      <c r="B11" t="s">
        <v>9</v>
      </c>
      <c r="C11" t="s">
        <v>1343</v>
      </c>
      <c r="E11" s="51">
        <v>2817.41</v>
      </c>
      <c r="F11" s="51"/>
      <c r="G11" s="51">
        <v>2817.41</v>
      </c>
    </row>
    <row r="12" spans="1:7" x14ac:dyDescent="0.25">
      <c r="A12" t="s">
        <v>83</v>
      </c>
      <c r="B12" t="s">
        <v>9</v>
      </c>
      <c r="C12" t="s">
        <v>1018</v>
      </c>
      <c r="E12" s="51">
        <v>697</v>
      </c>
      <c r="F12" s="51"/>
      <c r="G12" s="51">
        <v>697</v>
      </c>
    </row>
    <row r="13" spans="1:7" x14ac:dyDescent="0.25">
      <c r="A13" t="s">
        <v>83</v>
      </c>
      <c r="B13" t="s">
        <v>9</v>
      </c>
      <c r="C13" t="s">
        <v>1541</v>
      </c>
      <c r="E13" s="51">
        <v>3561.41</v>
      </c>
      <c r="F13" s="51"/>
      <c r="G13" s="51">
        <v>3561.41</v>
      </c>
    </row>
    <row r="14" spans="1:7" x14ac:dyDescent="0.25">
      <c r="A14" t="s">
        <v>83</v>
      </c>
      <c r="B14" t="s">
        <v>9</v>
      </c>
      <c r="C14" t="s">
        <v>1544</v>
      </c>
      <c r="E14" s="51">
        <v>769.01</v>
      </c>
      <c r="F14" s="51"/>
      <c r="G14" s="51">
        <v>769.01</v>
      </c>
    </row>
    <row r="15" spans="1:7" x14ac:dyDescent="0.25">
      <c r="A15" t="s">
        <v>83</v>
      </c>
      <c r="B15" t="s">
        <v>9</v>
      </c>
      <c r="C15" t="s">
        <v>1346</v>
      </c>
      <c r="E15" s="51">
        <v>-2880</v>
      </c>
      <c r="F15" s="51"/>
      <c r="G15" s="51">
        <v>-2880</v>
      </c>
    </row>
    <row r="16" spans="1:7" x14ac:dyDescent="0.25">
      <c r="A16" t="s">
        <v>83</v>
      </c>
      <c r="B16" t="s">
        <v>9</v>
      </c>
      <c r="C16" t="s">
        <v>1547</v>
      </c>
      <c r="E16" s="51">
        <v>1202.47</v>
      </c>
      <c r="F16" s="51"/>
      <c r="G16" s="51">
        <v>1202.47</v>
      </c>
    </row>
    <row r="17" spans="1:7" x14ac:dyDescent="0.25">
      <c r="A17" t="s">
        <v>83</v>
      </c>
      <c r="B17" t="s">
        <v>9</v>
      </c>
      <c r="C17" t="s">
        <v>1550</v>
      </c>
      <c r="E17" s="51">
        <v>2497.9899999999998</v>
      </c>
      <c r="F17" s="51"/>
      <c r="G17" s="51">
        <v>2497.9899999999998</v>
      </c>
    </row>
    <row r="18" spans="1:7" x14ac:dyDescent="0.25">
      <c r="A18" t="s">
        <v>83</v>
      </c>
      <c r="B18" t="s">
        <v>9</v>
      </c>
      <c r="C18" t="s">
        <v>1554</v>
      </c>
      <c r="E18" s="51">
        <v>2343.71</v>
      </c>
      <c r="F18" s="51"/>
      <c r="G18" s="51">
        <v>2343.71</v>
      </c>
    </row>
    <row r="19" spans="1:7" x14ac:dyDescent="0.25">
      <c r="A19" t="s">
        <v>83</v>
      </c>
      <c r="B19" t="s">
        <v>9</v>
      </c>
      <c r="C19" t="s">
        <v>1350</v>
      </c>
      <c r="E19" s="51">
        <v>1074.02</v>
      </c>
      <c r="F19" s="51"/>
      <c r="G19" s="51">
        <v>1074.02</v>
      </c>
    </row>
    <row r="20" spans="1:7" x14ac:dyDescent="0.25">
      <c r="A20" t="s">
        <v>83</v>
      </c>
      <c r="B20" t="s">
        <v>9</v>
      </c>
      <c r="C20" t="s">
        <v>1354</v>
      </c>
      <c r="E20" s="51">
        <v>415.95</v>
      </c>
      <c r="F20" s="51"/>
      <c r="G20" s="51">
        <v>415.95</v>
      </c>
    </row>
    <row r="21" spans="1:7" x14ac:dyDescent="0.25">
      <c r="A21" t="s">
        <v>83</v>
      </c>
      <c r="B21" t="s">
        <v>9</v>
      </c>
      <c r="C21" t="s">
        <v>1357</v>
      </c>
      <c r="E21" s="51">
        <v>148.80000000000001</v>
      </c>
      <c r="F21" s="51"/>
      <c r="G21" s="51">
        <v>148.80000000000001</v>
      </c>
    </row>
    <row r="22" spans="1:7" x14ac:dyDescent="0.25">
      <c r="A22" t="s">
        <v>83</v>
      </c>
      <c r="B22" t="s">
        <v>9</v>
      </c>
      <c r="C22" t="s">
        <v>1557</v>
      </c>
      <c r="E22" s="51">
        <v>29442.84</v>
      </c>
      <c r="F22" s="51"/>
      <c r="G22" s="51">
        <v>29442.84</v>
      </c>
    </row>
    <row r="23" spans="1:7" x14ac:dyDescent="0.25">
      <c r="A23" t="s">
        <v>83</v>
      </c>
      <c r="B23" t="s">
        <v>9</v>
      </c>
      <c r="C23" t="s">
        <v>1560</v>
      </c>
      <c r="E23" s="51">
        <v>346.02</v>
      </c>
      <c r="F23" s="51"/>
      <c r="G23" s="51">
        <v>346.02</v>
      </c>
    </row>
    <row r="24" spans="1:7" x14ac:dyDescent="0.25">
      <c r="A24" t="s">
        <v>83</v>
      </c>
      <c r="B24" t="s">
        <v>9</v>
      </c>
      <c r="C24" t="s">
        <v>1360</v>
      </c>
      <c r="E24" s="51">
        <v>353.84</v>
      </c>
      <c r="F24" s="51"/>
      <c r="G24" s="51">
        <v>353.84</v>
      </c>
    </row>
    <row r="25" spans="1:7" x14ac:dyDescent="0.25">
      <c r="A25" t="s">
        <v>83</v>
      </c>
      <c r="B25" t="s">
        <v>9</v>
      </c>
      <c r="C25" t="s">
        <v>1374</v>
      </c>
      <c r="E25" s="51">
        <v>3109.71</v>
      </c>
      <c r="F25" s="51"/>
      <c r="G25" s="51">
        <v>3109.71</v>
      </c>
    </row>
    <row r="26" spans="1:7" x14ac:dyDescent="0.25">
      <c r="A26" t="s">
        <v>83</v>
      </c>
      <c r="B26" t="s">
        <v>9</v>
      </c>
      <c r="C26" t="s">
        <v>1380</v>
      </c>
      <c r="E26" s="51">
        <v>988.08</v>
      </c>
      <c r="F26" s="51"/>
      <c r="G26" s="51">
        <v>988.08</v>
      </c>
    </row>
    <row r="27" spans="1:7" x14ac:dyDescent="0.25">
      <c r="A27" t="s">
        <v>83</v>
      </c>
      <c r="B27" t="s">
        <v>9</v>
      </c>
      <c r="C27" t="s">
        <v>1383</v>
      </c>
      <c r="E27" s="51">
        <v>5378.9400000000005</v>
      </c>
      <c r="F27" s="51"/>
      <c r="G27" s="51">
        <v>5378.9400000000005</v>
      </c>
    </row>
    <row r="28" spans="1:7" x14ac:dyDescent="0.25">
      <c r="A28" t="s">
        <v>83</v>
      </c>
      <c r="B28" t="s">
        <v>9</v>
      </c>
      <c r="C28" t="s">
        <v>1386</v>
      </c>
      <c r="E28" s="51">
        <v>32.950000000000003</v>
      </c>
      <c r="F28" s="51"/>
      <c r="G28" s="51">
        <v>32.950000000000003</v>
      </c>
    </row>
    <row r="29" spans="1:7" x14ac:dyDescent="0.25">
      <c r="A29" t="s">
        <v>83</v>
      </c>
      <c r="B29" t="s">
        <v>9</v>
      </c>
      <c r="C29" t="s">
        <v>1461</v>
      </c>
      <c r="E29" s="51">
        <v>1216.56</v>
      </c>
      <c r="F29" s="51"/>
      <c r="G29" s="51">
        <v>1216.56</v>
      </c>
    </row>
    <row r="30" spans="1:7" x14ac:dyDescent="0.25">
      <c r="A30" t="s">
        <v>83</v>
      </c>
      <c r="B30" t="s">
        <v>9</v>
      </c>
      <c r="C30" t="s">
        <v>1389</v>
      </c>
      <c r="E30" s="51">
        <v>147.11000000000001</v>
      </c>
      <c r="F30" s="51"/>
      <c r="G30" s="51">
        <v>147.11000000000001</v>
      </c>
    </row>
    <row r="31" spans="1:7" x14ac:dyDescent="0.25">
      <c r="A31" t="s">
        <v>83</v>
      </c>
      <c r="B31" t="s">
        <v>9</v>
      </c>
      <c r="C31" t="s">
        <v>1393</v>
      </c>
      <c r="E31" s="51">
        <v>405.3</v>
      </c>
      <c r="F31" s="51"/>
      <c r="G31" s="51">
        <v>405.3</v>
      </c>
    </row>
    <row r="32" spans="1:7" x14ac:dyDescent="0.25">
      <c r="A32" t="s">
        <v>83</v>
      </c>
      <c r="B32" t="s">
        <v>9</v>
      </c>
      <c r="C32" t="s">
        <v>1396</v>
      </c>
      <c r="E32" s="51">
        <v>231</v>
      </c>
      <c r="F32" s="51"/>
      <c r="G32" s="51">
        <v>231</v>
      </c>
    </row>
    <row r="33" spans="1:7" x14ac:dyDescent="0.25">
      <c r="A33" t="s">
        <v>83</v>
      </c>
      <c r="B33" t="s">
        <v>9</v>
      </c>
      <c r="C33" t="s">
        <v>1402</v>
      </c>
      <c r="E33" s="51">
        <v>84.210000000000008</v>
      </c>
      <c r="F33" s="51"/>
      <c r="G33" s="51">
        <v>84.210000000000008</v>
      </c>
    </row>
    <row r="34" spans="1:7" x14ac:dyDescent="0.25">
      <c r="A34" t="s">
        <v>83</v>
      </c>
      <c r="B34" t="s">
        <v>9</v>
      </c>
      <c r="C34" t="s">
        <v>1405</v>
      </c>
      <c r="E34" s="51">
        <v>95.47</v>
      </c>
      <c r="F34" s="51"/>
      <c r="G34" s="51">
        <v>95.47</v>
      </c>
    </row>
    <row r="35" spans="1:7" x14ac:dyDescent="0.25">
      <c r="A35" t="s">
        <v>83</v>
      </c>
      <c r="B35" t="s">
        <v>9</v>
      </c>
      <c r="C35" t="s">
        <v>1563</v>
      </c>
      <c r="E35" s="51">
        <v>1507.04</v>
      </c>
      <c r="F35" s="51"/>
      <c r="G35" s="51">
        <v>1507.04</v>
      </c>
    </row>
    <row r="36" spans="1:7" x14ac:dyDescent="0.25">
      <c r="A36" t="s">
        <v>83</v>
      </c>
      <c r="B36" t="s">
        <v>9</v>
      </c>
      <c r="C36" t="s">
        <v>1421</v>
      </c>
      <c r="E36" s="51">
        <v>474.13</v>
      </c>
      <c r="F36" s="51"/>
      <c r="G36" s="51">
        <v>474.13</v>
      </c>
    </row>
    <row r="37" spans="1:7" x14ac:dyDescent="0.25">
      <c r="A37" t="s">
        <v>83</v>
      </c>
      <c r="B37" t="s">
        <v>9</v>
      </c>
      <c r="C37" t="s">
        <v>1524</v>
      </c>
      <c r="E37" s="51">
        <v>14386.6</v>
      </c>
      <c r="F37" s="51"/>
      <c r="G37" s="51">
        <v>14386.6</v>
      </c>
    </row>
    <row r="38" spans="1:7" x14ac:dyDescent="0.25">
      <c r="A38" t="s">
        <v>83</v>
      </c>
      <c r="B38" t="s">
        <v>9</v>
      </c>
      <c r="C38" t="s">
        <v>1527</v>
      </c>
      <c r="E38" s="51">
        <v>3132.68</v>
      </c>
      <c r="F38" s="51"/>
      <c r="G38" s="51">
        <v>3132.68</v>
      </c>
    </row>
    <row r="39" spans="1:7" x14ac:dyDescent="0.25">
      <c r="A39" t="s">
        <v>83</v>
      </c>
      <c r="B39" t="s">
        <v>9</v>
      </c>
      <c r="C39" t="s">
        <v>1566</v>
      </c>
      <c r="E39" s="51">
        <v>8854.4699999999993</v>
      </c>
      <c r="F39" s="51"/>
      <c r="G39" s="51">
        <v>8854.4699999999993</v>
      </c>
    </row>
    <row r="40" spans="1:7" x14ac:dyDescent="0.25">
      <c r="A40" t="s">
        <v>83</v>
      </c>
      <c r="B40" t="s">
        <v>9</v>
      </c>
      <c r="C40" t="s">
        <v>1531</v>
      </c>
      <c r="E40" s="51">
        <v>162.94</v>
      </c>
      <c r="F40" s="51"/>
      <c r="G40" s="51">
        <v>162.94</v>
      </c>
    </row>
    <row r="41" spans="1:7" x14ac:dyDescent="0.25">
      <c r="A41" t="s">
        <v>83</v>
      </c>
      <c r="B41" t="s">
        <v>9</v>
      </c>
      <c r="C41" t="s">
        <v>1569</v>
      </c>
      <c r="E41" s="51">
        <v>1972.57</v>
      </c>
      <c r="F41" s="51"/>
      <c r="G41" s="51">
        <v>1972.57</v>
      </c>
    </row>
    <row r="42" spans="1:7" x14ac:dyDescent="0.25">
      <c r="A42" t="s">
        <v>83</v>
      </c>
      <c r="B42" t="s">
        <v>9</v>
      </c>
      <c r="C42" t="s">
        <v>1435</v>
      </c>
      <c r="E42" s="51">
        <v>8253.8300000000017</v>
      </c>
      <c r="F42" s="51"/>
      <c r="G42" s="51">
        <v>8253.8300000000017</v>
      </c>
    </row>
    <row r="43" spans="1:7" x14ac:dyDescent="0.25">
      <c r="A43" t="s">
        <v>83</v>
      </c>
      <c r="B43" t="s">
        <v>9</v>
      </c>
      <c r="C43" t="s">
        <v>1572</v>
      </c>
      <c r="E43" s="51">
        <v>402</v>
      </c>
      <c r="F43" s="51"/>
      <c r="G43" s="51">
        <v>402</v>
      </c>
    </row>
    <row r="44" spans="1:7" x14ac:dyDescent="0.25">
      <c r="A44" t="s">
        <v>83</v>
      </c>
      <c r="B44" t="s">
        <v>9</v>
      </c>
      <c r="C44" t="s">
        <v>1441</v>
      </c>
      <c r="E44" s="51">
        <v>1423.93</v>
      </c>
      <c r="F44" s="51"/>
      <c r="G44" s="51">
        <v>1423.93</v>
      </c>
    </row>
    <row r="45" spans="1:7" x14ac:dyDescent="0.25">
      <c r="A45" t="s">
        <v>83</v>
      </c>
      <c r="B45" t="s">
        <v>9</v>
      </c>
      <c r="C45" t="s">
        <v>1444</v>
      </c>
      <c r="E45" s="51">
        <v>550</v>
      </c>
      <c r="F45" s="51"/>
      <c r="G45" s="51">
        <v>550</v>
      </c>
    </row>
    <row r="46" spans="1:7" x14ac:dyDescent="0.25">
      <c r="A46" t="s">
        <v>83</v>
      </c>
      <c r="B46" t="s">
        <v>9</v>
      </c>
      <c r="C46" t="s">
        <v>1575</v>
      </c>
      <c r="E46" s="51">
        <v>-1522.57</v>
      </c>
      <c r="F46" s="51"/>
      <c r="G46" s="51">
        <v>-1522.57</v>
      </c>
    </row>
    <row r="47" spans="1:7" x14ac:dyDescent="0.25">
      <c r="A47" t="s">
        <v>83</v>
      </c>
      <c r="B47" t="s">
        <v>8</v>
      </c>
      <c r="C47" t="s">
        <v>1579</v>
      </c>
      <c r="E47" s="51">
        <v>41132.5</v>
      </c>
      <c r="F47" s="51"/>
      <c r="G47" s="51">
        <v>41132.5</v>
      </c>
    </row>
    <row r="48" spans="1:7" x14ac:dyDescent="0.25">
      <c r="A48" t="s">
        <v>83</v>
      </c>
      <c r="B48" t="s">
        <v>10</v>
      </c>
      <c r="C48" t="s">
        <v>1330</v>
      </c>
      <c r="E48" s="51">
        <v>293737.7</v>
      </c>
      <c r="F48" s="51">
        <v>142376</v>
      </c>
      <c r="G48" s="51">
        <v>436113.7</v>
      </c>
    </row>
    <row r="49" spans="1:7" x14ac:dyDescent="0.25">
      <c r="A49" t="s">
        <v>83</v>
      </c>
      <c r="B49" t="s">
        <v>10</v>
      </c>
      <c r="C49" t="s">
        <v>1449</v>
      </c>
      <c r="E49" s="51">
        <v>1618.86</v>
      </c>
      <c r="F49" s="51">
        <v>911.4</v>
      </c>
      <c r="G49" s="51">
        <v>2530.2599999999998</v>
      </c>
    </row>
    <row r="50" spans="1:7" x14ac:dyDescent="0.25">
      <c r="A50" t="s">
        <v>83</v>
      </c>
      <c r="B50" t="s">
        <v>10</v>
      </c>
      <c r="C50" t="s">
        <v>1452</v>
      </c>
      <c r="E50" s="51">
        <v>-1618.86</v>
      </c>
      <c r="F50" s="51">
        <v>-911.4</v>
      </c>
      <c r="G50" s="51">
        <v>-2530.2599999999998</v>
      </c>
    </row>
    <row r="51" spans="1:7" x14ac:dyDescent="0.25">
      <c r="A51" t="s">
        <v>83</v>
      </c>
      <c r="B51" t="s">
        <v>10</v>
      </c>
      <c r="C51" t="s">
        <v>1333</v>
      </c>
      <c r="E51" s="51">
        <v>25383.69</v>
      </c>
      <c r="F51" s="51">
        <v>9099.65</v>
      </c>
      <c r="G51" s="51">
        <v>34483.339999999997</v>
      </c>
    </row>
    <row r="52" spans="1:7" x14ac:dyDescent="0.25">
      <c r="A52" t="s">
        <v>83</v>
      </c>
      <c r="B52" t="s">
        <v>10</v>
      </c>
      <c r="C52" t="s">
        <v>1337</v>
      </c>
      <c r="E52" s="51">
        <v>-14902.22</v>
      </c>
      <c r="F52" s="51">
        <v>-5875.83</v>
      </c>
      <c r="G52" s="51">
        <v>-20778.05</v>
      </c>
    </row>
    <row r="53" spans="1:7" x14ac:dyDescent="0.25">
      <c r="A53" t="s">
        <v>83</v>
      </c>
      <c r="B53" t="s">
        <v>10</v>
      </c>
      <c r="C53" t="s">
        <v>1340</v>
      </c>
      <c r="E53" s="51">
        <v>1417</v>
      </c>
      <c r="F53" s="51">
        <v>974</v>
      </c>
      <c r="G53" s="51">
        <v>2391</v>
      </c>
    </row>
    <row r="54" spans="1:7" x14ac:dyDescent="0.25">
      <c r="A54" t="s">
        <v>83</v>
      </c>
      <c r="B54" t="s">
        <v>10</v>
      </c>
      <c r="C54" t="s">
        <v>1477</v>
      </c>
      <c r="E54" s="51">
        <v>1500</v>
      </c>
      <c r="F54" s="51"/>
      <c r="G54" s="51">
        <v>1500</v>
      </c>
    </row>
    <row r="55" spans="1:7" x14ac:dyDescent="0.25">
      <c r="A55" t="s">
        <v>83</v>
      </c>
      <c r="B55" t="s">
        <v>10</v>
      </c>
      <c r="C55" t="s">
        <v>1343</v>
      </c>
      <c r="E55" s="51">
        <v>1523.3400000000001</v>
      </c>
      <c r="F55" s="51">
        <v>540</v>
      </c>
      <c r="G55" s="51">
        <v>2063.34</v>
      </c>
    </row>
    <row r="56" spans="1:7" x14ac:dyDescent="0.25">
      <c r="A56" t="s">
        <v>83</v>
      </c>
      <c r="B56" t="s">
        <v>10</v>
      </c>
      <c r="C56" t="s">
        <v>1014</v>
      </c>
      <c r="E56" s="51"/>
      <c r="F56" s="51">
        <v>203</v>
      </c>
      <c r="G56" s="51">
        <v>203</v>
      </c>
    </row>
    <row r="57" spans="1:7" x14ac:dyDescent="0.25">
      <c r="A57" t="s">
        <v>83</v>
      </c>
      <c r="B57" t="s">
        <v>10</v>
      </c>
      <c r="C57" t="s">
        <v>1346</v>
      </c>
      <c r="E57" s="51">
        <v>1920</v>
      </c>
      <c r="F57" s="51">
        <v>960</v>
      </c>
      <c r="G57" s="51">
        <v>2880</v>
      </c>
    </row>
    <row r="58" spans="1:7" x14ac:dyDescent="0.25">
      <c r="A58" t="s">
        <v>83</v>
      </c>
      <c r="B58" t="s">
        <v>10</v>
      </c>
      <c r="C58" t="s">
        <v>1350</v>
      </c>
      <c r="E58" s="51">
        <v>1248.8699999999999</v>
      </c>
      <c r="F58" s="51">
        <v>533.99</v>
      </c>
      <c r="G58" s="51">
        <v>1782.86</v>
      </c>
    </row>
    <row r="59" spans="1:7" x14ac:dyDescent="0.25">
      <c r="A59" t="s">
        <v>83</v>
      </c>
      <c r="B59" t="s">
        <v>10</v>
      </c>
      <c r="C59" t="s">
        <v>1354</v>
      </c>
      <c r="E59" s="51">
        <v>3160.1299999999997</v>
      </c>
      <c r="F59" s="51">
        <v>1287</v>
      </c>
      <c r="G59" s="51">
        <v>4447.1299999999992</v>
      </c>
    </row>
    <row r="60" spans="1:7" x14ac:dyDescent="0.25">
      <c r="A60" t="s">
        <v>83</v>
      </c>
      <c r="B60" t="s">
        <v>10</v>
      </c>
      <c r="C60" t="s">
        <v>1357</v>
      </c>
      <c r="E60" s="51">
        <v>1190.3999999999999</v>
      </c>
      <c r="F60" s="51">
        <v>595.20000000000005</v>
      </c>
      <c r="G60" s="51">
        <v>1785.6</v>
      </c>
    </row>
    <row r="61" spans="1:7" x14ac:dyDescent="0.25">
      <c r="A61" t="s">
        <v>83</v>
      </c>
      <c r="B61" t="s">
        <v>10</v>
      </c>
      <c r="C61" t="s">
        <v>1360</v>
      </c>
      <c r="E61" s="51">
        <v>10487.42</v>
      </c>
      <c r="F61" s="51">
        <v>3641.96</v>
      </c>
      <c r="G61" s="51">
        <v>14129.380000000001</v>
      </c>
    </row>
    <row r="62" spans="1:7" x14ac:dyDescent="0.25">
      <c r="A62" t="s">
        <v>83</v>
      </c>
      <c r="B62" t="s">
        <v>10</v>
      </c>
      <c r="C62" t="s">
        <v>1364</v>
      </c>
      <c r="E62" s="51">
        <v>-47147.81</v>
      </c>
      <c r="F62" s="51">
        <v>-3575.9</v>
      </c>
      <c r="G62" s="51">
        <v>-50723.71</v>
      </c>
    </row>
    <row r="63" spans="1:7" x14ac:dyDescent="0.25">
      <c r="A63" t="s">
        <v>83</v>
      </c>
      <c r="B63" t="s">
        <v>10</v>
      </c>
      <c r="C63" t="s">
        <v>1367</v>
      </c>
      <c r="E63" s="51">
        <v>51322</v>
      </c>
      <c r="F63" s="51"/>
      <c r="G63" s="51">
        <v>51322</v>
      </c>
    </row>
    <row r="64" spans="1:7" x14ac:dyDescent="0.25">
      <c r="A64" t="s">
        <v>83</v>
      </c>
      <c r="B64" t="s">
        <v>10</v>
      </c>
      <c r="C64" t="s">
        <v>1371</v>
      </c>
      <c r="E64" s="51">
        <v>38584.180000000008</v>
      </c>
      <c r="F64" s="51">
        <v>1793.74</v>
      </c>
      <c r="G64" s="51">
        <v>40377.920000000006</v>
      </c>
    </row>
    <row r="65" spans="1:7" x14ac:dyDescent="0.25">
      <c r="A65" t="s">
        <v>83</v>
      </c>
      <c r="B65" t="s">
        <v>10</v>
      </c>
      <c r="C65" t="s">
        <v>1458</v>
      </c>
      <c r="E65" s="51"/>
      <c r="F65" s="51">
        <v>733.35</v>
      </c>
      <c r="G65" s="51">
        <v>733.35</v>
      </c>
    </row>
    <row r="66" spans="1:7" x14ac:dyDescent="0.25">
      <c r="A66" t="s">
        <v>83</v>
      </c>
      <c r="B66" t="s">
        <v>10</v>
      </c>
      <c r="C66" t="s">
        <v>1374</v>
      </c>
      <c r="E66" s="51">
        <v>84737.44</v>
      </c>
      <c r="F66" s="51">
        <v>30129.49</v>
      </c>
      <c r="G66" s="51">
        <v>114866.93000000001</v>
      </c>
    </row>
    <row r="67" spans="1:7" x14ac:dyDescent="0.25">
      <c r="A67" t="s">
        <v>83</v>
      </c>
      <c r="B67" t="s">
        <v>10</v>
      </c>
      <c r="C67" t="s">
        <v>1377</v>
      </c>
      <c r="E67" s="51">
        <v>52976.04</v>
      </c>
      <c r="F67" s="51">
        <v>12659.25</v>
      </c>
      <c r="G67" s="51">
        <v>65635.290000000008</v>
      </c>
    </row>
    <row r="68" spans="1:7" x14ac:dyDescent="0.25">
      <c r="A68" t="s">
        <v>83</v>
      </c>
      <c r="B68" t="s">
        <v>10</v>
      </c>
      <c r="C68" t="s">
        <v>1380</v>
      </c>
      <c r="E68" s="51">
        <v>16973.21</v>
      </c>
      <c r="F68" s="51">
        <v>7056.45</v>
      </c>
      <c r="G68" s="51">
        <v>24029.66</v>
      </c>
    </row>
    <row r="69" spans="1:7" x14ac:dyDescent="0.25">
      <c r="A69" t="s">
        <v>83</v>
      </c>
      <c r="B69" t="s">
        <v>10</v>
      </c>
      <c r="C69" t="s">
        <v>1383</v>
      </c>
      <c r="E69" s="51">
        <v>29805.920000000002</v>
      </c>
      <c r="F69" s="51">
        <v>11184.98</v>
      </c>
      <c r="G69" s="51">
        <v>40990.9</v>
      </c>
    </row>
    <row r="70" spans="1:7" x14ac:dyDescent="0.25">
      <c r="A70" t="s">
        <v>83</v>
      </c>
      <c r="B70" t="s">
        <v>10</v>
      </c>
      <c r="C70" t="s">
        <v>1386</v>
      </c>
      <c r="E70" s="51">
        <v>1665.88</v>
      </c>
      <c r="F70" s="51">
        <v>476.14</v>
      </c>
      <c r="G70" s="51">
        <v>2142.02</v>
      </c>
    </row>
    <row r="71" spans="1:7" x14ac:dyDescent="0.25">
      <c r="A71" t="s">
        <v>83</v>
      </c>
      <c r="B71" t="s">
        <v>10</v>
      </c>
      <c r="C71" t="s">
        <v>1461</v>
      </c>
      <c r="E71" s="51"/>
      <c r="F71" s="51">
        <v>94</v>
      </c>
      <c r="G71" s="51">
        <v>94</v>
      </c>
    </row>
    <row r="72" spans="1:7" x14ac:dyDescent="0.25">
      <c r="A72" t="s">
        <v>83</v>
      </c>
      <c r="B72" t="s">
        <v>10</v>
      </c>
      <c r="C72" t="s">
        <v>1389</v>
      </c>
      <c r="E72" s="51">
        <v>8482.77</v>
      </c>
      <c r="F72" s="51">
        <v>5433</v>
      </c>
      <c r="G72" s="51">
        <v>13915.77</v>
      </c>
    </row>
    <row r="73" spans="1:7" x14ac:dyDescent="0.25">
      <c r="A73" t="s">
        <v>83</v>
      </c>
      <c r="B73" t="s">
        <v>10</v>
      </c>
      <c r="C73" t="s">
        <v>1393</v>
      </c>
      <c r="E73" s="51">
        <v>10207.85</v>
      </c>
      <c r="F73" s="51">
        <v>3027.48</v>
      </c>
      <c r="G73" s="51">
        <v>13235.33</v>
      </c>
    </row>
    <row r="74" spans="1:7" x14ac:dyDescent="0.25">
      <c r="A74" t="s">
        <v>83</v>
      </c>
      <c r="B74" t="s">
        <v>10</v>
      </c>
      <c r="C74" t="s">
        <v>1396</v>
      </c>
      <c r="E74" s="51">
        <v>8272</v>
      </c>
      <c r="F74" s="51">
        <v>3246</v>
      </c>
      <c r="G74" s="51">
        <v>11518</v>
      </c>
    </row>
    <row r="75" spans="1:7" x14ac:dyDescent="0.25">
      <c r="A75" t="s">
        <v>83</v>
      </c>
      <c r="B75" t="s">
        <v>10</v>
      </c>
      <c r="C75" t="s">
        <v>1399</v>
      </c>
      <c r="E75" s="51">
        <v>5809.72</v>
      </c>
      <c r="F75" s="51">
        <v>454.51</v>
      </c>
      <c r="G75" s="51">
        <v>6264.2300000000005</v>
      </c>
    </row>
    <row r="76" spans="1:7" x14ac:dyDescent="0.25">
      <c r="A76" t="s">
        <v>83</v>
      </c>
      <c r="B76" t="s">
        <v>10</v>
      </c>
      <c r="C76" t="s">
        <v>1402</v>
      </c>
      <c r="E76" s="51">
        <v>673.54000000000008</v>
      </c>
      <c r="F76" s="51">
        <v>1235.1600000000001</v>
      </c>
      <c r="G76" s="51">
        <v>1908.7000000000003</v>
      </c>
    </row>
    <row r="77" spans="1:7" x14ac:dyDescent="0.25">
      <c r="A77" t="s">
        <v>83</v>
      </c>
      <c r="B77" t="s">
        <v>10</v>
      </c>
      <c r="C77" t="s">
        <v>1405</v>
      </c>
      <c r="E77" s="51">
        <v>4414.83</v>
      </c>
      <c r="F77" s="51">
        <v>1728.02</v>
      </c>
      <c r="G77" s="51">
        <v>6142.85</v>
      </c>
    </row>
    <row r="78" spans="1:7" x14ac:dyDescent="0.25">
      <c r="A78" t="s">
        <v>83</v>
      </c>
      <c r="B78" t="s">
        <v>10</v>
      </c>
      <c r="C78" t="s">
        <v>1408</v>
      </c>
      <c r="E78" s="51">
        <v>7991.15</v>
      </c>
      <c r="F78" s="51">
        <v>1550.45</v>
      </c>
      <c r="G78" s="51">
        <v>9541.6</v>
      </c>
    </row>
    <row r="79" spans="1:7" x14ac:dyDescent="0.25">
      <c r="A79" t="s">
        <v>83</v>
      </c>
      <c r="B79" t="s">
        <v>10</v>
      </c>
      <c r="C79" t="s">
        <v>1464</v>
      </c>
      <c r="E79" s="51">
        <v>280</v>
      </c>
      <c r="F79" s="51">
        <v>24</v>
      </c>
      <c r="G79" s="51">
        <v>304</v>
      </c>
    </row>
    <row r="80" spans="1:7" x14ac:dyDescent="0.25">
      <c r="A80" t="s">
        <v>83</v>
      </c>
      <c r="B80" t="s">
        <v>10</v>
      </c>
      <c r="C80" t="s">
        <v>1411</v>
      </c>
      <c r="E80" s="51">
        <v>2412</v>
      </c>
      <c r="F80" s="51">
        <v>-44</v>
      </c>
      <c r="G80" s="51">
        <v>2368</v>
      </c>
    </row>
    <row r="81" spans="1:7" x14ac:dyDescent="0.25">
      <c r="A81" t="s">
        <v>83</v>
      </c>
      <c r="B81" t="s">
        <v>10</v>
      </c>
      <c r="C81" t="s">
        <v>1428</v>
      </c>
      <c r="E81" s="51">
        <v>220.09</v>
      </c>
      <c r="F81" s="51">
        <v>25.01</v>
      </c>
      <c r="G81" s="51">
        <v>245.1</v>
      </c>
    </row>
    <row r="82" spans="1:7" x14ac:dyDescent="0.25">
      <c r="A82" t="s">
        <v>83</v>
      </c>
      <c r="B82" t="s">
        <v>10</v>
      </c>
      <c r="C82" t="s">
        <v>1414</v>
      </c>
      <c r="E82" s="51">
        <v>18111.190000000002</v>
      </c>
      <c r="F82" s="51">
        <v>9111.68</v>
      </c>
      <c r="G82" s="51">
        <v>27222.870000000003</v>
      </c>
    </row>
    <row r="83" spans="1:7" x14ac:dyDescent="0.25">
      <c r="A83" t="s">
        <v>83</v>
      </c>
      <c r="B83" t="s">
        <v>10</v>
      </c>
      <c r="C83" t="s">
        <v>1418</v>
      </c>
      <c r="E83" s="51">
        <v>42596.78</v>
      </c>
      <c r="F83" s="51">
        <v>18231.68</v>
      </c>
      <c r="G83" s="51">
        <v>60828.46</v>
      </c>
    </row>
    <row r="84" spans="1:7" x14ac:dyDescent="0.25">
      <c r="A84" t="s">
        <v>83</v>
      </c>
      <c r="B84" t="s">
        <v>10</v>
      </c>
      <c r="C84" t="s">
        <v>1563</v>
      </c>
      <c r="E84" s="51"/>
      <c r="F84" s="51">
        <v>50.9</v>
      </c>
      <c r="G84" s="51">
        <v>50.9</v>
      </c>
    </row>
    <row r="85" spans="1:7" x14ac:dyDescent="0.25">
      <c r="A85" t="s">
        <v>83</v>
      </c>
      <c r="B85" t="s">
        <v>10</v>
      </c>
      <c r="C85" t="s">
        <v>1421</v>
      </c>
      <c r="E85" s="51">
        <v>244.1</v>
      </c>
      <c r="F85" s="51">
        <v>120.53</v>
      </c>
      <c r="G85" s="51">
        <v>364.63</v>
      </c>
    </row>
    <row r="86" spans="1:7" x14ac:dyDescent="0.25">
      <c r="A86" t="s">
        <v>83</v>
      </c>
      <c r="B86" t="s">
        <v>10</v>
      </c>
      <c r="C86" t="s">
        <v>1431</v>
      </c>
      <c r="E86" s="51">
        <v>1252.21</v>
      </c>
      <c r="F86" s="51">
        <v>1442.6</v>
      </c>
      <c r="G86" s="51">
        <v>2694.81</v>
      </c>
    </row>
    <row r="87" spans="1:7" x14ac:dyDescent="0.25">
      <c r="A87" t="s">
        <v>83</v>
      </c>
      <c r="B87" t="s">
        <v>10</v>
      </c>
      <c r="C87" t="s">
        <v>1424</v>
      </c>
      <c r="E87" s="51">
        <v>727.09</v>
      </c>
      <c r="F87" s="51">
        <v>140.13</v>
      </c>
      <c r="G87" s="51">
        <v>867.22</v>
      </c>
    </row>
    <row r="88" spans="1:7" x14ac:dyDescent="0.25">
      <c r="A88" t="s">
        <v>83</v>
      </c>
      <c r="B88" t="s">
        <v>10</v>
      </c>
      <c r="C88" t="s">
        <v>1467</v>
      </c>
      <c r="E88" s="51">
        <v>734.68</v>
      </c>
      <c r="F88" s="51">
        <v>2241.3000000000002</v>
      </c>
      <c r="G88" s="51">
        <v>2975.98</v>
      </c>
    </row>
    <row r="89" spans="1:7" x14ac:dyDescent="0.25">
      <c r="A89" t="s">
        <v>83</v>
      </c>
      <c r="B89" t="s">
        <v>10</v>
      </c>
      <c r="C89" t="s">
        <v>1435</v>
      </c>
      <c r="E89" s="51">
        <v>663.26</v>
      </c>
      <c r="F89" s="51"/>
      <c r="G89" s="51">
        <v>663.26</v>
      </c>
    </row>
    <row r="90" spans="1:7" x14ac:dyDescent="0.25">
      <c r="A90" t="s">
        <v>83</v>
      </c>
      <c r="B90" t="s">
        <v>10</v>
      </c>
      <c r="C90" t="s">
        <v>1432</v>
      </c>
      <c r="E90" s="51">
        <v>880</v>
      </c>
      <c r="F90" s="51"/>
      <c r="G90" s="51">
        <v>880</v>
      </c>
    </row>
    <row r="91" spans="1:7" x14ac:dyDescent="0.25">
      <c r="A91" t="s">
        <v>83</v>
      </c>
      <c r="B91" t="s">
        <v>10</v>
      </c>
      <c r="C91" t="s">
        <v>1470</v>
      </c>
      <c r="E91" s="51"/>
      <c r="F91" s="51">
        <v>300</v>
      </c>
      <c r="G91" s="51">
        <v>300</v>
      </c>
    </row>
    <row r="92" spans="1:7" x14ac:dyDescent="0.25">
      <c r="A92" t="s">
        <v>83</v>
      </c>
      <c r="B92" t="s">
        <v>10</v>
      </c>
      <c r="C92" t="s">
        <v>1473</v>
      </c>
      <c r="E92" s="51">
        <v>1500</v>
      </c>
      <c r="F92" s="51">
        <v>16385.25</v>
      </c>
      <c r="G92" s="51">
        <v>17885.25</v>
      </c>
    </row>
    <row r="93" spans="1:7" x14ac:dyDescent="0.25">
      <c r="A93" t="s">
        <v>83</v>
      </c>
      <c r="B93" t="s">
        <v>10</v>
      </c>
      <c r="C93" t="s">
        <v>1441</v>
      </c>
      <c r="E93" s="51">
        <v>2215.33</v>
      </c>
      <c r="F93" s="51">
        <v>3755.54</v>
      </c>
      <c r="G93" s="51">
        <v>5970.87</v>
      </c>
    </row>
    <row r="94" spans="1:7" x14ac:dyDescent="0.25">
      <c r="A94" t="s">
        <v>83</v>
      </c>
      <c r="B94" t="s">
        <v>10</v>
      </c>
      <c r="C94" t="s">
        <v>1444</v>
      </c>
      <c r="E94" s="51">
        <v>750</v>
      </c>
      <c r="F94" s="51">
        <v>2532</v>
      </c>
      <c r="G94" s="51">
        <v>3282</v>
      </c>
    </row>
    <row r="95" spans="1:7" x14ac:dyDescent="0.25">
      <c r="A95" t="s">
        <v>83</v>
      </c>
      <c r="B95" t="s">
        <v>127</v>
      </c>
      <c r="C95" t="s">
        <v>1486</v>
      </c>
      <c r="E95" s="51">
        <v>-2.42</v>
      </c>
      <c r="F95" s="51">
        <v>-1.07</v>
      </c>
      <c r="G95" s="51">
        <v>-3.49</v>
      </c>
    </row>
    <row r="96" spans="1:7" x14ac:dyDescent="0.25">
      <c r="A96" t="s">
        <v>83</v>
      </c>
      <c r="B96" t="s">
        <v>127</v>
      </c>
      <c r="C96" t="s">
        <v>1493</v>
      </c>
      <c r="E96" s="51">
        <v>644.70000000000027</v>
      </c>
      <c r="F96" s="51">
        <v>1294.99</v>
      </c>
      <c r="G96" s="51">
        <v>1939.6900000000003</v>
      </c>
    </row>
    <row r="97" spans="1:7" x14ac:dyDescent="0.25">
      <c r="A97" t="s">
        <v>83</v>
      </c>
      <c r="B97" t="s">
        <v>127</v>
      </c>
      <c r="C97" t="s">
        <v>1496</v>
      </c>
      <c r="E97" s="51">
        <v>1476.7799999999997</v>
      </c>
      <c r="F97" s="51">
        <v>-6616.88</v>
      </c>
      <c r="G97" s="51">
        <v>-5140.1000000000004</v>
      </c>
    </row>
    <row r="98" spans="1:7" x14ac:dyDescent="0.25">
      <c r="A98" t="s">
        <v>83</v>
      </c>
      <c r="B98" t="s">
        <v>129</v>
      </c>
      <c r="C98" t="s">
        <v>1499</v>
      </c>
      <c r="E98" s="51">
        <v>1977.53</v>
      </c>
      <c r="F98" s="51"/>
      <c r="G98" s="51">
        <v>1977.53</v>
      </c>
    </row>
    <row r="99" spans="1:7" x14ac:dyDescent="0.25">
      <c r="A99" t="s">
        <v>83</v>
      </c>
      <c r="B99" t="s">
        <v>129</v>
      </c>
      <c r="C99" t="s">
        <v>1502</v>
      </c>
      <c r="E99" s="51">
        <v>-103.65</v>
      </c>
      <c r="F99" s="51">
        <v>-45.519999999999996</v>
      </c>
      <c r="G99" s="51">
        <v>-149.17000000000002</v>
      </c>
    </row>
    <row r="100" spans="1:7" x14ac:dyDescent="0.25">
      <c r="A100" t="s">
        <v>83</v>
      </c>
      <c r="B100" t="s">
        <v>129</v>
      </c>
      <c r="C100" t="s">
        <v>1505</v>
      </c>
      <c r="E100" s="51">
        <v>-40.509999999999991</v>
      </c>
      <c r="F100" s="51">
        <v>-90.639999999999986</v>
      </c>
      <c r="G100" s="51">
        <v>-131.14999999999998</v>
      </c>
    </row>
    <row r="101" spans="1:7" x14ac:dyDescent="0.25">
      <c r="A101" t="s">
        <v>83</v>
      </c>
      <c r="B101" t="s">
        <v>177</v>
      </c>
      <c r="C101" t="s">
        <v>1512</v>
      </c>
      <c r="E101" s="51">
        <v>-0.29000000000000004</v>
      </c>
      <c r="F101" s="51">
        <v>-0.11</v>
      </c>
      <c r="G101" s="51">
        <v>-0.4</v>
      </c>
    </row>
    <row r="102" spans="1:7" x14ac:dyDescent="0.25">
      <c r="A102" t="s">
        <v>83</v>
      </c>
      <c r="B102" t="s">
        <v>169</v>
      </c>
      <c r="C102" t="s">
        <v>1515</v>
      </c>
      <c r="E102" s="51">
        <v>792.18999999999994</v>
      </c>
      <c r="F102" s="51">
        <v>231.95</v>
      </c>
      <c r="G102" s="51">
        <v>1024.1399999999999</v>
      </c>
    </row>
    <row r="103" spans="1:7" x14ac:dyDescent="0.25">
      <c r="A103" t="s">
        <v>1191</v>
      </c>
      <c r="B103" t="s">
        <v>288</v>
      </c>
      <c r="C103" t="s">
        <v>1208</v>
      </c>
      <c r="E103" s="51">
        <v>151.81</v>
      </c>
      <c r="F103" s="51"/>
      <c r="G103" s="51">
        <v>151.81</v>
      </c>
    </row>
    <row r="104" spans="1:7" x14ac:dyDescent="0.25">
      <c r="A104" t="s">
        <v>1191</v>
      </c>
      <c r="B104" t="s">
        <v>399</v>
      </c>
      <c r="C104" t="s">
        <v>399</v>
      </c>
      <c r="E104" s="51">
        <v>52417</v>
      </c>
      <c r="F104" s="51"/>
      <c r="G104" s="51">
        <v>52417</v>
      </c>
    </row>
    <row r="105" spans="1:7" x14ac:dyDescent="0.25">
      <c r="A105" t="s">
        <v>1191</v>
      </c>
      <c r="B105" t="s">
        <v>477</v>
      </c>
      <c r="C105" t="s">
        <v>1247</v>
      </c>
      <c r="D105" t="s">
        <v>1249</v>
      </c>
      <c r="E105" s="51">
        <v>3190081.38</v>
      </c>
      <c r="F105" s="51"/>
      <c r="G105" s="51">
        <v>3190081.38</v>
      </c>
    </row>
    <row r="106" spans="1:7" x14ac:dyDescent="0.25">
      <c r="A106" t="s">
        <v>1191</v>
      </c>
      <c r="B106" t="s">
        <v>387</v>
      </c>
      <c r="C106" t="s">
        <v>387</v>
      </c>
      <c r="D106" t="s">
        <v>1252</v>
      </c>
      <c r="E106" s="51">
        <v>777400</v>
      </c>
      <c r="F106" s="51"/>
      <c r="G106" s="51">
        <v>777400</v>
      </c>
    </row>
    <row r="107" spans="1:7" x14ac:dyDescent="0.25">
      <c r="A107" t="s">
        <v>1191</v>
      </c>
      <c r="B107" t="s">
        <v>617</v>
      </c>
      <c r="C107" t="s">
        <v>617</v>
      </c>
      <c r="E107" s="51">
        <v>80993.259999999995</v>
      </c>
      <c r="F107" s="51"/>
      <c r="G107" s="51">
        <v>80993.259999999995</v>
      </c>
    </row>
    <row r="108" spans="1:7" x14ac:dyDescent="0.25">
      <c r="A108" t="s">
        <v>1191</v>
      </c>
      <c r="B108" t="s">
        <v>617</v>
      </c>
      <c r="C108" t="s">
        <v>1296</v>
      </c>
      <c r="E108" s="51">
        <v>-105106</v>
      </c>
      <c r="F108" s="51"/>
      <c r="G108" s="51">
        <v>-105106</v>
      </c>
    </row>
    <row r="109" spans="1:7" x14ac:dyDescent="0.25">
      <c r="A109" t="s">
        <v>1191</v>
      </c>
      <c r="B109" t="s">
        <v>675</v>
      </c>
      <c r="C109" t="s">
        <v>675</v>
      </c>
      <c r="E109" s="51">
        <v>-174</v>
      </c>
      <c r="F109" s="51"/>
      <c r="G109" s="51">
        <v>-174</v>
      </c>
    </row>
    <row r="110" spans="1:7" x14ac:dyDescent="0.25">
      <c r="A110" t="s">
        <v>1191</v>
      </c>
      <c r="B110" t="s">
        <v>739</v>
      </c>
      <c r="C110" t="s">
        <v>1316</v>
      </c>
      <c r="E110" s="51">
        <v>-2354630.6</v>
      </c>
      <c r="F110" s="51"/>
      <c r="G110" s="51">
        <v>-2354630.6</v>
      </c>
    </row>
    <row r="111" spans="1:7" x14ac:dyDescent="0.25">
      <c r="A111" t="s">
        <v>1191</v>
      </c>
      <c r="B111" t="s">
        <v>54</v>
      </c>
      <c r="C111" t="s">
        <v>1479</v>
      </c>
      <c r="E111" s="51">
        <v>-7.9</v>
      </c>
      <c r="F111" s="51"/>
      <c r="G111" s="51">
        <v>-7.9</v>
      </c>
    </row>
    <row r="112" spans="1:7" x14ac:dyDescent="0.25">
      <c r="A112" t="s">
        <v>1191</v>
      </c>
      <c r="B112" t="s">
        <v>41</v>
      </c>
      <c r="C112" t="s">
        <v>41</v>
      </c>
      <c r="E112" s="51">
        <v>73010</v>
      </c>
      <c r="F112" s="51"/>
      <c r="G112" s="51">
        <v>73010</v>
      </c>
    </row>
    <row r="113" spans="1:7" x14ac:dyDescent="0.25">
      <c r="A113" t="s">
        <v>1191</v>
      </c>
      <c r="B113" t="s">
        <v>48</v>
      </c>
      <c r="C113" t="s">
        <v>1510</v>
      </c>
      <c r="D113" t="s">
        <v>1249</v>
      </c>
      <c r="E113" s="51">
        <v>-1599.13</v>
      </c>
      <c r="F113" s="51"/>
      <c r="G113" s="51">
        <v>-1599.13</v>
      </c>
    </row>
    <row r="114" spans="1:7" x14ac:dyDescent="0.25">
      <c r="A114" t="s">
        <v>1191</v>
      </c>
      <c r="B114" t="s">
        <v>143</v>
      </c>
      <c r="C114" t="s">
        <v>143</v>
      </c>
      <c r="D114" t="s">
        <v>1252</v>
      </c>
      <c r="E114" s="51">
        <v>-715474.5</v>
      </c>
      <c r="F114" s="51"/>
      <c r="G114" s="51">
        <v>-715474.5</v>
      </c>
    </row>
    <row r="115" spans="1:7" x14ac:dyDescent="0.25">
      <c r="A115" t="s">
        <v>1191</v>
      </c>
      <c r="B115" t="s">
        <v>143</v>
      </c>
      <c r="C115" t="s">
        <v>1518</v>
      </c>
      <c r="D115" t="s">
        <v>1252</v>
      </c>
      <c r="E115" s="51">
        <v>-777400</v>
      </c>
      <c r="F115" s="51"/>
      <c r="G115" s="51">
        <v>-777400</v>
      </c>
    </row>
    <row r="116" spans="1:7" x14ac:dyDescent="0.25">
      <c r="A116" t="s">
        <v>1191</v>
      </c>
      <c r="B116" t="s">
        <v>133</v>
      </c>
      <c r="C116" t="s">
        <v>133</v>
      </c>
      <c r="D116" t="s">
        <v>1278</v>
      </c>
      <c r="E116" s="51">
        <v>33437.79</v>
      </c>
      <c r="F116" s="51"/>
      <c r="G116" s="51">
        <v>33437.79</v>
      </c>
    </row>
    <row r="117" spans="1:7" x14ac:dyDescent="0.25">
      <c r="A117" t="s">
        <v>1191</v>
      </c>
      <c r="B117" t="s">
        <v>1321</v>
      </c>
      <c r="C117" t="s">
        <v>1319</v>
      </c>
      <c r="E117" s="51">
        <v>6201180.4299999997</v>
      </c>
      <c r="F117" s="51"/>
      <c r="G117" s="51">
        <v>6201180.4299999997</v>
      </c>
    </row>
    <row r="118" spans="1:7" x14ac:dyDescent="0.25">
      <c r="A118" t="s">
        <v>1191</v>
      </c>
      <c r="B118" t="s">
        <v>1321</v>
      </c>
      <c r="C118" t="s">
        <v>1323</v>
      </c>
      <c r="E118" s="51">
        <v>-7317915.46</v>
      </c>
      <c r="F118" s="51"/>
      <c r="G118" s="51">
        <v>-7317915.46</v>
      </c>
    </row>
    <row r="119" spans="1:7" x14ac:dyDescent="0.25">
      <c r="A119" t="s">
        <v>310</v>
      </c>
      <c r="B119" t="s">
        <v>335</v>
      </c>
      <c r="C119" t="s">
        <v>335</v>
      </c>
      <c r="E119" s="51">
        <v>1846.75</v>
      </c>
      <c r="F119" s="51"/>
      <c r="G119" s="51">
        <v>1846.75</v>
      </c>
    </row>
    <row r="120" spans="1:7" x14ac:dyDescent="0.25">
      <c r="A120" t="s">
        <v>310</v>
      </c>
      <c r="B120" t="s">
        <v>323</v>
      </c>
      <c r="C120" t="s">
        <v>323</v>
      </c>
      <c r="E120" s="51">
        <v>17867.580000000002</v>
      </c>
      <c r="F120" s="51"/>
      <c r="G120" s="51">
        <v>17867.580000000002</v>
      </c>
    </row>
    <row r="121" spans="1:7" x14ac:dyDescent="0.25">
      <c r="A121" t="s">
        <v>310</v>
      </c>
      <c r="B121" t="s">
        <v>325</v>
      </c>
      <c r="C121" t="s">
        <v>325</v>
      </c>
      <c r="E121" s="51">
        <v>19192.66</v>
      </c>
      <c r="F121" s="51"/>
      <c r="G121" s="51">
        <v>19192.66</v>
      </c>
    </row>
    <row r="122" spans="1:7" x14ac:dyDescent="0.25">
      <c r="A122" t="s">
        <v>310</v>
      </c>
      <c r="B122" t="s">
        <v>329</v>
      </c>
      <c r="C122" t="s">
        <v>1230</v>
      </c>
      <c r="E122" s="51">
        <v>11856.61</v>
      </c>
      <c r="F122" s="51"/>
      <c r="G122" s="51">
        <v>11856.61</v>
      </c>
    </row>
    <row r="123" spans="1:7" x14ac:dyDescent="0.25">
      <c r="A123" t="s">
        <v>310</v>
      </c>
      <c r="B123" t="s">
        <v>329</v>
      </c>
      <c r="C123" t="s">
        <v>1233</v>
      </c>
      <c r="E123" s="51">
        <v>9270</v>
      </c>
      <c r="F123" s="51"/>
      <c r="G123" s="51">
        <v>9270</v>
      </c>
    </row>
    <row r="124" spans="1:7" x14ac:dyDescent="0.25">
      <c r="A124" t="s">
        <v>310</v>
      </c>
      <c r="B124" t="s">
        <v>329</v>
      </c>
      <c r="C124" t="s">
        <v>1236</v>
      </c>
      <c r="E124" s="51">
        <v>6362.35</v>
      </c>
      <c r="F124" s="51"/>
      <c r="G124" s="51">
        <v>6362.35</v>
      </c>
    </row>
    <row r="125" spans="1:7" x14ac:dyDescent="0.25">
      <c r="A125" t="s">
        <v>310</v>
      </c>
      <c r="B125" t="s">
        <v>329</v>
      </c>
      <c r="C125" t="s">
        <v>1239</v>
      </c>
      <c r="E125" s="51">
        <v>32152.16</v>
      </c>
      <c r="F125" s="51"/>
      <c r="G125" s="51">
        <v>32152.16</v>
      </c>
    </row>
    <row r="126" spans="1:7" x14ac:dyDescent="0.25">
      <c r="A126" t="s">
        <v>310</v>
      </c>
      <c r="B126" t="s">
        <v>365</v>
      </c>
      <c r="C126" t="s">
        <v>1242</v>
      </c>
      <c r="E126" s="51">
        <v>5859.81</v>
      </c>
      <c r="F126" s="51"/>
      <c r="G126" s="51">
        <v>5859.81</v>
      </c>
    </row>
    <row r="127" spans="1:7" x14ac:dyDescent="0.25">
      <c r="A127" t="s">
        <v>310</v>
      </c>
      <c r="B127" t="s">
        <v>411</v>
      </c>
      <c r="C127" t="s">
        <v>899</v>
      </c>
      <c r="E127" s="51">
        <v>132993.57</v>
      </c>
      <c r="F127" s="51"/>
      <c r="G127" s="51">
        <v>132993.57</v>
      </c>
    </row>
    <row r="128" spans="1:7" x14ac:dyDescent="0.25">
      <c r="A128" t="s">
        <v>310</v>
      </c>
      <c r="B128" t="s">
        <v>415</v>
      </c>
      <c r="C128" t="s">
        <v>907</v>
      </c>
      <c r="E128" s="51">
        <v>8513.2099999999991</v>
      </c>
      <c r="F128" s="51"/>
      <c r="G128" s="51">
        <v>8513.2099999999991</v>
      </c>
    </row>
    <row r="129" spans="1:7" x14ac:dyDescent="0.25">
      <c r="A129" t="s">
        <v>310</v>
      </c>
      <c r="B129" t="s">
        <v>417</v>
      </c>
      <c r="C129" t="s">
        <v>913</v>
      </c>
      <c r="E129" s="51">
        <v>110423.83</v>
      </c>
      <c r="F129" s="51"/>
      <c r="G129" s="51">
        <v>110423.83</v>
      </c>
    </row>
    <row r="130" spans="1:7" x14ac:dyDescent="0.25">
      <c r="A130" t="s">
        <v>310</v>
      </c>
      <c r="B130" t="s">
        <v>421</v>
      </c>
      <c r="C130" t="s">
        <v>917</v>
      </c>
      <c r="E130" s="51">
        <v>5131.92</v>
      </c>
      <c r="F130" s="51"/>
      <c r="G130" s="51">
        <v>5131.92</v>
      </c>
    </row>
    <row r="131" spans="1:7" x14ac:dyDescent="0.25">
      <c r="A131" t="s">
        <v>310</v>
      </c>
      <c r="B131" t="s">
        <v>429</v>
      </c>
      <c r="C131" t="s">
        <v>429</v>
      </c>
      <c r="E131" s="51">
        <v>-132993.57</v>
      </c>
      <c r="F131" s="51"/>
      <c r="G131" s="51">
        <v>-132993.57</v>
      </c>
    </row>
    <row r="132" spans="1:7" x14ac:dyDescent="0.25">
      <c r="A132" t="s">
        <v>310</v>
      </c>
      <c r="B132" t="s">
        <v>433</v>
      </c>
      <c r="C132" t="s">
        <v>928</v>
      </c>
      <c r="E132" s="51">
        <v>-8513.2099999999991</v>
      </c>
      <c r="F132" s="51"/>
      <c r="G132" s="51">
        <v>-8513.2099999999991</v>
      </c>
    </row>
    <row r="133" spans="1:7" x14ac:dyDescent="0.25">
      <c r="A133" t="s">
        <v>310</v>
      </c>
      <c r="B133" t="s">
        <v>435</v>
      </c>
      <c r="C133" t="s">
        <v>932</v>
      </c>
      <c r="E133" s="51">
        <v>-104276.83</v>
      </c>
      <c r="F133" s="51"/>
      <c r="G133" s="51">
        <v>-104276.83</v>
      </c>
    </row>
    <row r="134" spans="1:7" x14ac:dyDescent="0.25">
      <c r="A134" t="s">
        <v>310</v>
      </c>
      <c r="B134" t="s">
        <v>439</v>
      </c>
      <c r="C134" t="s">
        <v>936</v>
      </c>
      <c r="E134" s="51">
        <v>-5131.92</v>
      </c>
      <c r="F134" s="51"/>
      <c r="G134" s="51">
        <v>-5131.92</v>
      </c>
    </row>
    <row r="135" spans="1:7" x14ac:dyDescent="0.25">
      <c r="A135" t="s">
        <v>310</v>
      </c>
      <c r="B135" t="s">
        <v>515</v>
      </c>
      <c r="C135" t="s">
        <v>515</v>
      </c>
      <c r="E135" s="51">
        <v>-28850.37</v>
      </c>
      <c r="F135" s="51"/>
      <c r="G135" s="51">
        <v>-28850.37</v>
      </c>
    </row>
    <row r="136" spans="1:7" x14ac:dyDescent="0.25">
      <c r="A136" t="s">
        <v>310</v>
      </c>
      <c r="B136" t="s">
        <v>515</v>
      </c>
      <c r="C136" t="s">
        <v>1148</v>
      </c>
      <c r="E136" s="51">
        <v>-1166.6500000000001</v>
      </c>
      <c r="F136" s="51"/>
      <c r="G136" s="51">
        <v>-1166.6500000000001</v>
      </c>
    </row>
    <row r="137" spans="1:7" x14ac:dyDescent="0.25">
      <c r="A137" t="s">
        <v>310</v>
      </c>
      <c r="B137" t="s">
        <v>517</v>
      </c>
      <c r="C137" t="s">
        <v>1149</v>
      </c>
      <c r="E137" s="51">
        <v>-18666.2</v>
      </c>
      <c r="F137" s="51"/>
      <c r="G137" s="51">
        <v>-18666.2</v>
      </c>
    </row>
    <row r="138" spans="1:7" x14ac:dyDescent="0.25">
      <c r="A138" t="s">
        <v>310</v>
      </c>
      <c r="B138" t="s">
        <v>517</v>
      </c>
      <c r="C138" t="s">
        <v>1274</v>
      </c>
      <c r="E138" s="51">
        <v>18666.2</v>
      </c>
      <c r="F138" s="51"/>
      <c r="G138" s="51">
        <v>18666.2</v>
      </c>
    </row>
    <row r="139" spans="1:7" x14ac:dyDescent="0.25">
      <c r="A139" t="s">
        <v>310</v>
      </c>
      <c r="B139" t="s">
        <v>585</v>
      </c>
      <c r="C139" t="s">
        <v>1282</v>
      </c>
      <c r="E139" s="51">
        <v>-47800</v>
      </c>
      <c r="F139" s="51"/>
      <c r="G139" s="51">
        <v>-47800</v>
      </c>
    </row>
    <row r="140" spans="1:7" x14ac:dyDescent="0.25">
      <c r="A140" t="s">
        <v>310</v>
      </c>
      <c r="B140" t="s">
        <v>527</v>
      </c>
      <c r="C140" t="s">
        <v>1285</v>
      </c>
      <c r="E140" s="51">
        <v>-181778.18</v>
      </c>
      <c r="F140" s="51"/>
      <c r="G140" s="51">
        <v>-181778.18</v>
      </c>
    </row>
    <row r="141" spans="1:7" x14ac:dyDescent="0.25">
      <c r="A141" t="s">
        <v>310</v>
      </c>
      <c r="B141" t="s">
        <v>521</v>
      </c>
      <c r="C141" t="s">
        <v>1288</v>
      </c>
      <c r="E141" s="51">
        <v>-31773.37</v>
      </c>
      <c r="F141" s="51"/>
      <c r="G141" s="51">
        <v>-31773.37</v>
      </c>
    </row>
    <row r="142" spans="1:7" x14ac:dyDescent="0.25">
      <c r="A142" t="s">
        <v>310</v>
      </c>
      <c r="B142" t="s">
        <v>521</v>
      </c>
      <c r="C142" t="s">
        <v>1291</v>
      </c>
      <c r="E142" s="51">
        <v>-1940.14</v>
      </c>
      <c r="F142" s="51"/>
      <c r="G142" s="51">
        <v>-1940.14</v>
      </c>
    </row>
    <row r="143" spans="1:7" x14ac:dyDescent="0.25">
      <c r="A143" t="s">
        <v>310</v>
      </c>
      <c r="B143" t="s">
        <v>539</v>
      </c>
      <c r="C143" t="s">
        <v>1299</v>
      </c>
      <c r="E143" s="51">
        <v>-550</v>
      </c>
      <c r="F143" s="51"/>
      <c r="G143" s="51">
        <v>-550</v>
      </c>
    </row>
    <row r="144" spans="1:7" x14ac:dyDescent="0.25">
      <c r="A144" t="s">
        <v>310</v>
      </c>
      <c r="B144" t="s">
        <v>539</v>
      </c>
      <c r="C144" t="s">
        <v>1302</v>
      </c>
      <c r="E144" s="51">
        <v>-533.05999999999995</v>
      </c>
      <c r="F144" s="51"/>
      <c r="G144" s="51">
        <v>-533.05999999999995</v>
      </c>
    </row>
    <row r="145" spans="1:7" x14ac:dyDescent="0.25">
      <c r="A145" t="s">
        <v>310</v>
      </c>
      <c r="B145" t="s">
        <v>541</v>
      </c>
      <c r="C145" t="s">
        <v>541</v>
      </c>
      <c r="E145" s="51">
        <v>-2700</v>
      </c>
      <c r="F145" s="51"/>
      <c r="G145" s="51">
        <v>-2700</v>
      </c>
    </row>
    <row r="146" spans="1:7" x14ac:dyDescent="0.25">
      <c r="A146" t="s">
        <v>310</v>
      </c>
      <c r="B146" t="s">
        <v>541</v>
      </c>
      <c r="C146" t="s">
        <v>1306</v>
      </c>
      <c r="E146" s="51">
        <v>-2967</v>
      </c>
      <c r="F146" s="51"/>
      <c r="G146" s="51">
        <v>-2967</v>
      </c>
    </row>
    <row r="147" spans="1:7" x14ac:dyDescent="0.25">
      <c r="A147" t="s">
        <v>310</v>
      </c>
      <c r="B147" t="s">
        <v>533</v>
      </c>
      <c r="C147" t="s">
        <v>1309</v>
      </c>
      <c r="E147" s="51">
        <v>-14100</v>
      </c>
      <c r="F147" s="51"/>
      <c r="G147" s="51">
        <v>-14100</v>
      </c>
    </row>
    <row r="148" spans="1:7" x14ac:dyDescent="0.25">
      <c r="A148" t="s">
        <v>310</v>
      </c>
      <c r="B148" t="s">
        <v>703</v>
      </c>
      <c r="C148" t="s">
        <v>1313</v>
      </c>
      <c r="E148" s="51">
        <v>-33618</v>
      </c>
      <c r="F148" s="51"/>
      <c r="G148" s="51">
        <v>-33618</v>
      </c>
    </row>
    <row r="149" spans="1:7" x14ac:dyDescent="0.25">
      <c r="A149" t="s">
        <v>310</v>
      </c>
      <c r="B149" t="s">
        <v>62</v>
      </c>
      <c r="C149" t="s">
        <v>1483</v>
      </c>
      <c r="E149" s="51">
        <v>38.68</v>
      </c>
      <c r="F149" s="51"/>
      <c r="G149" s="51">
        <v>38.68</v>
      </c>
    </row>
    <row r="150" spans="1:7" x14ac:dyDescent="0.25">
      <c r="A150" t="s">
        <v>46</v>
      </c>
      <c r="B150" t="s">
        <v>379</v>
      </c>
      <c r="C150" t="s">
        <v>379</v>
      </c>
      <c r="D150" t="s">
        <v>1217</v>
      </c>
      <c r="E150" s="51">
        <v>194.57</v>
      </c>
      <c r="F150" s="51"/>
      <c r="G150" s="51">
        <v>194.57</v>
      </c>
    </row>
    <row r="151" spans="1:7" x14ac:dyDescent="0.25">
      <c r="A151" t="s">
        <v>46</v>
      </c>
      <c r="B151" t="s">
        <v>379</v>
      </c>
      <c r="C151" t="s">
        <v>379</v>
      </c>
      <c r="D151" t="s">
        <v>1252</v>
      </c>
      <c r="E151" s="51">
        <v>4320.16</v>
      </c>
      <c r="F151" s="51"/>
      <c r="G151" s="51">
        <v>4320.16</v>
      </c>
    </row>
    <row r="152" spans="1:7" x14ac:dyDescent="0.25">
      <c r="A152" t="s">
        <v>46</v>
      </c>
      <c r="B152" t="s">
        <v>639</v>
      </c>
      <c r="C152" t="s">
        <v>639</v>
      </c>
      <c r="D152" t="s">
        <v>1217</v>
      </c>
      <c r="E152" s="51">
        <v>-7210.59</v>
      </c>
      <c r="F152" s="51"/>
      <c r="G152" s="51">
        <v>-7210.59</v>
      </c>
    </row>
    <row r="153" spans="1:7" x14ac:dyDescent="0.25">
      <c r="A153" t="s">
        <v>46</v>
      </c>
      <c r="B153" t="s">
        <v>639</v>
      </c>
      <c r="C153" t="s">
        <v>639</v>
      </c>
      <c r="D153" t="s">
        <v>1252</v>
      </c>
      <c r="E153" s="51">
        <v>-390.15</v>
      </c>
      <c r="F153" s="51"/>
      <c r="G153" s="51">
        <v>-390.15</v>
      </c>
    </row>
    <row r="154" spans="1:7" x14ac:dyDescent="0.25">
      <c r="A154" t="s">
        <v>46</v>
      </c>
      <c r="B154" t="s">
        <v>639</v>
      </c>
      <c r="C154" t="s">
        <v>639</v>
      </c>
      <c r="D154" t="s">
        <v>1278</v>
      </c>
      <c r="E154" s="51">
        <v>-8970.83</v>
      </c>
      <c r="F154" s="51"/>
      <c r="G154" s="51">
        <v>-8970.83</v>
      </c>
    </row>
    <row r="155" spans="1:7" x14ac:dyDescent="0.25">
      <c r="A155" t="s">
        <v>46</v>
      </c>
      <c r="B155" t="s">
        <v>639</v>
      </c>
      <c r="C155" t="s">
        <v>1280</v>
      </c>
      <c r="D155" t="s">
        <v>1217</v>
      </c>
      <c r="E155" s="51">
        <v>149.16999999999999</v>
      </c>
      <c r="F155" s="51"/>
      <c r="G155" s="51">
        <v>149.16999999999999</v>
      </c>
    </row>
    <row r="156" spans="1:7" x14ac:dyDescent="0.25">
      <c r="A156" t="s">
        <v>46</v>
      </c>
      <c r="B156" t="s">
        <v>639</v>
      </c>
      <c r="C156" t="s">
        <v>1280</v>
      </c>
      <c r="D156" t="s">
        <v>1278</v>
      </c>
      <c r="E156" s="51">
        <v>-77.53</v>
      </c>
      <c r="F156" s="51"/>
      <c r="G156" s="51">
        <v>-77.53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O376"/>
  <sheetViews>
    <sheetView zoomScale="85" zoomScaleNormal="85" workbookViewId="0">
      <selection activeCell="A6" sqref="A6:L376"/>
    </sheetView>
  </sheetViews>
  <sheetFormatPr defaultRowHeight="15" x14ac:dyDescent="0.25"/>
  <cols>
    <col min="1" max="1" width="13.7109375" customWidth="1"/>
    <col min="2" max="2" width="46.5703125" customWidth="1"/>
    <col min="3" max="3" width="15.7109375" customWidth="1"/>
    <col min="4" max="4" width="14.5703125" customWidth="1"/>
    <col min="5" max="5" width="11.7109375" customWidth="1"/>
    <col min="6" max="6" width="13.5703125" customWidth="1"/>
    <col min="7" max="7" width="14.140625" customWidth="1"/>
    <col min="8" max="8" width="17.5703125" customWidth="1"/>
    <col min="9" max="9" width="11.28515625" customWidth="1"/>
    <col min="10" max="10" width="8.85546875" customWidth="1"/>
    <col min="11" max="11" width="13.28515625" customWidth="1"/>
    <col min="12" max="12" width="10.7109375" customWidth="1"/>
    <col min="13" max="13" width="11.7109375" customWidth="1"/>
    <col min="14" max="14" width="13.5703125" customWidth="1"/>
    <col min="15" max="15" width="11.7109375" style="33" customWidth="1"/>
  </cols>
  <sheetData>
    <row r="1" spans="1:15" ht="18.75" x14ac:dyDescent="0.3">
      <c r="A1" s="43" t="s">
        <v>1587</v>
      </c>
    </row>
    <row r="3" spans="1:15" ht="15.75" x14ac:dyDescent="0.25">
      <c r="A3" s="44" t="s">
        <v>1193</v>
      </c>
      <c r="B3" s="44" t="s">
        <v>1194</v>
      </c>
    </row>
    <row r="4" spans="1:15" ht="15.75" x14ac:dyDescent="0.25">
      <c r="A4" s="44" t="s">
        <v>1195</v>
      </c>
      <c r="B4" s="44" t="s">
        <v>1196</v>
      </c>
    </row>
    <row r="5" spans="1:15" ht="15.75" x14ac:dyDescent="0.25">
      <c r="A5" s="44"/>
      <c r="B5" s="44"/>
    </row>
    <row r="6" spans="1:15" x14ac:dyDescent="0.25">
      <c r="A6" s="47" t="s">
        <v>13</v>
      </c>
      <c r="B6" s="47" t="s">
        <v>1197</v>
      </c>
      <c r="C6" s="47" t="s">
        <v>1198</v>
      </c>
      <c r="D6" s="49" t="s">
        <v>1580</v>
      </c>
      <c r="E6" s="47" t="s">
        <v>1199</v>
      </c>
      <c r="F6" s="47" t="s">
        <v>1200</v>
      </c>
      <c r="G6" s="47" t="s">
        <v>1201</v>
      </c>
      <c r="H6" s="49" t="s">
        <v>1581</v>
      </c>
      <c r="I6" s="47" t="s">
        <v>1202</v>
      </c>
      <c r="J6" s="47" t="s">
        <v>1203</v>
      </c>
      <c r="K6" s="49" t="s">
        <v>1582</v>
      </c>
      <c r="L6" s="47" t="s">
        <v>1204</v>
      </c>
      <c r="M6" s="47" t="s">
        <v>1205</v>
      </c>
      <c r="N6" s="47" t="s">
        <v>1206</v>
      </c>
      <c r="O6" s="48" t="s">
        <v>1207</v>
      </c>
    </row>
    <row r="7" spans="1:15" x14ac:dyDescent="0.25">
      <c r="A7" t="s">
        <v>1208</v>
      </c>
      <c r="B7" t="s">
        <v>1209</v>
      </c>
      <c r="C7" t="s">
        <v>288</v>
      </c>
      <c r="D7" t="str">
        <f>VLOOKUP(Modded_AMF_Table[[#This Row],[HFM_Account]],HFM_Acct_OCF_Activity[],3,FALSE)</f>
        <v>Exclude</v>
      </c>
      <c r="E7" t="s">
        <v>1210</v>
      </c>
      <c r="F7" t="s">
        <v>1194</v>
      </c>
      <c r="G7" t="s">
        <v>1211</v>
      </c>
      <c r="H7" t="str">
        <f>IF(NOT(ISERROR(FIND("NoICP",Modded_AMF_Table[[#This Row],[GL_ICP]]))),"",Modded_AMF_Table[[#This Row],[GL_ICP]])</f>
        <v/>
      </c>
      <c r="I7" t="s">
        <v>1212</v>
      </c>
      <c r="J7" t="s">
        <v>1213</v>
      </c>
      <c r="K7" t="str">
        <f>IFERROR(VLOOKUP(VALUE(Modded_AMF_Table[[#This Row],[GL_PC]]),BNS_Profit_Centers[],2,FALSE),"TE")</f>
        <v>TE</v>
      </c>
      <c r="L7" t="s">
        <v>1213</v>
      </c>
      <c r="M7" t="s">
        <v>1208</v>
      </c>
      <c r="N7" t="s">
        <v>1214</v>
      </c>
      <c r="O7" s="33">
        <v>151.81</v>
      </c>
    </row>
    <row r="8" spans="1:15" x14ac:dyDescent="0.25">
      <c r="A8" t="s">
        <v>335</v>
      </c>
      <c r="B8" t="s">
        <v>336</v>
      </c>
      <c r="C8" t="s">
        <v>335</v>
      </c>
      <c r="D8" t="str">
        <f>VLOOKUP(Modded_AMF_Table[[#This Row],[HFM_Account]],HFM_Acct_OCF_Activity[],3,FALSE)</f>
        <v>Indirect</v>
      </c>
      <c r="E8" t="s">
        <v>1210</v>
      </c>
      <c r="F8" t="s">
        <v>1194</v>
      </c>
      <c r="G8" t="s">
        <v>1215</v>
      </c>
      <c r="H8" t="str">
        <f>IF(NOT(ISERROR(FIND("NoICP",Modded_AMF_Table[[#This Row],[GL_ICP]]))),"",Modded_AMF_Table[[#This Row],[GL_ICP]])</f>
        <v/>
      </c>
      <c r="I8" t="s">
        <v>1212</v>
      </c>
      <c r="J8" t="s">
        <v>1213</v>
      </c>
      <c r="K8" t="str">
        <f>IFERROR(VLOOKUP(VALUE(Modded_AMF_Table[[#This Row],[GL_PC]]),BNS_Profit_Centers[],2,FALSE),"TE")</f>
        <v>TE</v>
      </c>
      <c r="L8" t="s">
        <v>1213</v>
      </c>
      <c r="M8" t="s">
        <v>335</v>
      </c>
      <c r="N8" t="s">
        <v>1214</v>
      </c>
      <c r="O8" s="33">
        <v>1846.75</v>
      </c>
    </row>
    <row r="9" spans="1:15" x14ac:dyDescent="0.25">
      <c r="A9" t="s">
        <v>379</v>
      </c>
      <c r="B9" t="s">
        <v>1216</v>
      </c>
      <c r="C9" t="s">
        <v>379</v>
      </c>
      <c r="D9" t="str">
        <f>VLOOKUP(Modded_AMF_Table[[#This Row],[HFM_Account]],HFM_Acct_OCF_Activity[],3,FALSE)</f>
        <v>Intercompany</v>
      </c>
      <c r="E9" t="s">
        <v>1210</v>
      </c>
      <c r="F9" t="s">
        <v>1194</v>
      </c>
      <c r="G9" t="s">
        <v>1217</v>
      </c>
      <c r="H9" t="str">
        <f>IF(NOT(ISERROR(FIND("NoICP",Modded_AMF_Table[[#This Row],[GL_ICP]]))),"",Modded_AMF_Table[[#This Row],[GL_ICP]])</f>
        <v>ZZ0048</v>
      </c>
      <c r="I9" t="s">
        <v>1218</v>
      </c>
      <c r="J9" t="s">
        <v>1213</v>
      </c>
      <c r="K9" t="str">
        <f>IFERROR(VLOOKUP(VALUE(Modded_AMF_Table[[#This Row],[GL_PC]]),BNS_Profit_Centers[],2,FALSE),"TE")</f>
        <v>TE</v>
      </c>
      <c r="L9" t="s">
        <v>1213</v>
      </c>
      <c r="M9" t="s">
        <v>379</v>
      </c>
      <c r="N9" t="s">
        <v>1214</v>
      </c>
      <c r="O9" s="33">
        <v>194.57</v>
      </c>
    </row>
    <row r="10" spans="1:15" x14ac:dyDescent="0.25">
      <c r="A10" t="s">
        <v>379</v>
      </c>
      <c r="B10" t="s">
        <v>1216</v>
      </c>
      <c r="C10" t="s">
        <v>379</v>
      </c>
      <c r="D10" t="str">
        <f>VLOOKUP(Modded_AMF_Table[[#This Row],[HFM_Account]],HFM_Acct_OCF_Activity[],3,FALSE)</f>
        <v>Intercompany</v>
      </c>
      <c r="E10" t="s">
        <v>1210</v>
      </c>
      <c r="F10" t="s">
        <v>1194</v>
      </c>
      <c r="G10" t="s">
        <v>1252</v>
      </c>
      <c r="H10" t="str">
        <f>IF(NOT(ISERROR(FIND("NoICP",Modded_AMF_Table[[#This Row],[GL_ICP]]))),"",Modded_AMF_Table[[#This Row],[GL_ICP]])</f>
        <v>ZZ1151</v>
      </c>
      <c r="I10" t="s">
        <v>1253</v>
      </c>
      <c r="J10" t="s">
        <v>1213</v>
      </c>
      <c r="K10" t="str">
        <f>IFERROR(VLOOKUP(VALUE(Modded_AMF_Table[[#This Row],[GL_PC]]),BNS_Profit_Centers[],2,FALSE),"TE")</f>
        <v>TE</v>
      </c>
      <c r="L10" t="s">
        <v>1213</v>
      </c>
      <c r="M10" t="s">
        <v>379</v>
      </c>
      <c r="N10" t="s">
        <v>1214</v>
      </c>
      <c r="O10" s="33">
        <v>4320.16</v>
      </c>
    </row>
    <row r="11" spans="1:15" x14ac:dyDescent="0.25">
      <c r="A11" t="s">
        <v>1221</v>
      </c>
      <c r="B11" t="s">
        <v>1222</v>
      </c>
      <c r="C11" t="s">
        <v>315</v>
      </c>
      <c r="D11" t="str">
        <f>VLOOKUP(Modded_AMF_Table[[#This Row],[HFM_Account]],HFM_Acct_OCF_Activity[],3,FALSE)</f>
        <v>Direct</v>
      </c>
      <c r="E11" t="s">
        <v>1210</v>
      </c>
      <c r="F11" t="s">
        <v>1194</v>
      </c>
      <c r="G11" t="s">
        <v>1223</v>
      </c>
      <c r="H11" t="str">
        <f>IF(NOT(ISERROR(FIND("NoICP",Modded_AMF_Table[[#This Row],[GL_ICP]]))),"",Modded_AMF_Table[[#This Row],[GL_ICP]])</f>
        <v/>
      </c>
      <c r="I11" t="s">
        <v>1212</v>
      </c>
      <c r="J11" t="s">
        <v>1224</v>
      </c>
      <c r="K11" t="str">
        <f>IFERROR(VLOOKUP(VALUE(Modded_AMF_Table[[#This Row],[GL_PC]]),BNS_Profit_Centers[],2,FALSE),"TE")</f>
        <v>TE</v>
      </c>
      <c r="L11" t="s">
        <v>1224</v>
      </c>
      <c r="M11" t="s">
        <v>1221</v>
      </c>
      <c r="N11" t="s">
        <v>1214</v>
      </c>
      <c r="O11" s="33">
        <v>-0.01</v>
      </c>
    </row>
    <row r="12" spans="1:15" x14ac:dyDescent="0.25">
      <c r="A12" t="s">
        <v>1221</v>
      </c>
      <c r="B12" t="s">
        <v>1222</v>
      </c>
      <c r="C12" t="s">
        <v>315</v>
      </c>
      <c r="D12" t="str">
        <f>VLOOKUP(Modded_AMF_Table[[#This Row],[HFM_Account]],HFM_Acct_OCF_Activity[],3,FALSE)</f>
        <v>Direct</v>
      </c>
      <c r="E12" t="s">
        <v>1210</v>
      </c>
      <c r="F12" t="s">
        <v>1194</v>
      </c>
      <c r="G12" t="s">
        <v>1223</v>
      </c>
      <c r="H12" t="str">
        <f>IF(NOT(ISERROR(FIND("NoICP",Modded_AMF_Table[[#This Row],[GL_ICP]]))),"",Modded_AMF_Table[[#This Row],[GL_ICP]])</f>
        <v/>
      </c>
      <c r="I12" t="s">
        <v>1212</v>
      </c>
      <c r="J12" t="s">
        <v>1225</v>
      </c>
      <c r="K12" t="str">
        <f>IFERROR(VLOOKUP(VALUE(Modded_AMF_Table[[#This Row],[GL_PC]]),BNS_Profit_Centers[],2,FALSE),"TE")</f>
        <v>TE</v>
      </c>
      <c r="L12" t="s">
        <v>1225</v>
      </c>
      <c r="M12" t="s">
        <v>1221</v>
      </c>
      <c r="N12" t="s">
        <v>1214</v>
      </c>
      <c r="O12" s="33">
        <v>0.01</v>
      </c>
    </row>
    <row r="13" spans="1:15" x14ac:dyDescent="0.25">
      <c r="A13" t="s">
        <v>323</v>
      </c>
      <c r="B13" t="s">
        <v>1226</v>
      </c>
      <c r="C13" t="s">
        <v>323</v>
      </c>
      <c r="D13" t="str">
        <f>VLOOKUP(Modded_AMF_Table[[#This Row],[HFM_Account]],HFM_Acct_OCF_Activity[],3,FALSE)</f>
        <v>Indirect</v>
      </c>
      <c r="E13" t="s">
        <v>1210</v>
      </c>
      <c r="F13" t="s">
        <v>1194</v>
      </c>
      <c r="G13" t="s">
        <v>1227</v>
      </c>
      <c r="H13" t="str">
        <f>IF(NOT(ISERROR(FIND("NoICP",Modded_AMF_Table[[#This Row],[GL_ICP]]))),"",Modded_AMF_Table[[#This Row],[GL_ICP]])</f>
        <v/>
      </c>
      <c r="I13" t="s">
        <v>1212</v>
      </c>
      <c r="J13" t="s">
        <v>1213</v>
      </c>
      <c r="K13" t="str">
        <f>IFERROR(VLOOKUP(VALUE(Modded_AMF_Table[[#This Row],[GL_PC]]),BNS_Profit_Centers[],2,FALSE),"TE")</f>
        <v>TE</v>
      </c>
      <c r="L13" t="s">
        <v>1213</v>
      </c>
      <c r="M13" t="s">
        <v>323</v>
      </c>
      <c r="N13" t="s">
        <v>1214</v>
      </c>
      <c r="O13" s="33">
        <v>17867.580000000002</v>
      </c>
    </row>
    <row r="14" spans="1:15" x14ac:dyDescent="0.25">
      <c r="A14" t="s">
        <v>325</v>
      </c>
      <c r="B14" t="s">
        <v>1228</v>
      </c>
      <c r="C14" t="s">
        <v>325</v>
      </c>
      <c r="D14" t="str">
        <f>VLOOKUP(Modded_AMF_Table[[#This Row],[HFM_Account]],HFM_Acct_OCF_Activity[],3,FALSE)</f>
        <v>Indirect</v>
      </c>
      <c r="E14" t="s">
        <v>1210</v>
      </c>
      <c r="F14" t="s">
        <v>1194</v>
      </c>
      <c r="G14" t="s">
        <v>1229</v>
      </c>
      <c r="H14" t="str">
        <f>IF(NOT(ISERROR(FIND("NoICP",Modded_AMF_Table[[#This Row],[GL_ICP]]))),"",Modded_AMF_Table[[#This Row],[GL_ICP]])</f>
        <v/>
      </c>
      <c r="I14" t="s">
        <v>1212</v>
      </c>
      <c r="J14" t="s">
        <v>1213</v>
      </c>
      <c r="K14" t="str">
        <f>IFERROR(VLOOKUP(VALUE(Modded_AMF_Table[[#This Row],[GL_PC]]),BNS_Profit_Centers[],2,FALSE),"TE")</f>
        <v>TE</v>
      </c>
      <c r="L14" t="s">
        <v>1213</v>
      </c>
      <c r="M14" t="s">
        <v>325</v>
      </c>
      <c r="N14" t="s">
        <v>1214</v>
      </c>
      <c r="O14" s="33">
        <v>19192.66</v>
      </c>
    </row>
    <row r="15" spans="1:15" x14ac:dyDescent="0.25">
      <c r="A15" t="s">
        <v>1230</v>
      </c>
      <c r="B15" t="s">
        <v>1231</v>
      </c>
      <c r="C15" t="s">
        <v>329</v>
      </c>
      <c r="D15" t="str">
        <f>VLOOKUP(Modded_AMF_Table[[#This Row],[HFM_Account]],HFM_Acct_OCF_Activity[],3,FALSE)</f>
        <v>Indirect</v>
      </c>
      <c r="E15" t="s">
        <v>1210</v>
      </c>
      <c r="F15" t="s">
        <v>1194</v>
      </c>
      <c r="G15" t="s">
        <v>1232</v>
      </c>
      <c r="H15" t="str">
        <f>IF(NOT(ISERROR(FIND("NoICP",Modded_AMF_Table[[#This Row],[GL_ICP]]))),"",Modded_AMF_Table[[#This Row],[GL_ICP]])</f>
        <v/>
      </c>
      <c r="I15" t="s">
        <v>1212</v>
      </c>
      <c r="J15" t="s">
        <v>1213</v>
      </c>
      <c r="K15" t="str">
        <f>IFERROR(VLOOKUP(VALUE(Modded_AMF_Table[[#This Row],[GL_PC]]),BNS_Profit_Centers[],2,FALSE),"TE")</f>
        <v>TE</v>
      </c>
      <c r="L15" t="s">
        <v>1213</v>
      </c>
      <c r="M15" t="s">
        <v>1230</v>
      </c>
      <c r="N15" t="s">
        <v>1214</v>
      </c>
      <c r="O15" s="33">
        <v>11856.61</v>
      </c>
    </row>
    <row r="16" spans="1:15" x14ac:dyDescent="0.25">
      <c r="A16" t="s">
        <v>1233</v>
      </c>
      <c r="B16" t="s">
        <v>1234</v>
      </c>
      <c r="C16" t="s">
        <v>329</v>
      </c>
      <c r="D16" t="str">
        <f>VLOOKUP(Modded_AMF_Table[[#This Row],[HFM_Account]],HFM_Acct_OCF_Activity[],3,FALSE)</f>
        <v>Indirect</v>
      </c>
      <c r="E16" t="s">
        <v>1210</v>
      </c>
      <c r="F16" t="s">
        <v>1194</v>
      </c>
      <c r="G16" t="s">
        <v>1235</v>
      </c>
      <c r="H16" t="str">
        <f>IF(NOT(ISERROR(FIND("NoICP",Modded_AMF_Table[[#This Row],[GL_ICP]]))),"",Modded_AMF_Table[[#This Row],[GL_ICP]])</f>
        <v/>
      </c>
      <c r="I16" t="s">
        <v>1212</v>
      </c>
      <c r="J16" t="s">
        <v>1213</v>
      </c>
      <c r="K16" t="str">
        <f>IFERROR(VLOOKUP(VALUE(Modded_AMF_Table[[#This Row],[GL_PC]]),BNS_Profit_Centers[],2,FALSE),"TE")</f>
        <v>TE</v>
      </c>
      <c r="L16" t="s">
        <v>1213</v>
      </c>
      <c r="M16" t="s">
        <v>1233</v>
      </c>
      <c r="N16" t="s">
        <v>1214</v>
      </c>
      <c r="O16" s="33">
        <v>9270</v>
      </c>
    </row>
    <row r="17" spans="1:15" x14ac:dyDescent="0.25">
      <c r="A17" t="s">
        <v>1236</v>
      </c>
      <c r="B17" t="s">
        <v>1237</v>
      </c>
      <c r="C17" t="s">
        <v>329</v>
      </c>
      <c r="D17" t="str">
        <f>VLOOKUP(Modded_AMF_Table[[#This Row],[HFM_Account]],HFM_Acct_OCF_Activity[],3,FALSE)</f>
        <v>Indirect</v>
      </c>
      <c r="E17" t="s">
        <v>1210</v>
      </c>
      <c r="F17" t="s">
        <v>1194</v>
      </c>
      <c r="G17" t="s">
        <v>1238</v>
      </c>
      <c r="H17" t="str">
        <f>IF(NOT(ISERROR(FIND("NoICP",Modded_AMF_Table[[#This Row],[GL_ICP]]))),"",Modded_AMF_Table[[#This Row],[GL_ICP]])</f>
        <v/>
      </c>
      <c r="I17" t="s">
        <v>1212</v>
      </c>
      <c r="J17" t="s">
        <v>1213</v>
      </c>
      <c r="K17" t="str">
        <f>IFERROR(VLOOKUP(VALUE(Modded_AMF_Table[[#This Row],[GL_PC]]),BNS_Profit_Centers[],2,FALSE),"TE")</f>
        <v>TE</v>
      </c>
      <c r="L17" t="s">
        <v>1213</v>
      </c>
      <c r="M17" t="s">
        <v>1236</v>
      </c>
      <c r="N17" t="s">
        <v>1214</v>
      </c>
      <c r="O17" s="33">
        <v>6362.35</v>
      </c>
    </row>
    <row r="18" spans="1:15" x14ac:dyDescent="0.25">
      <c r="A18" t="s">
        <v>1239</v>
      </c>
      <c r="B18" t="s">
        <v>1240</v>
      </c>
      <c r="C18" t="s">
        <v>329</v>
      </c>
      <c r="D18" t="str">
        <f>VLOOKUP(Modded_AMF_Table[[#This Row],[HFM_Account]],HFM_Acct_OCF_Activity[],3,FALSE)</f>
        <v>Indirect</v>
      </c>
      <c r="E18" t="s">
        <v>1210</v>
      </c>
      <c r="F18" t="s">
        <v>1194</v>
      </c>
      <c r="G18" t="s">
        <v>1241</v>
      </c>
      <c r="H18" t="str">
        <f>IF(NOT(ISERROR(FIND("NoICP",Modded_AMF_Table[[#This Row],[GL_ICP]]))),"",Modded_AMF_Table[[#This Row],[GL_ICP]])</f>
        <v/>
      </c>
      <c r="I18" t="s">
        <v>1212</v>
      </c>
      <c r="J18" t="s">
        <v>1213</v>
      </c>
      <c r="K18" t="str">
        <f>IFERROR(VLOOKUP(VALUE(Modded_AMF_Table[[#This Row],[GL_PC]]),BNS_Profit_Centers[],2,FALSE),"TE")</f>
        <v>TE</v>
      </c>
      <c r="L18" t="s">
        <v>1213</v>
      </c>
      <c r="M18" t="s">
        <v>1239</v>
      </c>
      <c r="N18" t="s">
        <v>1214</v>
      </c>
      <c r="O18" s="33">
        <v>32152.16</v>
      </c>
    </row>
    <row r="19" spans="1:15" x14ac:dyDescent="0.25">
      <c r="A19" t="s">
        <v>1242</v>
      </c>
      <c r="B19" t="s">
        <v>1243</v>
      </c>
      <c r="C19" t="s">
        <v>365</v>
      </c>
      <c r="D19" t="str">
        <f>VLOOKUP(Modded_AMF_Table[[#This Row],[HFM_Account]],HFM_Acct_OCF_Activity[],3,FALSE)</f>
        <v>Indirect</v>
      </c>
      <c r="E19" t="s">
        <v>1210</v>
      </c>
      <c r="F19" t="s">
        <v>1194</v>
      </c>
      <c r="G19" t="s">
        <v>1244</v>
      </c>
      <c r="H19" t="str">
        <f>IF(NOT(ISERROR(FIND("NoICP",Modded_AMF_Table[[#This Row],[GL_ICP]]))),"",Modded_AMF_Table[[#This Row],[GL_ICP]])</f>
        <v/>
      </c>
      <c r="I19" t="s">
        <v>1212</v>
      </c>
      <c r="J19" t="s">
        <v>1213</v>
      </c>
      <c r="K19" t="str">
        <f>IFERROR(VLOOKUP(VALUE(Modded_AMF_Table[[#This Row],[GL_PC]]),BNS_Profit_Centers[],2,FALSE),"TE")</f>
        <v>TE</v>
      </c>
      <c r="L19" t="s">
        <v>1213</v>
      </c>
      <c r="M19" t="s">
        <v>1242</v>
      </c>
      <c r="N19" t="s">
        <v>1214</v>
      </c>
      <c r="O19" s="33">
        <v>5859.81</v>
      </c>
    </row>
    <row r="20" spans="1:15" x14ac:dyDescent="0.25">
      <c r="A20" t="s">
        <v>399</v>
      </c>
      <c r="B20" t="s">
        <v>1245</v>
      </c>
      <c r="C20" t="s">
        <v>399</v>
      </c>
      <c r="D20" t="str">
        <f>VLOOKUP(Modded_AMF_Table[[#This Row],[HFM_Account]],HFM_Acct_OCF_Activity[],3,FALSE)</f>
        <v>Exclude</v>
      </c>
      <c r="E20" t="s">
        <v>1210</v>
      </c>
      <c r="F20" t="s">
        <v>1194</v>
      </c>
      <c r="G20" t="s">
        <v>1246</v>
      </c>
      <c r="H20" t="str">
        <f>IF(NOT(ISERROR(FIND("NoICP",Modded_AMF_Table[[#This Row],[GL_ICP]]))),"",Modded_AMF_Table[[#This Row],[GL_ICP]])</f>
        <v/>
      </c>
      <c r="I20" t="s">
        <v>1212</v>
      </c>
      <c r="J20" t="s">
        <v>1213</v>
      </c>
      <c r="K20" t="str">
        <f>IFERROR(VLOOKUP(VALUE(Modded_AMF_Table[[#This Row],[GL_PC]]),BNS_Profit_Centers[],2,FALSE),"TE")</f>
        <v>TE</v>
      </c>
      <c r="L20" t="s">
        <v>1213</v>
      </c>
      <c r="M20" t="s">
        <v>399</v>
      </c>
      <c r="N20" t="s">
        <v>1214</v>
      </c>
      <c r="O20" s="33">
        <v>52417</v>
      </c>
    </row>
    <row r="21" spans="1:15" x14ac:dyDescent="0.25">
      <c r="A21" t="s">
        <v>1247</v>
      </c>
      <c r="B21" t="s">
        <v>1248</v>
      </c>
      <c r="C21" t="s">
        <v>477</v>
      </c>
      <c r="D21" t="str">
        <f>VLOOKUP(Modded_AMF_Table[[#This Row],[HFM_Account]],HFM_Acct_OCF_Activity[],3,FALSE)</f>
        <v>Exclude</v>
      </c>
      <c r="E21" t="s">
        <v>1210</v>
      </c>
      <c r="F21" t="s">
        <v>1194</v>
      </c>
      <c r="G21" t="s">
        <v>1249</v>
      </c>
      <c r="H21" t="str">
        <f>IF(NOT(ISERROR(FIND("NoICP",Modded_AMF_Table[[#This Row],[GL_ICP]]))),"",Modded_AMF_Table[[#This Row],[GL_ICP]])</f>
        <v>ZZ1797</v>
      </c>
      <c r="I21" t="s">
        <v>1250</v>
      </c>
      <c r="J21" t="s">
        <v>1213</v>
      </c>
      <c r="K21" t="str">
        <f>IFERROR(VLOOKUP(VALUE(Modded_AMF_Table[[#This Row],[GL_PC]]),BNS_Profit_Centers[],2,FALSE),"TE")</f>
        <v>TE</v>
      </c>
      <c r="L21" t="s">
        <v>1213</v>
      </c>
      <c r="M21" t="s">
        <v>1247</v>
      </c>
      <c r="N21" t="s">
        <v>1214</v>
      </c>
      <c r="O21" s="33">
        <v>3190081.38</v>
      </c>
    </row>
    <row r="22" spans="1:15" x14ac:dyDescent="0.25">
      <c r="A22" t="s">
        <v>387</v>
      </c>
      <c r="B22" t="s">
        <v>1251</v>
      </c>
      <c r="C22" t="s">
        <v>387</v>
      </c>
      <c r="D22" t="str">
        <f>VLOOKUP(Modded_AMF_Table[[#This Row],[HFM_Account]],HFM_Acct_OCF_Activity[],3,FALSE)</f>
        <v>Exclude</v>
      </c>
      <c r="E22" t="s">
        <v>1210</v>
      </c>
      <c r="F22" t="s">
        <v>1194</v>
      </c>
      <c r="G22" t="s">
        <v>1252</v>
      </c>
      <c r="H22" t="str">
        <f>IF(NOT(ISERROR(FIND("NoICP",Modded_AMF_Table[[#This Row],[GL_ICP]]))),"",Modded_AMF_Table[[#This Row],[GL_ICP]])</f>
        <v>ZZ1151</v>
      </c>
      <c r="I22" t="s">
        <v>1253</v>
      </c>
      <c r="J22" t="s">
        <v>1213</v>
      </c>
      <c r="K22" t="str">
        <f>IFERROR(VLOOKUP(VALUE(Modded_AMF_Table[[#This Row],[GL_PC]]),BNS_Profit_Centers[],2,FALSE),"TE")</f>
        <v>TE</v>
      </c>
      <c r="L22" t="s">
        <v>1213</v>
      </c>
      <c r="M22" t="s">
        <v>387</v>
      </c>
      <c r="N22" t="s">
        <v>1214</v>
      </c>
      <c r="O22" s="33">
        <v>777400</v>
      </c>
    </row>
    <row r="23" spans="1:15" x14ac:dyDescent="0.25">
      <c r="A23" t="s">
        <v>899</v>
      </c>
      <c r="B23" t="s">
        <v>412</v>
      </c>
      <c r="C23" t="s">
        <v>411</v>
      </c>
      <c r="D23" t="str">
        <f>VLOOKUP(Modded_AMF_Table[[#This Row],[HFM_Account]],HFM_Acct_OCF_Activity[],3,FALSE)</f>
        <v>Indirect</v>
      </c>
      <c r="E23" t="s">
        <v>1210</v>
      </c>
      <c r="F23" t="s">
        <v>1194</v>
      </c>
      <c r="G23" t="s">
        <v>1254</v>
      </c>
      <c r="H23" t="str">
        <f>IF(NOT(ISERROR(FIND("NoICP",Modded_AMF_Table[[#This Row],[GL_ICP]]))),"",Modded_AMF_Table[[#This Row],[GL_ICP]])</f>
        <v/>
      </c>
      <c r="I23" t="s">
        <v>1212</v>
      </c>
      <c r="J23" t="s">
        <v>1213</v>
      </c>
      <c r="K23" t="str">
        <f>IFERROR(VLOOKUP(VALUE(Modded_AMF_Table[[#This Row],[GL_PC]]),BNS_Profit_Centers[],2,FALSE),"TE")</f>
        <v>TE</v>
      </c>
      <c r="L23" t="s">
        <v>1213</v>
      </c>
      <c r="M23" t="s">
        <v>899</v>
      </c>
      <c r="N23" t="s">
        <v>1214</v>
      </c>
      <c r="O23" s="33">
        <v>132993.57</v>
      </c>
    </row>
    <row r="24" spans="1:15" x14ac:dyDescent="0.25">
      <c r="A24" t="s">
        <v>907</v>
      </c>
      <c r="B24" t="s">
        <v>1255</v>
      </c>
      <c r="C24" t="s">
        <v>415</v>
      </c>
      <c r="D24" t="str">
        <f>VLOOKUP(Modded_AMF_Table[[#This Row],[HFM_Account]],HFM_Acct_OCF_Activity[],3,FALSE)</f>
        <v>Indirect</v>
      </c>
      <c r="E24" t="s">
        <v>1210</v>
      </c>
      <c r="F24" t="s">
        <v>1194</v>
      </c>
      <c r="G24" t="s">
        <v>1256</v>
      </c>
      <c r="H24" t="str">
        <f>IF(NOT(ISERROR(FIND("NoICP",Modded_AMF_Table[[#This Row],[GL_ICP]]))),"",Modded_AMF_Table[[#This Row],[GL_ICP]])</f>
        <v/>
      </c>
      <c r="I24" t="s">
        <v>1212</v>
      </c>
      <c r="J24" t="s">
        <v>1213</v>
      </c>
      <c r="K24" t="str">
        <f>IFERROR(VLOOKUP(VALUE(Modded_AMF_Table[[#This Row],[GL_PC]]),BNS_Profit_Centers[],2,FALSE),"TE")</f>
        <v>TE</v>
      </c>
      <c r="L24" t="s">
        <v>1213</v>
      </c>
      <c r="M24" t="s">
        <v>907</v>
      </c>
      <c r="N24" t="s">
        <v>1214</v>
      </c>
      <c r="O24" s="33">
        <v>8513.2099999999991</v>
      </c>
    </row>
    <row r="25" spans="1:15" x14ac:dyDescent="0.25">
      <c r="A25" t="s">
        <v>913</v>
      </c>
      <c r="B25" t="s">
        <v>1257</v>
      </c>
      <c r="C25" t="s">
        <v>417</v>
      </c>
      <c r="D25" t="str">
        <f>VLOOKUP(Modded_AMF_Table[[#This Row],[HFM_Account]],HFM_Acct_OCF_Activity[],3,FALSE)</f>
        <v>Indirect</v>
      </c>
      <c r="E25" t="s">
        <v>1210</v>
      </c>
      <c r="F25" t="s">
        <v>1194</v>
      </c>
      <c r="G25" t="s">
        <v>1258</v>
      </c>
      <c r="H25" t="str">
        <f>IF(NOT(ISERROR(FIND("NoICP",Modded_AMF_Table[[#This Row],[GL_ICP]]))),"",Modded_AMF_Table[[#This Row],[GL_ICP]])</f>
        <v/>
      </c>
      <c r="I25" t="s">
        <v>1212</v>
      </c>
      <c r="J25" t="s">
        <v>1213</v>
      </c>
      <c r="K25" t="str">
        <f>IFERROR(VLOOKUP(VALUE(Modded_AMF_Table[[#This Row],[GL_PC]]),BNS_Profit_Centers[],2,FALSE),"TE")</f>
        <v>TE</v>
      </c>
      <c r="L25" t="s">
        <v>1213</v>
      </c>
      <c r="M25" t="s">
        <v>913</v>
      </c>
      <c r="N25" t="s">
        <v>1214</v>
      </c>
      <c r="O25" s="33">
        <v>110423.83</v>
      </c>
    </row>
    <row r="26" spans="1:15" x14ac:dyDescent="0.25">
      <c r="A26" t="s">
        <v>917</v>
      </c>
      <c r="B26" t="s">
        <v>1259</v>
      </c>
      <c r="C26" t="s">
        <v>421</v>
      </c>
      <c r="D26" t="str">
        <f>VLOOKUP(Modded_AMF_Table[[#This Row],[HFM_Account]],HFM_Acct_OCF_Activity[],3,FALSE)</f>
        <v>Indirect</v>
      </c>
      <c r="E26" t="s">
        <v>1210</v>
      </c>
      <c r="F26" t="s">
        <v>1194</v>
      </c>
      <c r="G26" t="s">
        <v>1260</v>
      </c>
      <c r="H26" t="str">
        <f>IF(NOT(ISERROR(FIND("NoICP",Modded_AMF_Table[[#This Row],[GL_ICP]]))),"",Modded_AMF_Table[[#This Row],[GL_ICP]])</f>
        <v/>
      </c>
      <c r="I26" t="s">
        <v>1212</v>
      </c>
      <c r="J26" t="s">
        <v>1213</v>
      </c>
      <c r="K26" t="str">
        <f>IFERROR(VLOOKUP(VALUE(Modded_AMF_Table[[#This Row],[GL_PC]]),BNS_Profit_Centers[],2,FALSE),"TE")</f>
        <v>TE</v>
      </c>
      <c r="L26" t="s">
        <v>1213</v>
      </c>
      <c r="M26" t="s">
        <v>917</v>
      </c>
      <c r="N26" t="s">
        <v>1214</v>
      </c>
      <c r="O26" s="33">
        <v>5131.92</v>
      </c>
    </row>
    <row r="27" spans="1:15" x14ac:dyDescent="0.25">
      <c r="A27" t="s">
        <v>429</v>
      </c>
      <c r="B27" t="s">
        <v>1261</v>
      </c>
      <c r="C27" t="s">
        <v>429</v>
      </c>
      <c r="D27" t="str">
        <f>VLOOKUP(Modded_AMF_Table[[#This Row],[HFM_Account]],HFM_Acct_OCF_Activity[],3,FALSE)</f>
        <v>Indirect</v>
      </c>
      <c r="E27" t="s">
        <v>1210</v>
      </c>
      <c r="F27" t="s">
        <v>1194</v>
      </c>
      <c r="G27" t="s">
        <v>1262</v>
      </c>
      <c r="H27" t="str">
        <f>IF(NOT(ISERROR(FIND("NoICP",Modded_AMF_Table[[#This Row],[GL_ICP]]))),"",Modded_AMF_Table[[#This Row],[GL_ICP]])</f>
        <v/>
      </c>
      <c r="I27" t="s">
        <v>1212</v>
      </c>
      <c r="J27" t="s">
        <v>1213</v>
      </c>
      <c r="K27" t="str">
        <f>IFERROR(VLOOKUP(VALUE(Modded_AMF_Table[[#This Row],[GL_PC]]),BNS_Profit_Centers[],2,FALSE),"TE")</f>
        <v>TE</v>
      </c>
      <c r="L27" t="s">
        <v>1213</v>
      </c>
      <c r="M27" t="s">
        <v>429</v>
      </c>
      <c r="N27" t="s">
        <v>1214</v>
      </c>
      <c r="O27" s="33">
        <v>-132993.57</v>
      </c>
    </row>
    <row r="28" spans="1:15" x14ac:dyDescent="0.25">
      <c r="A28" t="s">
        <v>928</v>
      </c>
      <c r="B28" t="s">
        <v>1263</v>
      </c>
      <c r="C28" t="s">
        <v>433</v>
      </c>
      <c r="D28" t="str">
        <f>VLOOKUP(Modded_AMF_Table[[#This Row],[HFM_Account]],HFM_Acct_OCF_Activity[],3,FALSE)</f>
        <v>Indirect</v>
      </c>
      <c r="E28" t="s">
        <v>1210</v>
      </c>
      <c r="F28" t="s">
        <v>1194</v>
      </c>
      <c r="G28" t="s">
        <v>1264</v>
      </c>
      <c r="H28" t="str">
        <f>IF(NOT(ISERROR(FIND("NoICP",Modded_AMF_Table[[#This Row],[GL_ICP]]))),"",Modded_AMF_Table[[#This Row],[GL_ICP]])</f>
        <v/>
      </c>
      <c r="I28" t="s">
        <v>1212</v>
      </c>
      <c r="J28" t="s">
        <v>1213</v>
      </c>
      <c r="K28" t="str">
        <f>IFERROR(VLOOKUP(VALUE(Modded_AMF_Table[[#This Row],[GL_PC]]),BNS_Profit_Centers[],2,FALSE),"TE")</f>
        <v>TE</v>
      </c>
      <c r="L28" t="s">
        <v>1213</v>
      </c>
      <c r="M28" t="s">
        <v>928</v>
      </c>
      <c r="N28" t="s">
        <v>1214</v>
      </c>
      <c r="O28" s="33">
        <v>-8513.2099999999991</v>
      </c>
    </row>
    <row r="29" spans="1:15" x14ac:dyDescent="0.25">
      <c r="A29" t="s">
        <v>932</v>
      </c>
      <c r="B29" t="s">
        <v>1265</v>
      </c>
      <c r="C29" t="s">
        <v>435</v>
      </c>
      <c r="D29" t="str">
        <f>VLOOKUP(Modded_AMF_Table[[#This Row],[HFM_Account]],HFM_Acct_OCF_Activity[],3,FALSE)</f>
        <v>Indirect</v>
      </c>
      <c r="E29" t="s">
        <v>1210</v>
      </c>
      <c r="F29" t="s">
        <v>1194</v>
      </c>
      <c r="G29" t="s">
        <v>1266</v>
      </c>
      <c r="H29" t="str">
        <f>IF(NOT(ISERROR(FIND("NoICP",Modded_AMF_Table[[#This Row],[GL_ICP]]))),"",Modded_AMF_Table[[#This Row],[GL_ICP]])</f>
        <v/>
      </c>
      <c r="I29" t="s">
        <v>1212</v>
      </c>
      <c r="J29" t="s">
        <v>1213</v>
      </c>
      <c r="K29" t="str">
        <f>IFERROR(VLOOKUP(VALUE(Modded_AMF_Table[[#This Row],[GL_PC]]),BNS_Profit_Centers[],2,FALSE),"TE")</f>
        <v>TE</v>
      </c>
      <c r="L29" t="s">
        <v>1213</v>
      </c>
      <c r="M29" t="s">
        <v>932</v>
      </c>
      <c r="N29" t="s">
        <v>1214</v>
      </c>
      <c r="O29" s="33">
        <v>-104276.83</v>
      </c>
    </row>
    <row r="30" spans="1:15" x14ac:dyDescent="0.25">
      <c r="A30" t="s">
        <v>936</v>
      </c>
      <c r="B30" t="s">
        <v>1267</v>
      </c>
      <c r="C30" t="s">
        <v>439</v>
      </c>
      <c r="D30" t="str">
        <f>VLOOKUP(Modded_AMF_Table[[#This Row],[HFM_Account]],HFM_Acct_OCF_Activity[],3,FALSE)</f>
        <v>Indirect</v>
      </c>
      <c r="E30" t="s">
        <v>1210</v>
      </c>
      <c r="F30" t="s">
        <v>1194</v>
      </c>
      <c r="G30" t="s">
        <v>1268</v>
      </c>
      <c r="H30" t="str">
        <f>IF(NOT(ISERROR(FIND("NoICP",Modded_AMF_Table[[#This Row],[GL_ICP]]))),"",Modded_AMF_Table[[#This Row],[GL_ICP]])</f>
        <v/>
      </c>
      <c r="I30" t="s">
        <v>1212</v>
      </c>
      <c r="J30" t="s">
        <v>1213</v>
      </c>
      <c r="K30" t="str">
        <f>IFERROR(VLOOKUP(VALUE(Modded_AMF_Table[[#This Row],[GL_PC]]),BNS_Profit_Centers[],2,FALSE),"TE")</f>
        <v>TE</v>
      </c>
      <c r="L30" t="s">
        <v>1213</v>
      </c>
      <c r="M30" t="s">
        <v>936</v>
      </c>
      <c r="N30" t="s">
        <v>1214</v>
      </c>
      <c r="O30" s="33">
        <v>-5131.92</v>
      </c>
    </row>
    <row r="31" spans="1:15" x14ac:dyDescent="0.25">
      <c r="A31" t="s">
        <v>515</v>
      </c>
      <c r="B31" t="s">
        <v>516</v>
      </c>
      <c r="C31" t="s">
        <v>515</v>
      </c>
      <c r="D31" t="str">
        <f>VLOOKUP(Modded_AMF_Table[[#This Row],[HFM_Account]],HFM_Acct_OCF_Activity[],3,FALSE)</f>
        <v>Indirect</v>
      </c>
      <c r="E31" t="s">
        <v>1210</v>
      </c>
      <c r="F31" t="s">
        <v>1194</v>
      </c>
      <c r="G31" t="s">
        <v>1269</v>
      </c>
      <c r="H31" t="str">
        <f>IF(NOT(ISERROR(FIND("NoICP",Modded_AMF_Table[[#This Row],[GL_ICP]]))),"",Modded_AMF_Table[[#This Row],[GL_ICP]])</f>
        <v/>
      </c>
      <c r="I31" t="s">
        <v>1212</v>
      </c>
      <c r="J31" t="s">
        <v>1213</v>
      </c>
      <c r="K31" t="str">
        <f>IFERROR(VLOOKUP(VALUE(Modded_AMF_Table[[#This Row],[GL_PC]]),BNS_Profit_Centers[],2,FALSE),"TE")</f>
        <v>TE</v>
      </c>
      <c r="L31" t="s">
        <v>1213</v>
      </c>
      <c r="M31" t="s">
        <v>515</v>
      </c>
      <c r="N31" t="s">
        <v>1214</v>
      </c>
      <c r="O31" s="33">
        <v>-28850.37</v>
      </c>
    </row>
    <row r="32" spans="1:15" x14ac:dyDescent="0.25">
      <c r="A32" t="s">
        <v>1148</v>
      </c>
      <c r="B32" t="s">
        <v>1270</v>
      </c>
      <c r="C32" t="s">
        <v>515</v>
      </c>
      <c r="D32" t="str">
        <f>VLOOKUP(Modded_AMF_Table[[#This Row],[HFM_Account]],HFM_Acct_OCF_Activity[],3,FALSE)</f>
        <v>Indirect</v>
      </c>
      <c r="E32" t="s">
        <v>1210</v>
      </c>
      <c r="F32" t="s">
        <v>1194</v>
      </c>
      <c r="G32" t="s">
        <v>1271</v>
      </c>
      <c r="H32" t="str">
        <f>IF(NOT(ISERROR(FIND("NoICP",Modded_AMF_Table[[#This Row],[GL_ICP]]))),"",Modded_AMF_Table[[#This Row],[GL_ICP]])</f>
        <v/>
      </c>
      <c r="I32" t="s">
        <v>1212</v>
      </c>
      <c r="J32" t="s">
        <v>1213</v>
      </c>
      <c r="K32" t="str">
        <f>IFERROR(VLOOKUP(VALUE(Modded_AMF_Table[[#This Row],[GL_PC]]),BNS_Profit_Centers[],2,FALSE),"TE")</f>
        <v>TE</v>
      </c>
      <c r="L32" t="s">
        <v>1213</v>
      </c>
      <c r="M32" t="s">
        <v>1148</v>
      </c>
      <c r="N32" t="s">
        <v>1214</v>
      </c>
      <c r="O32" s="33">
        <v>-1166.6500000000001</v>
      </c>
    </row>
    <row r="33" spans="1:15" x14ac:dyDescent="0.25">
      <c r="A33" t="s">
        <v>1149</v>
      </c>
      <c r="B33" t="s">
        <v>1272</v>
      </c>
      <c r="C33" t="s">
        <v>517</v>
      </c>
      <c r="D33" t="str">
        <f>VLOOKUP(Modded_AMF_Table[[#This Row],[HFM_Account]],HFM_Acct_OCF_Activity[],3,FALSE)</f>
        <v>Indirect</v>
      </c>
      <c r="E33" t="s">
        <v>1210</v>
      </c>
      <c r="F33" t="s">
        <v>1194</v>
      </c>
      <c r="G33" t="s">
        <v>1273</v>
      </c>
      <c r="H33" t="str">
        <f>IF(NOT(ISERROR(FIND("NoICP",Modded_AMF_Table[[#This Row],[GL_ICP]]))),"",Modded_AMF_Table[[#This Row],[GL_ICP]])</f>
        <v/>
      </c>
      <c r="I33" t="s">
        <v>1212</v>
      </c>
      <c r="J33" t="s">
        <v>1213</v>
      </c>
      <c r="K33" t="str">
        <f>IFERROR(VLOOKUP(VALUE(Modded_AMF_Table[[#This Row],[GL_PC]]),BNS_Profit_Centers[],2,FALSE),"TE")</f>
        <v>TE</v>
      </c>
      <c r="L33" t="s">
        <v>1213</v>
      </c>
      <c r="M33" t="s">
        <v>1149</v>
      </c>
      <c r="N33" t="s">
        <v>1214</v>
      </c>
      <c r="O33" s="33">
        <v>-18666.2</v>
      </c>
    </row>
    <row r="34" spans="1:15" x14ac:dyDescent="0.25">
      <c r="A34" t="s">
        <v>1274</v>
      </c>
      <c r="B34" t="s">
        <v>1275</v>
      </c>
      <c r="C34" t="s">
        <v>517</v>
      </c>
      <c r="D34" t="str">
        <f>VLOOKUP(Modded_AMF_Table[[#This Row],[HFM_Account]],HFM_Acct_OCF_Activity[],3,FALSE)</f>
        <v>Indirect</v>
      </c>
      <c r="E34" t="s">
        <v>1210</v>
      </c>
      <c r="F34" t="s">
        <v>1194</v>
      </c>
      <c r="G34" t="s">
        <v>1276</v>
      </c>
      <c r="H34" t="str">
        <f>IF(NOT(ISERROR(FIND("NoICP",Modded_AMF_Table[[#This Row],[GL_ICP]]))),"",Modded_AMF_Table[[#This Row],[GL_ICP]])</f>
        <v/>
      </c>
      <c r="I34" t="s">
        <v>1212</v>
      </c>
      <c r="J34" t="s">
        <v>1213</v>
      </c>
      <c r="K34" t="str">
        <f>IFERROR(VLOOKUP(VALUE(Modded_AMF_Table[[#This Row],[GL_PC]]),BNS_Profit_Centers[],2,FALSE),"TE")</f>
        <v>TE</v>
      </c>
      <c r="L34" t="s">
        <v>1213</v>
      </c>
      <c r="M34" t="s">
        <v>1274</v>
      </c>
      <c r="N34" t="s">
        <v>1214</v>
      </c>
      <c r="O34" s="33">
        <v>18666.2</v>
      </c>
    </row>
    <row r="35" spans="1:15" x14ac:dyDescent="0.25">
      <c r="A35" t="s">
        <v>639</v>
      </c>
      <c r="B35" t="s">
        <v>1277</v>
      </c>
      <c r="C35" t="s">
        <v>639</v>
      </c>
      <c r="D35" t="str">
        <f>VLOOKUP(Modded_AMF_Table[[#This Row],[HFM_Account]],HFM_Acct_OCF_Activity[],3,FALSE)</f>
        <v>Intercompany</v>
      </c>
      <c r="E35" t="s">
        <v>1210</v>
      </c>
      <c r="F35" t="s">
        <v>1194</v>
      </c>
      <c r="G35" t="s">
        <v>1217</v>
      </c>
      <c r="H35" t="str">
        <f>IF(NOT(ISERROR(FIND("NoICP",Modded_AMF_Table[[#This Row],[GL_ICP]]))),"",Modded_AMF_Table[[#This Row],[GL_ICP]])</f>
        <v>ZZ0048</v>
      </c>
      <c r="I35" t="s">
        <v>1218</v>
      </c>
      <c r="J35" t="s">
        <v>1213</v>
      </c>
      <c r="K35" t="str">
        <f>IFERROR(VLOOKUP(VALUE(Modded_AMF_Table[[#This Row],[GL_PC]]),BNS_Profit_Centers[],2,FALSE),"TE")</f>
        <v>TE</v>
      </c>
      <c r="L35" t="s">
        <v>1213</v>
      </c>
      <c r="M35" t="s">
        <v>639</v>
      </c>
      <c r="N35" t="s">
        <v>1214</v>
      </c>
      <c r="O35" s="33">
        <v>-7210.59</v>
      </c>
    </row>
    <row r="36" spans="1:15" x14ac:dyDescent="0.25">
      <c r="A36" t="s">
        <v>639</v>
      </c>
      <c r="B36" t="s">
        <v>1277</v>
      </c>
      <c r="C36" t="s">
        <v>639</v>
      </c>
      <c r="D36" t="str">
        <f>VLOOKUP(Modded_AMF_Table[[#This Row],[HFM_Account]],HFM_Acct_OCF_Activity[],3,FALSE)</f>
        <v>Intercompany</v>
      </c>
      <c r="E36" t="s">
        <v>1210</v>
      </c>
      <c r="F36" t="s">
        <v>1194</v>
      </c>
      <c r="G36" t="s">
        <v>1252</v>
      </c>
      <c r="H36" t="str">
        <f>IF(NOT(ISERROR(FIND("NoICP",Modded_AMF_Table[[#This Row],[GL_ICP]]))),"",Modded_AMF_Table[[#This Row],[GL_ICP]])</f>
        <v>ZZ1151</v>
      </c>
      <c r="I36" t="s">
        <v>1253</v>
      </c>
      <c r="J36" t="s">
        <v>1213</v>
      </c>
      <c r="K36" t="str">
        <f>IFERROR(VLOOKUP(VALUE(Modded_AMF_Table[[#This Row],[GL_PC]]),BNS_Profit_Centers[],2,FALSE),"TE")</f>
        <v>TE</v>
      </c>
      <c r="L36" t="s">
        <v>1213</v>
      </c>
      <c r="M36" t="s">
        <v>639</v>
      </c>
      <c r="N36" t="s">
        <v>1214</v>
      </c>
      <c r="O36" s="33">
        <v>-390.15</v>
      </c>
    </row>
    <row r="37" spans="1:15" x14ac:dyDescent="0.25">
      <c r="A37" t="s">
        <v>639</v>
      </c>
      <c r="B37" t="s">
        <v>1277</v>
      </c>
      <c r="C37" t="s">
        <v>639</v>
      </c>
      <c r="D37" t="str">
        <f>VLOOKUP(Modded_AMF_Table[[#This Row],[HFM_Account]],HFM_Acct_OCF_Activity[],3,FALSE)</f>
        <v>Intercompany</v>
      </c>
      <c r="E37" t="s">
        <v>1210</v>
      </c>
      <c r="F37" t="s">
        <v>1194</v>
      </c>
      <c r="G37" t="s">
        <v>1278</v>
      </c>
      <c r="H37" t="str">
        <f>IF(NOT(ISERROR(FIND("NoICP",Modded_AMF_Table[[#This Row],[GL_ICP]]))),"",Modded_AMF_Table[[#This Row],[GL_ICP]])</f>
        <v>ZZ1798</v>
      </c>
      <c r="I37" t="s">
        <v>1279</v>
      </c>
      <c r="J37" t="s">
        <v>1213</v>
      </c>
      <c r="K37" t="str">
        <f>IFERROR(VLOOKUP(VALUE(Modded_AMF_Table[[#This Row],[GL_PC]]),BNS_Profit_Centers[],2,FALSE),"TE")</f>
        <v>TE</v>
      </c>
      <c r="L37" t="s">
        <v>1213</v>
      </c>
      <c r="M37" t="s">
        <v>639</v>
      </c>
      <c r="N37" t="s">
        <v>1214</v>
      </c>
      <c r="O37" s="33">
        <v>-8970.83</v>
      </c>
    </row>
    <row r="38" spans="1:15" x14ac:dyDescent="0.25">
      <c r="A38" t="s">
        <v>1280</v>
      </c>
      <c r="B38" t="s">
        <v>1281</v>
      </c>
      <c r="C38" t="s">
        <v>639</v>
      </c>
      <c r="D38" t="str">
        <f>VLOOKUP(Modded_AMF_Table[[#This Row],[HFM_Account]],HFM_Acct_OCF_Activity[],3,FALSE)</f>
        <v>Intercompany</v>
      </c>
      <c r="E38" t="s">
        <v>1210</v>
      </c>
      <c r="F38" t="s">
        <v>1194</v>
      </c>
      <c r="G38" t="s">
        <v>1217</v>
      </c>
      <c r="H38" t="str">
        <f>IF(NOT(ISERROR(FIND("NoICP",Modded_AMF_Table[[#This Row],[GL_ICP]]))),"",Modded_AMF_Table[[#This Row],[GL_ICP]])</f>
        <v>ZZ0048</v>
      </c>
      <c r="I38" t="s">
        <v>1218</v>
      </c>
      <c r="J38" t="s">
        <v>1213</v>
      </c>
      <c r="K38" t="str">
        <f>IFERROR(VLOOKUP(VALUE(Modded_AMF_Table[[#This Row],[GL_PC]]),BNS_Profit_Centers[],2,FALSE),"TE")</f>
        <v>TE</v>
      </c>
      <c r="L38" t="s">
        <v>1213</v>
      </c>
      <c r="M38" t="s">
        <v>1280</v>
      </c>
      <c r="N38" t="s">
        <v>1214</v>
      </c>
      <c r="O38" s="33">
        <v>149.16999999999999</v>
      </c>
    </row>
    <row r="39" spans="1:15" x14ac:dyDescent="0.25">
      <c r="A39" t="s">
        <v>1280</v>
      </c>
      <c r="B39" t="s">
        <v>1281</v>
      </c>
      <c r="C39" t="s">
        <v>639</v>
      </c>
      <c r="D39" t="str">
        <f>VLOOKUP(Modded_AMF_Table[[#This Row],[HFM_Account]],HFM_Acct_OCF_Activity[],3,FALSE)</f>
        <v>Intercompany</v>
      </c>
      <c r="E39" t="s">
        <v>1210</v>
      </c>
      <c r="F39" t="s">
        <v>1194</v>
      </c>
      <c r="G39" t="s">
        <v>1278</v>
      </c>
      <c r="H39" t="str">
        <f>IF(NOT(ISERROR(FIND("NoICP",Modded_AMF_Table[[#This Row],[GL_ICP]]))),"",Modded_AMF_Table[[#This Row],[GL_ICP]])</f>
        <v>ZZ1798</v>
      </c>
      <c r="I39" t="s">
        <v>1279</v>
      </c>
      <c r="J39" t="s">
        <v>1213</v>
      </c>
      <c r="K39" t="str">
        <f>IFERROR(VLOOKUP(VALUE(Modded_AMF_Table[[#This Row],[GL_PC]]),BNS_Profit_Centers[],2,FALSE),"TE")</f>
        <v>TE</v>
      </c>
      <c r="L39" t="s">
        <v>1213</v>
      </c>
      <c r="M39" t="s">
        <v>1280</v>
      </c>
      <c r="N39" t="s">
        <v>1214</v>
      </c>
      <c r="O39" s="33">
        <v>-77.53</v>
      </c>
    </row>
    <row r="40" spans="1:15" x14ac:dyDescent="0.25">
      <c r="A40" t="s">
        <v>1282</v>
      </c>
      <c r="B40" t="s">
        <v>1283</v>
      </c>
      <c r="C40" t="s">
        <v>585</v>
      </c>
      <c r="D40" t="str">
        <f>VLOOKUP(Modded_AMF_Table[[#This Row],[HFM_Account]],HFM_Acct_OCF_Activity[],3,FALSE)</f>
        <v>Indirect</v>
      </c>
      <c r="E40" t="s">
        <v>1210</v>
      </c>
      <c r="F40" t="s">
        <v>1194</v>
      </c>
      <c r="G40" t="s">
        <v>1284</v>
      </c>
      <c r="H40" t="str">
        <f>IF(NOT(ISERROR(FIND("NoICP",Modded_AMF_Table[[#This Row],[GL_ICP]]))),"",Modded_AMF_Table[[#This Row],[GL_ICP]])</f>
        <v/>
      </c>
      <c r="I40" t="s">
        <v>1212</v>
      </c>
      <c r="J40" t="s">
        <v>1213</v>
      </c>
      <c r="K40" t="str">
        <f>IFERROR(VLOOKUP(VALUE(Modded_AMF_Table[[#This Row],[GL_PC]]),BNS_Profit_Centers[],2,FALSE),"TE")</f>
        <v>TE</v>
      </c>
      <c r="L40" t="s">
        <v>1213</v>
      </c>
      <c r="M40" t="s">
        <v>1282</v>
      </c>
      <c r="N40" t="s">
        <v>1214</v>
      </c>
      <c r="O40" s="33">
        <v>-47800</v>
      </c>
    </row>
    <row r="41" spans="1:15" x14ac:dyDescent="0.25">
      <c r="A41" t="s">
        <v>1285</v>
      </c>
      <c r="B41" t="s">
        <v>1286</v>
      </c>
      <c r="C41" t="s">
        <v>527</v>
      </c>
      <c r="D41" t="str">
        <f>VLOOKUP(Modded_AMF_Table[[#This Row],[HFM_Account]],HFM_Acct_OCF_Activity[],3,FALSE)</f>
        <v>Indirect</v>
      </c>
      <c r="E41" t="s">
        <v>1210</v>
      </c>
      <c r="F41" t="s">
        <v>1194</v>
      </c>
      <c r="G41" t="s">
        <v>1287</v>
      </c>
      <c r="H41" t="str">
        <f>IF(NOT(ISERROR(FIND("NoICP",Modded_AMF_Table[[#This Row],[GL_ICP]]))),"",Modded_AMF_Table[[#This Row],[GL_ICP]])</f>
        <v/>
      </c>
      <c r="I41" t="s">
        <v>1212</v>
      </c>
      <c r="J41" t="s">
        <v>1213</v>
      </c>
      <c r="K41" t="str">
        <f>IFERROR(VLOOKUP(VALUE(Modded_AMF_Table[[#This Row],[GL_PC]]),BNS_Profit_Centers[],2,FALSE),"TE")</f>
        <v>TE</v>
      </c>
      <c r="L41" t="s">
        <v>1213</v>
      </c>
      <c r="M41" t="s">
        <v>1285</v>
      </c>
      <c r="N41" t="s">
        <v>1214</v>
      </c>
      <c r="O41" s="33">
        <v>-181778.18</v>
      </c>
    </row>
    <row r="42" spans="1:15" x14ac:dyDescent="0.25">
      <c r="A42" t="s">
        <v>1288</v>
      </c>
      <c r="B42" t="s">
        <v>1289</v>
      </c>
      <c r="C42" t="s">
        <v>521</v>
      </c>
      <c r="D42" t="str">
        <f>VLOOKUP(Modded_AMF_Table[[#This Row],[HFM_Account]],HFM_Acct_OCF_Activity[],3,FALSE)</f>
        <v>Indirect</v>
      </c>
      <c r="E42" t="s">
        <v>1210</v>
      </c>
      <c r="F42" t="s">
        <v>1194</v>
      </c>
      <c r="G42" t="s">
        <v>1290</v>
      </c>
      <c r="H42" t="str">
        <f>IF(NOT(ISERROR(FIND("NoICP",Modded_AMF_Table[[#This Row],[GL_ICP]]))),"",Modded_AMF_Table[[#This Row],[GL_ICP]])</f>
        <v/>
      </c>
      <c r="I42" t="s">
        <v>1212</v>
      </c>
      <c r="J42" t="s">
        <v>1213</v>
      </c>
      <c r="K42" t="str">
        <f>IFERROR(VLOOKUP(VALUE(Modded_AMF_Table[[#This Row],[GL_PC]]),BNS_Profit_Centers[],2,FALSE),"TE")</f>
        <v>TE</v>
      </c>
      <c r="L42" t="s">
        <v>1213</v>
      </c>
      <c r="M42" t="s">
        <v>1288</v>
      </c>
      <c r="N42" t="s">
        <v>1214</v>
      </c>
      <c r="O42" s="33">
        <v>-31773.37</v>
      </c>
    </row>
    <row r="43" spans="1:15" x14ac:dyDescent="0.25">
      <c r="A43" t="s">
        <v>1291</v>
      </c>
      <c r="B43" t="s">
        <v>1292</v>
      </c>
      <c r="C43" t="s">
        <v>521</v>
      </c>
      <c r="D43" t="str">
        <f>VLOOKUP(Modded_AMF_Table[[#This Row],[HFM_Account]],HFM_Acct_OCF_Activity[],3,FALSE)</f>
        <v>Indirect</v>
      </c>
      <c r="E43" t="s">
        <v>1210</v>
      </c>
      <c r="F43" t="s">
        <v>1194</v>
      </c>
      <c r="G43" t="s">
        <v>1293</v>
      </c>
      <c r="H43" t="str">
        <f>IF(NOT(ISERROR(FIND("NoICP",Modded_AMF_Table[[#This Row],[GL_ICP]]))),"",Modded_AMF_Table[[#This Row],[GL_ICP]])</f>
        <v/>
      </c>
      <c r="I43" t="s">
        <v>1212</v>
      </c>
      <c r="J43" t="s">
        <v>1213</v>
      </c>
      <c r="K43" t="str">
        <f>IFERROR(VLOOKUP(VALUE(Modded_AMF_Table[[#This Row],[GL_PC]]),BNS_Profit_Centers[],2,FALSE),"TE")</f>
        <v>TE</v>
      </c>
      <c r="L43" t="s">
        <v>1213</v>
      </c>
      <c r="M43" t="s">
        <v>1291</v>
      </c>
      <c r="N43" t="s">
        <v>1214</v>
      </c>
      <c r="O43" s="33">
        <v>-1940.14</v>
      </c>
    </row>
    <row r="44" spans="1:15" x14ac:dyDescent="0.25">
      <c r="A44" t="s">
        <v>617</v>
      </c>
      <c r="B44" t="s">
        <v>1294</v>
      </c>
      <c r="C44" t="s">
        <v>617</v>
      </c>
      <c r="D44" t="str">
        <f>VLOOKUP(Modded_AMF_Table[[#This Row],[HFM_Account]],HFM_Acct_OCF_Activity[],3,FALSE)</f>
        <v>Exclude</v>
      </c>
      <c r="E44" t="s">
        <v>1210</v>
      </c>
      <c r="F44" t="s">
        <v>1194</v>
      </c>
      <c r="G44" t="s">
        <v>1295</v>
      </c>
      <c r="H44" t="str">
        <f>IF(NOT(ISERROR(FIND("NoICP",Modded_AMF_Table[[#This Row],[GL_ICP]]))),"",Modded_AMF_Table[[#This Row],[GL_ICP]])</f>
        <v/>
      </c>
      <c r="I44" t="s">
        <v>1212</v>
      </c>
      <c r="J44" t="s">
        <v>1213</v>
      </c>
      <c r="K44" t="str">
        <f>IFERROR(VLOOKUP(VALUE(Modded_AMF_Table[[#This Row],[GL_PC]]),BNS_Profit_Centers[],2,FALSE),"TE")</f>
        <v>TE</v>
      </c>
      <c r="L44" t="s">
        <v>1213</v>
      </c>
      <c r="M44" t="s">
        <v>617</v>
      </c>
      <c r="N44" t="s">
        <v>1214</v>
      </c>
      <c r="O44" s="33">
        <v>80993.259999999995</v>
      </c>
    </row>
    <row r="45" spans="1:15" x14ac:dyDescent="0.25">
      <c r="A45" t="s">
        <v>1296</v>
      </c>
      <c r="B45" t="s">
        <v>1297</v>
      </c>
      <c r="C45" t="s">
        <v>617</v>
      </c>
      <c r="D45" t="str">
        <f>VLOOKUP(Modded_AMF_Table[[#This Row],[HFM_Account]],HFM_Acct_OCF_Activity[],3,FALSE)</f>
        <v>Exclude</v>
      </c>
      <c r="E45" t="s">
        <v>1210</v>
      </c>
      <c r="F45" t="s">
        <v>1194</v>
      </c>
      <c r="G45" t="s">
        <v>1298</v>
      </c>
      <c r="H45" t="str">
        <f>IF(NOT(ISERROR(FIND("NoICP",Modded_AMF_Table[[#This Row],[GL_ICP]]))),"",Modded_AMF_Table[[#This Row],[GL_ICP]])</f>
        <v/>
      </c>
      <c r="I45" t="s">
        <v>1212</v>
      </c>
      <c r="J45" t="s">
        <v>1213</v>
      </c>
      <c r="K45" t="str">
        <f>IFERROR(VLOOKUP(VALUE(Modded_AMF_Table[[#This Row],[GL_PC]]),BNS_Profit_Centers[],2,FALSE),"TE")</f>
        <v>TE</v>
      </c>
      <c r="L45" t="s">
        <v>1213</v>
      </c>
      <c r="M45" t="s">
        <v>1296</v>
      </c>
      <c r="N45" t="s">
        <v>1214</v>
      </c>
      <c r="O45" s="33">
        <v>-105106</v>
      </c>
    </row>
    <row r="46" spans="1:15" x14ac:dyDescent="0.25">
      <c r="A46" t="s">
        <v>1299</v>
      </c>
      <c r="B46" t="s">
        <v>1300</v>
      </c>
      <c r="C46" t="s">
        <v>539</v>
      </c>
      <c r="D46" t="str">
        <f>VLOOKUP(Modded_AMF_Table[[#This Row],[HFM_Account]],HFM_Acct_OCF_Activity[],3,FALSE)</f>
        <v>Indirect</v>
      </c>
      <c r="E46" t="s">
        <v>1210</v>
      </c>
      <c r="F46" t="s">
        <v>1194</v>
      </c>
      <c r="G46" t="s">
        <v>1301</v>
      </c>
      <c r="H46" t="str">
        <f>IF(NOT(ISERROR(FIND("NoICP",Modded_AMF_Table[[#This Row],[GL_ICP]]))),"",Modded_AMF_Table[[#This Row],[GL_ICP]])</f>
        <v/>
      </c>
      <c r="I46" t="s">
        <v>1212</v>
      </c>
      <c r="J46" t="s">
        <v>1213</v>
      </c>
      <c r="K46" t="str">
        <f>IFERROR(VLOOKUP(VALUE(Modded_AMF_Table[[#This Row],[GL_PC]]),BNS_Profit_Centers[],2,FALSE),"TE")</f>
        <v>TE</v>
      </c>
      <c r="L46" t="s">
        <v>1213</v>
      </c>
      <c r="M46" t="s">
        <v>1299</v>
      </c>
      <c r="N46" t="s">
        <v>1214</v>
      </c>
      <c r="O46" s="33">
        <v>-550</v>
      </c>
    </row>
    <row r="47" spans="1:15" x14ac:dyDescent="0.25">
      <c r="A47" t="s">
        <v>1302</v>
      </c>
      <c r="B47" t="s">
        <v>1303</v>
      </c>
      <c r="C47" t="s">
        <v>539</v>
      </c>
      <c r="D47" t="str">
        <f>VLOOKUP(Modded_AMF_Table[[#This Row],[HFM_Account]],HFM_Acct_OCF_Activity[],3,FALSE)</f>
        <v>Indirect</v>
      </c>
      <c r="E47" t="s">
        <v>1210</v>
      </c>
      <c r="F47" t="s">
        <v>1194</v>
      </c>
      <c r="G47" t="s">
        <v>1304</v>
      </c>
      <c r="H47" t="str">
        <f>IF(NOT(ISERROR(FIND("NoICP",Modded_AMF_Table[[#This Row],[GL_ICP]]))),"",Modded_AMF_Table[[#This Row],[GL_ICP]])</f>
        <v/>
      </c>
      <c r="I47" t="s">
        <v>1212</v>
      </c>
      <c r="J47" t="s">
        <v>1213</v>
      </c>
      <c r="K47" t="str">
        <f>IFERROR(VLOOKUP(VALUE(Modded_AMF_Table[[#This Row],[GL_PC]]),BNS_Profit_Centers[],2,FALSE),"TE")</f>
        <v>TE</v>
      </c>
      <c r="L47" t="s">
        <v>1213</v>
      </c>
      <c r="M47" t="s">
        <v>1302</v>
      </c>
      <c r="N47" t="s">
        <v>1214</v>
      </c>
      <c r="O47" s="33">
        <v>-533.05999999999995</v>
      </c>
    </row>
    <row r="48" spans="1:15" x14ac:dyDescent="0.25">
      <c r="A48" t="s">
        <v>541</v>
      </c>
      <c r="B48" t="s">
        <v>542</v>
      </c>
      <c r="C48" t="s">
        <v>541</v>
      </c>
      <c r="D48" t="str">
        <f>VLOOKUP(Modded_AMF_Table[[#This Row],[HFM_Account]],HFM_Acct_OCF_Activity[],3,FALSE)</f>
        <v>Indirect</v>
      </c>
      <c r="E48" t="s">
        <v>1210</v>
      </c>
      <c r="F48" t="s">
        <v>1194</v>
      </c>
      <c r="G48" t="s">
        <v>1305</v>
      </c>
      <c r="H48" t="str">
        <f>IF(NOT(ISERROR(FIND("NoICP",Modded_AMF_Table[[#This Row],[GL_ICP]]))),"",Modded_AMF_Table[[#This Row],[GL_ICP]])</f>
        <v/>
      </c>
      <c r="I48" t="s">
        <v>1212</v>
      </c>
      <c r="J48" t="s">
        <v>1213</v>
      </c>
      <c r="K48" t="str">
        <f>IFERROR(VLOOKUP(VALUE(Modded_AMF_Table[[#This Row],[GL_PC]]),BNS_Profit_Centers[],2,FALSE),"TE")</f>
        <v>TE</v>
      </c>
      <c r="L48" t="s">
        <v>1213</v>
      </c>
      <c r="M48" t="s">
        <v>541</v>
      </c>
      <c r="N48" t="s">
        <v>1214</v>
      </c>
      <c r="O48" s="33">
        <v>-2700</v>
      </c>
    </row>
    <row r="49" spans="1:15" x14ac:dyDescent="0.25">
      <c r="A49" t="s">
        <v>1306</v>
      </c>
      <c r="B49" t="s">
        <v>1307</v>
      </c>
      <c r="C49" t="s">
        <v>541</v>
      </c>
      <c r="D49" t="str">
        <f>VLOOKUP(Modded_AMF_Table[[#This Row],[HFM_Account]],HFM_Acct_OCF_Activity[],3,FALSE)</f>
        <v>Indirect</v>
      </c>
      <c r="E49" t="s">
        <v>1210</v>
      </c>
      <c r="F49" t="s">
        <v>1194</v>
      </c>
      <c r="G49" t="s">
        <v>1308</v>
      </c>
      <c r="H49" t="str">
        <f>IF(NOT(ISERROR(FIND("NoICP",Modded_AMF_Table[[#This Row],[GL_ICP]]))),"",Modded_AMF_Table[[#This Row],[GL_ICP]])</f>
        <v/>
      </c>
      <c r="I49" t="s">
        <v>1212</v>
      </c>
      <c r="J49" t="s">
        <v>1213</v>
      </c>
      <c r="K49" t="str">
        <f>IFERROR(VLOOKUP(VALUE(Modded_AMF_Table[[#This Row],[GL_PC]]),BNS_Profit_Centers[],2,FALSE),"TE")</f>
        <v>TE</v>
      </c>
      <c r="L49" t="s">
        <v>1213</v>
      </c>
      <c r="M49" t="s">
        <v>1306</v>
      </c>
      <c r="N49" t="s">
        <v>1214</v>
      </c>
      <c r="O49" s="33">
        <v>-2967</v>
      </c>
    </row>
    <row r="50" spans="1:15" x14ac:dyDescent="0.25">
      <c r="A50" t="s">
        <v>1309</v>
      </c>
      <c r="B50" t="s">
        <v>534</v>
      </c>
      <c r="C50" t="s">
        <v>533</v>
      </c>
      <c r="D50" t="str">
        <f>VLOOKUP(Modded_AMF_Table[[#This Row],[HFM_Account]],HFM_Acct_OCF_Activity[],3,FALSE)</f>
        <v>Indirect</v>
      </c>
      <c r="E50" t="s">
        <v>1210</v>
      </c>
      <c r="F50" t="s">
        <v>1194</v>
      </c>
      <c r="G50" t="s">
        <v>1310</v>
      </c>
      <c r="H50" t="str">
        <f>IF(NOT(ISERROR(FIND("NoICP",Modded_AMF_Table[[#This Row],[GL_ICP]]))),"",Modded_AMF_Table[[#This Row],[GL_ICP]])</f>
        <v/>
      </c>
      <c r="I50" t="s">
        <v>1212</v>
      </c>
      <c r="J50" t="s">
        <v>1213</v>
      </c>
      <c r="K50" t="str">
        <f>IFERROR(VLOOKUP(VALUE(Modded_AMF_Table[[#This Row],[GL_PC]]),BNS_Profit_Centers[],2,FALSE),"TE")</f>
        <v>TE</v>
      </c>
      <c r="L50" t="s">
        <v>1213</v>
      </c>
      <c r="M50" t="s">
        <v>1309</v>
      </c>
      <c r="N50" t="s">
        <v>1214</v>
      </c>
      <c r="O50" s="33">
        <v>-14100</v>
      </c>
    </row>
    <row r="51" spans="1:15" x14ac:dyDescent="0.25">
      <c r="A51" t="s">
        <v>675</v>
      </c>
      <c r="B51" t="s">
        <v>1311</v>
      </c>
      <c r="C51" t="s">
        <v>675</v>
      </c>
      <c r="D51" t="str">
        <f>VLOOKUP(Modded_AMF_Table[[#This Row],[HFM_Account]],HFM_Acct_OCF_Activity[],3,FALSE)</f>
        <v>Exclude</v>
      </c>
      <c r="E51" t="s">
        <v>1210</v>
      </c>
      <c r="F51" t="s">
        <v>1194</v>
      </c>
      <c r="G51" t="s">
        <v>1312</v>
      </c>
      <c r="H51" t="str">
        <f>IF(NOT(ISERROR(FIND("NoICP",Modded_AMF_Table[[#This Row],[GL_ICP]]))),"",Modded_AMF_Table[[#This Row],[GL_ICP]])</f>
        <v/>
      </c>
      <c r="I51" t="s">
        <v>1212</v>
      </c>
      <c r="J51" t="s">
        <v>1213</v>
      </c>
      <c r="K51" t="str">
        <f>IFERROR(VLOOKUP(VALUE(Modded_AMF_Table[[#This Row],[GL_PC]]),BNS_Profit_Centers[],2,FALSE),"TE")</f>
        <v>TE</v>
      </c>
      <c r="L51" t="s">
        <v>1213</v>
      </c>
      <c r="M51" t="s">
        <v>675</v>
      </c>
      <c r="N51" t="s">
        <v>1214</v>
      </c>
      <c r="O51" s="33">
        <v>-174</v>
      </c>
    </row>
    <row r="52" spans="1:15" x14ac:dyDescent="0.25">
      <c r="A52" t="s">
        <v>1313</v>
      </c>
      <c r="B52" t="s">
        <v>1314</v>
      </c>
      <c r="C52" t="s">
        <v>703</v>
      </c>
      <c r="D52" t="str">
        <f>VLOOKUP(Modded_AMF_Table[[#This Row],[HFM_Account]],HFM_Acct_OCF_Activity[],3,FALSE)</f>
        <v>Indirect</v>
      </c>
      <c r="E52" t="s">
        <v>1210</v>
      </c>
      <c r="F52" t="s">
        <v>1194</v>
      </c>
      <c r="G52" t="s">
        <v>1315</v>
      </c>
      <c r="H52" t="str">
        <f>IF(NOT(ISERROR(FIND("NoICP",Modded_AMF_Table[[#This Row],[GL_ICP]]))),"",Modded_AMF_Table[[#This Row],[GL_ICP]])</f>
        <v/>
      </c>
      <c r="I52" t="s">
        <v>1212</v>
      </c>
      <c r="J52" t="s">
        <v>1213</v>
      </c>
      <c r="K52" t="str">
        <f>IFERROR(VLOOKUP(VALUE(Modded_AMF_Table[[#This Row],[GL_PC]]),BNS_Profit_Centers[],2,FALSE),"TE")</f>
        <v>TE</v>
      </c>
      <c r="L52" t="s">
        <v>1213</v>
      </c>
      <c r="M52" t="s">
        <v>1313</v>
      </c>
      <c r="N52" t="s">
        <v>1214</v>
      </c>
      <c r="O52" s="33">
        <v>-33618</v>
      </c>
    </row>
    <row r="53" spans="1:15" x14ac:dyDescent="0.25">
      <c r="A53" t="s">
        <v>1316</v>
      </c>
      <c r="B53" t="s">
        <v>1317</v>
      </c>
      <c r="C53" t="s">
        <v>739</v>
      </c>
      <c r="D53" t="str">
        <f>VLOOKUP(Modded_AMF_Table[[#This Row],[HFM_Account]],HFM_Acct_OCF_Activity[],3,FALSE)</f>
        <v>Exclude</v>
      </c>
      <c r="E53" t="s">
        <v>1210</v>
      </c>
      <c r="F53" t="s">
        <v>1194</v>
      </c>
      <c r="G53" t="s">
        <v>1318</v>
      </c>
      <c r="H53" t="str">
        <f>IF(NOT(ISERROR(FIND("NoICP",Modded_AMF_Table[[#This Row],[GL_ICP]]))),"",Modded_AMF_Table[[#This Row],[GL_ICP]])</f>
        <v/>
      </c>
      <c r="I53" t="s">
        <v>1212</v>
      </c>
      <c r="J53" t="s">
        <v>1213</v>
      </c>
      <c r="K53" t="str">
        <f>IFERROR(VLOOKUP(VALUE(Modded_AMF_Table[[#This Row],[GL_PC]]),BNS_Profit_Centers[],2,FALSE),"TE")</f>
        <v>TE</v>
      </c>
      <c r="L53" t="s">
        <v>1213</v>
      </c>
      <c r="M53" t="s">
        <v>1316</v>
      </c>
      <c r="N53" t="s">
        <v>1214</v>
      </c>
      <c r="O53" s="33">
        <v>-2354630.6</v>
      </c>
    </row>
    <row r="54" spans="1:15" x14ac:dyDescent="0.25">
      <c r="A54" t="s">
        <v>1319</v>
      </c>
      <c r="B54" t="s">
        <v>1320</v>
      </c>
      <c r="C54" t="s">
        <v>1321</v>
      </c>
      <c r="D54" t="str">
        <f>VLOOKUP(Modded_AMF_Table[[#This Row],[HFM_Account]],HFM_Acct_OCF_Activity[],3,FALSE)</f>
        <v>Exclude</v>
      </c>
      <c r="E54" t="s">
        <v>1210</v>
      </c>
      <c r="F54" t="s">
        <v>1194</v>
      </c>
      <c r="G54" t="s">
        <v>1322</v>
      </c>
      <c r="H54" t="str">
        <f>IF(NOT(ISERROR(FIND("NoICP",Modded_AMF_Table[[#This Row],[GL_ICP]]))),"",Modded_AMF_Table[[#This Row],[GL_ICP]])</f>
        <v/>
      </c>
      <c r="I54" t="s">
        <v>1212</v>
      </c>
      <c r="J54" t="s">
        <v>1213</v>
      </c>
      <c r="K54" t="str">
        <f>IFERROR(VLOOKUP(VALUE(Modded_AMF_Table[[#This Row],[GL_PC]]),BNS_Profit_Centers[],2,FALSE),"TE")</f>
        <v>TE</v>
      </c>
      <c r="L54" t="s">
        <v>1213</v>
      </c>
      <c r="M54" t="s">
        <v>1319</v>
      </c>
      <c r="N54" t="s">
        <v>1214</v>
      </c>
      <c r="O54" s="33">
        <v>6201180.4299999997</v>
      </c>
    </row>
    <row r="55" spans="1:15" x14ac:dyDescent="0.25">
      <c r="A55" t="s">
        <v>1323</v>
      </c>
      <c r="B55" t="s">
        <v>1324</v>
      </c>
      <c r="C55" t="s">
        <v>1321</v>
      </c>
      <c r="D55" t="str">
        <f>VLOOKUP(Modded_AMF_Table[[#This Row],[HFM_Account]],HFM_Acct_OCF_Activity[],3,FALSE)</f>
        <v>Exclude</v>
      </c>
      <c r="E55" t="s">
        <v>1210</v>
      </c>
      <c r="F55" t="s">
        <v>1194</v>
      </c>
      <c r="G55" t="s">
        <v>1325</v>
      </c>
      <c r="H55" t="str">
        <f>IF(NOT(ISERROR(FIND("NoICP",Modded_AMF_Table[[#This Row],[GL_ICP]]))),"",Modded_AMF_Table[[#This Row],[GL_ICP]])</f>
        <v/>
      </c>
      <c r="I55" t="s">
        <v>1212</v>
      </c>
      <c r="J55" t="s">
        <v>1213</v>
      </c>
      <c r="K55" t="str">
        <f>IFERROR(VLOOKUP(VALUE(Modded_AMF_Table[[#This Row],[GL_PC]]),BNS_Profit_Centers[],2,FALSE),"TE")</f>
        <v>TE</v>
      </c>
      <c r="L55" t="s">
        <v>1213</v>
      </c>
      <c r="M55" t="s">
        <v>1323</v>
      </c>
      <c r="N55" t="s">
        <v>1214</v>
      </c>
      <c r="O55" s="33">
        <v>-7317915.46</v>
      </c>
    </row>
    <row r="56" spans="1:15" x14ac:dyDescent="0.25">
      <c r="A56" t="s">
        <v>1326</v>
      </c>
      <c r="B56" t="s">
        <v>1327</v>
      </c>
      <c r="C56" t="s">
        <v>10</v>
      </c>
      <c r="D56" t="str">
        <f>VLOOKUP(Modded_AMF_Table[[#This Row],[HFM_Account]],HFM_Acct_OCF_Activity[],3,FALSE)</f>
        <v>Direct</v>
      </c>
      <c r="E56" t="s">
        <v>1210</v>
      </c>
      <c r="F56" t="s">
        <v>1194</v>
      </c>
      <c r="G56" t="s">
        <v>1328</v>
      </c>
      <c r="H56" t="str">
        <f>IF(NOT(ISERROR(FIND("NoICP",Modded_AMF_Table[[#This Row],[GL_ICP]]))),"",Modded_AMF_Table[[#This Row],[GL_ICP]])</f>
        <v/>
      </c>
      <c r="I56" t="s">
        <v>1212</v>
      </c>
      <c r="J56" t="s">
        <v>1329</v>
      </c>
      <c r="K56" t="str">
        <f>IFERROR(VLOOKUP(VALUE(Modded_AMF_Table[[#This Row],[GL_PC]]),BNS_Profit_Centers[],2,FALSE),"TE")</f>
        <v>TE</v>
      </c>
      <c r="L56" t="s">
        <v>1329</v>
      </c>
      <c r="M56" t="s">
        <v>1330</v>
      </c>
      <c r="N56" t="s">
        <v>1330</v>
      </c>
      <c r="O56" s="33">
        <v>39480</v>
      </c>
    </row>
    <row r="57" spans="1:15" x14ac:dyDescent="0.25">
      <c r="A57" t="s">
        <v>1326</v>
      </c>
      <c r="B57" t="s">
        <v>1331</v>
      </c>
      <c r="C57" t="s">
        <v>10</v>
      </c>
      <c r="D57" t="str">
        <f>VLOOKUP(Modded_AMF_Table[[#This Row],[HFM_Account]],HFM_Acct_OCF_Activity[],3,FALSE)</f>
        <v>Direct</v>
      </c>
      <c r="E57" t="s">
        <v>1210</v>
      </c>
      <c r="F57" t="s">
        <v>1194</v>
      </c>
      <c r="G57" t="s">
        <v>1332</v>
      </c>
      <c r="H57" t="str">
        <f>IF(NOT(ISERROR(FIND("NoICP",Modded_AMF_Table[[#This Row],[GL_ICP]]))),"",Modded_AMF_Table[[#This Row],[GL_ICP]])</f>
        <v/>
      </c>
      <c r="I57" t="s">
        <v>1212</v>
      </c>
      <c r="J57" t="s">
        <v>1329</v>
      </c>
      <c r="K57" t="str">
        <f>IFERROR(VLOOKUP(VALUE(Modded_AMF_Table[[#This Row],[GL_PC]]),BNS_Profit_Centers[],2,FALSE),"TE")</f>
        <v>TE</v>
      </c>
      <c r="L57" t="s">
        <v>1329</v>
      </c>
      <c r="M57" t="s">
        <v>1333</v>
      </c>
      <c r="N57" t="s">
        <v>1334</v>
      </c>
      <c r="O57" s="33">
        <v>3485.46</v>
      </c>
    </row>
    <row r="58" spans="1:15" x14ac:dyDescent="0.25">
      <c r="A58" t="s">
        <v>1326</v>
      </c>
      <c r="B58" t="s">
        <v>1335</v>
      </c>
      <c r="C58" t="s">
        <v>10</v>
      </c>
      <c r="D58" t="str">
        <f>VLOOKUP(Modded_AMF_Table[[#This Row],[HFM_Account]],HFM_Acct_OCF_Activity[],3,FALSE)</f>
        <v>Direct</v>
      </c>
      <c r="E58" t="s">
        <v>1210</v>
      </c>
      <c r="F58" t="s">
        <v>1194</v>
      </c>
      <c r="G58" t="s">
        <v>1336</v>
      </c>
      <c r="H58" t="str">
        <f>IF(NOT(ISERROR(FIND("NoICP",Modded_AMF_Table[[#This Row],[GL_ICP]]))),"",Modded_AMF_Table[[#This Row],[GL_ICP]])</f>
        <v/>
      </c>
      <c r="I58" t="s">
        <v>1212</v>
      </c>
      <c r="J58" t="s">
        <v>1329</v>
      </c>
      <c r="K58" t="str">
        <f>IFERROR(VLOOKUP(VALUE(Modded_AMF_Table[[#This Row],[GL_PC]]),BNS_Profit_Centers[],2,FALSE),"TE")</f>
        <v>TE</v>
      </c>
      <c r="L58" t="s">
        <v>1329</v>
      </c>
      <c r="M58" t="s">
        <v>1337</v>
      </c>
      <c r="N58" t="s">
        <v>1334</v>
      </c>
      <c r="O58" s="33">
        <v>-2232.84</v>
      </c>
    </row>
    <row r="59" spans="1:15" x14ac:dyDescent="0.25">
      <c r="A59" t="s">
        <v>1326</v>
      </c>
      <c r="B59" t="s">
        <v>1338</v>
      </c>
      <c r="C59" t="s">
        <v>10</v>
      </c>
      <c r="D59" t="str">
        <f>VLOOKUP(Modded_AMF_Table[[#This Row],[HFM_Account]],HFM_Acct_OCF_Activity[],3,FALSE)</f>
        <v>Direct</v>
      </c>
      <c r="E59" t="s">
        <v>1210</v>
      </c>
      <c r="F59" t="s">
        <v>1194</v>
      </c>
      <c r="G59" t="s">
        <v>1339</v>
      </c>
      <c r="H59" t="str">
        <f>IF(NOT(ISERROR(FIND("NoICP",Modded_AMF_Table[[#This Row],[GL_ICP]]))),"",Modded_AMF_Table[[#This Row],[GL_ICP]])</f>
        <v/>
      </c>
      <c r="I59" t="s">
        <v>1212</v>
      </c>
      <c r="J59" t="s">
        <v>1329</v>
      </c>
      <c r="K59" t="str">
        <f>IFERROR(VLOOKUP(VALUE(Modded_AMF_Table[[#This Row],[GL_PC]]),BNS_Profit_Centers[],2,FALSE),"TE")</f>
        <v>TE</v>
      </c>
      <c r="L59" t="s">
        <v>1329</v>
      </c>
      <c r="M59" t="s">
        <v>1340</v>
      </c>
      <c r="N59" t="s">
        <v>1334</v>
      </c>
      <c r="O59" s="33">
        <v>221</v>
      </c>
    </row>
    <row r="60" spans="1:15" x14ac:dyDescent="0.25">
      <c r="A60" t="s">
        <v>1326</v>
      </c>
      <c r="B60" t="s">
        <v>1341</v>
      </c>
      <c r="C60" t="s">
        <v>10</v>
      </c>
      <c r="D60" t="str">
        <f>VLOOKUP(Modded_AMF_Table[[#This Row],[HFM_Account]],HFM_Acct_OCF_Activity[],3,FALSE)</f>
        <v>Direct</v>
      </c>
      <c r="E60" t="s">
        <v>1210</v>
      </c>
      <c r="F60" t="s">
        <v>1194</v>
      </c>
      <c r="G60" t="s">
        <v>1342</v>
      </c>
      <c r="H60" t="str">
        <f>IF(NOT(ISERROR(FIND("NoICP",Modded_AMF_Table[[#This Row],[GL_ICP]]))),"",Modded_AMF_Table[[#This Row],[GL_ICP]])</f>
        <v/>
      </c>
      <c r="I60" t="s">
        <v>1212</v>
      </c>
      <c r="J60" t="s">
        <v>1329</v>
      </c>
      <c r="K60" t="str">
        <f>IFERROR(VLOOKUP(VALUE(Modded_AMF_Table[[#This Row],[GL_PC]]),BNS_Profit_Centers[],2,FALSE),"TE")</f>
        <v>TE</v>
      </c>
      <c r="L60" t="s">
        <v>1329</v>
      </c>
      <c r="M60" t="s">
        <v>1343</v>
      </c>
      <c r="N60" t="s">
        <v>1334</v>
      </c>
      <c r="O60" s="33">
        <v>253.34</v>
      </c>
    </row>
    <row r="61" spans="1:15" x14ac:dyDescent="0.25">
      <c r="A61" t="s">
        <v>1326</v>
      </c>
      <c r="B61" t="s">
        <v>1344</v>
      </c>
      <c r="C61" t="s">
        <v>10</v>
      </c>
      <c r="D61" t="str">
        <f>VLOOKUP(Modded_AMF_Table[[#This Row],[HFM_Account]],HFM_Acct_OCF_Activity[],3,FALSE)</f>
        <v>Direct</v>
      </c>
      <c r="E61" t="s">
        <v>1210</v>
      </c>
      <c r="F61" t="s">
        <v>1194</v>
      </c>
      <c r="G61" t="s">
        <v>1345</v>
      </c>
      <c r="H61" t="str">
        <f>IF(NOT(ISERROR(FIND("NoICP",Modded_AMF_Table[[#This Row],[GL_ICP]]))),"",Modded_AMF_Table[[#This Row],[GL_ICP]])</f>
        <v/>
      </c>
      <c r="I61" t="s">
        <v>1212</v>
      </c>
      <c r="J61" t="s">
        <v>1329</v>
      </c>
      <c r="K61" t="str">
        <f>IFERROR(VLOOKUP(VALUE(Modded_AMF_Table[[#This Row],[GL_PC]]),BNS_Profit_Centers[],2,FALSE),"TE")</f>
        <v>TE</v>
      </c>
      <c r="L61" t="s">
        <v>1329</v>
      </c>
      <c r="M61" t="s">
        <v>1346</v>
      </c>
      <c r="N61" t="s">
        <v>1347</v>
      </c>
      <c r="O61" s="33">
        <v>240</v>
      </c>
    </row>
    <row r="62" spans="1:15" x14ac:dyDescent="0.25">
      <c r="A62" t="s">
        <v>1326</v>
      </c>
      <c r="B62" t="s">
        <v>1348</v>
      </c>
      <c r="C62" t="s">
        <v>10</v>
      </c>
      <c r="D62" t="str">
        <f>VLOOKUP(Modded_AMF_Table[[#This Row],[HFM_Account]],HFM_Acct_OCF_Activity[],3,FALSE)</f>
        <v>Direct</v>
      </c>
      <c r="E62" t="s">
        <v>1210</v>
      </c>
      <c r="F62" t="s">
        <v>1194</v>
      </c>
      <c r="G62" t="s">
        <v>1349</v>
      </c>
      <c r="H62" t="str">
        <f>IF(NOT(ISERROR(FIND("NoICP",Modded_AMF_Table[[#This Row],[GL_ICP]]))),"",Modded_AMF_Table[[#This Row],[GL_ICP]])</f>
        <v/>
      </c>
      <c r="I62" t="s">
        <v>1212</v>
      </c>
      <c r="J62" t="s">
        <v>1329</v>
      </c>
      <c r="K62" t="str">
        <f>IFERROR(VLOOKUP(VALUE(Modded_AMF_Table[[#This Row],[GL_PC]]),BNS_Profit_Centers[],2,FALSE),"TE")</f>
        <v>TE</v>
      </c>
      <c r="L62" t="s">
        <v>1329</v>
      </c>
      <c r="M62" t="s">
        <v>1350</v>
      </c>
      <c r="N62" t="s">
        <v>1351</v>
      </c>
      <c r="O62" s="33">
        <v>177</v>
      </c>
    </row>
    <row r="63" spans="1:15" x14ac:dyDescent="0.25">
      <c r="A63" t="s">
        <v>1326</v>
      </c>
      <c r="B63" t="s">
        <v>1352</v>
      </c>
      <c r="C63" t="s">
        <v>10</v>
      </c>
      <c r="D63" t="str">
        <f>VLOOKUP(Modded_AMF_Table[[#This Row],[HFM_Account]],HFM_Acct_OCF_Activity[],3,FALSE)</f>
        <v>Direct</v>
      </c>
      <c r="E63" t="s">
        <v>1210</v>
      </c>
      <c r="F63" t="s">
        <v>1194</v>
      </c>
      <c r="G63" t="s">
        <v>1353</v>
      </c>
      <c r="H63" t="str">
        <f>IF(NOT(ISERROR(FIND("NoICP",Modded_AMF_Table[[#This Row],[GL_ICP]]))),"",Modded_AMF_Table[[#This Row],[GL_ICP]])</f>
        <v/>
      </c>
      <c r="I63" t="s">
        <v>1212</v>
      </c>
      <c r="J63" t="s">
        <v>1329</v>
      </c>
      <c r="K63" t="str">
        <f>IFERROR(VLOOKUP(VALUE(Modded_AMF_Table[[#This Row],[GL_PC]]),BNS_Profit_Centers[],2,FALSE),"TE")</f>
        <v>TE</v>
      </c>
      <c r="L63" t="s">
        <v>1329</v>
      </c>
      <c r="M63" t="s">
        <v>1354</v>
      </c>
      <c r="N63" t="s">
        <v>1351</v>
      </c>
      <c r="O63" s="33">
        <v>1089.95</v>
      </c>
    </row>
    <row r="64" spans="1:15" x14ac:dyDescent="0.25">
      <c r="A64" t="s">
        <v>1326</v>
      </c>
      <c r="B64" t="s">
        <v>1355</v>
      </c>
      <c r="C64" t="s">
        <v>10</v>
      </c>
      <c r="D64" t="str">
        <f>VLOOKUP(Modded_AMF_Table[[#This Row],[HFM_Account]],HFM_Acct_OCF_Activity[],3,FALSE)</f>
        <v>Direct</v>
      </c>
      <c r="E64" t="s">
        <v>1210</v>
      </c>
      <c r="F64" t="s">
        <v>1194</v>
      </c>
      <c r="G64" t="s">
        <v>1356</v>
      </c>
      <c r="H64" t="str">
        <f>IF(NOT(ISERROR(FIND("NoICP",Modded_AMF_Table[[#This Row],[GL_ICP]]))),"",Modded_AMF_Table[[#This Row],[GL_ICP]])</f>
        <v/>
      </c>
      <c r="I64" t="s">
        <v>1212</v>
      </c>
      <c r="J64" t="s">
        <v>1329</v>
      </c>
      <c r="K64" t="str">
        <f>IFERROR(VLOOKUP(VALUE(Modded_AMF_Table[[#This Row],[GL_PC]]),BNS_Profit_Centers[],2,FALSE),"TE")</f>
        <v>TE</v>
      </c>
      <c r="L64" t="s">
        <v>1329</v>
      </c>
      <c r="M64" t="s">
        <v>1357</v>
      </c>
      <c r="N64" t="s">
        <v>1351</v>
      </c>
      <c r="O64" s="33">
        <v>148.80000000000001</v>
      </c>
    </row>
    <row r="65" spans="1:15" x14ac:dyDescent="0.25">
      <c r="A65" t="s">
        <v>1326</v>
      </c>
      <c r="B65" t="s">
        <v>1358</v>
      </c>
      <c r="C65" t="s">
        <v>10</v>
      </c>
      <c r="D65" t="str">
        <f>VLOOKUP(Modded_AMF_Table[[#This Row],[HFM_Account]],HFM_Acct_OCF_Activity[],3,FALSE)</f>
        <v>Direct</v>
      </c>
      <c r="E65" t="s">
        <v>1210</v>
      </c>
      <c r="F65" t="s">
        <v>1194</v>
      </c>
      <c r="G65" t="s">
        <v>1359</v>
      </c>
      <c r="H65" t="str">
        <f>IF(NOT(ISERROR(FIND("NoICP",Modded_AMF_Table[[#This Row],[GL_ICP]]))),"",Modded_AMF_Table[[#This Row],[GL_ICP]])</f>
        <v/>
      </c>
      <c r="I65" t="s">
        <v>1212</v>
      </c>
      <c r="J65" t="s">
        <v>1329</v>
      </c>
      <c r="K65" t="str">
        <f>IFERROR(VLOOKUP(VALUE(Modded_AMF_Table[[#This Row],[GL_PC]]),BNS_Profit_Centers[],2,FALSE),"TE")</f>
        <v>TE</v>
      </c>
      <c r="L65" t="s">
        <v>1329</v>
      </c>
      <c r="M65" t="s">
        <v>1360</v>
      </c>
      <c r="N65" t="s">
        <v>1361</v>
      </c>
      <c r="O65" s="33">
        <v>1040.5</v>
      </c>
    </row>
    <row r="66" spans="1:15" x14ac:dyDescent="0.25">
      <c r="A66" t="s">
        <v>1326</v>
      </c>
      <c r="B66" t="s">
        <v>1362</v>
      </c>
      <c r="C66" t="s">
        <v>10</v>
      </c>
      <c r="D66" t="str">
        <f>VLOOKUP(Modded_AMF_Table[[#This Row],[HFM_Account]],HFM_Acct_OCF_Activity[],3,FALSE)</f>
        <v>Direct</v>
      </c>
      <c r="E66" t="s">
        <v>1210</v>
      </c>
      <c r="F66" t="s">
        <v>1194</v>
      </c>
      <c r="G66" t="s">
        <v>1363</v>
      </c>
      <c r="H66" t="str">
        <f>IF(NOT(ISERROR(FIND("NoICP",Modded_AMF_Table[[#This Row],[GL_ICP]]))),"",Modded_AMF_Table[[#This Row],[GL_ICP]])</f>
        <v/>
      </c>
      <c r="I66" t="s">
        <v>1212</v>
      </c>
      <c r="J66" t="s">
        <v>1329</v>
      </c>
      <c r="K66" t="str">
        <f>IFERROR(VLOOKUP(VALUE(Modded_AMF_Table[[#This Row],[GL_PC]]),BNS_Profit_Centers[],2,FALSE),"TE")</f>
        <v>TE</v>
      </c>
      <c r="L66" t="s">
        <v>1329</v>
      </c>
      <c r="M66" t="s">
        <v>1364</v>
      </c>
      <c r="N66" t="s">
        <v>1364</v>
      </c>
      <c r="O66" s="33">
        <v>-1036.8</v>
      </c>
    </row>
    <row r="67" spans="1:15" x14ac:dyDescent="0.25">
      <c r="A67" t="s">
        <v>1326</v>
      </c>
      <c r="B67" t="s">
        <v>1365</v>
      </c>
      <c r="C67" t="s">
        <v>10</v>
      </c>
      <c r="D67" t="str">
        <f>VLOOKUP(Modded_AMF_Table[[#This Row],[HFM_Account]],HFM_Acct_OCF_Activity[],3,FALSE)</f>
        <v>Direct</v>
      </c>
      <c r="E67" t="s">
        <v>1210</v>
      </c>
      <c r="F67" t="s">
        <v>1194</v>
      </c>
      <c r="G67" t="s">
        <v>1366</v>
      </c>
      <c r="H67" t="str">
        <f>IF(NOT(ISERROR(FIND("NoICP",Modded_AMF_Table[[#This Row],[GL_ICP]]))),"",Modded_AMF_Table[[#This Row],[GL_ICP]])</f>
        <v/>
      </c>
      <c r="I67" t="s">
        <v>1212</v>
      </c>
      <c r="J67" t="s">
        <v>1329</v>
      </c>
      <c r="K67" t="str">
        <f>IFERROR(VLOOKUP(VALUE(Modded_AMF_Table[[#This Row],[GL_PC]]),BNS_Profit_Centers[],2,FALSE),"TE")</f>
        <v>TE</v>
      </c>
      <c r="L67" t="s">
        <v>1329</v>
      </c>
      <c r="M67" t="s">
        <v>1367</v>
      </c>
      <c r="N67" t="s">
        <v>1368</v>
      </c>
      <c r="O67" s="33">
        <v>10100</v>
      </c>
    </row>
    <row r="68" spans="1:15" x14ac:dyDescent="0.25">
      <c r="A68" t="s">
        <v>1326</v>
      </c>
      <c r="B68" t="s">
        <v>1369</v>
      </c>
      <c r="C68" t="s">
        <v>10</v>
      </c>
      <c r="D68" t="str">
        <f>VLOOKUP(Modded_AMF_Table[[#This Row],[HFM_Account]],HFM_Acct_OCF_Activity[],3,FALSE)</f>
        <v>Direct</v>
      </c>
      <c r="E68" t="s">
        <v>1210</v>
      </c>
      <c r="F68" t="s">
        <v>1194</v>
      </c>
      <c r="G68" t="s">
        <v>1370</v>
      </c>
      <c r="H68" t="str">
        <f>IF(NOT(ISERROR(FIND("NoICP",Modded_AMF_Table[[#This Row],[GL_ICP]]))),"",Modded_AMF_Table[[#This Row],[GL_ICP]])</f>
        <v/>
      </c>
      <c r="I68" t="s">
        <v>1212</v>
      </c>
      <c r="J68" t="s">
        <v>1329</v>
      </c>
      <c r="K68" t="str">
        <f>IFERROR(VLOOKUP(VALUE(Modded_AMF_Table[[#This Row],[GL_PC]]),BNS_Profit_Centers[],2,FALSE),"TE")</f>
        <v>TE</v>
      </c>
      <c r="L68" t="s">
        <v>1329</v>
      </c>
      <c r="M68" t="s">
        <v>1371</v>
      </c>
      <c r="N68" t="s">
        <v>1368</v>
      </c>
      <c r="O68" s="33">
        <v>-16607.2</v>
      </c>
    </row>
    <row r="69" spans="1:15" x14ac:dyDescent="0.25">
      <c r="A69" t="s">
        <v>1326</v>
      </c>
      <c r="B69" t="s">
        <v>1372</v>
      </c>
      <c r="C69" t="s">
        <v>10</v>
      </c>
      <c r="D69" t="str">
        <f>VLOOKUP(Modded_AMF_Table[[#This Row],[HFM_Account]],HFM_Acct_OCF_Activity[],3,FALSE)</f>
        <v>Direct</v>
      </c>
      <c r="E69" t="s">
        <v>1210</v>
      </c>
      <c r="F69" t="s">
        <v>1194</v>
      </c>
      <c r="G69" t="s">
        <v>1373</v>
      </c>
      <c r="H69" t="str">
        <f>IF(NOT(ISERROR(FIND("NoICP",Modded_AMF_Table[[#This Row],[GL_ICP]]))),"",Modded_AMF_Table[[#This Row],[GL_ICP]])</f>
        <v/>
      </c>
      <c r="I69" t="s">
        <v>1212</v>
      </c>
      <c r="J69" t="s">
        <v>1329</v>
      </c>
      <c r="K69" t="str">
        <f>IFERROR(VLOOKUP(VALUE(Modded_AMF_Table[[#This Row],[GL_PC]]),BNS_Profit_Centers[],2,FALSE),"TE")</f>
        <v>TE</v>
      </c>
      <c r="L69" t="s">
        <v>1329</v>
      </c>
      <c r="M69" t="s">
        <v>1374</v>
      </c>
      <c r="N69" t="s">
        <v>1374</v>
      </c>
      <c r="O69" s="33">
        <v>8314.5300000000007</v>
      </c>
    </row>
    <row r="70" spans="1:15" x14ac:dyDescent="0.25">
      <c r="A70" t="s">
        <v>1326</v>
      </c>
      <c r="B70" t="s">
        <v>1375</v>
      </c>
      <c r="C70" t="s">
        <v>10</v>
      </c>
      <c r="D70" t="str">
        <f>VLOOKUP(Modded_AMF_Table[[#This Row],[HFM_Account]],HFM_Acct_OCF_Activity[],3,FALSE)</f>
        <v>Direct</v>
      </c>
      <c r="E70" t="s">
        <v>1210</v>
      </c>
      <c r="F70" t="s">
        <v>1194</v>
      </c>
      <c r="G70" t="s">
        <v>1376</v>
      </c>
      <c r="H70" t="str">
        <f>IF(NOT(ISERROR(FIND("NoICP",Modded_AMF_Table[[#This Row],[GL_ICP]]))),"",Modded_AMF_Table[[#This Row],[GL_ICP]])</f>
        <v/>
      </c>
      <c r="I70" t="s">
        <v>1212</v>
      </c>
      <c r="J70" t="s">
        <v>1329</v>
      </c>
      <c r="K70" t="str">
        <f>IFERROR(VLOOKUP(VALUE(Modded_AMF_Table[[#This Row],[GL_PC]]),BNS_Profit_Centers[],2,FALSE),"TE")</f>
        <v>TE</v>
      </c>
      <c r="L70" t="s">
        <v>1329</v>
      </c>
      <c r="M70" t="s">
        <v>1377</v>
      </c>
      <c r="N70" t="s">
        <v>1374</v>
      </c>
      <c r="O70" s="33">
        <v>10982.58</v>
      </c>
    </row>
    <row r="71" spans="1:15" x14ac:dyDescent="0.25">
      <c r="A71" t="s">
        <v>1326</v>
      </c>
      <c r="B71" t="s">
        <v>1378</v>
      </c>
      <c r="C71" t="s">
        <v>10</v>
      </c>
      <c r="D71" t="str">
        <f>VLOOKUP(Modded_AMF_Table[[#This Row],[HFM_Account]],HFM_Acct_OCF_Activity[],3,FALSE)</f>
        <v>Direct</v>
      </c>
      <c r="E71" t="s">
        <v>1210</v>
      </c>
      <c r="F71" t="s">
        <v>1194</v>
      </c>
      <c r="G71" t="s">
        <v>1379</v>
      </c>
      <c r="H71" t="str">
        <f>IF(NOT(ISERROR(FIND("NoICP",Modded_AMF_Table[[#This Row],[GL_ICP]]))),"",Modded_AMF_Table[[#This Row],[GL_ICP]])</f>
        <v/>
      </c>
      <c r="I71" t="s">
        <v>1212</v>
      </c>
      <c r="J71" t="s">
        <v>1329</v>
      </c>
      <c r="K71" t="str">
        <f>IFERROR(VLOOKUP(VALUE(Modded_AMF_Table[[#This Row],[GL_PC]]),BNS_Profit_Centers[],2,FALSE),"TE")</f>
        <v>TE</v>
      </c>
      <c r="L71" t="s">
        <v>1329</v>
      </c>
      <c r="M71" t="s">
        <v>1380</v>
      </c>
      <c r="N71" t="s">
        <v>1380</v>
      </c>
      <c r="O71" s="33">
        <v>2172.7399999999998</v>
      </c>
    </row>
    <row r="72" spans="1:15" x14ac:dyDescent="0.25">
      <c r="A72" t="s">
        <v>1326</v>
      </c>
      <c r="B72" t="s">
        <v>1381</v>
      </c>
      <c r="C72" t="s">
        <v>10</v>
      </c>
      <c r="D72" t="str">
        <f>VLOOKUP(Modded_AMF_Table[[#This Row],[HFM_Account]],HFM_Acct_OCF_Activity[],3,FALSE)</f>
        <v>Direct</v>
      </c>
      <c r="E72" t="s">
        <v>1210</v>
      </c>
      <c r="F72" t="s">
        <v>1194</v>
      </c>
      <c r="G72" t="s">
        <v>1382</v>
      </c>
      <c r="H72" t="str">
        <f>IF(NOT(ISERROR(FIND("NoICP",Modded_AMF_Table[[#This Row],[GL_ICP]]))),"",Modded_AMF_Table[[#This Row],[GL_ICP]])</f>
        <v/>
      </c>
      <c r="I72" t="s">
        <v>1212</v>
      </c>
      <c r="J72" t="s">
        <v>1329</v>
      </c>
      <c r="K72" t="str">
        <f>IFERROR(VLOOKUP(VALUE(Modded_AMF_Table[[#This Row],[GL_PC]]),BNS_Profit_Centers[],2,FALSE),"TE")</f>
        <v>TE</v>
      </c>
      <c r="L72" t="s">
        <v>1329</v>
      </c>
      <c r="M72" t="s">
        <v>1383</v>
      </c>
      <c r="N72" t="s">
        <v>1334</v>
      </c>
      <c r="O72" s="33">
        <v>4053.27</v>
      </c>
    </row>
    <row r="73" spans="1:15" x14ac:dyDescent="0.25">
      <c r="A73" t="s">
        <v>1326</v>
      </c>
      <c r="B73" t="s">
        <v>1384</v>
      </c>
      <c r="C73" t="s">
        <v>10</v>
      </c>
      <c r="D73" t="str">
        <f>VLOOKUP(Modded_AMF_Table[[#This Row],[HFM_Account]],HFM_Acct_OCF_Activity[],3,FALSE)</f>
        <v>Direct</v>
      </c>
      <c r="E73" t="s">
        <v>1210</v>
      </c>
      <c r="F73" t="s">
        <v>1194</v>
      </c>
      <c r="G73" t="s">
        <v>1385</v>
      </c>
      <c r="H73" t="str">
        <f>IF(NOT(ISERROR(FIND("NoICP",Modded_AMF_Table[[#This Row],[GL_ICP]]))),"",Modded_AMF_Table[[#This Row],[GL_ICP]])</f>
        <v/>
      </c>
      <c r="I73" t="s">
        <v>1212</v>
      </c>
      <c r="J73" t="s">
        <v>1329</v>
      </c>
      <c r="K73" t="str">
        <f>IFERROR(VLOOKUP(VALUE(Modded_AMF_Table[[#This Row],[GL_PC]]),BNS_Profit_Centers[],2,FALSE),"TE")</f>
        <v>TE</v>
      </c>
      <c r="L73" t="s">
        <v>1329</v>
      </c>
      <c r="M73" t="s">
        <v>1386</v>
      </c>
      <c r="N73" t="s">
        <v>1386</v>
      </c>
      <c r="O73" s="33">
        <v>395.63</v>
      </c>
    </row>
    <row r="74" spans="1:15" x14ac:dyDescent="0.25">
      <c r="A74" t="s">
        <v>1326</v>
      </c>
      <c r="B74" t="s">
        <v>1387</v>
      </c>
      <c r="C74" t="s">
        <v>10</v>
      </c>
      <c r="D74" t="str">
        <f>VLOOKUP(Modded_AMF_Table[[#This Row],[HFM_Account]],HFM_Acct_OCF_Activity[],3,FALSE)</f>
        <v>Direct</v>
      </c>
      <c r="E74" t="s">
        <v>1210</v>
      </c>
      <c r="F74" t="s">
        <v>1194</v>
      </c>
      <c r="G74" t="s">
        <v>1388</v>
      </c>
      <c r="H74" t="str">
        <f>IF(NOT(ISERROR(FIND("NoICP",Modded_AMF_Table[[#This Row],[GL_ICP]]))),"",Modded_AMF_Table[[#This Row],[GL_ICP]])</f>
        <v/>
      </c>
      <c r="I74" t="s">
        <v>1212</v>
      </c>
      <c r="J74" t="s">
        <v>1329</v>
      </c>
      <c r="K74" t="str">
        <f>IFERROR(VLOOKUP(VALUE(Modded_AMF_Table[[#This Row],[GL_PC]]),BNS_Profit_Centers[],2,FALSE),"TE")</f>
        <v>TE</v>
      </c>
      <c r="L74" t="s">
        <v>1329</v>
      </c>
      <c r="M74" t="s">
        <v>1389</v>
      </c>
      <c r="N74" t="s">
        <v>1390</v>
      </c>
      <c r="O74" s="33">
        <v>903.4</v>
      </c>
    </row>
    <row r="75" spans="1:15" x14ac:dyDescent="0.25">
      <c r="A75" t="s">
        <v>1326</v>
      </c>
      <c r="B75" t="s">
        <v>1391</v>
      </c>
      <c r="C75" t="s">
        <v>10</v>
      </c>
      <c r="D75" t="str">
        <f>VLOOKUP(Modded_AMF_Table[[#This Row],[HFM_Account]],HFM_Acct_OCF_Activity[],3,FALSE)</f>
        <v>Direct</v>
      </c>
      <c r="E75" t="s">
        <v>1210</v>
      </c>
      <c r="F75" t="s">
        <v>1194</v>
      </c>
      <c r="G75" t="s">
        <v>1392</v>
      </c>
      <c r="H75" t="str">
        <f>IF(NOT(ISERROR(FIND("NoICP",Modded_AMF_Table[[#This Row],[GL_ICP]]))),"",Modded_AMF_Table[[#This Row],[GL_ICP]])</f>
        <v/>
      </c>
      <c r="I75" t="s">
        <v>1212</v>
      </c>
      <c r="J75" t="s">
        <v>1329</v>
      </c>
      <c r="K75" t="str">
        <f>IFERROR(VLOOKUP(VALUE(Modded_AMF_Table[[#This Row],[GL_PC]]),BNS_Profit_Centers[],2,FALSE),"TE")</f>
        <v>TE</v>
      </c>
      <c r="L75" t="s">
        <v>1329</v>
      </c>
      <c r="M75" t="s">
        <v>1393</v>
      </c>
      <c r="N75" t="s">
        <v>1390</v>
      </c>
      <c r="O75" s="33">
        <v>1628.1</v>
      </c>
    </row>
    <row r="76" spans="1:15" x14ac:dyDescent="0.25">
      <c r="A76" t="s">
        <v>1326</v>
      </c>
      <c r="B76" t="s">
        <v>1394</v>
      </c>
      <c r="C76" t="s">
        <v>10</v>
      </c>
      <c r="D76" t="str">
        <f>VLOOKUP(Modded_AMF_Table[[#This Row],[HFM_Account]],HFM_Acct_OCF_Activity[],3,FALSE)</f>
        <v>Direct</v>
      </c>
      <c r="E76" t="s">
        <v>1210</v>
      </c>
      <c r="F76" t="s">
        <v>1194</v>
      </c>
      <c r="G76" t="s">
        <v>1395</v>
      </c>
      <c r="H76" t="str">
        <f>IF(NOT(ISERROR(FIND("NoICP",Modded_AMF_Table[[#This Row],[GL_ICP]]))),"",Modded_AMF_Table[[#This Row],[GL_ICP]])</f>
        <v/>
      </c>
      <c r="I76" t="s">
        <v>1212</v>
      </c>
      <c r="J76" t="s">
        <v>1329</v>
      </c>
      <c r="K76" t="str">
        <f>IFERROR(VLOOKUP(VALUE(Modded_AMF_Table[[#This Row],[GL_PC]]),BNS_Profit_Centers[],2,FALSE),"TE")</f>
        <v>TE</v>
      </c>
      <c r="L76" t="s">
        <v>1329</v>
      </c>
      <c r="M76" t="s">
        <v>1396</v>
      </c>
      <c r="N76" t="s">
        <v>1390</v>
      </c>
      <c r="O76" s="33">
        <v>1730</v>
      </c>
    </row>
    <row r="77" spans="1:15" x14ac:dyDescent="0.25">
      <c r="A77" t="s">
        <v>1326</v>
      </c>
      <c r="B77" t="s">
        <v>1397</v>
      </c>
      <c r="C77" t="s">
        <v>10</v>
      </c>
      <c r="D77" t="str">
        <f>VLOOKUP(Modded_AMF_Table[[#This Row],[HFM_Account]],HFM_Acct_OCF_Activity[],3,FALSE)</f>
        <v>Direct</v>
      </c>
      <c r="E77" t="s">
        <v>1210</v>
      </c>
      <c r="F77" t="s">
        <v>1194</v>
      </c>
      <c r="G77" t="s">
        <v>1398</v>
      </c>
      <c r="H77" t="str">
        <f>IF(NOT(ISERROR(FIND("NoICP",Modded_AMF_Table[[#This Row],[GL_ICP]]))),"",Modded_AMF_Table[[#This Row],[GL_ICP]])</f>
        <v/>
      </c>
      <c r="I77" t="s">
        <v>1212</v>
      </c>
      <c r="J77" t="s">
        <v>1329</v>
      </c>
      <c r="K77" t="str">
        <f>IFERROR(VLOOKUP(VALUE(Modded_AMF_Table[[#This Row],[GL_PC]]),BNS_Profit_Centers[],2,FALSE),"TE")</f>
        <v>TE</v>
      </c>
      <c r="L77" t="s">
        <v>1329</v>
      </c>
      <c r="M77" t="s">
        <v>1399</v>
      </c>
      <c r="N77" t="s">
        <v>1390</v>
      </c>
      <c r="O77" s="33">
        <v>932.35</v>
      </c>
    </row>
    <row r="78" spans="1:15" x14ac:dyDescent="0.25">
      <c r="A78" t="s">
        <v>1326</v>
      </c>
      <c r="B78" t="s">
        <v>1400</v>
      </c>
      <c r="C78" t="s">
        <v>10</v>
      </c>
      <c r="D78" t="str">
        <f>VLOOKUP(Modded_AMF_Table[[#This Row],[HFM_Account]],HFM_Acct_OCF_Activity[],3,FALSE)</f>
        <v>Direct</v>
      </c>
      <c r="E78" t="s">
        <v>1210</v>
      </c>
      <c r="F78" t="s">
        <v>1194</v>
      </c>
      <c r="G78" t="s">
        <v>1401</v>
      </c>
      <c r="H78" t="str">
        <f>IF(NOT(ISERROR(FIND("NoICP",Modded_AMF_Table[[#This Row],[GL_ICP]]))),"",Modded_AMF_Table[[#This Row],[GL_ICP]])</f>
        <v/>
      </c>
      <c r="I78" t="s">
        <v>1212</v>
      </c>
      <c r="J78" t="s">
        <v>1329</v>
      </c>
      <c r="K78" t="str">
        <f>IFERROR(VLOOKUP(VALUE(Modded_AMF_Table[[#This Row],[GL_PC]]),BNS_Profit_Centers[],2,FALSE),"TE")</f>
        <v>TE</v>
      </c>
      <c r="L78" t="s">
        <v>1329</v>
      </c>
      <c r="M78" t="s">
        <v>1402</v>
      </c>
      <c r="N78" t="s">
        <v>1390</v>
      </c>
      <c r="O78" s="33">
        <v>6.84</v>
      </c>
    </row>
    <row r="79" spans="1:15" x14ac:dyDescent="0.25">
      <c r="A79" t="s">
        <v>1326</v>
      </c>
      <c r="B79" t="s">
        <v>1403</v>
      </c>
      <c r="C79" t="s">
        <v>10</v>
      </c>
      <c r="D79" t="str">
        <f>VLOOKUP(Modded_AMF_Table[[#This Row],[HFM_Account]],HFM_Acct_OCF_Activity[],3,FALSE)</f>
        <v>Direct</v>
      </c>
      <c r="E79" t="s">
        <v>1210</v>
      </c>
      <c r="F79" t="s">
        <v>1194</v>
      </c>
      <c r="G79" t="s">
        <v>1404</v>
      </c>
      <c r="H79" t="str">
        <f>IF(NOT(ISERROR(FIND("NoICP",Modded_AMF_Table[[#This Row],[GL_ICP]]))),"",Modded_AMF_Table[[#This Row],[GL_ICP]])</f>
        <v/>
      </c>
      <c r="I79" t="s">
        <v>1212</v>
      </c>
      <c r="J79" t="s">
        <v>1329</v>
      </c>
      <c r="K79" t="str">
        <f>IFERROR(VLOOKUP(VALUE(Modded_AMF_Table[[#This Row],[GL_PC]]),BNS_Profit_Centers[],2,FALSE),"TE")</f>
        <v>TE</v>
      </c>
      <c r="L79" t="s">
        <v>1329</v>
      </c>
      <c r="M79" t="s">
        <v>1405</v>
      </c>
      <c r="N79" t="s">
        <v>1390</v>
      </c>
      <c r="O79" s="33">
        <v>584.92999999999995</v>
      </c>
    </row>
    <row r="80" spans="1:15" x14ac:dyDescent="0.25">
      <c r="A80" t="s">
        <v>1326</v>
      </c>
      <c r="B80" t="s">
        <v>1406</v>
      </c>
      <c r="C80" t="s">
        <v>10</v>
      </c>
      <c r="D80" t="str">
        <f>VLOOKUP(Modded_AMF_Table[[#This Row],[HFM_Account]],HFM_Acct_OCF_Activity[],3,FALSE)</f>
        <v>Direct</v>
      </c>
      <c r="E80" t="s">
        <v>1210</v>
      </c>
      <c r="F80" t="s">
        <v>1194</v>
      </c>
      <c r="G80" t="s">
        <v>1407</v>
      </c>
      <c r="H80" t="str">
        <f>IF(NOT(ISERROR(FIND("NoICP",Modded_AMF_Table[[#This Row],[GL_ICP]]))),"",Modded_AMF_Table[[#This Row],[GL_ICP]])</f>
        <v/>
      </c>
      <c r="I80" t="s">
        <v>1212</v>
      </c>
      <c r="J80" t="s">
        <v>1329</v>
      </c>
      <c r="K80" t="str">
        <f>IFERROR(VLOOKUP(VALUE(Modded_AMF_Table[[#This Row],[GL_PC]]),BNS_Profit_Centers[],2,FALSE),"TE")</f>
        <v>TE</v>
      </c>
      <c r="L80" t="s">
        <v>1329</v>
      </c>
      <c r="M80" t="s">
        <v>1408</v>
      </c>
      <c r="N80" t="s">
        <v>1390</v>
      </c>
      <c r="O80" s="33">
        <v>1161.95</v>
      </c>
    </row>
    <row r="81" spans="1:15" x14ac:dyDescent="0.25">
      <c r="A81" t="s">
        <v>1326</v>
      </c>
      <c r="B81" t="s">
        <v>1409</v>
      </c>
      <c r="C81" t="s">
        <v>10</v>
      </c>
      <c r="D81" t="str">
        <f>VLOOKUP(Modded_AMF_Table[[#This Row],[HFM_Account]],HFM_Acct_OCF_Activity[],3,FALSE)</f>
        <v>Direct</v>
      </c>
      <c r="E81" t="s">
        <v>1210</v>
      </c>
      <c r="F81" t="s">
        <v>1194</v>
      </c>
      <c r="G81" t="s">
        <v>1410</v>
      </c>
      <c r="H81" t="str">
        <f>IF(NOT(ISERROR(FIND("NoICP",Modded_AMF_Table[[#This Row],[GL_ICP]]))),"",Modded_AMF_Table[[#This Row],[GL_ICP]])</f>
        <v/>
      </c>
      <c r="I81" t="s">
        <v>1212</v>
      </c>
      <c r="J81" t="s">
        <v>1329</v>
      </c>
      <c r="K81" t="str">
        <f>IFERROR(VLOOKUP(VALUE(Modded_AMF_Table[[#This Row],[GL_PC]]),BNS_Profit_Centers[],2,FALSE),"TE")</f>
        <v>TE</v>
      </c>
      <c r="L81" t="s">
        <v>1329</v>
      </c>
      <c r="M81" t="s">
        <v>1411</v>
      </c>
      <c r="N81" t="s">
        <v>1390</v>
      </c>
      <c r="O81" s="33">
        <v>1232</v>
      </c>
    </row>
    <row r="82" spans="1:15" x14ac:dyDescent="0.25">
      <c r="A82" t="s">
        <v>1326</v>
      </c>
      <c r="B82" t="s">
        <v>1412</v>
      </c>
      <c r="C82" t="s">
        <v>10</v>
      </c>
      <c r="D82" t="str">
        <f>VLOOKUP(Modded_AMF_Table[[#This Row],[HFM_Account]],HFM_Acct_OCF_Activity[],3,FALSE)</f>
        <v>Direct</v>
      </c>
      <c r="E82" t="s">
        <v>1210</v>
      </c>
      <c r="F82" t="s">
        <v>1194</v>
      </c>
      <c r="G82" t="s">
        <v>1413</v>
      </c>
      <c r="H82" t="str">
        <f>IF(NOT(ISERROR(FIND("NoICP",Modded_AMF_Table[[#This Row],[GL_ICP]]))),"",Modded_AMF_Table[[#This Row],[GL_ICP]])</f>
        <v/>
      </c>
      <c r="I82" t="s">
        <v>1212</v>
      </c>
      <c r="J82" t="s">
        <v>1329</v>
      </c>
      <c r="K82" t="str">
        <f>IFERROR(VLOOKUP(VALUE(Modded_AMF_Table[[#This Row],[GL_PC]]),BNS_Profit_Centers[],2,FALSE),"TE")</f>
        <v>TE</v>
      </c>
      <c r="L82" t="s">
        <v>1329</v>
      </c>
      <c r="M82" t="s">
        <v>1414</v>
      </c>
      <c r="N82" t="s">
        <v>1415</v>
      </c>
      <c r="O82" s="33">
        <v>2230.17</v>
      </c>
    </row>
    <row r="83" spans="1:15" x14ac:dyDescent="0.25">
      <c r="A83" t="s">
        <v>1326</v>
      </c>
      <c r="B83" t="s">
        <v>1416</v>
      </c>
      <c r="C83" t="s">
        <v>10</v>
      </c>
      <c r="D83" t="str">
        <f>VLOOKUP(Modded_AMF_Table[[#This Row],[HFM_Account]],HFM_Acct_OCF_Activity[],3,FALSE)</f>
        <v>Direct</v>
      </c>
      <c r="E83" t="s">
        <v>1210</v>
      </c>
      <c r="F83" t="s">
        <v>1194</v>
      </c>
      <c r="G83" t="s">
        <v>1417</v>
      </c>
      <c r="H83" t="str">
        <f>IF(NOT(ISERROR(FIND("NoICP",Modded_AMF_Table[[#This Row],[GL_ICP]]))),"",Modded_AMF_Table[[#This Row],[GL_ICP]])</f>
        <v/>
      </c>
      <c r="I83" t="s">
        <v>1212</v>
      </c>
      <c r="J83" t="s">
        <v>1329</v>
      </c>
      <c r="K83" t="str">
        <f>IFERROR(VLOOKUP(VALUE(Modded_AMF_Table[[#This Row],[GL_PC]]),BNS_Profit_Centers[],2,FALSE),"TE")</f>
        <v>TE</v>
      </c>
      <c r="L83" t="s">
        <v>1329</v>
      </c>
      <c r="M83" t="s">
        <v>1418</v>
      </c>
      <c r="N83" t="s">
        <v>1415</v>
      </c>
      <c r="O83" s="33">
        <v>6818.02</v>
      </c>
    </row>
    <row r="84" spans="1:15" x14ac:dyDescent="0.25">
      <c r="A84" t="s">
        <v>1326</v>
      </c>
      <c r="B84" t="s">
        <v>1419</v>
      </c>
      <c r="C84" t="s">
        <v>10</v>
      </c>
      <c r="D84" t="str">
        <f>VLOOKUP(Modded_AMF_Table[[#This Row],[HFM_Account]],HFM_Acct_OCF_Activity[],3,FALSE)</f>
        <v>Direct</v>
      </c>
      <c r="E84" t="s">
        <v>1210</v>
      </c>
      <c r="F84" t="s">
        <v>1194</v>
      </c>
      <c r="G84" t="s">
        <v>1420</v>
      </c>
      <c r="H84" t="str">
        <f>IF(NOT(ISERROR(FIND("NoICP",Modded_AMF_Table[[#This Row],[GL_ICP]]))),"",Modded_AMF_Table[[#This Row],[GL_ICP]])</f>
        <v/>
      </c>
      <c r="I84" t="s">
        <v>1212</v>
      </c>
      <c r="J84" t="s">
        <v>1329</v>
      </c>
      <c r="K84" t="str">
        <f>IFERROR(VLOOKUP(VALUE(Modded_AMF_Table[[#This Row],[GL_PC]]),BNS_Profit_Centers[],2,FALSE),"TE")</f>
        <v>TE</v>
      </c>
      <c r="L84" t="s">
        <v>1329</v>
      </c>
      <c r="M84" t="s">
        <v>1421</v>
      </c>
      <c r="N84" t="s">
        <v>1421</v>
      </c>
      <c r="O84" s="33">
        <v>59.2</v>
      </c>
    </row>
    <row r="85" spans="1:15" x14ac:dyDescent="0.25">
      <c r="A85" t="s">
        <v>1326</v>
      </c>
      <c r="B85" t="s">
        <v>1422</v>
      </c>
      <c r="C85" t="s">
        <v>10</v>
      </c>
      <c r="D85" t="str">
        <f>VLOOKUP(Modded_AMF_Table[[#This Row],[HFM_Account]],HFM_Acct_OCF_Activity[],3,FALSE)</f>
        <v>Direct</v>
      </c>
      <c r="E85" t="s">
        <v>1210</v>
      </c>
      <c r="F85" t="s">
        <v>1194</v>
      </c>
      <c r="G85" t="s">
        <v>1423</v>
      </c>
      <c r="H85" t="str">
        <f>IF(NOT(ISERROR(FIND("NoICP",Modded_AMF_Table[[#This Row],[GL_ICP]]))),"",Modded_AMF_Table[[#This Row],[GL_ICP]])</f>
        <v/>
      </c>
      <c r="I85" t="s">
        <v>1212</v>
      </c>
      <c r="J85" t="s">
        <v>1329</v>
      </c>
      <c r="K85" t="str">
        <f>IFERROR(VLOOKUP(VALUE(Modded_AMF_Table[[#This Row],[GL_PC]]),BNS_Profit_Centers[],2,FALSE),"TE")</f>
        <v>TE</v>
      </c>
      <c r="L85" t="s">
        <v>1329</v>
      </c>
      <c r="M85" t="s">
        <v>1424</v>
      </c>
      <c r="N85" t="s">
        <v>1424</v>
      </c>
      <c r="O85" s="33">
        <v>365.08</v>
      </c>
    </row>
    <row r="86" spans="1:15" x14ac:dyDescent="0.25">
      <c r="A86" t="s">
        <v>1326</v>
      </c>
      <c r="B86" t="s">
        <v>1327</v>
      </c>
      <c r="C86" t="s">
        <v>10</v>
      </c>
      <c r="D86" t="str">
        <f>VLOOKUP(Modded_AMF_Table[[#This Row],[HFM_Account]],HFM_Acct_OCF_Activity[],3,FALSE)</f>
        <v>Direct</v>
      </c>
      <c r="E86" t="s">
        <v>1210</v>
      </c>
      <c r="F86" t="s">
        <v>1194</v>
      </c>
      <c r="G86" t="s">
        <v>1328</v>
      </c>
      <c r="H86" t="str">
        <f>IF(NOT(ISERROR(FIND("NoICP",Modded_AMF_Table[[#This Row],[GL_ICP]]))),"",Modded_AMF_Table[[#This Row],[GL_ICP]])</f>
        <v/>
      </c>
      <c r="I86" t="s">
        <v>1212</v>
      </c>
      <c r="J86" t="s">
        <v>1425</v>
      </c>
      <c r="K86" t="str">
        <f>IFERROR(VLOOKUP(VALUE(Modded_AMF_Table[[#This Row],[GL_PC]]),BNS_Profit_Centers[],2,FALSE),"TE")</f>
        <v>TE</v>
      </c>
      <c r="L86" t="s">
        <v>1425</v>
      </c>
      <c r="M86" t="s">
        <v>1330</v>
      </c>
      <c r="N86" t="s">
        <v>1330</v>
      </c>
      <c r="O86" s="33">
        <v>99566</v>
      </c>
    </row>
    <row r="87" spans="1:15" x14ac:dyDescent="0.25">
      <c r="A87" t="s">
        <v>1326</v>
      </c>
      <c r="B87" t="s">
        <v>1331</v>
      </c>
      <c r="C87" t="s">
        <v>10</v>
      </c>
      <c r="D87" t="str">
        <f>VLOOKUP(Modded_AMF_Table[[#This Row],[HFM_Account]],HFM_Acct_OCF_Activity[],3,FALSE)</f>
        <v>Direct</v>
      </c>
      <c r="E87" t="s">
        <v>1210</v>
      </c>
      <c r="F87" t="s">
        <v>1194</v>
      </c>
      <c r="G87" t="s">
        <v>1332</v>
      </c>
      <c r="H87" t="str">
        <f>IF(NOT(ISERROR(FIND("NoICP",Modded_AMF_Table[[#This Row],[GL_ICP]]))),"",Modded_AMF_Table[[#This Row],[GL_ICP]])</f>
        <v/>
      </c>
      <c r="I87" t="s">
        <v>1212</v>
      </c>
      <c r="J87" t="s">
        <v>1425</v>
      </c>
      <c r="K87" t="str">
        <f>IFERROR(VLOOKUP(VALUE(Modded_AMF_Table[[#This Row],[GL_PC]]),BNS_Profit_Centers[],2,FALSE),"TE")</f>
        <v>TE</v>
      </c>
      <c r="L87" t="s">
        <v>1425</v>
      </c>
      <c r="M87" t="s">
        <v>1333</v>
      </c>
      <c r="N87" t="s">
        <v>1334</v>
      </c>
      <c r="O87" s="33">
        <v>8790.2999999999993</v>
      </c>
    </row>
    <row r="88" spans="1:15" x14ac:dyDescent="0.25">
      <c r="A88" t="s">
        <v>1326</v>
      </c>
      <c r="B88" t="s">
        <v>1335</v>
      </c>
      <c r="C88" t="s">
        <v>10</v>
      </c>
      <c r="D88" t="str">
        <f>VLOOKUP(Modded_AMF_Table[[#This Row],[HFM_Account]],HFM_Acct_OCF_Activity[],3,FALSE)</f>
        <v>Direct</v>
      </c>
      <c r="E88" t="s">
        <v>1210</v>
      </c>
      <c r="F88" t="s">
        <v>1194</v>
      </c>
      <c r="G88" t="s">
        <v>1336</v>
      </c>
      <c r="H88" t="str">
        <f>IF(NOT(ISERROR(FIND("NoICP",Modded_AMF_Table[[#This Row],[GL_ICP]]))),"",Modded_AMF_Table[[#This Row],[GL_ICP]])</f>
        <v/>
      </c>
      <c r="I88" t="s">
        <v>1212</v>
      </c>
      <c r="J88" t="s">
        <v>1425</v>
      </c>
      <c r="K88" t="str">
        <f>IFERROR(VLOOKUP(VALUE(Modded_AMF_Table[[#This Row],[GL_PC]]),BNS_Profit_Centers[],2,FALSE),"TE")</f>
        <v>TE</v>
      </c>
      <c r="L88" t="s">
        <v>1425</v>
      </c>
      <c r="M88" t="s">
        <v>1337</v>
      </c>
      <c r="N88" t="s">
        <v>1334</v>
      </c>
      <c r="O88" s="33">
        <v>-5248.7</v>
      </c>
    </row>
    <row r="89" spans="1:15" x14ac:dyDescent="0.25">
      <c r="A89" t="s">
        <v>1326</v>
      </c>
      <c r="B89" t="s">
        <v>1338</v>
      </c>
      <c r="C89" t="s">
        <v>10</v>
      </c>
      <c r="D89" t="str">
        <f>VLOOKUP(Modded_AMF_Table[[#This Row],[HFM_Account]],HFM_Acct_OCF_Activity[],3,FALSE)</f>
        <v>Direct</v>
      </c>
      <c r="E89" t="s">
        <v>1210</v>
      </c>
      <c r="F89" t="s">
        <v>1194</v>
      </c>
      <c r="G89" t="s">
        <v>1339</v>
      </c>
      <c r="H89" t="str">
        <f>IF(NOT(ISERROR(FIND("NoICP",Modded_AMF_Table[[#This Row],[GL_ICP]]))),"",Modded_AMF_Table[[#This Row],[GL_ICP]])</f>
        <v/>
      </c>
      <c r="I89" t="s">
        <v>1212</v>
      </c>
      <c r="J89" t="s">
        <v>1425</v>
      </c>
      <c r="K89" t="str">
        <f>IFERROR(VLOOKUP(VALUE(Modded_AMF_Table[[#This Row],[GL_PC]]),BNS_Profit_Centers[],2,FALSE),"TE")</f>
        <v>TE</v>
      </c>
      <c r="L89" t="s">
        <v>1425</v>
      </c>
      <c r="M89" t="s">
        <v>1340</v>
      </c>
      <c r="N89" t="s">
        <v>1334</v>
      </c>
      <c r="O89" s="33">
        <v>486.5</v>
      </c>
    </row>
    <row r="90" spans="1:15" x14ac:dyDescent="0.25">
      <c r="A90" t="s">
        <v>1326</v>
      </c>
      <c r="B90" t="s">
        <v>1341</v>
      </c>
      <c r="C90" t="s">
        <v>10</v>
      </c>
      <c r="D90" t="str">
        <f>VLOOKUP(Modded_AMF_Table[[#This Row],[HFM_Account]],HFM_Acct_OCF_Activity[],3,FALSE)</f>
        <v>Direct</v>
      </c>
      <c r="E90" t="s">
        <v>1210</v>
      </c>
      <c r="F90" t="s">
        <v>1194</v>
      </c>
      <c r="G90" t="s">
        <v>1342</v>
      </c>
      <c r="H90" t="str">
        <f>IF(NOT(ISERROR(FIND("NoICP",Modded_AMF_Table[[#This Row],[GL_ICP]]))),"",Modded_AMF_Table[[#This Row],[GL_ICP]])</f>
        <v/>
      </c>
      <c r="I90" t="s">
        <v>1212</v>
      </c>
      <c r="J90" t="s">
        <v>1425</v>
      </c>
      <c r="K90" t="str">
        <f>IFERROR(VLOOKUP(VALUE(Modded_AMF_Table[[#This Row],[GL_PC]]),BNS_Profit_Centers[],2,FALSE),"TE")</f>
        <v>TE</v>
      </c>
      <c r="L90" t="s">
        <v>1425</v>
      </c>
      <c r="M90" t="s">
        <v>1343</v>
      </c>
      <c r="N90" t="s">
        <v>1334</v>
      </c>
      <c r="O90" s="33">
        <v>550</v>
      </c>
    </row>
    <row r="91" spans="1:15" x14ac:dyDescent="0.25">
      <c r="A91" t="s">
        <v>1326</v>
      </c>
      <c r="B91" t="s">
        <v>1344</v>
      </c>
      <c r="C91" t="s">
        <v>10</v>
      </c>
      <c r="D91" t="str">
        <f>VLOOKUP(Modded_AMF_Table[[#This Row],[HFM_Account]],HFM_Acct_OCF_Activity[],3,FALSE)</f>
        <v>Direct</v>
      </c>
      <c r="E91" t="s">
        <v>1210</v>
      </c>
      <c r="F91" t="s">
        <v>1194</v>
      </c>
      <c r="G91" t="s">
        <v>1345</v>
      </c>
      <c r="H91" t="str">
        <f>IF(NOT(ISERROR(FIND("NoICP",Modded_AMF_Table[[#This Row],[GL_ICP]]))),"",Modded_AMF_Table[[#This Row],[GL_ICP]])</f>
        <v/>
      </c>
      <c r="I91" t="s">
        <v>1212</v>
      </c>
      <c r="J91" t="s">
        <v>1425</v>
      </c>
      <c r="K91" t="str">
        <f>IFERROR(VLOOKUP(VALUE(Modded_AMF_Table[[#This Row],[GL_PC]]),BNS_Profit_Centers[],2,FALSE),"TE")</f>
        <v>TE</v>
      </c>
      <c r="L91" t="s">
        <v>1425</v>
      </c>
      <c r="M91" t="s">
        <v>1346</v>
      </c>
      <c r="N91" t="s">
        <v>1347</v>
      </c>
      <c r="O91" s="33">
        <v>720</v>
      </c>
    </row>
    <row r="92" spans="1:15" x14ac:dyDescent="0.25">
      <c r="A92" t="s">
        <v>1326</v>
      </c>
      <c r="B92" t="s">
        <v>1348</v>
      </c>
      <c r="C92" t="s">
        <v>10</v>
      </c>
      <c r="D92" t="str">
        <f>VLOOKUP(Modded_AMF_Table[[#This Row],[HFM_Account]],HFM_Acct_OCF_Activity[],3,FALSE)</f>
        <v>Direct</v>
      </c>
      <c r="E92" t="s">
        <v>1210</v>
      </c>
      <c r="F92" t="s">
        <v>1194</v>
      </c>
      <c r="G92" t="s">
        <v>1349</v>
      </c>
      <c r="H92" t="str">
        <f>IF(NOT(ISERROR(FIND("NoICP",Modded_AMF_Table[[#This Row],[GL_ICP]]))),"",Modded_AMF_Table[[#This Row],[GL_ICP]])</f>
        <v/>
      </c>
      <c r="I92" t="s">
        <v>1212</v>
      </c>
      <c r="J92" t="s">
        <v>1425</v>
      </c>
      <c r="K92" t="str">
        <f>IFERROR(VLOOKUP(VALUE(Modded_AMF_Table[[#This Row],[GL_PC]]),BNS_Profit_Centers[],2,FALSE),"TE")</f>
        <v>TE</v>
      </c>
      <c r="L92" t="s">
        <v>1425</v>
      </c>
      <c r="M92" t="s">
        <v>1350</v>
      </c>
      <c r="N92" t="s">
        <v>1351</v>
      </c>
      <c r="O92" s="33">
        <v>619.30999999999995</v>
      </c>
    </row>
    <row r="93" spans="1:15" x14ac:dyDescent="0.25">
      <c r="A93" t="s">
        <v>1326</v>
      </c>
      <c r="B93" t="s">
        <v>1352</v>
      </c>
      <c r="C93" t="s">
        <v>10</v>
      </c>
      <c r="D93" t="str">
        <f>VLOOKUP(Modded_AMF_Table[[#This Row],[HFM_Account]],HFM_Acct_OCF_Activity[],3,FALSE)</f>
        <v>Direct</v>
      </c>
      <c r="E93" t="s">
        <v>1210</v>
      </c>
      <c r="F93" t="s">
        <v>1194</v>
      </c>
      <c r="G93" t="s">
        <v>1353</v>
      </c>
      <c r="H93" t="str">
        <f>IF(NOT(ISERROR(FIND("NoICP",Modded_AMF_Table[[#This Row],[GL_ICP]]))),"",Modded_AMF_Table[[#This Row],[GL_ICP]])</f>
        <v/>
      </c>
      <c r="I93" t="s">
        <v>1212</v>
      </c>
      <c r="J93" t="s">
        <v>1425</v>
      </c>
      <c r="K93" t="str">
        <f>IFERROR(VLOOKUP(VALUE(Modded_AMF_Table[[#This Row],[GL_PC]]),BNS_Profit_Centers[],2,FALSE),"TE")</f>
        <v>TE</v>
      </c>
      <c r="L93" t="s">
        <v>1425</v>
      </c>
      <c r="M93" t="s">
        <v>1354</v>
      </c>
      <c r="N93" t="s">
        <v>1351</v>
      </c>
      <c r="O93" s="33">
        <v>406.07</v>
      </c>
    </row>
    <row r="94" spans="1:15" x14ac:dyDescent="0.25">
      <c r="A94" t="s">
        <v>1326</v>
      </c>
      <c r="B94" t="s">
        <v>1355</v>
      </c>
      <c r="C94" t="s">
        <v>10</v>
      </c>
      <c r="D94" t="str">
        <f>VLOOKUP(Modded_AMF_Table[[#This Row],[HFM_Account]],HFM_Acct_OCF_Activity[],3,FALSE)</f>
        <v>Direct</v>
      </c>
      <c r="E94" t="s">
        <v>1210</v>
      </c>
      <c r="F94" t="s">
        <v>1194</v>
      </c>
      <c r="G94" t="s">
        <v>1356</v>
      </c>
      <c r="H94" t="str">
        <f>IF(NOT(ISERROR(FIND("NoICP",Modded_AMF_Table[[#This Row],[GL_ICP]]))),"",Modded_AMF_Table[[#This Row],[GL_ICP]])</f>
        <v/>
      </c>
      <c r="I94" t="s">
        <v>1212</v>
      </c>
      <c r="J94" t="s">
        <v>1425</v>
      </c>
      <c r="K94" t="str">
        <f>IFERROR(VLOOKUP(VALUE(Modded_AMF_Table[[#This Row],[GL_PC]]),BNS_Profit_Centers[],2,FALSE),"TE")</f>
        <v>TE</v>
      </c>
      <c r="L94" t="s">
        <v>1425</v>
      </c>
      <c r="M94" t="s">
        <v>1357</v>
      </c>
      <c r="N94" t="s">
        <v>1351</v>
      </c>
      <c r="O94" s="33">
        <v>446.4</v>
      </c>
    </row>
    <row r="95" spans="1:15" x14ac:dyDescent="0.25">
      <c r="A95" t="s">
        <v>1326</v>
      </c>
      <c r="B95" t="s">
        <v>1358</v>
      </c>
      <c r="C95" t="s">
        <v>10</v>
      </c>
      <c r="D95" t="str">
        <f>VLOOKUP(Modded_AMF_Table[[#This Row],[HFM_Account]],HFM_Acct_OCF_Activity[],3,FALSE)</f>
        <v>Direct</v>
      </c>
      <c r="E95" t="s">
        <v>1210</v>
      </c>
      <c r="F95" t="s">
        <v>1194</v>
      </c>
      <c r="G95" t="s">
        <v>1359</v>
      </c>
      <c r="H95" t="str">
        <f>IF(NOT(ISERROR(FIND("NoICP",Modded_AMF_Table[[#This Row],[GL_ICP]]))),"",Modded_AMF_Table[[#This Row],[GL_ICP]])</f>
        <v/>
      </c>
      <c r="I95" t="s">
        <v>1212</v>
      </c>
      <c r="J95" t="s">
        <v>1425</v>
      </c>
      <c r="K95" t="str">
        <f>IFERROR(VLOOKUP(VALUE(Modded_AMF_Table[[#This Row],[GL_PC]]),BNS_Profit_Centers[],2,FALSE),"TE")</f>
        <v>TE</v>
      </c>
      <c r="L95" t="s">
        <v>1425</v>
      </c>
      <c r="M95" t="s">
        <v>1360</v>
      </c>
      <c r="N95" t="s">
        <v>1361</v>
      </c>
      <c r="O95" s="33">
        <v>3627.65</v>
      </c>
    </row>
    <row r="96" spans="1:15" x14ac:dyDescent="0.25">
      <c r="A96" t="s">
        <v>1326</v>
      </c>
      <c r="B96" t="s">
        <v>1362</v>
      </c>
      <c r="C96" t="s">
        <v>10</v>
      </c>
      <c r="D96" t="str">
        <f>VLOOKUP(Modded_AMF_Table[[#This Row],[HFM_Account]],HFM_Acct_OCF_Activity[],3,FALSE)</f>
        <v>Direct</v>
      </c>
      <c r="E96" t="s">
        <v>1210</v>
      </c>
      <c r="F96" t="s">
        <v>1194</v>
      </c>
      <c r="G96" t="s">
        <v>1363</v>
      </c>
      <c r="H96" t="str">
        <f>IF(NOT(ISERROR(FIND("NoICP",Modded_AMF_Table[[#This Row],[GL_ICP]]))),"",Modded_AMF_Table[[#This Row],[GL_ICP]])</f>
        <v/>
      </c>
      <c r="I96" t="s">
        <v>1212</v>
      </c>
      <c r="J96" t="s">
        <v>1425</v>
      </c>
      <c r="K96" t="str">
        <f>IFERROR(VLOOKUP(VALUE(Modded_AMF_Table[[#This Row],[GL_PC]]),BNS_Profit_Centers[],2,FALSE),"TE")</f>
        <v>TE</v>
      </c>
      <c r="L96" t="s">
        <v>1425</v>
      </c>
      <c r="M96" t="s">
        <v>1364</v>
      </c>
      <c r="N96" t="s">
        <v>1364</v>
      </c>
      <c r="O96" s="33">
        <v>-17633.099999999999</v>
      </c>
    </row>
    <row r="97" spans="1:15" x14ac:dyDescent="0.25">
      <c r="A97" t="s">
        <v>1326</v>
      </c>
      <c r="B97" t="s">
        <v>1369</v>
      </c>
      <c r="C97" t="s">
        <v>10</v>
      </c>
      <c r="D97" t="str">
        <f>VLOOKUP(Modded_AMF_Table[[#This Row],[HFM_Account]],HFM_Acct_OCF_Activity[],3,FALSE)</f>
        <v>Direct</v>
      </c>
      <c r="E97" t="s">
        <v>1210</v>
      </c>
      <c r="F97" t="s">
        <v>1194</v>
      </c>
      <c r="G97" t="s">
        <v>1370</v>
      </c>
      <c r="H97" t="str">
        <f>IF(NOT(ISERROR(FIND("NoICP",Modded_AMF_Table[[#This Row],[GL_ICP]]))),"",Modded_AMF_Table[[#This Row],[GL_ICP]])</f>
        <v/>
      </c>
      <c r="I97" t="s">
        <v>1212</v>
      </c>
      <c r="J97" t="s">
        <v>1425</v>
      </c>
      <c r="K97" t="str">
        <f>IFERROR(VLOOKUP(VALUE(Modded_AMF_Table[[#This Row],[GL_PC]]),BNS_Profit_Centers[],2,FALSE),"TE")</f>
        <v>TE</v>
      </c>
      <c r="L97" t="s">
        <v>1425</v>
      </c>
      <c r="M97" t="s">
        <v>1371</v>
      </c>
      <c r="N97" t="s">
        <v>1368</v>
      </c>
      <c r="O97" s="33">
        <v>76410.100000000006</v>
      </c>
    </row>
    <row r="98" spans="1:15" x14ac:dyDescent="0.25">
      <c r="A98" t="s">
        <v>1326</v>
      </c>
      <c r="B98" t="s">
        <v>1372</v>
      </c>
      <c r="C98" t="s">
        <v>10</v>
      </c>
      <c r="D98" t="str">
        <f>VLOOKUP(Modded_AMF_Table[[#This Row],[HFM_Account]],HFM_Acct_OCF_Activity[],3,FALSE)</f>
        <v>Direct</v>
      </c>
      <c r="E98" t="s">
        <v>1210</v>
      </c>
      <c r="F98" t="s">
        <v>1194</v>
      </c>
      <c r="G98" t="s">
        <v>1373</v>
      </c>
      <c r="H98" t="str">
        <f>IF(NOT(ISERROR(FIND("NoICP",Modded_AMF_Table[[#This Row],[GL_ICP]]))),"",Modded_AMF_Table[[#This Row],[GL_ICP]])</f>
        <v/>
      </c>
      <c r="I98" t="s">
        <v>1212</v>
      </c>
      <c r="J98" t="s">
        <v>1425</v>
      </c>
      <c r="K98" t="str">
        <f>IFERROR(VLOOKUP(VALUE(Modded_AMF_Table[[#This Row],[GL_PC]]),BNS_Profit_Centers[],2,FALSE),"TE")</f>
        <v>TE</v>
      </c>
      <c r="L98" t="s">
        <v>1425</v>
      </c>
      <c r="M98" t="s">
        <v>1374</v>
      </c>
      <c r="N98" t="s">
        <v>1374</v>
      </c>
      <c r="O98" s="33">
        <v>28655.87</v>
      </c>
    </row>
    <row r="99" spans="1:15" x14ac:dyDescent="0.25">
      <c r="A99" t="s">
        <v>1326</v>
      </c>
      <c r="B99" t="s">
        <v>1375</v>
      </c>
      <c r="C99" t="s">
        <v>10</v>
      </c>
      <c r="D99" t="str">
        <f>VLOOKUP(Modded_AMF_Table[[#This Row],[HFM_Account]],HFM_Acct_OCF_Activity[],3,FALSE)</f>
        <v>Direct</v>
      </c>
      <c r="E99" t="s">
        <v>1210</v>
      </c>
      <c r="F99" t="s">
        <v>1194</v>
      </c>
      <c r="G99" t="s">
        <v>1376</v>
      </c>
      <c r="H99" t="str">
        <f>IF(NOT(ISERROR(FIND("NoICP",Modded_AMF_Table[[#This Row],[GL_ICP]]))),"",Modded_AMF_Table[[#This Row],[GL_ICP]])</f>
        <v/>
      </c>
      <c r="I99" t="s">
        <v>1212</v>
      </c>
      <c r="J99" t="s">
        <v>1425</v>
      </c>
      <c r="K99" t="str">
        <f>IFERROR(VLOOKUP(VALUE(Modded_AMF_Table[[#This Row],[GL_PC]]),BNS_Profit_Centers[],2,FALSE),"TE")</f>
        <v>TE</v>
      </c>
      <c r="L99" t="s">
        <v>1425</v>
      </c>
      <c r="M99" t="s">
        <v>1377</v>
      </c>
      <c r="N99" t="s">
        <v>1374</v>
      </c>
      <c r="O99" s="33">
        <v>12462.36</v>
      </c>
    </row>
    <row r="100" spans="1:15" x14ac:dyDescent="0.25">
      <c r="A100" t="s">
        <v>1326</v>
      </c>
      <c r="B100" t="s">
        <v>1378</v>
      </c>
      <c r="C100" t="s">
        <v>10</v>
      </c>
      <c r="D100" t="str">
        <f>VLOOKUP(Modded_AMF_Table[[#This Row],[HFM_Account]],HFM_Acct_OCF_Activity[],3,FALSE)</f>
        <v>Direct</v>
      </c>
      <c r="E100" t="s">
        <v>1210</v>
      </c>
      <c r="F100" t="s">
        <v>1194</v>
      </c>
      <c r="G100" t="s">
        <v>1379</v>
      </c>
      <c r="H100" t="str">
        <f>IF(NOT(ISERROR(FIND("NoICP",Modded_AMF_Table[[#This Row],[GL_ICP]]))),"",Modded_AMF_Table[[#This Row],[GL_ICP]])</f>
        <v/>
      </c>
      <c r="I100" t="s">
        <v>1212</v>
      </c>
      <c r="J100" t="s">
        <v>1425</v>
      </c>
      <c r="K100" t="str">
        <f>IFERROR(VLOOKUP(VALUE(Modded_AMF_Table[[#This Row],[GL_PC]]),BNS_Profit_Centers[],2,FALSE),"TE")</f>
        <v>TE</v>
      </c>
      <c r="L100" t="s">
        <v>1425</v>
      </c>
      <c r="M100" t="s">
        <v>1380</v>
      </c>
      <c r="N100" t="s">
        <v>1380</v>
      </c>
      <c r="O100" s="33">
        <v>6119.73</v>
      </c>
    </row>
    <row r="101" spans="1:15" x14ac:dyDescent="0.25">
      <c r="A101" t="s">
        <v>1326</v>
      </c>
      <c r="B101" t="s">
        <v>1381</v>
      </c>
      <c r="C101" t="s">
        <v>10</v>
      </c>
      <c r="D101" t="str">
        <f>VLOOKUP(Modded_AMF_Table[[#This Row],[HFM_Account]],HFM_Acct_OCF_Activity[],3,FALSE)</f>
        <v>Direct</v>
      </c>
      <c r="E101" t="s">
        <v>1210</v>
      </c>
      <c r="F101" t="s">
        <v>1194</v>
      </c>
      <c r="G101" t="s">
        <v>1382</v>
      </c>
      <c r="H101" t="str">
        <f>IF(NOT(ISERROR(FIND("NoICP",Modded_AMF_Table[[#This Row],[GL_ICP]]))),"",Modded_AMF_Table[[#This Row],[GL_ICP]])</f>
        <v/>
      </c>
      <c r="I101" t="s">
        <v>1212</v>
      </c>
      <c r="J101" t="s">
        <v>1425</v>
      </c>
      <c r="K101" t="str">
        <f>IFERROR(VLOOKUP(VALUE(Modded_AMF_Table[[#This Row],[GL_PC]]),BNS_Profit_Centers[],2,FALSE),"TE")</f>
        <v>TE</v>
      </c>
      <c r="L101" t="s">
        <v>1425</v>
      </c>
      <c r="M101" t="s">
        <v>1383</v>
      </c>
      <c r="N101" t="s">
        <v>1334</v>
      </c>
      <c r="O101" s="33">
        <v>9002.3799999999992</v>
      </c>
    </row>
    <row r="102" spans="1:15" x14ac:dyDescent="0.25">
      <c r="A102" t="s">
        <v>1326</v>
      </c>
      <c r="B102" t="s">
        <v>1384</v>
      </c>
      <c r="C102" t="s">
        <v>10</v>
      </c>
      <c r="D102" t="str">
        <f>VLOOKUP(Modded_AMF_Table[[#This Row],[HFM_Account]],HFM_Acct_OCF_Activity[],3,FALSE)</f>
        <v>Direct</v>
      </c>
      <c r="E102" t="s">
        <v>1210</v>
      </c>
      <c r="F102" t="s">
        <v>1194</v>
      </c>
      <c r="G102" t="s">
        <v>1385</v>
      </c>
      <c r="H102" t="str">
        <f>IF(NOT(ISERROR(FIND("NoICP",Modded_AMF_Table[[#This Row],[GL_ICP]]))),"",Modded_AMF_Table[[#This Row],[GL_ICP]])</f>
        <v/>
      </c>
      <c r="I102" t="s">
        <v>1212</v>
      </c>
      <c r="J102" t="s">
        <v>1425</v>
      </c>
      <c r="K102" t="str">
        <f>IFERROR(VLOOKUP(VALUE(Modded_AMF_Table[[#This Row],[GL_PC]]),BNS_Profit_Centers[],2,FALSE),"TE")</f>
        <v>TE</v>
      </c>
      <c r="L102" t="s">
        <v>1425</v>
      </c>
      <c r="M102" t="s">
        <v>1386</v>
      </c>
      <c r="N102" t="s">
        <v>1386</v>
      </c>
      <c r="O102" s="33">
        <v>512.95000000000005</v>
      </c>
    </row>
    <row r="103" spans="1:15" x14ac:dyDescent="0.25">
      <c r="A103" t="s">
        <v>1326</v>
      </c>
      <c r="B103" t="s">
        <v>1387</v>
      </c>
      <c r="C103" t="s">
        <v>10</v>
      </c>
      <c r="D103" t="str">
        <f>VLOOKUP(Modded_AMF_Table[[#This Row],[HFM_Account]],HFM_Acct_OCF_Activity[],3,FALSE)</f>
        <v>Direct</v>
      </c>
      <c r="E103" t="s">
        <v>1210</v>
      </c>
      <c r="F103" t="s">
        <v>1194</v>
      </c>
      <c r="G103" t="s">
        <v>1388</v>
      </c>
      <c r="H103" t="str">
        <f>IF(NOT(ISERROR(FIND("NoICP",Modded_AMF_Table[[#This Row],[GL_ICP]]))),"",Modded_AMF_Table[[#This Row],[GL_ICP]])</f>
        <v/>
      </c>
      <c r="I103" t="s">
        <v>1212</v>
      </c>
      <c r="J103" t="s">
        <v>1425</v>
      </c>
      <c r="K103" t="str">
        <f>IFERROR(VLOOKUP(VALUE(Modded_AMF_Table[[#This Row],[GL_PC]]),BNS_Profit_Centers[],2,FALSE),"TE")</f>
        <v>TE</v>
      </c>
      <c r="L103" t="s">
        <v>1425</v>
      </c>
      <c r="M103" t="s">
        <v>1389</v>
      </c>
      <c r="N103" t="s">
        <v>1390</v>
      </c>
      <c r="O103" s="33">
        <v>1350.69</v>
      </c>
    </row>
    <row r="104" spans="1:15" x14ac:dyDescent="0.25">
      <c r="A104" t="s">
        <v>1326</v>
      </c>
      <c r="B104" t="s">
        <v>1391</v>
      </c>
      <c r="C104" t="s">
        <v>10</v>
      </c>
      <c r="D104" t="str">
        <f>VLOOKUP(Modded_AMF_Table[[#This Row],[HFM_Account]],HFM_Acct_OCF_Activity[],3,FALSE)</f>
        <v>Direct</v>
      </c>
      <c r="E104" t="s">
        <v>1210</v>
      </c>
      <c r="F104" t="s">
        <v>1194</v>
      </c>
      <c r="G104" t="s">
        <v>1392</v>
      </c>
      <c r="H104" t="str">
        <f>IF(NOT(ISERROR(FIND("NoICP",Modded_AMF_Table[[#This Row],[GL_ICP]]))),"",Modded_AMF_Table[[#This Row],[GL_ICP]])</f>
        <v/>
      </c>
      <c r="I104" t="s">
        <v>1212</v>
      </c>
      <c r="J104" t="s">
        <v>1425</v>
      </c>
      <c r="K104" t="str">
        <f>IFERROR(VLOOKUP(VALUE(Modded_AMF_Table[[#This Row],[GL_PC]]),BNS_Profit_Centers[],2,FALSE),"TE")</f>
        <v>TE</v>
      </c>
      <c r="L104" t="s">
        <v>1425</v>
      </c>
      <c r="M104" t="s">
        <v>1393</v>
      </c>
      <c r="N104" t="s">
        <v>1390</v>
      </c>
      <c r="O104" s="33">
        <v>2531.92</v>
      </c>
    </row>
    <row r="105" spans="1:15" x14ac:dyDescent="0.25">
      <c r="A105" t="s">
        <v>1326</v>
      </c>
      <c r="B105" t="s">
        <v>1394</v>
      </c>
      <c r="C105" t="s">
        <v>10</v>
      </c>
      <c r="D105" t="str">
        <f>VLOOKUP(Modded_AMF_Table[[#This Row],[HFM_Account]],HFM_Acct_OCF_Activity[],3,FALSE)</f>
        <v>Direct</v>
      </c>
      <c r="E105" t="s">
        <v>1210</v>
      </c>
      <c r="F105" t="s">
        <v>1194</v>
      </c>
      <c r="G105" t="s">
        <v>1395</v>
      </c>
      <c r="H105" t="str">
        <f>IF(NOT(ISERROR(FIND("NoICP",Modded_AMF_Table[[#This Row],[GL_ICP]]))),"",Modded_AMF_Table[[#This Row],[GL_ICP]])</f>
        <v/>
      </c>
      <c r="I105" t="s">
        <v>1212</v>
      </c>
      <c r="J105" t="s">
        <v>1425</v>
      </c>
      <c r="K105" t="str">
        <f>IFERROR(VLOOKUP(VALUE(Modded_AMF_Table[[#This Row],[GL_PC]]),BNS_Profit_Centers[],2,FALSE),"TE")</f>
        <v>TE</v>
      </c>
      <c r="L105" t="s">
        <v>1425</v>
      </c>
      <c r="M105" t="s">
        <v>1396</v>
      </c>
      <c r="N105" t="s">
        <v>1390</v>
      </c>
      <c r="O105" s="33">
        <v>2052</v>
      </c>
    </row>
    <row r="106" spans="1:15" x14ac:dyDescent="0.25">
      <c r="A106" t="s">
        <v>1326</v>
      </c>
      <c r="B106" t="s">
        <v>1397</v>
      </c>
      <c r="C106" t="s">
        <v>10</v>
      </c>
      <c r="D106" t="str">
        <f>VLOOKUP(Modded_AMF_Table[[#This Row],[HFM_Account]],HFM_Acct_OCF_Activity[],3,FALSE)</f>
        <v>Direct</v>
      </c>
      <c r="E106" t="s">
        <v>1210</v>
      </c>
      <c r="F106" t="s">
        <v>1194</v>
      </c>
      <c r="G106" t="s">
        <v>1398</v>
      </c>
      <c r="H106" t="str">
        <f>IF(NOT(ISERROR(FIND("NoICP",Modded_AMF_Table[[#This Row],[GL_ICP]]))),"",Modded_AMF_Table[[#This Row],[GL_ICP]])</f>
        <v/>
      </c>
      <c r="I106" t="s">
        <v>1212</v>
      </c>
      <c r="J106" t="s">
        <v>1425</v>
      </c>
      <c r="K106" t="str">
        <f>IFERROR(VLOOKUP(VALUE(Modded_AMF_Table[[#This Row],[GL_PC]]),BNS_Profit_Centers[],2,FALSE),"TE")</f>
        <v>TE</v>
      </c>
      <c r="L106" t="s">
        <v>1425</v>
      </c>
      <c r="M106" t="s">
        <v>1399</v>
      </c>
      <c r="N106" t="s">
        <v>1390</v>
      </c>
      <c r="O106" s="33">
        <v>3491.21</v>
      </c>
    </row>
    <row r="107" spans="1:15" x14ac:dyDescent="0.25">
      <c r="A107" t="s">
        <v>1326</v>
      </c>
      <c r="B107" t="s">
        <v>1400</v>
      </c>
      <c r="C107" t="s">
        <v>10</v>
      </c>
      <c r="D107" t="str">
        <f>VLOOKUP(Modded_AMF_Table[[#This Row],[HFM_Account]],HFM_Acct_OCF_Activity[],3,FALSE)</f>
        <v>Direct</v>
      </c>
      <c r="E107" t="s">
        <v>1210</v>
      </c>
      <c r="F107" t="s">
        <v>1194</v>
      </c>
      <c r="G107" t="s">
        <v>1401</v>
      </c>
      <c r="H107" t="str">
        <f>IF(NOT(ISERROR(FIND("NoICP",Modded_AMF_Table[[#This Row],[GL_ICP]]))),"",Modded_AMF_Table[[#This Row],[GL_ICP]])</f>
        <v/>
      </c>
      <c r="I107" t="s">
        <v>1212</v>
      </c>
      <c r="J107" t="s">
        <v>1425</v>
      </c>
      <c r="K107" t="str">
        <f>IFERROR(VLOOKUP(VALUE(Modded_AMF_Table[[#This Row],[GL_PC]]),BNS_Profit_Centers[],2,FALSE),"TE")</f>
        <v>TE</v>
      </c>
      <c r="L107" t="s">
        <v>1425</v>
      </c>
      <c r="M107" t="s">
        <v>1402</v>
      </c>
      <c r="N107" t="s">
        <v>1390</v>
      </c>
      <c r="O107" s="33">
        <v>334.16</v>
      </c>
    </row>
    <row r="108" spans="1:15" x14ac:dyDescent="0.25">
      <c r="A108" t="s">
        <v>1326</v>
      </c>
      <c r="B108" t="s">
        <v>1403</v>
      </c>
      <c r="C108" t="s">
        <v>10</v>
      </c>
      <c r="D108" t="str">
        <f>VLOOKUP(Modded_AMF_Table[[#This Row],[HFM_Account]],HFM_Acct_OCF_Activity[],3,FALSE)</f>
        <v>Direct</v>
      </c>
      <c r="E108" t="s">
        <v>1210</v>
      </c>
      <c r="F108" t="s">
        <v>1194</v>
      </c>
      <c r="G108" t="s">
        <v>1404</v>
      </c>
      <c r="H108" t="str">
        <f>IF(NOT(ISERROR(FIND("NoICP",Modded_AMF_Table[[#This Row],[GL_ICP]]))),"",Modded_AMF_Table[[#This Row],[GL_ICP]])</f>
        <v/>
      </c>
      <c r="I108" t="s">
        <v>1212</v>
      </c>
      <c r="J108" t="s">
        <v>1425</v>
      </c>
      <c r="K108" t="str">
        <f>IFERROR(VLOOKUP(VALUE(Modded_AMF_Table[[#This Row],[GL_PC]]),BNS_Profit_Centers[],2,FALSE),"TE")</f>
        <v>TE</v>
      </c>
      <c r="L108" t="s">
        <v>1425</v>
      </c>
      <c r="M108" t="s">
        <v>1405</v>
      </c>
      <c r="N108" t="s">
        <v>1390</v>
      </c>
      <c r="O108" s="33">
        <v>885.95</v>
      </c>
    </row>
    <row r="109" spans="1:15" x14ac:dyDescent="0.25">
      <c r="A109" t="s">
        <v>1326</v>
      </c>
      <c r="B109" t="s">
        <v>1406</v>
      </c>
      <c r="C109" t="s">
        <v>10</v>
      </c>
      <c r="D109" t="str">
        <f>VLOOKUP(Modded_AMF_Table[[#This Row],[HFM_Account]],HFM_Acct_OCF_Activity[],3,FALSE)</f>
        <v>Direct</v>
      </c>
      <c r="E109" t="s">
        <v>1210</v>
      </c>
      <c r="F109" t="s">
        <v>1194</v>
      </c>
      <c r="G109" t="s">
        <v>1407</v>
      </c>
      <c r="H109" t="str">
        <f>IF(NOT(ISERROR(FIND("NoICP",Modded_AMF_Table[[#This Row],[GL_ICP]]))),"",Modded_AMF_Table[[#This Row],[GL_ICP]])</f>
        <v/>
      </c>
      <c r="I109" t="s">
        <v>1212</v>
      </c>
      <c r="J109" t="s">
        <v>1425</v>
      </c>
      <c r="K109" t="str">
        <f>IFERROR(VLOOKUP(VALUE(Modded_AMF_Table[[#This Row],[GL_PC]]),BNS_Profit_Centers[],2,FALSE),"TE")</f>
        <v>TE</v>
      </c>
      <c r="L109" t="s">
        <v>1425</v>
      </c>
      <c r="M109" t="s">
        <v>1408</v>
      </c>
      <c r="N109" t="s">
        <v>1390</v>
      </c>
      <c r="O109" s="33">
        <v>3431.7</v>
      </c>
    </row>
    <row r="110" spans="1:15" x14ac:dyDescent="0.25">
      <c r="A110" t="s">
        <v>1326</v>
      </c>
      <c r="B110" t="s">
        <v>1409</v>
      </c>
      <c r="C110" t="s">
        <v>10</v>
      </c>
      <c r="D110" t="str">
        <f>VLOOKUP(Modded_AMF_Table[[#This Row],[HFM_Account]],HFM_Acct_OCF_Activity[],3,FALSE)</f>
        <v>Direct</v>
      </c>
      <c r="E110" t="s">
        <v>1210</v>
      </c>
      <c r="F110" t="s">
        <v>1194</v>
      </c>
      <c r="G110" t="s">
        <v>1410</v>
      </c>
      <c r="H110" t="str">
        <f>IF(NOT(ISERROR(FIND("NoICP",Modded_AMF_Table[[#This Row],[GL_ICP]]))),"",Modded_AMF_Table[[#This Row],[GL_ICP]])</f>
        <v/>
      </c>
      <c r="I110" t="s">
        <v>1212</v>
      </c>
      <c r="J110" t="s">
        <v>1425</v>
      </c>
      <c r="K110" t="str">
        <f>IFERROR(VLOOKUP(VALUE(Modded_AMF_Table[[#This Row],[GL_PC]]),BNS_Profit_Centers[],2,FALSE),"TE")</f>
        <v>TE</v>
      </c>
      <c r="L110" t="s">
        <v>1425</v>
      </c>
      <c r="M110" t="s">
        <v>1411</v>
      </c>
      <c r="N110" t="s">
        <v>1390</v>
      </c>
      <c r="O110" s="33">
        <v>950</v>
      </c>
    </row>
    <row r="111" spans="1:15" x14ac:dyDescent="0.25">
      <c r="A111" t="s">
        <v>1326</v>
      </c>
      <c r="B111" t="s">
        <v>1426</v>
      </c>
      <c r="C111" t="s">
        <v>10</v>
      </c>
      <c r="D111" t="str">
        <f>VLOOKUP(Modded_AMF_Table[[#This Row],[HFM_Account]],HFM_Acct_OCF_Activity[],3,FALSE)</f>
        <v>Direct</v>
      </c>
      <c r="E111" t="s">
        <v>1210</v>
      </c>
      <c r="F111" t="s">
        <v>1194</v>
      </c>
      <c r="G111" t="s">
        <v>1427</v>
      </c>
      <c r="H111" t="str">
        <f>IF(NOT(ISERROR(FIND("NoICP",Modded_AMF_Table[[#This Row],[GL_ICP]]))),"",Modded_AMF_Table[[#This Row],[GL_ICP]])</f>
        <v/>
      </c>
      <c r="I111" t="s">
        <v>1212</v>
      </c>
      <c r="J111" t="s">
        <v>1425</v>
      </c>
      <c r="K111" t="str">
        <f>IFERROR(VLOOKUP(VALUE(Modded_AMF_Table[[#This Row],[GL_PC]]),BNS_Profit_Centers[],2,FALSE),"TE")</f>
        <v>TE</v>
      </c>
      <c r="L111" t="s">
        <v>1425</v>
      </c>
      <c r="M111" t="s">
        <v>1428</v>
      </c>
      <c r="N111" t="s">
        <v>1415</v>
      </c>
      <c r="O111" s="33">
        <v>220.09</v>
      </c>
    </row>
    <row r="112" spans="1:15" x14ac:dyDescent="0.25">
      <c r="A112" t="s">
        <v>1326</v>
      </c>
      <c r="B112" t="s">
        <v>1412</v>
      </c>
      <c r="C112" t="s">
        <v>10</v>
      </c>
      <c r="D112" t="str">
        <f>VLOOKUP(Modded_AMF_Table[[#This Row],[HFM_Account]],HFM_Acct_OCF_Activity[],3,FALSE)</f>
        <v>Direct</v>
      </c>
      <c r="E112" t="s">
        <v>1210</v>
      </c>
      <c r="F112" t="s">
        <v>1194</v>
      </c>
      <c r="G112" t="s">
        <v>1413</v>
      </c>
      <c r="H112" t="str">
        <f>IF(NOT(ISERROR(FIND("NoICP",Modded_AMF_Table[[#This Row],[GL_ICP]]))),"",Modded_AMF_Table[[#This Row],[GL_ICP]])</f>
        <v/>
      </c>
      <c r="I112" t="s">
        <v>1212</v>
      </c>
      <c r="J112" t="s">
        <v>1425</v>
      </c>
      <c r="K112" t="str">
        <f>IFERROR(VLOOKUP(VALUE(Modded_AMF_Table[[#This Row],[GL_PC]]),BNS_Profit_Centers[],2,FALSE),"TE")</f>
        <v>TE</v>
      </c>
      <c r="L112" t="s">
        <v>1425</v>
      </c>
      <c r="M112" t="s">
        <v>1414</v>
      </c>
      <c r="N112" t="s">
        <v>1415</v>
      </c>
      <c r="O112" s="33">
        <v>7078.46</v>
      </c>
    </row>
    <row r="113" spans="1:15" x14ac:dyDescent="0.25">
      <c r="A113" t="s">
        <v>1326</v>
      </c>
      <c r="B113" t="s">
        <v>1416</v>
      </c>
      <c r="C113" t="s">
        <v>10</v>
      </c>
      <c r="D113" t="str">
        <f>VLOOKUP(Modded_AMF_Table[[#This Row],[HFM_Account]],HFM_Acct_OCF_Activity[],3,FALSE)</f>
        <v>Direct</v>
      </c>
      <c r="E113" t="s">
        <v>1210</v>
      </c>
      <c r="F113" t="s">
        <v>1194</v>
      </c>
      <c r="G113" t="s">
        <v>1417</v>
      </c>
      <c r="H113" t="str">
        <f>IF(NOT(ISERROR(FIND("NoICP",Modded_AMF_Table[[#This Row],[GL_ICP]]))),"",Modded_AMF_Table[[#This Row],[GL_ICP]])</f>
        <v/>
      </c>
      <c r="I113" t="s">
        <v>1212</v>
      </c>
      <c r="J113" t="s">
        <v>1425</v>
      </c>
      <c r="K113" t="str">
        <f>IFERROR(VLOOKUP(VALUE(Modded_AMF_Table[[#This Row],[GL_PC]]),BNS_Profit_Centers[],2,FALSE),"TE")</f>
        <v>TE</v>
      </c>
      <c r="L113" t="s">
        <v>1425</v>
      </c>
      <c r="M113" t="s">
        <v>1418</v>
      </c>
      <c r="N113" t="s">
        <v>1415</v>
      </c>
      <c r="O113" s="33">
        <v>14242.26</v>
      </c>
    </row>
    <row r="114" spans="1:15" x14ac:dyDescent="0.25">
      <c r="A114" t="s">
        <v>1326</v>
      </c>
      <c r="B114" t="s">
        <v>1429</v>
      </c>
      <c r="C114" t="s">
        <v>10</v>
      </c>
      <c r="D114" t="str">
        <f>VLOOKUP(Modded_AMF_Table[[#This Row],[HFM_Account]],HFM_Acct_OCF_Activity[],3,FALSE)</f>
        <v>Direct</v>
      </c>
      <c r="E114" t="s">
        <v>1210</v>
      </c>
      <c r="F114" t="s">
        <v>1194</v>
      </c>
      <c r="G114" t="s">
        <v>1430</v>
      </c>
      <c r="H114" t="str">
        <f>IF(NOT(ISERROR(FIND("NoICP",Modded_AMF_Table[[#This Row],[GL_ICP]]))),"",Modded_AMF_Table[[#This Row],[GL_ICP]])</f>
        <v/>
      </c>
      <c r="I114" t="s">
        <v>1212</v>
      </c>
      <c r="J114" t="s">
        <v>1425</v>
      </c>
      <c r="K114" t="str">
        <f>IFERROR(VLOOKUP(VALUE(Modded_AMF_Table[[#This Row],[GL_PC]]),BNS_Profit_Centers[],2,FALSE),"TE")</f>
        <v>TE</v>
      </c>
      <c r="L114" t="s">
        <v>1425</v>
      </c>
      <c r="M114" t="s">
        <v>1431</v>
      </c>
      <c r="N114" t="s">
        <v>1432</v>
      </c>
      <c r="O114" s="33">
        <v>1224.8900000000001</v>
      </c>
    </row>
    <row r="115" spans="1:15" x14ac:dyDescent="0.25">
      <c r="A115" t="s">
        <v>1326</v>
      </c>
      <c r="B115" t="s">
        <v>1422</v>
      </c>
      <c r="C115" t="s">
        <v>10</v>
      </c>
      <c r="D115" t="str">
        <f>VLOOKUP(Modded_AMF_Table[[#This Row],[HFM_Account]],HFM_Acct_OCF_Activity[],3,FALSE)</f>
        <v>Direct</v>
      </c>
      <c r="E115" t="s">
        <v>1210</v>
      </c>
      <c r="F115" t="s">
        <v>1194</v>
      </c>
      <c r="G115" t="s">
        <v>1423</v>
      </c>
      <c r="H115" t="str">
        <f>IF(NOT(ISERROR(FIND("NoICP",Modded_AMF_Table[[#This Row],[GL_ICP]]))),"",Modded_AMF_Table[[#This Row],[GL_ICP]])</f>
        <v/>
      </c>
      <c r="I115" t="s">
        <v>1212</v>
      </c>
      <c r="J115" t="s">
        <v>1425</v>
      </c>
      <c r="K115" t="str">
        <f>IFERROR(VLOOKUP(VALUE(Modded_AMF_Table[[#This Row],[GL_PC]]),BNS_Profit_Centers[],2,FALSE),"TE")</f>
        <v>TE</v>
      </c>
      <c r="L115" t="s">
        <v>1425</v>
      </c>
      <c r="M115" t="s">
        <v>1424</v>
      </c>
      <c r="N115" t="s">
        <v>1424</v>
      </c>
      <c r="O115" s="33">
        <v>295.42</v>
      </c>
    </row>
    <row r="116" spans="1:15" x14ac:dyDescent="0.25">
      <c r="A116" t="s">
        <v>1326</v>
      </c>
      <c r="B116" t="s">
        <v>1433</v>
      </c>
      <c r="C116" t="s">
        <v>10</v>
      </c>
      <c r="D116" t="str">
        <f>VLOOKUP(Modded_AMF_Table[[#This Row],[HFM_Account]],HFM_Acct_OCF_Activity[],3,FALSE)</f>
        <v>Direct</v>
      </c>
      <c r="E116" t="s">
        <v>1210</v>
      </c>
      <c r="F116" t="s">
        <v>1194</v>
      </c>
      <c r="G116" t="s">
        <v>1434</v>
      </c>
      <c r="H116" t="str">
        <f>IF(NOT(ISERROR(FIND("NoICP",Modded_AMF_Table[[#This Row],[GL_ICP]]))),"",Modded_AMF_Table[[#This Row],[GL_ICP]])</f>
        <v/>
      </c>
      <c r="I116" t="s">
        <v>1212</v>
      </c>
      <c r="J116" t="s">
        <v>1425</v>
      </c>
      <c r="K116" t="str">
        <f>IFERROR(VLOOKUP(VALUE(Modded_AMF_Table[[#This Row],[GL_PC]]),BNS_Profit_Centers[],2,FALSE),"TE")</f>
        <v>TE</v>
      </c>
      <c r="L116" t="s">
        <v>1425</v>
      </c>
      <c r="M116" t="s">
        <v>1435</v>
      </c>
      <c r="N116" t="s">
        <v>1436</v>
      </c>
      <c r="O116" s="33">
        <v>663.26</v>
      </c>
    </row>
    <row r="117" spans="1:15" x14ac:dyDescent="0.25">
      <c r="A117" t="s">
        <v>1326</v>
      </c>
      <c r="B117" t="s">
        <v>1437</v>
      </c>
      <c r="C117" t="s">
        <v>10</v>
      </c>
      <c r="D117" t="str">
        <f>VLOOKUP(Modded_AMF_Table[[#This Row],[HFM_Account]],HFM_Acct_OCF_Activity[],3,FALSE)</f>
        <v>Direct</v>
      </c>
      <c r="E117" t="s">
        <v>1210</v>
      </c>
      <c r="F117" t="s">
        <v>1194</v>
      </c>
      <c r="G117" t="s">
        <v>1438</v>
      </c>
      <c r="H117" t="str">
        <f>IF(NOT(ISERROR(FIND("NoICP",Modded_AMF_Table[[#This Row],[GL_ICP]]))),"",Modded_AMF_Table[[#This Row],[GL_ICP]])</f>
        <v/>
      </c>
      <c r="I117" t="s">
        <v>1212</v>
      </c>
      <c r="J117" t="s">
        <v>1425</v>
      </c>
      <c r="K117" t="str">
        <f>IFERROR(VLOOKUP(VALUE(Modded_AMF_Table[[#This Row],[GL_PC]]),BNS_Profit_Centers[],2,FALSE),"TE")</f>
        <v>TE</v>
      </c>
      <c r="L117" t="s">
        <v>1425</v>
      </c>
      <c r="M117" t="s">
        <v>1432</v>
      </c>
      <c r="N117" t="s">
        <v>1432</v>
      </c>
      <c r="O117" s="33">
        <v>880</v>
      </c>
    </row>
    <row r="118" spans="1:15" x14ac:dyDescent="0.25">
      <c r="A118" t="s">
        <v>1326</v>
      </c>
      <c r="B118" t="s">
        <v>1471</v>
      </c>
      <c r="C118" t="s">
        <v>10</v>
      </c>
      <c r="D118" t="str">
        <f>VLOOKUP(Modded_AMF_Table[[#This Row],[HFM_Account]],HFM_Acct_OCF_Activity[],3,FALSE)</f>
        <v>Direct</v>
      </c>
      <c r="E118" t="s">
        <v>1210</v>
      </c>
      <c r="F118" t="s">
        <v>1194</v>
      </c>
      <c r="G118" t="s">
        <v>1472</v>
      </c>
      <c r="H118" t="str">
        <f>IF(NOT(ISERROR(FIND("NoICP",Modded_AMF_Table[[#This Row],[GL_ICP]]))),"",Modded_AMF_Table[[#This Row],[GL_ICP]])</f>
        <v/>
      </c>
      <c r="I118" t="s">
        <v>1212</v>
      </c>
      <c r="J118" t="s">
        <v>1425</v>
      </c>
      <c r="K118" t="str">
        <f>IFERROR(VLOOKUP(VALUE(Modded_AMF_Table[[#This Row],[GL_PC]]),BNS_Profit_Centers[],2,FALSE),"TE")</f>
        <v>TE</v>
      </c>
      <c r="L118" t="s">
        <v>1425</v>
      </c>
      <c r="M118" t="s">
        <v>1473</v>
      </c>
      <c r="N118" t="s">
        <v>1432</v>
      </c>
      <c r="O118" s="33">
        <v>1500</v>
      </c>
    </row>
    <row r="119" spans="1:15" x14ac:dyDescent="0.25">
      <c r="A119" t="s">
        <v>1326</v>
      </c>
      <c r="B119" t="s">
        <v>1439</v>
      </c>
      <c r="C119" t="s">
        <v>10</v>
      </c>
      <c r="D119" t="str">
        <f>VLOOKUP(Modded_AMF_Table[[#This Row],[HFM_Account]],HFM_Acct_OCF_Activity[],3,FALSE)</f>
        <v>Direct</v>
      </c>
      <c r="E119" t="s">
        <v>1210</v>
      </c>
      <c r="F119" t="s">
        <v>1194</v>
      </c>
      <c r="G119" t="s">
        <v>1440</v>
      </c>
      <c r="H119" t="str">
        <f>IF(NOT(ISERROR(FIND("NoICP",Modded_AMF_Table[[#This Row],[GL_ICP]]))),"",Modded_AMF_Table[[#This Row],[GL_ICP]])</f>
        <v/>
      </c>
      <c r="I119" t="s">
        <v>1212</v>
      </c>
      <c r="J119" t="s">
        <v>1425</v>
      </c>
      <c r="K119" t="str">
        <f>IFERROR(VLOOKUP(VALUE(Modded_AMF_Table[[#This Row],[GL_PC]]),BNS_Profit_Centers[],2,FALSE),"TE")</f>
        <v>TE</v>
      </c>
      <c r="L119" t="s">
        <v>1425</v>
      </c>
      <c r="M119" t="s">
        <v>1441</v>
      </c>
      <c r="N119" t="s">
        <v>1441</v>
      </c>
      <c r="O119" s="33">
        <v>2215.33</v>
      </c>
    </row>
    <row r="120" spans="1:15" x14ac:dyDescent="0.25">
      <c r="A120" t="s">
        <v>1326</v>
      </c>
      <c r="B120" t="s">
        <v>1442</v>
      </c>
      <c r="C120" t="s">
        <v>10</v>
      </c>
      <c r="D120" t="str">
        <f>VLOOKUP(Modded_AMF_Table[[#This Row],[HFM_Account]],HFM_Acct_OCF_Activity[],3,FALSE)</f>
        <v>Direct</v>
      </c>
      <c r="E120" t="s">
        <v>1210</v>
      </c>
      <c r="F120" t="s">
        <v>1194</v>
      </c>
      <c r="G120" t="s">
        <v>1443</v>
      </c>
      <c r="H120" t="str">
        <f>IF(NOT(ISERROR(FIND("NoICP",Modded_AMF_Table[[#This Row],[GL_ICP]]))),"",Modded_AMF_Table[[#This Row],[GL_ICP]])</f>
        <v/>
      </c>
      <c r="I120" t="s">
        <v>1212</v>
      </c>
      <c r="J120" t="s">
        <v>1425</v>
      </c>
      <c r="K120" t="str">
        <f>IFERROR(VLOOKUP(VALUE(Modded_AMF_Table[[#This Row],[GL_PC]]),BNS_Profit_Centers[],2,FALSE),"TE")</f>
        <v>TE</v>
      </c>
      <c r="L120" t="s">
        <v>1425</v>
      </c>
      <c r="M120" t="s">
        <v>1444</v>
      </c>
      <c r="N120" t="s">
        <v>1444</v>
      </c>
      <c r="O120" s="33">
        <v>750</v>
      </c>
    </row>
    <row r="121" spans="1:15" x14ac:dyDescent="0.25">
      <c r="A121" t="s">
        <v>1326</v>
      </c>
      <c r="B121" t="s">
        <v>1327</v>
      </c>
      <c r="C121" t="s">
        <v>10</v>
      </c>
      <c r="D121" t="str">
        <f>VLOOKUP(Modded_AMF_Table[[#This Row],[HFM_Account]],HFM_Acct_OCF_Activity[],3,FALSE)</f>
        <v>Direct</v>
      </c>
      <c r="E121" t="s">
        <v>1210</v>
      </c>
      <c r="F121" t="s">
        <v>1194</v>
      </c>
      <c r="G121" t="s">
        <v>1328</v>
      </c>
      <c r="H121" t="str">
        <f>IF(NOT(ISERROR(FIND("NoICP",Modded_AMF_Table[[#This Row],[GL_ICP]]))),"",Modded_AMF_Table[[#This Row],[GL_ICP]])</f>
        <v/>
      </c>
      <c r="I121" t="s">
        <v>1212</v>
      </c>
      <c r="J121" t="s">
        <v>1445</v>
      </c>
      <c r="K121" t="str">
        <f>IFERROR(VLOOKUP(VALUE(Modded_AMF_Table[[#This Row],[GL_PC]]),BNS_Profit_Centers[],2,FALSE),"TE")</f>
        <v>TE</v>
      </c>
      <c r="L121" t="s">
        <v>1445</v>
      </c>
      <c r="M121" t="s">
        <v>1330</v>
      </c>
      <c r="N121" t="s">
        <v>1330</v>
      </c>
      <c r="O121" s="33">
        <v>40764</v>
      </c>
    </row>
    <row r="122" spans="1:15" x14ac:dyDescent="0.25">
      <c r="A122" t="s">
        <v>1326</v>
      </c>
      <c r="B122" t="s">
        <v>1331</v>
      </c>
      <c r="C122" t="s">
        <v>10</v>
      </c>
      <c r="D122" t="str">
        <f>VLOOKUP(Modded_AMF_Table[[#This Row],[HFM_Account]],HFM_Acct_OCF_Activity[],3,FALSE)</f>
        <v>Direct</v>
      </c>
      <c r="E122" t="s">
        <v>1210</v>
      </c>
      <c r="F122" t="s">
        <v>1194</v>
      </c>
      <c r="G122" t="s">
        <v>1332</v>
      </c>
      <c r="H122" t="str">
        <f>IF(NOT(ISERROR(FIND("NoICP",Modded_AMF_Table[[#This Row],[GL_ICP]]))),"",Modded_AMF_Table[[#This Row],[GL_ICP]])</f>
        <v/>
      </c>
      <c r="I122" t="s">
        <v>1212</v>
      </c>
      <c r="J122" t="s">
        <v>1445</v>
      </c>
      <c r="K122" t="str">
        <f>IFERROR(VLOOKUP(VALUE(Modded_AMF_Table[[#This Row],[GL_PC]]),BNS_Profit_Centers[],2,FALSE),"TE")</f>
        <v>TE</v>
      </c>
      <c r="L122" t="s">
        <v>1445</v>
      </c>
      <c r="M122" t="s">
        <v>1333</v>
      </c>
      <c r="N122" t="s">
        <v>1334</v>
      </c>
      <c r="O122" s="33">
        <v>2551.1</v>
      </c>
    </row>
    <row r="123" spans="1:15" x14ac:dyDescent="0.25">
      <c r="A123" t="s">
        <v>1326</v>
      </c>
      <c r="B123" t="s">
        <v>1335</v>
      </c>
      <c r="C123" t="s">
        <v>10</v>
      </c>
      <c r="D123" t="str">
        <f>VLOOKUP(Modded_AMF_Table[[#This Row],[HFM_Account]],HFM_Acct_OCF_Activity[],3,FALSE)</f>
        <v>Direct</v>
      </c>
      <c r="E123" t="s">
        <v>1210</v>
      </c>
      <c r="F123" t="s">
        <v>1194</v>
      </c>
      <c r="G123" t="s">
        <v>1336</v>
      </c>
      <c r="H123" t="str">
        <f>IF(NOT(ISERROR(FIND("NoICP",Modded_AMF_Table[[#This Row],[GL_ICP]]))),"",Modded_AMF_Table[[#This Row],[GL_ICP]])</f>
        <v/>
      </c>
      <c r="I123" t="s">
        <v>1212</v>
      </c>
      <c r="J123" t="s">
        <v>1445</v>
      </c>
      <c r="K123" t="str">
        <f>IFERROR(VLOOKUP(VALUE(Modded_AMF_Table[[#This Row],[GL_PC]]),BNS_Profit_Centers[],2,FALSE),"TE")</f>
        <v>TE</v>
      </c>
      <c r="L123" t="s">
        <v>1445</v>
      </c>
      <c r="M123" t="s">
        <v>1337</v>
      </c>
      <c r="N123" t="s">
        <v>1334</v>
      </c>
      <c r="O123" s="33">
        <v>-1544.09</v>
      </c>
    </row>
    <row r="124" spans="1:15" x14ac:dyDescent="0.25">
      <c r="A124" t="s">
        <v>1326</v>
      </c>
      <c r="B124" t="s">
        <v>1338</v>
      </c>
      <c r="C124" t="s">
        <v>10</v>
      </c>
      <c r="D124" t="str">
        <f>VLOOKUP(Modded_AMF_Table[[#This Row],[HFM_Account]],HFM_Acct_OCF_Activity[],3,FALSE)</f>
        <v>Direct</v>
      </c>
      <c r="E124" t="s">
        <v>1210</v>
      </c>
      <c r="F124" t="s">
        <v>1194</v>
      </c>
      <c r="G124" t="s">
        <v>1339</v>
      </c>
      <c r="H124" t="str">
        <f>IF(NOT(ISERROR(FIND("NoICP",Modded_AMF_Table[[#This Row],[GL_ICP]]))),"",Modded_AMF_Table[[#This Row],[GL_ICP]])</f>
        <v/>
      </c>
      <c r="I124" t="s">
        <v>1212</v>
      </c>
      <c r="J124" t="s">
        <v>1445</v>
      </c>
      <c r="K124" t="str">
        <f>IFERROR(VLOOKUP(VALUE(Modded_AMF_Table[[#This Row],[GL_PC]]),BNS_Profit_Centers[],2,FALSE),"TE")</f>
        <v>TE</v>
      </c>
      <c r="L124" t="s">
        <v>1445</v>
      </c>
      <c r="M124" t="s">
        <v>1340</v>
      </c>
      <c r="N124" t="s">
        <v>1334</v>
      </c>
      <c r="O124" s="33">
        <v>177</v>
      </c>
    </row>
    <row r="125" spans="1:15" x14ac:dyDescent="0.25">
      <c r="A125" t="s">
        <v>1326</v>
      </c>
      <c r="B125" t="s">
        <v>1341</v>
      </c>
      <c r="C125" t="s">
        <v>10</v>
      </c>
      <c r="D125" t="str">
        <f>VLOOKUP(Modded_AMF_Table[[#This Row],[HFM_Account]],HFM_Acct_OCF_Activity[],3,FALSE)</f>
        <v>Direct</v>
      </c>
      <c r="E125" t="s">
        <v>1210</v>
      </c>
      <c r="F125" t="s">
        <v>1194</v>
      </c>
      <c r="G125" t="s">
        <v>1342</v>
      </c>
      <c r="H125" t="str">
        <f>IF(NOT(ISERROR(FIND("NoICP",Modded_AMF_Table[[#This Row],[GL_ICP]]))),"",Modded_AMF_Table[[#This Row],[GL_ICP]])</f>
        <v/>
      </c>
      <c r="I125" t="s">
        <v>1212</v>
      </c>
      <c r="J125" t="s">
        <v>1445</v>
      </c>
      <c r="K125" t="str">
        <f>IFERROR(VLOOKUP(VALUE(Modded_AMF_Table[[#This Row],[GL_PC]]),BNS_Profit_Centers[],2,FALSE),"TE")</f>
        <v>TE</v>
      </c>
      <c r="L125" t="s">
        <v>1445</v>
      </c>
      <c r="M125" t="s">
        <v>1343</v>
      </c>
      <c r="N125" t="s">
        <v>1334</v>
      </c>
      <c r="O125" s="33">
        <v>180</v>
      </c>
    </row>
    <row r="126" spans="1:15" x14ac:dyDescent="0.25">
      <c r="A126" t="s">
        <v>1326</v>
      </c>
      <c r="B126" t="s">
        <v>1344</v>
      </c>
      <c r="C126" t="s">
        <v>10</v>
      </c>
      <c r="D126" t="str">
        <f>VLOOKUP(Modded_AMF_Table[[#This Row],[HFM_Account]],HFM_Acct_OCF_Activity[],3,FALSE)</f>
        <v>Direct</v>
      </c>
      <c r="E126" t="s">
        <v>1210</v>
      </c>
      <c r="F126" t="s">
        <v>1194</v>
      </c>
      <c r="G126" t="s">
        <v>1345</v>
      </c>
      <c r="H126" t="str">
        <f>IF(NOT(ISERROR(FIND("NoICP",Modded_AMF_Table[[#This Row],[GL_ICP]]))),"",Modded_AMF_Table[[#This Row],[GL_ICP]])</f>
        <v/>
      </c>
      <c r="I126" t="s">
        <v>1212</v>
      </c>
      <c r="J126" t="s">
        <v>1445</v>
      </c>
      <c r="K126" t="str">
        <f>IFERROR(VLOOKUP(VALUE(Modded_AMF_Table[[#This Row],[GL_PC]]),BNS_Profit_Centers[],2,FALSE),"TE")</f>
        <v>TE</v>
      </c>
      <c r="L126" t="s">
        <v>1445</v>
      </c>
      <c r="M126" t="s">
        <v>1346</v>
      </c>
      <c r="N126" t="s">
        <v>1347</v>
      </c>
      <c r="O126" s="33">
        <v>240</v>
      </c>
    </row>
    <row r="127" spans="1:15" x14ac:dyDescent="0.25">
      <c r="A127" t="s">
        <v>1326</v>
      </c>
      <c r="B127" t="s">
        <v>1348</v>
      </c>
      <c r="C127" t="s">
        <v>10</v>
      </c>
      <c r="D127" t="str">
        <f>VLOOKUP(Modded_AMF_Table[[#This Row],[HFM_Account]],HFM_Acct_OCF_Activity[],3,FALSE)</f>
        <v>Direct</v>
      </c>
      <c r="E127" t="s">
        <v>1210</v>
      </c>
      <c r="F127" t="s">
        <v>1194</v>
      </c>
      <c r="G127" t="s">
        <v>1349</v>
      </c>
      <c r="H127" t="str">
        <f>IF(NOT(ISERROR(FIND("NoICP",Modded_AMF_Table[[#This Row],[GL_ICP]]))),"",Modded_AMF_Table[[#This Row],[GL_ICP]])</f>
        <v/>
      </c>
      <c r="I127" t="s">
        <v>1212</v>
      </c>
      <c r="J127" t="s">
        <v>1445</v>
      </c>
      <c r="K127" t="str">
        <f>IFERROR(VLOOKUP(VALUE(Modded_AMF_Table[[#This Row],[GL_PC]]),BNS_Profit_Centers[],2,FALSE),"TE")</f>
        <v>TE</v>
      </c>
      <c r="L127" t="s">
        <v>1445</v>
      </c>
      <c r="M127" t="s">
        <v>1350</v>
      </c>
      <c r="N127" t="s">
        <v>1351</v>
      </c>
      <c r="O127" s="33">
        <v>177</v>
      </c>
    </row>
    <row r="128" spans="1:15" x14ac:dyDescent="0.25">
      <c r="A128" t="s">
        <v>1326</v>
      </c>
      <c r="B128" t="s">
        <v>1352</v>
      </c>
      <c r="C128" t="s">
        <v>10</v>
      </c>
      <c r="D128" t="str">
        <f>VLOOKUP(Modded_AMF_Table[[#This Row],[HFM_Account]],HFM_Acct_OCF_Activity[],3,FALSE)</f>
        <v>Direct</v>
      </c>
      <c r="E128" t="s">
        <v>1210</v>
      </c>
      <c r="F128" t="s">
        <v>1194</v>
      </c>
      <c r="G128" t="s">
        <v>1353</v>
      </c>
      <c r="H128" t="str">
        <f>IF(NOT(ISERROR(FIND("NoICP",Modded_AMF_Table[[#This Row],[GL_ICP]]))),"",Modded_AMF_Table[[#This Row],[GL_ICP]])</f>
        <v/>
      </c>
      <c r="I128" t="s">
        <v>1212</v>
      </c>
      <c r="J128" t="s">
        <v>1445</v>
      </c>
      <c r="K128" t="str">
        <f>IFERROR(VLOOKUP(VALUE(Modded_AMF_Table[[#This Row],[GL_PC]]),BNS_Profit_Centers[],2,FALSE),"TE")</f>
        <v>TE</v>
      </c>
      <c r="L128" t="s">
        <v>1445</v>
      </c>
      <c r="M128" t="s">
        <v>1354</v>
      </c>
      <c r="N128" t="s">
        <v>1351</v>
      </c>
      <c r="O128" s="33">
        <v>1004.31</v>
      </c>
    </row>
    <row r="129" spans="1:15" x14ac:dyDescent="0.25">
      <c r="A129" t="s">
        <v>1326</v>
      </c>
      <c r="B129" t="s">
        <v>1355</v>
      </c>
      <c r="C129" t="s">
        <v>10</v>
      </c>
      <c r="D129" t="str">
        <f>VLOOKUP(Modded_AMF_Table[[#This Row],[HFM_Account]],HFM_Acct_OCF_Activity[],3,FALSE)</f>
        <v>Direct</v>
      </c>
      <c r="E129" t="s">
        <v>1210</v>
      </c>
      <c r="F129" t="s">
        <v>1194</v>
      </c>
      <c r="G129" t="s">
        <v>1356</v>
      </c>
      <c r="H129" t="str">
        <f>IF(NOT(ISERROR(FIND("NoICP",Modded_AMF_Table[[#This Row],[GL_ICP]]))),"",Modded_AMF_Table[[#This Row],[GL_ICP]])</f>
        <v/>
      </c>
      <c r="I129" t="s">
        <v>1212</v>
      </c>
      <c r="J129" t="s">
        <v>1445</v>
      </c>
      <c r="K129" t="str">
        <f>IFERROR(VLOOKUP(VALUE(Modded_AMF_Table[[#This Row],[GL_PC]]),BNS_Profit_Centers[],2,FALSE),"TE")</f>
        <v>TE</v>
      </c>
      <c r="L129" t="s">
        <v>1445</v>
      </c>
      <c r="M129" t="s">
        <v>1357</v>
      </c>
      <c r="N129" t="s">
        <v>1351</v>
      </c>
      <c r="O129" s="33">
        <v>148.80000000000001</v>
      </c>
    </row>
    <row r="130" spans="1:15" x14ac:dyDescent="0.25">
      <c r="A130" t="s">
        <v>1326</v>
      </c>
      <c r="B130" t="s">
        <v>1358</v>
      </c>
      <c r="C130" t="s">
        <v>10</v>
      </c>
      <c r="D130" t="str">
        <f>VLOOKUP(Modded_AMF_Table[[#This Row],[HFM_Account]],HFM_Acct_OCF_Activity[],3,FALSE)</f>
        <v>Direct</v>
      </c>
      <c r="E130" t="s">
        <v>1210</v>
      </c>
      <c r="F130" t="s">
        <v>1194</v>
      </c>
      <c r="G130" t="s">
        <v>1359</v>
      </c>
      <c r="H130" t="str">
        <f>IF(NOT(ISERROR(FIND("NoICP",Modded_AMF_Table[[#This Row],[GL_ICP]]))),"",Modded_AMF_Table[[#This Row],[GL_ICP]])</f>
        <v/>
      </c>
      <c r="I130" t="s">
        <v>1212</v>
      </c>
      <c r="J130" t="s">
        <v>1445</v>
      </c>
      <c r="K130" t="str">
        <f>IFERROR(VLOOKUP(VALUE(Modded_AMF_Table[[#This Row],[GL_PC]]),BNS_Profit_Centers[],2,FALSE),"TE")</f>
        <v>TE</v>
      </c>
      <c r="L130" t="s">
        <v>1445</v>
      </c>
      <c r="M130" t="s">
        <v>1360</v>
      </c>
      <c r="N130" t="s">
        <v>1361</v>
      </c>
      <c r="O130" s="33">
        <v>1983.86</v>
      </c>
    </row>
    <row r="131" spans="1:15" x14ac:dyDescent="0.25">
      <c r="A131" t="s">
        <v>1326</v>
      </c>
      <c r="B131" t="s">
        <v>1362</v>
      </c>
      <c r="C131" t="s">
        <v>10</v>
      </c>
      <c r="D131" t="str">
        <f>VLOOKUP(Modded_AMF_Table[[#This Row],[HFM_Account]],HFM_Acct_OCF_Activity[],3,FALSE)</f>
        <v>Direct</v>
      </c>
      <c r="E131" t="s">
        <v>1210</v>
      </c>
      <c r="F131" t="s">
        <v>1194</v>
      </c>
      <c r="G131" t="s">
        <v>1363</v>
      </c>
      <c r="H131" t="str">
        <f>IF(NOT(ISERROR(FIND("NoICP",Modded_AMF_Table[[#This Row],[GL_ICP]]))),"",Modded_AMF_Table[[#This Row],[GL_ICP]])</f>
        <v/>
      </c>
      <c r="I131" t="s">
        <v>1212</v>
      </c>
      <c r="J131" t="s">
        <v>1445</v>
      </c>
      <c r="K131" t="str">
        <f>IFERROR(VLOOKUP(VALUE(Modded_AMF_Table[[#This Row],[GL_PC]]),BNS_Profit_Centers[],2,FALSE),"TE")</f>
        <v>TE</v>
      </c>
      <c r="L131" t="s">
        <v>1445</v>
      </c>
      <c r="M131" t="s">
        <v>1364</v>
      </c>
      <c r="N131" t="s">
        <v>1364</v>
      </c>
      <c r="O131" s="33">
        <v>-13731</v>
      </c>
    </row>
    <row r="132" spans="1:15" x14ac:dyDescent="0.25">
      <c r="A132" t="s">
        <v>1326</v>
      </c>
      <c r="B132" t="s">
        <v>1365</v>
      </c>
      <c r="C132" t="s">
        <v>10</v>
      </c>
      <c r="D132" t="str">
        <f>VLOOKUP(Modded_AMF_Table[[#This Row],[HFM_Account]],HFM_Acct_OCF_Activity[],3,FALSE)</f>
        <v>Direct</v>
      </c>
      <c r="E132" t="s">
        <v>1210</v>
      </c>
      <c r="F132" t="s">
        <v>1194</v>
      </c>
      <c r="G132" t="s">
        <v>1366</v>
      </c>
      <c r="H132" t="str">
        <f>IF(NOT(ISERROR(FIND("NoICP",Modded_AMF_Table[[#This Row],[GL_ICP]]))),"",Modded_AMF_Table[[#This Row],[GL_ICP]])</f>
        <v/>
      </c>
      <c r="I132" t="s">
        <v>1212</v>
      </c>
      <c r="J132" t="s">
        <v>1445</v>
      </c>
      <c r="K132" t="str">
        <f>IFERROR(VLOOKUP(VALUE(Modded_AMF_Table[[#This Row],[GL_PC]]),BNS_Profit_Centers[],2,FALSE),"TE")</f>
        <v>TE</v>
      </c>
      <c r="L132" t="s">
        <v>1445</v>
      </c>
      <c r="M132" t="s">
        <v>1367</v>
      </c>
      <c r="N132" t="s">
        <v>1368</v>
      </c>
      <c r="O132" s="33">
        <v>9600</v>
      </c>
    </row>
    <row r="133" spans="1:15" x14ac:dyDescent="0.25">
      <c r="A133" t="s">
        <v>1326</v>
      </c>
      <c r="B133" t="s">
        <v>1369</v>
      </c>
      <c r="C133" t="s">
        <v>10</v>
      </c>
      <c r="D133" t="str">
        <f>VLOOKUP(Modded_AMF_Table[[#This Row],[HFM_Account]],HFM_Acct_OCF_Activity[],3,FALSE)</f>
        <v>Direct</v>
      </c>
      <c r="E133" t="s">
        <v>1210</v>
      </c>
      <c r="F133" t="s">
        <v>1194</v>
      </c>
      <c r="G133" t="s">
        <v>1370</v>
      </c>
      <c r="H133" t="str">
        <f>IF(NOT(ISERROR(FIND("NoICP",Modded_AMF_Table[[#This Row],[GL_ICP]]))),"",Modded_AMF_Table[[#This Row],[GL_ICP]])</f>
        <v/>
      </c>
      <c r="I133" t="s">
        <v>1212</v>
      </c>
      <c r="J133" t="s">
        <v>1445</v>
      </c>
      <c r="K133" t="str">
        <f>IFERROR(VLOOKUP(VALUE(Modded_AMF_Table[[#This Row],[GL_PC]]),BNS_Profit_Centers[],2,FALSE),"TE")</f>
        <v>TE</v>
      </c>
      <c r="L133" t="s">
        <v>1445</v>
      </c>
      <c r="M133" t="s">
        <v>1371</v>
      </c>
      <c r="N133" t="s">
        <v>1368</v>
      </c>
      <c r="O133" s="33">
        <v>-6399</v>
      </c>
    </row>
    <row r="134" spans="1:15" x14ac:dyDescent="0.25">
      <c r="A134" t="s">
        <v>1326</v>
      </c>
      <c r="B134" t="s">
        <v>1372</v>
      </c>
      <c r="C134" t="s">
        <v>10</v>
      </c>
      <c r="D134" t="str">
        <f>VLOOKUP(Modded_AMF_Table[[#This Row],[HFM_Account]],HFM_Acct_OCF_Activity[],3,FALSE)</f>
        <v>Direct</v>
      </c>
      <c r="E134" t="s">
        <v>1210</v>
      </c>
      <c r="F134" t="s">
        <v>1194</v>
      </c>
      <c r="G134" t="s">
        <v>1373</v>
      </c>
      <c r="H134" t="str">
        <f>IF(NOT(ISERROR(FIND("NoICP",Modded_AMF_Table[[#This Row],[GL_ICP]]))),"",Modded_AMF_Table[[#This Row],[GL_ICP]])</f>
        <v/>
      </c>
      <c r="I134" t="s">
        <v>1212</v>
      </c>
      <c r="J134" t="s">
        <v>1445</v>
      </c>
      <c r="K134" t="str">
        <f>IFERROR(VLOOKUP(VALUE(Modded_AMF_Table[[#This Row],[GL_PC]]),BNS_Profit_Centers[],2,FALSE),"TE")</f>
        <v>TE</v>
      </c>
      <c r="L134" t="s">
        <v>1445</v>
      </c>
      <c r="M134" t="s">
        <v>1374</v>
      </c>
      <c r="N134" t="s">
        <v>1374</v>
      </c>
      <c r="O134" s="33">
        <v>16951.77</v>
      </c>
    </row>
    <row r="135" spans="1:15" x14ac:dyDescent="0.25">
      <c r="A135" t="s">
        <v>1326</v>
      </c>
      <c r="B135" t="s">
        <v>1375</v>
      </c>
      <c r="C135" t="s">
        <v>10</v>
      </c>
      <c r="D135" t="str">
        <f>VLOOKUP(Modded_AMF_Table[[#This Row],[HFM_Account]],HFM_Acct_OCF_Activity[],3,FALSE)</f>
        <v>Direct</v>
      </c>
      <c r="E135" t="s">
        <v>1210</v>
      </c>
      <c r="F135" t="s">
        <v>1194</v>
      </c>
      <c r="G135" t="s">
        <v>1376</v>
      </c>
      <c r="H135" t="str">
        <f>IF(NOT(ISERROR(FIND("NoICP",Modded_AMF_Table[[#This Row],[GL_ICP]]))),"",Modded_AMF_Table[[#This Row],[GL_ICP]])</f>
        <v/>
      </c>
      <c r="I135" t="s">
        <v>1212</v>
      </c>
      <c r="J135" t="s">
        <v>1445</v>
      </c>
      <c r="K135" t="str">
        <f>IFERROR(VLOOKUP(VALUE(Modded_AMF_Table[[#This Row],[GL_PC]]),BNS_Profit_Centers[],2,FALSE),"TE")</f>
        <v>TE</v>
      </c>
      <c r="L135" t="s">
        <v>1445</v>
      </c>
      <c r="M135" t="s">
        <v>1377</v>
      </c>
      <c r="N135" t="s">
        <v>1374</v>
      </c>
      <c r="O135" s="33">
        <v>2038.5</v>
      </c>
    </row>
    <row r="136" spans="1:15" x14ac:dyDescent="0.25">
      <c r="A136" t="s">
        <v>1326</v>
      </c>
      <c r="B136" t="s">
        <v>1378</v>
      </c>
      <c r="C136" t="s">
        <v>10</v>
      </c>
      <c r="D136" t="str">
        <f>VLOOKUP(Modded_AMF_Table[[#This Row],[HFM_Account]],HFM_Acct_OCF_Activity[],3,FALSE)</f>
        <v>Direct</v>
      </c>
      <c r="E136" t="s">
        <v>1210</v>
      </c>
      <c r="F136" t="s">
        <v>1194</v>
      </c>
      <c r="G136" t="s">
        <v>1379</v>
      </c>
      <c r="H136" t="str">
        <f>IF(NOT(ISERROR(FIND("NoICP",Modded_AMF_Table[[#This Row],[GL_ICP]]))),"",Modded_AMF_Table[[#This Row],[GL_ICP]])</f>
        <v/>
      </c>
      <c r="I136" t="s">
        <v>1212</v>
      </c>
      <c r="J136" t="s">
        <v>1445</v>
      </c>
      <c r="K136" t="str">
        <f>IFERROR(VLOOKUP(VALUE(Modded_AMF_Table[[#This Row],[GL_PC]]),BNS_Profit_Centers[],2,FALSE),"TE")</f>
        <v>TE</v>
      </c>
      <c r="L136" t="s">
        <v>1445</v>
      </c>
      <c r="M136" t="s">
        <v>1380</v>
      </c>
      <c r="N136" t="s">
        <v>1380</v>
      </c>
      <c r="O136" s="33">
        <v>2427.9299999999998</v>
      </c>
    </row>
    <row r="137" spans="1:15" x14ac:dyDescent="0.25">
      <c r="A137" t="s">
        <v>1326</v>
      </c>
      <c r="B137" t="s">
        <v>1381</v>
      </c>
      <c r="C137" t="s">
        <v>10</v>
      </c>
      <c r="D137" t="str">
        <f>VLOOKUP(Modded_AMF_Table[[#This Row],[HFM_Account]],HFM_Acct_OCF_Activity[],3,FALSE)</f>
        <v>Direct</v>
      </c>
      <c r="E137" t="s">
        <v>1210</v>
      </c>
      <c r="F137" t="s">
        <v>1194</v>
      </c>
      <c r="G137" t="s">
        <v>1382</v>
      </c>
      <c r="H137" t="str">
        <f>IF(NOT(ISERROR(FIND("NoICP",Modded_AMF_Table[[#This Row],[GL_ICP]]))),"",Modded_AMF_Table[[#This Row],[GL_ICP]])</f>
        <v/>
      </c>
      <c r="I137" t="s">
        <v>1212</v>
      </c>
      <c r="J137" t="s">
        <v>1445</v>
      </c>
      <c r="K137" t="str">
        <f>IFERROR(VLOOKUP(VALUE(Modded_AMF_Table[[#This Row],[GL_PC]]),BNS_Profit_Centers[],2,FALSE),"TE")</f>
        <v>TE</v>
      </c>
      <c r="L137" t="s">
        <v>1445</v>
      </c>
      <c r="M137" t="s">
        <v>1383</v>
      </c>
      <c r="N137" t="s">
        <v>1334</v>
      </c>
      <c r="O137" s="33">
        <v>4477.92</v>
      </c>
    </row>
    <row r="138" spans="1:15" x14ac:dyDescent="0.25">
      <c r="A138" t="s">
        <v>1326</v>
      </c>
      <c r="B138" t="s">
        <v>1384</v>
      </c>
      <c r="C138" t="s">
        <v>10</v>
      </c>
      <c r="D138" t="str">
        <f>VLOOKUP(Modded_AMF_Table[[#This Row],[HFM_Account]],HFM_Acct_OCF_Activity[],3,FALSE)</f>
        <v>Direct</v>
      </c>
      <c r="E138" t="s">
        <v>1210</v>
      </c>
      <c r="F138" t="s">
        <v>1194</v>
      </c>
      <c r="G138" t="s">
        <v>1385</v>
      </c>
      <c r="H138" t="str">
        <f>IF(NOT(ISERROR(FIND("NoICP",Modded_AMF_Table[[#This Row],[GL_ICP]]))),"",Modded_AMF_Table[[#This Row],[GL_ICP]])</f>
        <v/>
      </c>
      <c r="I138" t="s">
        <v>1212</v>
      </c>
      <c r="J138" t="s">
        <v>1445</v>
      </c>
      <c r="K138" t="str">
        <f>IFERROR(VLOOKUP(VALUE(Modded_AMF_Table[[#This Row],[GL_PC]]),BNS_Profit_Centers[],2,FALSE),"TE")</f>
        <v>TE</v>
      </c>
      <c r="L138" t="s">
        <v>1445</v>
      </c>
      <c r="M138" t="s">
        <v>1386</v>
      </c>
      <c r="N138" t="s">
        <v>1386</v>
      </c>
      <c r="O138" s="33">
        <v>289.99</v>
      </c>
    </row>
    <row r="139" spans="1:15" x14ac:dyDescent="0.25">
      <c r="A139" t="s">
        <v>1326</v>
      </c>
      <c r="B139" t="s">
        <v>1387</v>
      </c>
      <c r="C139" t="s">
        <v>10</v>
      </c>
      <c r="D139" t="str">
        <f>VLOOKUP(Modded_AMF_Table[[#This Row],[HFM_Account]],HFM_Acct_OCF_Activity[],3,FALSE)</f>
        <v>Direct</v>
      </c>
      <c r="E139" t="s">
        <v>1210</v>
      </c>
      <c r="F139" t="s">
        <v>1194</v>
      </c>
      <c r="G139" t="s">
        <v>1388</v>
      </c>
      <c r="H139" t="str">
        <f>IF(NOT(ISERROR(FIND("NoICP",Modded_AMF_Table[[#This Row],[GL_ICP]]))),"",Modded_AMF_Table[[#This Row],[GL_ICP]])</f>
        <v/>
      </c>
      <c r="I139" t="s">
        <v>1212</v>
      </c>
      <c r="J139" t="s">
        <v>1445</v>
      </c>
      <c r="K139" t="str">
        <f>IFERROR(VLOOKUP(VALUE(Modded_AMF_Table[[#This Row],[GL_PC]]),BNS_Profit_Centers[],2,FALSE),"TE")</f>
        <v>TE</v>
      </c>
      <c r="L139" t="s">
        <v>1445</v>
      </c>
      <c r="M139" t="s">
        <v>1389</v>
      </c>
      <c r="N139" t="s">
        <v>1390</v>
      </c>
      <c r="O139" s="33">
        <v>913.13</v>
      </c>
    </row>
    <row r="140" spans="1:15" x14ac:dyDescent="0.25">
      <c r="A140" t="s">
        <v>1326</v>
      </c>
      <c r="B140" t="s">
        <v>1391</v>
      </c>
      <c r="C140" t="s">
        <v>10</v>
      </c>
      <c r="D140" t="str">
        <f>VLOOKUP(Modded_AMF_Table[[#This Row],[HFM_Account]],HFM_Acct_OCF_Activity[],3,FALSE)</f>
        <v>Direct</v>
      </c>
      <c r="E140" t="s">
        <v>1210</v>
      </c>
      <c r="F140" t="s">
        <v>1194</v>
      </c>
      <c r="G140" t="s">
        <v>1392</v>
      </c>
      <c r="H140" t="str">
        <f>IF(NOT(ISERROR(FIND("NoICP",Modded_AMF_Table[[#This Row],[GL_ICP]]))),"",Modded_AMF_Table[[#This Row],[GL_ICP]])</f>
        <v/>
      </c>
      <c r="I140" t="s">
        <v>1212</v>
      </c>
      <c r="J140" t="s">
        <v>1445</v>
      </c>
      <c r="K140" t="str">
        <f>IFERROR(VLOOKUP(VALUE(Modded_AMF_Table[[#This Row],[GL_PC]]),BNS_Profit_Centers[],2,FALSE),"TE")</f>
        <v>TE</v>
      </c>
      <c r="L140" t="s">
        <v>1445</v>
      </c>
      <c r="M140" t="s">
        <v>1393</v>
      </c>
      <c r="N140" t="s">
        <v>1390</v>
      </c>
      <c r="O140" s="33">
        <v>2836.01</v>
      </c>
    </row>
    <row r="141" spans="1:15" x14ac:dyDescent="0.25">
      <c r="A141" t="s">
        <v>1326</v>
      </c>
      <c r="B141" t="s">
        <v>1394</v>
      </c>
      <c r="C141" t="s">
        <v>10</v>
      </c>
      <c r="D141" t="str">
        <f>VLOOKUP(Modded_AMF_Table[[#This Row],[HFM_Account]],HFM_Acct_OCF_Activity[],3,FALSE)</f>
        <v>Direct</v>
      </c>
      <c r="E141" t="s">
        <v>1210</v>
      </c>
      <c r="F141" t="s">
        <v>1194</v>
      </c>
      <c r="G141" t="s">
        <v>1395</v>
      </c>
      <c r="H141" t="str">
        <f>IF(NOT(ISERROR(FIND("NoICP",Modded_AMF_Table[[#This Row],[GL_ICP]]))),"",Modded_AMF_Table[[#This Row],[GL_ICP]])</f>
        <v/>
      </c>
      <c r="I141" t="s">
        <v>1212</v>
      </c>
      <c r="J141" t="s">
        <v>1445</v>
      </c>
      <c r="K141" t="str">
        <f>IFERROR(VLOOKUP(VALUE(Modded_AMF_Table[[#This Row],[GL_PC]]),BNS_Profit_Centers[],2,FALSE),"TE")</f>
        <v>TE</v>
      </c>
      <c r="L141" t="s">
        <v>1445</v>
      </c>
      <c r="M141" t="s">
        <v>1396</v>
      </c>
      <c r="N141" t="s">
        <v>1390</v>
      </c>
      <c r="O141" s="33">
        <v>1936</v>
      </c>
    </row>
    <row r="142" spans="1:15" x14ac:dyDescent="0.25">
      <c r="A142" t="s">
        <v>1326</v>
      </c>
      <c r="B142" t="s">
        <v>1397</v>
      </c>
      <c r="C142" t="s">
        <v>10</v>
      </c>
      <c r="D142" t="str">
        <f>VLOOKUP(Modded_AMF_Table[[#This Row],[HFM_Account]],HFM_Acct_OCF_Activity[],3,FALSE)</f>
        <v>Direct</v>
      </c>
      <c r="E142" t="s">
        <v>1210</v>
      </c>
      <c r="F142" t="s">
        <v>1194</v>
      </c>
      <c r="G142" t="s">
        <v>1398</v>
      </c>
      <c r="H142" t="str">
        <f>IF(NOT(ISERROR(FIND("NoICP",Modded_AMF_Table[[#This Row],[GL_ICP]]))),"",Modded_AMF_Table[[#This Row],[GL_ICP]])</f>
        <v/>
      </c>
      <c r="I142" t="s">
        <v>1212</v>
      </c>
      <c r="J142" t="s">
        <v>1445</v>
      </c>
      <c r="K142" t="str">
        <f>IFERROR(VLOOKUP(VALUE(Modded_AMF_Table[[#This Row],[GL_PC]]),BNS_Profit_Centers[],2,FALSE),"TE")</f>
        <v>TE</v>
      </c>
      <c r="L142" t="s">
        <v>1445</v>
      </c>
      <c r="M142" t="s">
        <v>1399</v>
      </c>
      <c r="N142" t="s">
        <v>1390</v>
      </c>
      <c r="O142" s="33">
        <v>344.12</v>
      </c>
    </row>
    <row r="143" spans="1:15" x14ac:dyDescent="0.25">
      <c r="A143" t="s">
        <v>1326</v>
      </c>
      <c r="B143" t="s">
        <v>1400</v>
      </c>
      <c r="C143" t="s">
        <v>10</v>
      </c>
      <c r="D143" t="str">
        <f>VLOOKUP(Modded_AMF_Table[[#This Row],[HFM_Account]],HFM_Acct_OCF_Activity[],3,FALSE)</f>
        <v>Direct</v>
      </c>
      <c r="E143" t="s">
        <v>1210</v>
      </c>
      <c r="F143" t="s">
        <v>1194</v>
      </c>
      <c r="G143" t="s">
        <v>1401</v>
      </c>
      <c r="H143" t="str">
        <f>IF(NOT(ISERROR(FIND("NoICP",Modded_AMF_Table[[#This Row],[GL_ICP]]))),"",Modded_AMF_Table[[#This Row],[GL_ICP]])</f>
        <v/>
      </c>
      <c r="I143" t="s">
        <v>1212</v>
      </c>
      <c r="J143" t="s">
        <v>1445</v>
      </c>
      <c r="K143" t="str">
        <f>IFERROR(VLOOKUP(VALUE(Modded_AMF_Table[[#This Row],[GL_PC]]),BNS_Profit_Centers[],2,FALSE),"TE")</f>
        <v>TE</v>
      </c>
      <c r="L143" t="s">
        <v>1445</v>
      </c>
      <c r="M143" t="s">
        <v>1402</v>
      </c>
      <c r="N143" t="s">
        <v>1390</v>
      </c>
      <c r="O143" s="33">
        <v>88.5</v>
      </c>
    </row>
    <row r="144" spans="1:15" x14ac:dyDescent="0.25">
      <c r="A144" t="s">
        <v>1326</v>
      </c>
      <c r="B144" t="s">
        <v>1403</v>
      </c>
      <c r="C144" t="s">
        <v>10</v>
      </c>
      <c r="D144" t="str">
        <f>VLOOKUP(Modded_AMF_Table[[#This Row],[HFM_Account]],HFM_Acct_OCF_Activity[],3,FALSE)</f>
        <v>Direct</v>
      </c>
      <c r="E144" t="s">
        <v>1210</v>
      </c>
      <c r="F144" t="s">
        <v>1194</v>
      </c>
      <c r="G144" t="s">
        <v>1404</v>
      </c>
      <c r="H144" t="str">
        <f>IF(NOT(ISERROR(FIND("NoICP",Modded_AMF_Table[[#This Row],[GL_ICP]]))),"",Modded_AMF_Table[[#This Row],[GL_ICP]])</f>
        <v/>
      </c>
      <c r="I144" t="s">
        <v>1212</v>
      </c>
      <c r="J144" t="s">
        <v>1445</v>
      </c>
      <c r="K144" t="str">
        <f>IFERROR(VLOOKUP(VALUE(Modded_AMF_Table[[#This Row],[GL_PC]]),BNS_Profit_Centers[],2,FALSE),"TE")</f>
        <v>TE</v>
      </c>
      <c r="L144" t="s">
        <v>1445</v>
      </c>
      <c r="M144" t="s">
        <v>1405</v>
      </c>
      <c r="N144" t="s">
        <v>1390</v>
      </c>
      <c r="O144" s="33">
        <v>1176.24</v>
      </c>
    </row>
    <row r="145" spans="1:15" x14ac:dyDescent="0.25">
      <c r="A145" t="s">
        <v>1326</v>
      </c>
      <c r="B145" t="s">
        <v>1406</v>
      </c>
      <c r="C145" t="s">
        <v>10</v>
      </c>
      <c r="D145" t="str">
        <f>VLOOKUP(Modded_AMF_Table[[#This Row],[HFM_Account]],HFM_Acct_OCF_Activity[],3,FALSE)</f>
        <v>Direct</v>
      </c>
      <c r="E145" t="s">
        <v>1210</v>
      </c>
      <c r="F145" t="s">
        <v>1194</v>
      </c>
      <c r="G145" t="s">
        <v>1407</v>
      </c>
      <c r="H145" t="str">
        <f>IF(NOT(ISERROR(FIND("NoICP",Modded_AMF_Table[[#This Row],[GL_ICP]]))),"",Modded_AMF_Table[[#This Row],[GL_ICP]])</f>
        <v/>
      </c>
      <c r="I145" t="s">
        <v>1212</v>
      </c>
      <c r="J145" t="s">
        <v>1445</v>
      </c>
      <c r="K145" t="str">
        <f>IFERROR(VLOOKUP(VALUE(Modded_AMF_Table[[#This Row],[GL_PC]]),BNS_Profit_Centers[],2,FALSE),"TE")</f>
        <v>TE</v>
      </c>
      <c r="L145" t="s">
        <v>1445</v>
      </c>
      <c r="M145" t="s">
        <v>1408</v>
      </c>
      <c r="N145" t="s">
        <v>1390</v>
      </c>
      <c r="O145" s="33">
        <v>363.18</v>
      </c>
    </row>
    <row r="146" spans="1:15" x14ac:dyDescent="0.25">
      <c r="A146" t="s">
        <v>1326</v>
      </c>
      <c r="B146" t="s">
        <v>1462</v>
      </c>
      <c r="C146" t="s">
        <v>10</v>
      </c>
      <c r="D146" t="str">
        <f>VLOOKUP(Modded_AMF_Table[[#This Row],[HFM_Account]],HFM_Acct_OCF_Activity[],3,FALSE)</f>
        <v>Direct</v>
      </c>
      <c r="E146" t="s">
        <v>1210</v>
      </c>
      <c r="F146" t="s">
        <v>1194</v>
      </c>
      <c r="G146" t="s">
        <v>1463</v>
      </c>
      <c r="H146" t="str">
        <f>IF(NOT(ISERROR(FIND("NoICP",Modded_AMF_Table[[#This Row],[GL_ICP]]))),"",Modded_AMF_Table[[#This Row],[GL_ICP]])</f>
        <v/>
      </c>
      <c r="I146" t="s">
        <v>1212</v>
      </c>
      <c r="J146" t="s">
        <v>1445</v>
      </c>
      <c r="K146" t="str">
        <f>IFERROR(VLOOKUP(VALUE(Modded_AMF_Table[[#This Row],[GL_PC]]),BNS_Profit_Centers[],2,FALSE),"TE")</f>
        <v>TE</v>
      </c>
      <c r="L146" t="s">
        <v>1445</v>
      </c>
      <c r="M146" t="s">
        <v>1464</v>
      </c>
      <c r="N146" t="s">
        <v>1390</v>
      </c>
      <c r="O146" s="33">
        <v>170</v>
      </c>
    </row>
    <row r="147" spans="1:15" x14ac:dyDescent="0.25">
      <c r="A147" t="s">
        <v>1326</v>
      </c>
      <c r="B147" t="s">
        <v>1409</v>
      </c>
      <c r="C147" t="s">
        <v>10</v>
      </c>
      <c r="D147" t="str">
        <f>VLOOKUP(Modded_AMF_Table[[#This Row],[HFM_Account]],HFM_Acct_OCF_Activity[],3,FALSE)</f>
        <v>Direct</v>
      </c>
      <c r="E147" t="s">
        <v>1210</v>
      </c>
      <c r="F147" t="s">
        <v>1194</v>
      </c>
      <c r="G147" t="s">
        <v>1410</v>
      </c>
      <c r="H147" t="str">
        <f>IF(NOT(ISERROR(FIND("NoICP",Modded_AMF_Table[[#This Row],[GL_ICP]]))),"",Modded_AMF_Table[[#This Row],[GL_ICP]])</f>
        <v/>
      </c>
      <c r="I147" t="s">
        <v>1212</v>
      </c>
      <c r="J147" t="s">
        <v>1445</v>
      </c>
      <c r="K147" t="str">
        <f>IFERROR(VLOOKUP(VALUE(Modded_AMF_Table[[#This Row],[GL_PC]]),BNS_Profit_Centers[],2,FALSE),"TE")</f>
        <v>TE</v>
      </c>
      <c r="L147" t="s">
        <v>1445</v>
      </c>
      <c r="M147" t="s">
        <v>1411</v>
      </c>
      <c r="N147" t="s">
        <v>1390</v>
      </c>
      <c r="O147" s="33">
        <v>228</v>
      </c>
    </row>
    <row r="148" spans="1:15" x14ac:dyDescent="0.25">
      <c r="A148" t="s">
        <v>1326</v>
      </c>
      <c r="B148" t="s">
        <v>1412</v>
      </c>
      <c r="C148" t="s">
        <v>10</v>
      </c>
      <c r="D148" t="str">
        <f>VLOOKUP(Modded_AMF_Table[[#This Row],[HFM_Account]],HFM_Acct_OCF_Activity[],3,FALSE)</f>
        <v>Direct</v>
      </c>
      <c r="E148" t="s">
        <v>1210</v>
      </c>
      <c r="F148" t="s">
        <v>1194</v>
      </c>
      <c r="G148" t="s">
        <v>1413</v>
      </c>
      <c r="H148" t="str">
        <f>IF(NOT(ISERROR(FIND("NoICP",Modded_AMF_Table[[#This Row],[GL_ICP]]))),"",Modded_AMF_Table[[#This Row],[GL_ICP]])</f>
        <v/>
      </c>
      <c r="I148" t="s">
        <v>1212</v>
      </c>
      <c r="J148" t="s">
        <v>1445</v>
      </c>
      <c r="K148" t="str">
        <f>IFERROR(VLOOKUP(VALUE(Modded_AMF_Table[[#This Row],[GL_PC]]),BNS_Profit_Centers[],2,FALSE),"TE")</f>
        <v>TE</v>
      </c>
      <c r="L148" t="s">
        <v>1445</v>
      </c>
      <c r="M148" t="s">
        <v>1414</v>
      </c>
      <c r="N148" t="s">
        <v>1415</v>
      </c>
      <c r="O148" s="33">
        <v>2539.8200000000002</v>
      </c>
    </row>
    <row r="149" spans="1:15" x14ac:dyDescent="0.25">
      <c r="A149" t="s">
        <v>1326</v>
      </c>
      <c r="B149" t="s">
        <v>1416</v>
      </c>
      <c r="C149" t="s">
        <v>10</v>
      </c>
      <c r="D149" t="str">
        <f>VLOOKUP(Modded_AMF_Table[[#This Row],[HFM_Account]],HFM_Acct_OCF_Activity[],3,FALSE)</f>
        <v>Direct</v>
      </c>
      <c r="E149" t="s">
        <v>1210</v>
      </c>
      <c r="F149" t="s">
        <v>1194</v>
      </c>
      <c r="G149" t="s">
        <v>1417</v>
      </c>
      <c r="H149" t="str">
        <f>IF(NOT(ISERROR(FIND("NoICP",Modded_AMF_Table[[#This Row],[GL_ICP]]))),"",Modded_AMF_Table[[#This Row],[GL_ICP]])</f>
        <v/>
      </c>
      <c r="I149" t="s">
        <v>1212</v>
      </c>
      <c r="J149" t="s">
        <v>1445</v>
      </c>
      <c r="K149" t="str">
        <f>IFERROR(VLOOKUP(VALUE(Modded_AMF_Table[[#This Row],[GL_PC]]),BNS_Profit_Centers[],2,FALSE),"TE")</f>
        <v>TE</v>
      </c>
      <c r="L149" t="s">
        <v>1445</v>
      </c>
      <c r="M149" t="s">
        <v>1418</v>
      </c>
      <c r="N149" t="s">
        <v>1415</v>
      </c>
      <c r="O149" s="33">
        <v>7676.74</v>
      </c>
    </row>
    <row r="150" spans="1:15" x14ac:dyDescent="0.25">
      <c r="A150" t="s">
        <v>1326</v>
      </c>
      <c r="B150" t="s">
        <v>1419</v>
      </c>
      <c r="C150" t="s">
        <v>10</v>
      </c>
      <c r="D150" t="str">
        <f>VLOOKUP(Modded_AMF_Table[[#This Row],[HFM_Account]],HFM_Acct_OCF_Activity[],3,FALSE)</f>
        <v>Direct</v>
      </c>
      <c r="E150" t="s">
        <v>1210</v>
      </c>
      <c r="F150" t="s">
        <v>1194</v>
      </c>
      <c r="G150" t="s">
        <v>1420</v>
      </c>
      <c r="H150" t="str">
        <f>IF(NOT(ISERROR(FIND("NoICP",Modded_AMF_Table[[#This Row],[GL_ICP]]))),"",Modded_AMF_Table[[#This Row],[GL_ICP]])</f>
        <v/>
      </c>
      <c r="I150" t="s">
        <v>1212</v>
      </c>
      <c r="J150" t="s">
        <v>1445</v>
      </c>
      <c r="K150" t="str">
        <f>IFERROR(VLOOKUP(VALUE(Modded_AMF_Table[[#This Row],[GL_PC]]),BNS_Profit_Centers[],2,FALSE),"TE")</f>
        <v>TE</v>
      </c>
      <c r="L150" t="s">
        <v>1445</v>
      </c>
      <c r="M150" t="s">
        <v>1421</v>
      </c>
      <c r="N150" t="s">
        <v>1421</v>
      </c>
      <c r="O150" s="33">
        <v>127.5</v>
      </c>
    </row>
    <row r="151" spans="1:15" x14ac:dyDescent="0.25">
      <c r="A151" t="s">
        <v>1326</v>
      </c>
      <c r="B151" t="s">
        <v>1327</v>
      </c>
      <c r="C151" t="s">
        <v>10</v>
      </c>
      <c r="D151" t="str">
        <f>VLOOKUP(Modded_AMF_Table[[#This Row],[HFM_Account]],HFM_Acct_OCF_Activity[],3,FALSE)</f>
        <v>Direct</v>
      </c>
      <c r="E151" t="s">
        <v>1210</v>
      </c>
      <c r="F151" t="s">
        <v>1194</v>
      </c>
      <c r="G151" t="s">
        <v>1328</v>
      </c>
      <c r="H151" t="str">
        <f>IF(NOT(ISERROR(FIND("NoICP",Modded_AMF_Table[[#This Row],[GL_ICP]]))),"",Modded_AMF_Table[[#This Row],[GL_ICP]])</f>
        <v/>
      </c>
      <c r="I151" t="s">
        <v>1212</v>
      </c>
      <c r="J151" t="s">
        <v>1446</v>
      </c>
      <c r="K151" t="str">
        <f>IFERROR(VLOOKUP(VALUE(Modded_AMF_Table[[#This Row],[GL_PC]]),BNS_Profit_Centers[],2,FALSE),"TE")</f>
        <v>BNS</v>
      </c>
      <c r="L151" t="s">
        <v>1446</v>
      </c>
      <c r="M151" t="s">
        <v>1330</v>
      </c>
      <c r="N151" t="s">
        <v>1330</v>
      </c>
      <c r="O151" s="33">
        <v>142376</v>
      </c>
    </row>
    <row r="152" spans="1:15" x14ac:dyDescent="0.25">
      <c r="A152" t="s">
        <v>1326</v>
      </c>
      <c r="B152" t="s">
        <v>1447</v>
      </c>
      <c r="C152" t="s">
        <v>10</v>
      </c>
      <c r="D152" t="str">
        <f>VLOOKUP(Modded_AMF_Table[[#This Row],[HFM_Account]],HFM_Acct_OCF_Activity[],3,FALSE)</f>
        <v>Direct</v>
      </c>
      <c r="E152" t="s">
        <v>1210</v>
      </c>
      <c r="F152" t="s">
        <v>1194</v>
      </c>
      <c r="G152" t="s">
        <v>1448</v>
      </c>
      <c r="H152" t="str">
        <f>IF(NOT(ISERROR(FIND("NoICP",Modded_AMF_Table[[#This Row],[GL_ICP]]))),"",Modded_AMF_Table[[#This Row],[GL_ICP]])</f>
        <v/>
      </c>
      <c r="I152" t="s">
        <v>1212</v>
      </c>
      <c r="J152" t="s">
        <v>1446</v>
      </c>
      <c r="K152" t="str">
        <f>IFERROR(VLOOKUP(VALUE(Modded_AMF_Table[[#This Row],[GL_PC]]),BNS_Profit_Centers[],2,FALSE),"TE")</f>
        <v>BNS</v>
      </c>
      <c r="L152" t="s">
        <v>1446</v>
      </c>
      <c r="M152" t="s">
        <v>1449</v>
      </c>
      <c r="N152" t="s">
        <v>1334</v>
      </c>
      <c r="O152" s="33">
        <v>911.4</v>
      </c>
    </row>
    <row r="153" spans="1:15" x14ac:dyDescent="0.25">
      <c r="A153" t="s">
        <v>1326</v>
      </c>
      <c r="B153" t="s">
        <v>1450</v>
      </c>
      <c r="C153" t="s">
        <v>10</v>
      </c>
      <c r="D153" t="str">
        <f>VLOOKUP(Modded_AMF_Table[[#This Row],[HFM_Account]],HFM_Acct_OCF_Activity[],3,FALSE)</f>
        <v>Direct</v>
      </c>
      <c r="E153" t="s">
        <v>1210</v>
      </c>
      <c r="F153" t="s">
        <v>1194</v>
      </c>
      <c r="G153" t="s">
        <v>1451</v>
      </c>
      <c r="H153" t="str">
        <f>IF(NOT(ISERROR(FIND("NoICP",Modded_AMF_Table[[#This Row],[GL_ICP]]))),"",Modded_AMF_Table[[#This Row],[GL_ICP]])</f>
        <v/>
      </c>
      <c r="I153" t="s">
        <v>1212</v>
      </c>
      <c r="J153" t="s">
        <v>1446</v>
      </c>
      <c r="K153" t="str">
        <f>IFERROR(VLOOKUP(VALUE(Modded_AMF_Table[[#This Row],[GL_PC]]),BNS_Profit_Centers[],2,FALSE),"TE")</f>
        <v>BNS</v>
      </c>
      <c r="L153" t="s">
        <v>1446</v>
      </c>
      <c r="M153" t="s">
        <v>1452</v>
      </c>
      <c r="N153" t="s">
        <v>1330</v>
      </c>
      <c r="O153" s="33">
        <v>-911.4</v>
      </c>
    </row>
    <row r="154" spans="1:15" x14ac:dyDescent="0.25">
      <c r="A154" t="s">
        <v>1326</v>
      </c>
      <c r="B154" t="s">
        <v>1331</v>
      </c>
      <c r="C154" t="s">
        <v>10</v>
      </c>
      <c r="D154" t="str">
        <f>VLOOKUP(Modded_AMF_Table[[#This Row],[HFM_Account]],HFM_Acct_OCF_Activity[],3,FALSE)</f>
        <v>Direct</v>
      </c>
      <c r="E154" t="s">
        <v>1210</v>
      </c>
      <c r="F154" t="s">
        <v>1194</v>
      </c>
      <c r="G154" t="s">
        <v>1332</v>
      </c>
      <c r="H154" t="str">
        <f>IF(NOT(ISERROR(FIND("NoICP",Modded_AMF_Table[[#This Row],[GL_ICP]]))),"",Modded_AMF_Table[[#This Row],[GL_ICP]])</f>
        <v/>
      </c>
      <c r="I154" t="s">
        <v>1212</v>
      </c>
      <c r="J154" t="s">
        <v>1446</v>
      </c>
      <c r="K154" t="str">
        <f>IFERROR(VLOOKUP(VALUE(Modded_AMF_Table[[#This Row],[GL_PC]]),BNS_Profit_Centers[],2,FALSE),"TE")</f>
        <v>BNS</v>
      </c>
      <c r="L154" t="s">
        <v>1446</v>
      </c>
      <c r="M154" t="s">
        <v>1333</v>
      </c>
      <c r="N154" t="s">
        <v>1334</v>
      </c>
      <c r="O154" s="33">
        <v>9099.65</v>
      </c>
    </row>
    <row r="155" spans="1:15" x14ac:dyDescent="0.25">
      <c r="A155" t="s">
        <v>1326</v>
      </c>
      <c r="B155" t="s">
        <v>1335</v>
      </c>
      <c r="C155" t="s">
        <v>10</v>
      </c>
      <c r="D155" t="str">
        <f>VLOOKUP(Modded_AMF_Table[[#This Row],[HFM_Account]],HFM_Acct_OCF_Activity[],3,FALSE)</f>
        <v>Direct</v>
      </c>
      <c r="E155" t="s">
        <v>1210</v>
      </c>
      <c r="F155" t="s">
        <v>1194</v>
      </c>
      <c r="G155" t="s">
        <v>1336</v>
      </c>
      <c r="H155" t="str">
        <f>IF(NOT(ISERROR(FIND("NoICP",Modded_AMF_Table[[#This Row],[GL_ICP]]))),"",Modded_AMF_Table[[#This Row],[GL_ICP]])</f>
        <v/>
      </c>
      <c r="I155" t="s">
        <v>1212</v>
      </c>
      <c r="J155" t="s">
        <v>1446</v>
      </c>
      <c r="K155" t="str">
        <f>IFERROR(VLOOKUP(VALUE(Modded_AMF_Table[[#This Row],[GL_PC]]),BNS_Profit_Centers[],2,FALSE),"TE")</f>
        <v>BNS</v>
      </c>
      <c r="L155" t="s">
        <v>1446</v>
      </c>
      <c r="M155" t="s">
        <v>1337</v>
      </c>
      <c r="N155" t="s">
        <v>1334</v>
      </c>
      <c r="O155" s="33">
        <v>-5875.83</v>
      </c>
    </row>
    <row r="156" spans="1:15" x14ac:dyDescent="0.25">
      <c r="A156" t="s">
        <v>1326</v>
      </c>
      <c r="B156" t="s">
        <v>1338</v>
      </c>
      <c r="C156" t="s">
        <v>10</v>
      </c>
      <c r="D156" t="str">
        <f>VLOOKUP(Modded_AMF_Table[[#This Row],[HFM_Account]],HFM_Acct_OCF_Activity[],3,FALSE)</f>
        <v>Direct</v>
      </c>
      <c r="E156" t="s">
        <v>1210</v>
      </c>
      <c r="F156" t="s">
        <v>1194</v>
      </c>
      <c r="G156" t="s">
        <v>1339</v>
      </c>
      <c r="H156" t="str">
        <f>IF(NOT(ISERROR(FIND("NoICP",Modded_AMF_Table[[#This Row],[GL_ICP]]))),"",Modded_AMF_Table[[#This Row],[GL_ICP]])</f>
        <v/>
      </c>
      <c r="I156" t="s">
        <v>1212</v>
      </c>
      <c r="J156" t="s">
        <v>1446</v>
      </c>
      <c r="K156" t="str">
        <f>IFERROR(VLOOKUP(VALUE(Modded_AMF_Table[[#This Row],[GL_PC]]),BNS_Profit_Centers[],2,FALSE),"TE")</f>
        <v>BNS</v>
      </c>
      <c r="L156" t="s">
        <v>1446</v>
      </c>
      <c r="M156" t="s">
        <v>1340</v>
      </c>
      <c r="N156" t="s">
        <v>1334</v>
      </c>
      <c r="O156" s="33">
        <v>974</v>
      </c>
    </row>
    <row r="157" spans="1:15" x14ac:dyDescent="0.25">
      <c r="A157" t="s">
        <v>1326</v>
      </c>
      <c r="B157" t="s">
        <v>1341</v>
      </c>
      <c r="C157" t="s">
        <v>10</v>
      </c>
      <c r="D157" t="str">
        <f>VLOOKUP(Modded_AMF_Table[[#This Row],[HFM_Account]],HFM_Acct_OCF_Activity[],3,FALSE)</f>
        <v>Direct</v>
      </c>
      <c r="E157" t="s">
        <v>1210</v>
      </c>
      <c r="F157" t="s">
        <v>1194</v>
      </c>
      <c r="G157" t="s">
        <v>1342</v>
      </c>
      <c r="H157" t="str">
        <f>IF(NOT(ISERROR(FIND("NoICP",Modded_AMF_Table[[#This Row],[GL_ICP]]))),"",Modded_AMF_Table[[#This Row],[GL_ICP]])</f>
        <v/>
      </c>
      <c r="I157" t="s">
        <v>1212</v>
      </c>
      <c r="J157" t="s">
        <v>1446</v>
      </c>
      <c r="K157" t="str">
        <f>IFERROR(VLOOKUP(VALUE(Modded_AMF_Table[[#This Row],[GL_PC]]),BNS_Profit_Centers[],2,FALSE),"TE")</f>
        <v>BNS</v>
      </c>
      <c r="L157" t="s">
        <v>1446</v>
      </c>
      <c r="M157" t="s">
        <v>1343</v>
      </c>
      <c r="N157" t="s">
        <v>1334</v>
      </c>
      <c r="O157" s="33">
        <v>540</v>
      </c>
    </row>
    <row r="158" spans="1:15" x14ac:dyDescent="0.25">
      <c r="A158" t="s">
        <v>1326</v>
      </c>
      <c r="B158" t="s">
        <v>1453</v>
      </c>
      <c r="C158" t="s">
        <v>10</v>
      </c>
      <c r="D158" t="str">
        <f>VLOOKUP(Modded_AMF_Table[[#This Row],[HFM_Account]],HFM_Acct_OCF_Activity[],3,FALSE)</f>
        <v>Direct</v>
      </c>
      <c r="E158" t="s">
        <v>1210</v>
      </c>
      <c r="F158" t="s">
        <v>1194</v>
      </c>
      <c r="G158" t="s">
        <v>1454</v>
      </c>
      <c r="H158" t="str">
        <f>IF(NOT(ISERROR(FIND("NoICP",Modded_AMF_Table[[#This Row],[GL_ICP]]))),"",Modded_AMF_Table[[#This Row],[GL_ICP]])</f>
        <v/>
      </c>
      <c r="I158" t="s">
        <v>1212</v>
      </c>
      <c r="J158" t="s">
        <v>1446</v>
      </c>
      <c r="K158" t="str">
        <f>IFERROR(VLOOKUP(VALUE(Modded_AMF_Table[[#This Row],[GL_PC]]),BNS_Profit_Centers[],2,FALSE),"TE")</f>
        <v>BNS</v>
      </c>
      <c r="L158" t="s">
        <v>1446</v>
      </c>
      <c r="M158" t="s">
        <v>1014</v>
      </c>
      <c r="N158" t="s">
        <v>1455</v>
      </c>
      <c r="O158" s="33">
        <v>203</v>
      </c>
    </row>
    <row r="159" spans="1:15" x14ac:dyDescent="0.25">
      <c r="A159" t="s">
        <v>1326</v>
      </c>
      <c r="B159" t="s">
        <v>1344</v>
      </c>
      <c r="C159" t="s">
        <v>10</v>
      </c>
      <c r="D159" t="str">
        <f>VLOOKUP(Modded_AMF_Table[[#This Row],[HFM_Account]],HFM_Acct_OCF_Activity[],3,FALSE)</f>
        <v>Direct</v>
      </c>
      <c r="E159" t="s">
        <v>1210</v>
      </c>
      <c r="F159" t="s">
        <v>1194</v>
      </c>
      <c r="G159" t="s">
        <v>1345</v>
      </c>
      <c r="H159" t="str">
        <f>IF(NOT(ISERROR(FIND("NoICP",Modded_AMF_Table[[#This Row],[GL_ICP]]))),"",Modded_AMF_Table[[#This Row],[GL_ICP]])</f>
        <v/>
      </c>
      <c r="I159" t="s">
        <v>1212</v>
      </c>
      <c r="J159" t="s">
        <v>1446</v>
      </c>
      <c r="K159" t="str">
        <f>IFERROR(VLOOKUP(VALUE(Modded_AMF_Table[[#This Row],[GL_PC]]),BNS_Profit_Centers[],2,FALSE),"TE")</f>
        <v>BNS</v>
      </c>
      <c r="L159" t="s">
        <v>1446</v>
      </c>
      <c r="M159" t="s">
        <v>1346</v>
      </c>
      <c r="N159" t="s">
        <v>1347</v>
      </c>
      <c r="O159" s="33">
        <v>960</v>
      </c>
    </row>
    <row r="160" spans="1:15" x14ac:dyDescent="0.25">
      <c r="A160" t="s">
        <v>1326</v>
      </c>
      <c r="B160" t="s">
        <v>1348</v>
      </c>
      <c r="C160" t="s">
        <v>10</v>
      </c>
      <c r="D160" t="str">
        <f>VLOOKUP(Modded_AMF_Table[[#This Row],[HFM_Account]],HFM_Acct_OCF_Activity[],3,FALSE)</f>
        <v>Direct</v>
      </c>
      <c r="E160" t="s">
        <v>1210</v>
      </c>
      <c r="F160" t="s">
        <v>1194</v>
      </c>
      <c r="G160" t="s">
        <v>1349</v>
      </c>
      <c r="H160" t="str">
        <f>IF(NOT(ISERROR(FIND("NoICP",Modded_AMF_Table[[#This Row],[GL_ICP]]))),"",Modded_AMF_Table[[#This Row],[GL_ICP]])</f>
        <v/>
      </c>
      <c r="I160" t="s">
        <v>1212</v>
      </c>
      <c r="J160" t="s">
        <v>1446</v>
      </c>
      <c r="K160" t="str">
        <f>IFERROR(VLOOKUP(VALUE(Modded_AMF_Table[[#This Row],[GL_PC]]),BNS_Profit_Centers[],2,FALSE),"TE")</f>
        <v>BNS</v>
      </c>
      <c r="L160" t="s">
        <v>1446</v>
      </c>
      <c r="M160" t="s">
        <v>1350</v>
      </c>
      <c r="N160" t="s">
        <v>1351</v>
      </c>
      <c r="O160" s="33">
        <v>533.99</v>
      </c>
    </row>
    <row r="161" spans="1:15" x14ac:dyDescent="0.25">
      <c r="A161" t="s">
        <v>1326</v>
      </c>
      <c r="B161" t="s">
        <v>1352</v>
      </c>
      <c r="C161" t="s">
        <v>10</v>
      </c>
      <c r="D161" t="str">
        <f>VLOOKUP(Modded_AMF_Table[[#This Row],[HFM_Account]],HFM_Acct_OCF_Activity[],3,FALSE)</f>
        <v>Direct</v>
      </c>
      <c r="E161" t="s">
        <v>1210</v>
      </c>
      <c r="F161" t="s">
        <v>1194</v>
      </c>
      <c r="G161" t="s">
        <v>1353</v>
      </c>
      <c r="H161" t="str">
        <f>IF(NOT(ISERROR(FIND("NoICP",Modded_AMF_Table[[#This Row],[GL_ICP]]))),"",Modded_AMF_Table[[#This Row],[GL_ICP]])</f>
        <v/>
      </c>
      <c r="I161" t="s">
        <v>1212</v>
      </c>
      <c r="J161" t="s">
        <v>1446</v>
      </c>
      <c r="K161" t="str">
        <f>IFERROR(VLOOKUP(VALUE(Modded_AMF_Table[[#This Row],[GL_PC]]),BNS_Profit_Centers[],2,FALSE),"TE")</f>
        <v>BNS</v>
      </c>
      <c r="L161" t="s">
        <v>1446</v>
      </c>
      <c r="M161" t="s">
        <v>1354</v>
      </c>
      <c r="N161" t="s">
        <v>1351</v>
      </c>
      <c r="O161" s="33">
        <v>1287</v>
      </c>
    </row>
    <row r="162" spans="1:15" x14ac:dyDescent="0.25">
      <c r="A162" t="s">
        <v>1326</v>
      </c>
      <c r="B162" t="s">
        <v>1355</v>
      </c>
      <c r="C162" t="s">
        <v>10</v>
      </c>
      <c r="D162" t="str">
        <f>VLOOKUP(Modded_AMF_Table[[#This Row],[HFM_Account]],HFM_Acct_OCF_Activity[],3,FALSE)</f>
        <v>Direct</v>
      </c>
      <c r="E162" t="s">
        <v>1210</v>
      </c>
      <c r="F162" t="s">
        <v>1194</v>
      </c>
      <c r="G162" t="s">
        <v>1356</v>
      </c>
      <c r="H162" t="str">
        <f>IF(NOT(ISERROR(FIND("NoICP",Modded_AMF_Table[[#This Row],[GL_ICP]]))),"",Modded_AMF_Table[[#This Row],[GL_ICP]])</f>
        <v/>
      </c>
      <c r="I162" t="s">
        <v>1212</v>
      </c>
      <c r="J162" t="s">
        <v>1446</v>
      </c>
      <c r="K162" t="str">
        <f>IFERROR(VLOOKUP(VALUE(Modded_AMF_Table[[#This Row],[GL_PC]]),BNS_Profit_Centers[],2,FALSE),"TE")</f>
        <v>BNS</v>
      </c>
      <c r="L162" t="s">
        <v>1446</v>
      </c>
      <c r="M162" t="s">
        <v>1357</v>
      </c>
      <c r="N162" t="s">
        <v>1351</v>
      </c>
      <c r="O162" s="33">
        <v>595.20000000000005</v>
      </c>
    </row>
    <row r="163" spans="1:15" x14ac:dyDescent="0.25">
      <c r="A163" t="s">
        <v>1326</v>
      </c>
      <c r="B163" t="s">
        <v>1358</v>
      </c>
      <c r="C163" t="s">
        <v>10</v>
      </c>
      <c r="D163" t="str">
        <f>VLOOKUP(Modded_AMF_Table[[#This Row],[HFM_Account]],HFM_Acct_OCF_Activity[],3,FALSE)</f>
        <v>Direct</v>
      </c>
      <c r="E163" t="s">
        <v>1210</v>
      </c>
      <c r="F163" t="s">
        <v>1194</v>
      </c>
      <c r="G163" t="s">
        <v>1359</v>
      </c>
      <c r="H163" t="str">
        <f>IF(NOT(ISERROR(FIND("NoICP",Modded_AMF_Table[[#This Row],[GL_ICP]]))),"",Modded_AMF_Table[[#This Row],[GL_ICP]])</f>
        <v/>
      </c>
      <c r="I163" t="s">
        <v>1212</v>
      </c>
      <c r="J163" t="s">
        <v>1446</v>
      </c>
      <c r="K163" t="str">
        <f>IFERROR(VLOOKUP(VALUE(Modded_AMF_Table[[#This Row],[GL_PC]]),BNS_Profit_Centers[],2,FALSE),"TE")</f>
        <v>BNS</v>
      </c>
      <c r="L163" t="s">
        <v>1446</v>
      </c>
      <c r="M163" t="s">
        <v>1360</v>
      </c>
      <c r="N163" t="s">
        <v>1361</v>
      </c>
      <c r="O163" s="33">
        <v>3641.96</v>
      </c>
    </row>
    <row r="164" spans="1:15" x14ac:dyDescent="0.25">
      <c r="A164" t="s">
        <v>1326</v>
      </c>
      <c r="B164" t="s">
        <v>1362</v>
      </c>
      <c r="C164" t="s">
        <v>10</v>
      </c>
      <c r="D164" t="str">
        <f>VLOOKUP(Modded_AMF_Table[[#This Row],[HFM_Account]],HFM_Acct_OCF_Activity[],3,FALSE)</f>
        <v>Direct</v>
      </c>
      <c r="E164" t="s">
        <v>1210</v>
      </c>
      <c r="F164" t="s">
        <v>1194</v>
      </c>
      <c r="G164" t="s">
        <v>1363</v>
      </c>
      <c r="H164" t="str">
        <f>IF(NOT(ISERROR(FIND("NoICP",Modded_AMF_Table[[#This Row],[GL_ICP]]))),"",Modded_AMF_Table[[#This Row],[GL_ICP]])</f>
        <v/>
      </c>
      <c r="I164" t="s">
        <v>1212</v>
      </c>
      <c r="J164" t="s">
        <v>1446</v>
      </c>
      <c r="K164" t="str">
        <f>IFERROR(VLOOKUP(VALUE(Modded_AMF_Table[[#This Row],[GL_PC]]),BNS_Profit_Centers[],2,FALSE),"TE")</f>
        <v>BNS</v>
      </c>
      <c r="L164" t="s">
        <v>1446</v>
      </c>
      <c r="M164" t="s">
        <v>1364</v>
      </c>
      <c r="N164" t="s">
        <v>1364</v>
      </c>
      <c r="O164" s="33">
        <v>-3575.9</v>
      </c>
    </row>
    <row r="165" spans="1:15" x14ac:dyDescent="0.25">
      <c r="A165" t="s">
        <v>1326</v>
      </c>
      <c r="B165" t="s">
        <v>1369</v>
      </c>
      <c r="C165" t="s">
        <v>10</v>
      </c>
      <c r="D165" t="str">
        <f>VLOOKUP(Modded_AMF_Table[[#This Row],[HFM_Account]],HFM_Acct_OCF_Activity[],3,FALSE)</f>
        <v>Direct</v>
      </c>
      <c r="E165" t="s">
        <v>1210</v>
      </c>
      <c r="F165" t="s">
        <v>1194</v>
      </c>
      <c r="G165" t="s">
        <v>1370</v>
      </c>
      <c r="H165" t="str">
        <f>IF(NOT(ISERROR(FIND("NoICP",Modded_AMF_Table[[#This Row],[GL_ICP]]))),"",Modded_AMF_Table[[#This Row],[GL_ICP]])</f>
        <v/>
      </c>
      <c r="I165" t="s">
        <v>1212</v>
      </c>
      <c r="J165" t="s">
        <v>1446</v>
      </c>
      <c r="K165" t="str">
        <f>IFERROR(VLOOKUP(VALUE(Modded_AMF_Table[[#This Row],[GL_PC]]),BNS_Profit_Centers[],2,FALSE),"TE")</f>
        <v>BNS</v>
      </c>
      <c r="L165" t="s">
        <v>1446</v>
      </c>
      <c r="M165" t="s">
        <v>1371</v>
      </c>
      <c r="N165" t="s">
        <v>1368</v>
      </c>
      <c r="O165" s="33">
        <v>1793.74</v>
      </c>
    </row>
    <row r="166" spans="1:15" x14ac:dyDescent="0.25">
      <c r="A166" t="s">
        <v>1326</v>
      </c>
      <c r="B166" t="s">
        <v>1456</v>
      </c>
      <c r="C166" t="s">
        <v>10</v>
      </c>
      <c r="D166" t="str">
        <f>VLOOKUP(Modded_AMF_Table[[#This Row],[HFM_Account]],HFM_Acct_OCF_Activity[],3,FALSE)</f>
        <v>Direct</v>
      </c>
      <c r="E166" t="s">
        <v>1210</v>
      </c>
      <c r="F166" t="s">
        <v>1194</v>
      </c>
      <c r="G166" t="s">
        <v>1457</v>
      </c>
      <c r="H166" t="str">
        <f>IF(NOT(ISERROR(FIND("NoICP",Modded_AMF_Table[[#This Row],[GL_ICP]]))),"",Modded_AMF_Table[[#This Row],[GL_ICP]])</f>
        <v/>
      </c>
      <c r="I166" t="s">
        <v>1212</v>
      </c>
      <c r="J166" t="s">
        <v>1446</v>
      </c>
      <c r="K166" t="str">
        <f>IFERROR(VLOOKUP(VALUE(Modded_AMF_Table[[#This Row],[GL_PC]]),BNS_Profit_Centers[],2,FALSE),"TE")</f>
        <v>BNS</v>
      </c>
      <c r="L166" t="s">
        <v>1446</v>
      </c>
      <c r="M166" t="s">
        <v>1458</v>
      </c>
      <c r="N166" t="s">
        <v>1364</v>
      </c>
      <c r="O166" s="33">
        <v>733.35</v>
      </c>
    </row>
    <row r="167" spans="1:15" x14ac:dyDescent="0.25">
      <c r="A167" t="s">
        <v>1326</v>
      </c>
      <c r="B167" t="s">
        <v>1372</v>
      </c>
      <c r="C167" t="s">
        <v>10</v>
      </c>
      <c r="D167" t="str">
        <f>VLOOKUP(Modded_AMF_Table[[#This Row],[HFM_Account]],HFM_Acct_OCF_Activity[],3,FALSE)</f>
        <v>Direct</v>
      </c>
      <c r="E167" t="s">
        <v>1210</v>
      </c>
      <c r="F167" t="s">
        <v>1194</v>
      </c>
      <c r="G167" t="s">
        <v>1373</v>
      </c>
      <c r="H167" t="str">
        <f>IF(NOT(ISERROR(FIND("NoICP",Modded_AMF_Table[[#This Row],[GL_ICP]]))),"",Modded_AMF_Table[[#This Row],[GL_ICP]])</f>
        <v/>
      </c>
      <c r="I167" t="s">
        <v>1212</v>
      </c>
      <c r="J167" t="s">
        <v>1446</v>
      </c>
      <c r="K167" t="str">
        <f>IFERROR(VLOOKUP(VALUE(Modded_AMF_Table[[#This Row],[GL_PC]]),BNS_Profit_Centers[],2,FALSE),"TE")</f>
        <v>BNS</v>
      </c>
      <c r="L167" t="s">
        <v>1446</v>
      </c>
      <c r="M167" t="s">
        <v>1374</v>
      </c>
      <c r="N167" t="s">
        <v>1374</v>
      </c>
      <c r="O167" s="33">
        <v>30129.49</v>
      </c>
    </row>
    <row r="168" spans="1:15" x14ac:dyDescent="0.25">
      <c r="A168" t="s">
        <v>1326</v>
      </c>
      <c r="B168" t="s">
        <v>1375</v>
      </c>
      <c r="C168" t="s">
        <v>10</v>
      </c>
      <c r="D168" t="str">
        <f>VLOOKUP(Modded_AMF_Table[[#This Row],[HFM_Account]],HFM_Acct_OCF_Activity[],3,FALSE)</f>
        <v>Direct</v>
      </c>
      <c r="E168" t="s">
        <v>1210</v>
      </c>
      <c r="F168" t="s">
        <v>1194</v>
      </c>
      <c r="G168" t="s">
        <v>1376</v>
      </c>
      <c r="H168" t="str">
        <f>IF(NOT(ISERROR(FIND("NoICP",Modded_AMF_Table[[#This Row],[GL_ICP]]))),"",Modded_AMF_Table[[#This Row],[GL_ICP]])</f>
        <v/>
      </c>
      <c r="I168" t="s">
        <v>1212</v>
      </c>
      <c r="J168" t="s">
        <v>1446</v>
      </c>
      <c r="K168" t="str">
        <f>IFERROR(VLOOKUP(VALUE(Modded_AMF_Table[[#This Row],[GL_PC]]),BNS_Profit_Centers[],2,FALSE),"TE")</f>
        <v>BNS</v>
      </c>
      <c r="L168" t="s">
        <v>1446</v>
      </c>
      <c r="M168" t="s">
        <v>1377</v>
      </c>
      <c r="N168" t="s">
        <v>1374</v>
      </c>
      <c r="O168" s="33">
        <v>12659.25</v>
      </c>
    </row>
    <row r="169" spans="1:15" x14ac:dyDescent="0.25">
      <c r="A169" t="s">
        <v>1326</v>
      </c>
      <c r="B169" t="s">
        <v>1378</v>
      </c>
      <c r="C169" t="s">
        <v>10</v>
      </c>
      <c r="D169" t="str">
        <f>VLOOKUP(Modded_AMF_Table[[#This Row],[HFM_Account]],HFM_Acct_OCF_Activity[],3,FALSE)</f>
        <v>Direct</v>
      </c>
      <c r="E169" t="s">
        <v>1210</v>
      </c>
      <c r="F169" t="s">
        <v>1194</v>
      </c>
      <c r="G169" t="s">
        <v>1379</v>
      </c>
      <c r="H169" t="str">
        <f>IF(NOT(ISERROR(FIND("NoICP",Modded_AMF_Table[[#This Row],[GL_ICP]]))),"",Modded_AMF_Table[[#This Row],[GL_ICP]])</f>
        <v/>
      </c>
      <c r="I169" t="s">
        <v>1212</v>
      </c>
      <c r="J169" t="s">
        <v>1446</v>
      </c>
      <c r="K169" t="str">
        <f>IFERROR(VLOOKUP(VALUE(Modded_AMF_Table[[#This Row],[GL_PC]]),BNS_Profit_Centers[],2,FALSE),"TE")</f>
        <v>BNS</v>
      </c>
      <c r="L169" t="s">
        <v>1446</v>
      </c>
      <c r="M169" t="s">
        <v>1380</v>
      </c>
      <c r="N169" t="s">
        <v>1380</v>
      </c>
      <c r="O169" s="33">
        <v>7056.45</v>
      </c>
    </row>
    <row r="170" spans="1:15" x14ac:dyDescent="0.25">
      <c r="A170" t="s">
        <v>1326</v>
      </c>
      <c r="B170" t="s">
        <v>1381</v>
      </c>
      <c r="C170" t="s">
        <v>10</v>
      </c>
      <c r="D170" t="str">
        <f>VLOOKUP(Modded_AMF_Table[[#This Row],[HFM_Account]],HFM_Acct_OCF_Activity[],3,FALSE)</f>
        <v>Direct</v>
      </c>
      <c r="E170" t="s">
        <v>1210</v>
      </c>
      <c r="F170" t="s">
        <v>1194</v>
      </c>
      <c r="G170" t="s">
        <v>1382</v>
      </c>
      <c r="H170" t="str">
        <f>IF(NOT(ISERROR(FIND("NoICP",Modded_AMF_Table[[#This Row],[GL_ICP]]))),"",Modded_AMF_Table[[#This Row],[GL_ICP]])</f>
        <v/>
      </c>
      <c r="I170" t="s">
        <v>1212</v>
      </c>
      <c r="J170" t="s">
        <v>1446</v>
      </c>
      <c r="K170" t="str">
        <f>IFERROR(VLOOKUP(VALUE(Modded_AMF_Table[[#This Row],[GL_PC]]),BNS_Profit_Centers[],2,FALSE),"TE")</f>
        <v>BNS</v>
      </c>
      <c r="L170" t="s">
        <v>1446</v>
      </c>
      <c r="M170" t="s">
        <v>1383</v>
      </c>
      <c r="N170" t="s">
        <v>1334</v>
      </c>
      <c r="O170" s="33">
        <v>11184.98</v>
      </c>
    </row>
    <row r="171" spans="1:15" x14ac:dyDescent="0.25">
      <c r="A171" t="s">
        <v>1326</v>
      </c>
      <c r="B171" t="s">
        <v>1384</v>
      </c>
      <c r="C171" t="s">
        <v>10</v>
      </c>
      <c r="D171" t="str">
        <f>VLOOKUP(Modded_AMF_Table[[#This Row],[HFM_Account]],HFM_Acct_OCF_Activity[],3,FALSE)</f>
        <v>Direct</v>
      </c>
      <c r="E171" t="s">
        <v>1210</v>
      </c>
      <c r="F171" t="s">
        <v>1194</v>
      </c>
      <c r="G171" t="s">
        <v>1385</v>
      </c>
      <c r="H171" t="str">
        <f>IF(NOT(ISERROR(FIND("NoICP",Modded_AMF_Table[[#This Row],[GL_ICP]]))),"",Modded_AMF_Table[[#This Row],[GL_ICP]])</f>
        <v/>
      </c>
      <c r="I171" t="s">
        <v>1212</v>
      </c>
      <c r="J171" t="s">
        <v>1446</v>
      </c>
      <c r="K171" t="str">
        <f>IFERROR(VLOOKUP(VALUE(Modded_AMF_Table[[#This Row],[GL_PC]]),BNS_Profit_Centers[],2,FALSE),"TE")</f>
        <v>BNS</v>
      </c>
      <c r="L171" t="s">
        <v>1446</v>
      </c>
      <c r="M171" t="s">
        <v>1386</v>
      </c>
      <c r="N171" t="s">
        <v>1386</v>
      </c>
      <c r="O171" s="33">
        <v>476.14</v>
      </c>
    </row>
    <row r="172" spans="1:15" x14ac:dyDescent="0.25">
      <c r="A172" t="s">
        <v>1326</v>
      </c>
      <c r="B172" t="s">
        <v>1459</v>
      </c>
      <c r="C172" t="s">
        <v>10</v>
      </c>
      <c r="D172" t="str">
        <f>VLOOKUP(Modded_AMF_Table[[#This Row],[HFM_Account]],HFM_Acct_OCF_Activity[],3,FALSE)</f>
        <v>Direct</v>
      </c>
      <c r="E172" t="s">
        <v>1210</v>
      </c>
      <c r="F172" t="s">
        <v>1194</v>
      </c>
      <c r="G172" t="s">
        <v>1460</v>
      </c>
      <c r="H172" t="str">
        <f>IF(NOT(ISERROR(FIND("NoICP",Modded_AMF_Table[[#This Row],[GL_ICP]]))),"",Modded_AMF_Table[[#This Row],[GL_ICP]])</f>
        <v/>
      </c>
      <c r="I172" t="s">
        <v>1212</v>
      </c>
      <c r="J172" t="s">
        <v>1446</v>
      </c>
      <c r="K172" t="str">
        <f>IFERROR(VLOOKUP(VALUE(Modded_AMF_Table[[#This Row],[GL_PC]]),BNS_Profit_Centers[],2,FALSE),"TE")</f>
        <v>BNS</v>
      </c>
      <c r="L172" t="s">
        <v>1446</v>
      </c>
      <c r="M172" t="s">
        <v>1461</v>
      </c>
      <c r="N172" t="s">
        <v>1461</v>
      </c>
      <c r="O172" s="33">
        <v>94</v>
      </c>
    </row>
    <row r="173" spans="1:15" x14ac:dyDescent="0.25">
      <c r="A173" t="s">
        <v>1326</v>
      </c>
      <c r="B173" t="s">
        <v>1387</v>
      </c>
      <c r="C173" t="s">
        <v>10</v>
      </c>
      <c r="D173" t="str">
        <f>VLOOKUP(Modded_AMF_Table[[#This Row],[HFM_Account]],HFM_Acct_OCF_Activity[],3,FALSE)</f>
        <v>Direct</v>
      </c>
      <c r="E173" t="s">
        <v>1210</v>
      </c>
      <c r="F173" t="s">
        <v>1194</v>
      </c>
      <c r="G173" t="s">
        <v>1388</v>
      </c>
      <c r="H173" t="str">
        <f>IF(NOT(ISERROR(FIND("NoICP",Modded_AMF_Table[[#This Row],[GL_ICP]]))),"",Modded_AMF_Table[[#This Row],[GL_ICP]])</f>
        <v/>
      </c>
      <c r="I173" t="s">
        <v>1212</v>
      </c>
      <c r="J173" t="s">
        <v>1446</v>
      </c>
      <c r="K173" t="str">
        <f>IFERROR(VLOOKUP(VALUE(Modded_AMF_Table[[#This Row],[GL_PC]]),BNS_Profit_Centers[],2,FALSE),"TE")</f>
        <v>BNS</v>
      </c>
      <c r="L173" t="s">
        <v>1446</v>
      </c>
      <c r="M173" t="s">
        <v>1389</v>
      </c>
      <c r="N173" t="s">
        <v>1390</v>
      </c>
      <c r="O173" s="33">
        <v>5433</v>
      </c>
    </row>
    <row r="174" spans="1:15" x14ac:dyDescent="0.25">
      <c r="A174" t="s">
        <v>1326</v>
      </c>
      <c r="B174" t="s">
        <v>1391</v>
      </c>
      <c r="C174" t="s">
        <v>10</v>
      </c>
      <c r="D174" t="str">
        <f>VLOOKUP(Modded_AMF_Table[[#This Row],[HFM_Account]],HFM_Acct_OCF_Activity[],3,FALSE)</f>
        <v>Direct</v>
      </c>
      <c r="E174" t="s">
        <v>1210</v>
      </c>
      <c r="F174" t="s">
        <v>1194</v>
      </c>
      <c r="G174" t="s">
        <v>1392</v>
      </c>
      <c r="H174" t="str">
        <f>IF(NOT(ISERROR(FIND("NoICP",Modded_AMF_Table[[#This Row],[GL_ICP]]))),"",Modded_AMF_Table[[#This Row],[GL_ICP]])</f>
        <v/>
      </c>
      <c r="I174" t="s">
        <v>1212</v>
      </c>
      <c r="J174" t="s">
        <v>1446</v>
      </c>
      <c r="K174" t="str">
        <f>IFERROR(VLOOKUP(VALUE(Modded_AMF_Table[[#This Row],[GL_PC]]),BNS_Profit_Centers[],2,FALSE),"TE")</f>
        <v>BNS</v>
      </c>
      <c r="L174" t="s">
        <v>1446</v>
      </c>
      <c r="M174" t="s">
        <v>1393</v>
      </c>
      <c r="N174" t="s">
        <v>1390</v>
      </c>
      <c r="O174" s="33">
        <v>3027.48</v>
      </c>
    </row>
    <row r="175" spans="1:15" x14ac:dyDescent="0.25">
      <c r="A175" t="s">
        <v>1326</v>
      </c>
      <c r="B175" t="s">
        <v>1394</v>
      </c>
      <c r="C175" t="s">
        <v>10</v>
      </c>
      <c r="D175" t="str">
        <f>VLOOKUP(Modded_AMF_Table[[#This Row],[HFM_Account]],HFM_Acct_OCF_Activity[],3,FALSE)</f>
        <v>Direct</v>
      </c>
      <c r="E175" t="s">
        <v>1210</v>
      </c>
      <c r="F175" t="s">
        <v>1194</v>
      </c>
      <c r="G175" t="s">
        <v>1395</v>
      </c>
      <c r="H175" t="str">
        <f>IF(NOT(ISERROR(FIND("NoICP",Modded_AMF_Table[[#This Row],[GL_ICP]]))),"",Modded_AMF_Table[[#This Row],[GL_ICP]])</f>
        <v/>
      </c>
      <c r="I175" t="s">
        <v>1212</v>
      </c>
      <c r="J175" t="s">
        <v>1446</v>
      </c>
      <c r="K175" t="str">
        <f>IFERROR(VLOOKUP(VALUE(Modded_AMF_Table[[#This Row],[GL_PC]]),BNS_Profit_Centers[],2,FALSE),"TE")</f>
        <v>BNS</v>
      </c>
      <c r="L175" t="s">
        <v>1446</v>
      </c>
      <c r="M175" t="s">
        <v>1396</v>
      </c>
      <c r="N175" t="s">
        <v>1390</v>
      </c>
      <c r="O175" s="33">
        <v>3246</v>
      </c>
    </row>
    <row r="176" spans="1:15" x14ac:dyDescent="0.25">
      <c r="A176" t="s">
        <v>1326</v>
      </c>
      <c r="B176" t="s">
        <v>1397</v>
      </c>
      <c r="C176" t="s">
        <v>10</v>
      </c>
      <c r="D176" t="str">
        <f>VLOOKUP(Modded_AMF_Table[[#This Row],[HFM_Account]],HFM_Acct_OCF_Activity[],3,FALSE)</f>
        <v>Direct</v>
      </c>
      <c r="E176" t="s">
        <v>1210</v>
      </c>
      <c r="F176" t="s">
        <v>1194</v>
      </c>
      <c r="G176" t="s">
        <v>1398</v>
      </c>
      <c r="H176" t="str">
        <f>IF(NOT(ISERROR(FIND("NoICP",Modded_AMF_Table[[#This Row],[GL_ICP]]))),"",Modded_AMF_Table[[#This Row],[GL_ICP]])</f>
        <v/>
      </c>
      <c r="I176" t="s">
        <v>1212</v>
      </c>
      <c r="J176" t="s">
        <v>1446</v>
      </c>
      <c r="K176" t="str">
        <f>IFERROR(VLOOKUP(VALUE(Modded_AMF_Table[[#This Row],[GL_PC]]),BNS_Profit_Centers[],2,FALSE),"TE")</f>
        <v>BNS</v>
      </c>
      <c r="L176" t="s">
        <v>1446</v>
      </c>
      <c r="M176" t="s">
        <v>1399</v>
      </c>
      <c r="N176" t="s">
        <v>1390</v>
      </c>
      <c r="O176" s="33">
        <v>454.51</v>
      </c>
    </row>
    <row r="177" spans="1:15" x14ac:dyDescent="0.25">
      <c r="A177" t="s">
        <v>1326</v>
      </c>
      <c r="B177" t="s">
        <v>1400</v>
      </c>
      <c r="C177" t="s">
        <v>10</v>
      </c>
      <c r="D177" t="str">
        <f>VLOOKUP(Modded_AMF_Table[[#This Row],[HFM_Account]],HFM_Acct_OCF_Activity[],3,FALSE)</f>
        <v>Direct</v>
      </c>
      <c r="E177" t="s">
        <v>1210</v>
      </c>
      <c r="F177" t="s">
        <v>1194</v>
      </c>
      <c r="G177" t="s">
        <v>1401</v>
      </c>
      <c r="H177" t="str">
        <f>IF(NOT(ISERROR(FIND("NoICP",Modded_AMF_Table[[#This Row],[GL_ICP]]))),"",Modded_AMF_Table[[#This Row],[GL_ICP]])</f>
        <v/>
      </c>
      <c r="I177" t="s">
        <v>1212</v>
      </c>
      <c r="J177" t="s">
        <v>1446</v>
      </c>
      <c r="K177" t="str">
        <f>IFERROR(VLOOKUP(VALUE(Modded_AMF_Table[[#This Row],[GL_PC]]),BNS_Profit_Centers[],2,FALSE),"TE")</f>
        <v>BNS</v>
      </c>
      <c r="L177" t="s">
        <v>1446</v>
      </c>
      <c r="M177" t="s">
        <v>1402</v>
      </c>
      <c r="N177" t="s">
        <v>1390</v>
      </c>
      <c r="O177" s="33">
        <v>1235.1600000000001</v>
      </c>
    </row>
    <row r="178" spans="1:15" x14ac:dyDescent="0.25">
      <c r="A178" t="s">
        <v>1326</v>
      </c>
      <c r="B178" t="s">
        <v>1403</v>
      </c>
      <c r="C178" t="s">
        <v>10</v>
      </c>
      <c r="D178" t="str">
        <f>VLOOKUP(Modded_AMF_Table[[#This Row],[HFM_Account]],HFM_Acct_OCF_Activity[],3,FALSE)</f>
        <v>Direct</v>
      </c>
      <c r="E178" t="s">
        <v>1210</v>
      </c>
      <c r="F178" t="s">
        <v>1194</v>
      </c>
      <c r="G178" t="s">
        <v>1404</v>
      </c>
      <c r="H178" t="str">
        <f>IF(NOT(ISERROR(FIND("NoICP",Modded_AMF_Table[[#This Row],[GL_ICP]]))),"",Modded_AMF_Table[[#This Row],[GL_ICP]])</f>
        <v/>
      </c>
      <c r="I178" t="s">
        <v>1212</v>
      </c>
      <c r="J178" t="s">
        <v>1446</v>
      </c>
      <c r="K178" t="str">
        <f>IFERROR(VLOOKUP(VALUE(Modded_AMF_Table[[#This Row],[GL_PC]]),BNS_Profit_Centers[],2,FALSE),"TE")</f>
        <v>BNS</v>
      </c>
      <c r="L178" t="s">
        <v>1446</v>
      </c>
      <c r="M178" t="s">
        <v>1405</v>
      </c>
      <c r="N178" t="s">
        <v>1390</v>
      </c>
      <c r="O178" s="33">
        <v>1728.02</v>
      </c>
    </row>
    <row r="179" spans="1:15" x14ac:dyDescent="0.25">
      <c r="A179" t="s">
        <v>1326</v>
      </c>
      <c r="B179" t="s">
        <v>1406</v>
      </c>
      <c r="C179" t="s">
        <v>10</v>
      </c>
      <c r="D179" t="str">
        <f>VLOOKUP(Modded_AMF_Table[[#This Row],[HFM_Account]],HFM_Acct_OCF_Activity[],3,FALSE)</f>
        <v>Direct</v>
      </c>
      <c r="E179" t="s">
        <v>1210</v>
      </c>
      <c r="F179" t="s">
        <v>1194</v>
      </c>
      <c r="G179" t="s">
        <v>1407</v>
      </c>
      <c r="H179" t="str">
        <f>IF(NOT(ISERROR(FIND("NoICP",Modded_AMF_Table[[#This Row],[GL_ICP]]))),"",Modded_AMF_Table[[#This Row],[GL_ICP]])</f>
        <v/>
      </c>
      <c r="I179" t="s">
        <v>1212</v>
      </c>
      <c r="J179" t="s">
        <v>1446</v>
      </c>
      <c r="K179" t="str">
        <f>IFERROR(VLOOKUP(VALUE(Modded_AMF_Table[[#This Row],[GL_PC]]),BNS_Profit_Centers[],2,FALSE),"TE")</f>
        <v>BNS</v>
      </c>
      <c r="L179" t="s">
        <v>1446</v>
      </c>
      <c r="M179" t="s">
        <v>1408</v>
      </c>
      <c r="N179" t="s">
        <v>1390</v>
      </c>
      <c r="O179" s="33">
        <v>1550.45</v>
      </c>
    </row>
    <row r="180" spans="1:15" x14ac:dyDescent="0.25">
      <c r="A180" t="s">
        <v>1326</v>
      </c>
      <c r="B180" t="s">
        <v>1462</v>
      </c>
      <c r="C180" t="s">
        <v>10</v>
      </c>
      <c r="D180" t="str">
        <f>VLOOKUP(Modded_AMF_Table[[#This Row],[HFM_Account]],HFM_Acct_OCF_Activity[],3,FALSE)</f>
        <v>Direct</v>
      </c>
      <c r="E180" t="s">
        <v>1210</v>
      </c>
      <c r="F180" t="s">
        <v>1194</v>
      </c>
      <c r="G180" t="s">
        <v>1463</v>
      </c>
      <c r="H180" t="str">
        <f>IF(NOT(ISERROR(FIND("NoICP",Modded_AMF_Table[[#This Row],[GL_ICP]]))),"",Modded_AMF_Table[[#This Row],[GL_ICP]])</f>
        <v/>
      </c>
      <c r="I180" t="s">
        <v>1212</v>
      </c>
      <c r="J180" t="s">
        <v>1446</v>
      </c>
      <c r="K180" t="str">
        <f>IFERROR(VLOOKUP(VALUE(Modded_AMF_Table[[#This Row],[GL_PC]]),BNS_Profit_Centers[],2,FALSE),"TE")</f>
        <v>BNS</v>
      </c>
      <c r="L180" t="s">
        <v>1446</v>
      </c>
      <c r="M180" t="s">
        <v>1464</v>
      </c>
      <c r="N180" t="s">
        <v>1390</v>
      </c>
      <c r="O180" s="33">
        <v>24</v>
      </c>
    </row>
    <row r="181" spans="1:15" x14ac:dyDescent="0.25">
      <c r="A181" t="s">
        <v>1326</v>
      </c>
      <c r="B181" t="s">
        <v>1409</v>
      </c>
      <c r="C181" t="s">
        <v>10</v>
      </c>
      <c r="D181" t="str">
        <f>VLOOKUP(Modded_AMF_Table[[#This Row],[HFM_Account]],HFM_Acct_OCF_Activity[],3,FALSE)</f>
        <v>Direct</v>
      </c>
      <c r="E181" t="s">
        <v>1210</v>
      </c>
      <c r="F181" t="s">
        <v>1194</v>
      </c>
      <c r="G181" t="s">
        <v>1410</v>
      </c>
      <c r="H181" t="str">
        <f>IF(NOT(ISERROR(FIND("NoICP",Modded_AMF_Table[[#This Row],[GL_ICP]]))),"",Modded_AMF_Table[[#This Row],[GL_ICP]])</f>
        <v/>
      </c>
      <c r="I181" t="s">
        <v>1212</v>
      </c>
      <c r="J181" t="s">
        <v>1446</v>
      </c>
      <c r="K181" t="str">
        <f>IFERROR(VLOOKUP(VALUE(Modded_AMF_Table[[#This Row],[GL_PC]]),BNS_Profit_Centers[],2,FALSE),"TE")</f>
        <v>BNS</v>
      </c>
      <c r="L181" t="s">
        <v>1446</v>
      </c>
      <c r="M181" t="s">
        <v>1411</v>
      </c>
      <c r="N181" t="s">
        <v>1390</v>
      </c>
      <c r="O181" s="33">
        <v>-44</v>
      </c>
    </row>
    <row r="182" spans="1:15" x14ac:dyDescent="0.25">
      <c r="A182" t="s">
        <v>1326</v>
      </c>
      <c r="B182" t="s">
        <v>1426</v>
      </c>
      <c r="C182" t="s">
        <v>10</v>
      </c>
      <c r="D182" t="str">
        <f>VLOOKUP(Modded_AMF_Table[[#This Row],[HFM_Account]],HFM_Acct_OCF_Activity[],3,FALSE)</f>
        <v>Direct</v>
      </c>
      <c r="E182" t="s">
        <v>1210</v>
      </c>
      <c r="F182" t="s">
        <v>1194</v>
      </c>
      <c r="G182" t="s">
        <v>1427</v>
      </c>
      <c r="H182" t="str">
        <f>IF(NOT(ISERROR(FIND("NoICP",Modded_AMF_Table[[#This Row],[GL_ICP]]))),"",Modded_AMF_Table[[#This Row],[GL_ICP]])</f>
        <v/>
      </c>
      <c r="I182" t="s">
        <v>1212</v>
      </c>
      <c r="J182" t="s">
        <v>1446</v>
      </c>
      <c r="K182" t="str">
        <f>IFERROR(VLOOKUP(VALUE(Modded_AMF_Table[[#This Row],[GL_PC]]),BNS_Profit_Centers[],2,FALSE),"TE")</f>
        <v>BNS</v>
      </c>
      <c r="L182" t="s">
        <v>1446</v>
      </c>
      <c r="M182" t="s">
        <v>1428</v>
      </c>
      <c r="N182" t="s">
        <v>1415</v>
      </c>
      <c r="O182" s="33">
        <v>25.01</v>
      </c>
    </row>
    <row r="183" spans="1:15" x14ac:dyDescent="0.25">
      <c r="A183" t="s">
        <v>1326</v>
      </c>
      <c r="B183" t="s">
        <v>1412</v>
      </c>
      <c r="C183" t="s">
        <v>10</v>
      </c>
      <c r="D183" t="str">
        <f>VLOOKUP(Modded_AMF_Table[[#This Row],[HFM_Account]],HFM_Acct_OCF_Activity[],3,FALSE)</f>
        <v>Direct</v>
      </c>
      <c r="E183" t="s">
        <v>1210</v>
      </c>
      <c r="F183" t="s">
        <v>1194</v>
      </c>
      <c r="G183" t="s">
        <v>1413</v>
      </c>
      <c r="H183" t="str">
        <f>IF(NOT(ISERROR(FIND("NoICP",Modded_AMF_Table[[#This Row],[GL_ICP]]))),"",Modded_AMF_Table[[#This Row],[GL_ICP]])</f>
        <v/>
      </c>
      <c r="I183" t="s">
        <v>1212</v>
      </c>
      <c r="J183" t="s">
        <v>1446</v>
      </c>
      <c r="K183" t="str">
        <f>IFERROR(VLOOKUP(VALUE(Modded_AMF_Table[[#This Row],[GL_PC]]),BNS_Profit_Centers[],2,FALSE),"TE")</f>
        <v>BNS</v>
      </c>
      <c r="L183" t="s">
        <v>1446</v>
      </c>
      <c r="M183" t="s">
        <v>1414</v>
      </c>
      <c r="N183" t="s">
        <v>1415</v>
      </c>
      <c r="O183" s="33">
        <v>9111.68</v>
      </c>
    </row>
    <row r="184" spans="1:15" x14ac:dyDescent="0.25">
      <c r="A184" t="s">
        <v>1326</v>
      </c>
      <c r="B184" t="s">
        <v>1416</v>
      </c>
      <c r="C184" t="s">
        <v>10</v>
      </c>
      <c r="D184" t="str">
        <f>VLOOKUP(Modded_AMF_Table[[#This Row],[HFM_Account]],HFM_Acct_OCF_Activity[],3,FALSE)</f>
        <v>Direct</v>
      </c>
      <c r="E184" t="s">
        <v>1210</v>
      </c>
      <c r="F184" t="s">
        <v>1194</v>
      </c>
      <c r="G184" t="s">
        <v>1417</v>
      </c>
      <c r="H184" t="str">
        <f>IF(NOT(ISERROR(FIND("NoICP",Modded_AMF_Table[[#This Row],[GL_ICP]]))),"",Modded_AMF_Table[[#This Row],[GL_ICP]])</f>
        <v/>
      </c>
      <c r="I184" t="s">
        <v>1212</v>
      </c>
      <c r="J184" t="s">
        <v>1446</v>
      </c>
      <c r="K184" t="str">
        <f>IFERROR(VLOOKUP(VALUE(Modded_AMF_Table[[#This Row],[GL_PC]]),BNS_Profit_Centers[],2,FALSE),"TE")</f>
        <v>BNS</v>
      </c>
      <c r="L184" t="s">
        <v>1446</v>
      </c>
      <c r="M184" t="s">
        <v>1418</v>
      </c>
      <c r="N184" t="s">
        <v>1415</v>
      </c>
      <c r="O184" s="33">
        <v>18231.68</v>
      </c>
    </row>
    <row r="185" spans="1:15" x14ac:dyDescent="0.25">
      <c r="A185" t="s">
        <v>1326</v>
      </c>
      <c r="B185" t="s">
        <v>1561</v>
      </c>
      <c r="C185" t="s">
        <v>10</v>
      </c>
      <c r="D185" t="str">
        <f>VLOOKUP(Modded_AMF_Table[[#This Row],[HFM_Account]],HFM_Acct_OCF_Activity[],3,FALSE)</f>
        <v>Direct</v>
      </c>
      <c r="E185" t="s">
        <v>1210</v>
      </c>
      <c r="F185" t="s">
        <v>1194</v>
      </c>
      <c r="G185" t="s">
        <v>1562</v>
      </c>
      <c r="H185" t="str">
        <f>IF(NOT(ISERROR(FIND("NoICP",Modded_AMF_Table[[#This Row],[GL_ICP]]))),"",Modded_AMF_Table[[#This Row],[GL_ICP]])</f>
        <v/>
      </c>
      <c r="I185" t="s">
        <v>1212</v>
      </c>
      <c r="J185" t="s">
        <v>1446</v>
      </c>
      <c r="K185" t="str">
        <f>IFERROR(VLOOKUP(VALUE(Modded_AMF_Table[[#This Row],[GL_PC]]),BNS_Profit_Centers[],2,FALSE),"TE")</f>
        <v>BNS</v>
      </c>
      <c r="L185" t="s">
        <v>1446</v>
      </c>
      <c r="M185" t="s">
        <v>1563</v>
      </c>
      <c r="N185" t="s">
        <v>1421</v>
      </c>
      <c r="O185" s="33">
        <v>50.9</v>
      </c>
    </row>
    <row r="186" spans="1:15" x14ac:dyDescent="0.25">
      <c r="A186" t="s">
        <v>1326</v>
      </c>
      <c r="B186" t="s">
        <v>1419</v>
      </c>
      <c r="C186" t="s">
        <v>10</v>
      </c>
      <c r="D186" t="str">
        <f>VLOOKUP(Modded_AMF_Table[[#This Row],[HFM_Account]],HFM_Acct_OCF_Activity[],3,FALSE)</f>
        <v>Direct</v>
      </c>
      <c r="E186" t="s">
        <v>1210</v>
      </c>
      <c r="F186" t="s">
        <v>1194</v>
      </c>
      <c r="G186" t="s">
        <v>1420</v>
      </c>
      <c r="H186" t="str">
        <f>IF(NOT(ISERROR(FIND("NoICP",Modded_AMF_Table[[#This Row],[GL_ICP]]))),"",Modded_AMF_Table[[#This Row],[GL_ICP]])</f>
        <v/>
      </c>
      <c r="I186" t="s">
        <v>1212</v>
      </c>
      <c r="J186" t="s">
        <v>1446</v>
      </c>
      <c r="K186" t="str">
        <f>IFERROR(VLOOKUP(VALUE(Modded_AMF_Table[[#This Row],[GL_PC]]),BNS_Profit_Centers[],2,FALSE),"TE")</f>
        <v>BNS</v>
      </c>
      <c r="L186" t="s">
        <v>1446</v>
      </c>
      <c r="M186" t="s">
        <v>1421</v>
      </c>
      <c r="N186" t="s">
        <v>1421</v>
      </c>
      <c r="O186" s="33">
        <v>120.53</v>
      </c>
    </row>
    <row r="187" spans="1:15" x14ac:dyDescent="0.25">
      <c r="A187" t="s">
        <v>1326</v>
      </c>
      <c r="B187" t="s">
        <v>1429</v>
      </c>
      <c r="C187" t="s">
        <v>10</v>
      </c>
      <c r="D187" t="str">
        <f>VLOOKUP(Modded_AMF_Table[[#This Row],[HFM_Account]],HFM_Acct_OCF_Activity[],3,FALSE)</f>
        <v>Direct</v>
      </c>
      <c r="E187" t="s">
        <v>1210</v>
      </c>
      <c r="F187" t="s">
        <v>1194</v>
      </c>
      <c r="G187" t="s">
        <v>1430</v>
      </c>
      <c r="H187" t="str">
        <f>IF(NOT(ISERROR(FIND("NoICP",Modded_AMF_Table[[#This Row],[GL_ICP]]))),"",Modded_AMF_Table[[#This Row],[GL_ICP]])</f>
        <v/>
      </c>
      <c r="I187" t="s">
        <v>1212</v>
      </c>
      <c r="J187" t="s">
        <v>1446</v>
      </c>
      <c r="K187" t="str">
        <f>IFERROR(VLOOKUP(VALUE(Modded_AMF_Table[[#This Row],[GL_PC]]),BNS_Profit_Centers[],2,FALSE),"TE")</f>
        <v>BNS</v>
      </c>
      <c r="L187" t="s">
        <v>1446</v>
      </c>
      <c r="M187" t="s">
        <v>1431</v>
      </c>
      <c r="N187" t="s">
        <v>1432</v>
      </c>
      <c r="O187" s="33">
        <v>1442.6</v>
      </c>
    </row>
    <row r="188" spans="1:15" x14ac:dyDescent="0.25">
      <c r="A188" t="s">
        <v>1326</v>
      </c>
      <c r="B188" t="s">
        <v>1422</v>
      </c>
      <c r="C188" t="s">
        <v>10</v>
      </c>
      <c r="D188" t="str">
        <f>VLOOKUP(Modded_AMF_Table[[#This Row],[HFM_Account]],HFM_Acct_OCF_Activity[],3,FALSE)</f>
        <v>Direct</v>
      </c>
      <c r="E188" t="s">
        <v>1210</v>
      </c>
      <c r="F188" t="s">
        <v>1194</v>
      </c>
      <c r="G188" t="s">
        <v>1423</v>
      </c>
      <c r="H188" t="str">
        <f>IF(NOT(ISERROR(FIND("NoICP",Modded_AMF_Table[[#This Row],[GL_ICP]]))),"",Modded_AMF_Table[[#This Row],[GL_ICP]])</f>
        <v/>
      </c>
      <c r="I188" t="s">
        <v>1212</v>
      </c>
      <c r="J188" t="s">
        <v>1446</v>
      </c>
      <c r="K188" t="str">
        <f>IFERROR(VLOOKUP(VALUE(Modded_AMF_Table[[#This Row],[GL_PC]]),BNS_Profit_Centers[],2,FALSE),"TE")</f>
        <v>BNS</v>
      </c>
      <c r="L188" t="s">
        <v>1446</v>
      </c>
      <c r="M188" t="s">
        <v>1424</v>
      </c>
      <c r="N188" t="s">
        <v>1424</v>
      </c>
      <c r="O188" s="33">
        <v>140.13</v>
      </c>
    </row>
    <row r="189" spans="1:15" x14ac:dyDescent="0.25">
      <c r="A189" t="s">
        <v>1326</v>
      </c>
      <c r="B189" t="s">
        <v>1465</v>
      </c>
      <c r="C189" t="s">
        <v>10</v>
      </c>
      <c r="D189" t="str">
        <f>VLOOKUP(Modded_AMF_Table[[#This Row],[HFM_Account]],HFM_Acct_OCF_Activity[],3,FALSE)</f>
        <v>Direct</v>
      </c>
      <c r="E189" t="s">
        <v>1210</v>
      </c>
      <c r="F189" t="s">
        <v>1194</v>
      </c>
      <c r="G189" t="s">
        <v>1466</v>
      </c>
      <c r="H189" t="str">
        <f>IF(NOT(ISERROR(FIND("NoICP",Modded_AMF_Table[[#This Row],[GL_ICP]]))),"",Modded_AMF_Table[[#This Row],[GL_ICP]])</f>
        <v/>
      </c>
      <c r="I189" t="s">
        <v>1212</v>
      </c>
      <c r="J189" t="s">
        <v>1446</v>
      </c>
      <c r="K189" t="str">
        <f>IFERROR(VLOOKUP(VALUE(Modded_AMF_Table[[#This Row],[GL_PC]]),BNS_Profit_Centers[],2,FALSE),"TE")</f>
        <v>BNS</v>
      </c>
      <c r="L189" t="s">
        <v>1446</v>
      </c>
      <c r="M189" t="s">
        <v>1467</v>
      </c>
      <c r="N189" t="s">
        <v>1424</v>
      </c>
      <c r="O189" s="33">
        <v>2241.3000000000002</v>
      </c>
    </row>
    <row r="190" spans="1:15" x14ac:dyDescent="0.25">
      <c r="A190" t="s">
        <v>1326</v>
      </c>
      <c r="B190" t="s">
        <v>1468</v>
      </c>
      <c r="C190" t="s">
        <v>10</v>
      </c>
      <c r="D190" t="str">
        <f>VLOOKUP(Modded_AMF_Table[[#This Row],[HFM_Account]],HFM_Acct_OCF_Activity[],3,FALSE)</f>
        <v>Direct</v>
      </c>
      <c r="E190" t="s">
        <v>1210</v>
      </c>
      <c r="F190" t="s">
        <v>1194</v>
      </c>
      <c r="G190" t="s">
        <v>1469</v>
      </c>
      <c r="H190" t="str">
        <f>IF(NOT(ISERROR(FIND("NoICP",Modded_AMF_Table[[#This Row],[GL_ICP]]))),"",Modded_AMF_Table[[#This Row],[GL_ICP]])</f>
        <v/>
      </c>
      <c r="I190" t="s">
        <v>1212</v>
      </c>
      <c r="J190" t="s">
        <v>1446</v>
      </c>
      <c r="K190" t="str">
        <f>IFERROR(VLOOKUP(VALUE(Modded_AMF_Table[[#This Row],[GL_PC]]),BNS_Profit_Centers[],2,FALSE),"TE")</f>
        <v>BNS</v>
      </c>
      <c r="L190" t="s">
        <v>1446</v>
      </c>
      <c r="M190" t="s">
        <v>1470</v>
      </c>
      <c r="N190" t="s">
        <v>1432</v>
      </c>
      <c r="O190" s="33">
        <v>300</v>
      </c>
    </row>
    <row r="191" spans="1:15" x14ac:dyDescent="0.25">
      <c r="A191" t="s">
        <v>1326</v>
      </c>
      <c r="B191" t="s">
        <v>1471</v>
      </c>
      <c r="C191" t="s">
        <v>10</v>
      </c>
      <c r="D191" t="str">
        <f>VLOOKUP(Modded_AMF_Table[[#This Row],[HFM_Account]],HFM_Acct_OCF_Activity[],3,FALSE)</f>
        <v>Direct</v>
      </c>
      <c r="E191" t="s">
        <v>1210</v>
      </c>
      <c r="F191" t="s">
        <v>1194</v>
      </c>
      <c r="G191" t="s">
        <v>1472</v>
      </c>
      <c r="H191" t="str">
        <f>IF(NOT(ISERROR(FIND("NoICP",Modded_AMF_Table[[#This Row],[GL_ICP]]))),"",Modded_AMF_Table[[#This Row],[GL_ICP]])</f>
        <v/>
      </c>
      <c r="I191" t="s">
        <v>1212</v>
      </c>
      <c r="J191" t="s">
        <v>1446</v>
      </c>
      <c r="K191" t="str">
        <f>IFERROR(VLOOKUP(VALUE(Modded_AMF_Table[[#This Row],[GL_PC]]),BNS_Profit_Centers[],2,FALSE),"TE")</f>
        <v>BNS</v>
      </c>
      <c r="L191" t="s">
        <v>1446</v>
      </c>
      <c r="M191" t="s">
        <v>1473</v>
      </c>
      <c r="N191" t="s">
        <v>1432</v>
      </c>
      <c r="O191" s="33">
        <v>16385.25</v>
      </c>
    </row>
    <row r="192" spans="1:15" x14ac:dyDescent="0.25">
      <c r="A192" t="s">
        <v>1326</v>
      </c>
      <c r="B192" t="s">
        <v>1439</v>
      </c>
      <c r="C192" t="s">
        <v>10</v>
      </c>
      <c r="D192" t="str">
        <f>VLOOKUP(Modded_AMF_Table[[#This Row],[HFM_Account]],HFM_Acct_OCF_Activity[],3,FALSE)</f>
        <v>Direct</v>
      </c>
      <c r="E192" t="s">
        <v>1210</v>
      </c>
      <c r="F192" t="s">
        <v>1194</v>
      </c>
      <c r="G192" t="s">
        <v>1440</v>
      </c>
      <c r="H192" t="str">
        <f>IF(NOT(ISERROR(FIND("NoICP",Modded_AMF_Table[[#This Row],[GL_ICP]]))),"",Modded_AMF_Table[[#This Row],[GL_ICP]])</f>
        <v/>
      </c>
      <c r="I192" t="s">
        <v>1212</v>
      </c>
      <c r="J192" t="s">
        <v>1446</v>
      </c>
      <c r="K192" t="str">
        <f>IFERROR(VLOOKUP(VALUE(Modded_AMF_Table[[#This Row],[GL_PC]]),BNS_Profit_Centers[],2,FALSE),"TE")</f>
        <v>BNS</v>
      </c>
      <c r="L192" t="s">
        <v>1446</v>
      </c>
      <c r="M192" t="s">
        <v>1441</v>
      </c>
      <c r="N192" t="s">
        <v>1441</v>
      </c>
      <c r="O192" s="33">
        <v>3755.54</v>
      </c>
    </row>
    <row r="193" spans="1:15" x14ac:dyDescent="0.25">
      <c r="A193" t="s">
        <v>1326</v>
      </c>
      <c r="B193" t="s">
        <v>1442</v>
      </c>
      <c r="C193" t="s">
        <v>10</v>
      </c>
      <c r="D193" t="str">
        <f>VLOOKUP(Modded_AMF_Table[[#This Row],[HFM_Account]],HFM_Acct_OCF_Activity[],3,FALSE)</f>
        <v>Direct</v>
      </c>
      <c r="E193" t="s">
        <v>1210</v>
      </c>
      <c r="F193" t="s">
        <v>1194</v>
      </c>
      <c r="G193" t="s">
        <v>1443</v>
      </c>
      <c r="H193" t="str">
        <f>IF(NOT(ISERROR(FIND("NoICP",Modded_AMF_Table[[#This Row],[GL_ICP]]))),"",Modded_AMF_Table[[#This Row],[GL_ICP]])</f>
        <v/>
      </c>
      <c r="I193" t="s">
        <v>1212</v>
      </c>
      <c r="J193" t="s">
        <v>1446</v>
      </c>
      <c r="K193" t="str">
        <f>IFERROR(VLOOKUP(VALUE(Modded_AMF_Table[[#This Row],[GL_PC]]),BNS_Profit_Centers[],2,FALSE),"TE")</f>
        <v>BNS</v>
      </c>
      <c r="L193" t="s">
        <v>1446</v>
      </c>
      <c r="M193" t="s">
        <v>1444</v>
      </c>
      <c r="N193" t="s">
        <v>1444</v>
      </c>
      <c r="O193" s="33">
        <v>2532</v>
      </c>
    </row>
    <row r="194" spans="1:15" x14ac:dyDescent="0.25">
      <c r="A194" t="s">
        <v>1326</v>
      </c>
      <c r="B194" t="s">
        <v>1327</v>
      </c>
      <c r="C194" t="s">
        <v>10</v>
      </c>
      <c r="D194" t="str">
        <f>VLOOKUP(Modded_AMF_Table[[#This Row],[HFM_Account]],HFM_Acct_OCF_Activity[],3,FALSE)</f>
        <v>Direct</v>
      </c>
      <c r="E194" t="s">
        <v>1210</v>
      </c>
      <c r="F194" t="s">
        <v>1194</v>
      </c>
      <c r="G194" t="s">
        <v>1328</v>
      </c>
      <c r="H194" t="str">
        <f>IF(NOT(ISERROR(FIND("NoICP",Modded_AMF_Table[[#This Row],[GL_ICP]]))),"",Modded_AMF_Table[[#This Row],[GL_ICP]])</f>
        <v/>
      </c>
      <c r="I194" t="s">
        <v>1212</v>
      </c>
      <c r="J194" t="s">
        <v>1474</v>
      </c>
      <c r="K194" t="str">
        <f>IFERROR(VLOOKUP(VALUE(Modded_AMF_Table[[#This Row],[GL_PC]]),BNS_Profit_Centers[],2,FALSE),"TE")</f>
        <v>TE</v>
      </c>
      <c r="L194" t="s">
        <v>1474</v>
      </c>
      <c r="M194" t="s">
        <v>1330</v>
      </c>
      <c r="N194" t="s">
        <v>1330</v>
      </c>
      <c r="O194" s="33">
        <v>73850.7</v>
      </c>
    </row>
    <row r="195" spans="1:15" x14ac:dyDescent="0.25">
      <c r="A195" t="s">
        <v>1326</v>
      </c>
      <c r="B195" t="s">
        <v>1447</v>
      </c>
      <c r="C195" t="s">
        <v>10</v>
      </c>
      <c r="D195" t="str">
        <f>VLOOKUP(Modded_AMF_Table[[#This Row],[HFM_Account]],HFM_Acct_OCF_Activity[],3,FALSE)</f>
        <v>Direct</v>
      </c>
      <c r="E195" t="s">
        <v>1210</v>
      </c>
      <c r="F195" t="s">
        <v>1194</v>
      </c>
      <c r="G195" t="s">
        <v>1448</v>
      </c>
      <c r="H195" t="str">
        <f>IF(NOT(ISERROR(FIND("NoICP",Modded_AMF_Table[[#This Row],[GL_ICP]]))),"",Modded_AMF_Table[[#This Row],[GL_ICP]])</f>
        <v/>
      </c>
      <c r="I195" t="s">
        <v>1212</v>
      </c>
      <c r="J195" t="s">
        <v>1474</v>
      </c>
      <c r="K195" t="str">
        <f>IFERROR(VLOOKUP(VALUE(Modded_AMF_Table[[#This Row],[GL_PC]]),BNS_Profit_Centers[],2,FALSE),"TE")</f>
        <v>TE</v>
      </c>
      <c r="L195" t="s">
        <v>1474</v>
      </c>
      <c r="M195" t="s">
        <v>1449</v>
      </c>
      <c r="N195" t="s">
        <v>1334</v>
      </c>
      <c r="O195" s="33">
        <v>1618.86</v>
      </c>
    </row>
    <row r="196" spans="1:15" x14ac:dyDescent="0.25">
      <c r="A196" t="s">
        <v>1326</v>
      </c>
      <c r="B196" t="s">
        <v>1450</v>
      </c>
      <c r="C196" t="s">
        <v>10</v>
      </c>
      <c r="D196" t="str">
        <f>VLOOKUP(Modded_AMF_Table[[#This Row],[HFM_Account]],HFM_Acct_OCF_Activity[],3,FALSE)</f>
        <v>Direct</v>
      </c>
      <c r="E196" t="s">
        <v>1210</v>
      </c>
      <c r="F196" t="s">
        <v>1194</v>
      </c>
      <c r="G196" t="s">
        <v>1451</v>
      </c>
      <c r="H196" t="str">
        <f>IF(NOT(ISERROR(FIND("NoICP",Modded_AMF_Table[[#This Row],[GL_ICP]]))),"",Modded_AMF_Table[[#This Row],[GL_ICP]])</f>
        <v/>
      </c>
      <c r="I196" t="s">
        <v>1212</v>
      </c>
      <c r="J196" t="s">
        <v>1474</v>
      </c>
      <c r="K196" t="str">
        <f>IFERROR(VLOOKUP(VALUE(Modded_AMF_Table[[#This Row],[GL_PC]]),BNS_Profit_Centers[],2,FALSE),"TE")</f>
        <v>TE</v>
      </c>
      <c r="L196" t="s">
        <v>1474</v>
      </c>
      <c r="M196" t="s">
        <v>1452</v>
      </c>
      <c r="N196" t="s">
        <v>1330</v>
      </c>
      <c r="O196" s="33">
        <v>-1618.86</v>
      </c>
    </row>
    <row r="197" spans="1:15" x14ac:dyDescent="0.25">
      <c r="A197" t="s">
        <v>1326</v>
      </c>
      <c r="B197" t="s">
        <v>1331</v>
      </c>
      <c r="C197" t="s">
        <v>10</v>
      </c>
      <c r="D197" t="str">
        <f>VLOOKUP(Modded_AMF_Table[[#This Row],[HFM_Account]],HFM_Acct_OCF_Activity[],3,FALSE)</f>
        <v>Direct</v>
      </c>
      <c r="E197" t="s">
        <v>1210</v>
      </c>
      <c r="F197" t="s">
        <v>1194</v>
      </c>
      <c r="G197" t="s">
        <v>1332</v>
      </c>
      <c r="H197" t="str">
        <f>IF(NOT(ISERROR(FIND("NoICP",Modded_AMF_Table[[#This Row],[GL_ICP]]))),"",Modded_AMF_Table[[#This Row],[GL_ICP]])</f>
        <v/>
      </c>
      <c r="I197" t="s">
        <v>1212</v>
      </c>
      <c r="J197" t="s">
        <v>1474</v>
      </c>
      <c r="K197" t="str">
        <f>IFERROR(VLOOKUP(VALUE(Modded_AMF_Table[[#This Row],[GL_PC]]),BNS_Profit_Centers[],2,FALSE),"TE")</f>
        <v>TE</v>
      </c>
      <c r="L197" t="s">
        <v>1474</v>
      </c>
      <c r="M197" t="s">
        <v>1333</v>
      </c>
      <c r="N197" t="s">
        <v>1334</v>
      </c>
      <c r="O197" s="33">
        <v>5495.1</v>
      </c>
    </row>
    <row r="198" spans="1:15" x14ac:dyDescent="0.25">
      <c r="A198" t="s">
        <v>1326</v>
      </c>
      <c r="B198" t="s">
        <v>1335</v>
      </c>
      <c r="C198" t="s">
        <v>10</v>
      </c>
      <c r="D198" t="str">
        <f>VLOOKUP(Modded_AMF_Table[[#This Row],[HFM_Account]],HFM_Acct_OCF_Activity[],3,FALSE)</f>
        <v>Direct</v>
      </c>
      <c r="E198" t="s">
        <v>1210</v>
      </c>
      <c r="F198" t="s">
        <v>1194</v>
      </c>
      <c r="G198" t="s">
        <v>1336</v>
      </c>
      <c r="H198" t="str">
        <f>IF(NOT(ISERROR(FIND("NoICP",Modded_AMF_Table[[#This Row],[GL_ICP]]))),"",Modded_AMF_Table[[#This Row],[GL_ICP]])</f>
        <v/>
      </c>
      <c r="I198" t="s">
        <v>1212</v>
      </c>
      <c r="J198" t="s">
        <v>1474</v>
      </c>
      <c r="K198" t="str">
        <f>IFERROR(VLOOKUP(VALUE(Modded_AMF_Table[[#This Row],[GL_PC]]),BNS_Profit_Centers[],2,FALSE),"TE")</f>
        <v>TE</v>
      </c>
      <c r="L198" t="s">
        <v>1474</v>
      </c>
      <c r="M198" t="s">
        <v>1337</v>
      </c>
      <c r="N198" t="s">
        <v>1334</v>
      </c>
      <c r="O198" s="33">
        <v>-3319.78</v>
      </c>
    </row>
    <row r="199" spans="1:15" x14ac:dyDescent="0.25">
      <c r="A199" t="s">
        <v>1326</v>
      </c>
      <c r="B199" t="s">
        <v>1338</v>
      </c>
      <c r="C199" t="s">
        <v>10</v>
      </c>
      <c r="D199" t="str">
        <f>VLOOKUP(Modded_AMF_Table[[#This Row],[HFM_Account]],HFM_Acct_OCF_Activity[],3,FALSE)</f>
        <v>Direct</v>
      </c>
      <c r="E199" t="s">
        <v>1210</v>
      </c>
      <c r="F199" t="s">
        <v>1194</v>
      </c>
      <c r="G199" t="s">
        <v>1339</v>
      </c>
      <c r="H199" t="str">
        <f>IF(NOT(ISERROR(FIND("NoICP",Modded_AMF_Table[[#This Row],[GL_ICP]]))),"",Modded_AMF_Table[[#This Row],[GL_ICP]])</f>
        <v/>
      </c>
      <c r="I199" t="s">
        <v>1212</v>
      </c>
      <c r="J199" t="s">
        <v>1474</v>
      </c>
      <c r="K199" t="str">
        <f>IFERROR(VLOOKUP(VALUE(Modded_AMF_Table[[#This Row],[GL_PC]]),BNS_Profit_Centers[],2,FALSE),"TE")</f>
        <v>TE</v>
      </c>
      <c r="L199" t="s">
        <v>1474</v>
      </c>
      <c r="M199" t="s">
        <v>1340</v>
      </c>
      <c r="N199" t="s">
        <v>1334</v>
      </c>
      <c r="O199" s="33">
        <v>288.5</v>
      </c>
    </row>
    <row r="200" spans="1:15" x14ac:dyDescent="0.25">
      <c r="A200" t="s">
        <v>1326</v>
      </c>
      <c r="B200" t="s">
        <v>1475</v>
      </c>
      <c r="C200" t="s">
        <v>10</v>
      </c>
      <c r="D200" t="str">
        <f>VLOOKUP(Modded_AMF_Table[[#This Row],[HFM_Account]],HFM_Acct_OCF_Activity[],3,FALSE)</f>
        <v>Direct</v>
      </c>
      <c r="E200" t="s">
        <v>1210</v>
      </c>
      <c r="F200" t="s">
        <v>1194</v>
      </c>
      <c r="G200" t="s">
        <v>1476</v>
      </c>
      <c r="H200" t="str">
        <f>IF(NOT(ISERROR(FIND("NoICP",Modded_AMF_Table[[#This Row],[GL_ICP]]))),"",Modded_AMF_Table[[#This Row],[GL_ICP]])</f>
        <v/>
      </c>
      <c r="I200" t="s">
        <v>1212</v>
      </c>
      <c r="J200" t="s">
        <v>1474</v>
      </c>
      <c r="K200" t="str">
        <f>IFERROR(VLOOKUP(VALUE(Modded_AMF_Table[[#This Row],[GL_PC]]),BNS_Profit_Centers[],2,FALSE),"TE")</f>
        <v>TE</v>
      </c>
      <c r="L200" t="s">
        <v>1474</v>
      </c>
      <c r="M200" t="s">
        <v>1477</v>
      </c>
      <c r="N200" t="s">
        <v>1334</v>
      </c>
      <c r="O200" s="33">
        <v>1500</v>
      </c>
    </row>
    <row r="201" spans="1:15" x14ac:dyDescent="0.25">
      <c r="A201" t="s">
        <v>1326</v>
      </c>
      <c r="B201" t="s">
        <v>1341</v>
      </c>
      <c r="C201" t="s">
        <v>10</v>
      </c>
      <c r="D201" t="str">
        <f>VLOOKUP(Modded_AMF_Table[[#This Row],[HFM_Account]],HFM_Acct_OCF_Activity[],3,FALSE)</f>
        <v>Direct</v>
      </c>
      <c r="E201" t="s">
        <v>1210</v>
      </c>
      <c r="F201" t="s">
        <v>1194</v>
      </c>
      <c r="G201" t="s">
        <v>1342</v>
      </c>
      <c r="H201" t="str">
        <f>IF(NOT(ISERROR(FIND("NoICP",Modded_AMF_Table[[#This Row],[GL_ICP]]))),"",Modded_AMF_Table[[#This Row],[GL_ICP]])</f>
        <v/>
      </c>
      <c r="I201" t="s">
        <v>1212</v>
      </c>
      <c r="J201" t="s">
        <v>1474</v>
      </c>
      <c r="K201" t="str">
        <f>IFERROR(VLOOKUP(VALUE(Modded_AMF_Table[[#This Row],[GL_PC]]),BNS_Profit_Centers[],2,FALSE),"TE")</f>
        <v>TE</v>
      </c>
      <c r="L201" t="s">
        <v>1474</v>
      </c>
      <c r="M201" t="s">
        <v>1343</v>
      </c>
      <c r="N201" t="s">
        <v>1334</v>
      </c>
      <c r="O201" s="33">
        <v>360</v>
      </c>
    </row>
    <row r="202" spans="1:15" x14ac:dyDescent="0.25">
      <c r="A202" t="s">
        <v>1326</v>
      </c>
      <c r="B202" t="s">
        <v>1344</v>
      </c>
      <c r="C202" t="s">
        <v>10</v>
      </c>
      <c r="D202" t="str">
        <f>VLOOKUP(Modded_AMF_Table[[#This Row],[HFM_Account]],HFM_Acct_OCF_Activity[],3,FALSE)</f>
        <v>Direct</v>
      </c>
      <c r="E202" t="s">
        <v>1210</v>
      </c>
      <c r="F202" t="s">
        <v>1194</v>
      </c>
      <c r="G202" t="s">
        <v>1345</v>
      </c>
      <c r="H202" t="str">
        <f>IF(NOT(ISERROR(FIND("NoICP",Modded_AMF_Table[[#This Row],[GL_ICP]]))),"",Modded_AMF_Table[[#This Row],[GL_ICP]])</f>
        <v/>
      </c>
      <c r="I202" t="s">
        <v>1212</v>
      </c>
      <c r="J202" t="s">
        <v>1474</v>
      </c>
      <c r="K202" t="str">
        <f>IFERROR(VLOOKUP(VALUE(Modded_AMF_Table[[#This Row],[GL_PC]]),BNS_Profit_Centers[],2,FALSE),"TE")</f>
        <v>TE</v>
      </c>
      <c r="L202" t="s">
        <v>1474</v>
      </c>
      <c r="M202" t="s">
        <v>1346</v>
      </c>
      <c r="N202" t="s">
        <v>1347</v>
      </c>
      <c r="O202" s="33">
        <v>480</v>
      </c>
    </row>
    <row r="203" spans="1:15" x14ac:dyDescent="0.25">
      <c r="A203" t="s">
        <v>1326</v>
      </c>
      <c r="B203" t="s">
        <v>1348</v>
      </c>
      <c r="C203" t="s">
        <v>10</v>
      </c>
      <c r="D203" t="str">
        <f>VLOOKUP(Modded_AMF_Table[[#This Row],[HFM_Account]],HFM_Acct_OCF_Activity[],3,FALSE)</f>
        <v>Direct</v>
      </c>
      <c r="E203" t="s">
        <v>1210</v>
      </c>
      <c r="F203" t="s">
        <v>1194</v>
      </c>
      <c r="G203" t="s">
        <v>1349</v>
      </c>
      <c r="H203" t="str">
        <f>IF(NOT(ISERROR(FIND("NoICP",Modded_AMF_Table[[#This Row],[GL_ICP]]))),"",Modded_AMF_Table[[#This Row],[GL_ICP]])</f>
        <v/>
      </c>
      <c r="I203" t="s">
        <v>1212</v>
      </c>
      <c r="J203" t="s">
        <v>1474</v>
      </c>
      <c r="K203" t="str">
        <f>IFERROR(VLOOKUP(VALUE(Modded_AMF_Table[[#This Row],[GL_PC]]),BNS_Profit_Centers[],2,FALSE),"TE")</f>
        <v>TE</v>
      </c>
      <c r="L203" t="s">
        <v>1474</v>
      </c>
      <c r="M203" t="s">
        <v>1350</v>
      </c>
      <c r="N203" t="s">
        <v>1351</v>
      </c>
      <c r="O203" s="33">
        <v>98.56</v>
      </c>
    </row>
    <row r="204" spans="1:15" x14ac:dyDescent="0.25">
      <c r="A204" t="s">
        <v>1326</v>
      </c>
      <c r="B204" t="s">
        <v>1352</v>
      </c>
      <c r="C204" t="s">
        <v>10</v>
      </c>
      <c r="D204" t="str">
        <f>VLOOKUP(Modded_AMF_Table[[#This Row],[HFM_Account]],HFM_Acct_OCF_Activity[],3,FALSE)</f>
        <v>Direct</v>
      </c>
      <c r="E204" t="s">
        <v>1210</v>
      </c>
      <c r="F204" t="s">
        <v>1194</v>
      </c>
      <c r="G204" t="s">
        <v>1353</v>
      </c>
      <c r="H204" t="str">
        <f>IF(NOT(ISERROR(FIND("NoICP",Modded_AMF_Table[[#This Row],[GL_ICP]]))),"",Modded_AMF_Table[[#This Row],[GL_ICP]])</f>
        <v/>
      </c>
      <c r="I204" t="s">
        <v>1212</v>
      </c>
      <c r="J204" t="s">
        <v>1474</v>
      </c>
      <c r="K204" t="str">
        <f>IFERROR(VLOOKUP(VALUE(Modded_AMF_Table[[#This Row],[GL_PC]]),BNS_Profit_Centers[],2,FALSE),"TE")</f>
        <v>TE</v>
      </c>
      <c r="L204" t="s">
        <v>1474</v>
      </c>
      <c r="M204" t="s">
        <v>1354</v>
      </c>
      <c r="N204" t="s">
        <v>1351</v>
      </c>
      <c r="O204" s="33">
        <v>239.64</v>
      </c>
    </row>
    <row r="205" spans="1:15" x14ac:dyDescent="0.25">
      <c r="A205" t="s">
        <v>1326</v>
      </c>
      <c r="B205" t="s">
        <v>1355</v>
      </c>
      <c r="C205" t="s">
        <v>10</v>
      </c>
      <c r="D205" t="str">
        <f>VLOOKUP(Modded_AMF_Table[[#This Row],[HFM_Account]],HFM_Acct_OCF_Activity[],3,FALSE)</f>
        <v>Direct</v>
      </c>
      <c r="E205" t="s">
        <v>1210</v>
      </c>
      <c r="F205" t="s">
        <v>1194</v>
      </c>
      <c r="G205" t="s">
        <v>1356</v>
      </c>
      <c r="H205" t="str">
        <f>IF(NOT(ISERROR(FIND("NoICP",Modded_AMF_Table[[#This Row],[GL_ICP]]))),"",Modded_AMF_Table[[#This Row],[GL_ICP]])</f>
        <v/>
      </c>
      <c r="I205" t="s">
        <v>1212</v>
      </c>
      <c r="J205" t="s">
        <v>1474</v>
      </c>
      <c r="K205" t="str">
        <f>IFERROR(VLOOKUP(VALUE(Modded_AMF_Table[[#This Row],[GL_PC]]),BNS_Profit_Centers[],2,FALSE),"TE")</f>
        <v>TE</v>
      </c>
      <c r="L205" t="s">
        <v>1474</v>
      </c>
      <c r="M205" t="s">
        <v>1357</v>
      </c>
      <c r="N205" t="s">
        <v>1351</v>
      </c>
      <c r="O205" s="33">
        <v>297.60000000000002</v>
      </c>
    </row>
    <row r="206" spans="1:15" x14ac:dyDescent="0.25">
      <c r="A206" t="s">
        <v>1326</v>
      </c>
      <c r="B206" t="s">
        <v>1358</v>
      </c>
      <c r="C206" t="s">
        <v>10</v>
      </c>
      <c r="D206" t="str">
        <f>VLOOKUP(Modded_AMF_Table[[#This Row],[HFM_Account]],HFM_Acct_OCF_Activity[],3,FALSE)</f>
        <v>Direct</v>
      </c>
      <c r="E206" t="s">
        <v>1210</v>
      </c>
      <c r="F206" t="s">
        <v>1194</v>
      </c>
      <c r="G206" t="s">
        <v>1359</v>
      </c>
      <c r="H206" t="str">
        <f>IF(NOT(ISERROR(FIND("NoICP",Modded_AMF_Table[[#This Row],[GL_ICP]]))),"",Modded_AMF_Table[[#This Row],[GL_ICP]])</f>
        <v/>
      </c>
      <c r="I206" t="s">
        <v>1212</v>
      </c>
      <c r="J206" t="s">
        <v>1474</v>
      </c>
      <c r="K206" t="str">
        <f>IFERROR(VLOOKUP(VALUE(Modded_AMF_Table[[#This Row],[GL_PC]]),BNS_Profit_Centers[],2,FALSE),"TE")</f>
        <v>TE</v>
      </c>
      <c r="L206" t="s">
        <v>1474</v>
      </c>
      <c r="M206" t="s">
        <v>1360</v>
      </c>
      <c r="N206" t="s">
        <v>1361</v>
      </c>
      <c r="O206" s="33">
        <v>1983.97</v>
      </c>
    </row>
    <row r="207" spans="1:15" x14ac:dyDescent="0.25">
      <c r="A207" t="s">
        <v>1326</v>
      </c>
      <c r="B207" t="s">
        <v>1362</v>
      </c>
      <c r="C207" t="s">
        <v>10</v>
      </c>
      <c r="D207" t="str">
        <f>VLOOKUP(Modded_AMF_Table[[#This Row],[HFM_Account]],HFM_Acct_OCF_Activity[],3,FALSE)</f>
        <v>Direct</v>
      </c>
      <c r="E207" t="s">
        <v>1210</v>
      </c>
      <c r="F207" t="s">
        <v>1194</v>
      </c>
      <c r="G207" t="s">
        <v>1363</v>
      </c>
      <c r="H207" t="str">
        <f>IF(NOT(ISERROR(FIND("NoICP",Modded_AMF_Table[[#This Row],[GL_ICP]]))),"",Modded_AMF_Table[[#This Row],[GL_ICP]])</f>
        <v/>
      </c>
      <c r="I207" t="s">
        <v>1212</v>
      </c>
      <c r="J207" t="s">
        <v>1474</v>
      </c>
      <c r="K207" t="str">
        <f>IFERROR(VLOOKUP(VALUE(Modded_AMF_Table[[#This Row],[GL_PC]]),BNS_Profit_Centers[],2,FALSE),"TE")</f>
        <v>TE</v>
      </c>
      <c r="L207" t="s">
        <v>1474</v>
      </c>
      <c r="M207" t="s">
        <v>1364</v>
      </c>
      <c r="N207" t="s">
        <v>1364</v>
      </c>
      <c r="O207" s="33">
        <v>-3220.5</v>
      </c>
    </row>
    <row r="208" spans="1:15" x14ac:dyDescent="0.25">
      <c r="A208" t="s">
        <v>1326</v>
      </c>
      <c r="B208" t="s">
        <v>1365</v>
      </c>
      <c r="C208" t="s">
        <v>10</v>
      </c>
      <c r="D208" t="str">
        <f>VLOOKUP(Modded_AMF_Table[[#This Row],[HFM_Account]],HFM_Acct_OCF_Activity[],3,FALSE)</f>
        <v>Direct</v>
      </c>
      <c r="E208" t="s">
        <v>1210</v>
      </c>
      <c r="F208" t="s">
        <v>1194</v>
      </c>
      <c r="G208" t="s">
        <v>1366</v>
      </c>
      <c r="H208" t="str">
        <f>IF(NOT(ISERROR(FIND("NoICP",Modded_AMF_Table[[#This Row],[GL_ICP]]))),"",Modded_AMF_Table[[#This Row],[GL_ICP]])</f>
        <v/>
      </c>
      <c r="I208" t="s">
        <v>1212</v>
      </c>
      <c r="J208" t="s">
        <v>1474</v>
      </c>
      <c r="K208" t="str">
        <f>IFERROR(VLOOKUP(VALUE(Modded_AMF_Table[[#This Row],[GL_PC]]),BNS_Profit_Centers[],2,FALSE),"TE")</f>
        <v>TE</v>
      </c>
      <c r="L208" t="s">
        <v>1474</v>
      </c>
      <c r="M208" t="s">
        <v>1367</v>
      </c>
      <c r="N208" t="s">
        <v>1368</v>
      </c>
      <c r="O208" s="33">
        <v>11722</v>
      </c>
    </row>
    <row r="209" spans="1:15" x14ac:dyDescent="0.25">
      <c r="A209" t="s">
        <v>1326</v>
      </c>
      <c r="B209" t="s">
        <v>1369</v>
      </c>
      <c r="C209" t="s">
        <v>10</v>
      </c>
      <c r="D209" t="str">
        <f>VLOOKUP(Modded_AMF_Table[[#This Row],[HFM_Account]],HFM_Acct_OCF_Activity[],3,FALSE)</f>
        <v>Direct</v>
      </c>
      <c r="E209" t="s">
        <v>1210</v>
      </c>
      <c r="F209" t="s">
        <v>1194</v>
      </c>
      <c r="G209" t="s">
        <v>1370</v>
      </c>
      <c r="H209" t="str">
        <f>IF(NOT(ISERROR(FIND("NoICP",Modded_AMF_Table[[#This Row],[GL_ICP]]))),"",Modded_AMF_Table[[#This Row],[GL_ICP]])</f>
        <v/>
      </c>
      <c r="I209" t="s">
        <v>1212</v>
      </c>
      <c r="J209" t="s">
        <v>1474</v>
      </c>
      <c r="K209" t="str">
        <f>IFERROR(VLOOKUP(VALUE(Modded_AMF_Table[[#This Row],[GL_PC]]),BNS_Profit_Centers[],2,FALSE),"TE")</f>
        <v>TE</v>
      </c>
      <c r="L209" t="s">
        <v>1474</v>
      </c>
      <c r="M209" t="s">
        <v>1371</v>
      </c>
      <c r="N209" t="s">
        <v>1368</v>
      </c>
      <c r="O209" s="33">
        <v>-1867.5</v>
      </c>
    </row>
    <row r="210" spans="1:15" x14ac:dyDescent="0.25">
      <c r="A210" t="s">
        <v>1326</v>
      </c>
      <c r="B210" t="s">
        <v>1372</v>
      </c>
      <c r="C210" t="s">
        <v>10</v>
      </c>
      <c r="D210" t="str">
        <f>VLOOKUP(Modded_AMF_Table[[#This Row],[HFM_Account]],HFM_Acct_OCF_Activity[],3,FALSE)</f>
        <v>Direct</v>
      </c>
      <c r="E210" t="s">
        <v>1210</v>
      </c>
      <c r="F210" t="s">
        <v>1194</v>
      </c>
      <c r="G210" t="s">
        <v>1373</v>
      </c>
      <c r="H210" t="str">
        <f>IF(NOT(ISERROR(FIND("NoICP",Modded_AMF_Table[[#This Row],[GL_ICP]]))),"",Modded_AMF_Table[[#This Row],[GL_ICP]])</f>
        <v/>
      </c>
      <c r="I210" t="s">
        <v>1212</v>
      </c>
      <c r="J210" t="s">
        <v>1474</v>
      </c>
      <c r="K210" t="str">
        <f>IFERROR(VLOOKUP(VALUE(Modded_AMF_Table[[#This Row],[GL_PC]]),BNS_Profit_Centers[],2,FALSE),"TE")</f>
        <v>TE</v>
      </c>
      <c r="L210" t="s">
        <v>1474</v>
      </c>
      <c r="M210" t="s">
        <v>1374</v>
      </c>
      <c r="N210" t="s">
        <v>1374</v>
      </c>
      <c r="O210" s="33">
        <v>16269.73</v>
      </c>
    </row>
    <row r="211" spans="1:15" x14ac:dyDescent="0.25">
      <c r="A211" t="s">
        <v>1326</v>
      </c>
      <c r="B211" t="s">
        <v>1375</v>
      </c>
      <c r="C211" t="s">
        <v>10</v>
      </c>
      <c r="D211" t="str">
        <f>VLOOKUP(Modded_AMF_Table[[#This Row],[HFM_Account]],HFM_Acct_OCF_Activity[],3,FALSE)</f>
        <v>Direct</v>
      </c>
      <c r="E211" t="s">
        <v>1210</v>
      </c>
      <c r="F211" t="s">
        <v>1194</v>
      </c>
      <c r="G211" t="s">
        <v>1376</v>
      </c>
      <c r="H211" t="str">
        <f>IF(NOT(ISERROR(FIND("NoICP",Modded_AMF_Table[[#This Row],[GL_ICP]]))),"",Modded_AMF_Table[[#This Row],[GL_ICP]])</f>
        <v/>
      </c>
      <c r="I211" t="s">
        <v>1212</v>
      </c>
      <c r="J211" t="s">
        <v>1474</v>
      </c>
      <c r="K211" t="str">
        <f>IFERROR(VLOOKUP(VALUE(Modded_AMF_Table[[#This Row],[GL_PC]]),BNS_Profit_Centers[],2,FALSE),"TE")</f>
        <v>TE</v>
      </c>
      <c r="L211" t="s">
        <v>1474</v>
      </c>
      <c r="M211" t="s">
        <v>1377</v>
      </c>
      <c r="N211" t="s">
        <v>1374</v>
      </c>
      <c r="O211" s="33">
        <v>15750.03</v>
      </c>
    </row>
    <row r="212" spans="1:15" x14ac:dyDescent="0.25">
      <c r="A212" t="s">
        <v>1326</v>
      </c>
      <c r="B212" t="s">
        <v>1378</v>
      </c>
      <c r="C212" t="s">
        <v>10</v>
      </c>
      <c r="D212" t="str">
        <f>VLOOKUP(Modded_AMF_Table[[#This Row],[HFM_Account]],HFM_Acct_OCF_Activity[],3,FALSE)</f>
        <v>Direct</v>
      </c>
      <c r="E212" t="s">
        <v>1210</v>
      </c>
      <c r="F212" t="s">
        <v>1194</v>
      </c>
      <c r="G212" t="s">
        <v>1379</v>
      </c>
      <c r="H212" t="str">
        <f>IF(NOT(ISERROR(FIND("NoICP",Modded_AMF_Table[[#This Row],[GL_ICP]]))),"",Modded_AMF_Table[[#This Row],[GL_ICP]])</f>
        <v/>
      </c>
      <c r="I212" t="s">
        <v>1212</v>
      </c>
      <c r="J212" t="s">
        <v>1474</v>
      </c>
      <c r="K212" t="str">
        <f>IFERROR(VLOOKUP(VALUE(Modded_AMF_Table[[#This Row],[GL_PC]]),BNS_Profit_Centers[],2,FALSE),"TE")</f>
        <v>TE</v>
      </c>
      <c r="L212" t="s">
        <v>1474</v>
      </c>
      <c r="M212" t="s">
        <v>1380</v>
      </c>
      <c r="N212" t="s">
        <v>1380</v>
      </c>
      <c r="O212" s="33">
        <v>3864.17</v>
      </c>
    </row>
    <row r="213" spans="1:15" x14ac:dyDescent="0.25">
      <c r="A213" t="s">
        <v>1326</v>
      </c>
      <c r="B213" t="s">
        <v>1381</v>
      </c>
      <c r="C213" t="s">
        <v>10</v>
      </c>
      <c r="D213" t="str">
        <f>VLOOKUP(Modded_AMF_Table[[#This Row],[HFM_Account]],HFM_Acct_OCF_Activity[],3,FALSE)</f>
        <v>Direct</v>
      </c>
      <c r="E213" t="s">
        <v>1210</v>
      </c>
      <c r="F213" t="s">
        <v>1194</v>
      </c>
      <c r="G213" t="s">
        <v>1382</v>
      </c>
      <c r="H213" t="str">
        <f>IF(NOT(ISERROR(FIND("NoICP",Modded_AMF_Table[[#This Row],[GL_ICP]]))),"",Modded_AMF_Table[[#This Row],[GL_ICP]])</f>
        <v/>
      </c>
      <c r="I213" t="s">
        <v>1212</v>
      </c>
      <c r="J213" t="s">
        <v>1474</v>
      </c>
      <c r="K213" t="str">
        <f>IFERROR(VLOOKUP(VALUE(Modded_AMF_Table[[#This Row],[GL_PC]]),BNS_Profit_Centers[],2,FALSE),"TE")</f>
        <v>TE</v>
      </c>
      <c r="L213" t="s">
        <v>1474</v>
      </c>
      <c r="M213" t="s">
        <v>1383</v>
      </c>
      <c r="N213" t="s">
        <v>1334</v>
      </c>
      <c r="O213" s="33">
        <v>8453.6200000000008</v>
      </c>
    </row>
    <row r="214" spans="1:15" x14ac:dyDescent="0.25">
      <c r="A214" t="s">
        <v>1326</v>
      </c>
      <c r="B214" t="s">
        <v>1384</v>
      </c>
      <c r="C214" t="s">
        <v>10</v>
      </c>
      <c r="D214" t="str">
        <f>VLOOKUP(Modded_AMF_Table[[#This Row],[HFM_Account]],HFM_Acct_OCF_Activity[],3,FALSE)</f>
        <v>Direct</v>
      </c>
      <c r="E214" t="s">
        <v>1210</v>
      </c>
      <c r="F214" t="s">
        <v>1194</v>
      </c>
      <c r="G214" t="s">
        <v>1385</v>
      </c>
      <c r="H214" t="str">
        <f>IF(NOT(ISERROR(FIND("NoICP",Modded_AMF_Table[[#This Row],[GL_ICP]]))),"",Modded_AMF_Table[[#This Row],[GL_ICP]])</f>
        <v/>
      </c>
      <c r="I214" t="s">
        <v>1212</v>
      </c>
      <c r="J214" t="s">
        <v>1474</v>
      </c>
      <c r="K214" t="str">
        <f>IFERROR(VLOOKUP(VALUE(Modded_AMF_Table[[#This Row],[GL_PC]]),BNS_Profit_Centers[],2,FALSE),"TE")</f>
        <v>TE</v>
      </c>
      <c r="L214" t="s">
        <v>1474</v>
      </c>
      <c r="M214" t="s">
        <v>1386</v>
      </c>
      <c r="N214" t="s">
        <v>1386</v>
      </c>
      <c r="O214" s="33">
        <v>230.32</v>
      </c>
    </row>
    <row r="215" spans="1:15" x14ac:dyDescent="0.25">
      <c r="A215" t="s">
        <v>1326</v>
      </c>
      <c r="B215" t="s">
        <v>1387</v>
      </c>
      <c r="C215" t="s">
        <v>10</v>
      </c>
      <c r="D215" t="str">
        <f>VLOOKUP(Modded_AMF_Table[[#This Row],[HFM_Account]],HFM_Acct_OCF_Activity[],3,FALSE)</f>
        <v>Direct</v>
      </c>
      <c r="E215" t="s">
        <v>1210</v>
      </c>
      <c r="F215" t="s">
        <v>1194</v>
      </c>
      <c r="G215" t="s">
        <v>1388</v>
      </c>
      <c r="H215" t="str">
        <f>IF(NOT(ISERROR(FIND("NoICP",Modded_AMF_Table[[#This Row],[GL_ICP]]))),"",Modded_AMF_Table[[#This Row],[GL_ICP]])</f>
        <v/>
      </c>
      <c r="I215" t="s">
        <v>1212</v>
      </c>
      <c r="J215" t="s">
        <v>1474</v>
      </c>
      <c r="K215" t="str">
        <f>IFERROR(VLOOKUP(VALUE(Modded_AMF_Table[[#This Row],[GL_PC]]),BNS_Profit_Centers[],2,FALSE),"TE")</f>
        <v>TE</v>
      </c>
      <c r="L215" t="s">
        <v>1474</v>
      </c>
      <c r="M215" t="s">
        <v>1389</v>
      </c>
      <c r="N215" t="s">
        <v>1390</v>
      </c>
      <c r="O215" s="33">
        <v>422.49</v>
      </c>
    </row>
    <row r="216" spans="1:15" x14ac:dyDescent="0.25">
      <c r="A216" t="s">
        <v>1326</v>
      </c>
      <c r="B216" t="s">
        <v>1391</v>
      </c>
      <c r="C216" t="s">
        <v>10</v>
      </c>
      <c r="D216" t="str">
        <f>VLOOKUP(Modded_AMF_Table[[#This Row],[HFM_Account]],HFM_Acct_OCF_Activity[],3,FALSE)</f>
        <v>Direct</v>
      </c>
      <c r="E216" t="s">
        <v>1210</v>
      </c>
      <c r="F216" t="s">
        <v>1194</v>
      </c>
      <c r="G216" t="s">
        <v>1392</v>
      </c>
      <c r="H216" t="str">
        <f>IF(NOT(ISERROR(FIND("NoICP",Modded_AMF_Table[[#This Row],[GL_ICP]]))),"",Modded_AMF_Table[[#This Row],[GL_ICP]])</f>
        <v/>
      </c>
      <c r="I216" t="s">
        <v>1212</v>
      </c>
      <c r="J216" t="s">
        <v>1474</v>
      </c>
      <c r="K216" t="str">
        <f>IFERROR(VLOOKUP(VALUE(Modded_AMF_Table[[#This Row],[GL_PC]]),BNS_Profit_Centers[],2,FALSE),"TE")</f>
        <v>TE</v>
      </c>
      <c r="L216" t="s">
        <v>1474</v>
      </c>
      <c r="M216" t="s">
        <v>1393</v>
      </c>
      <c r="N216" t="s">
        <v>1390</v>
      </c>
      <c r="O216" s="33">
        <v>2146.64</v>
      </c>
    </row>
    <row r="217" spans="1:15" x14ac:dyDescent="0.25">
      <c r="A217" t="s">
        <v>1326</v>
      </c>
      <c r="B217" t="s">
        <v>1394</v>
      </c>
      <c r="C217" t="s">
        <v>10</v>
      </c>
      <c r="D217" t="str">
        <f>VLOOKUP(Modded_AMF_Table[[#This Row],[HFM_Account]],HFM_Acct_OCF_Activity[],3,FALSE)</f>
        <v>Direct</v>
      </c>
      <c r="E217" t="s">
        <v>1210</v>
      </c>
      <c r="F217" t="s">
        <v>1194</v>
      </c>
      <c r="G217" t="s">
        <v>1395</v>
      </c>
      <c r="H217" t="str">
        <f>IF(NOT(ISERROR(FIND("NoICP",Modded_AMF_Table[[#This Row],[GL_ICP]]))),"",Modded_AMF_Table[[#This Row],[GL_ICP]])</f>
        <v/>
      </c>
      <c r="I217" t="s">
        <v>1212</v>
      </c>
      <c r="J217" t="s">
        <v>1474</v>
      </c>
      <c r="K217" t="str">
        <f>IFERROR(VLOOKUP(VALUE(Modded_AMF_Table[[#This Row],[GL_PC]]),BNS_Profit_Centers[],2,FALSE),"TE")</f>
        <v>TE</v>
      </c>
      <c r="L217" t="s">
        <v>1474</v>
      </c>
      <c r="M217" t="s">
        <v>1396</v>
      </c>
      <c r="N217" t="s">
        <v>1390</v>
      </c>
      <c r="O217" s="33">
        <v>1142</v>
      </c>
    </row>
    <row r="218" spans="1:15" x14ac:dyDescent="0.25">
      <c r="A218" t="s">
        <v>1326</v>
      </c>
      <c r="B218" t="s">
        <v>1397</v>
      </c>
      <c r="C218" t="s">
        <v>10</v>
      </c>
      <c r="D218" t="str">
        <f>VLOOKUP(Modded_AMF_Table[[#This Row],[HFM_Account]],HFM_Acct_OCF_Activity[],3,FALSE)</f>
        <v>Direct</v>
      </c>
      <c r="E218" t="s">
        <v>1210</v>
      </c>
      <c r="F218" t="s">
        <v>1194</v>
      </c>
      <c r="G218" t="s">
        <v>1398</v>
      </c>
      <c r="H218" t="str">
        <f>IF(NOT(ISERROR(FIND("NoICP",Modded_AMF_Table[[#This Row],[GL_ICP]]))),"",Modded_AMF_Table[[#This Row],[GL_ICP]])</f>
        <v/>
      </c>
      <c r="I218" t="s">
        <v>1212</v>
      </c>
      <c r="J218" t="s">
        <v>1474</v>
      </c>
      <c r="K218" t="str">
        <f>IFERROR(VLOOKUP(VALUE(Modded_AMF_Table[[#This Row],[GL_PC]]),BNS_Profit_Centers[],2,FALSE),"TE")</f>
        <v>TE</v>
      </c>
      <c r="L218" t="s">
        <v>1474</v>
      </c>
      <c r="M218" t="s">
        <v>1399</v>
      </c>
      <c r="N218" t="s">
        <v>1390</v>
      </c>
      <c r="O218" s="33">
        <v>789.34</v>
      </c>
    </row>
    <row r="219" spans="1:15" x14ac:dyDescent="0.25">
      <c r="A219" t="s">
        <v>1326</v>
      </c>
      <c r="B219" t="s">
        <v>1400</v>
      </c>
      <c r="C219" t="s">
        <v>10</v>
      </c>
      <c r="D219" t="str">
        <f>VLOOKUP(Modded_AMF_Table[[#This Row],[HFM_Account]],HFM_Acct_OCF_Activity[],3,FALSE)</f>
        <v>Direct</v>
      </c>
      <c r="E219" t="s">
        <v>1210</v>
      </c>
      <c r="F219" t="s">
        <v>1194</v>
      </c>
      <c r="G219" t="s">
        <v>1401</v>
      </c>
      <c r="H219" t="str">
        <f>IF(NOT(ISERROR(FIND("NoICP",Modded_AMF_Table[[#This Row],[GL_ICP]]))),"",Modded_AMF_Table[[#This Row],[GL_ICP]])</f>
        <v/>
      </c>
      <c r="I219" t="s">
        <v>1212</v>
      </c>
      <c r="J219" t="s">
        <v>1474</v>
      </c>
      <c r="K219" t="str">
        <f>IFERROR(VLOOKUP(VALUE(Modded_AMF_Table[[#This Row],[GL_PC]]),BNS_Profit_Centers[],2,FALSE),"TE")</f>
        <v>TE</v>
      </c>
      <c r="L219" t="s">
        <v>1474</v>
      </c>
      <c r="M219" t="s">
        <v>1402</v>
      </c>
      <c r="N219" t="s">
        <v>1390</v>
      </c>
      <c r="O219" s="33">
        <v>228.08</v>
      </c>
    </row>
    <row r="220" spans="1:15" x14ac:dyDescent="0.25">
      <c r="A220" t="s">
        <v>1326</v>
      </c>
      <c r="B220" t="s">
        <v>1403</v>
      </c>
      <c r="C220" t="s">
        <v>10</v>
      </c>
      <c r="D220" t="str">
        <f>VLOOKUP(Modded_AMF_Table[[#This Row],[HFM_Account]],HFM_Acct_OCF_Activity[],3,FALSE)</f>
        <v>Direct</v>
      </c>
      <c r="E220" t="s">
        <v>1210</v>
      </c>
      <c r="F220" t="s">
        <v>1194</v>
      </c>
      <c r="G220" t="s">
        <v>1404</v>
      </c>
      <c r="H220" t="str">
        <f>IF(NOT(ISERROR(FIND("NoICP",Modded_AMF_Table[[#This Row],[GL_ICP]]))),"",Modded_AMF_Table[[#This Row],[GL_ICP]])</f>
        <v/>
      </c>
      <c r="I220" t="s">
        <v>1212</v>
      </c>
      <c r="J220" t="s">
        <v>1474</v>
      </c>
      <c r="K220" t="str">
        <f>IFERROR(VLOOKUP(VALUE(Modded_AMF_Table[[#This Row],[GL_PC]]),BNS_Profit_Centers[],2,FALSE),"TE")</f>
        <v>TE</v>
      </c>
      <c r="L220" t="s">
        <v>1474</v>
      </c>
      <c r="M220" t="s">
        <v>1405</v>
      </c>
      <c r="N220" t="s">
        <v>1390</v>
      </c>
      <c r="O220" s="33">
        <v>507.99</v>
      </c>
    </row>
    <row r="221" spans="1:15" x14ac:dyDescent="0.25">
      <c r="A221" t="s">
        <v>1326</v>
      </c>
      <c r="B221" t="s">
        <v>1406</v>
      </c>
      <c r="C221" t="s">
        <v>10</v>
      </c>
      <c r="D221" t="str">
        <f>VLOOKUP(Modded_AMF_Table[[#This Row],[HFM_Account]],HFM_Acct_OCF_Activity[],3,FALSE)</f>
        <v>Direct</v>
      </c>
      <c r="E221" t="s">
        <v>1210</v>
      </c>
      <c r="F221" t="s">
        <v>1194</v>
      </c>
      <c r="G221" t="s">
        <v>1407</v>
      </c>
      <c r="H221" t="str">
        <f>IF(NOT(ISERROR(FIND("NoICP",Modded_AMF_Table[[#This Row],[GL_ICP]]))),"",Modded_AMF_Table[[#This Row],[GL_ICP]])</f>
        <v/>
      </c>
      <c r="I221" t="s">
        <v>1212</v>
      </c>
      <c r="J221" t="s">
        <v>1474</v>
      </c>
      <c r="K221" t="str">
        <f>IFERROR(VLOOKUP(VALUE(Modded_AMF_Table[[#This Row],[GL_PC]]),BNS_Profit_Centers[],2,FALSE),"TE")</f>
        <v>TE</v>
      </c>
      <c r="L221" t="s">
        <v>1474</v>
      </c>
      <c r="M221" t="s">
        <v>1408</v>
      </c>
      <c r="N221" t="s">
        <v>1390</v>
      </c>
      <c r="O221" s="33">
        <v>2458.54</v>
      </c>
    </row>
    <row r="222" spans="1:15" x14ac:dyDescent="0.25">
      <c r="A222" t="s">
        <v>1326</v>
      </c>
      <c r="B222" t="s">
        <v>1462</v>
      </c>
      <c r="C222" t="s">
        <v>10</v>
      </c>
      <c r="D222" t="str">
        <f>VLOOKUP(Modded_AMF_Table[[#This Row],[HFM_Account]],HFM_Acct_OCF_Activity[],3,FALSE)</f>
        <v>Direct</v>
      </c>
      <c r="E222" t="s">
        <v>1210</v>
      </c>
      <c r="F222" t="s">
        <v>1194</v>
      </c>
      <c r="G222" t="s">
        <v>1463</v>
      </c>
      <c r="H222" t="str">
        <f>IF(NOT(ISERROR(FIND("NoICP",Modded_AMF_Table[[#This Row],[GL_ICP]]))),"",Modded_AMF_Table[[#This Row],[GL_ICP]])</f>
        <v/>
      </c>
      <c r="I222" t="s">
        <v>1212</v>
      </c>
      <c r="J222" t="s">
        <v>1474</v>
      </c>
      <c r="K222" t="str">
        <f>IFERROR(VLOOKUP(VALUE(Modded_AMF_Table[[#This Row],[GL_PC]]),BNS_Profit_Centers[],2,FALSE),"TE")</f>
        <v>TE</v>
      </c>
      <c r="L222" t="s">
        <v>1474</v>
      </c>
      <c r="M222" t="s">
        <v>1464</v>
      </c>
      <c r="N222" t="s">
        <v>1390</v>
      </c>
      <c r="O222" s="33">
        <v>50</v>
      </c>
    </row>
    <row r="223" spans="1:15" x14ac:dyDescent="0.25">
      <c r="A223" t="s">
        <v>1326</v>
      </c>
      <c r="B223" t="s">
        <v>1409</v>
      </c>
      <c r="C223" t="s">
        <v>10</v>
      </c>
      <c r="D223" t="str">
        <f>VLOOKUP(Modded_AMF_Table[[#This Row],[HFM_Account]],HFM_Acct_OCF_Activity[],3,FALSE)</f>
        <v>Direct</v>
      </c>
      <c r="E223" t="s">
        <v>1210</v>
      </c>
      <c r="F223" t="s">
        <v>1194</v>
      </c>
      <c r="G223" t="s">
        <v>1410</v>
      </c>
      <c r="H223" t="str">
        <f>IF(NOT(ISERROR(FIND("NoICP",Modded_AMF_Table[[#This Row],[GL_ICP]]))),"",Modded_AMF_Table[[#This Row],[GL_ICP]])</f>
        <v/>
      </c>
      <c r="I223" t="s">
        <v>1212</v>
      </c>
      <c r="J223" t="s">
        <v>1474</v>
      </c>
      <c r="K223" t="str">
        <f>IFERROR(VLOOKUP(VALUE(Modded_AMF_Table[[#This Row],[GL_PC]]),BNS_Profit_Centers[],2,FALSE),"TE")</f>
        <v>TE</v>
      </c>
      <c r="L223" t="s">
        <v>1474</v>
      </c>
      <c r="M223" t="s">
        <v>1411</v>
      </c>
      <c r="N223" t="s">
        <v>1390</v>
      </c>
      <c r="O223" s="33">
        <v>-460</v>
      </c>
    </row>
    <row r="224" spans="1:15" x14ac:dyDescent="0.25">
      <c r="A224" t="s">
        <v>1326</v>
      </c>
      <c r="B224" t="s">
        <v>1412</v>
      </c>
      <c r="C224" t="s">
        <v>10</v>
      </c>
      <c r="D224" t="str">
        <f>VLOOKUP(Modded_AMF_Table[[#This Row],[HFM_Account]],HFM_Acct_OCF_Activity[],3,FALSE)</f>
        <v>Direct</v>
      </c>
      <c r="E224" t="s">
        <v>1210</v>
      </c>
      <c r="F224" t="s">
        <v>1194</v>
      </c>
      <c r="G224" t="s">
        <v>1413</v>
      </c>
      <c r="H224" t="str">
        <f>IF(NOT(ISERROR(FIND("NoICP",Modded_AMF_Table[[#This Row],[GL_ICP]]))),"",Modded_AMF_Table[[#This Row],[GL_ICP]])</f>
        <v/>
      </c>
      <c r="I224" t="s">
        <v>1212</v>
      </c>
      <c r="J224" t="s">
        <v>1474</v>
      </c>
      <c r="K224" t="str">
        <f>IFERROR(VLOOKUP(VALUE(Modded_AMF_Table[[#This Row],[GL_PC]]),BNS_Profit_Centers[],2,FALSE),"TE")</f>
        <v>TE</v>
      </c>
      <c r="L224" t="s">
        <v>1474</v>
      </c>
      <c r="M224" t="s">
        <v>1414</v>
      </c>
      <c r="N224" t="s">
        <v>1415</v>
      </c>
      <c r="O224" s="33">
        <v>2896</v>
      </c>
    </row>
    <row r="225" spans="1:15" x14ac:dyDescent="0.25">
      <c r="A225" t="s">
        <v>1326</v>
      </c>
      <c r="B225" t="s">
        <v>1416</v>
      </c>
      <c r="C225" t="s">
        <v>10</v>
      </c>
      <c r="D225" t="str">
        <f>VLOOKUP(Modded_AMF_Table[[#This Row],[HFM_Account]],HFM_Acct_OCF_Activity[],3,FALSE)</f>
        <v>Direct</v>
      </c>
      <c r="E225" t="s">
        <v>1210</v>
      </c>
      <c r="F225" t="s">
        <v>1194</v>
      </c>
      <c r="G225" t="s">
        <v>1417</v>
      </c>
      <c r="H225" t="str">
        <f>IF(NOT(ISERROR(FIND("NoICP",Modded_AMF_Table[[#This Row],[GL_ICP]]))),"",Modded_AMF_Table[[#This Row],[GL_ICP]])</f>
        <v/>
      </c>
      <c r="I225" t="s">
        <v>1212</v>
      </c>
      <c r="J225" t="s">
        <v>1474</v>
      </c>
      <c r="K225" t="str">
        <f>IFERROR(VLOOKUP(VALUE(Modded_AMF_Table[[#This Row],[GL_PC]]),BNS_Profit_Centers[],2,FALSE),"TE")</f>
        <v>TE</v>
      </c>
      <c r="L225" t="s">
        <v>1474</v>
      </c>
      <c r="M225" t="s">
        <v>1418</v>
      </c>
      <c r="N225" t="s">
        <v>1415</v>
      </c>
      <c r="O225" s="33">
        <v>6831</v>
      </c>
    </row>
    <row r="226" spans="1:15" x14ac:dyDescent="0.25">
      <c r="A226" t="s">
        <v>1326</v>
      </c>
      <c r="B226" t="s">
        <v>1419</v>
      </c>
      <c r="C226" t="s">
        <v>10</v>
      </c>
      <c r="D226" t="str">
        <f>VLOOKUP(Modded_AMF_Table[[#This Row],[HFM_Account]],HFM_Acct_OCF_Activity[],3,FALSE)</f>
        <v>Direct</v>
      </c>
      <c r="E226" t="s">
        <v>1210</v>
      </c>
      <c r="F226" t="s">
        <v>1194</v>
      </c>
      <c r="G226" t="s">
        <v>1420</v>
      </c>
      <c r="H226" t="str">
        <f>IF(NOT(ISERROR(FIND("NoICP",Modded_AMF_Table[[#This Row],[GL_ICP]]))),"",Modded_AMF_Table[[#This Row],[GL_ICP]])</f>
        <v/>
      </c>
      <c r="I226" t="s">
        <v>1212</v>
      </c>
      <c r="J226" t="s">
        <v>1474</v>
      </c>
      <c r="K226" t="str">
        <f>IFERROR(VLOOKUP(VALUE(Modded_AMF_Table[[#This Row],[GL_PC]]),BNS_Profit_Centers[],2,FALSE),"TE")</f>
        <v>TE</v>
      </c>
      <c r="L226" t="s">
        <v>1474</v>
      </c>
      <c r="M226" t="s">
        <v>1421</v>
      </c>
      <c r="N226" t="s">
        <v>1421</v>
      </c>
      <c r="O226" s="33">
        <v>57.4</v>
      </c>
    </row>
    <row r="227" spans="1:15" x14ac:dyDescent="0.25">
      <c r="A227" t="s">
        <v>1326</v>
      </c>
      <c r="B227" t="s">
        <v>1429</v>
      </c>
      <c r="C227" t="s">
        <v>10</v>
      </c>
      <c r="D227" t="str">
        <f>VLOOKUP(Modded_AMF_Table[[#This Row],[HFM_Account]],HFM_Acct_OCF_Activity[],3,FALSE)</f>
        <v>Direct</v>
      </c>
      <c r="E227" t="s">
        <v>1210</v>
      </c>
      <c r="F227" t="s">
        <v>1194</v>
      </c>
      <c r="G227" t="s">
        <v>1430</v>
      </c>
      <c r="H227" t="str">
        <f>IF(NOT(ISERROR(FIND("NoICP",Modded_AMF_Table[[#This Row],[GL_ICP]]))),"",Modded_AMF_Table[[#This Row],[GL_ICP]])</f>
        <v/>
      </c>
      <c r="I227" t="s">
        <v>1212</v>
      </c>
      <c r="J227" t="s">
        <v>1474</v>
      </c>
      <c r="K227" t="str">
        <f>IFERROR(VLOOKUP(VALUE(Modded_AMF_Table[[#This Row],[GL_PC]]),BNS_Profit_Centers[],2,FALSE),"TE")</f>
        <v>TE</v>
      </c>
      <c r="L227" t="s">
        <v>1474</v>
      </c>
      <c r="M227" t="s">
        <v>1431</v>
      </c>
      <c r="N227" t="s">
        <v>1432</v>
      </c>
      <c r="O227" s="33">
        <v>4.07</v>
      </c>
    </row>
    <row r="228" spans="1:15" x14ac:dyDescent="0.25">
      <c r="A228" t="s">
        <v>1326</v>
      </c>
      <c r="B228" t="s">
        <v>1422</v>
      </c>
      <c r="C228" t="s">
        <v>10</v>
      </c>
      <c r="D228" t="str">
        <f>VLOOKUP(Modded_AMF_Table[[#This Row],[HFM_Account]],HFM_Acct_OCF_Activity[],3,FALSE)</f>
        <v>Direct</v>
      </c>
      <c r="E228" t="s">
        <v>1210</v>
      </c>
      <c r="F228" t="s">
        <v>1194</v>
      </c>
      <c r="G228" t="s">
        <v>1423</v>
      </c>
      <c r="H228" t="str">
        <f>IF(NOT(ISERROR(FIND("NoICP",Modded_AMF_Table[[#This Row],[GL_ICP]]))),"",Modded_AMF_Table[[#This Row],[GL_ICP]])</f>
        <v/>
      </c>
      <c r="I228" t="s">
        <v>1212</v>
      </c>
      <c r="J228" t="s">
        <v>1474</v>
      </c>
      <c r="K228" t="str">
        <f>IFERROR(VLOOKUP(VALUE(Modded_AMF_Table[[#This Row],[GL_PC]]),BNS_Profit_Centers[],2,FALSE),"TE")</f>
        <v>TE</v>
      </c>
      <c r="L228" t="s">
        <v>1474</v>
      </c>
      <c r="M228" t="s">
        <v>1424</v>
      </c>
      <c r="N228" t="s">
        <v>1424</v>
      </c>
      <c r="O228" s="33">
        <v>31.45</v>
      </c>
    </row>
    <row r="229" spans="1:15" x14ac:dyDescent="0.25">
      <c r="A229" t="s">
        <v>1326</v>
      </c>
      <c r="B229" t="s">
        <v>1465</v>
      </c>
      <c r="C229" t="s">
        <v>10</v>
      </c>
      <c r="D229" t="str">
        <f>VLOOKUP(Modded_AMF_Table[[#This Row],[HFM_Account]],HFM_Acct_OCF_Activity[],3,FALSE)</f>
        <v>Direct</v>
      </c>
      <c r="E229" t="s">
        <v>1210</v>
      </c>
      <c r="F229" t="s">
        <v>1194</v>
      </c>
      <c r="G229" t="s">
        <v>1466</v>
      </c>
      <c r="H229" t="str">
        <f>IF(NOT(ISERROR(FIND("NoICP",Modded_AMF_Table[[#This Row],[GL_ICP]]))),"",Modded_AMF_Table[[#This Row],[GL_ICP]])</f>
        <v/>
      </c>
      <c r="I229" t="s">
        <v>1212</v>
      </c>
      <c r="J229" t="s">
        <v>1474</v>
      </c>
      <c r="K229" t="str">
        <f>IFERROR(VLOOKUP(VALUE(Modded_AMF_Table[[#This Row],[GL_PC]]),BNS_Profit_Centers[],2,FALSE),"TE")</f>
        <v>TE</v>
      </c>
      <c r="L229" t="s">
        <v>1474</v>
      </c>
      <c r="M229" t="s">
        <v>1467</v>
      </c>
      <c r="N229" t="s">
        <v>1424</v>
      </c>
      <c r="O229" s="33">
        <v>734.68</v>
      </c>
    </row>
    <row r="230" spans="1:15" x14ac:dyDescent="0.25">
      <c r="A230" t="s">
        <v>1326</v>
      </c>
      <c r="B230" t="s">
        <v>1327</v>
      </c>
      <c r="C230" t="s">
        <v>10</v>
      </c>
      <c r="D230" t="str">
        <f>VLOOKUP(Modded_AMF_Table[[#This Row],[HFM_Account]],HFM_Acct_OCF_Activity[],3,FALSE)</f>
        <v>Direct</v>
      </c>
      <c r="E230" t="s">
        <v>1210</v>
      </c>
      <c r="F230" t="s">
        <v>1194</v>
      </c>
      <c r="G230" t="s">
        <v>1328</v>
      </c>
      <c r="H230" t="str">
        <f>IF(NOT(ISERROR(FIND("NoICP",Modded_AMF_Table[[#This Row],[GL_ICP]]))),"",Modded_AMF_Table[[#This Row],[GL_ICP]])</f>
        <v/>
      </c>
      <c r="I230" t="s">
        <v>1212</v>
      </c>
      <c r="J230" t="s">
        <v>1478</v>
      </c>
      <c r="K230" t="str">
        <f>IFERROR(VLOOKUP(VALUE(Modded_AMF_Table[[#This Row],[GL_PC]]),BNS_Profit_Centers[],2,FALSE),"TE")</f>
        <v>TE</v>
      </c>
      <c r="L230" t="s">
        <v>1478</v>
      </c>
      <c r="M230" t="s">
        <v>1330</v>
      </c>
      <c r="N230" t="s">
        <v>1330</v>
      </c>
      <c r="O230" s="33">
        <v>40077</v>
      </c>
    </row>
    <row r="231" spans="1:15" x14ac:dyDescent="0.25">
      <c r="A231" t="s">
        <v>1326</v>
      </c>
      <c r="B231" t="s">
        <v>1331</v>
      </c>
      <c r="C231" t="s">
        <v>10</v>
      </c>
      <c r="D231" t="str">
        <f>VLOOKUP(Modded_AMF_Table[[#This Row],[HFM_Account]],HFM_Acct_OCF_Activity[],3,FALSE)</f>
        <v>Direct</v>
      </c>
      <c r="E231" t="s">
        <v>1210</v>
      </c>
      <c r="F231" t="s">
        <v>1194</v>
      </c>
      <c r="G231" t="s">
        <v>1332</v>
      </c>
      <c r="H231" t="str">
        <f>IF(NOT(ISERROR(FIND("NoICP",Modded_AMF_Table[[#This Row],[GL_ICP]]))),"",Modded_AMF_Table[[#This Row],[GL_ICP]])</f>
        <v/>
      </c>
      <c r="I231" t="s">
        <v>1212</v>
      </c>
      <c r="J231" t="s">
        <v>1478</v>
      </c>
      <c r="K231" t="str">
        <f>IFERROR(VLOOKUP(VALUE(Modded_AMF_Table[[#This Row],[GL_PC]]),BNS_Profit_Centers[],2,FALSE),"TE")</f>
        <v>TE</v>
      </c>
      <c r="L231" t="s">
        <v>1478</v>
      </c>
      <c r="M231" t="s">
        <v>1333</v>
      </c>
      <c r="N231" t="s">
        <v>1334</v>
      </c>
      <c r="O231" s="33">
        <v>5061.7299999999996</v>
      </c>
    </row>
    <row r="232" spans="1:15" x14ac:dyDescent="0.25">
      <c r="A232" t="s">
        <v>1326</v>
      </c>
      <c r="B232" t="s">
        <v>1335</v>
      </c>
      <c r="C232" t="s">
        <v>10</v>
      </c>
      <c r="D232" t="str">
        <f>VLOOKUP(Modded_AMF_Table[[#This Row],[HFM_Account]],HFM_Acct_OCF_Activity[],3,FALSE)</f>
        <v>Direct</v>
      </c>
      <c r="E232" t="s">
        <v>1210</v>
      </c>
      <c r="F232" t="s">
        <v>1194</v>
      </c>
      <c r="G232" t="s">
        <v>1336</v>
      </c>
      <c r="H232" t="str">
        <f>IF(NOT(ISERROR(FIND("NoICP",Modded_AMF_Table[[#This Row],[GL_ICP]]))),"",Modded_AMF_Table[[#This Row],[GL_ICP]])</f>
        <v/>
      </c>
      <c r="I232" t="s">
        <v>1212</v>
      </c>
      <c r="J232" t="s">
        <v>1478</v>
      </c>
      <c r="K232" t="str">
        <f>IFERROR(VLOOKUP(VALUE(Modded_AMF_Table[[#This Row],[GL_PC]]),BNS_Profit_Centers[],2,FALSE),"TE")</f>
        <v>TE</v>
      </c>
      <c r="L232" t="s">
        <v>1478</v>
      </c>
      <c r="M232" t="s">
        <v>1337</v>
      </c>
      <c r="N232" t="s">
        <v>1334</v>
      </c>
      <c r="O232" s="33">
        <v>-2556.81</v>
      </c>
    </row>
    <row r="233" spans="1:15" x14ac:dyDescent="0.25">
      <c r="A233" t="s">
        <v>1326</v>
      </c>
      <c r="B233" t="s">
        <v>1338</v>
      </c>
      <c r="C233" t="s">
        <v>10</v>
      </c>
      <c r="D233" t="str">
        <f>VLOOKUP(Modded_AMF_Table[[#This Row],[HFM_Account]],HFM_Acct_OCF_Activity[],3,FALSE)</f>
        <v>Direct</v>
      </c>
      <c r="E233" t="s">
        <v>1210</v>
      </c>
      <c r="F233" t="s">
        <v>1194</v>
      </c>
      <c r="G233" t="s">
        <v>1339</v>
      </c>
      <c r="H233" t="str">
        <f>IF(NOT(ISERROR(FIND("NoICP",Modded_AMF_Table[[#This Row],[GL_ICP]]))),"",Modded_AMF_Table[[#This Row],[GL_ICP]])</f>
        <v/>
      </c>
      <c r="I233" t="s">
        <v>1212</v>
      </c>
      <c r="J233" t="s">
        <v>1478</v>
      </c>
      <c r="K233" t="str">
        <f>IFERROR(VLOOKUP(VALUE(Modded_AMF_Table[[#This Row],[GL_PC]]),BNS_Profit_Centers[],2,FALSE),"TE")</f>
        <v>TE</v>
      </c>
      <c r="L233" t="s">
        <v>1478</v>
      </c>
      <c r="M233" t="s">
        <v>1340</v>
      </c>
      <c r="N233" t="s">
        <v>1334</v>
      </c>
      <c r="O233" s="33">
        <v>244</v>
      </c>
    </row>
    <row r="234" spans="1:15" x14ac:dyDescent="0.25">
      <c r="A234" t="s">
        <v>1326</v>
      </c>
      <c r="B234" t="s">
        <v>1341</v>
      </c>
      <c r="C234" t="s">
        <v>10</v>
      </c>
      <c r="D234" t="str">
        <f>VLOOKUP(Modded_AMF_Table[[#This Row],[HFM_Account]],HFM_Acct_OCF_Activity[],3,FALSE)</f>
        <v>Direct</v>
      </c>
      <c r="E234" t="s">
        <v>1210</v>
      </c>
      <c r="F234" t="s">
        <v>1194</v>
      </c>
      <c r="G234" t="s">
        <v>1342</v>
      </c>
      <c r="H234" t="str">
        <f>IF(NOT(ISERROR(FIND("NoICP",Modded_AMF_Table[[#This Row],[GL_ICP]]))),"",Modded_AMF_Table[[#This Row],[GL_ICP]])</f>
        <v/>
      </c>
      <c r="I234" t="s">
        <v>1212</v>
      </c>
      <c r="J234" t="s">
        <v>1478</v>
      </c>
      <c r="K234" t="str">
        <f>IFERROR(VLOOKUP(VALUE(Modded_AMF_Table[[#This Row],[GL_PC]]),BNS_Profit_Centers[],2,FALSE),"TE")</f>
        <v>TE</v>
      </c>
      <c r="L234" t="s">
        <v>1478</v>
      </c>
      <c r="M234" t="s">
        <v>1343</v>
      </c>
      <c r="N234" t="s">
        <v>1334</v>
      </c>
      <c r="O234" s="33">
        <v>180</v>
      </c>
    </row>
    <row r="235" spans="1:15" x14ac:dyDescent="0.25">
      <c r="A235" t="s">
        <v>1326</v>
      </c>
      <c r="B235" t="s">
        <v>1344</v>
      </c>
      <c r="C235" t="s">
        <v>10</v>
      </c>
      <c r="D235" t="str">
        <f>VLOOKUP(Modded_AMF_Table[[#This Row],[HFM_Account]],HFM_Acct_OCF_Activity[],3,FALSE)</f>
        <v>Direct</v>
      </c>
      <c r="E235" t="s">
        <v>1210</v>
      </c>
      <c r="F235" t="s">
        <v>1194</v>
      </c>
      <c r="G235" t="s">
        <v>1345</v>
      </c>
      <c r="H235" t="str">
        <f>IF(NOT(ISERROR(FIND("NoICP",Modded_AMF_Table[[#This Row],[GL_ICP]]))),"",Modded_AMF_Table[[#This Row],[GL_ICP]])</f>
        <v/>
      </c>
      <c r="I235" t="s">
        <v>1212</v>
      </c>
      <c r="J235" t="s">
        <v>1478</v>
      </c>
      <c r="K235" t="str">
        <f>IFERROR(VLOOKUP(VALUE(Modded_AMF_Table[[#This Row],[GL_PC]]),BNS_Profit_Centers[],2,FALSE),"TE")</f>
        <v>TE</v>
      </c>
      <c r="L235" t="s">
        <v>1478</v>
      </c>
      <c r="M235" t="s">
        <v>1346</v>
      </c>
      <c r="N235" t="s">
        <v>1347</v>
      </c>
      <c r="O235" s="33">
        <v>240</v>
      </c>
    </row>
    <row r="236" spans="1:15" x14ac:dyDescent="0.25">
      <c r="A236" t="s">
        <v>1326</v>
      </c>
      <c r="B236" t="s">
        <v>1348</v>
      </c>
      <c r="C236" t="s">
        <v>10</v>
      </c>
      <c r="D236" t="str">
        <f>VLOOKUP(Modded_AMF_Table[[#This Row],[HFM_Account]],HFM_Acct_OCF_Activity[],3,FALSE)</f>
        <v>Direct</v>
      </c>
      <c r="E236" t="s">
        <v>1210</v>
      </c>
      <c r="F236" t="s">
        <v>1194</v>
      </c>
      <c r="G236" t="s">
        <v>1349</v>
      </c>
      <c r="H236" t="str">
        <f>IF(NOT(ISERROR(FIND("NoICP",Modded_AMF_Table[[#This Row],[GL_ICP]]))),"",Modded_AMF_Table[[#This Row],[GL_ICP]])</f>
        <v/>
      </c>
      <c r="I236" t="s">
        <v>1212</v>
      </c>
      <c r="J236" t="s">
        <v>1478</v>
      </c>
      <c r="K236" t="str">
        <f>IFERROR(VLOOKUP(VALUE(Modded_AMF_Table[[#This Row],[GL_PC]]),BNS_Profit_Centers[],2,FALSE),"TE")</f>
        <v>TE</v>
      </c>
      <c r="L236" t="s">
        <v>1478</v>
      </c>
      <c r="M236" t="s">
        <v>1350</v>
      </c>
      <c r="N236" t="s">
        <v>1351</v>
      </c>
      <c r="O236" s="33">
        <v>177</v>
      </c>
    </row>
    <row r="237" spans="1:15" x14ac:dyDescent="0.25">
      <c r="A237" t="s">
        <v>1326</v>
      </c>
      <c r="B237" t="s">
        <v>1352</v>
      </c>
      <c r="C237" t="s">
        <v>10</v>
      </c>
      <c r="D237" t="str">
        <f>VLOOKUP(Modded_AMF_Table[[#This Row],[HFM_Account]],HFM_Acct_OCF_Activity[],3,FALSE)</f>
        <v>Direct</v>
      </c>
      <c r="E237" t="s">
        <v>1210</v>
      </c>
      <c r="F237" t="s">
        <v>1194</v>
      </c>
      <c r="G237" t="s">
        <v>1353</v>
      </c>
      <c r="H237" t="str">
        <f>IF(NOT(ISERROR(FIND("NoICP",Modded_AMF_Table[[#This Row],[GL_ICP]]))),"",Modded_AMF_Table[[#This Row],[GL_ICP]])</f>
        <v/>
      </c>
      <c r="I237" t="s">
        <v>1212</v>
      </c>
      <c r="J237" t="s">
        <v>1478</v>
      </c>
      <c r="K237" t="str">
        <f>IFERROR(VLOOKUP(VALUE(Modded_AMF_Table[[#This Row],[GL_PC]]),BNS_Profit_Centers[],2,FALSE),"TE")</f>
        <v>TE</v>
      </c>
      <c r="L237" t="s">
        <v>1478</v>
      </c>
      <c r="M237" t="s">
        <v>1354</v>
      </c>
      <c r="N237" t="s">
        <v>1351</v>
      </c>
      <c r="O237" s="33">
        <v>420.16</v>
      </c>
    </row>
    <row r="238" spans="1:15" x14ac:dyDescent="0.25">
      <c r="A238" t="s">
        <v>1326</v>
      </c>
      <c r="B238" t="s">
        <v>1355</v>
      </c>
      <c r="C238" t="s">
        <v>10</v>
      </c>
      <c r="D238" t="str">
        <f>VLOOKUP(Modded_AMF_Table[[#This Row],[HFM_Account]],HFM_Acct_OCF_Activity[],3,FALSE)</f>
        <v>Direct</v>
      </c>
      <c r="E238" t="s">
        <v>1210</v>
      </c>
      <c r="F238" t="s">
        <v>1194</v>
      </c>
      <c r="G238" t="s">
        <v>1356</v>
      </c>
      <c r="H238" t="str">
        <f>IF(NOT(ISERROR(FIND("NoICP",Modded_AMF_Table[[#This Row],[GL_ICP]]))),"",Modded_AMF_Table[[#This Row],[GL_ICP]])</f>
        <v/>
      </c>
      <c r="I238" t="s">
        <v>1212</v>
      </c>
      <c r="J238" t="s">
        <v>1478</v>
      </c>
      <c r="K238" t="str">
        <f>IFERROR(VLOOKUP(VALUE(Modded_AMF_Table[[#This Row],[GL_PC]]),BNS_Profit_Centers[],2,FALSE),"TE")</f>
        <v>TE</v>
      </c>
      <c r="L238" t="s">
        <v>1478</v>
      </c>
      <c r="M238" t="s">
        <v>1357</v>
      </c>
      <c r="N238" t="s">
        <v>1351</v>
      </c>
      <c r="O238" s="33">
        <v>148.80000000000001</v>
      </c>
    </row>
    <row r="239" spans="1:15" x14ac:dyDescent="0.25">
      <c r="A239" t="s">
        <v>1326</v>
      </c>
      <c r="B239" t="s">
        <v>1358</v>
      </c>
      <c r="C239" t="s">
        <v>10</v>
      </c>
      <c r="D239" t="str">
        <f>VLOOKUP(Modded_AMF_Table[[#This Row],[HFM_Account]],HFM_Acct_OCF_Activity[],3,FALSE)</f>
        <v>Direct</v>
      </c>
      <c r="E239" t="s">
        <v>1210</v>
      </c>
      <c r="F239" t="s">
        <v>1194</v>
      </c>
      <c r="G239" t="s">
        <v>1359</v>
      </c>
      <c r="H239" t="str">
        <f>IF(NOT(ISERROR(FIND("NoICP",Modded_AMF_Table[[#This Row],[GL_ICP]]))),"",Modded_AMF_Table[[#This Row],[GL_ICP]])</f>
        <v/>
      </c>
      <c r="I239" t="s">
        <v>1212</v>
      </c>
      <c r="J239" t="s">
        <v>1478</v>
      </c>
      <c r="K239" t="str">
        <f>IFERROR(VLOOKUP(VALUE(Modded_AMF_Table[[#This Row],[GL_PC]]),BNS_Profit_Centers[],2,FALSE),"TE")</f>
        <v>TE</v>
      </c>
      <c r="L239" t="s">
        <v>1478</v>
      </c>
      <c r="M239" t="s">
        <v>1360</v>
      </c>
      <c r="N239" t="s">
        <v>1361</v>
      </c>
      <c r="O239" s="33">
        <v>1851.44</v>
      </c>
    </row>
    <row r="240" spans="1:15" x14ac:dyDescent="0.25">
      <c r="A240" t="s">
        <v>1326</v>
      </c>
      <c r="B240" t="s">
        <v>1362</v>
      </c>
      <c r="C240" t="s">
        <v>10</v>
      </c>
      <c r="D240" t="str">
        <f>VLOOKUP(Modded_AMF_Table[[#This Row],[HFM_Account]],HFM_Acct_OCF_Activity[],3,FALSE)</f>
        <v>Direct</v>
      </c>
      <c r="E240" t="s">
        <v>1210</v>
      </c>
      <c r="F240" t="s">
        <v>1194</v>
      </c>
      <c r="G240" t="s">
        <v>1363</v>
      </c>
      <c r="H240" t="str">
        <f>IF(NOT(ISERROR(FIND("NoICP",Modded_AMF_Table[[#This Row],[GL_ICP]]))),"",Modded_AMF_Table[[#This Row],[GL_ICP]])</f>
        <v/>
      </c>
      <c r="I240" t="s">
        <v>1212</v>
      </c>
      <c r="J240" t="s">
        <v>1478</v>
      </c>
      <c r="K240" t="str">
        <f>IFERROR(VLOOKUP(VALUE(Modded_AMF_Table[[#This Row],[GL_PC]]),BNS_Profit_Centers[],2,FALSE),"TE")</f>
        <v>TE</v>
      </c>
      <c r="L240" t="s">
        <v>1478</v>
      </c>
      <c r="M240" t="s">
        <v>1364</v>
      </c>
      <c r="N240" t="s">
        <v>1364</v>
      </c>
      <c r="O240" s="33">
        <v>-11526.41</v>
      </c>
    </row>
    <row r="241" spans="1:15" x14ac:dyDescent="0.25">
      <c r="A241" t="s">
        <v>1326</v>
      </c>
      <c r="B241" t="s">
        <v>1365</v>
      </c>
      <c r="C241" t="s">
        <v>10</v>
      </c>
      <c r="D241" t="str">
        <f>VLOOKUP(Modded_AMF_Table[[#This Row],[HFM_Account]],HFM_Acct_OCF_Activity[],3,FALSE)</f>
        <v>Direct</v>
      </c>
      <c r="E241" t="s">
        <v>1210</v>
      </c>
      <c r="F241" t="s">
        <v>1194</v>
      </c>
      <c r="G241" t="s">
        <v>1366</v>
      </c>
      <c r="H241" t="str">
        <f>IF(NOT(ISERROR(FIND("NoICP",Modded_AMF_Table[[#This Row],[GL_ICP]]))),"",Modded_AMF_Table[[#This Row],[GL_ICP]])</f>
        <v/>
      </c>
      <c r="I241" t="s">
        <v>1212</v>
      </c>
      <c r="J241" t="s">
        <v>1478</v>
      </c>
      <c r="K241" t="str">
        <f>IFERROR(VLOOKUP(VALUE(Modded_AMF_Table[[#This Row],[GL_PC]]),BNS_Profit_Centers[],2,FALSE),"TE")</f>
        <v>TE</v>
      </c>
      <c r="L241" t="s">
        <v>1478</v>
      </c>
      <c r="M241" t="s">
        <v>1367</v>
      </c>
      <c r="N241" t="s">
        <v>1368</v>
      </c>
      <c r="O241" s="33">
        <v>19900</v>
      </c>
    </row>
    <row r="242" spans="1:15" x14ac:dyDescent="0.25">
      <c r="A242" t="s">
        <v>1326</v>
      </c>
      <c r="B242" t="s">
        <v>1369</v>
      </c>
      <c r="C242" t="s">
        <v>10</v>
      </c>
      <c r="D242" t="str">
        <f>VLOOKUP(Modded_AMF_Table[[#This Row],[HFM_Account]],HFM_Acct_OCF_Activity[],3,FALSE)</f>
        <v>Direct</v>
      </c>
      <c r="E242" t="s">
        <v>1210</v>
      </c>
      <c r="F242" t="s">
        <v>1194</v>
      </c>
      <c r="G242" t="s">
        <v>1370</v>
      </c>
      <c r="H242" t="str">
        <f>IF(NOT(ISERROR(FIND("NoICP",Modded_AMF_Table[[#This Row],[GL_ICP]]))),"",Modded_AMF_Table[[#This Row],[GL_ICP]])</f>
        <v/>
      </c>
      <c r="I242" t="s">
        <v>1212</v>
      </c>
      <c r="J242" t="s">
        <v>1478</v>
      </c>
      <c r="K242" t="str">
        <f>IFERROR(VLOOKUP(VALUE(Modded_AMF_Table[[#This Row],[GL_PC]]),BNS_Profit_Centers[],2,FALSE),"TE")</f>
        <v>TE</v>
      </c>
      <c r="L242" t="s">
        <v>1478</v>
      </c>
      <c r="M242" t="s">
        <v>1371</v>
      </c>
      <c r="N242" t="s">
        <v>1368</v>
      </c>
      <c r="O242" s="33">
        <v>-12952.22</v>
      </c>
    </row>
    <row r="243" spans="1:15" x14ac:dyDescent="0.25">
      <c r="A243" t="s">
        <v>1326</v>
      </c>
      <c r="B243" t="s">
        <v>1372</v>
      </c>
      <c r="C243" t="s">
        <v>10</v>
      </c>
      <c r="D243" t="str">
        <f>VLOOKUP(Modded_AMF_Table[[#This Row],[HFM_Account]],HFM_Acct_OCF_Activity[],3,FALSE)</f>
        <v>Direct</v>
      </c>
      <c r="E243" t="s">
        <v>1210</v>
      </c>
      <c r="F243" t="s">
        <v>1194</v>
      </c>
      <c r="G243" t="s">
        <v>1373</v>
      </c>
      <c r="H243" t="str">
        <f>IF(NOT(ISERROR(FIND("NoICP",Modded_AMF_Table[[#This Row],[GL_ICP]]))),"",Modded_AMF_Table[[#This Row],[GL_ICP]])</f>
        <v/>
      </c>
      <c r="I243" t="s">
        <v>1212</v>
      </c>
      <c r="J243" t="s">
        <v>1478</v>
      </c>
      <c r="K243" t="str">
        <f>IFERROR(VLOOKUP(VALUE(Modded_AMF_Table[[#This Row],[GL_PC]]),BNS_Profit_Centers[],2,FALSE),"TE")</f>
        <v>TE</v>
      </c>
      <c r="L243" t="s">
        <v>1478</v>
      </c>
      <c r="M243" t="s">
        <v>1374</v>
      </c>
      <c r="N243" t="s">
        <v>1374</v>
      </c>
      <c r="O243" s="33">
        <v>14545.54</v>
      </c>
    </row>
    <row r="244" spans="1:15" x14ac:dyDescent="0.25">
      <c r="A244" t="s">
        <v>1326</v>
      </c>
      <c r="B244" t="s">
        <v>1375</v>
      </c>
      <c r="C244" t="s">
        <v>10</v>
      </c>
      <c r="D244" t="str">
        <f>VLOOKUP(Modded_AMF_Table[[#This Row],[HFM_Account]],HFM_Acct_OCF_Activity[],3,FALSE)</f>
        <v>Direct</v>
      </c>
      <c r="E244" t="s">
        <v>1210</v>
      </c>
      <c r="F244" t="s">
        <v>1194</v>
      </c>
      <c r="G244" t="s">
        <v>1376</v>
      </c>
      <c r="H244" t="str">
        <f>IF(NOT(ISERROR(FIND("NoICP",Modded_AMF_Table[[#This Row],[GL_ICP]]))),"",Modded_AMF_Table[[#This Row],[GL_ICP]])</f>
        <v/>
      </c>
      <c r="I244" t="s">
        <v>1212</v>
      </c>
      <c r="J244" t="s">
        <v>1478</v>
      </c>
      <c r="K244" t="str">
        <f>IFERROR(VLOOKUP(VALUE(Modded_AMF_Table[[#This Row],[GL_PC]]),BNS_Profit_Centers[],2,FALSE),"TE")</f>
        <v>TE</v>
      </c>
      <c r="L244" t="s">
        <v>1478</v>
      </c>
      <c r="M244" t="s">
        <v>1377</v>
      </c>
      <c r="N244" t="s">
        <v>1374</v>
      </c>
      <c r="O244" s="33">
        <v>11742.57</v>
      </c>
    </row>
    <row r="245" spans="1:15" x14ac:dyDescent="0.25">
      <c r="A245" t="s">
        <v>1326</v>
      </c>
      <c r="B245" t="s">
        <v>1378</v>
      </c>
      <c r="C245" t="s">
        <v>10</v>
      </c>
      <c r="D245" t="str">
        <f>VLOOKUP(Modded_AMF_Table[[#This Row],[HFM_Account]],HFM_Acct_OCF_Activity[],3,FALSE)</f>
        <v>Direct</v>
      </c>
      <c r="E245" t="s">
        <v>1210</v>
      </c>
      <c r="F245" t="s">
        <v>1194</v>
      </c>
      <c r="G245" t="s">
        <v>1379</v>
      </c>
      <c r="H245" t="str">
        <f>IF(NOT(ISERROR(FIND("NoICP",Modded_AMF_Table[[#This Row],[GL_ICP]]))),"",Modded_AMF_Table[[#This Row],[GL_ICP]])</f>
        <v/>
      </c>
      <c r="I245" t="s">
        <v>1212</v>
      </c>
      <c r="J245" t="s">
        <v>1478</v>
      </c>
      <c r="K245" t="str">
        <f>IFERROR(VLOOKUP(VALUE(Modded_AMF_Table[[#This Row],[GL_PC]]),BNS_Profit_Centers[],2,FALSE),"TE")</f>
        <v>TE</v>
      </c>
      <c r="L245" t="s">
        <v>1478</v>
      </c>
      <c r="M245" t="s">
        <v>1380</v>
      </c>
      <c r="N245" t="s">
        <v>1380</v>
      </c>
      <c r="O245" s="33">
        <v>2388.64</v>
      </c>
    </row>
    <row r="246" spans="1:15" x14ac:dyDescent="0.25">
      <c r="A246" t="s">
        <v>1326</v>
      </c>
      <c r="B246" t="s">
        <v>1381</v>
      </c>
      <c r="C246" t="s">
        <v>10</v>
      </c>
      <c r="D246" t="str">
        <f>VLOOKUP(Modded_AMF_Table[[#This Row],[HFM_Account]],HFM_Acct_OCF_Activity[],3,FALSE)</f>
        <v>Direct</v>
      </c>
      <c r="E246" t="s">
        <v>1210</v>
      </c>
      <c r="F246" t="s">
        <v>1194</v>
      </c>
      <c r="G246" t="s">
        <v>1382</v>
      </c>
      <c r="H246" t="str">
        <f>IF(NOT(ISERROR(FIND("NoICP",Modded_AMF_Table[[#This Row],[GL_ICP]]))),"",Modded_AMF_Table[[#This Row],[GL_ICP]])</f>
        <v/>
      </c>
      <c r="I246" t="s">
        <v>1212</v>
      </c>
      <c r="J246" t="s">
        <v>1478</v>
      </c>
      <c r="K246" t="str">
        <f>IFERROR(VLOOKUP(VALUE(Modded_AMF_Table[[#This Row],[GL_PC]]),BNS_Profit_Centers[],2,FALSE),"TE")</f>
        <v>TE</v>
      </c>
      <c r="L246" t="s">
        <v>1478</v>
      </c>
      <c r="M246" t="s">
        <v>1383</v>
      </c>
      <c r="N246" t="s">
        <v>1334</v>
      </c>
      <c r="O246" s="33">
        <v>3818.73</v>
      </c>
    </row>
    <row r="247" spans="1:15" x14ac:dyDescent="0.25">
      <c r="A247" t="s">
        <v>1326</v>
      </c>
      <c r="B247" t="s">
        <v>1384</v>
      </c>
      <c r="C247" t="s">
        <v>10</v>
      </c>
      <c r="D247" t="str">
        <f>VLOOKUP(Modded_AMF_Table[[#This Row],[HFM_Account]],HFM_Acct_OCF_Activity[],3,FALSE)</f>
        <v>Direct</v>
      </c>
      <c r="E247" t="s">
        <v>1210</v>
      </c>
      <c r="F247" t="s">
        <v>1194</v>
      </c>
      <c r="G247" t="s">
        <v>1385</v>
      </c>
      <c r="H247" t="str">
        <f>IF(NOT(ISERROR(FIND("NoICP",Modded_AMF_Table[[#This Row],[GL_ICP]]))),"",Modded_AMF_Table[[#This Row],[GL_ICP]])</f>
        <v/>
      </c>
      <c r="I247" t="s">
        <v>1212</v>
      </c>
      <c r="J247" t="s">
        <v>1478</v>
      </c>
      <c r="K247" t="str">
        <f>IFERROR(VLOOKUP(VALUE(Modded_AMF_Table[[#This Row],[GL_PC]]),BNS_Profit_Centers[],2,FALSE),"TE")</f>
        <v>TE</v>
      </c>
      <c r="L247" t="s">
        <v>1478</v>
      </c>
      <c r="M247" t="s">
        <v>1386</v>
      </c>
      <c r="N247" t="s">
        <v>1386</v>
      </c>
      <c r="O247" s="33">
        <v>236.99</v>
      </c>
    </row>
    <row r="248" spans="1:15" x14ac:dyDescent="0.25">
      <c r="A248" t="s">
        <v>1326</v>
      </c>
      <c r="B248" t="s">
        <v>1387</v>
      </c>
      <c r="C248" t="s">
        <v>10</v>
      </c>
      <c r="D248" t="str">
        <f>VLOOKUP(Modded_AMF_Table[[#This Row],[HFM_Account]],HFM_Acct_OCF_Activity[],3,FALSE)</f>
        <v>Direct</v>
      </c>
      <c r="E248" t="s">
        <v>1210</v>
      </c>
      <c r="F248" t="s">
        <v>1194</v>
      </c>
      <c r="G248" t="s">
        <v>1388</v>
      </c>
      <c r="H248" t="str">
        <f>IF(NOT(ISERROR(FIND("NoICP",Modded_AMF_Table[[#This Row],[GL_ICP]]))),"",Modded_AMF_Table[[#This Row],[GL_ICP]])</f>
        <v/>
      </c>
      <c r="I248" t="s">
        <v>1212</v>
      </c>
      <c r="J248" t="s">
        <v>1478</v>
      </c>
      <c r="K248" t="str">
        <f>IFERROR(VLOOKUP(VALUE(Modded_AMF_Table[[#This Row],[GL_PC]]),BNS_Profit_Centers[],2,FALSE),"TE")</f>
        <v>TE</v>
      </c>
      <c r="L248" t="s">
        <v>1478</v>
      </c>
      <c r="M248" t="s">
        <v>1389</v>
      </c>
      <c r="N248" t="s">
        <v>1390</v>
      </c>
      <c r="O248" s="33">
        <v>4893.0600000000004</v>
      </c>
    </row>
    <row r="249" spans="1:15" x14ac:dyDescent="0.25">
      <c r="A249" t="s">
        <v>1326</v>
      </c>
      <c r="B249" t="s">
        <v>1391</v>
      </c>
      <c r="C249" t="s">
        <v>10</v>
      </c>
      <c r="D249" t="str">
        <f>VLOOKUP(Modded_AMF_Table[[#This Row],[HFM_Account]],HFM_Acct_OCF_Activity[],3,FALSE)</f>
        <v>Direct</v>
      </c>
      <c r="E249" t="s">
        <v>1210</v>
      </c>
      <c r="F249" t="s">
        <v>1194</v>
      </c>
      <c r="G249" t="s">
        <v>1392</v>
      </c>
      <c r="H249" t="str">
        <f>IF(NOT(ISERROR(FIND("NoICP",Modded_AMF_Table[[#This Row],[GL_ICP]]))),"",Modded_AMF_Table[[#This Row],[GL_ICP]])</f>
        <v/>
      </c>
      <c r="I249" t="s">
        <v>1212</v>
      </c>
      <c r="J249" t="s">
        <v>1478</v>
      </c>
      <c r="K249" t="str">
        <f>IFERROR(VLOOKUP(VALUE(Modded_AMF_Table[[#This Row],[GL_PC]]),BNS_Profit_Centers[],2,FALSE),"TE")</f>
        <v>TE</v>
      </c>
      <c r="L249" t="s">
        <v>1478</v>
      </c>
      <c r="M249" t="s">
        <v>1393</v>
      </c>
      <c r="N249" t="s">
        <v>1390</v>
      </c>
      <c r="O249" s="33">
        <v>1065.18</v>
      </c>
    </row>
    <row r="250" spans="1:15" x14ac:dyDescent="0.25">
      <c r="A250" t="s">
        <v>1326</v>
      </c>
      <c r="B250" t="s">
        <v>1394</v>
      </c>
      <c r="C250" t="s">
        <v>10</v>
      </c>
      <c r="D250" t="str">
        <f>VLOOKUP(Modded_AMF_Table[[#This Row],[HFM_Account]],HFM_Acct_OCF_Activity[],3,FALSE)</f>
        <v>Direct</v>
      </c>
      <c r="E250" t="s">
        <v>1210</v>
      </c>
      <c r="F250" t="s">
        <v>1194</v>
      </c>
      <c r="G250" t="s">
        <v>1395</v>
      </c>
      <c r="H250" t="str">
        <f>IF(NOT(ISERROR(FIND("NoICP",Modded_AMF_Table[[#This Row],[GL_ICP]]))),"",Modded_AMF_Table[[#This Row],[GL_ICP]])</f>
        <v/>
      </c>
      <c r="I250" t="s">
        <v>1212</v>
      </c>
      <c r="J250" t="s">
        <v>1478</v>
      </c>
      <c r="K250" t="str">
        <f>IFERROR(VLOOKUP(VALUE(Modded_AMF_Table[[#This Row],[GL_PC]]),BNS_Profit_Centers[],2,FALSE),"TE")</f>
        <v>TE</v>
      </c>
      <c r="L250" t="s">
        <v>1478</v>
      </c>
      <c r="M250" t="s">
        <v>1396</v>
      </c>
      <c r="N250" t="s">
        <v>1390</v>
      </c>
      <c r="O250" s="33">
        <v>1412</v>
      </c>
    </row>
    <row r="251" spans="1:15" x14ac:dyDescent="0.25">
      <c r="A251" t="s">
        <v>1326</v>
      </c>
      <c r="B251" t="s">
        <v>1397</v>
      </c>
      <c r="C251" t="s">
        <v>10</v>
      </c>
      <c r="D251" t="str">
        <f>VLOOKUP(Modded_AMF_Table[[#This Row],[HFM_Account]],HFM_Acct_OCF_Activity[],3,FALSE)</f>
        <v>Direct</v>
      </c>
      <c r="E251" t="s">
        <v>1210</v>
      </c>
      <c r="F251" t="s">
        <v>1194</v>
      </c>
      <c r="G251" t="s">
        <v>1398</v>
      </c>
      <c r="H251" t="str">
        <f>IF(NOT(ISERROR(FIND("NoICP",Modded_AMF_Table[[#This Row],[GL_ICP]]))),"",Modded_AMF_Table[[#This Row],[GL_ICP]])</f>
        <v/>
      </c>
      <c r="I251" t="s">
        <v>1212</v>
      </c>
      <c r="J251" t="s">
        <v>1478</v>
      </c>
      <c r="K251" t="str">
        <f>IFERROR(VLOOKUP(VALUE(Modded_AMF_Table[[#This Row],[GL_PC]]),BNS_Profit_Centers[],2,FALSE),"TE")</f>
        <v>TE</v>
      </c>
      <c r="L251" t="s">
        <v>1478</v>
      </c>
      <c r="M251" t="s">
        <v>1399</v>
      </c>
      <c r="N251" t="s">
        <v>1390</v>
      </c>
      <c r="O251" s="33">
        <v>252.7</v>
      </c>
    </row>
    <row r="252" spans="1:15" x14ac:dyDescent="0.25">
      <c r="A252" t="s">
        <v>1326</v>
      </c>
      <c r="B252" t="s">
        <v>1400</v>
      </c>
      <c r="C252" t="s">
        <v>10</v>
      </c>
      <c r="D252" t="str">
        <f>VLOOKUP(Modded_AMF_Table[[#This Row],[HFM_Account]],HFM_Acct_OCF_Activity[],3,FALSE)</f>
        <v>Direct</v>
      </c>
      <c r="E252" t="s">
        <v>1210</v>
      </c>
      <c r="F252" t="s">
        <v>1194</v>
      </c>
      <c r="G252" t="s">
        <v>1401</v>
      </c>
      <c r="H252" t="str">
        <f>IF(NOT(ISERROR(FIND("NoICP",Modded_AMF_Table[[#This Row],[GL_ICP]]))),"",Modded_AMF_Table[[#This Row],[GL_ICP]])</f>
        <v/>
      </c>
      <c r="I252" t="s">
        <v>1212</v>
      </c>
      <c r="J252" t="s">
        <v>1478</v>
      </c>
      <c r="K252" t="str">
        <f>IFERROR(VLOOKUP(VALUE(Modded_AMF_Table[[#This Row],[GL_PC]]),BNS_Profit_Centers[],2,FALSE),"TE")</f>
        <v>TE</v>
      </c>
      <c r="L252" t="s">
        <v>1478</v>
      </c>
      <c r="M252" t="s">
        <v>1402</v>
      </c>
      <c r="N252" t="s">
        <v>1390</v>
      </c>
      <c r="O252" s="33">
        <v>15.96</v>
      </c>
    </row>
    <row r="253" spans="1:15" x14ac:dyDescent="0.25">
      <c r="A253" t="s">
        <v>1326</v>
      </c>
      <c r="B253" t="s">
        <v>1403</v>
      </c>
      <c r="C253" t="s">
        <v>10</v>
      </c>
      <c r="D253" t="str">
        <f>VLOOKUP(Modded_AMF_Table[[#This Row],[HFM_Account]],HFM_Acct_OCF_Activity[],3,FALSE)</f>
        <v>Direct</v>
      </c>
      <c r="E253" t="s">
        <v>1210</v>
      </c>
      <c r="F253" t="s">
        <v>1194</v>
      </c>
      <c r="G253" t="s">
        <v>1404</v>
      </c>
      <c r="H253" t="str">
        <f>IF(NOT(ISERROR(FIND("NoICP",Modded_AMF_Table[[#This Row],[GL_ICP]]))),"",Modded_AMF_Table[[#This Row],[GL_ICP]])</f>
        <v/>
      </c>
      <c r="I253" t="s">
        <v>1212</v>
      </c>
      <c r="J253" t="s">
        <v>1478</v>
      </c>
      <c r="K253" t="str">
        <f>IFERROR(VLOOKUP(VALUE(Modded_AMF_Table[[#This Row],[GL_PC]]),BNS_Profit_Centers[],2,FALSE),"TE")</f>
        <v>TE</v>
      </c>
      <c r="L253" t="s">
        <v>1478</v>
      </c>
      <c r="M253" t="s">
        <v>1405</v>
      </c>
      <c r="N253" t="s">
        <v>1390</v>
      </c>
      <c r="O253" s="33">
        <v>1259.72</v>
      </c>
    </row>
    <row r="254" spans="1:15" x14ac:dyDescent="0.25">
      <c r="A254" t="s">
        <v>1326</v>
      </c>
      <c r="B254" t="s">
        <v>1406</v>
      </c>
      <c r="C254" t="s">
        <v>10</v>
      </c>
      <c r="D254" t="str">
        <f>VLOOKUP(Modded_AMF_Table[[#This Row],[HFM_Account]],HFM_Acct_OCF_Activity[],3,FALSE)</f>
        <v>Direct</v>
      </c>
      <c r="E254" t="s">
        <v>1210</v>
      </c>
      <c r="F254" t="s">
        <v>1194</v>
      </c>
      <c r="G254" t="s">
        <v>1407</v>
      </c>
      <c r="H254" t="str">
        <f>IF(NOT(ISERROR(FIND("NoICP",Modded_AMF_Table[[#This Row],[GL_ICP]]))),"",Modded_AMF_Table[[#This Row],[GL_ICP]])</f>
        <v/>
      </c>
      <c r="I254" t="s">
        <v>1212</v>
      </c>
      <c r="J254" t="s">
        <v>1478</v>
      </c>
      <c r="K254" t="str">
        <f>IFERROR(VLOOKUP(VALUE(Modded_AMF_Table[[#This Row],[GL_PC]]),BNS_Profit_Centers[],2,FALSE),"TE")</f>
        <v>TE</v>
      </c>
      <c r="L254" t="s">
        <v>1478</v>
      </c>
      <c r="M254" t="s">
        <v>1408</v>
      </c>
      <c r="N254" t="s">
        <v>1390</v>
      </c>
      <c r="O254" s="33">
        <v>575.78</v>
      </c>
    </row>
    <row r="255" spans="1:15" x14ac:dyDescent="0.25">
      <c r="A255" t="s">
        <v>1326</v>
      </c>
      <c r="B255" t="s">
        <v>1462</v>
      </c>
      <c r="C255" t="s">
        <v>10</v>
      </c>
      <c r="D255" t="str">
        <f>VLOOKUP(Modded_AMF_Table[[#This Row],[HFM_Account]],HFM_Acct_OCF_Activity[],3,FALSE)</f>
        <v>Direct</v>
      </c>
      <c r="E255" t="s">
        <v>1210</v>
      </c>
      <c r="F255" t="s">
        <v>1194</v>
      </c>
      <c r="G255" t="s">
        <v>1463</v>
      </c>
      <c r="H255" t="str">
        <f>IF(NOT(ISERROR(FIND("NoICP",Modded_AMF_Table[[#This Row],[GL_ICP]]))),"",Modded_AMF_Table[[#This Row],[GL_ICP]])</f>
        <v/>
      </c>
      <c r="I255" t="s">
        <v>1212</v>
      </c>
      <c r="J255" t="s">
        <v>1478</v>
      </c>
      <c r="K255" t="str">
        <f>IFERROR(VLOOKUP(VALUE(Modded_AMF_Table[[#This Row],[GL_PC]]),BNS_Profit_Centers[],2,FALSE),"TE")</f>
        <v>TE</v>
      </c>
      <c r="L255" t="s">
        <v>1478</v>
      </c>
      <c r="M255" t="s">
        <v>1464</v>
      </c>
      <c r="N255" t="s">
        <v>1390</v>
      </c>
      <c r="O255" s="33">
        <v>60</v>
      </c>
    </row>
    <row r="256" spans="1:15" x14ac:dyDescent="0.25">
      <c r="A256" t="s">
        <v>1326</v>
      </c>
      <c r="B256" t="s">
        <v>1412</v>
      </c>
      <c r="C256" t="s">
        <v>10</v>
      </c>
      <c r="D256" t="str">
        <f>VLOOKUP(Modded_AMF_Table[[#This Row],[HFM_Account]],HFM_Acct_OCF_Activity[],3,FALSE)</f>
        <v>Direct</v>
      </c>
      <c r="E256" t="s">
        <v>1210</v>
      </c>
      <c r="F256" t="s">
        <v>1194</v>
      </c>
      <c r="G256" t="s">
        <v>1413</v>
      </c>
      <c r="H256" t="str">
        <f>IF(NOT(ISERROR(FIND("NoICP",Modded_AMF_Table[[#This Row],[GL_ICP]]))),"",Modded_AMF_Table[[#This Row],[GL_ICP]])</f>
        <v/>
      </c>
      <c r="I256" t="s">
        <v>1212</v>
      </c>
      <c r="J256" t="s">
        <v>1478</v>
      </c>
      <c r="K256" t="str">
        <f>IFERROR(VLOOKUP(VALUE(Modded_AMF_Table[[#This Row],[GL_PC]]),BNS_Profit_Centers[],2,FALSE),"TE")</f>
        <v>TE</v>
      </c>
      <c r="L256" t="s">
        <v>1478</v>
      </c>
      <c r="M256" t="s">
        <v>1414</v>
      </c>
      <c r="N256" t="s">
        <v>1415</v>
      </c>
      <c r="O256" s="33">
        <v>3366.74</v>
      </c>
    </row>
    <row r="257" spans="1:15" x14ac:dyDescent="0.25">
      <c r="A257" t="s">
        <v>1326</v>
      </c>
      <c r="B257" t="s">
        <v>1416</v>
      </c>
      <c r="C257" t="s">
        <v>10</v>
      </c>
      <c r="D257" t="str">
        <f>VLOOKUP(Modded_AMF_Table[[#This Row],[HFM_Account]],HFM_Acct_OCF_Activity[],3,FALSE)</f>
        <v>Direct</v>
      </c>
      <c r="E257" t="s">
        <v>1210</v>
      </c>
      <c r="F257" t="s">
        <v>1194</v>
      </c>
      <c r="G257" t="s">
        <v>1417</v>
      </c>
      <c r="H257" t="str">
        <f>IF(NOT(ISERROR(FIND("NoICP",Modded_AMF_Table[[#This Row],[GL_ICP]]))),"",Modded_AMF_Table[[#This Row],[GL_ICP]])</f>
        <v/>
      </c>
      <c r="I257" t="s">
        <v>1212</v>
      </c>
      <c r="J257" t="s">
        <v>1478</v>
      </c>
      <c r="K257" t="str">
        <f>IFERROR(VLOOKUP(VALUE(Modded_AMF_Table[[#This Row],[GL_PC]]),BNS_Profit_Centers[],2,FALSE),"TE")</f>
        <v>TE</v>
      </c>
      <c r="L257" t="s">
        <v>1478</v>
      </c>
      <c r="M257" t="s">
        <v>1418</v>
      </c>
      <c r="N257" t="s">
        <v>1415</v>
      </c>
      <c r="O257" s="33">
        <v>7028.76</v>
      </c>
    </row>
    <row r="258" spans="1:15" x14ac:dyDescent="0.25">
      <c r="A258" t="s">
        <v>1326</v>
      </c>
      <c r="B258" t="s">
        <v>1429</v>
      </c>
      <c r="C258" t="s">
        <v>10</v>
      </c>
      <c r="D258" t="str">
        <f>VLOOKUP(Modded_AMF_Table[[#This Row],[HFM_Account]],HFM_Acct_OCF_Activity[],3,FALSE)</f>
        <v>Direct</v>
      </c>
      <c r="E258" t="s">
        <v>1210</v>
      </c>
      <c r="F258" t="s">
        <v>1194</v>
      </c>
      <c r="G258" t="s">
        <v>1430</v>
      </c>
      <c r="H258" t="str">
        <f>IF(NOT(ISERROR(FIND("NoICP",Modded_AMF_Table[[#This Row],[GL_ICP]]))),"",Modded_AMF_Table[[#This Row],[GL_ICP]])</f>
        <v/>
      </c>
      <c r="I258" t="s">
        <v>1212</v>
      </c>
      <c r="J258" t="s">
        <v>1478</v>
      </c>
      <c r="K258" t="str">
        <f>IFERROR(VLOOKUP(VALUE(Modded_AMF_Table[[#This Row],[GL_PC]]),BNS_Profit_Centers[],2,FALSE),"TE")</f>
        <v>TE</v>
      </c>
      <c r="L258" t="s">
        <v>1478</v>
      </c>
      <c r="M258" t="s">
        <v>1431</v>
      </c>
      <c r="N258" t="s">
        <v>1432</v>
      </c>
      <c r="O258" s="33">
        <v>23.25</v>
      </c>
    </row>
    <row r="259" spans="1:15" x14ac:dyDescent="0.25">
      <c r="A259" t="s">
        <v>1326</v>
      </c>
      <c r="B259" t="s">
        <v>1422</v>
      </c>
      <c r="C259" t="s">
        <v>10</v>
      </c>
      <c r="D259" t="str">
        <f>VLOOKUP(Modded_AMF_Table[[#This Row],[HFM_Account]],HFM_Acct_OCF_Activity[],3,FALSE)</f>
        <v>Direct</v>
      </c>
      <c r="E259" t="s">
        <v>1210</v>
      </c>
      <c r="F259" t="s">
        <v>1194</v>
      </c>
      <c r="G259" t="s">
        <v>1423</v>
      </c>
      <c r="H259" t="str">
        <f>IF(NOT(ISERROR(FIND("NoICP",Modded_AMF_Table[[#This Row],[GL_ICP]]))),"",Modded_AMF_Table[[#This Row],[GL_ICP]])</f>
        <v/>
      </c>
      <c r="I259" t="s">
        <v>1212</v>
      </c>
      <c r="J259" t="s">
        <v>1478</v>
      </c>
      <c r="K259" t="str">
        <f>IFERROR(VLOOKUP(VALUE(Modded_AMF_Table[[#This Row],[GL_PC]]),BNS_Profit_Centers[],2,FALSE),"TE")</f>
        <v>TE</v>
      </c>
      <c r="L259" t="s">
        <v>1478</v>
      </c>
      <c r="M259" t="s">
        <v>1424</v>
      </c>
      <c r="N259" t="s">
        <v>1424</v>
      </c>
      <c r="O259" s="33">
        <v>35.14</v>
      </c>
    </row>
    <row r="260" spans="1:15" x14ac:dyDescent="0.25">
      <c r="A260" t="s">
        <v>1326</v>
      </c>
      <c r="B260" t="s">
        <v>1409</v>
      </c>
      <c r="C260" t="s">
        <v>10</v>
      </c>
      <c r="D260" t="str">
        <f>VLOOKUP(Modded_AMF_Table[[#This Row],[HFM_Account]],HFM_Acct_OCF_Activity[],3,FALSE)</f>
        <v>Direct</v>
      </c>
      <c r="E260" t="s">
        <v>1210</v>
      </c>
      <c r="F260" t="s">
        <v>1194</v>
      </c>
      <c r="G260" t="s">
        <v>1410</v>
      </c>
      <c r="H260" t="str">
        <f>IF(NOT(ISERROR(FIND("NoICP",Modded_AMF_Table[[#This Row],[GL_ICP]]))),"",Modded_AMF_Table[[#This Row],[GL_ICP]])</f>
        <v/>
      </c>
      <c r="I260" t="s">
        <v>1212</v>
      </c>
      <c r="J260" t="s">
        <v>1489</v>
      </c>
      <c r="K260" t="str">
        <f>IFERROR(VLOOKUP(VALUE(Modded_AMF_Table[[#This Row],[GL_PC]]),BNS_Profit_Centers[],2,FALSE),"TE")</f>
        <v>TE</v>
      </c>
      <c r="L260" t="s">
        <v>1489</v>
      </c>
      <c r="M260" t="s">
        <v>1411</v>
      </c>
      <c r="N260" t="s">
        <v>1390</v>
      </c>
      <c r="O260" s="33">
        <v>462</v>
      </c>
    </row>
    <row r="261" spans="1:15" x14ac:dyDescent="0.25">
      <c r="A261" t="s">
        <v>1479</v>
      </c>
      <c r="B261" t="s">
        <v>1480</v>
      </c>
      <c r="C261" t="s">
        <v>54</v>
      </c>
      <c r="D261" t="str">
        <f>VLOOKUP(Modded_AMF_Table[[#This Row],[HFM_Account]],HFM_Acct_OCF_Activity[],3,FALSE)</f>
        <v>Exclude</v>
      </c>
      <c r="E261" t="s">
        <v>1210</v>
      </c>
      <c r="F261" t="s">
        <v>1194</v>
      </c>
      <c r="G261" t="s">
        <v>1481</v>
      </c>
      <c r="H261" t="str">
        <f>IF(NOT(ISERROR(FIND("NoICP",Modded_AMF_Table[[#This Row],[GL_ICP]]))),"",Modded_AMF_Table[[#This Row],[GL_ICP]])</f>
        <v/>
      </c>
      <c r="I261" t="s">
        <v>1212</v>
      </c>
      <c r="J261" t="s">
        <v>1213</v>
      </c>
      <c r="K261" t="str">
        <f>IFERROR(VLOOKUP(VALUE(Modded_AMF_Table[[#This Row],[GL_PC]]),BNS_Profit_Centers[],2,FALSE),"TE")</f>
        <v>TE</v>
      </c>
      <c r="L261" t="s">
        <v>1213</v>
      </c>
      <c r="M261" t="s">
        <v>1479</v>
      </c>
      <c r="N261" t="s">
        <v>1482</v>
      </c>
      <c r="O261" s="33">
        <v>-7.9</v>
      </c>
    </row>
    <row r="262" spans="1:15" x14ac:dyDescent="0.25">
      <c r="A262" t="s">
        <v>1483</v>
      </c>
      <c r="B262" t="s">
        <v>1484</v>
      </c>
      <c r="C262" t="s">
        <v>62</v>
      </c>
      <c r="D262" t="str">
        <f>VLOOKUP(Modded_AMF_Table[[#This Row],[HFM_Account]],HFM_Acct_OCF_Activity[],3,FALSE)</f>
        <v>Indirect</v>
      </c>
      <c r="E262" t="s">
        <v>1210</v>
      </c>
      <c r="F262" t="s">
        <v>1194</v>
      </c>
      <c r="G262" t="s">
        <v>1485</v>
      </c>
      <c r="H262" t="str">
        <f>IF(NOT(ISERROR(FIND("NoICP",Modded_AMF_Table[[#This Row],[GL_ICP]]))),"",Modded_AMF_Table[[#This Row],[GL_ICP]])</f>
        <v/>
      </c>
      <c r="I262" t="s">
        <v>1212</v>
      </c>
      <c r="J262" t="s">
        <v>1213</v>
      </c>
      <c r="K262" t="str">
        <f>IFERROR(VLOOKUP(VALUE(Modded_AMF_Table[[#This Row],[GL_PC]]),BNS_Profit_Centers[],2,FALSE),"TE")</f>
        <v>TE</v>
      </c>
      <c r="L262" t="s">
        <v>1213</v>
      </c>
      <c r="M262" t="s">
        <v>1483</v>
      </c>
      <c r="N262" t="s">
        <v>1482</v>
      </c>
      <c r="O262" s="33">
        <v>38.68</v>
      </c>
    </row>
    <row r="263" spans="1:15" x14ac:dyDescent="0.25">
      <c r="A263" t="s">
        <v>1486</v>
      </c>
      <c r="B263" t="s">
        <v>1487</v>
      </c>
      <c r="C263" t="s">
        <v>127</v>
      </c>
      <c r="D263" t="str">
        <f>VLOOKUP(Modded_AMF_Table[[#This Row],[HFM_Account]],HFM_Acct_OCF_Activity[],3,FALSE)</f>
        <v>Direct</v>
      </c>
      <c r="E263" t="s">
        <v>1210</v>
      </c>
      <c r="F263" t="s">
        <v>1194</v>
      </c>
      <c r="G263" t="s">
        <v>1488</v>
      </c>
      <c r="H263" t="str">
        <f>IF(NOT(ISERROR(FIND("NoICP",Modded_AMF_Table[[#This Row],[GL_ICP]]))),"",Modded_AMF_Table[[#This Row],[GL_ICP]])</f>
        <v/>
      </c>
      <c r="I263" t="s">
        <v>1212</v>
      </c>
      <c r="J263" t="s">
        <v>1489</v>
      </c>
      <c r="K263" t="str">
        <f>IFERROR(VLOOKUP(VALUE(Modded_AMF_Table[[#This Row],[GL_PC]]),BNS_Profit_Centers[],2,FALSE),"TE")</f>
        <v>TE</v>
      </c>
      <c r="L263" t="s">
        <v>1489</v>
      </c>
      <c r="M263" t="s">
        <v>1486</v>
      </c>
      <c r="N263" t="s">
        <v>1482</v>
      </c>
      <c r="O263" s="33">
        <v>-0.42</v>
      </c>
    </row>
    <row r="264" spans="1:15" x14ac:dyDescent="0.25">
      <c r="A264" t="s">
        <v>1486</v>
      </c>
      <c r="B264" t="s">
        <v>1487</v>
      </c>
      <c r="C264" t="s">
        <v>127</v>
      </c>
      <c r="D264" t="str">
        <f>VLOOKUP(Modded_AMF_Table[[#This Row],[HFM_Account]],HFM_Acct_OCF_Activity[],3,FALSE)</f>
        <v>Direct</v>
      </c>
      <c r="E264" t="s">
        <v>1210</v>
      </c>
      <c r="F264" t="s">
        <v>1194</v>
      </c>
      <c r="G264" t="s">
        <v>1488</v>
      </c>
      <c r="H264" t="str">
        <f>IF(NOT(ISERROR(FIND("NoICP",Modded_AMF_Table[[#This Row],[GL_ICP]]))),"",Modded_AMF_Table[[#This Row],[GL_ICP]])</f>
        <v/>
      </c>
      <c r="I264" t="s">
        <v>1212</v>
      </c>
      <c r="J264" t="s">
        <v>1490</v>
      </c>
      <c r="K264" t="str">
        <f>IFERROR(VLOOKUP(VALUE(Modded_AMF_Table[[#This Row],[GL_PC]]),BNS_Profit_Centers[],2,FALSE),"TE")</f>
        <v>BNS</v>
      </c>
      <c r="L264" t="s">
        <v>1490</v>
      </c>
      <c r="M264" t="s">
        <v>1486</v>
      </c>
      <c r="N264" t="s">
        <v>1482</v>
      </c>
      <c r="O264" s="33">
        <v>-0.86</v>
      </c>
    </row>
    <row r="265" spans="1:15" x14ac:dyDescent="0.25">
      <c r="A265" t="s">
        <v>1486</v>
      </c>
      <c r="B265" t="s">
        <v>1487</v>
      </c>
      <c r="C265" t="s">
        <v>127</v>
      </c>
      <c r="D265" t="str">
        <f>VLOOKUP(Modded_AMF_Table[[#This Row],[HFM_Account]],HFM_Acct_OCF_Activity[],3,FALSE)</f>
        <v>Direct</v>
      </c>
      <c r="E265" t="s">
        <v>1210</v>
      </c>
      <c r="F265" t="s">
        <v>1194</v>
      </c>
      <c r="G265" t="s">
        <v>1488</v>
      </c>
      <c r="H265" t="str">
        <f>IF(NOT(ISERROR(FIND("NoICP",Modded_AMF_Table[[#This Row],[GL_ICP]]))),"",Modded_AMF_Table[[#This Row],[GL_ICP]])</f>
        <v/>
      </c>
      <c r="I265" t="s">
        <v>1212</v>
      </c>
      <c r="J265" t="s">
        <v>1491</v>
      </c>
      <c r="K265" t="str">
        <f>IFERROR(VLOOKUP(VALUE(Modded_AMF_Table[[#This Row],[GL_PC]]),BNS_Profit_Centers[],2,FALSE),"TE")</f>
        <v>TE</v>
      </c>
      <c r="L265" t="s">
        <v>1491</v>
      </c>
      <c r="M265" t="s">
        <v>1486</v>
      </c>
      <c r="N265" t="s">
        <v>1482</v>
      </c>
      <c r="O265" s="33">
        <v>-1.21</v>
      </c>
    </row>
    <row r="266" spans="1:15" x14ac:dyDescent="0.25">
      <c r="A266" t="s">
        <v>1486</v>
      </c>
      <c r="B266" t="s">
        <v>1487</v>
      </c>
      <c r="C266" t="s">
        <v>127</v>
      </c>
      <c r="D266" t="str">
        <f>VLOOKUP(Modded_AMF_Table[[#This Row],[HFM_Account]],HFM_Acct_OCF_Activity[],3,FALSE)</f>
        <v>Direct</v>
      </c>
      <c r="E266" t="s">
        <v>1210</v>
      </c>
      <c r="F266" t="s">
        <v>1194</v>
      </c>
      <c r="G266" t="s">
        <v>1488</v>
      </c>
      <c r="H266" t="str">
        <f>IF(NOT(ISERROR(FIND("NoICP",Modded_AMF_Table[[#This Row],[GL_ICP]]))),"",Modded_AMF_Table[[#This Row],[GL_ICP]])</f>
        <v/>
      </c>
      <c r="I266" t="s">
        <v>1212</v>
      </c>
      <c r="J266" t="s">
        <v>1492</v>
      </c>
      <c r="K266" t="str">
        <f>IFERROR(VLOOKUP(VALUE(Modded_AMF_Table[[#This Row],[GL_PC]]),BNS_Profit_Centers[],2,FALSE),"TE")</f>
        <v>BNS</v>
      </c>
      <c r="L266" t="s">
        <v>1492</v>
      </c>
      <c r="M266" t="s">
        <v>1486</v>
      </c>
      <c r="N266" t="s">
        <v>1482</v>
      </c>
      <c r="O266" s="33">
        <v>-0.21</v>
      </c>
    </row>
    <row r="267" spans="1:15" x14ac:dyDescent="0.25">
      <c r="A267" t="s">
        <v>1486</v>
      </c>
      <c r="B267" t="s">
        <v>1487</v>
      </c>
      <c r="C267" t="s">
        <v>127</v>
      </c>
      <c r="D267" t="str">
        <f>VLOOKUP(Modded_AMF_Table[[#This Row],[HFM_Account]],HFM_Acct_OCF_Activity[],3,FALSE)</f>
        <v>Direct</v>
      </c>
      <c r="E267" t="s">
        <v>1210</v>
      </c>
      <c r="F267" t="s">
        <v>1194</v>
      </c>
      <c r="G267" t="s">
        <v>1488</v>
      </c>
      <c r="H267" t="str">
        <f>IF(NOT(ISERROR(FIND("NoICP",Modded_AMF_Table[[#This Row],[GL_ICP]]))),"",Modded_AMF_Table[[#This Row],[GL_ICP]])</f>
        <v/>
      </c>
      <c r="I267" t="s">
        <v>1212</v>
      </c>
      <c r="J267" t="s">
        <v>1425</v>
      </c>
      <c r="K267" t="str">
        <f>IFERROR(VLOOKUP(VALUE(Modded_AMF_Table[[#This Row],[GL_PC]]),BNS_Profit_Centers[],2,FALSE),"TE")</f>
        <v>TE</v>
      </c>
      <c r="L267" t="s">
        <v>1425</v>
      </c>
      <c r="M267" t="s">
        <v>1486</v>
      </c>
      <c r="N267" t="s">
        <v>1482</v>
      </c>
      <c r="O267" s="33">
        <v>-0.79</v>
      </c>
    </row>
    <row r="268" spans="1:15" x14ac:dyDescent="0.25">
      <c r="A268" t="s">
        <v>1493</v>
      </c>
      <c r="B268" t="s">
        <v>1494</v>
      </c>
      <c r="C268" t="s">
        <v>127</v>
      </c>
      <c r="D268" t="str">
        <f>VLOOKUP(Modded_AMF_Table[[#This Row],[HFM_Account]],HFM_Acct_OCF_Activity[],3,FALSE)</f>
        <v>Direct</v>
      </c>
      <c r="E268" t="s">
        <v>1210</v>
      </c>
      <c r="F268" t="s">
        <v>1194</v>
      </c>
      <c r="G268" t="s">
        <v>1495</v>
      </c>
      <c r="H268" t="str">
        <f>IF(NOT(ISERROR(FIND("NoICP",Modded_AMF_Table[[#This Row],[GL_ICP]]))),"",Modded_AMF_Table[[#This Row],[GL_ICP]])</f>
        <v/>
      </c>
      <c r="I268" t="s">
        <v>1212</v>
      </c>
      <c r="J268" t="s">
        <v>1425</v>
      </c>
      <c r="K268" t="str">
        <f>IFERROR(VLOOKUP(VALUE(Modded_AMF_Table[[#This Row],[GL_PC]]),BNS_Profit_Centers[],2,FALSE),"TE")</f>
        <v>TE</v>
      </c>
      <c r="L268" t="s">
        <v>1425</v>
      </c>
      <c r="M268" t="s">
        <v>1493</v>
      </c>
      <c r="N268" t="s">
        <v>1482</v>
      </c>
      <c r="O268" s="33">
        <v>956.91</v>
      </c>
    </row>
    <row r="269" spans="1:15" x14ac:dyDescent="0.25">
      <c r="A269" t="s">
        <v>1493</v>
      </c>
      <c r="B269" t="s">
        <v>1494</v>
      </c>
      <c r="C269" t="s">
        <v>127</v>
      </c>
      <c r="D269" t="str">
        <f>VLOOKUP(Modded_AMF_Table[[#This Row],[HFM_Account]],HFM_Acct_OCF_Activity[],3,FALSE)</f>
        <v>Direct</v>
      </c>
      <c r="E269" t="s">
        <v>1210</v>
      </c>
      <c r="F269" t="s">
        <v>1194</v>
      </c>
      <c r="G269" t="s">
        <v>1495</v>
      </c>
      <c r="H269" t="str">
        <f>IF(NOT(ISERROR(FIND("NoICP",Modded_AMF_Table[[#This Row],[GL_ICP]]))),"",Modded_AMF_Table[[#This Row],[GL_ICP]])</f>
        <v/>
      </c>
      <c r="I269" t="s">
        <v>1212</v>
      </c>
      <c r="J269" t="s">
        <v>1492</v>
      </c>
      <c r="K269" t="str">
        <f>IFERROR(VLOOKUP(VALUE(Modded_AMF_Table[[#This Row],[GL_PC]]),BNS_Profit_Centers[],2,FALSE),"TE")</f>
        <v>BNS</v>
      </c>
      <c r="L269" t="s">
        <v>1492</v>
      </c>
      <c r="M269" t="s">
        <v>1493</v>
      </c>
      <c r="N269" t="s">
        <v>1482</v>
      </c>
      <c r="O269" s="33">
        <v>254.69</v>
      </c>
    </row>
    <row r="270" spans="1:15" x14ac:dyDescent="0.25">
      <c r="A270" t="s">
        <v>1493</v>
      </c>
      <c r="B270" t="s">
        <v>1494</v>
      </c>
      <c r="C270" t="s">
        <v>127</v>
      </c>
      <c r="D270" t="str">
        <f>VLOOKUP(Modded_AMF_Table[[#This Row],[HFM_Account]],HFM_Acct_OCF_Activity[],3,FALSE)</f>
        <v>Direct</v>
      </c>
      <c r="E270" t="s">
        <v>1210</v>
      </c>
      <c r="F270" t="s">
        <v>1194</v>
      </c>
      <c r="G270" t="s">
        <v>1495</v>
      </c>
      <c r="H270" t="str">
        <f>IF(NOT(ISERROR(FIND("NoICP",Modded_AMF_Table[[#This Row],[GL_ICP]]))),"",Modded_AMF_Table[[#This Row],[GL_ICP]])</f>
        <v/>
      </c>
      <c r="I270" t="s">
        <v>1212</v>
      </c>
      <c r="J270" t="s">
        <v>1491</v>
      </c>
      <c r="K270" t="str">
        <f>IFERROR(VLOOKUP(VALUE(Modded_AMF_Table[[#This Row],[GL_PC]]),BNS_Profit_Centers[],2,FALSE),"TE")</f>
        <v>TE</v>
      </c>
      <c r="L270" t="s">
        <v>1491</v>
      </c>
      <c r="M270" t="s">
        <v>1493</v>
      </c>
      <c r="N270" t="s">
        <v>1482</v>
      </c>
      <c r="O270" s="33">
        <v>1446.14</v>
      </c>
    </row>
    <row r="271" spans="1:15" x14ac:dyDescent="0.25">
      <c r="A271" t="s">
        <v>1493</v>
      </c>
      <c r="B271" t="s">
        <v>1494</v>
      </c>
      <c r="C271" t="s">
        <v>127</v>
      </c>
      <c r="D271" t="str">
        <f>VLOOKUP(Modded_AMF_Table[[#This Row],[HFM_Account]],HFM_Acct_OCF_Activity[],3,FALSE)</f>
        <v>Direct</v>
      </c>
      <c r="E271" t="s">
        <v>1210</v>
      </c>
      <c r="F271" t="s">
        <v>1194</v>
      </c>
      <c r="G271" t="s">
        <v>1495</v>
      </c>
      <c r="H271" t="str">
        <f>IF(NOT(ISERROR(FIND("NoICP",Modded_AMF_Table[[#This Row],[GL_ICP]]))),"",Modded_AMF_Table[[#This Row],[GL_ICP]])</f>
        <v/>
      </c>
      <c r="I271" t="s">
        <v>1212</v>
      </c>
      <c r="J271" t="s">
        <v>1490</v>
      </c>
      <c r="K271" t="str">
        <f>IFERROR(VLOOKUP(VALUE(Modded_AMF_Table[[#This Row],[GL_PC]]),BNS_Profit_Centers[],2,FALSE),"TE")</f>
        <v>BNS</v>
      </c>
      <c r="L271" t="s">
        <v>1490</v>
      </c>
      <c r="M271" t="s">
        <v>1493</v>
      </c>
      <c r="N271" t="s">
        <v>1482</v>
      </c>
      <c r="O271" s="33">
        <v>1040.3</v>
      </c>
    </row>
    <row r="272" spans="1:15" x14ac:dyDescent="0.25">
      <c r="A272" t="s">
        <v>1493</v>
      </c>
      <c r="B272" t="s">
        <v>1494</v>
      </c>
      <c r="C272" t="s">
        <v>127</v>
      </c>
      <c r="D272" t="str">
        <f>VLOOKUP(Modded_AMF_Table[[#This Row],[HFM_Account]],HFM_Acct_OCF_Activity[],3,FALSE)</f>
        <v>Direct</v>
      </c>
      <c r="E272" t="s">
        <v>1210</v>
      </c>
      <c r="F272" t="s">
        <v>1194</v>
      </c>
      <c r="G272" t="s">
        <v>1495</v>
      </c>
      <c r="H272" t="str">
        <f>IF(NOT(ISERROR(FIND("NoICP",Modded_AMF_Table[[#This Row],[GL_ICP]]))),"",Modded_AMF_Table[[#This Row],[GL_ICP]])</f>
        <v/>
      </c>
      <c r="I272" t="s">
        <v>1212</v>
      </c>
      <c r="J272" t="s">
        <v>1489</v>
      </c>
      <c r="K272" t="str">
        <f>IFERROR(VLOOKUP(VALUE(Modded_AMF_Table[[#This Row],[GL_PC]]),BNS_Profit_Centers[],2,FALSE),"TE")</f>
        <v>TE</v>
      </c>
      <c r="L272" t="s">
        <v>1489</v>
      </c>
      <c r="M272" t="s">
        <v>1493</v>
      </c>
      <c r="N272" t="s">
        <v>1482</v>
      </c>
      <c r="O272" s="33">
        <v>509.39</v>
      </c>
    </row>
    <row r="273" spans="1:15" x14ac:dyDescent="0.25">
      <c r="A273" t="s">
        <v>1493</v>
      </c>
      <c r="B273" t="s">
        <v>1494</v>
      </c>
      <c r="C273" t="s">
        <v>127</v>
      </c>
      <c r="D273" t="str">
        <f>VLOOKUP(Modded_AMF_Table[[#This Row],[HFM_Account]],HFM_Acct_OCF_Activity[],3,FALSE)</f>
        <v>Direct</v>
      </c>
      <c r="E273" t="s">
        <v>1210</v>
      </c>
      <c r="F273" t="s">
        <v>1194</v>
      </c>
      <c r="G273" t="s">
        <v>1495</v>
      </c>
      <c r="H273" t="str">
        <f>IF(NOT(ISERROR(FIND("NoICP",Modded_AMF_Table[[#This Row],[GL_ICP]]))),"",Modded_AMF_Table[[#This Row],[GL_ICP]])</f>
        <v/>
      </c>
      <c r="I273" t="s">
        <v>1212</v>
      </c>
      <c r="J273" t="s">
        <v>1213</v>
      </c>
      <c r="K273" t="str">
        <f>IFERROR(VLOOKUP(VALUE(Modded_AMF_Table[[#This Row],[GL_PC]]),BNS_Profit_Centers[],2,FALSE),"TE")</f>
        <v>TE</v>
      </c>
      <c r="L273" t="s">
        <v>1213</v>
      </c>
      <c r="M273" t="s">
        <v>1493</v>
      </c>
      <c r="N273" t="s">
        <v>1482</v>
      </c>
      <c r="O273" s="33">
        <v>-2267.7399999999998</v>
      </c>
    </row>
    <row r="274" spans="1:15" x14ac:dyDescent="0.25">
      <c r="A274" t="s">
        <v>1496</v>
      </c>
      <c r="B274" t="s">
        <v>1497</v>
      </c>
      <c r="C274" t="s">
        <v>127</v>
      </c>
      <c r="D274" t="str">
        <f>VLOOKUP(Modded_AMF_Table[[#This Row],[HFM_Account]],HFM_Acct_OCF_Activity[],3,FALSE)</f>
        <v>Direct</v>
      </c>
      <c r="E274" t="s">
        <v>1210</v>
      </c>
      <c r="F274" t="s">
        <v>1194</v>
      </c>
      <c r="G274" t="s">
        <v>1498</v>
      </c>
      <c r="H274" t="str">
        <f>IF(NOT(ISERROR(FIND("NoICP",Modded_AMF_Table[[#This Row],[GL_ICP]]))),"",Modded_AMF_Table[[#This Row],[GL_ICP]])</f>
        <v/>
      </c>
      <c r="I274" t="s">
        <v>1212</v>
      </c>
      <c r="J274" t="s">
        <v>1213</v>
      </c>
      <c r="K274" t="str">
        <f>IFERROR(VLOOKUP(VALUE(Modded_AMF_Table[[#This Row],[GL_PC]]),BNS_Profit_Centers[],2,FALSE),"TE")</f>
        <v>TE</v>
      </c>
      <c r="L274" t="s">
        <v>1213</v>
      </c>
      <c r="M274" t="s">
        <v>1496</v>
      </c>
      <c r="N274" t="s">
        <v>1482</v>
      </c>
      <c r="O274" s="33">
        <v>16358</v>
      </c>
    </row>
    <row r="275" spans="1:15" x14ac:dyDescent="0.25">
      <c r="A275" t="s">
        <v>1496</v>
      </c>
      <c r="B275" t="s">
        <v>1497</v>
      </c>
      <c r="C275" t="s">
        <v>127</v>
      </c>
      <c r="D275" t="str">
        <f>VLOOKUP(Modded_AMF_Table[[#This Row],[HFM_Account]],HFM_Acct_OCF_Activity[],3,FALSE)</f>
        <v>Direct</v>
      </c>
      <c r="E275" t="s">
        <v>1210</v>
      </c>
      <c r="F275" t="s">
        <v>1194</v>
      </c>
      <c r="G275" t="s">
        <v>1498</v>
      </c>
      <c r="H275" t="str">
        <f>IF(NOT(ISERROR(FIND("NoICP",Modded_AMF_Table[[#This Row],[GL_ICP]]))),"",Modded_AMF_Table[[#This Row],[GL_ICP]])</f>
        <v/>
      </c>
      <c r="I275" t="s">
        <v>1212</v>
      </c>
      <c r="J275" t="s">
        <v>1489</v>
      </c>
      <c r="K275" t="str">
        <f>IFERROR(VLOOKUP(VALUE(Modded_AMF_Table[[#This Row],[GL_PC]]),BNS_Profit_Centers[],2,FALSE),"TE")</f>
        <v>TE</v>
      </c>
      <c r="L275" t="s">
        <v>1489</v>
      </c>
      <c r="M275" t="s">
        <v>1496</v>
      </c>
      <c r="N275" t="s">
        <v>1482</v>
      </c>
      <c r="O275" s="33">
        <v>-2602.85</v>
      </c>
    </row>
    <row r="276" spans="1:15" x14ac:dyDescent="0.25">
      <c r="A276" t="s">
        <v>1496</v>
      </c>
      <c r="B276" t="s">
        <v>1497</v>
      </c>
      <c r="C276" t="s">
        <v>127</v>
      </c>
      <c r="D276" t="str">
        <f>VLOOKUP(Modded_AMF_Table[[#This Row],[HFM_Account]],HFM_Acct_OCF_Activity[],3,FALSE)</f>
        <v>Direct</v>
      </c>
      <c r="E276" t="s">
        <v>1210</v>
      </c>
      <c r="F276" t="s">
        <v>1194</v>
      </c>
      <c r="G276" t="s">
        <v>1498</v>
      </c>
      <c r="H276" t="str">
        <f>IF(NOT(ISERROR(FIND("NoICP",Modded_AMF_Table[[#This Row],[GL_ICP]]))),"",Modded_AMF_Table[[#This Row],[GL_ICP]])</f>
        <v/>
      </c>
      <c r="I276" t="s">
        <v>1212</v>
      </c>
      <c r="J276" t="s">
        <v>1490</v>
      </c>
      <c r="K276" t="str">
        <f>IFERROR(VLOOKUP(VALUE(Modded_AMF_Table[[#This Row],[GL_PC]]),BNS_Profit_Centers[],2,FALSE),"TE")</f>
        <v>BNS</v>
      </c>
      <c r="L276" t="s">
        <v>1490</v>
      </c>
      <c r="M276" t="s">
        <v>1496</v>
      </c>
      <c r="N276" t="s">
        <v>1482</v>
      </c>
      <c r="O276" s="33">
        <v>-5315.46</v>
      </c>
    </row>
    <row r="277" spans="1:15" x14ac:dyDescent="0.25">
      <c r="A277" t="s">
        <v>1496</v>
      </c>
      <c r="B277" t="s">
        <v>1497</v>
      </c>
      <c r="C277" t="s">
        <v>127</v>
      </c>
      <c r="D277" t="str">
        <f>VLOOKUP(Modded_AMF_Table[[#This Row],[HFM_Account]],HFM_Acct_OCF_Activity[],3,FALSE)</f>
        <v>Direct</v>
      </c>
      <c r="E277" t="s">
        <v>1210</v>
      </c>
      <c r="F277" t="s">
        <v>1194</v>
      </c>
      <c r="G277" t="s">
        <v>1498</v>
      </c>
      <c r="H277" t="str">
        <f>IF(NOT(ISERROR(FIND("NoICP",Modded_AMF_Table[[#This Row],[GL_ICP]]))),"",Modded_AMF_Table[[#This Row],[GL_ICP]])</f>
        <v/>
      </c>
      <c r="I277" t="s">
        <v>1212</v>
      </c>
      <c r="J277" t="s">
        <v>1491</v>
      </c>
      <c r="K277" t="str">
        <f>IFERROR(VLOOKUP(VALUE(Modded_AMF_Table[[#This Row],[GL_PC]]),BNS_Profit_Centers[],2,FALSE),"TE")</f>
        <v>TE</v>
      </c>
      <c r="L277" t="s">
        <v>1491</v>
      </c>
      <c r="M277" t="s">
        <v>1496</v>
      </c>
      <c r="N277" t="s">
        <v>1482</v>
      </c>
      <c r="O277" s="33">
        <v>-7388.97</v>
      </c>
    </row>
    <row r="278" spans="1:15" x14ac:dyDescent="0.25">
      <c r="A278" t="s">
        <v>1496</v>
      </c>
      <c r="B278" t="s">
        <v>1497</v>
      </c>
      <c r="C278" t="s">
        <v>127</v>
      </c>
      <c r="D278" t="str">
        <f>VLOOKUP(Modded_AMF_Table[[#This Row],[HFM_Account]],HFM_Acct_OCF_Activity[],3,FALSE)</f>
        <v>Direct</v>
      </c>
      <c r="E278" t="s">
        <v>1210</v>
      </c>
      <c r="F278" t="s">
        <v>1194</v>
      </c>
      <c r="G278" t="s">
        <v>1498</v>
      </c>
      <c r="H278" t="str">
        <f>IF(NOT(ISERROR(FIND("NoICP",Modded_AMF_Table[[#This Row],[GL_ICP]]))),"",Modded_AMF_Table[[#This Row],[GL_ICP]])</f>
        <v/>
      </c>
      <c r="I278" t="s">
        <v>1212</v>
      </c>
      <c r="J278" t="s">
        <v>1492</v>
      </c>
      <c r="K278" t="str">
        <f>IFERROR(VLOOKUP(VALUE(Modded_AMF_Table[[#This Row],[GL_PC]]),BNS_Profit_Centers[],2,FALSE),"TE")</f>
        <v>BNS</v>
      </c>
      <c r="L278" t="s">
        <v>1492</v>
      </c>
      <c r="M278" t="s">
        <v>1496</v>
      </c>
      <c r="N278" t="s">
        <v>1482</v>
      </c>
      <c r="O278" s="33">
        <v>-1301.42</v>
      </c>
    </row>
    <row r="279" spans="1:15" x14ac:dyDescent="0.25">
      <c r="A279" t="s">
        <v>1496</v>
      </c>
      <c r="B279" t="s">
        <v>1497</v>
      </c>
      <c r="C279" t="s">
        <v>127</v>
      </c>
      <c r="D279" t="str">
        <f>VLOOKUP(Modded_AMF_Table[[#This Row],[HFM_Account]],HFM_Acct_OCF_Activity[],3,FALSE)</f>
        <v>Direct</v>
      </c>
      <c r="E279" t="s">
        <v>1210</v>
      </c>
      <c r="F279" t="s">
        <v>1194</v>
      </c>
      <c r="G279" t="s">
        <v>1498</v>
      </c>
      <c r="H279" t="str">
        <f>IF(NOT(ISERROR(FIND("NoICP",Modded_AMF_Table[[#This Row],[GL_ICP]]))),"",Modded_AMF_Table[[#This Row],[GL_ICP]])</f>
        <v/>
      </c>
      <c r="I279" t="s">
        <v>1212</v>
      </c>
      <c r="J279" t="s">
        <v>1425</v>
      </c>
      <c r="K279" t="str">
        <f>IFERROR(VLOOKUP(VALUE(Modded_AMF_Table[[#This Row],[GL_PC]]),BNS_Profit_Centers[],2,FALSE),"TE")</f>
        <v>TE</v>
      </c>
      <c r="L279" t="s">
        <v>1425</v>
      </c>
      <c r="M279" t="s">
        <v>1496</v>
      </c>
      <c r="N279" t="s">
        <v>1482</v>
      </c>
      <c r="O279" s="33">
        <v>-4889.3999999999996</v>
      </c>
    </row>
    <row r="280" spans="1:15" x14ac:dyDescent="0.25">
      <c r="A280" t="s">
        <v>1499</v>
      </c>
      <c r="B280" t="s">
        <v>1500</v>
      </c>
      <c r="C280" t="s">
        <v>129</v>
      </c>
      <c r="D280" t="str">
        <f>VLOOKUP(Modded_AMF_Table[[#This Row],[HFM_Account]],HFM_Acct_OCF_Activity[],3,FALSE)</f>
        <v>Direct</v>
      </c>
      <c r="E280" t="s">
        <v>1210</v>
      </c>
      <c r="F280" t="s">
        <v>1194</v>
      </c>
      <c r="G280" t="s">
        <v>1501</v>
      </c>
      <c r="H280" t="str">
        <f>IF(NOT(ISERROR(FIND("NoICP",Modded_AMF_Table[[#This Row],[GL_ICP]]))),"",Modded_AMF_Table[[#This Row],[GL_ICP]])</f>
        <v/>
      </c>
      <c r="I280" t="s">
        <v>1212</v>
      </c>
      <c r="J280" t="s">
        <v>1213</v>
      </c>
      <c r="K280" t="str">
        <f>IFERROR(VLOOKUP(VALUE(Modded_AMF_Table[[#This Row],[GL_PC]]),BNS_Profit_Centers[],2,FALSE),"TE")</f>
        <v>TE</v>
      </c>
      <c r="L280" t="s">
        <v>1213</v>
      </c>
      <c r="M280" t="s">
        <v>1499</v>
      </c>
      <c r="N280" t="s">
        <v>1482</v>
      </c>
      <c r="O280" s="33">
        <v>1977.53</v>
      </c>
    </row>
    <row r="281" spans="1:15" x14ac:dyDescent="0.25">
      <c r="A281" t="s">
        <v>1502</v>
      </c>
      <c r="B281" t="s">
        <v>1503</v>
      </c>
      <c r="C281" t="s">
        <v>129</v>
      </c>
      <c r="D281" t="str">
        <f>VLOOKUP(Modded_AMF_Table[[#This Row],[HFM_Account]],HFM_Acct_OCF_Activity[],3,FALSE)</f>
        <v>Direct</v>
      </c>
      <c r="E281" t="s">
        <v>1210</v>
      </c>
      <c r="F281" t="s">
        <v>1194</v>
      </c>
      <c r="G281" t="s">
        <v>1504</v>
      </c>
      <c r="H281" t="str">
        <f>IF(NOT(ISERROR(FIND("NoICP",Modded_AMF_Table[[#This Row],[GL_ICP]]))),"",Modded_AMF_Table[[#This Row],[GL_ICP]])</f>
        <v/>
      </c>
      <c r="I281" t="s">
        <v>1212</v>
      </c>
      <c r="J281" t="s">
        <v>1213</v>
      </c>
      <c r="K281" t="str">
        <f>IFERROR(VLOOKUP(VALUE(Modded_AMF_Table[[#This Row],[GL_PC]]),BNS_Profit_Centers[],2,FALSE),"TE")</f>
        <v>TE</v>
      </c>
      <c r="L281" t="s">
        <v>1213</v>
      </c>
      <c r="M281" t="s">
        <v>1502</v>
      </c>
      <c r="N281" t="s">
        <v>1482</v>
      </c>
      <c r="O281" s="33">
        <v>-1.26</v>
      </c>
    </row>
    <row r="282" spans="1:15" x14ac:dyDescent="0.25">
      <c r="A282" t="s">
        <v>1502</v>
      </c>
      <c r="B282" t="s">
        <v>1503</v>
      </c>
      <c r="C282" t="s">
        <v>129</v>
      </c>
      <c r="D282" t="str">
        <f>VLOOKUP(Modded_AMF_Table[[#This Row],[HFM_Account]],HFM_Acct_OCF_Activity[],3,FALSE)</f>
        <v>Direct</v>
      </c>
      <c r="E282" t="s">
        <v>1210</v>
      </c>
      <c r="F282" t="s">
        <v>1194</v>
      </c>
      <c r="G282" t="s">
        <v>1504</v>
      </c>
      <c r="H282" t="str">
        <f>IF(NOT(ISERROR(FIND("NoICP",Modded_AMF_Table[[#This Row],[GL_ICP]]))),"",Modded_AMF_Table[[#This Row],[GL_ICP]])</f>
        <v/>
      </c>
      <c r="I282" t="s">
        <v>1212</v>
      </c>
      <c r="J282" t="s">
        <v>1489</v>
      </c>
      <c r="K282" t="str">
        <f>IFERROR(VLOOKUP(VALUE(Modded_AMF_Table[[#This Row],[GL_PC]]),BNS_Profit_Centers[],2,FALSE),"TE")</f>
        <v>TE</v>
      </c>
      <c r="L282" t="s">
        <v>1489</v>
      </c>
      <c r="M282" t="s">
        <v>1502</v>
      </c>
      <c r="N282" t="s">
        <v>1482</v>
      </c>
      <c r="O282" s="33">
        <v>-17.920000000000002</v>
      </c>
    </row>
    <row r="283" spans="1:15" x14ac:dyDescent="0.25">
      <c r="A283" t="s">
        <v>1502</v>
      </c>
      <c r="B283" t="s">
        <v>1503</v>
      </c>
      <c r="C283" t="s">
        <v>129</v>
      </c>
      <c r="D283" t="str">
        <f>VLOOKUP(Modded_AMF_Table[[#This Row],[HFM_Account]],HFM_Acct_OCF_Activity[],3,FALSE)</f>
        <v>Direct</v>
      </c>
      <c r="E283" t="s">
        <v>1210</v>
      </c>
      <c r="F283" t="s">
        <v>1194</v>
      </c>
      <c r="G283" t="s">
        <v>1504</v>
      </c>
      <c r="H283" t="str">
        <f>IF(NOT(ISERROR(FIND("NoICP",Modded_AMF_Table[[#This Row],[GL_ICP]]))),"",Modded_AMF_Table[[#This Row],[GL_ICP]])</f>
        <v/>
      </c>
      <c r="I283" t="s">
        <v>1212</v>
      </c>
      <c r="J283" t="s">
        <v>1490</v>
      </c>
      <c r="K283" t="str">
        <f>IFERROR(VLOOKUP(VALUE(Modded_AMF_Table[[#This Row],[GL_PC]]),BNS_Profit_Centers[],2,FALSE),"TE")</f>
        <v>BNS</v>
      </c>
      <c r="L283" t="s">
        <v>1490</v>
      </c>
      <c r="M283" t="s">
        <v>1502</v>
      </c>
      <c r="N283" t="s">
        <v>1482</v>
      </c>
      <c r="O283" s="33">
        <v>-36.57</v>
      </c>
    </row>
    <row r="284" spans="1:15" x14ac:dyDescent="0.25">
      <c r="A284" t="s">
        <v>1502</v>
      </c>
      <c r="B284" t="s">
        <v>1503</v>
      </c>
      <c r="C284" t="s">
        <v>129</v>
      </c>
      <c r="D284" t="str">
        <f>VLOOKUP(Modded_AMF_Table[[#This Row],[HFM_Account]],HFM_Acct_OCF_Activity[],3,FALSE)</f>
        <v>Direct</v>
      </c>
      <c r="E284" t="s">
        <v>1210</v>
      </c>
      <c r="F284" t="s">
        <v>1194</v>
      </c>
      <c r="G284" t="s">
        <v>1504</v>
      </c>
      <c r="H284" t="str">
        <f>IF(NOT(ISERROR(FIND("NoICP",Modded_AMF_Table[[#This Row],[GL_ICP]]))),"",Modded_AMF_Table[[#This Row],[GL_ICP]])</f>
        <v/>
      </c>
      <c r="I284" t="s">
        <v>1212</v>
      </c>
      <c r="J284" t="s">
        <v>1425</v>
      </c>
      <c r="K284" t="str">
        <f>IFERROR(VLOOKUP(VALUE(Modded_AMF_Table[[#This Row],[GL_PC]]),BNS_Profit_Centers[],2,FALSE),"TE")</f>
        <v>TE</v>
      </c>
      <c r="L284" t="s">
        <v>1425</v>
      </c>
      <c r="M284" t="s">
        <v>1502</v>
      </c>
      <c r="N284" t="s">
        <v>1482</v>
      </c>
      <c r="O284" s="33">
        <v>-33.64</v>
      </c>
    </row>
    <row r="285" spans="1:15" x14ac:dyDescent="0.25">
      <c r="A285" t="s">
        <v>1502</v>
      </c>
      <c r="B285" t="s">
        <v>1503</v>
      </c>
      <c r="C285" t="s">
        <v>129</v>
      </c>
      <c r="D285" t="str">
        <f>VLOOKUP(Modded_AMF_Table[[#This Row],[HFM_Account]],HFM_Acct_OCF_Activity[],3,FALSE)</f>
        <v>Direct</v>
      </c>
      <c r="E285" t="s">
        <v>1210</v>
      </c>
      <c r="F285" t="s">
        <v>1194</v>
      </c>
      <c r="G285" t="s">
        <v>1504</v>
      </c>
      <c r="H285" t="str">
        <f>IF(NOT(ISERROR(FIND("NoICP",Modded_AMF_Table[[#This Row],[GL_ICP]]))),"",Modded_AMF_Table[[#This Row],[GL_ICP]])</f>
        <v/>
      </c>
      <c r="I285" t="s">
        <v>1212</v>
      </c>
      <c r="J285" t="s">
        <v>1492</v>
      </c>
      <c r="K285" t="str">
        <f>IFERROR(VLOOKUP(VALUE(Modded_AMF_Table[[#This Row],[GL_PC]]),BNS_Profit_Centers[],2,FALSE),"TE")</f>
        <v>BNS</v>
      </c>
      <c r="L285" t="s">
        <v>1492</v>
      </c>
      <c r="M285" t="s">
        <v>1502</v>
      </c>
      <c r="N285" t="s">
        <v>1482</v>
      </c>
      <c r="O285" s="33">
        <v>-8.9499999999999993</v>
      </c>
    </row>
    <row r="286" spans="1:15" x14ac:dyDescent="0.25">
      <c r="A286" t="s">
        <v>1502</v>
      </c>
      <c r="B286" t="s">
        <v>1503</v>
      </c>
      <c r="C286" t="s">
        <v>129</v>
      </c>
      <c r="D286" t="str">
        <f>VLOOKUP(Modded_AMF_Table[[#This Row],[HFM_Account]],HFM_Acct_OCF_Activity[],3,FALSE)</f>
        <v>Direct</v>
      </c>
      <c r="E286" t="s">
        <v>1210</v>
      </c>
      <c r="F286" t="s">
        <v>1194</v>
      </c>
      <c r="G286" t="s">
        <v>1504</v>
      </c>
      <c r="H286" t="str">
        <f>IF(NOT(ISERROR(FIND("NoICP",Modded_AMF_Table[[#This Row],[GL_ICP]]))),"",Modded_AMF_Table[[#This Row],[GL_ICP]])</f>
        <v/>
      </c>
      <c r="I286" t="s">
        <v>1212</v>
      </c>
      <c r="J286" t="s">
        <v>1491</v>
      </c>
      <c r="K286" t="str">
        <f>IFERROR(VLOOKUP(VALUE(Modded_AMF_Table[[#This Row],[GL_PC]]),BNS_Profit_Centers[],2,FALSE),"TE")</f>
        <v>TE</v>
      </c>
      <c r="L286" t="s">
        <v>1491</v>
      </c>
      <c r="M286" t="s">
        <v>1502</v>
      </c>
      <c r="N286" t="s">
        <v>1482</v>
      </c>
      <c r="O286" s="33">
        <v>-50.83</v>
      </c>
    </row>
    <row r="287" spans="1:15" x14ac:dyDescent="0.25">
      <c r="A287" t="s">
        <v>1505</v>
      </c>
      <c r="B287" t="s">
        <v>1506</v>
      </c>
      <c r="C287" t="s">
        <v>129</v>
      </c>
      <c r="D287" t="str">
        <f>VLOOKUP(Modded_AMF_Table[[#This Row],[HFM_Account]],HFM_Acct_OCF_Activity[],3,FALSE)</f>
        <v>Direct</v>
      </c>
      <c r="E287" t="s">
        <v>1210</v>
      </c>
      <c r="F287" t="s">
        <v>1194</v>
      </c>
      <c r="G287" t="s">
        <v>1507</v>
      </c>
      <c r="H287" t="str">
        <f>IF(NOT(ISERROR(FIND("NoICP",Modded_AMF_Table[[#This Row],[GL_ICP]]))),"",Modded_AMF_Table[[#This Row],[GL_ICP]])</f>
        <v/>
      </c>
      <c r="I287" t="s">
        <v>1212</v>
      </c>
      <c r="J287" t="s">
        <v>1491</v>
      </c>
      <c r="K287" t="str">
        <f>IFERROR(VLOOKUP(VALUE(Modded_AMF_Table[[#This Row],[GL_PC]]),BNS_Profit_Centers[],2,FALSE),"TE")</f>
        <v>TE</v>
      </c>
      <c r="L287" t="s">
        <v>1491</v>
      </c>
      <c r="M287" t="s">
        <v>1505</v>
      </c>
      <c r="N287" t="s">
        <v>1482</v>
      </c>
      <c r="O287" s="33">
        <v>-101.24</v>
      </c>
    </row>
    <row r="288" spans="1:15" x14ac:dyDescent="0.25">
      <c r="A288" t="s">
        <v>1505</v>
      </c>
      <c r="B288" t="s">
        <v>1506</v>
      </c>
      <c r="C288" t="s">
        <v>129</v>
      </c>
      <c r="D288" t="str">
        <f>VLOOKUP(Modded_AMF_Table[[#This Row],[HFM_Account]],HFM_Acct_OCF_Activity[],3,FALSE)</f>
        <v>Direct</v>
      </c>
      <c r="E288" t="s">
        <v>1210</v>
      </c>
      <c r="F288" t="s">
        <v>1194</v>
      </c>
      <c r="G288" t="s">
        <v>1507</v>
      </c>
      <c r="H288" t="str">
        <f>IF(NOT(ISERROR(FIND("NoICP",Modded_AMF_Table[[#This Row],[GL_ICP]]))),"",Modded_AMF_Table[[#This Row],[GL_ICP]])</f>
        <v/>
      </c>
      <c r="I288" t="s">
        <v>1212</v>
      </c>
      <c r="J288" t="s">
        <v>1492</v>
      </c>
      <c r="K288" t="str">
        <f>IFERROR(VLOOKUP(VALUE(Modded_AMF_Table[[#This Row],[GL_PC]]),BNS_Profit_Centers[],2,FALSE),"TE")</f>
        <v>BNS</v>
      </c>
      <c r="L288" t="s">
        <v>1492</v>
      </c>
      <c r="M288" t="s">
        <v>1505</v>
      </c>
      <c r="N288" t="s">
        <v>1482</v>
      </c>
      <c r="O288" s="33">
        <v>-17.82</v>
      </c>
    </row>
    <row r="289" spans="1:15" x14ac:dyDescent="0.25">
      <c r="A289" t="s">
        <v>1505</v>
      </c>
      <c r="B289" t="s">
        <v>1506</v>
      </c>
      <c r="C289" t="s">
        <v>129</v>
      </c>
      <c r="D289" t="str">
        <f>VLOOKUP(Modded_AMF_Table[[#This Row],[HFM_Account]],HFM_Acct_OCF_Activity[],3,FALSE)</f>
        <v>Direct</v>
      </c>
      <c r="E289" t="s">
        <v>1210</v>
      </c>
      <c r="F289" t="s">
        <v>1194</v>
      </c>
      <c r="G289" t="s">
        <v>1507</v>
      </c>
      <c r="H289" t="str">
        <f>IF(NOT(ISERROR(FIND("NoICP",Modded_AMF_Table[[#This Row],[GL_ICP]]))),"",Modded_AMF_Table[[#This Row],[GL_ICP]])</f>
        <v/>
      </c>
      <c r="I289" t="s">
        <v>1212</v>
      </c>
      <c r="J289" t="s">
        <v>1425</v>
      </c>
      <c r="K289" t="str">
        <f>IFERROR(VLOOKUP(VALUE(Modded_AMF_Table[[#This Row],[GL_PC]]),BNS_Profit_Centers[],2,FALSE),"TE")</f>
        <v>TE</v>
      </c>
      <c r="L289" t="s">
        <v>1425</v>
      </c>
      <c r="M289" t="s">
        <v>1505</v>
      </c>
      <c r="N289" t="s">
        <v>1482</v>
      </c>
      <c r="O289" s="33">
        <v>-66.989999999999995</v>
      </c>
    </row>
    <row r="290" spans="1:15" x14ac:dyDescent="0.25">
      <c r="A290" t="s">
        <v>1505</v>
      </c>
      <c r="B290" t="s">
        <v>1506</v>
      </c>
      <c r="C290" t="s">
        <v>129</v>
      </c>
      <c r="D290" t="str">
        <f>VLOOKUP(Modded_AMF_Table[[#This Row],[HFM_Account]],HFM_Acct_OCF_Activity[],3,FALSE)</f>
        <v>Direct</v>
      </c>
      <c r="E290" t="s">
        <v>1210</v>
      </c>
      <c r="F290" t="s">
        <v>1194</v>
      </c>
      <c r="G290" t="s">
        <v>1507</v>
      </c>
      <c r="H290" t="str">
        <f>IF(NOT(ISERROR(FIND("NoICP",Modded_AMF_Table[[#This Row],[GL_ICP]]))),"",Modded_AMF_Table[[#This Row],[GL_ICP]])</f>
        <v/>
      </c>
      <c r="I290" t="s">
        <v>1212</v>
      </c>
      <c r="J290" t="s">
        <v>1490</v>
      </c>
      <c r="K290" t="str">
        <f>IFERROR(VLOOKUP(VALUE(Modded_AMF_Table[[#This Row],[GL_PC]]),BNS_Profit_Centers[],2,FALSE),"TE")</f>
        <v>BNS</v>
      </c>
      <c r="L290" t="s">
        <v>1490</v>
      </c>
      <c r="M290" t="s">
        <v>1505</v>
      </c>
      <c r="N290" t="s">
        <v>1482</v>
      </c>
      <c r="O290" s="33">
        <v>-72.819999999999993</v>
      </c>
    </row>
    <row r="291" spans="1:15" x14ac:dyDescent="0.25">
      <c r="A291" t="s">
        <v>1505</v>
      </c>
      <c r="B291" t="s">
        <v>1506</v>
      </c>
      <c r="C291" t="s">
        <v>129</v>
      </c>
      <c r="D291" t="str">
        <f>VLOOKUP(Modded_AMF_Table[[#This Row],[HFM_Account]],HFM_Acct_OCF_Activity[],3,FALSE)</f>
        <v>Direct</v>
      </c>
      <c r="E291" t="s">
        <v>1210</v>
      </c>
      <c r="F291" t="s">
        <v>1194</v>
      </c>
      <c r="G291" t="s">
        <v>1507</v>
      </c>
      <c r="H291" t="str">
        <f>IF(NOT(ISERROR(FIND("NoICP",Modded_AMF_Table[[#This Row],[GL_ICP]]))),"",Modded_AMF_Table[[#This Row],[GL_ICP]])</f>
        <v/>
      </c>
      <c r="I291" t="s">
        <v>1212</v>
      </c>
      <c r="J291" t="s">
        <v>1489</v>
      </c>
      <c r="K291" t="str">
        <f>IFERROR(VLOOKUP(VALUE(Modded_AMF_Table[[#This Row],[GL_PC]]),BNS_Profit_Centers[],2,FALSE),"TE")</f>
        <v>TE</v>
      </c>
      <c r="L291" t="s">
        <v>1489</v>
      </c>
      <c r="M291" t="s">
        <v>1505</v>
      </c>
      <c r="N291" t="s">
        <v>1482</v>
      </c>
      <c r="O291" s="33">
        <v>-35.67</v>
      </c>
    </row>
    <row r="292" spans="1:15" x14ac:dyDescent="0.25">
      <c r="A292" t="s">
        <v>1505</v>
      </c>
      <c r="B292" t="s">
        <v>1506</v>
      </c>
      <c r="C292" t="s">
        <v>129</v>
      </c>
      <c r="D292" t="str">
        <f>VLOOKUP(Modded_AMF_Table[[#This Row],[HFM_Account]],HFM_Acct_OCF_Activity[],3,FALSE)</f>
        <v>Direct</v>
      </c>
      <c r="E292" t="s">
        <v>1210</v>
      </c>
      <c r="F292" t="s">
        <v>1194</v>
      </c>
      <c r="G292" t="s">
        <v>1507</v>
      </c>
      <c r="H292" t="str">
        <f>IF(NOT(ISERROR(FIND("NoICP",Modded_AMF_Table[[#This Row],[GL_ICP]]))),"",Modded_AMF_Table[[#This Row],[GL_ICP]])</f>
        <v/>
      </c>
      <c r="I292" t="s">
        <v>1212</v>
      </c>
      <c r="J292" t="s">
        <v>1213</v>
      </c>
      <c r="K292" t="str">
        <f>IFERROR(VLOOKUP(VALUE(Modded_AMF_Table[[#This Row],[GL_PC]]),BNS_Profit_Centers[],2,FALSE),"TE")</f>
        <v>TE</v>
      </c>
      <c r="L292" t="s">
        <v>1213</v>
      </c>
      <c r="M292" t="s">
        <v>1505</v>
      </c>
      <c r="N292" t="s">
        <v>1482</v>
      </c>
      <c r="O292" s="33">
        <v>163.38999999999999</v>
      </c>
    </row>
    <row r="293" spans="1:15" x14ac:dyDescent="0.25">
      <c r="A293" t="s">
        <v>41</v>
      </c>
      <c r="B293" t="s">
        <v>1508</v>
      </c>
      <c r="C293" t="s">
        <v>41</v>
      </c>
      <c r="D293" t="str">
        <f>VLOOKUP(Modded_AMF_Table[[#This Row],[HFM_Account]],HFM_Acct_OCF_Activity[],3,FALSE)</f>
        <v>Exclude</v>
      </c>
      <c r="E293" t="s">
        <v>1210</v>
      </c>
      <c r="F293" t="s">
        <v>1194</v>
      </c>
      <c r="G293" t="s">
        <v>1509</v>
      </c>
      <c r="H293" t="str">
        <f>IF(NOT(ISERROR(FIND("NoICP",Modded_AMF_Table[[#This Row],[GL_ICP]]))),"",Modded_AMF_Table[[#This Row],[GL_ICP]])</f>
        <v/>
      </c>
      <c r="I293" t="s">
        <v>1212</v>
      </c>
      <c r="J293" t="s">
        <v>1213</v>
      </c>
      <c r="K293" t="str">
        <f>IFERROR(VLOOKUP(VALUE(Modded_AMF_Table[[#This Row],[GL_PC]]),BNS_Profit_Centers[],2,FALSE),"TE")</f>
        <v>TE</v>
      </c>
      <c r="L293" t="s">
        <v>1213</v>
      </c>
      <c r="M293" t="s">
        <v>41</v>
      </c>
      <c r="N293" t="s">
        <v>1482</v>
      </c>
      <c r="O293" s="33">
        <v>73010</v>
      </c>
    </row>
    <row r="294" spans="1:15" x14ac:dyDescent="0.25">
      <c r="A294" t="s">
        <v>1510</v>
      </c>
      <c r="B294" t="s">
        <v>1511</v>
      </c>
      <c r="C294" t="s">
        <v>48</v>
      </c>
      <c r="D294" t="str">
        <f>VLOOKUP(Modded_AMF_Table[[#This Row],[HFM_Account]],HFM_Acct_OCF_Activity[],3,FALSE)</f>
        <v>Exclude</v>
      </c>
      <c r="E294" t="s">
        <v>1210</v>
      </c>
      <c r="F294" t="s">
        <v>1194</v>
      </c>
      <c r="G294" t="s">
        <v>1249</v>
      </c>
      <c r="H294" t="str">
        <f>IF(NOT(ISERROR(FIND("NoICP",Modded_AMF_Table[[#This Row],[GL_ICP]]))),"",Modded_AMF_Table[[#This Row],[GL_ICP]])</f>
        <v>ZZ1797</v>
      </c>
      <c r="I294" t="s">
        <v>1250</v>
      </c>
      <c r="J294" t="s">
        <v>1213</v>
      </c>
      <c r="K294" t="str">
        <f>IFERROR(VLOOKUP(VALUE(Modded_AMF_Table[[#This Row],[GL_PC]]),BNS_Profit_Centers[],2,FALSE),"TE")</f>
        <v>TE</v>
      </c>
      <c r="L294" t="s">
        <v>1213</v>
      </c>
      <c r="M294" t="s">
        <v>1510</v>
      </c>
      <c r="N294" t="s">
        <v>1482</v>
      </c>
      <c r="O294" s="33">
        <v>-1599.13</v>
      </c>
    </row>
    <row r="295" spans="1:15" x14ac:dyDescent="0.25">
      <c r="A295" t="s">
        <v>1512</v>
      </c>
      <c r="B295" t="s">
        <v>1513</v>
      </c>
      <c r="C295" t="s">
        <v>177</v>
      </c>
      <c r="D295" t="str">
        <f>VLOOKUP(Modded_AMF_Table[[#This Row],[HFM_Account]],HFM_Acct_OCF_Activity[],3,FALSE)</f>
        <v>Direct</v>
      </c>
      <c r="E295" t="s">
        <v>1210</v>
      </c>
      <c r="F295" t="s">
        <v>1194</v>
      </c>
      <c r="G295" t="s">
        <v>1514</v>
      </c>
      <c r="H295" t="str">
        <f>IF(NOT(ISERROR(FIND("NoICP",Modded_AMF_Table[[#This Row],[GL_ICP]]))),"",Modded_AMF_Table[[#This Row],[GL_ICP]])</f>
        <v/>
      </c>
      <c r="I295" t="s">
        <v>1212</v>
      </c>
      <c r="J295" t="s">
        <v>1213</v>
      </c>
      <c r="K295" t="str">
        <f>IFERROR(VLOOKUP(VALUE(Modded_AMF_Table[[#This Row],[GL_PC]]),BNS_Profit_Centers[],2,FALSE),"TE")</f>
        <v>TE</v>
      </c>
      <c r="L295" t="s">
        <v>1213</v>
      </c>
      <c r="M295" t="s">
        <v>1512</v>
      </c>
      <c r="N295" t="s">
        <v>1482</v>
      </c>
      <c r="O295" s="33">
        <v>-0.01</v>
      </c>
    </row>
    <row r="296" spans="1:15" x14ac:dyDescent="0.25">
      <c r="A296" t="s">
        <v>1512</v>
      </c>
      <c r="B296" t="s">
        <v>1513</v>
      </c>
      <c r="C296" t="s">
        <v>177</v>
      </c>
      <c r="D296" t="str">
        <f>VLOOKUP(Modded_AMF_Table[[#This Row],[HFM_Account]],HFM_Acct_OCF_Activity[],3,FALSE)</f>
        <v>Direct</v>
      </c>
      <c r="E296" t="s">
        <v>1210</v>
      </c>
      <c r="F296" t="s">
        <v>1194</v>
      </c>
      <c r="G296" t="s">
        <v>1514</v>
      </c>
      <c r="H296" t="str">
        <f>IF(NOT(ISERROR(FIND("NoICP",Modded_AMF_Table[[#This Row],[GL_ICP]]))),"",Modded_AMF_Table[[#This Row],[GL_ICP]])</f>
        <v/>
      </c>
      <c r="I296" t="s">
        <v>1212</v>
      </c>
      <c r="J296" t="s">
        <v>1489</v>
      </c>
      <c r="K296" t="str">
        <f>IFERROR(VLOOKUP(VALUE(Modded_AMF_Table[[#This Row],[GL_PC]]),BNS_Profit_Centers[],2,FALSE),"TE")</f>
        <v>TE</v>
      </c>
      <c r="L296" t="s">
        <v>1489</v>
      </c>
      <c r="M296" t="s">
        <v>1512</v>
      </c>
      <c r="N296" t="s">
        <v>1482</v>
      </c>
      <c r="O296" s="33">
        <v>-0.05</v>
      </c>
    </row>
    <row r="297" spans="1:15" x14ac:dyDescent="0.25">
      <c r="A297" t="s">
        <v>1512</v>
      </c>
      <c r="B297" t="s">
        <v>1513</v>
      </c>
      <c r="C297" t="s">
        <v>177</v>
      </c>
      <c r="D297" t="str">
        <f>VLOOKUP(Modded_AMF_Table[[#This Row],[HFM_Account]],HFM_Acct_OCF_Activity[],3,FALSE)</f>
        <v>Direct</v>
      </c>
      <c r="E297" t="s">
        <v>1210</v>
      </c>
      <c r="F297" t="s">
        <v>1194</v>
      </c>
      <c r="G297" t="s">
        <v>1514</v>
      </c>
      <c r="H297" t="str">
        <f>IF(NOT(ISERROR(FIND("NoICP",Modded_AMF_Table[[#This Row],[GL_ICP]]))),"",Modded_AMF_Table[[#This Row],[GL_ICP]])</f>
        <v/>
      </c>
      <c r="I297" t="s">
        <v>1212</v>
      </c>
      <c r="J297" t="s">
        <v>1490</v>
      </c>
      <c r="K297" t="str">
        <f>IFERROR(VLOOKUP(VALUE(Modded_AMF_Table[[#This Row],[GL_PC]]),BNS_Profit_Centers[],2,FALSE),"TE")</f>
        <v>BNS</v>
      </c>
      <c r="L297" t="s">
        <v>1490</v>
      </c>
      <c r="M297" t="s">
        <v>1512</v>
      </c>
      <c r="N297" t="s">
        <v>1482</v>
      </c>
      <c r="O297" s="33">
        <v>-0.09</v>
      </c>
    </row>
    <row r="298" spans="1:15" x14ac:dyDescent="0.25">
      <c r="A298" t="s">
        <v>1512</v>
      </c>
      <c r="B298" t="s">
        <v>1513</v>
      </c>
      <c r="C298" t="s">
        <v>177</v>
      </c>
      <c r="D298" t="str">
        <f>VLOOKUP(Modded_AMF_Table[[#This Row],[HFM_Account]],HFM_Acct_OCF_Activity[],3,FALSE)</f>
        <v>Direct</v>
      </c>
      <c r="E298" t="s">
        <v>1210</v>
      </c>
      <c r="F298" t="s">
        <v>1194</v>
      </c>
      <c r="G298" t="s">
        <v>1514</v>
      </c>
      <c r="H298" t="str">
        <f>IF(NOT(ISERROR(FIND("NoICP",Modded_AMF_Table[[#This Row],[GL_ICP]]))),"",Modded_AMF_Table[[#This Row],[GL_ICP]])</f>
        <v/>
      </c>
      <c r="I298" t="s">
        <v>1212</v>
      </c>
      <c r="J298" t="s">
        <v>1425</v>
      </c>
      <c r="K298" t="str">
        <f>IFERROR(VLOOKUP(VALUE(Modded_AMF_Table[[#This Row],[GL_PC]]),BNS_Profit_Centers[],2,FALSE),"TE")</f>
        <v>TE</v>
      </c>
      <c r="L298" t="s">
        <v>1425</v>
      </c>
      <c r="M298" t="s">
        <v>1512</v>
      </c>
      <c r="N298" t="s">
        <v>1482</v>
      </c>
      <c r="O298" s="33">
        <v>-0.09</v>
      </c>
    </row>
    <row r="299" spans="1:15" x14ac:dyDescent="0.25">
      <c r="A299" t="s">
        <v>1512</v>
      </c>
      <c r="B299" t="s">
        <v>1513</v>
      </c>
      <c r="C299" t="s">
        <v>177</v>
      </c>
      <c r="D299" t="str">
        <f>VLOOKUP(Modded_AMF_Table[[#This Row],[HFM_Account]],HFM_Acct_OCF_Activity[],3,FALSE)</f>
        <v>Direct</v>
      </c>
      <c r="E299" t="s">
        <v>1210</v>
      </c>
      <c r="F299" t="s">
        <v>1194</v>
      </c>
      <c r="G299" t="s">
        <v>1514</v>
      </c>
      <c r="H299" t="str">
        <f>IF(NOT(ISERROR(FIND("NoICP",Modded_AMF_Table[[#This Row],[GL_ICP]]))),"",Modded_AMF_Table[[#This Row],[GL_ICP]])</f>
        <v/>
      </c>
      <c r="I299" t="s">
        <v>1212</v>
      </c>
      <c r="J299" t="s">
        <v>1492</v>
      </c>
      <c r="K299" t="str">
        <f>IFERROR(VLOOKUP(VALUE(Modded_AMF_Table[[#This Row],[GL_PC]]),BNS_Profit_Centers[],2,FALSE),"TE")</f>
        <v>BNS</v>
      </c>
      <c r="L299" t="s">
        <v>1492</v>
      </c>
      <c r="M299" t="s">
        <v>1512</v>
      </c>
      <c r="N299" t="s">
        <v>1482</v>
      </c>
      <c r="O299" s="33">
        <v>-0.02</v>
      </c>
    </row>
    <row r="300" spans="1:15" x14ac:dyDescent="0.25">
      <c r="A300" t="s">
        <v>1512</v>
      </c>
      <c r="B300" t="s">
        <v>1513</v>
      </c>
      <c r="C300" t="s">
        <v>177</v>
      </c>
      <c r="D300" t="str">
        <f>VLOOKUP(Modded_AMF_Table[[#This Row],[HFM_Account]],HFM_Acct_OCF_Activity[],3,FALSE)</f>
        <v>Direct</v>
      </c>
      <c r="E300" t="s">
        <v>1210</v>
      </c>
      <c r="F300" t="s">
        <v>1194</v>
      </c>
      <c r="G300" t="s">
        <v>1514</v>
      </c>
      <c r="H300" t="str">
        <f>IF(NOT(ISERROR(FIND("NoICP",Modded_AMF_Table[[#This Row],[GL_ICP]]))),"",Modded_AMF_Table[[#This Row],[GL_ICP]])</f>
        <v/>
      </c>
      <c r="I300" t="s">
        <v>1212</v>
      </c>
      <c r="J300" t="s">
        <v>1491</v>
      </c>
      <c r="K300" t="str">
        <f>IFERROR(VLOOKUP(VALUE(Modded_AMF_Table[[#This Row],[GL_PC]]),BNS_Profit_Centers[],2,FALSE),"TE")</f>
        <v>TE</v>
      </c>
      <c r="L300" t="s">
        <v>1491</v>
      </c>
      <c r="M300" t="s">
        <v>1512</v>
      </c>
      <c r="N300" t="s">
        <v>1482</v>
      </c>
      <c r="O300" s="33">
        <v>-0.14000000000000001</v>
      </c>
    </row>
    <row r="301" spans="1:15" x14ac:dyDescent="0.25">
      <c r="A301" t="s">
        <v>1515</v>
      </c>
      <c r="B301" t="s">
        <v>1516</v>
      </c>
      <c r="C301" t="s">
        <v>169</v>
      </c>
      <c r="D301" t="str">
        <f>VLOOKUP(Modded_AMF_Table[[#This Row],[HFM_Account]],HFM_Acct_OCF_Activity[],3,FALSE)</f>
        <v>Direct</v>
      </c>
      <c r="E301" t="s">
        <v>1210</v>
      </c>
      <c r="F301" t="s">
        <v>1194</v>
      </c>
      <c r="G301" t="s">
        <v>1517</v>
      </c>
      <c r="H301" t="str">
        <f>IF(NOT(ISERROR(FIND("NoICP",Modded_AMF_Table[[#This Row],[GL_ICP]]))),"",Modded_AMF_Table[[#This Row],[GL_ICP]])</f>
        <v/>
      </c>
      <c r="I301" t="s">
        <v>1212</v>
      </c>
      <c r="J301" t="s">
        <v>1491</v>
      </c>
      <c r="K301" t="str">
        <f>IFERROR(VLOOKUP(VALUE(Modded_AMF_Table[[#This Row],[GL_PC]]),BNS_Profit_Centers[],2,FALSE),"TE")</f>
        <v>TE</v>
      </c>
      <c r="L301" t="s">
        <v>1491</v>
      </c>
      <c r="M301" t="s">
        <v>1515</v>
      </c>
      <c r="N301" t="s">
        <v>1482</v>
      </c>
      <c r="O301" s="33">
        <v>259.02</v>
      </c>
    </row>
    <row r="302" spans="1:15" x14ac:dyDescent="0.25">
      <c r="A302" t="s">
        <v>1515</v>
      </c>
      <c r="B302" t="s">
        <v>1516</v>
      </c>
      <c r="C302" t="s">
        <v>169</v>
      </c>
      <c r="D302" t="str">
        <f>VLOOKUP(Modded_AMF_Table[[#This Row],[HFM_Account]],HFM_Acct_OCF_Activity[],3,FALSE)</f>
        <v>Direct</v>
      </c>
      <c r="E302" t="s">
        <v>1210</v>
      </c>
      <c r="F302" t="s">
        <v>1194</v>
      </c>
      <c r="G302" t="s">
        <v>1517</v>
      </c>
      <c r="H302" t="str">
        <f>IF(NOT(ISERROR(FIND("NoICP",Modded_AMF_Table[[#This Row],[GL_ICP]]))),"",Modded_AMF_Table[[#This Row],[GL_ICP]])</f>
        <v/>
      </c>
      <c r="I302" t="s">
        <v>1212</v>
      </c>
      <c r="J302" t="s">
        <v>1492</v>
      </c>
      <c r="K302" t="str">
        <f>IFERROR(VLOOKUP(VALUE(Modded_AMF_Table[[#This Row],[GL_PC]]),BNS_Profit_Centers[],2,FALSE),"TE")</f>
        <v>BNS</v>
      </c>
      <c r="L302" t="s">
        <v>1492</v>
      </c>
      <c r="M302" t="s">
        <v>1515</v>
      </c>
      <c r="N302" t="s">
        <v>1482</v>
      </c>
      <c r="O302" s="33">
        <v>45.61</v>
      </c>
    </row>
    <row r="303" spans="1:15" x14ac:dyDescent="0.25">
      <c r="A303" t="s">
        <v>1515</v>
      </c>
      <c r="B303" t="s">
        <v>1516</v>
      </c>
      <c r="C303" t="s">
        <v>169</v>
      </c>
      <c r="D303" t="str">
        <f>VLOOKUP(Modded_AMF_Table[[#This Row],[HFM_Account]],HFM_Acct_OCF_Activity[],3,FALSE)</f>
        <v>Direct</v>
      </c>
      <c r="E303" t="s">
        <v>1210</v>
      </c>
      <c r="F303" t="s">
        <v>1194</v>
      </c>
      <c r="G303" t="s">
        <v>1517</v>
      </c>
      <c r="H303" t="str">
        <f>IF(NOT(ISERROR(FIND("NoICP",Modded_AMF_Table[[#This Row],[GL_ICP]]))),"",Modded_AMF_Table[[#This Row],[GL_ICP]])</f>
        <v/>
      </c>
      <c r="I303" t="s">
        <v>1212</v>
      </c>
      <c r="J303" t="s">
        <v>1425</v>
      </c>
      <c r="K303" t="str">
        <f>IFERROR(VLOOKUP(VALUE(Modded_AMF_Table[[#This Row],[GL_PC]]),BNS_Profit_Centers[],2,FALSE),"TE")</f>
        <v>TE</v>
      </c>
      <c r="L303" t="s">
        <v>1425</v>
      </c>
      <c r="M303" t="s">
        <v>1515</v>
      </c>
      <c r="N303" t="s">
        <v>1482</v>
      </c>
      <c r="O303" s="33">
        <v>171.41</v>
      </c>
    </row>
    <row r="304" spans="1:15" x14ac:dyDescent="0.25">
      <c r="A304" t="s">
        <v>1515</v>
      </c>
      <c r="B304" t="s">
        <v>1516</v>
      </c>
      <c r="C304" t="s">
        <v>169</v>
      </c>
      <c r="D304" t="str">
        <f>VLOOKUP(Modded_AMF_Table[[#This Row],[HFM_Account]],HFM_Acct_OCF_Activity[],3,FALSE)</f>
        <v>Direct</v>
      </c>
      <c r="E304" t="s">
        <v>1210</v>
      </c>
      <c r="F304" t="s">
        <v>1194</v>
      </c>
      <c r="G304" t="s">
        <v>1517</v>
      </c>
      <c r="H304" t="str">
        <f>IF(NOT(ISERROR(FIND("NoICP",Modded_AMF_Table[[#This Row],[GL_ICP]]))),"",Modded_AMF_Table[[#This Row],[GL_ICP]])</f>
        <v/>
      </c>
      <c r="I304" t="s">
        <v>1212</v>
      </c>
      <c r="J304" t="s">
        <v>1490</v>
      </c>
      <c r="K304" t="str">
        <f>IFERROR(VLOOKUP(VALUE(Modded_AMF_Table[[#This Row],[GL_PC]]),BNS_Profit_Centers[],2,FALSE),"TE")</f>
        <v>BNS</v>
      </c>
      <c r="L304" t="s">
        <v>1490</v>
      </c>
      <c r="M304" t="s">
        <v>1515</v>
      </c>
      <c r="N304" t="s">
        <v>1482</v>
      </c>
      <c r="O304" s="33">
        <v>186.34</v>
      </c>
    </row>
    <row r="305" spans="1:15" x14ac:dyDescent="0.25">
      <c r="A305" t="s">
        <v>1515</v>
      </c>
      <c r="B305" t="s">
        <v>1516</v>
      </c>
      <c r="C305" t="s">
        <v>169</v>
      </c>
      <c r="D305" t="str">
        <f>VLOOKUP(Modded_AMF_Table[[#This Row],[HFM_Account]],HFM_Acct_OCF_Activity[],3,FALSE)</f>
        <v>Direct</v>
      </c>
      <c r="E305" t="s">
        <v>1210</v>
      </c>
      <c r="F305" t="s">
        <v>1194</v>
      </c>
      <c r="G305" t="s">
        <v>1517</v>
      </c>
      <c r="H305" t="str">
        <f>IF(NOT(ISERROR(FIND("NoICP",Modded_AMF_Table[[#This Row],[GL_ICP]]))),"",Modded_AMF_Table[[#This Row],[GL_ICP]])</f>
        <v/>
      </c>
      <c r="I305" t="s">
        <v>1212</v>
      </c>
      <c r="J305" t="s">
        <v>1489</v>
      </c>
      <c r="K305" t="str">
        <f>IFERROR(VLOOKUP(VALUE(Modded_AMF_Table[[#This Row],[GL_PC]]),BNS_Profit_Centers[],2,FALSE),"TE")</f>
        <v>TE</v>
      </c>
      <c r="L305" t="s">
        <v>1489</v>
      </c>
      <c r="M305" t="s">
        <v>1515</v>
      </c>
      <c r="N305" t="s">
        <v>1482</v>
      </c>
      <c r="O305" s="33">
        <v>126.26</v>
      </c>
    </row>
    <row r="306" spans="1:15" x14ac:dyDescent="0.25">
      <c r="A306" t="s">
        <v>1515</v>
      </c>
      <c r="B306" t="s">
        <v>1516</v>
      </c>
      <c r="C306" t="s">
        <v>169</v>
      </c>
      <c r="D306" t="str">
        <f>VLOOKUP(Modded_AMF_Table[[#This Row],[HFM_Account]],HFM_Acct_OCF_Activity[],3,FALSE)</f>
        <v>Direct</v>
      </c>
      <c r="E306" t="s">
        <v>1210</v>
      </c>
      <c r="F306" t="s">
        <v>1194</v>
      </c>
      <c r="G306" t="s">
        <v>1517</v>
      </c>
      <c r="H306" t="str">
        <f>IF(NOT(ISERROR(FIND("NoICP",Modded_AMF_Table[[#This Row],[GL_ICP]]))),"",Modded_AMF_Table[[#This Row],[GL_ICP]])</f>
        <v/>
      </c>
      <c r="I306" t="s">
        <v>1212</v>
      </c>
      <c r="J306" t="s">
        <v>1213</v>
      </c>
      <c r="K306" t="str">
        <f>IFERROR(VLOOKUP(VALUE(Modded_AMF_Table[[#This Row],[GL_PC]]),BNS_Profit_Centers[],2,FALSE),"TE")</f>
        <v>TE</v>
      </c>
      <c r="L306" t="s">
        <v>1213</v>
      </c>
      <c r="M306" t="s">
        <v>1515</v>
      </c>
      <c r="N306" t="s">
        <v>1482</v>
      </c>
      <c r="O306" s="33">
        <v>235.5</v>
      </c>
    </row>
    <row r="307" spans="1:15" x14ac:dyDescent="0.25">
      <c r="A307" t="s">
        <v>143</v>
      </c>
      <c r="B307" t="s">
        <v>142</v>
      </c>
      <c r="C307" t="s">
        <v>143</v>
      </c>
      <c r="D307" t="str">
        <f>VLOOKUP(Modded_AMF_Table[[#This Row],[HFM_Account]],HFM_Acct_OCF_Activity[],3,FALSE)</f>
        <v>Exclude</v>
      </c>
      <c r="E307" t="s">
        <v>1210</v>
      </c>
      <c r="F307" t="s">
        <v>1194</v>
      </c>
      <c r="G307" t="s">
        <v>1252</v>
      </c>
      <c r="H307" t="str">
        <f>IF(NOT(ISERROR(FIND("NoICP",Modded_AMF_Table[[#This Row],[GL_ICP]]))),"",Modded_AMF_Table[[#This Row],[GL_ICP]])</f>
        <v>ZZ1151</v>
      </c>
      <c r="I307" t="s">
        <v>1253</v>
      </c>
      <c r="J307" t="s">
        <v>1213</v>
      </c>
      <c r="K307" t="str">
        <f>IFERROR(VLOOKUP(VALUE(Modded_AMF_Table[[#This Row],[GL_PC]]),BNS_Profit_Centers[],2,FALSE),"TE")</f>
        <v>TE</v>
      </c>
      <c r="L307" t="s">
        <v>1213</v>
      </c>
      <c r="M307" t="s">
        <v>143</v>
      </c>
      <c r="N307" t="s">
        <v>1482</v>
      </c>
      <c r="O307" s="33">
        <v>-715474.5</v>
      </c>
    </row>
    <row r="308" spans="1:15" x14ac:dyDescent="0.25">
      <c r="A308" t="s">
        <v>1518</v>
      </c>
      <c r="B308" t="s">
        <v>1519</v>
      </c>
      <c r="C308" t="s">
        <v>143</v>
      </c>
      <c r="D308" t="str">
        <f>VLOOKUP(Modded_AMF_Table[[#This Row],[HFM_Account]],HFM_Acct_OCF_Activity[],3,FALSE)</f>
        <v>Exclude</v>
      </c>
      <c r="E308" t="s">
        <v>1210</v>
      </c>
      <c r="F308" t="s">
        <v>1194</v>
      </c>
      <c r="G308" t="s">
        <v>1252</v>
      </c>
      <c r="H308" t="str">
        <f>IF(NOT(ISERROR(FIND("NoICP",Modded_AMF_Table[[#This Row],[GL_ICP]]))),"",Modded_AMF_Table[[#This Row],[GL_ICP]])</f>
        <v>ZZ1151</v>
      </c>
      <c r="I308" t="s">
        <v>1253</v>
      </c>
      <c r="J308" t="s">
        <v>1213</v>
      </c>
      <c r="K308" t="str">
        <f>IFERROR(VLOOKUP(VALUE(Modded_AMF_Table[[#This Row],[GL_PC]]),BNS_Profit_Centers[],2,FALSE),"TE")</f>
        <v>TE</v>
      </c>
      <c r="L308" t="s">
        <v>1213</v>
      </c>
      <c r="M308" t="s">
        <v>1518</v>
      </c>
      <c r="N308" t="s">
        <v>1482</v>
      </c>
      <c r="O308" s="33">
        <v>-777400</v>
      </c>
    </row>
    <row r="309" spans="1:15" x14ac:dyDescent="0.25">
      <c r="A309" t="s">
        <v>133</v>
      </c>
      <c r="B309" t="s">
        <v>132</v>
      </c>
      <c r="C309" t="s">
        <v>133</v>
      </c>
      <c r="D309" t="str">
        <f>VLOOKUP(Modded_AMF_Table[[#This Row],[HFM_Account]],HFM_Acct_OCF_Activity[],3,FALSE)</f>
        <v>Exclude</v>
      </c>
      <c r="E309" t="s">
        <v>1210</v>
      </c>
      <c r="F309" t="s">
        <v>1194</v>
      </c>
      <c r="G309" t="s">
        <v>1278</v>
      </c>
      <c r="H309" t="str">
        <f>IF(NOT(ISERROR(FIND("NoICP",Modded_AMF_Table[[#This Row],[GL_ICP]]))),"",Modded_AMF_Table[[#This Row],[GL_ICP]])</f>
        <v>ZZ1798</v>
      </c>
      <c r="I309" t="s">
        <v>1279</v>
      </c>
      <c r="J309" t="s">
        <v>1213</v>
      </c>
      <c r="K309" t="str">
        <f>IFERROR(VLOOKUP(VALUE(Modded_AMF_Table[[#This Row],[GL_PC]]),BNS_Profit_Centers[],2,FALSE),"TE")</f>
        <v>TE</v>
      </c>
      <c r="L309" t="s">
        <v>1213</v>
      </c>
      <c r="M309" t="s">
        <v>133</v>
      </c>
      <c r="N309" t="s">
        <v>1482</v>
      </c>
      <c r="O309" s="33">
        <v>33437.79</v>
      </c>
    </row>
    <row r="310" spans="1:15" x14ac:dyDescent="0.25">
      <c r="A310" t="s">
        <v>1520</v>
      </c>
      <c r="B310" t="s">
        <v>1327</v>
      </c>
      <c r="C310" t="s">
        <v>9</v>
      </c>
      <c r="D310" t="str">
        <f>VLOOKUP(Modded_AMF_Table[[#This Row],[HFM_Account]],HFM_Acct_OCF_Activity[],3,FALSE)</f>
        <v>Direct</v>
      </c>
      <c r="E310" t="s">
        <v>1210</v>
      </c>
      <c r="F310" t="s">
        <v>1194</v>
      </c>
      <c r="G310" t="s">
        <v>1328</v>
      </c>
      <c r="H310" t="str">
        <f>IF(NOT(ISERROR(FIND("NoICP",Modded_AMF_Table[[#This Row],[GL_ICP]]))),"",Modded_AMF_Table[[#This Row],[GL_ICP]])</f>
        <v/>
      </c>
      <c r="I310" t="s">
        <v>1212</v>
      </c>
      <c r="J310" t="s">
        <v>1521</v>
      </c>
      <c r="K310" t="str">
        <f>IFERROR(VLOOKUP(VALUE(Modded_AMF_Table[[#This Row],[GL_PC]]),BNS_Profit_Centers[],2,FALSE),"TE")</f>
        <v>TE</v>
      </c>
      <c r="L310" t="s">
        <v>1521</v>
      </c>
      <c r="M310" t="s">
        <v>1330</v>
      </c>
      <c r="N310" t="s">
        <v>1330</v>
      </c>
      <c r="O310" s="33">
        <v>13715.56</v>
      </c>
    </row>
    <row r="311" spans="1:15" x14ac:dyDescent="0.25">
      <c r="A311" t="s">
        <v>1520</v>
      </c>
      <c r="B311" t="s">
        <v>1447</v>
      </c>
      <c r="C311" t="s">
        <v>9</v>
      </c>
      <c r="D311" t="str">
        <f>VLOOKUP(Modded_AMF_Table[[#This Row],[HFM_Account]],HFM_Acct_OCF_Activity[],3,FALSE)</f>
        <v>Direct</v>
      </c>
      <c r="E311" t="s">
        <v>1210</v>
      </c>
      <c r="F311" t="s">
        <v>1194</v>
      </c>
      <c r="G311" t="s">
        <v>1448</v>
      </c>
      <c r="H311" t="str">
        <f>IF(NOT(ISERROR(FIND("NoICP",Modded_AMF_Table[[#This Row],[GL_ICP]]))),"",Modded_AMF_Table[[#This Row],[GL_ICP]])</f>
        <v/>
      </c>
      <c r="I311" t="s">
        <v>1212</v>
      </c>
      <c r="J311" t="s">
        <v>1521</v>
      </c>
      <c r="K311" t="str">
        <f>IFERROR(VLOOKUP(VALUE(Modded_AMF_Table[[#This Row],[GL_PC]]),BNS_Profit_Centers[],2,FALSE),"TE")</f>
        <v>TE</v>
      </c>
      <c r="L311" t="s">
        <v>1521</v>
      </c>
      <c r="M311" t="s">
        <v>1449</v>
      </c>
      <c r="N311" t="s">
        <v>1334</v>
      </c>
      <c r="O311" s="33">
        <v>556.5</v>
      </c>
    </row>
    <row r="312" spans="1:15" x14ac:dyDescent="0.25">
      <c r="A312" t="s">
        <v>1520</v>
      </c>
      <c r="B312" t="s">
        <v>1450</v>
      </c>
      <c r="C312" t="s">
        <v>9</v>
      </c>
      <c r="D312" t="str">
        <f>VLOOKUP(Modded_AMF_Table[[#This Row],[HFM_Account]],HFM_Acct_OCF_Activity[],3,FALSE)</f>
        <v>Direct</v>
      </c>
      <c r="E312" t="s">
        <v>1210</v>
      </c>
      <c r="F312" t="s">
        <v>1194</v>
      </c>
      <c r="G312" t="s">
        <v>1451</v>
      </c>
      <c r="H312" t="str">
        <f>IF(NOT(ISERROR(FIND("NoICP",Modded_AMF_Table[[#This Row],[GL_ICP]]))),"",Modded_AMF_Table[[#This Row],[GL_ICP]])</f>
        <v/>
      </c>
      <c r="I312" t="s">
        <v>1212</v>
      </c>
      <c r="J312" t="s">
        <v>1521</v>
      </c>
      <c r="K312" t="str">
        <f>IFERROR(VLOOKUP(VALUE(Modded_AMF_Table[[#This Row],[GL_PC]]),BNS_Profit_Centers[],2,FALSE),"TE")</f>
        <v>TE</v>
      </c>
      <c r="L312" t="s">
        <v>1521</v>
      </c>
      <c r="M312" t="s">
        <v>1452</v>
      </c>
      <c r="N312" t="s">
        <v>1330</v>
      </c>
      <c r="O312" s="33">
        <v>-556.5</v>
      </c>
    </row>
    <row r="313" spans="1:15" x14ac:dyDescent="0.25">
      <c r="A313" t="s">
        <v>1520</v>
      </c>
      <c r="B313" t="s">
        <v>1338</v>
      </c>
      <c r="C313" t="s">
        <v>9</v>
      </c>
      <c r="D313" t="str">
        <f>VLOOKUP(Modded_AMF_Table[[#This Row],[HFM_Account]],HFM_Acct_OCF_Activity[],3,FALSE)</f>
        <v>Direct</v>
      </c>
      <c r="E313" t="s">
        <v>1210</v>
      </c>
      <c r="F313" t="s">
        <v>1194</v>
      </c>
      <c r="G313" t="s">
        <v>1339</v>
      </c>
      <c r="H313" t="str">
        <f>IF(NOT(ISERROR(FIND("NoICP",Modded_AMF_Table[[#This Row],[GL_ICP]]))),"",Modded_AMF_Table[[#This Row],[GL_ICP]])</f>
        <v/>
      </c>
      <c r="I313" t="s">
        <v>1212</v>
      </c>
      <c r="J313" t="s">
        <v>1521</v>
      </c>
      <c r="K313" t="str">
        <f>IFERROR(VLOOKUP(VALUE(Modded_AMF_Table[[#This Row],[GL_PC]]),BNS_Profit_Centers[],2,FALSE),"TE")</f>
        <v>TE</v>
      </c>
      <c r="L313" t="s">
        <v>1521</v>
      </c>
      <c r="M313" t="s">
        <v>1340</v>
      </c>
      <c r="N313" t="s">
        <v>1334</v>
      </c>
      <c r="O313" s="33">
        <v>66.5</v>
      </c>
    </row>
    <row r="314" spans="1:15" x14ac:dyDescent="0.25">
      <c r="A314" t="s">
        <v>1520</v>
      </c>
      <c r="B314" t="s">
        <v>1341</v>
      </c>
      <c r="C314" t="s">
        <v>9</v>
      </c>
      <c r="D314" t="str">
        <f>VLOOKUP(Modded_AMF_Table[[#This Row],[HFM_Account]],HFM_Acct_OCF_Activity[],3,FALSE)</f>
        <v>Direct</v>
      </c>
      <c r="E314" t="s">
        <v>1210</v>
      </c>
      <c r="F314" t="s">
        <v>1194</v>
      </c>
      <c r="G314" t="s">
        <v>1342</v>
      </c>
      <c r="H314" t="str">
        <f>IF(NOT(ISERROR(FIND("NoICP",Modded_AMF_Table[[#This Row],[GL_ICP]]))),"",Modded_AMF_Table[[#This Row],[GL_ICP]])</f>
        <v/>
      </c>
      <c r="I314" t="s">
        <v>1212</v>
      </c>
      <c r="J314" t="s">
        <v>1521</v>
      </c>
      <c r="K314" t="str">
        <f>IFERROR(VLOOKUP(VALUE(Modded_AMF_Table[[#This Row],[GL_PC]]),BNS_Profit_Centers[],2,FALSE),"TE")</f>
        <v>TE</v>
      </c>
      <c r="L314" t="s">
        <v>1521</v>
      </c>
      <c r="M314" t="s">
        <v>1343</v>
      </c>
      <c r="N314" t="s">
        <v>1334</v>
      </c>
      <c r="O314" s="33">
        <v>150</v>
      </c>
    </row>
    <row r="315" spans="1:15" x14ac:dyDescent="0.25">
      <c r="A315" t="s">
        <v>1520</v>
      </c>
      <c r="B315" t="s">
        <v>1344</v>
      </c>
      <c r="C315" t="s">
        <v>9</v>
      </c>
      <c r="D315" t="str">
        <f>VLOOKUP(Modded_AMF_Table[[#This Row],[HFM_Account]],HFM_Acct_OCF_Activity[],3,FALSE)</f>
        <v>Direct</v>
      </c>
      <c r="E315" t="s">
        <v>1210</v>
      </c>
      <c r="F315" t="s">
        <v>1194</v>
      </c>
      <c r="G315" t="s">
        <v>1345</v>
      </c>
      <c r="H315" t="str">
        <f>IF(NOT(ISERROR(FIND("NoICP",Modded_AMF_Table[[#This Row],[GL_ICP]]))),"",Modded_AMF_Table[[#This Row],[GL_ICP]])</f>
        <v/>
      </c>
      <c r="I315" t="s">
        <v>1212</v>
      </c>
      <c r="J315" t="s">
        <v>1521</v>
      </c>
      <c r="K315" t="str">
        <f>IFERROR(VLOOKUP(VALUE(Modded_AMF_Table[[#This Row],[GL_PC]]),BNS_Profit_Centers[],2,FALSE),"TE")</f>
        <v>TE</v>
      </c>
      <c r="L315" t="s">
        <v>1521</v>
      </c>
      <c r="M315" t="s">
        <v>1346</v>
      </c>
      <c r="N315" t="s">
        <v>1347</v>
      </c>
      <c r="O315" s="33">
        <v>200</v>
      </c>
    </row>
    <row r="316" spans="1:15" x14ac:dyDescent="0.25">
      <c r="A316" t="s">
        <v>1520</v>
      </c>
      <c r="B316" t="s">
        <v>1352</v>
      </c>
      <c r="C316" t="s">
        <v>9</v>
      </c>
      <c r="D316" t="str">
        <f>VLOOKUP(Modded_AMF_Table[[#This Row],[HFM_Account]],HFM_Acct_OCF_Activity[],3,FALSE)</f>
        <v>Direct</v>
      </c>
      <c r="E316" t="s">
        <v>1210</v>
      </c>
      <c r="F316" t="s">
        <v>1194</v>
      </c>
      <c r="G316" t="s">
        <v>1353</v>
      </c>
      <c r="H316" t="str">
        <f>IF(NOT(ISERROR(FIND("NoICP",Modded_AMF_Table[[#This Row],[GL_ICP]]))),"",Modded_AMF_Table[[#This Row],[GL_ICP]])</f>
        <v/>
      </c>
      <c r="I316" t="s">
        <v>1212</v>
      </c>
      <c r="J316" t="s">
        <v>1521</v>
      </c>
      <c r="K316" t="str">
        <f>IFERROR(VLOOKUP(VALUE(Modded_AMF_Table[[#This Row],[GL_PC]]),BNS_Profit_Centers[],2,FALSE),"TE")</f>
        <v>TE</v>
      </c>
      <c r="L316" t="s">
        <v>1521</v>
      </c>
      <c r="M316" t="s">
        <v>1354</v>
      </c>
      <c r="N316" t="s">
        <v>1351</v>
      </c>
      <c r="O316" s="33">
        <v>39.799999999999997</v>
      </c>
    </row>
    <row r="317" spans="1:15" x14ac:dyDescent="0.25">
      <c r="A317" t="s">
        <v>1520</v>
      </c>
      <c r="B317" t="s">
        <v>1355</v>
      </c>
      <c r="C317" t="s">
        <v>9</v>
      </c>
      <c r="D317" t="str">
        <f>VLOOKUP(Modded_AMF_Table[[#This Row],[HFM_Account]],HFM_Acct_OCF_Activity[],3,FALSE)</f>
        <v>Direct</v>
      </c>
      <c r="E317" t="s">
        <v>1210</v>
      </c>
      <c r="F317" t="s">
        <v>1194</v>
      </c>
      <c r="G317" t="s">
        <v>1356</v>
      </c>
      <c r="H317" t="str">
        <f>IF(NOT(ISERROR(FIND("NoICP",Modded_AMF_Table[[#This Row],[GL_ICP]]))),"",Modded_AMF_Table[[#This Row],[GL_ICP]])</f>
        <v/>
      </c>
      <c r="I317" t="s">
        <v>1212</v>
      </c>
      <c r="J317" t="s">
        <v>1521</v>
      </c>
      <c r="K317" t="str">
        <f>IFERROR(VLOOKUP(VALUE(Modded_AMF_Table[[#This Row],[GL_PC]]),BNS_Profit_Centers[],2,FALSE),"TE")</f>
        <v>TE</v>
      </c>
      <c r="L317" t="s">
        <v>1521</v>
      </c>
      <c r="M317" t="s">
        <v>1357</v>
      </c>
      <c r="N317" t="s">
        <v>1351</v>
      </c>
      <c r="O317" s="33">
        <v>124</v>
      </c>
    </row>
    <row r="318" spans="1:15" x14ac:dyDescent="0.25">
      <c r="A318" t="s">
        <v>1520</v>
      </c>
      <c r="B318" t="s">
        <v>1358</v>
      </c>
      <c r="C318" t="s">
        <v>9</v>
      </c>
      <c r="D318" t="str">
        <f>VLOOKUP(Modded_AMF_Table[[#This Row],[HFM_Account]],HFM_Acct_OCF_Activity[],3,FALSE)</f>
        <v>Direct</v>
      </c>
      <c r="E318" t="s">
        <v>1210</v>
      </c>
      <c r="F318" t="s">
        <v>1194</v>
      </c>
      <c r="G318" t="s">
        <v>1359</v>
      </c>
      <c r="H318" t="str">
        <f>IF(NOT(ISERROR(FIND("NoICP",Modded_AMF_Table[[#This Row],[GL_ICP]]))),"",Modded_AMF_Table[[#This Row],[GL_ICP]])</f>
        <v/>
      </c>
      <c r="I318" t="s">
        <v>1212</v>
      </c>
      <c r="J318" t="s">
        <v>1521</v>
      </c>
      <c r="K318" t="str">
        <f>IFERROR(VLOOKUP(VALUE(Modded_AMF_Table[[#This Row],[GL_PC]]),BNS_Profit_Centers[],2,FALSE),"TE")</f>
        <v>TE</v>
      </c>
      <c r="L318" t="s">
        <v>1521</v>
      </c>
      <c r="M318" t="s">
        <v>1360</v>
      </c>
      <c r="N318" t="s">
        <v>1361</v>
      </c>
      <c r="O318" s="33">
        <v>291.69</v>
      </c>
    </row>
    <row r="319" spans="1:15" x14ac:dyDescent="0.25">
      <c r="A319" t="s">
        <v>1520</v>
      </c>
      <c r="B319" t="s">
        <v>1372</v>
      </c>
      <c r="C319" t="s">
        <v>9</v>
      </c>
      <c r="D319" t="str">
        <f>VLOOKUP(Modded_AMF_Table[[#This Row],[HFM_Account]],HFM_Acct_OCF_Activity[],3,FALSE)</f>
        <v>Direct</v>
      </c>
      <c r="E319" t="s">
        <v>1210</v>
      </c>
      <c r="F319" t="s">
        <v>1194</v>
      </c>
      <c r="G319" t="s">
        <v>1373</v>
      </c>
      <c r="H319" t="str">
        <f>IF(NOT(ISERROR(FIND("NoICP",Modded_AMF_Table[[#This Row],[GL_ICP]]))),"",Modded_AMF_Table[[#This Row],[GL_ICP]])</f>
        <v/>
      </c>
      <c r="I319" t="s">
        <v>1212</v>
      </c>
      <c r="J319" t="s">
        <v>1521</v>
      </c>
      <c r="K319" t="str">
        <f>IFERROR(VLOOKUP(VALUE(Modded_AMF_Table[[#This Row],[GL_PC]]),BNS_Profit_Centers[],2,FALSE),"TE")</f>
        <v>TE</v>
      </c>
      <c r="L319" t="s">
        <v>1521</v>
      </c>
      <c r="M319" t="s">
        <v>1374</v>
      </c>
      <c r="N319" t="s">
        <v>1374</v>
      </c>
      <c r="O319" s="33">
        <v>2542</v>
      </c>
    </row>
    <row r="320" spans="1:15" x14ac:dyDescent="0.25">
      <c r="A320" t="s">
        <v>1520</v>
      </c>
      <c r="B320" t="s">
        <v>1378</v>
      </c>
      <c r="C320" t="s">
        <v>9</v>
      </c>
      <c r="D320" t="str">
        <f>VLOOKUP(Modded_AMF_Table[[#This Row],[HFM_Account]],HFM_Acct_OCF_Activity[],3,FALSE)</f>
        <v>Direct</v>
      </c>
      <c r="E320" t="s">
        <v>1210</v>
      </c>
      <c r="F320" t="s">
        <v>1194</v>
      </c>
      <c r="G320" t="s">
        <v>1379</v>
      </c>
      <c r="H320" t="str">
        <f>IF(NOT(ISERROR(FIND("NoICP",Modded_AMF_Table[[#This Row],[GL_ICP]]))),"",Modded_AMF_Table[[#This Row],[GL_ICP]])</f>
        <v/>
      </c>
      <c r="I320" t="s">
        <v>1212</v>
      </c>
      <c r="J320" t="s">
        <v>1521</v>
      </c>
      <c r="K320" t="str">
        <f>IFERROR(VLOOKUP(VALUE(Modded_AMF_Table[[#This Row],[GL_PC]]),BNS_Profit_Centers[],2,FALSE),"TE")</f>
        <v>TE</v>
      </c>
      <c r="L320" t="s">
        <v>1521</v>
      </c>
      <c r="M320" t="s">
        <v>1380</v>
      </c>
      <c r="N320" t="s">
        <v>1380</v>
      </c>
      <c r="O320" s="33">
        <v>12.85</v>
      </c>
    </row>
    <row r="321" spans="1:15" x14ac:dyDescent="0.25">
      <c r="A321" t="s">
        <v>1520</v>
      </c>
      <c r="B321" t="s">
        <v>1381</v>
      </c>
      <c r="C321" t="s">
        <v>9</v>
      </c>
      <c r="D321" t="str">
        <f>VLOOKUP(Modded_AMF_Table[[#This Row],[HFM_Account]],HFM_Acct_OCF_Activity[],3,FALSE)</f>
        <v>Direct</v>
      </c>
      <c r="E321" t="s">
        <v>1210</v>
      </c>
      <c r="F321" t="s">
        <v>1194</v>
      </c>
      <c r="G321" t="s">
        <v>1382</v>
      </c>
      <c r="H321" t="str">
        <f>IF(NOT(ISERROR(FIND("NoICP",Modded_AMF_Table[[#This Row],[GL_ICP]]))),"",Modded_AMF_Table[[#This Row],[GL_ICP]])</f>
        <v/>
      </c>
      <c r="I321" t="s">
        <v>1212</v>
      </c>
      <c r="J321" t="s">
        <v>1521</v>
      </c>
      <c r="K321" t="str">
        <f>IFERROR(VLOOKUP(VALUE(Modded_AMF_Table[[#This Row],[GL_PC]]),BNS_Profit_Centers[],2,FALSE),"TE")</f>
        <v>TE</v>
      </c>
      <c r="L321" t="s">
        <v>1521</v>
      </c>
      <c r="M321" t="s">
        <v>1383</v>
      </c>
      <c r="N321" t="s">
        <v>1334</v>
      </c>
      <c r="O321" s="33">
        <v>4838.17</v>
      </c>
    </row>
    <row r="322" spans="1:15" x14ac:dyDescent="0.25">
      <c r="A322" t="s">
        <v>1520</v>
      </c>
      <c r="B322" t="s">
        <v>1384</v>
      </c>
      <c r="C322" t="s">
        <v>9</v>
      </c>
      <c r="D322" t="str">
        <f>VLOOKUP(Modded_AMF_Table[[#This Row],[HFM_Account]],HFM_Acct_OCF_Activity[],3,FALSE)</f>
        <v>Direct</v>
      </c>
      <c r="E322" t="s">
        <v>1210</v>
      </c>
      <c r="F322" t="s">
        <v>1194</v>
      </c>
      <c r="G322" t="s">
        <v>1385</v>
      </c>
      <c r="H322" t="str">
        <f>IF(NOT(ISERROR(FIND("NoICP",Modded_AMF_Table[[#This Row],[GL_ICP]]))),"",Modded_AMF_Table[[#This Row],[GL_ICP]])</f>
        <v/>
      </c>
      <c r="I322" t="s">
        <v>1212</v>
      </c>
      <c r="J322" t="s">
        <v>1521</v>
      </c>
      <c r="K322" t="str">
        <f>IFERROR(VLOOKUP(VALUE(Modded_AMF_Table[[#This Row],[GL_PC]]),BNS_Profit_Centers[],2,FALSE),"TE")</f>
        <v>TE</v>
      </c>
      <c r="L322" t="s">
        <v>1521</v>
      </c>
      <c r="M322" t="s">
        <v>1386</v>
      </c>
      <c r="N322" t="s">
        <v>1386</v>
      </c>
      <c r="O322" s="33">
        <v>19.63</v>
      </c>
    </row>
    <row r="323" spans="1:15" x14ac:dyDescent="0.25">
      <c r="A323" t="s">
        <v>1520</v>
      </c>
      <c r="B323" t="s">
        <v>1394</v>
      </c>
      <c r="C323" t="s">
        <v>9</v>
      </c>
      <c r="D323" t="str">
        <f>VLOOKUP(Modded_AMF_Table[[#This Row],[HFM_Account]],HFM_Acct_OCF_Activity[],3,FALSE)</f>
        <v>Direct</v>
      </c>
      <c r="E323" t="s">
        <v>1210</v>
      </c>
      <c r="F323" t="s">
        <v>1194</v>
      </c>
      <c r="G323" t="s">
        <v>1395</v>
      </c>
      <c r="H323" t="str">
        <f>IF(NOT(ISERROR(FIND("NoICP",Modded_AMF_Table[[#This Row],[GL_ICP]]))),"",Modded_AMF_Table[[#This Row],[GL_ICP]])</f>
        <v/>
      </c>
      <c r="I323" t="s">
        <v>1212</v>
      </c>
      <c r="J323" t="s">
        <v>1521</v>
      </c>
      <c r="K323" t="str">
        <f>IFERROR(VLOOKUP(VALUE(Modded_AMF_Table[[#This Row],[GL_PC]]),BNS_Profit_Centers[],2,FALSE),"TE")</f>
        <v>TE</v>
      </c>
      <c r="L323" t="s">
        <v>1521</v>
      </c>
      <c r="M323" t="s">
        <v>1396</v>
      </c>
      <c r="N323" t="s">
        <v>1390</v>
      </c>
      <c r="O323" s="33">
        <v>231</v>
      </c>
    </row>
    <row r="324" spans="1:15" x14ac:dyDescent="0.25">
      <c r="A324" t="s">
        <v>1520</v>
      </c>
      <c r="B324" t="s">
        <v>1400</v>
      </c>
      <c r="C324" t="s">
        <v>9</v>
      </c>
      <c r="D324" t="str">
        <f>VLOOKUP(Modded_AMF_Table[[#This Row],[HFM_Account]],HFM_Acct_OCF_Activity[],3,FALSE)</f>
        <v>Direct</v>
      </c>
      <c r="E324" t="s">
        <v>1210</v>
      </c>
      <c r="F324" t="s">
        <v>1194</v>
      </c>
      <c r="G324" t="s">
        <v>1401</v>
      </c>
      <c r="H324" t="str">
        <f>IF(NOT(ISERROR(FIND("NoICP",Modded_AMF_Table[[#This Row],[GL_ICP]]))),"",Modded_AMF_Table[[#This Row],[GL_ICP]])</f>
        <v/>
      </c>
      <c r="I324" t="s">
        <v>1212</v>
      </c>
      <c r="J324" t="s">
        <v>1521</v>
      </c>
      <c r="K324" t="str">
        <f>IFERROR(VLOOKUP(VALUE(Modded_AMF_Table[[#This Row],[GL_PC]]),BNS_Profit_Centers[],2,FALSE),"TE")</f>
        <v>TE</v>
      </c>
      <c r="L324" t="s">
        <v>1521</v>
      </c>
      <c r="M324" t="s">
        <v>1402</v>
      </c>
      <c r="N324" t="s">
        <v>1390</v>
      </c>
      <c r="O324" s="33">
        <v>16.670000000000002</v>
      </c>
    </row>
    <row r="325" spans="1:15" x14ac:dyDescent="0.25">
      <c r="A325" t="s">
        <v>1520</v>
      </c>
      <c r="B325" t="s">
        <v>1522</v>
      </c>
      <c r="C325" t="s">
        <v>9</v>
      </c>
      <c r="D325" t="str">
        <f>VLOOKUP(Modded_AMF_Table[[#This Row],[HFM_Account]],HFM_Acct_OCF_Activity[],3,FALSE)</f>
        <v>Direct</v>
      </c>
      <c r="E325" t="s">
        <v>1210</v>
      </c>
      <c r="F325" t="s">
        <v>1194</v>
      </c>
      <c r="G325" t="s">
        <v>1523</v>
      </c>
      <c r="H325" t="str">
        <f>IF(NOT(ISERROR(FIND("NoICP",Modded_AMF_Table[[#This Row],[GL_ICP]]))),"",Modded_AMF_Table[[#This Row],[GL_ICP]])</f>
        <v/>
      </c>
      <c r="I325" t="s">
        <v>1212</v>
      </c>
      <c r="J325" t="s">
        <v>1521</v>
      </c>
      <c r="K325" t="str">
        <f>IFERROR(VLOOKUP(VALUE(Modded_AMF_Table[[#This Row],[GL_PC]]),BNS_Profit_Centers[],2,FALSE),"TE")</f>
        <v>TE</v>
      </c>
      <c r="L325" t="s">
        <v>1521</v>
      </c>
      <c r="M325" t="s">
        <v>1524</v>
      </c>
      <c r="N325" t="s">
        <v>1524</v>
      </c>
      <c r="O325" s="33">
        <v>4270</v>
      </c>
    </row>
    <row r="326" spans="1:15" x14ac:dyDescent="0.25">
      <c r="A326" t="s">
        <v>1520</v>
      </c>
      <c r="B326" t="s">
        <v>1525</v>
      </c>
      <c r="C326" t="s">
        <v>9</v>
      </c>
      <c r="D326" t="str">
        <f>VLOOKUP(Modded_AMF_Table[[#This Row],[HFM_Account]],HFM_Acct_OCF_Activity[],3,FALSE)</f>
        <v>Direct</v>
      </c>
      <c r="E326" t="s">
        <v>1210</v>
      </c>
      <c r="F326" t="s">
        <v>1194</v>
      </c>
      <c r="G326" t="s">
        <v>1526</v>
      </c>
      <c r="H326" t="str">
        <f>IF(NOT(ISERROR(FIND("NoICP",Modded_AMF_Table[[#This Row],[GL_ICP]]))),"",Modded_AMF_Table[[#This Row],[GL_ICP]])</f>
        <v/>
      </c>
      <c r="I326" t="s">
        <v>1212</v>
      </c>
      <c r="J326" t="s">
        <v>1521</v>
      </c>
      <c r="K326" t="str">
        <f>IFERROR(VLOOKUP(VALUE(Modded_AMF_Table[[#This Row],[GL_PC]]),BNS_Profit_Centers[],2,FALSE),"TE")</f>
        <v>TE</v>
      </c>
      <c r="L326" t="s">
        <v>1521</v>
      </c>
      <c r="M326" t="s">
        <v>1527</v>
      </c>
      <c r="N326" t="s">
        <v>1528</v>
      </c>
      <c r="O326" s="33">
        <v>2328.4699999999998</v>
      </c>
    </row>
    <row r="327" spans="1:15" x14ac:dyDescent="0.25">
      <c r="A327" t="s">
        <v>1520</v>
      </c>
      <c r="B327" t="s">
        <v>1529</v>
      </c>
      <c r="C327" t="s">
        <v>9</v>
      </c>
      <c r="D327" t="str">
        <f>VLOOKUP(Modded_AMF_Table[[#This Row],[HFM_Account]],HFM_Acct_OCF_Activity[],3,FALSE)</f>
        <v>Direct</v>
      </c>
      <c r="E327" t="s">
        <v>1210</v>
      </c>
      <c r="F327" t="s">
        <v>1194</v>
      </c>
      <c r="G327" t="s">
        <v>1530</v>
      </c>
      <c r="H327" t="str">
        <f>IF(NOT(ISERROR(FIND("NoICP",Modded_AMF_Table[[#This Row],[GL_ICP]]))),"",Modded_AMF_Table[[#This Row],[GL_ICP]])</f>
        <v/>
      </c>
      <c r="I327" t="s">
        <v>1212</v>
      </c>
      <c r="J327" t="s">
        <v>1521</v>
      </c>
      <c r="K327" t="str">
        <f>IFERROR(VLOOKUP(VALUE(Modded_AMF_Table[[#This Row],[GL_PC]]),BNS_Profit_Centers[],2,FALSE),"TE")</f>
        <v>TE</v>
      </c>
      <c r="L327" t="s">
        <v>1521</v>
      </c>
      <c r="M327" t="s">
        <v>1531</v>
      </c>
      <c r="N327" t="s">
        <v>1531</v>
      </c>
      <c r="O327" s="33">
        <v>7.94</v>
      </c>
    </row>
    <row r="328" spans="1:15" x14ac:dyDescent="0.25">
      <c r="A328" t="s">
        <v>1520</v>
      </c>
      <c r="B328" t="s">
        <v>1433</v>
      </c>
      <c r="C328" t="s">
        <v>9</v>
      </c>
      <c r="D328" t="str">
        <f>VLOOKUP(Modded_AMF_Table[[#This Row],[HFM_Account]],HFM_Acct_OCF_Activity[],3,FALSE)</f>
        <v>Direct</v>
      </c>
      <c r="E328" t="s">
        <v>1210</v>
      </c>
      <c r="F328" t="s">
        <v>1194</v>
      </c>
      <c r="G328" t="s">
        <v>1434</v>
      </c>
      <c r="H328" t="str">
        <f>IF(NOT(ISERROR(FIND("NoICP",Modded_AMF_Table[[#This Row],[GL_ICP]]))),"",Modded_AMF_Table[[#This Row],[GL_ICP]])</f>
        <v/>
      </c>
      <c r="I328" t="s">
        <v>1212</v>
      </c>
      <c r="J328" t="s">
        <v>1521</v>
      </c>
      <c r="K328" t="str">
        <f>IFERROR(VLOOKUP(VALUE(Modded_AMF_Table[[#This Row],[GL_PC]]),BNS_Profit_Centers[],2,FALSE),"TE")</f>
        <v>TE</v>
      </c>
      <c r="L328" t="s">
        <v>1521</v>
      </c>
      <c r="M328" t="s">
        <v>1435</v>
      </c>
      <c r="N328" t="s">
        <v>1436</v>
      </c>
      <c r="O328" s="33">
        <v>607.04</v>
      </c>
    </row>
    <row r="329" spans="1:15" x14ac:dyDescent="0.25">
      <c r="A329" t="s">
        <v>1520</v>
      </c>
      <c r="B329" t="s">
        <v>1439</v>
      </c>
      <c r="C329" t="s">
        <v>9</v>
      </c>
      <c r="D329" t="str">
        <f>VLOOKUP(Modded_AMF_Table[[#This Row],[HFM_Account]],HFM_Acct_OCF_Activity[],3,FALSE)</f>
        <v>Direct</v>
      </c>
      <c r="E329" t="s">
        <v>1210</v>
      </c>
      <c r="F329" t="s">
        <v>1194</v>
      </c>
      <c r="G329" t="s">
        <v>1440</v>
      </c>
      <c r="H329" t="str">
        <f>IF(NOT(ISERROR(FIND("NoICP",Modded_AMF_Table[[#This Row],[GL_ICP]]))),"",Modded_AMF_Table[[#This Row],[GL_ICP]])</f>
        <v/>
      </c>
      <c r="I329" t="s">
        <v>1212</v>
      </c>
      <c r="J329" t="s">
        <v>1521</v>
      </c>
      <c r="K329" t="str">
        <f>IFERROR(VLOOKUP(VALUE(Modded_AMF_Table[[#This Row],[GL_PC]]),BNS_Profit_Centers[],2,FALSE),"TE")</f>
        <v>TE</v>
      </c>
      <c r="L329" t="s">
        <v>1521</v>
      </c>
      <c r="M329" t="s">
        <v>1441</v>
      </c>
      <c r="N329" t="s">
        <v>1441</v>
      </c>
      <c r="O329" s="33">
        <v>22.89</v>
      </c>
    </row>
    <row r="330" spans="1:15" x14ac:dyDescent="0.25">
      <c r="A330" t="s">
        <v>1520</v>
      </c>
      <c r="B330" t="s">
        <v>1532</v>
      </c>
      <c r="C330" t="s">
        <v>9</v>
      </c>
      <c r="D330" t="str">
        <f>VLOOKUP(Modded_AMF_Table[[#This Row],[HFM_Account]],HFM_Acct_OCF_Activity[],3,FALSE)</f>
        <v>Direct</v>
      </c>
      <c r="E330" t="s">
        <v>1210</v>
      </c>
      <c r="F330" t="s">
        <v>1194</v>
      </c>
      <c r="G330" t="s">
        <v>1533</v>
      </c>
      <c r="H330" t="str">
        <f>IF(NOT(ISERROR(FIND("NoICP",Modded_AMF_Table[[#This Row],[GL_ICP]]))),"",Modded_AMF_Table[[#This Row],[GL_ICP]])</f>
        <v/>
      </c>
      <c r="I330" t="s">
        <v>1212</v>
      </c>
      <c r="J330" t="s">
        <v>1534</v>
      </c>
      <c r="K330" t="str">
        <f>IFERROR(VLOOKUP(VALUE(Modded_AMF_Table[[#This Row],[GL_PC]]),BNS_Profit_Centers[],2,FALSE),"TE")</f>
        <v>TE</v>
      </c>
      <c r="L330" t="s">
        <v>1534</v>
      </c>
      <c r="M330" t="s">
        <v>1535</v>
      </c>
      <c r="N330" t="s">
        <v>1334</v>
      </c>
      <c r="O330" s="33">
        <v>1427.77</v>
      </c>
    </row>
    <row r="331" spans="1:15" x14ac:dyDescent="0.25">
      <c r="A331" t="s">
        <v>1520</v>
      </c>
      <c r="B331" t="s">
        <v>1341</v>
      </c>
      <c r="C331" t="s">
        <v>9</v>
      </c>
      <c r="D331" t="str">
        <f>VLOOKUP(Modded_AMF_Table[[#This Row],[HFM_Account]],HFM_Acct_OCF_Activity[],3,FALSE)</f>
        <v>Direct</v>
      </c>
      <c r="E331" t="s">
        <v>1210</v>
      </c>
      <c r="F331" t="s">
        <v>1194</v>
      </c>
      <c r="G331" t="s">
        <v>1342</v>
      </c>
      <c r="H331" t="str">
        <f>IF(NOT(ISERROR(FIND("NoICP",Modded_AMF_Table[[#This Row],[GL_ICP]]))),"",Modded_AMF_Table[[#This Row],[GL_ICP]])</f>
        <v/>
      </c>
      <c r="I331" t="s">
        <v>1212</v>
      </c>
      <c r="J331" t="s">
        <v>1534</v>
      </c>
      <c r="K331" t="str">
        <f>IFERROR(VLOOKUP(VALUE(Modded_AMF_Table[[#This Row],[GL_PC]]),BNS_Profit_Centers[],2,FALSE),"TE")</f>
        <v>TE</v>
      </c>
      <c r="L331" t="s">
        <v>1534</v>
      </c>
      <c r="M331" t="s">
        <v>1343</v>
      </c>
      <c r="N331" t="s">
        <v>1334</v>
      </c>
      <c r="O331" s="33">
        <v>2637.41</v>
      </c>
    </row>
    <row r="332" spans="1:15" x14ac:dyDescent="0.25">
      <c r="A332" t="s">
        <v>1520</v>
      </c>
      <c r="B332" t="s">
        <v>1536</v>
      </c>
      <c r="C332" t="s">
        <v>9</v>
      </c>
      <c r="D332" t="str">
        <f>VLOOKUP(Modded_AMF_Table[[#This Row],[HFM_Account]],HFM_Acct_OCF_Activity[],3,FALSE)</f>
        <v>Direct</v>
      </c>
      <c r="E332" t="s">
        <v>1210</v>
      </c>
      <c r="F332" t="s">
        <v>1194</v>
      </c>
      <c r="G332" t="s">
        <v>1537</v>
      </c>
      <c r="H332" t="str">
        <f>IF(NOT(ISERROR(FIND("NoICP",Modded_AMF_Table[[#This Row],[GL_ICP]]))),"",Modded_AMF_Table[[#This Row],[GL_ICP]])</f>
        <v/>
      </c>
      <c r="I332" t="s">
        <v>1212</v>
      </c>
      <c r="J332" t="s">
        <v>1534</v>
      </c>
      <c r="K332" t="str">
        <f>IFERROR(VLOOKUP(VALUE(Modded_AMF_Table[[#This Row],[GL_PC]]),BNS_Profit_Centers[],2,FALSE),"TE")</f>
        <v>TE</v>
      </c>
      <c r="L332" t="s">
        <v>1534</v>
      </c>
      <c r="M332" t="s">
        <v>1018</v>
      </c>
      <c r="N332" t="s">
        <v>1538</v>
      </c>
      <c r="O332" s="33">
        <v>697</v>
      </c>
    </row>
    <row r="333" spans="1:15" x14ac:dyDescent="0.25">
      <c r="A333" t="s">
        <v>1520</v>
      </c>
      <c r="B333" t="s">
        <v>1539</v>
      </c>
      <c r="C333" t="s">
        <v>9</v>
      </c>
      <c r="D333" t="str">
        <f>VLOOKUP(Modded_AMF_Table[[#This Row],[HFM_Account]],HFM_Acct_OCF_Activity[],3,FALSE)</f>
        <v>Direct</v>
      </c>
      <c r="E333" t="s">
        <v>1210</v>
      </c>
      <c r="F333" t="s">
        <v>1194</v>
      </c>
      <c r="G333" t="s">
        <v>1540</v>
      </c>
      <c r="H333" t="str">
        <f>IF(NOT(ISERROR(FIND("NoICP",Modded_AMF_Table[[#This Row],[GL_ICP]]))),"",Modded_AMF_Table[[#This Row],[GL_ICP]])</f>
        <v/>
      </c>
      <c r="I333" t="s">
        <v>1212</v>
      </c>
      <c r="J333" t="s">
        <v>1534</v>
      </c>
      <c r="K333" t="str">
        <f>IFERROR(VLOOKUP(VALUE(Modded_AMF_Table[[#This Row],[GL_PC]]),BNS_Profit_Centers[],2,FALSE),"TE")</f>
        <v>TE</v>
      </c>
      <c r="L333" t="s">
        <v>1534</v>
      </c>
      <c r="M333" t="s">
        <v>1541</v>
      </c>
      <c r="N333" t="s">
        <v>1347</v>
      </c>
      <c r="O333" s="33">
        <v>3561.41</v>
      </c>
    </row>
    <row r="334" spans="1:15" x14ac:dyDescent="0.25">
      <c r="A334" t="s">
        <v>1520</v>
      </c>
      <c r="B334" t="s">
        <v>1542</v>
      </c>
      <c r="C334" t="s">
        <v>9</v>
      </c>
      <c r="D334" t="str">
        <f>VLOOKUP(Modded_AMF_Table[[#This Row],[HFM_Account]],HFM_Acct_OCF_Activity[],3,FALSE)</f>
        <v>Direct</v>
      </c>
      <c r="E334" t="s">
        <v>1210</v>
      </c>
      <c r="F334" t="s">
        <v>1194</v>
      </c>
      <c r="G334" t="s">
        <v>1543</v>
      </c>
      <c r="H334" t="str">
        <f>IF(NOT(ISERROR(FIND("NoICP",Modded_AMF_Table[[#This Row],[GL_ICP]]))),"",Modded_AMF_Table[[#This Row],[GL_ICP]])</f>
        <v/>
      </c>
      <c r="I334" t="s">
        <v>1212</v>
      </c>
      <c r="J334" t="s">
        <v>1534</v>
      </c>
      <c r="K334" t="str">
        <f>IFERROR(VLOOKUP(VALUE(Modded_AMF_Table[[#This Row],[GL_PC]]),BNS_Profit_Centers[],2,FALSE),"TE")</f>
        <v>TE</v>
      </c>
      <c r="L334" t="s">
        <v>1534</v>
      </c>
      <c r="M334" t="s">
        <v>1544</v>
      </c>
      <c r="N334" t="s">
        <v>1347</v>
      </c>
      <c r="O334" s="33">
        <v>769.01</v>
      </c>
    </row>
    <row r="335" spans="1:15" x14ac:dyDescent="0.25">
      <c r="A335" t="s">
        <v>1520</v>
      </c>
      <c r="B335" t="s">
        <v>1344</v>
      </c>
      <c r="C335" t="s">
        <v>9</v>
      </c>
      <c r="D335" t="str">
        <f>VLOOKUP(Modded_AMF_Table[[#This Row],[HFM_Account]],HFM_Acct_OCF_Activity[],3,FALSE)</f>
        <v>Direct</v>
      </c>
      <c r="E335" t="s">
        <v>1210</v>
      </c>
      <c r="F335" t="s">
        <v>1194</v>
      </c>
      <c r="G335" t="s">
        <v>1345</v>
      </c>
      <c r="H335" t="str">
        <f>IF(NOT(ISERROR(FIND("NoICP",Modded_AMF_Table[[#This Row],[GL_ICP]]))),"",Modded_AMF_Table[[#This Row],[GL_ICP]])</f>
        <v/>
      </c>
      <c r="I335" t="s">
        <v>1212</v>
      </c>
      <c r="J335" t="s">
        <v>1534</v>
      </c>
      <c r="K335" t="str">
        <f>IFERROR(VLOOKUP(VALUE(Modded_AMF_Table[[#This Row],[GL_PC]]),BNS_Profit_Centers[],2,FALSE),"TE")</f>
        <v>TE</v>
      </c>
      <c r="L335" t="s">
        <v>1534</v>
      </c>
      <c r="M335" t="s">
        <v>1346</v>
      </c>
      <c r="N335" t="s">
        <v>1347</v>
      </c>
      <c r="O335" s="33">
        <v>-3120</v>
      </c>
    </row>
    <row r="336" spans="1:15" x14ac:dyDescent="0.25">
      <c r="A336" t="s">
        <v>1520</v>
      </c>
      <c r="B336" t="s">
        <v>1545</v>
      </c>
      <c r="C336" t="s">
        <v>9</v>
      </c>
      <c r="D336" t="str">
        <f>VLOOKUP(Modded_AMF_Table[[#This Row],[HFM_Account]],HFM_Acct_OCF_Activity[],3,FALSE)</f>
        <v>Direct</v>
      </c>
      <c r="E336" t="s">
        <v>1210</v>
      </c>
      <c r="F336" t="s">
        <v>1194</v>
      </c>
      <c r="G336" t="s">
        <v>1546</v>
      </c>
      <c r="H336" t="str">
        <f>IF(NOT(ISERROR(FIND("NoICP",Modded_AMF_Table[[#This Row],[GL_ICP]]))),"",Modded_AMF_Table[[#This Row],[GL_ICP]])</f>
        <v/>
      </c>
      <c r="I336" t="s">
        <v>1212</v>
      </c>
      <c r="J336" t="s">
        <v>1534</v>
      </c>
      <c r="K336" t="str">
        <f>IFERROR(VLOOKUP(VALUE(Modded_AMF_Table[[#This Row],[GL_PC]]),BNS_Profit_Centers[],2,FALSE),"TE")</f>
        <v>TE</v>
      </c>
      <c r="L336" t="s">
        <v>1534</v>
      </c>
      <c r="M336" t="s">
        <v>1547</v>
      </c>
      <c r="N336" t="s">
        <v>1351</v>
      </c>
      <c r="O336" s="33">
        <v>1202.47</v>
      </c>
    </row>
    <row r="337" spans="1:15" x14ac:dyDescent="0.25">
      <c r="A337" t="s">
        <v>1520</v>
      </c>
      <c r="B337" t="s">
        <v>1548</v>
      </c>
      <c r="C337" t="s">
        <v>9</v>
      </c>
      <c r="D337" t="str">
        <f>VLOOKUP(Modded_AMF_Table[[#This Row],[HFM_Account]],HFM_Acct_OCF_Activity[],3,FALSE)</f>
        <v>Direct</v>
      </c>
      <c r="E337" t="s">
        <v>1210</v>
      </c>
      <c r="F337" t="s">
        <v>1194</v>
      </c>
      <c r="G337" t="s">
        <v>1549</v>
      </c>
      <c r="H337" t="str">
        <f>IF(NOT(ISERROR(FIND("NoICP",Modded_AMF_Table[[#This Row],[GL_ICP]]))),"",Modded_AMF_Table[[#This Row],[GL_ICP]])</f>
        <v/>
      </c>
      <c r="I337" t="s">
        <v>1212</v>
      </c>
      <c r="J337" t="s">
        <v>1534</v>
      </c>
      <c r="K337" t="str">
        <f>IFERROR(VLOOKUP(VALUE(Modded_AMF_Table[[#This Row],[GL_PC]]),BNS_Profit_Centers[],2,FALSE),"TE")</f>
        <v>TE</v>
      </c>
      <c r="L337" t="s">
        <v>1534</v>
      </c>
      <c r="M337" t="s">
        <v>1550</v>
      </c>
      <c r="N337" t="s">
        <v>1551</v>
      </c>
      <c r="O337" s="33">
        <v>2497.9899999999998</v>
      </c>
    </row>
    <row r="338" spans="1:15" x14ac:dyDescent="0.25">
      <c r="A338" t="s">
        <v>1520</v>
      </c>
      <c r="B338" t="s">
        <v>1552</v>
      </c>
      <c r="C338" t="s">
        <v>9</v>
      </c>
      <c r="D338" t="str">
        <f>VLOOKUP(Modded_AMF_Table[[#This Row],[HFM_Account]],HFM_Acct_OCF_Activity[],3,FALSE)</f>
        <v>Direct</v>
      </c>
      <c r="E338" t="s">
        <v>1210</v>
      </c>
      <c r="F338" t="s">
        <v>1194</v>
      </c>
      <c r="G338" t="s">
        <v>1553</v>
      </c>
      <c r="H338" t="str">
        <f>IF(NOT(ISERROR(FIND("NoICP",Modded_AMF_Table[[#This Row],[GL_ICP]]))),"",Modded_AMF_Table[[#This Row],[GL_ICP]])</f>
        <v/>
      </c>
      <c r="I338" t="s">
        <v>1212</v>
      </c>
      <c r="J338" t="s">
        <v>1534</v>
      </c>
      <c r="K338" t="str">
        <f>IFERROR(VLOOKUP(VALUE(Modded_AMF_Table[[#This Row],[GL_PC]]),BNS_Profit_Centers[],2,FALSE),"TE")</f>
        <v>TE</v>
      </c>
      <c r="L338" t="s">
        <v>1534</v>
      </c>
      <c r="M338" t="s">
        <v>1554</v>
      </c>
      <c r="N338" t="s">
        <v>1351</v>
      </c>
      <c r="O338" s="33">
        <v>2343.71</v>
      </c>
    </row>
    <row r="339" spans="1:15" x14ac:dyDescent="0.25">
      <c r="A339" t="s">
        <v>1520</v>
      </c>
      <c r="B339" t="s">
        <v>1348</v>
      </c>
      <c r="C339" t="s">
        <v>9</v>
      </c>
      <c r="D339" t="str">
        <f>VLOOKUP(Modded_AMF_Table[[#This Row],[HFM_Account]],HFM_Acct_OCF_Activity[],3,FALSE)</f>
        <v>Direct</v>
      </c>
      <c r="E339" t="s">
        <v>1210</v>
      </c>
      <c r="F339" t="s">
        <v>1194</v>
      </c>
      <c r="G339" t="s">
        <v>1349</v>
      </c>
      <c r="H339" t="str">
        <f>IF(NOT(ISERROR(FIND("NoICP",Modded_AMF_Table[[#This Row],[GL_ICP]]))),"",Modded_AMF_Table[[#This Row],[GL_ICP]])</f>
        <v/>
      </c>
      <c r="I339" t="s">
        <v>1212</v>
      </c>
      <c r="J339" t="s">
        <v>1534</v>
      </c>
      <c r="K339" t="str">
        <f>IFERROR(VLOOKUP(VALUE(Modded_AMF_Table[[#This Row],[GL_PC]]),BNS_Profit_Centers[],2,FALSE),"TE")</f>
        <v>TE</v>
      </c>
      <c r="L339" t="s">
        <v>1534</v>
      </c>
      <c r="M339" t="s">
        <v>1350</v>
      </c>
      <c r="N339" t="s">
        <v>1351</v>
      </c>
      <c r="O339" s="33">
        <v>1074.02</v>
      </c>
    </row>
    <row r="340" spans="1:15" x14ac:dyDescent="0.25">
      <c r="A340" t="s">
        <v>1520</v>
      </c>
      <c r="B340" t="s">
        <v>1352</v>
      </c>
      <c r="C340" t="s">
        <v>9</v>
      </c>
      <c r="D340" t="str">
        <f>VLOOKUP(Modded_AMF_Table[[#This Row],[HFM_Account]],HFM_Acct_OCF_Activity[],3,FALSE)</f>
        <v>Direct</v>
      </c>
      <c r="E340" t="s">
        <v>1210</v>
      </c>
      <c r="F340" t="s">
        <v>1194</v>
      </c>
      <c r="G340" t="s">
        <v>1353</v>
      </c>
      <c r="H340" t="str">
        <f>IF(NOT(ISERROR(FIND("NoICP",Modded_AMF_Table[[#This Row],[GL_ICP]]))),"",Modded_AMF_Table[[#This Row],[GL_ICP]])</f>
        <v/>
      </c>
      <c r="I340" t="s">
        <v>1212</v>
      </c>
      <c r="J340" t="s">
        <v>1534</v>
      </c>
      <c r="K340" t="str">
        <f>IFERROR(VLOOKUP(VALUE(Modded_AMF_Table[[#This Row],[GL_PC]]),BNS_Profit_Centers[],2,FALSE),"TE")</f>
        <v>TE</v>
      </c>
      <c r="L340" t="s">
        <v>1534</v>
      </c>
      <c r="M340" t="s">
        <v>1354</v>
      </c>
      <c r="N340" t="s">
        <v>1351</v>
      </c>
      <c r="O340" s="33">
        <v>365.37</v>
      </c>
    </row>
    <row r="341" spans="1:15" x14ac:dyDescent="0.25">
      <c r="A341" t="s">
        <v>1520</v>
      </c>
      <c r="B341" t="s">
        <v>1555</v>
      </c>
      <c r="C341" t="s">
        <v>9</v>
      </c>
      <c r="D341" t="str">
        <f>VLOOKUP(Modded_AMF_Table[[#This Row],[HFM_Account]],HFM_Acct_OCF_Activity[],3,FALSE)</f>
        <v>Direct</v>
      </c>
      <c r="E341" t="s">
        <v>1210</v>
      </c>
      <c r="F341" t="s">
        <v>1194</v>
      </c>
      <c r="G341" t="s">
        <v>1556</v>
      </c>
      <c r="H341" t="str">
        <f>IF(NOT(ISERROR(FIND("NoICP",Modded_AMF_Table[[#This Row],[GL_ICP]]))),"",Modded_AMF_Table[[#This Row],[GL_ICP]])</f>
        <v/>
      </c>
      <c r="I341" t="s">
        <v>1212</v>
      </c>
      <c r="J341" t="s">
        <v>1534</v>
      </c>
      <c r="K341" t="str">
        <f>IFERROR(VLOOKUP(VALUE(Modded_AMF_Table[[#This Row],[GL_PC]]),BNS_Profit_Centers[],2,FALSE),"TE")</f>
        <v>TE</v>
      </c>
      <c r="L341" t="s">
        <v>1534</v>
      </c>
      <c r="M341" t="s">
        <v>1557</v>
      </c>
      <c r="N341" t="s">
        <v>1557</v>
      </c>
      <c r="O341" s="33">
        <v>29442.84</v>
      </c>
    </row>
    <row r="342" spans="1:15" x14ac:dyDescent="0.25">
      <c r="A342" t="s">
        <v>1520</v>
      </c>
      <c r="B342" t="s">
        <v>1558</v>
      </c>
      <c r="C342" t="s">
        <v>9</v>
      </c>
      <c r="D342" t="str">
        <f>VLOOKUP(Modded_AMF_Table[[#This Row],[HFM_Account]],HFM_Acct_OCF_Activity[],3,FALSE)</f>
        <v>Direct</v>
      </c>
      <c r="E342" t="s">
        <v>1210</v>
      </c>
      <c r="F342" t="s">
        <v>1194</v>
      </c>
      <c r="G342" t="s">
        <v>1559</v>
      </c>
      <c r="H342" t="str">
        <f>IF(NOT(ISERROR(FIND("NoICP",Modded_AMF_Table[[#This Row],[GL_ICP]]))),"",Modded_AMF_Table[[#This Row],[GL_ICP]])</f>
        <v/>
      </c>
      <c r="I342" t="s">
        <v>1212</v>
      </c>
      <c r="J342" t="s">
        <v>1534</v>
      </c>
      <c r="K342" t="str">
        <f>IFERROR(VLOOKUP(VALUE(Modded_AMF_Table[[#This Row],[GL_PC]]),BNS_Profit_Centers[],2,FALSE),"TE")</f>
        <v>TE</v>
      </c>
      <c r="L342" t="s">
        <v>1534</v>
      </c>
      <c r="M342" t="s">
        <v>1560</v>
      </c>
      <c r="N342" t="s">
        <v>1557</v>
      </c>
      <c r="O342" s="33">
        <v>346.02</v>
      </c>
    </row>
    <row r="343" spans="1:15" x14ac:dyDescent="0.25">
      <c r="A343" t="s">
        <v>1520</v>
      </c>
      <c r="B343" t="s">
        <v>1384</v>
      </c>
      <c r="C343" t="s">
        <v>9</v>
      </c>
      <c r="D343" t="str">
        <f>VLOOKUP(Modded_AMF_Table[[#This Row],[HFM_Account]],HFM_Acct_OCF_Activity[],3,FALSE)</f>
        <v>Direct</v>
      </c>
      <c r="E343" t="s">
        <v>1210</v>
      </c>
      <c r="F343" t="s">
        <v>1194</v>
      </c>
      <c r="G343" t="s">
        <v>1385</v>
      </c>
      <c r="H343" t="str">
        <f>IF(NOT(ISERROR(FIND("NoICP",Modded_AMF_Table[[#This Row],[GL_ICP]]))),"",Modded_AMF_Table[[#This Row],[GL_ICP]])</f>
        <v/>
      </c>
      <c r="I343" t="s">
        <v>1212</v>
      </c>
      <c r="J343" t="s">
        <v>1534</v>
      </c>
      <c r="K343" t="str">
        <f>IFERROR(VLOOKUP(VALUE(Modded_AMF_Table[[#This Row],[GL_PC]]),BNS_Profit_Centers[],2,FALSE),"TE")</f>
        <v>TE</v>
      </c>
      <c r="L343" t="s">
        <v>1534</v>
      </c>
      <c r="M343" t="s">
        <v>1386</v>
      </c>
      <c r="N343" t="s">
        <v>1386</v>
      </c>
      <c r="O343" s="33">
        <v>13.32</v>
      </c>
    </row>
    <row r="344" spans="1:15" x14ac:dyDescent="0.25">
      <c r="A344" t="s">
        <v>1520</v>
      </c>
      <c r="B344" t="s">
        <v>1459</v>
      </c>
      <c r="C344" t="s">
        <v>9</v>
      </c>
      <c r="D344" t="str">
        <f>VLOOKUP(Modded_AMF_Table[[#This Row],[HFM_Account]],HFM_Acct_OCF_Activity[],3,FALSE)</f>
        <v>Direct</v>
      </c>
      <c r="E344" t="s">
        <v>1210</v>
      </c>
      <c r="F344" t="s">
        <v>1194</v>
      </c>
      <c r="G344" t="s">
        <v>1460</v>
      </c>
      <c r="H344" t="str">
        <f>IF(NOT(ISERROR(FIND("NoICP",Modded_AMF_Table[[#This Row],[GL_ICP]]))),"",Modded_AMF_Table[[#This Row],[GL_ICP]])</f>
        <v/>
      </c>
      <c r="I344" t="s">
        <v>1212</v>
      </c>
      <c r="J344" t="s">
        <v>1534</v>
      </c>
      <c r="K344" t="str">
        <f>IFERROR(VLOOKUP(VALUE(Modded_AMF_Table[[#This Row],[GL_PC]]),BNS_Profit_Centers[],2,FALSE),"TE")</f>
        <v>TE</v>
      </c>
      <c r="L344" t="s">
        <v>1534</v>
      </c>
      <c r="M344" t="s">
        <v>1461</v>
      </c>
      <c r="N344" t="s">
        <v>1461</v>
      </c>
      <c r="O344" s="33">
        <v>966.56</v>
      </c>
    </row>
    <row r="345" spans="1:15" x14ac:dyDescent="0.25">
      <c r="A345" t="s">
        <v>1520</v>
      </c>
      <c r="B345" t="s">
        <v>1387</v>
      </c>
      <c r="C345" t="s">
        <v>9</v>
      </c>
      <c r="D345" t="str">
        <f>VLOOKUP(Modded_AMF_Table[[#This Row],[HFM_Account]],HFM_Acct_OCF_Activity[],3,FALSE)</f>
        <v>Direct</v>
      </c>
      <c r="E345" t="s">
        <v>1210</v>
      </c>
      <c r="F345" t="s">
        <v>1194</v>
      </c>
      <c r="G345" t="s">
        <v>1388</v>
      </c>
      <c r="H345" t="str">
        <f>IF(NOT(ISERROR(FIND("NoICP",Modded_AMF_Table[[#This Row],[GL_ICP]]))),"",Modded_AMF_Table[[#This Row],[GL_ICP]])</f>
        <v/>
      </c>
      <c r="I345" t="s">
        <v>1212</v>
      </c>
      <c r="J345" t="s">
        <v>1534</v>
      </c>
      <c r="K345" t="str">
        <f>IFERROR(VLOOKUP(VALUE(Modded_AMF_Table[[#This Row],[GL_PC]]),BNS_Profit_Centers[],2,FALSE),"TE")</f>
        <v>TE</v>
      </c>
      <c r="L345" t="s">
        <v>1534</v>
      </c>
      <c r="M345" t="s">
        <v>1389</v>
      </c>
      <c r="N345" t="s">
        <v>1390</v>
      </c>
      <c r="O345" s="33">
        <v>147.11000000000001</v>
      </c>
    </row>
    <row r="346" spans="1:15" x14ac:dyDescent="0.25">
      <c r="A346" t="s">
        <v>1520</v>
      </c>
      <c r="B346" t="s">
        <v>1391</v>
      </c>
      <c r="C346" t="s">
        <v>9</v>
      </c>
      <c r="D346" t="str">
        <f>VLOOKUP(Modded_AMF_Table[[#This Row],[HFM_Account]],HFM_Acct_OCF_Activity[],3,FALSE)</f>
        <v>Direct</v>
      </c>
      <c r="E346" t="s">
        <v>1210</v>
      </c>
      <c r="F346" t="s">
        <v>1194</v>
      </c>
      <c r="G346" t="s">
        <v>1392</v>
      </c>
      <c r="H346" t="str">
        <f>IF(NOT(ISERROR(FIND("NoICP",Modded_AMF_Table[[#This Row],[GL_ICP]]))),"",Modded_AMF_Table[[#This Row],[GL_ICP]])</f>
        <v/>
      </c>
      <c r="I346" t="s">
        <v>1212</v>
      </c>
      <c r="J346" t="s">
        <v>1534</v>
      </c>
      <c r="K346" t="str">
        <f>IFERROR(VLOOKUP(VALUE(Modded_AMF_Table[[#This Row],[GL_PC]]),BNS_Profit_Centers[],2,FALSE),"TE")</f>
        <v>TE</v>
      </c>
      <c r="L346" t="s">
        <v>1534</v>
      </c>
      <c r="M346" t="s">
        <v>1393</v>
      </c>
      <c r="N346" t="s">
        <v>1390</v>
      </c>
      <c r="O346" s="33">
        <v>405.3</v>
      </c>
    </row>
    <row r="347" spans="1:15" x14ac:dyDescent="0.25">
      <c r="A347" t="s">
        <v>1520</v>
      </c>
      <c r="B347" t="s">
        <v>1400</v>
      </c>
      <c r="C347" t="s">
        <v>9</v>
      </c>
      <c r="D347" t="str">
        <f>VLOOKUP(Modded_AMF_Table[[#This Row],[HFM_Account]],HFM_Acct_OCF_Activity[],3,FALSE)</f>
        <v>Direct</v>
      </c>
      <c r="E347" t="s">
        <v>1210</v>
      </c>
      <c r="F347" t="s">
        <v>1194</v>
      </c>
      <c r="G347" t="s">
        <v>1401</v>
      </c>
      <c r="H347" t="str">
        <f>IF(NOT(ISERROR(FIND("NoICP",Modded_AMF_Table[[#This Row],[GL_ICP]]))),"",Modded_AMF_Table[[#This Row],[GL_ICP]])</f>
        <v/>
      </c>
      <c r="I347" t="s">
        <v>1212</v>
      </c>
      <c r="J347" t="s">
        <v>1534</v>
      </c>
      <c r="K347" t="str">
        <f>IFERROR(VLOOKUP(VALUE(Modded_AMF_Table[[#This Row],[GL_PC]]),BNS_Profit_Centers[],2,FALSE),"TE")</f>
        <v>TE</v>
      </c>
      <c r="L347" t="s">
        <v>1534</v>
      </c>
      <c r="M347" t="s">
        <v>1402</v>
      </c>
      <c r="N347" t="s">
        <v>1390</v>
      </c>
      <c r="O347" s="33">
        <v>67.540000000000006</v>
      </c>
    </row>
    <row r="348" spans="1:15" x14ac:dyDescent="0.25">
      <c r="A348" t="s">
        <v>1520</v>
      </c>
      <c r="B348" t="s">
        <v>1403</v>
      </c>
      <c r="C348" t="s">
        <v>9</v>
      </c>
      <c r="D348" t="str">
        <f>VLOOKUP(Modded_AMF_Table[[#This Row],[HFM_Account]],HFM_Acct_OCF_Activity[],3,FALSE)</f>
        <v>Direct</v>
      </c>
      <c r="E348" t="s">
        <v>1210</v>
      </c>
      <c r="F348" t="s">
        <v>1194</v>
      </c>
      <c r="G348" t="s">
        <v>1404</v>
      </c>
      <c r="H348" t="str">
        <f>IF(NOT(ISERROR(FIND("NoICP",Modded_AMF_Table[[#This Row],[GL_ICP]]))),"",Modded_AMF_Table[[#This Row],[GL_ICP]])</f>
        <v/>
      </c>
      <c r="I348" t="s">
        <v>1212</v>
      </c>
      <c r="J348" t="s">
        <v>1534</v>
      </c>
      <c r="K348" t="str">
        <f>IFERROR(VLOOKUP(VALUE(Modded_AMF_Table[[#This Row],[GL_PC]]),BNS_Profit_Centers[],2,FALSE),"TE")</f>
        <v>TE</v>
      </c>
      <c r="L348" t="s">
        <v>1534</v>
      </c>
      <c r="M348" t="s">
        <v>1405</v>
      </c>
      <c r="N348" t="s">
        <v>1390</v>
      </c>
      <c r="O348" s="33">
        <v>95.47</v>
      </c>
    </row>
    <row r="349" spans="1:15" x14ac:dyDescent="0.25">
      <c r="A349" t="s">
        <v>1520</v>
      </c>
      <c r="B349" t="s">
        <v>1561</v>
      </c>
      <c r="C349" t="s">
        <v>9</v>
      </c>
      <c r="D349" t="str">
        <f>VLOOKUP(Modded_AMF_Table[[#This Row],[HFM_Account]],HFM_Acct_OCF_Activity[],3,FALSE)</f>
        <v>Direct</v>
      </c>
      <c r="E349" t="s">
        <v>1210</v>
      </c>
      <c r="F349" t="s">
        <v>1194</v>
      </c>
      <c r="G349" t="s">
        <v>1562</v>
      </c>
      <c r="H349" t="str">
        <f>IF(NOT(ISERROR(FIND("NoICP",Modded_AMF_Table[[#This Row],[GL_ICP]]))),"",Modded_AMF_Table[[#This Row],[GL_ICP]])</f>
        <v/>
      </c>
      <c r="I349" t="s">
        <v>1212</v>
      </c>
      <c r="J349" t="s">
        <v>1534</v>
      </c>
      <c r="K349" t="str">
        <f>IFERROR(VLOOKUP(VALUE(Modded_AMF_Table[[#This Row],[GL_PC]]),BNS_Profit_Centers[],2,FALSE),"TE")</f>
        <v>TE</v>
      </c>
      <c r="L349" t="s">
        <v>1534</v>
      </c>
      <c r="M349" t="s">
        <v>1563</v>
      </c>
      <c r="N349" t="s">
        <v>1421</v>
      </c>
      <c r="O349" s="33">
        <v>1507.04</v>
      </c>
    </row>
    <row r="350" spans="1:15" x14ac:dyDescent="0.25">
      <c r="A350" t="s">
        <v>1520</v>
      </c>
      <c r="B350" t="s">
        <v>1419</v>
      </c>
      <c r="C350" t="s">
        <v>9</v>
      </c>
      <c r="D350" t="str">
        <f>VLOOKUP(Modded_AMF_Table[[#This Row],[HFM_Account]],HFM_Acct_OCF_Activity[],3,FALSE)</f>
        <v>Direct</v>
      </c>
      <c r="E350" t="s">
        <v>1210</v>
      </c>
      <c r="F350" t="s">
        <v>1194</v>
      </c>
      <c r="G350" t="s">
        <v>1420</v>
      </c>
      <c r="H350" t="str">
        <f>IF(NOT(ISERROR(FIND("NoICP",Modded_AMF_Table[[#This Row],[GL_ICP]]))),"",Modded_AMF_Table[[#This Row],[GL_ICP]])</f>
        <v/>
      </c>
      <c r="I350" t="s">
        <v>1212</v>
      </c>
      <c r="J350" t="s">
        <v>1534</v>
      </c>
      <c r="K350" t="str">
        <f>IFERROR(VLOOKUP(VALUE(Modded_AMF_Table[[#This Row],[GL_PC]]),BNS_Profit_Centers[],2,FALSE),"TE")</f>
        <v>TE</v>
      </c>
      <c r="L350" t="s">
        <v>1534</v>
      </c>
      <c r="M350" t="s">
        <v>1421</v>
      </c>
      <c r="N350" t="s">
        <v>1421</v>
      </c>
      <c r="O350" s="33">
        <v>426.34</v>
      </c>
    </row>
    <row r="351" spans="1:15" x14ac:dyDescent="0.25">
      <c r="A351" t="s">
        <v>1520</v>
      </c>
      <c r="B351" t="s">
        <v>1564</v>
      </c>
      <c r="C351" t="s">
        <v>9</v>
      </c>
      <c r="D351" t="str">
        <f>VLOOKUP(Modded_AMF_Table[[#This Row],[HFM_Account]],HFM_Acct_OCF_Activity[],3,FALSE)</f>
        <v>Direct</v>
      </c>
      <c r="E351" t="s">
        <v>1210</v>
      </c>
      <c r="F351" t="s">
        <v>1194</v>
      </c>
      <c r="G351" t="s">
        <v>1565</v>
      </c>
      <c r="H351" t="str">
        <f>IF(NOT(ISERROR(FIND("NoICP",Modded_AMF_Table[[#This Row],[GL_ICP]]))),"",Modded_AMF_Table[[#This Row],[GL_ICP]])</f>
        <v/>
      </c>
      <c r="I351" t="s">
        <v>1212</v>
      </c>
      <c r="J351" t="s">
        <v>1534</v>
      </c>
      <c r="K351" t="str">
        <f>IFERROR(VLOOKUP(VALUE(Modded_AMF_Table[[#This Row],[GL_PC]]),BNS_Profit_Centers[],2,FALSE),"TE")</f>
        <v>TE</v>
      </c>
      <c r="L351" t="s">
        <v>1534</v>
      </c>
      <c r="M351" t="s">
        <v>1566</v>
      </c>
      <c r="N351" t="s">
        <v>1566</v>
      </c>
      <c r="O351" s="33">
        <v>8854.4699999999993</v>
      </c>
    </row>
    <row r="352" spans="1:15" x14ac:dyDescent="0.25">
      <c r="A352" t="s">
        <v>1520</v>
      </c>
      <c r="B352" t="s">
        <v>1567</v>
      </c>
      <c r="C352" t="s">
        <v>9</v>
      </c>
      <c r="D352" t="str">
        <f>VLOOKUP(Modded_AMF_Table[[#This Row],[HFM_Account]],HFM_Acct_OCF_Activity[],3,FALSE)</f>
        <v>Direct</v>
      </c>
      <c r="E352" t="s">
        <v>1210</v>
      </c>
      <c r="F352" t="s">
        <v>1194</v>
      </c>
      <c r="G352" t="s">
        <v>1568</v>
      </c>
      <c r="H352" t="str">
        <f>IF(NOT(ISERROR(FIND("NoICP",Modded_AMF_Table[[#This Row],[GL_ICP]]))),"",Modded_AMF_Table[[#This Row],[GL_ICP]])</f>
        <v/>
      </c>
      <c r="I352" t="s">
        <v>1212</v>
      </c>
      <c r="J352" t="s">
        <v>1534</v>
      </c>
      <c r="K352" t="str">
        <f>IFERROR(VLOOKUP(VALUE(Modded_AMF_Table[[#This Row],[GL_PC]]),BNS_Profit_Centers[],2,FALSE),"TE")</f>
        <v>TE</v>
      </c>
      <c r="L352" t="s">
        <v>1534</v>
      </c>
      <c r="M352" t="s">
        <v>1569</v>
      </c>
      <c r="N352" t="s">
        <v>1436</v>
      </c>
      <c r="O352" s="33">
        <v>1972.57</v>
      </c>
    </row>
    <row r="353" spans="1:15" x14ac:dyDescent="0.25">
      <c r="A353" t="s">
        <v>1520</v>
      </c>
      <c r="B353" t="s">
        <v>1433</v>
      </c>
      <c r="C353" t="s">
        <v>9</v>
      </c>
      <c r="D353" t="str">
        <f>VLOOKUP(Modded_AMF_Table[[#This Row],[HFM_Account]],HFM_Acct_OCF_Activity[],3,FALSE)</f>
        <v>Direct</v>
      </c>
      <c r="E353" t="s">
        <v>1210</v>
      </c>
      <c r="F353" t="s">
        <v>1194</v>
      </c>
      <c r="G353" t="s">
        <v>1434</v>
      </c>
      <c r="H353" t="str">
        <f>IF(NOT(ISERROR(FIND("NoICP",Modded_AMF_Table[[#This Row],[GL_ICP]]))),"",Modded_AMF_Table[[#This Row],[GL_ICP]])</f>
        <v/>
      </c>
      <c r="I353" t="s">
        <v>1212</v>
      </c>
      <c r="J353" t="s">
        <v>1534</v>
      </c>
      <c r="K353" t="str">
        <f>IFERROR(VLOOKUP(VALUE(Modded_AMF_Table[[#This Row],[GL_PC]]),BNS_Profit_Centers[],2,FALSE),"TE")</f>
        <v>TE</v>
      </c>
      <c r="L353" t="s">
        <v>1534</v>
      </c>
      <c r="M353" t="s">
        <v>1435</v>
      </c>
      <c r="N353" t="s">
        <v>1436</v>
      </c>
      <c r="O353" s="33">
        <v>8207.2000000000007</v>
      </c>
    </row>
    <row r="354" spans="1:15" x14ac:dyDescent="0.25">
      <c r="A354" t="s">
        <v>1520</v>
      </c>
      <c r="B354" t="s">
        <v>1570</v>
      </c>
      <c r="C354" t="s">
        <v>9</v>
      </c>
      <c r="D354" t="str">
        <f>VLOOKUP(Modded_AMF_Table[[#This Row],[HFM_Account]],HFM_Acct_OCF_Activity[],3,FALSE)</f>
        <v>Direct</v>
      </c>
      <c r="E354" t="s">
        <v>1210</v>
      </c>
      <c r="F354" t="s">
        <v>1194</v>
      </c>
      <c r="G354" t="s">
        <v>1571</v>
      </c>
      <c r="H354" t="str">
        <f>IF(NOT(ISERROR(FIND("NoICP",Modded_AMF_Table[[#This Row],[GL_ICP]]))),"",Modded_AMF_Table[[#This Row],[GL_ICP]])</f>
        <v/>
      </c>
      <c r="I354" t="s">
        <v>1212</v>
      </c>
      <c r="J354" t="s">
        <v>1534</v>
      </c>
      <c r="K354" t="str">
        <f>IFERROR(VLOOKUP(VALUE(Modded_AMF_Table[[#This Row],[GL_PC]]),BNS_Profit_Centers[],2,FALSE),"TE")</f>
        <v>TE</v>
      </c>
      <c r="L354" t="s">
        <v>1534</v>
      </c>
      <c r="M354" t="s">
        <v>1572</v>
      </c>
      <c r="N354" t="s">
        <v>1531</v>
      </c>
      <c r="O354" s="33">
        <v>402</v>
      </c>
    </row>
    <row r="355" spans="1:15" x14ac:dyDescent="0.25">
      <c r="A355" t="s">
        <v>1520</v>
      </c>
      <c r="B355" t="s">
        <v>1439</v>
      </c>
      <c r="C355" t="s">
        <v>9</v>
      </c>
      <c r="D355" t="str">
        <f>VLOOKUP(Modded_AMF_Table[[#This Row],[HFM_Account]],HFM_Acct_OCF_Activity[],3,FALSE)</f>
        <v>Direct</v>
      </c>
      <c r="E355" t="s">
        <v>1210</v>
      </c>
      <c r="F355" t="s">
        <v>1194</v>
      </c>
      <c r="G355" t="s">
        <v>1440</v>
      </c>
      <c r="H355" t="str">
        <f>IF(NOT(ISERROR(FIND("NoICP",Modded_AMF_Table[[#This Row],[GL_ICP]]))),"",Modded_AMF_Table[[#This Row],[GL_ICP]])</f>
        <v/>
      </c>
      <c r="I355" t="s">
        <v>1212</v>
      </c>
      <c r="J355" t="s">
        <v>1534</v>
      </c>
      <c r="K355" t="str">
        <f>IFERROR(VLOOKUP(VALUE(Modded_AMF_Table[[#This Row],[GL_PC]]),BNS_Profit_Centers[],2,FALSE),"TE")</f>
        <v>TE</v>
      </c>
      <c r="L355" t="s">
        <v>1534</v>
      </c>
      <c r="M355" t="s">
        <v>1441</v>
      </c>
      <c r="N355" t="s">
        <v>1441</v>
      </c>
      <c r="O355" s="33">
        <v>1387.23</v>
      </c>
    </row>
    <row r="356" spans="1:15" x14ac:dyDescent="0.25">
      <c r="A356" t="s">
        <v>1520</v>
      </c>
      <c r="B356" t="s">
        <v>1573</v>
      </c>
      <c r="C356" t="s">
        <v>9</v>
      </c>
      <c r="D356" t="str">
        <f>VLOOKUP(Modded_AMF_Table[[#This Row],[HFM_Account]],HFM_Acct_OCF_Activity[],3,FALSE)</f>
        <v>Direct</v>
      </c>
      <c r="E356" t="s">
        <v>1210</v>
      </c>
      <c r="F356" t="s">
        <v>1194</v>
      </c>
      <c r="G356" t="s">
        <v>1574</v>
      </c>
      <c r="H356" t="str">
        <f>IF(NOT(ISERROR(FIND("NoICP",Modded_AMF_Table[[#This Row],[GL_ICP]]))),"",Modded_AMF_Table[[#This Row],[GL_ICP]])</f>
        <v/>
      </c>
      <c r="I356" t="s">
        <v>1212</v>
      </c>
      <c r="J356" t="s">
        <v>1534</v>
      </c>
      <c r="K356" t="str">
        <f>IFERROR(VLOOKUP(VALUE(Modded_AMF_Table[[#This Row],[GL_PC]]),BNS_Profit_Centers[],2,FALSE),"TE")</f>
        <v>TE</v>
      </c>
      <c r="L356" t="s">
        <v>1534</v>
      </c>
      <c r="M356" t="s">
        <v>1575</v>
      </c>
      <c r="N356" t="s">
        <v>1575</v>
      </c>
      <c r="O356" s="33">
        <v>-1522.57</v>
      </c>
    </row>
    <row r="357" spans="1:15" x14ac:dyDescent="0.25">
      <c r="A357" t="s">
        <v>1520</v>
      </c>
      <c r="B357" t="s">
        <v>1327</v>
      </c>
      <c r="C357" t="s">
        <v>9</v>
      </c>
      <c r="D357" t="str">
        <f>VLOOKUP(Modded_AMF_Table[[#This Row],[HFM_Account]],HFM_Acct_OCF_Activity[],3,FALSE)</f>
        <v>Direct</v>
      </c>
      <c r="E357" t="s">
        <v>1210</v>
      </c>
      <c r="F357" t="s">
        <v>1194</v>
      </c>
      <c r="G357" t="s">
        <v>1328</v>
      </c>
      <c r="H357" t="str">
        <f>IF(NOT(ISERROR(FIND("NoICP",Modded_AMF_Table[[#This Row],[GL_ICP]]))),"",Modded_AMF_Table[[#This Row],[GL_ICP]])</f>
        <v/>
      </c>
      <c r="I357" t="s">
        <v>1212</v>
      </c>
      <c r="J357" t="s">
        <v>1588</v>
      </c>
      <c r="K357" t="str">
        <f>IFERROR(VLOOKUP(VALUE(Modded_AMF_Table[[#This Row],[GL_PC]]),BNS_Profit_Centers[],2,FALSE),"TE")</f>
        <v>TE</v>
      </c>
      <c r="L357" t="s">
        <v>1588</v>
      </c>
      <c r="M357" t="s">
        <v>1330</v>
      </c>
      <c r="N357" t="s">
        <v>1330</v>
      </c>
      <c r="O357" s="33">
        <v>2968</v>
      </c>
    </row>
    <row r="358" spans="1:15" x14ac:dyDescent="0.25">
      <c r="A358" t="s">
        <v>1520</v>
      </c>
      <c r="B358" t="s">
        <v>1447</v>
      </c>
      <c r="C358" t="s">
        <v>9</v>
      </c>
      <c r="D358" t="str">
        <f>VLOOKUP(Modded_AMF_Table[[#This Row],[HFM_Account]],HFM_Acct_OCF_Activity[],3,FALSE)</f>
        <v>Direct</v>
      </c>
      <c r="E358" t="s">
        <v>1210</v>
      </c>
      <c r="F358" t="s">
        <v>1194</v>
      </c>
      <c r="G358" t="s">
        <v>1448</v>
      </c>
      <c r="H358" t="str">
        <f>IF(NOT(ISERROR(FIND("NoICP",Modded_AMF_Table[[#This Row],[GL_ICP]]))),"",Modded_AMF_Table[[#This Row],[GL_ICP]])</f>
        <v/>
      </c>
      <c r="I358" t="s">
        <v>1212</v>
      </c>
      <c r="J358" t="s">
        <v>1588</v>
      </c>
      <c r="K358" t="str">
        <f>IFERROR(VLOOKUP(VALUE(Modded_AMF_Table[[#This Row],[GL_PC]]),BNS_Profit_Centers[],2,FALSE),"TE")</f>
        <v>TE</v>
      </c>
      <c r="L358" t="s">
        <v>1588</v>
      </c>
      <c r="M358" t="s">
        <v>1449</v>
      </c>
      <c r="N358" t="s">
        <v>1334</v>
      </c>
      <c r="O358" s="33">
        <v>296.8</v>
      </c>
    </row>
    <row r="359" spans="1:15" x14ac:dyDescent="0.25">
      <c r="A359" t="s">
        <v>1520</v>
      </c>
      <c r="B359" t="s">
        <v>1450</v>
      </c>
      <c r="C359" t="s">
        <v>9</v>
      </c>
      <c r="D359" t="str">
        <f>VLOOKUP(Modded_AMF_Table[[#This Row],[HFM_Account]],HFM_Acct_OCF_Activity[],3,FALSE)</f>
        <v>Direct</v>
      </c>
      <c r="E359" t="s">
        <v>1210</v>
      </c>
      <c r="F359" t="s">
        <v>1194</v>
      </c>
      <c r="G359" t="s">
        <v>1451</v>
      </c>
      <c r="H359" t="str">
        <f>IF(NOT(ISERROR(FIND("NoICP",Modded_AMF_Table[[#This Row],[GL_ICP]]))),"",Modded_AMF_Table[[#This Row],[GL_ICP]])</f>
        <v/>
      </c>
      <c r="I359" t="s">
        <v>1212</v>
      </c>
      <c r="J359" t="s">
        <v>1588</v>
      </c>
      <c r="K359" t="str">
        <f>IFERROR(VLOOKUP(VALUE(Modded_AMF_Table[[#This Row],[GL_PC]]),BNS_Profit_Centers[],2,FALSE),"TE")</f>
        <v>TE</v>
      </c>
      <c r="L359" t="s">
        <v>1588</v>
      </c>
      <c r="M359" t="s">
        <v>1452</v>
      </c>
      <c r="N359" t="s">
        <v>1330</v>
      </c>
      <c r="O359" s="33">
        <v>-296.8</v>
      </c>
    </row>
    <row r="360" spans="1:15" x14ac:dyDescent="0.25">
      <c r="A360" t="s">
        <v>1520</v>
      </c>
      <c r="B360" t="s">
        <v>1341</v>
      </c>
      <c r="C360" t="s">
        <v>9</v>
      </c>
      <c r="D360" t="str">
        <f>VLOOKUP(Modded_AMF_Table[[#This Row],[HFM_Account]],HFM_Acct_OCF_Activity[],3,FALSE)</f>
        <v>Direct</v>
      </c>
      <c r="E360" t="s">
        <v>1210</v>
      </c>
      <c r="F360" t="s">
        <v>1194</v>
      </c>
      <c r="G360" t="s">
        <v>1342</v>
      </c>
      <c r="H360" t="str">
        <f>IF(NOT(ISERROR(FIND("NoICP",Modded_AMF_Table[[#This Row],[GL_ICP]]))),"",Modded_AMF_Table[[#This Row],[GL_ICP]])</f>
        <v/>
      </c>
      <c r="I360" t="s">
        <v>1212</v>
      </c>
      <c r="J360" t="s">
        <v>1588</v>
      </c>
      <c r="K360" t="str">
        <f>IFERROR(VLOOKUP(VALUE(Modded_AMF_Table[[#This Row],[GL_PC]]),BNS_Profit_Centers[],2,FALSE),"TE")</f>
        <v>TE</v>
      </c>
      <c r="L360" t="s">
        <v>1588</v>
      </c>
      <c r="M360" t="s">
        <v>1343</v>
      </c>
      <c r="N360" t="s">
        <v>1334</v>
      </c>
      <c r="O360" s="33">
        <v>30</v>
      </c>
    </row>
    <row r="361" spans="1:15" x14ac:dyDescent="0.25">
      <c r="A361" t="s">
        <v>1520</v>
      </c>
      <c r="B361" t="s">
        <v>1344</v>
      </c>
      <c r="C361" t="s">
        <v>9</v>
      </c>
      <c r="D361" t="str">
        <f>VLOOKUP(Modded_AMF_Table[[#This Row],[HFM_Account]],HFM_Acct_OCF_Activity[],3,FALSE)</f>
        <v>Direct</v>
      </c>
      <c r="E361" t="s">
        <v>1210</v>
      </c>
      <c r="F361" t="s">
        <v>1194</v>
      </c>
      <c r="G361" t="s">
        <v>1345</v>
      </c>
      <c r="H361" t="str">
        <f>IF(NOT(ISERROR(FIND("NoICP",Modded_AMF_Table[[#This Row],[GL_ICP]]))),"",Modded_AMF_Table[[#This Row],[GL_ICP]])</f>
        <v/>
      </c>
      <c r="I361" t="s">
        <v>1212</v>
      </c>
      <c r="J361" t="s">
        <v>1588</v>
      </c>
      <c r="K361" t="str">
        <f>IFERROR(VLOOKUP(VALUE(Modded_AMF_Table[[#This Row],[GL_PC]]),BNS_Profit_Centers[],2,FALSE),"TE")</f>
        <v>TE</v>
      </c>
      <c r="L361" t="s">
        <v>1588</v>
      </c>
      <c r="M361" t="s">
        <v>1346</v>
      </c>
      <c r="N361" t="s">
        <v>1347</v>
      </c>
      <c r="O361" s="33">
        <v>40</v>
      </c>
    </row>
    <row r="362" spans="1:15" x14ac:dyDescent="0.25">
      <c r="A362" t="s">
        <v>1520</v>
      </c>
      <c r="B362" t="s">
        <v>1352</v>
      </c>
      <c r="C362" t="s">
        <v>9</v>
      </c>
      <c r="D362" t="str">
        <f>VLOOKUP(Modded_AMF_Table[[#This Row],[HFM_Account]],HFM_Acct_OCF_Activity[],3,FALSE)</f>
        <v>Direct</v>
      </c>
      <c r="E362" t="s">
        <v>1210</v>
      </c>
      <c r="F362" t="s">
        <v>1194</v>
      </c>
      <c r="G362" t="s">
        <v>1353</v>
      </c>
      <c r="H362" t="str">
        <f>IF(NOT(ISERROR(FIND("NoICP",Modded_AMF_Table[[#This Row],[GL_ICP]]))),"",Modded_AMF_Table[[#This Row],[GL_ICP]])</f>
        <v/>
      </c>
      <c r="I362" t="s">
        <v>1212</v>
      </c>
      <c r="J362" t="s">
        <v>1588</v>
      </c>
      <c r="K362" t="str">
        <f>IFERROR(VLOOKUP(VALUE(Modded_AMF_Table[[#This Row],[GL_PC]]),BNS_Profit_Centers[],2,FALSE),"TE")</f>
        <v>TE</v>
      </c>
      <c r="L362" t="s">
        <v>1588</v>
      </c>
      <c r="M362" t="s">
        <v>1354</v>
      </c>
      <c r="N362" t="s">
        <v>1351</v>
      </c>
      <c r="O362" s="33">
        <v>10.78</v>
      </c>
    </row>
    <row r="363" spans="1:15" x14ac:dyDescent="0.25">
      <c r="A363" t="s">
        <v>1520</v>
      </c>
      <c r="B363" t="s">
        <v>1355</v>
      </c>
      <c r="C363" t="s">
        <v>9</v>
      </c>
      <c r="D363" t="str">
        <f>VLOOKUP(Modded_AMF_Table[[#This Row],[HFM_Account]],HFM_Acct_OCF_Activity[],3,FALSE)</f>
        <v>Direct</v>
      </c>
      <c r="E363" t="s">
        <v>1210</v>
      </c>
      <c r="F363" t="s">
        <v>1194</v>
      </c>
      <c r="G363" t="s">
        <v>1356</v>
      </c>
      <c r="H363" t="str">
        <f>IF(NOT(ISERROR(FIND("NoICP",Modded_AMF_Table[[#This Row],[GL_ICP]]))),"",Modded_AMF_Table[[#This Row],[GL_ICP]])</f>
        <v/>
      </c>
      <c r="I363" t="s">
        <v>1212</v>
      </c>
      <c r="J363" t="s">
        <v>1588</v>
      </c>
      <c r="K363" t="str">
        <f>IFERROR(VLOOKUP(VALUE(Modded_AMF_Table[[#This Row],[GL_PC]]),BNS_Profit_Centers[],2,FALSE),"TE")</f>
        <v>TE</v>
      </c>
      <c r="L363" t="s">
        <v>1588</v>
      </c>
      <c r="M363" t="s">
        <v>1357</v>
      </c>
      <c r="N363" t="s">
        <v>1351</v>
      </c>
      <c r="O363" s="33">
        <v>24.8</v>
      </c>
    </row>
    <row r="364" spans="1:15" x14ac:dyDescent="0.25">
      <c r="A364" t="s">
        <v>1520</v>
      </c>
      <c r="B364" t="s">
        <v>1358</v>
      </c>
      <c r="C364" t="s">
        <v>9</v>
      </c>
      <c r="D364" t="str">
        <f>VLOOKUP(Modded_AMF_Table[[#This Row],[HFM_Account]],HFM_Acct_OCF_Activity[],3,FALSE)</f>
        <v>Direct</v>
      </c>
      <c r="E364" t="s">
        <v>1210</v>
      </c>
      <c r="F364" t="s">
        <v>1194</v>
      </c>
      <c r="G364" t="s">
        <v>1359</v>
      </c>
      <c r="H364" t="str">
        <f>IF(NOT(ISERROR(FIND("NoICP",Modded_AMF_Table[[#This Row],[GL_ICP]]))),"",Modded_AMF_Table[[#This Row],[GL_ICP]])</f>
        <v/>
      </c>
      <c r="I364" t="s">
        <v>1212</v>
      </c>
      <c r="J364" t="s">
        <v>1588</v>
      </c>
      <c r="K364" t="str">
        <f>IFERROR(VLOOKUP(VALUE(Modded_AMF_Table[[#This Row],[GL_PC]]),BNS_Profit_Centers[],2,FALSE),"TE")</f>
        <v>TE</v>
      </c>
      <c r="L364" t="s">
        <v>1588</v>
      </c>
      <c r="M364" t="s">
        <v>1360</v>
      </c>
      <c r="N364" t="s">
        <v>1361</v>
      </c>
      <c r="O364" s="33">
        <v>62.15</v>
      </c>
    </row>
    <row r="365" spans="1:15" x14ac:dyDescent="0.25">
      <c r="A365" t="s">
        <v>1520</v>
      </c>
      <c r="B365" t="s">
        <v>1372</v>
      </c>
      <c r="C365" t="s">
        <v>9</v>
      </c>
      <c r="D365" t="str">
        <f>VLOOKUP(Modded_AMF_Table[[#This Row],[HFM_Account]],HFM_Acct_OCF_Activity[],3,FALSE)</f>
        <v>Direct</v>
      </c>
      <c r="E365" t="s">
        <v>1210</v>
      </c>
      <c r="F365" t="s">
        <v>1194</v>
      </c>
      <c r="G365" t="s">
        <v>1373</v>
      </c>
      <c r="H365" t="str">
        <f>IF(NOT(ISERROR(FIND("NoICP",Modded_AMF_Table[[#This Row],[GL_ICP]]))),"",Modded_AMF_Table[[#This Row],[GL_ICP]])</f>
        <v/>
      </c>
      <c r="I365" t="s">
        <v>1212</v>
      </c>
      <c r="J365" t="s">
        <v>1588</v>
      </c>
      <c r="K365" t="str">
        <f>IFERROR(VLOOKUP(VALUE(Modded_AMF_Table[[#This Row],[GL_PC]]),BNS_Profit_Centers[],2,FALSE),"TE")</f>
        <v>TE</v>
      </c>
      <c r="L365" t="s">
        <v>1588</v>
      </c>
      <c r="M365" t="s">
        <v>1374</v>
      </c>
      <c r="N365" t="s">
        <v>1374</v>
      </c>
      <c r="O365" s="33">
        <v>567.71</v>
      </c>
    </row>
    <row r="366" spans="1:15" x14ac:dyDescent="0.25">
      <c r="A366" t="s">
        <v>1520</v>
      </c>
      <c r="B366" t="s">
        <v>1378</v>
      </c>
      <c r="C366" t="s">
        <v>9</v>
      </c>
      <c r="D366" t="str">
        <f>VLOOKUP(Modded_AMF_Table[[#This Row],[HFM_Account]],HFM_Acct_OCF_Activity[],3,FALSE)</f>
        <v>Direct</v>
      </c>
      <c r="E366" t="s">
        <v>1210</v>
      </c>
      <c r="F366" t="s">
        <v>1194</v>
      </c>
      <c r="G366" t="s">
        <v>1379</v>
      </c>
      <c r="H366" t="str">
        <f>IF(NOT(ISERROR(FIND("NoICP",Modded_AMF_Table[[#This Row],[GL_ICP]]))),"",Modded_AMF_Table[[#This Row],[GL_ICP]])</f>
        <v/>
      </c>
      <c r="I366" t="s">
        <v>1212</v>
      </c>
      <c r="J366" t="s">
        <v>1588</v>
      </c>
      <c r="K366" t="str">
        <f>IFERROR(VLOOKUP(VALUE(Modded_AMF_Table[[#This Row],[GL_PC]]),BNS_Profit_Centers[],2,FALSE),"TE")</f>
        <v>TE</v>
      </c>
      <c r="L366" t="s">
        <v>1588</v>
      </c>
      <c r="M366" t="s">
        <v>1380</v>
      </c>
      <c r="N366" t="s">
        <v>1380</v>
      </c>
      <c r="O366" s="33">
        <v>975.23</v>
      </c>
    </row>
    <row r="367" spans="1:15" x14ac:dyDescent="0.25">
      <c r="A367" t="s">
        <v>1520</v>
      </c>
      <c r="B367" t="s">
        <v>1381</v>
      </c>
      <c r="C367" t="s">
        <v>9</v>
      </c>
      <c r="D367" t="str">
        <f>VLOOKUP(Modded_AMF_Table[[#This Row],[HFM_Account]],HFM_Acct_OCF_Activity[],3,FALSE)</f>
        <v>Direct</v>
      </c>
      <c r="E367" t="s">
        <v>1210</v>
      </c>
      <c r="F367" t="s">
        <v>1194</v>
      </c>
      <c r="G367" t="s">
        <v>1382</v>
      </c>
      <c r="H367" t="str">
        <f>IF(NOT(ISERROR(FIND("NoICP",Modded_AMF_Table[[#This Row],[GL_ICP]]))),"",Modded_AMF_Table[[#This Row],[GL_ICP]])</f>
        <v/>
      </c>
      <c r="I367" t="s">
        <v>1212</v>
      </c>
      <c r="J367" t="s">
        <v>1588</v>
      </c>
      <c r="K367" t="str">
        <f>IFERROR(VLOOKUP(VALUE(Modded_AMF_Table[[#This Row],[GL_PC]]),BNS_Profit_Centers[],2,FALSE),"TE")</f>
        <v>TE</v>
      </c>
      <c r="L367" t="s">
        <v>1588</v>
      </c>
      <c r="M367" t="s">
        <v>1383</v>
      </c>
      <c r="N367" t="s">
        <v>1334</v>
      </c>
      <c r="O367" s="33">
        <v>540.77</v>
      </c>
    </row>
    <row r="368" spans="1:15" x14ac:dyDescent="0.25">
      <c r="A368" t="s">
        <v>1520</v>
      </c>
      <c r="B368" t="s">
        <v>1459</v>
      </c>
      <c r="C368" t="s">
        <v>9</v>
      </c>
      <c r="D368" t="str">
        <f>VLOOKUP(Modded_AMF_Table[[#This Row],[HFM_Account]],HFM_Acct_OCF_Activity[],3,FALSE)</f>
        <v>Direct</v>
      </c>
      <c r="E368" t="s">
        <v>1210</v>
      </c>
      <c r="F368" t="s">
        <v>1194</v>
      </c>
      <c r="G368" t="s">
        <v>1460</v>
      </c>
      <c r="H368" t="str">
        <f>IF(NOT(ISERROR(FIND("NoICP",Modded_AMF_Table[[#This Row],[GL_ICP]]))),"",Modded_AMF_Table[[#This Row],[GL_ICP]])</f>
        <v/>
      </c>
      <c r="I368" t="s">
        <v>1212</v>
      </c>
      <c r="J368" t="s">
        <v>1588</v>
      </c>
      <c r="K368" t="str">
        <f>IFERROR(VLOOKUP(VALUE(Modded_AMF_Table[[#This Row],[GL_PC]]),BNS_Profit_Centers[],2,FALSE),"TE")</f>
        <v>TE</v>
      </c>
      <c r="L368" t="s">
        <v>1588</v>
      </c>
      <c r="M368" t="s">
        <v>1461</v>
      </c>
      <c r="N368" t="s">
        <v>1461</v>
      </c>
      <c r="O368" s="33">
        <v>250</v>
      </c>
    </row>
    <row r="369" spans="1:15" x14ac:dyDescent="0.25">
      <c r="A369" t="s">
        <v>1520</v>
      </c>
      <c r="B369" t="s">
        <v>1419</v>
      </c>
      <c r="C369" t="s">
        <v>9</v>
      </c>
      <c r="D369" t="str">
        <f>VLOOKUP(Modded_AMF_Table[[#This Row],[HFM_Account]],HFM_Acct_OCF_Activity[],3,FALSE)</f>
        <v>Direct</v>
      </c>
      <c r="E369" t="s">
        <v>1210</v>
      </c>
      <c r="F369" t="s">
        <v>1194</v>
      </c>
      <c r="G369" t="s">
        <v>1420</v>
      </c>
      <c r="H369" t="str">
        <f>IF(NOT(ISERROR(FIND("NoICP",Modded_AMF_Table[[#This Row],[GL_ICP]]))),"",Modded_AMF_Table[[#This Row],[GL_ICP]])</f>
        <v/>
      </c>
      <c r="I369" t="s">
        <v>1212</v>
      </c>
      <c r="J369" t="s">
        <v>1588</v>
      </c>
      <c r="K369" t="str">
        <f>IFERROR(VLOOKUP(VALUE(Modded_AMF_Table[[#This Row],[GL_PC]]),BNS_Profit_Centers[],2,FALSE),"TE")</f>
        <v>TE</v>
      </c>
      <c r="L369" t="s">
        <v>1588</v>
      </c>
      <c r="M369" t="s">
        <v>1421</v>
      </c>
      <c r="N369" t="s">
        <v>1421</v>
      </c>
      <c r="O369" s="33">
        <v>47.79</v>
      </c>
    </row>
    <row r="370" spans="1:15" x14ac:dyDescent="0.25">
      <c r="A370" t="s">
        <v>1520</v>
      </c>
      <c r="B370" t="s">
        <v>1522</v>
      </c>
      <c r="C370" t="s">
        <v>9</v>
      </c>
      <c r="D370" t="str">
        <f>VLOOKUP(Modded_AMF_Table[[#This Row],[HFM_Account]],HFM_Acct_OCF_Activity[],3,FALSE)</f>
        <v>Direct</v>
      </c>
      <c r="E370" t="s">
        <v>1210</v>
      </c>
      <c r="F370" t="s">
        <v>1194</v>
      </c>
      <c r="G370" t="s">
        <v>1523</v>
      </c>
      <c r="H370" t="str">
        <f>IF(NOT(ISERROR(FIND("NoICP",Modded_AMF_Table[[#This Row],[GL_ICP]]))),"",Modded_AMF_Table[[#This Row],[GL_ICP]])</f>
        <v/>
      </c>
      <c r="I370" t="s">
        <v>1212</v>
      </c>
      <c r="J370" t="s">
        <v>1588</v>
      </c>
      <c r="K370" t="str">
        <f>IFERROR(VLOOKUP(VALUE(Modded_AMF_Table[[#This Row],[GL_PC]]),BNS_Profit_Centers[],2,FALSE),"TE")</f>
        <v>TE</v>
      </c>
      <c r="L370" t="s">
        <v>1588</v>
      </c>
      <c r="M370" t="s">
        <v>1524</v>
      </c>
      <c r="N370" t="s">
        <v>1524</v>
      </c>
      <c r="O370" s="33">
        <v>10116.6</v>
      </c>
    </row>
    <row r="371" spans="1:15" x14ac:dyDescent="0.25">
      <c r="A371" t="s">
        <v>1520</v>
      </c>
      <c r="B371" t="s">
        <v>1525</v>
      </c>
      <c r="C371" t="s">
        <v>9</v>
      </c>
      <c r="D371" t="str">
        <f>VLOOKUP(Modded_AMF_Table[[#This Row],[HFM_Account]],HFM_Acct_OCF_Activity[],3,FALSE)</f>
        <v>Direct</v>
      </c>
      <c r="E371" t="s">
        <v>1210</v>
      </c>
      <c r="F371" t="s">
        <v>1194</v>
      </c>
      <c r="G371" t="s">
        <v>1526</v>
      </c>
      <c r="H371" t="str">
        <f>IF(NOT(ISERROR(FIND("NoICP",Modded_AMF_Table[[#This Row],[GL_ICP]]))),"",Modded_AMF_Table[[#This Row],[GL_ICP]])</f>
        <v/>
      </c>
      <c r="I371" t="s">
        <v>1212</v>
      </c>
      <c r="J371" t="s">
        <v>1588</v>
      </c>
      <c r="K371" t="str">
        <f>IFERROR(VLOOKUP(VALUE(Modded_AMF_Table[[#This Row],[GL_PC]]),BNS_Profit_Centers[],2,FALSE),"TE")</f>
        <v>TE</v>
      </c>
      <c r="L371" t="s">
        <v>1588</v>
      </c>
      <c r="M371" t="s">
        <v>1527</v>
      </c>
      <c r="N371" t="s">
        <v>1528</v>
      </c>
      <c r="O371" s="33">
        <v>804.21</v>
      </c>
    </row>
    <row r="372" spans="1:15" x14ac:dyDescent="0.25">
      <c r="A372" t="s">
        <v>1520</v>
      </c>
      <c r="B372" t="s">
        <v>1529</v>
      </c>
      <c r="C372" t="s">
        <v>9</v>
      </c>
      <c r="D372" t="str">
        <f>VLOOKUP(Modded_AMF_Table[[#This Row],[HFM_Account]],HFM_Acct_OCF_Activity[],3,FALSE)</f>
        <v>Direct</v>
      </c>
      <c r="E372" t="s">
        <v>1210</v>
      </c>
      <c r="F372" t="s">
        <v>1194</v>
      </c>
      <c r="G372" t="s">
        <v>1530</v>
      </c>
      <c r="H372" t="str">
        <f>IF(NOT(ISERROR(FIND("NoICP",Modded_AMF_Table[[#This Row],[GL_ICP]]))),"",Modded_AMF_Table[[#This Row],[GL_ICP]])</f>
        <v/>
      </c>
      <c r="I372" t="s">
        <v>1212</v>
      </c>
      <c r="J372" t="s">
        <v>1588</v>
      </c>
      <c r="K372" t="str">
        <f>IFERROR(VLOOKUP(VALUE(Modded_AMF_Table[[#This Row],[GL_PC]]),BNS_Profit_Centers[],2,FALSE),"TE")</f>
        <v>TE</v>
      </c>
      <c r="L372" t="s">
        <v>1588</v>
      </c>
      <c r="M372" t="s">
        <v>1531</v>
      </c>
      <c r="N372" t="s">
        <v>1531</v>
      </c>
      <c r="O372" s="33">
        <v>155</v>
      </c>
    </row>
    <row r="373" spans="1:15" x14ac:dyDescent="0.25">
      <c r="A373" t="s">
        <v>1520</v>
      </c>
      <c r="B373" t="s">
        <v>1433</v>
      </c>
      <c r="C373" t="s">
        <v>9</v>
      </c>
      <c r="D373" t="str">
        <f>VLOOKUP(Modded_AMF_Table[[#This Row],[HFM_Account]],HFM_Acct_OCF_Activity[],3,FALSE)</f>
        <v>Direct</v>
      </c>
      <c r="E373" t="s">
        <v>1210</v>
      </c>
      <c r="F373" t="s">
        <v>1194</v>
      </c>
      <c r="G373" t="s">
        <v>1434</v>
      </c>
      <c r="H373" t="str">
        <f>IF(NOT(ISERROR(FIND("NoICP",Modded_AMF_Table[[#This Row],[GL_ICP]]))),"",Modded_AMF_Table[[#This Row],[GL_ICP]])</f>
        <v/>
      </c>
      <c r="I373" t="s">
        <v>1212</v>
      </c>
      <c r="J373" t="s">
        <v>1588</v>
      </c>
      <c r="K373" t="str">
        <f>IFERROR(VLOOKUP(VALUE(Modded_AMF_Table[[#This Row],[GL_PC]]),BNS_Profit_Centers[],2,FALSE),"TE")</f>
        <v>TE</v>
      </c>
      <c r="L373" t="s">
        <v>1588</v>
      </c>
      <c r="M373" t="s">
        <v>1435</v>
      </c>
      <c r="N373" t="s">
        <v>1436</v>
      </c>
      <c r="O373" s="33">
        <v>-560.41</v>
      </c>
    </row>
    <row r="374" spans="1:15" x14ac:dyDescent="0.25">
      <c r="A374" t="s">
        <v>1520</v>
      </c>
      <c r="B374" t="s">
        <v>1439</v>
      </c>
      <c r="C374" t="s">
        <v>9</v>
      </c>
      <c r="D374" t="str">
        <f>VLOOKUP(Modded_AMF_Table[[#This Row],[HFM_Account]],HFM_Acct_OCF_Activity[],3,FALSE)</f>
        <v>Direct</v>
      </c>
      <c r="E374" t="s">
        <v>1210</v>
      </c>
      <c r="F374" t="s">
        <v>1194</v>
      </c>
      <c r="G374" t="s">
        <v>1440</v>
      </c>
      <c r="H374" t="str">
        <f>IF(NOT(ISERROR(FIND("NoICP",Modded_AMF_Table[[#This Row],[GL_ICP]]))),"",Modded_AMF_Table[[#This Row],[GL_ICP]])</f>
        <v/>
      </c>
      <c r="I374" t="s">
        <v>1212</v>
      </c>
      <c r="J374" t="s">
        <v>1588</v>
      </c>
      <c r="K374" t="str">
        <f>IFERROR(VLOOKUP(VALUE(Modded_AMF_Table[[#This Row],[GL_PC]]),BNS_Profit_Centers[],2,FALSE),"TE")</f>
        <v>TE</v>
      </c>
      <c r="L374" t="s">
        <v>1588</v>
      </c>
      <c r="M374" t="s">
        <v>1441</v>
      </c>
      <c r="N374" t="s">
        <v>1441</v>
      </c>
      <c r="O374" s="33">
        <v>13.81</v>
      </c>
    </row>
    <row r="375" spans="1:15" x14ac:dyDescent="0.25">
      <c r="A375" t="s">
        <v>1520</v>
      </c>
      <c r="B375" t="s">
        <v>1442</v>
      </c>
      <c r="C375" t="s">
        <v>9</v>
      </c>
      <c r="D375" t="str">
        <f>VLOOKUP(Modded_AMF_Table[[#This Row],[HFM_Account]],HFM_Acct_OCF_Activity[],3,FALSE)</f>
        <v>Direct</v>
      </c>
      <c r="E375" t="s">
        <v>1210</v>
      </c>
      <c r="F375" t="s">
        <v>1194</v>
      </c>
      <c r="G375" t="s">
        <v>1443</v>
      </c>
      <c r="H375" t="str">
        <f>IF(NOT(ISERROR(FIND("NoICP",Modded_AMF_Table[[#This Row],[GL_ICP]]))),"",Modded_AMF_Table[[#This Row],[GL_ICP]])</f>
        <v/>
      </c>
      <c r="I375" t="s">
        <v>1212</v>
      </c>
      <c r="J375" t="s">
        <v>1588</v>
      </c>
      <c r="K375" t="str">
        <f>IFERROR(VLOOKUP(VALUE(Modded_AMF_Table[[#This Row],[GL_PC]]),BNS_Profit_Centers[],2,FALSE),"TE")</f>
        <v>TE</v>
      </c>
      <c r="L375" t="s">
        <v>1588</v>
      </c>
      <c r="M375" t="s">
        <v>1444</v>
      </c>
      <c r="N375" t="s">
        <v>1444</v>
      </c>
      <c r="O375" s="33">
        <v>550</v>
      </c>
    </row>
    <row r="376" spans="1:15" x14ac:dyDescent="0.25">
      <c r="A376" t="s">
        <v>1576</v>
      </c>
      <c r="B376" t="s">
        <v>1577</v>
      </c>
      <c r="C376" t="s">
        <v>8</v>
      </c>
      <c r="D376" t="str">
        <f>VLOOKUP(Modded_AMF_Table[[#This Row],[HFM_Account]],HFM_Acct_OCF_Activity[],3,FALSE)</f>
        <v>Direct</v>
      </c>
      <c r="E376" t="s">
        <v>1210</v>
      </c>
      <c r="F376" t="s">
        <v>1194</v>
      </c>
      <c r="G376" t="s">
        <v>1578</v>
      </c>
      <c r="H376" t="str">
        <f>IF(NOT(ISERROR(FIND("NoICP",Modded_AMF_Table[[#This Row],[GL_ICP]]))),"",Modded_AMF_Table[[#This Row],[GL_ICP]])</f>
        <v/>
      </c>
      <c r="I376" t="s">
        <v>1212</v>
      </c>
      <c r="J376" t="s">
        <v>1521</v>
      </c>
      <c r="K376" t="str">
        <f>IFERROR(VLOOKUP(VALUE(Modded_AMF_Table[[#This Row],[GL_PC]]),BNS_Profit_Centers[],2,FALSE),"TE")</f>
        <v>TE</v>
      </c>
      <c r="L376" t="s">
        <v>1521</v>
      </c>
      <c r="M376" t="s">
        <v>1579</v>
      </c>
      <c r="N376" t="s">
        <v>1579</v>
      </c>
      <c r="O376" s="33">
        <v>41132.5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00"/>
  </sheetPr>
  <dimension ref="A1:L377"/>
  <sheetViews>
    <sheetView workbookViewId="0"/>
  </sheetViews>
  <sheetFormatPr defaultRowHeight="15" x14ac:dyDescent="0.25"/>
  <cols>
    <col min="1" max="11" width="30.7109375" customWidth="1"/>
    <col min="12" max="12" width="19.7109375" style="33" customWidth="1"/>
  </cols>
  <sheetData>
    <row r="1" spans="1:12" ht="18.75" x14ac:dyDescent="0.3">
      <c r="A1" s="43" t="s">
        <v>1587</v>
      </c>
    </row>
    <row r="3" spans="1:12" ht="15.75" x14ac:dyDescent="0.25">
      <c r="A3" s="44" t="s">
        <v>1193</v>
      </c>
      <c r="B3" s="44" t="s">
        <v>1194</v>
      </c>
    </row>
    <row r="4" spans="1:12" ht="15.75" x14ac:dyDescent="0.25">
      <c r="A4" s="44" t="s">
        <v>1195</v>
      </c>
      <c r="B4" s="44" t="s">
        <v>1196</v>
      </c>
    </row>
    <row r="5" spans="1:12" x14ac:dyDescent="0.25">
      <c r="A5" s="45" t="s">
        <v>13</v>
      </c>
      <c r="B5" s="45" t="s">
        <v>1197</v>
      </c>
      <c r="C5" s="45" t="s">
        <v>1198</v>
      </c>
      <c r="D5" s="45" t="s">
        <v>1199</v>
      </c>
      <c r="E5" s="45" t="s">
        <v>1200</v>
      </c>
      <c r="F5" s="45" t="s">
        <v>1201</v>
      </c>
      <c r="G5" s="45" t="s">
        <v>1202</v>
      </c>
      <c r="H5" s="45" t="s">
        <v>1203</v>
      </c>
      <c r="I5" s="45" t="s">
        <v>1204</v>
      </c>
      <c r="J5" s="45" t="s">
        <v>1205</v>
      </c>
      <c r="K5" s="45" t="s">
        <v>1206</v>
      </c>
      <c r="L5" s="46" t="s">
        <v>1207</v>
      </c>
    </row>
    <row r="6" spans="1:12" hidden="1" x14ac:dyDescent="0.25">
      <c r="A6" t="s">
        <v>1587</v>
      </c>
    </row>
    <row r="7" spans="1:12" hidden="1" x14ac:dyDescent="0.25">
      <c r="A7" t="s">
        <v>13</v>
      </c>
      <c r="B7" t="s">
        <v>1197</v>
      </c>
      <c r="C7" t="s">
        <v>1198</v>
      </c>
      <c r="D7" t="s">
        <v>1199</v>
      </c>
      <c r="E7" t="s">
        <v>1200</v>
      </c>
      <c r="F7" t="s">
        <v>1201</v>
      </c>
      <c r="G7" t="s">
        <v>1202</v>
      </c>
      <c r="H7" t="s">
        <v>1203</v>
      </c>
      <c r="I7" t="s">
        <v>1204</v>
      </c>
      <c r="J7" t="s">
        <v>1205</v>
      </c>
      <c r="K7" t="s">
        <v>1206</v>
      </c>
      <c r="L7" s="33" t="s">
        <v>1207</v>
      </c>
    </row>
    <row r="8" spans="1:12" x14ac:dyDescent="0.25">
      <c r="A8" t="s">
        <v>1208</v>
      </c>
      <c r="B8" t="s">
        <v>1209</v>
      </c>
      <c r="C8" t="s">
        <v>288</v>
      </c>
      <c r="D8" t="s">
        <v>1210</v>
      </c>
      <c r="E8" t="s">
        <v>1194</v>
      </c>
      <c r="F8" t="s">
        <v>1211</v>
      </c>
      <c r="G8" t="s">
        <v>1212</v>
      </c>
      <c r="H8" t="s">
        <v>1213</v>
      </c>
      <c r="I8" t="s">
        <v>1213</v>
      </c>
      <c r="J8" t="s">
        <v>1208</v>
      </c>
      <c r="K8" t="s">
        <v>1214</v>
      </c>
      <c r="L8" s="33">
        <v>151.81</v>
      </c>
    </row>
    <row r="9" spans="1:12" x14ac:dyDescent="0.25">
      <c r="A9" t="s">
        <v>335</v>
      </c>
      <c r="B9" t="s">
        <v>336</v>
      </c>
      <c r="C9" t="s">
        <v>335</v>
      </c>
      <c r="D9" t="s">
        <v>1210</v>
      </c>
      <c r="E9" t="s">
        <v>1194</v>
      </c>
      <c r="F9" t="s">
        <v>1215</v>
      </c>
      <c r="G9" t="s">
        <v>1212</v>
      </c>
      <c r="H9" t="s">
        <v>1213</v>
      </c>
      <c r="I9" t="s">
        <v>1213</v>
      </c>
      <c r="J9" t="s">
        <v>335</v>
      </c>
      <c r="K9" t="s">
        <v>1214</v>
      </c>
      <c r="L9" s="33">
        <v>1846.75</v>
      </c>
    </row>
    <row r="10" spans="1:12" x14ac:dyDescent="0.25">
      <c r="A10" t="s">
        <v>379</v>
      </c>
      <c r="B10" t="s">
        <v>1216</v>
      </c>
      <c r="C10" t="s">
        <v>379</v>
      </c>
      <c r="D10" t="s">
        <v>1210</v>
      </c>
      <c r="E10" t="s">
        <v>1194</v>
      </c>
      <c r="F10" t="s">
        <v>1217</v>
      </c>
      <c r="G10" t="s">
        <v>1218</v>
      </c>
      <c r="H10" t="s">
        <v>1213</v>
      </c>
      <c r="I10" t="s">
        <v>1213</v>
      </c>
      <c r="J10" t="s">
        <v>379</v>
      </c>
      <c r="K10" t="s">
        <v>1214</v>
      </c>
      <c r="L10" s="33">
        <v>194.57</v>
      </c>
    </row>
    <row r="11" spans="1:12" x14ac:dyDescent="0.25">
      <c r="A11" t="s">
        <v>379</v>
      </c>
      <c r="B11" t="s">
        <v>1216</v>
      </c>
      <c r="C11" t="s">
        <v>379</v>
      </c>
      <c r="D11" t="s">
        <v>1210</v>
      </c>
      <c r="E11" t="s">
        <v>1194</v>
      </c>
      <c r="F11" t="s">
        <v>1252</v>
      </c>
      <c r="G11" t="s">
        <v>1253</v>
      </c>
      <c r="H11" t="s">
        <v>1213</v>
      </c>
      <c r="I11" t="s">
        <v>1213</v>
      </c>
      <c r="J11" t="s">
        <v>379</v>
      </c>
      <c r="K11" t="s">
        <v>1214</v>
      </c>
      <c r="L11" s="33">
        <v>4320.16</v>
      </c>
    </row>
    <row r="12" spans="1:12" x14ac:dyDescent="0.25">
      <c r="A12" t="s">
        <v>1221</v>
      </c>
      <c r="B12" t="s">
        <v>1222</v>
      </c>
      <c r="C12" t="s">
        <v>315</v>
      </c>
      <c r="D12" t="s">
        <v>1210</v>
      </c>
      <c r="E12" t="s">
        <v>1194</v>
      </c>
      <c r="F12" t="s">
        <v>1223</v>
      </c>
      <c r="G12" t="s">
        <v>1212</v>
      </c>
      <c r="H12" t="s">
        <v>1224</v>
      </c>
      <c r="I12" t="s">
        <v>1224</v>
      </c>
      <c r="J12" t="s">
        <v>1221</v>
      </c>
      <c r="K12" t="s">
        <v>1214</v>
      </c>
      <c r="L12" s="33">
        <v>-0.01</v>
      </c>
    </row>
    <row r="13" spans="1:12" x14ac:dyDescent="0.25">
      <c r="A13" t="s">
        <v>1221</v>
      </c>
      <c r="B13" t="s">
        <v>1222</v>
      </c>
      <c r="C13" t="s">
        <v>315</v>
      </c>
      <c r="D13" t="s">
        <v>1210</v>
      </c>
      <c r="E13" t="s">
        <v>1194</v>
      </c>
      <c r="F13" t="s">
        <v>1223</v>
      </c>
      <c r="G13" t="s">
        <v>1212</v>
      </c>
      <c r="H13" t="s">
        <v>1225</v>
      </c>
      <c r="I13" t="s">
        <v>1225</v>
      </c>
      <c r="J13" t="s">
        <v>1221</v>
      </c>
      <c r="K13" t="s">
        <v>1214</v>
      </c>
      <c r="L13" s="33">
        <v>0.01</v>
      </c>
    </row>
    <row r="14" spans="1:12" x14ac:dyDescent="0.25">
      <c r="A14" t="s">
        <v>323</v>
      </c>
      <c r="B14" t="s">
        <v>1226</v>
      </c>
      <c r="C14" t="s">
        <v>323</v>
      </c>
      <c r="D14" t="s">
        <v>1210</v>
      </c>
      <c r="E14" t="s">
        <v>1194</v>
      </c>
      <c r="F14" t="s">
        <v>1227</v>
      </c>
      <c r="G14" t="s">
        <v>1212</v>
      </c>
      <c r="H14" t="s">
        <v>1213</v>
      </c>
      <c r="I14" t="s">
        <v>1213</v>
      </c>
      <c r="J14" t="s">
        <v>323</v>
      </c>
      <c r="K14" t="s">
        <v>1214</v>
      </c>
      <c r="L14" s="33">
        <v>17867.580000000002</v>
      </c>
    </row>
    <row r="15" spans="1:12" x14ac:dyDescent="0.25">
      <c r="A15" t="s">
        <v>325</v>
      </c>
      <c r="B15" t="s">
        <v>1228</v>
      </c>
      <c r="C15" t="s">
        <v>325</v>
      </c>
      <c r="D15" t="s">
        <v>1210</v>
      </c>
      <c r="E15" t="s">
        <v>1194</v>
      </c>
      <c r="F15" t="s">
        <v>1229</v>
      </c>
      <c r="G15" t="s">
        <v>1212</v>
      </c>
      <c r="H15" t="s">
        <v>1213</v>
      </c>
      <c r="I15" t="s">
        <v>1213</v>
      </c>
      <c r="J15" t="s">
        <v>325</v>
      </c>
      <c r="K15" t="s">
        <v>1214</v>
      </c>
      <c r="L15" s="33">
        <v>19192.66</v>
      </c>
    </row>
    <row r="16" spans="1:12" x14ac:dyDescent="0.25">
      <c r="A16" t="s">
        <v>1230</v>
      </c>
      <c r="B16" t="s">
        <v>1231</v>
      </c>
      <c r="C16" t="s">
        <v>329</v>
      </c>
      <c r="D16" t="s">
        <v>1210</v>
      </c>
      <c r="E16" t="s">
        <v>1194</v>
      </c>
      <c r="F16" t="s">
        <v>1232</v>
      </c>
      <c r="G16" t="s">
        <v>1212</v>
      </c>
      <c r="H16" t="s">
        <v>1213</v>
      </c>
      <c r="I16" t="s">
        <v>1213</v>
      </c>
      <c r="J16" t="s">
        <v>1230</v>
      </c>
      <c r="K16" t="s">
        <v>1214</v>
      </c>
      <c r="L16" s="33">
        <v>11856.61</v>
      </c>
    </row>
    <row r="17" spans="1:12" x14ac:dyDescent="0.25">
      <c r="A17" t="s">
        <v>1233</v>
      </c>
      <c r="B17" t="s">
        <v>1234</v>
      </c>
      <c r="C17" t="s">
        <v>329</v>
      </c>
      <c r="D17" t="s">
        <v>1210</v>
      </c>
      <c r="E17" t="s">
        <v>1194</v>
      </c>
      <c r="F17" t="s">
        <v>1235</v>
      </c>
      <c r="G17" t="s">
        <v>1212</v>
      </c>
      <c r="H17" t="s">
        <v>1213</v>
      </c>
      <c r="I17" t="s">
        <v>1213</v>
      </c>
      <c r="J17" t="s">
        <v>1233</v>
      </c>
      <c r="K17" t="s">
        <v>1214</v>
      </c>
      <c r="L17" s="33">
        <v>9270</v>
      </c>
    </row>
    <row r="18" spans="1:12" x14ac:dyDescent="0.25">
      <c r="A18" t="s">
        <v>1236</v>
      </c>
      <c r="B18" t="s">
        <v>1237</v>
      </c>
      <c r="C18" t="s">
        <v>329</v>
      </c>
      <c r="D18" t="s">
        <v>1210</v>
      </c>
      <c r="E18" t="s">
        <v>1194</v>
      </c>
      <c r="F18" t="s">
        <v>1238</v>
      </c>
      <c r="G18" t="s">
        <v>1212</v>
      </c>
      <c r="H18" t="s">
        <v>1213</v>
      </c>
      <c r="I18" t="s">
        <v>1213</v>
      </c>
      <c r="J18" t="s">
        <v>1236</v>
      </c>
      <c r="K18" t="s">
        <v>1214</v>
      </c>
      <c r="L18" s="33">
        <v>6362.35</v>
      </c>
    </row>
    <row r="19" spans="1:12" x14ac:dyDescent="0.25">
      <c r="A19" t="s">
        <v>1239</v>
      </c>
      <c r="B19" t="s">
        <v>1240</v>
      </c>
      <c r="C19" t="s">
        <v>329</v>
      </c>
      <c r="D19" t="s">
        <v>1210</v>
      </c>
      <c r="E19" t="s">
        <v>1194</v>
      </c>
      <c r="F19" t="s">
        <v>1241</v>
      </c>
      <c r="G19" t="s">
        <v>1212</v>
      </c>
      <c r="H19" t="s">
        <v>1213</v>
      </c>
      <c r="I19" t="s">
        <v>1213</v>
      </c>
      <c r="J19" t="s">
        <v>1239</v>
      </c>
      <c r="K19" t="s">
        <v>1214</v>
      </c>
      <c r="L19" s="33">
        <v>32152.16</v>
      </c>
    </row>
    <row r="20" spans="1:12" x14ac:dyDescent="0.25">
      <c r="A20" t="s">
        <v>1242</v>
      </c>
      <c r="B20" t="s">
        <v>1243</v>
      </c>
      <c r="C20" t="s">
        <v>365</v>
      </c>
      <c r="D20" t="s">
        <v>1210</v>
      </c>
      <c r="E20" t="s">
        <v>1194</v>
      </c>
      <c r="F20" t="s">
        <v>1244</v>
      </c>
      <c r="G20" t="s">
        <v>1212</v>
      </c>
      <c r="H20" t="s">
        <v>1213</v>
      </c>
      <c r="I20" t="s">
        <v>1213</v>
      </c>
      <c r="J20" t="s">
        <v>1242</v>
      </c>
      <c r="K20" t="s">
        <v>1214</v>
      </c>
      <c r="L20" s="33">
        <v>5859.81</v>
      </c>
    </row>
    <row r="21" spans="1:12" x14ac:dyDescent="0.25">
      <c r="A21" t="s">
        <v>399</v>
      </c>
      <c r="B21" t="s">
        <v>1245</v>
      </c>
      <c r="C21" t="s">
        <v>399</v>
      </c>
      <c r="D21" t="s">
        <v>1210</v>
      </c>
      <c r="E21" t="s">
        <v>1194</v>
      </c>
      <c r="F21" t="s">
        <v>1246</v>
      </c>
      <c r="G21" t="s">
        <v>1212</v>
      </c>
      <c r="H21" t="s">
        <v>1213</v>
      </c>
      <c r="I21" t="s">
        <v>1213</v>
      </c>
      <c r="J21" t="s">
        <v>399</v>
      </c>
      <c r="K21" t="s">
        <v>1214</v>
      </c>
      <c r="L21" s="33">
        <v>52417</v>
      </c>
    </row>
    <row r="22" spans="1:12" x14ac:dyDescent="0.25">
      <c r="A22" t="s">
        <v>1247</v>
      </c>
      <c r="B22" t="s">
        <v>1248</v>
      </c>
      <c r="C22" t="s">
        <v>477</v>
      </c>
      <c r="D22" t="s">
        <v>1210</v>
      </c>
      <c r="E22" t="s">
        <v>1194</v>
      </c>
      <c r="F22" t="s">
        <v>1249</v>
      </c>
      <c r="G22" t="s">
        <v>1250</v>
      </c>
      <c r="H22" t="s">
        <v>1213</v>
      </c>
      <c r="I22" t="s">
        <v>1213</v>
      </c>
      <c r="J22" t="s">
        <v>1247</v>
      </c>
      <c r="K22" t="s">
        <v>1214</v>
      </c>
      <c r="L22" s="33">
        <v>3190081.38</v>
      </c>
    </row>
    <row r="23" spans="1:12" x14ac:dyDescent="0.25">
      <c r="A23" t="s">
        <v>387</v>
      </c>
      <c r="B23" t="s">
        <v>1251</v>
      </c>
      <c r="C23" t="s">
        <v>387</v>
      </c>
      <c r="D23" t="s">
        <v>1210</v>
      </c>
      <c r="E23" t="s">
        <v>1194</v>
      </c>
      <c r="F23" t="s">
        <v>1252</v>
      </c>
      <c r="G23" t="s">
        <v>1253</v>
      </c>
      <c r="H23" t="s">
        <v>1213</v>
      </c>
      <c r="I23" t="s">
        <v>1213</v>
      </c>
      <c r="J23" t="s">
        <v>387</v>
      </c>
      <c r="K23" t="s">
        <v>1214</v>
      </c>
      <c r="L23" s="33">
        <v>777400</v>
      </c>
    </row>
    <row r="24" spans="1:12" x14ac:dyDescent="0.25">
      <c r="A24" t="s">
        <v>899</v>
      </c>
      <c r="B24" t="s">
        <v>412</v>
      </c>
      <c r="C24" t="s">
        <v>411</v>
      </c>
      <c r="D24" t="s">
        <v>1210</v>
      </c>
      <c r="E24" t="s">
        <v>1194</v>
      </c>
      <c r="F24" t="s">
        <v>1254</v>
      </c>
      <c r="G24" t="s">
        <v>1212</v>
      </c>
      <c r="H24" t="s">
        <v>1213</v>
      </c>
      <c r="I24" t="s">
        <v>1213</v>
      </c>
      <c r="J24" t="s">
        <v>899</v>
      </c>
      <c r="K24" t="s">
        <v>1214</v>
      </c>
      <c r="L24" s="33">
        <v>132993.57</v>
      </c>
    </row>
    <row r="25" spans="1:12" x14ac:dyDescent="0.25">
      <c r="A25" t="s">
        <v>907</v>
      </c>
      <c r="B25" t="s">
        <v>1255</v>
      </c>
      <c r="C25" t="s">
        <v>415</v>
      </c>
      <c r="D25" t="s">
        <v>1210</v>
      </c>
      <c r="E25" t="s">
        <v>1194</v>
      </c>
      <c r="F25" t="s">
        <v>1256</v>
      </c>
      <c r="G25" t="s">
        <v>1212</v>
      </c>
      <c r="H25" t="s">
        <v>1213</v>
      </c>
      <c r="I25" t="s">
        <v>1213</v>
      </c>
      <c r="J25" t="s">
        <v>907</v>
      </c>
      <c r="K25" t="s">
        <v>1214</v>
      </c>
      <c r="L25" s="33">
        <v>8513.2099999999991</v>
      </c>
    </row>
    <row r="26" spans="1:12" x14ac:dyDescent="0.25">
      <c r="A26" t="s">
        <v>913</v>
      </c>
      <c r="B26" t="s">
        <v>1257</v>
      </c>
      <c r="C26" t="s">
        <v>417</v>
      </c>
      <c r="D26" t="s">
        <v>1210</v>
      </c>
      <c r="E26" t="s">
        <v>1194</v>
      </c>
      <c r="F26" t="s">
        <v>1258</v>
      </c>
      <c r="G26" t="s">
        <v>1212</v>
      </c>
      <c r="H26" t="s">
        <v>1213</v>
      </c>
      <c r="I26" t="s">
        <v>1213</v>
      </c>
      <c r="J26" t="s">
        <v>913</v>
      </c>
      <c r="K26" t="s">
        <v>1214</v>
      </c>
      <c r="L26" s="33">
        <v>110423.83</v>
      </c>
    </row>
    <row r="27" spans="1:12" x14ac:dyDescent="0.25">
      <c r="A27" t="s">
        <v>917</v>
      </c>
      <c r="B27" t="s">
        <v>1259</v>
      </c>
      <c r="C27" t="s">
        <v>421</v>
      </c>
      <c r="D27" t="s">
        <v>1210</v>
      </c>
      <c r="E27" t="s">
        <v>1194</v>
      </c>
      <c r="F27" t="s">
        <v>1260</v>
      </c>
      <c r="G27" t="s">
        <v>1212</v>
      </c>
      <c r="H27" t="s">
        <v>1213</v>
      </c>
      <c r="I27" t="s">
        <v>1213</v>
      </c>
      <c r="J27" t="s">
        <v>917</v>
      </c>
      <c r="K27" t="s">
        <v>1214</v>
      </c>
      <c r="L27" s="33">
        <v>5131.92</v>
      </c>
    </row>
    <row r="28" spans="1:12" x14ac:dyDescent="0.25">
      <c r="A28" t="s">
        <v>429</v>
      </c>
      <c r="B28" t="s">
        <v>1261</v>
      </c>
      <c r="C28" t="s">
        <v>429</v>
      </c>
      <c r="D28" t="s">
        <v>1210</v>
      </c>
      <c r="E28" t="s">
        <v>1194</v>
      </c>
      <c r="F28" t="s">
        <v>1262</v>
      </c>
      <c r="G28" t="s">
        <v>1212</v>
      </c>
      <c r="H28" t="s">
        <v>1213</v>
      </c>
      <c r="I28" t="s">
        <v>1213</v>
      </c>
      <c r="J28" t="s">
        <v>429</v>
      </c>
      <c r="K28" t="s">
        <v>1214</v>
      </c>
      <c r="L28" s="33">
        <v>-132993.57</v>
      </c>
    </row>
    <row r="29" spans="1:12" x14ac:dyDescent="0.25">
      <c r="A29" t="s">
        <v>928</v>
      </c>
      <c r="B29" t="s">
        <v>1263</v>
      </c>
      <c r="C29" t="s">
        <v>433</v>
      </c>
      <c r="D29" t="s">
        <v>1210</v>
      </c>
      <c r="E29" t="s">
        <v>1194</v>
      </c>
      <c r="F29" t="s">
        <v>1264</v>
      </c>
      <c r="G29" t="s">
        <v>1212</v>
      </c>
      <c r="H29" t="s">
        <v>1213</v>
      </c>
      <c r="I29" t="s">
        <v>1213</v>
      </c>
      <c r="J29" t="s">
        <v>928</v>
      </c>
      <c r="K29" t="s">
        <v>1214</v>
      </c>
      <c r="L29" s="33">
        <v>-8513.2099999999991</v>
      </c>
    </row>
    <row r="30" spans="1:12" x14ac:dyDescent="0.25">
      <c r="A30" t="s">
        <v>932</v>
      </c>
      <c r="B30" t="s">
        <v>1265</v>
      </c>
      <c r="C30" t="s">
        <v>435</v>
      </c>
      <c r="D30" t="s">
        <v>1210</v>
      </c>
      <c r="E30" t="s">
        <v>1194</v>
      </c>
      <c r="F30" t="s">
        <v>1266</v>
      </c>
      <c r="G30" t="s">
        <v>1212</v>
      </c>
      <c r="H30" t="s">
        <v>1213</v>
      </c>
      <c r="I30" t="s">
        <v>1213</v>
      </c>
      <c r="J30" t="s">
        <v>932</v>
      </c>
      <c r="K30" t="s">
        <v>1214</v>
      </c>
      <c r="L30" s="33">
        <v>-104276.83</v>
      </c>
    </row>
    <row r="31" spans="1:12" x14ac:dyDescent="0.25">
      <c r="A31" t="s">
        <v>936</v>
      </c>
      <c r="B31" t="s">
        <v>1267</v>
      </c>
      <c r="C31" t="s">
        <v>439</v>
      </c>
      <c r="D31" t="s">
        <v>1210</v>
      </c>
      <c r="E31" t="s">
        <v>1194</v>
      </c>
      <c r="F31" t="s">
        <v>1268</v>
      </c>
      <c r="G31" t="s">
        <v>1212</v>
      </c>
      <c r="H31" t="s">
        <v>1213</v>
      </c>
      <c r="I31" t="s">
        <v>1213</v>
      </c>
      <c r="J31" t="s">
        <v>936</v>
      </c>
      <c r="K31" t="s">
        <v>1214</v>
      </c>
      <c r="L31" s="33">
        <v>-5131.92</v>
      </c>
    </row>
    <row r="32" spans="1:12" x14ac:dyDescent="0.25">
      <c r="A32" t="s">
        <v>515</v>
      </c>
      <c r="B32" t="s">
        <v>516</v>
      </c>
      <c r="C32" t="s">
        <v>515</v>
      </c>
      <c r="D32" t="s">
        <v>1210</v>
      </c>
      <c r="E32" t="s">
        <v>1194</v>
      </c>
      <c r="F32" t="s">
        <v>1269</v>
      </c>
      <c r="G32" t="s">
        <v>1212</v>
      </c>
      <c r="H32" t="s">
        <v>1213</v>
      </c>
      <c r="I32" t="s">
        <v>1213</v>
      </c>
      <c r="J32" t="s">
        <v>515</v>
      </c>
      <c r="K32" t="s">
        <v>1214</v>
      </c>
      <c r="L32" s="33">
        <v>-28850.37</v>
      </c>
    </row>
    <row r="33" spans="1:12" x14ac:dyDescent="0.25">
      <c r="A33" t="s">
        <v>1148</v>
      </c>
      <c r="B33" t="s">
        <v>1270</v>
      </c>
      <c r="C33" t="s">
        <v>515</v>
      </c>
      <c r="D33" t="s">
        <v>1210</v>
      </c>
      <c r="E33" t="s">
        <v>1194</v>
      </c>
      <c r="F33" t="s">
        <v>1271</v>
      </c>
      <c r="G33" t="s">
        <v>1212</v>
      </c>
      <c r="H33" t="s">
        <v>1213</v>
      </c>
      <c r="I33" t="s">
        <v>1213</v>
      </c>
      <c r="J33" t="s">
        <v>1148</v>
      </c>
      <c r="K33" t="s">
        <v>1214</v>
      </c>
      <c r="L33" s="33">
        <v>-1166.6500000000001</v>
      </c>
    </row>
    <row r="34" spans="1:12" x14ac:dyDescent="0.25">
      <c r="A34" t="s">
        <v>1149</v>
      </c>
      <c r="B34" t="s">
        <v>1272</v>
      </c>
      <c r="C34" t="s">
        <v>517</v>
      </c>
      <c r="D34" t="s">
        <v>1210</v>
      </c>
      <c r="E34" t="s">
        <v>1194</v>
      </c>
      <c r="F34" t="s">
        <v>1273</v>
      </c>
      <c r="G34" t="s">
        <v>1212</v>
      </c>
      <c r="H34" t="s">
        <v>1213</v>
      </c>
      <c r="I34" t="s">
        <v>1213</v>
      </c>
      <c r="J34" t="s">
        <v>1149</v>
      </c>
      <c r="K34" t="s">
        <v>1214</v>
      </c>
      <c r="L34" s="33">
        <v>-18666.2</v>
      </c>
    </row>
    <row r="35" spans="1:12" x14ac:dyDescent="0.25">
      <c r="A35" t="s">
        <v>1274</v>
      </c>
      <c r="B35" t="s">
        <v>1275</v>
      </c>
      <c r="C35" t="s">
        <v>517</v>
      </c>
      <c r="D35" t="s">
        <v>1210</v>
      </c>
      <c r="E35" t="s">
        <v>1194</v>
      </c>
      <c r="F35" t="s">
        <v>1276</v>
      </c>
      <c r="G35" t="s">
        <v>1212</v>
      </c>
      <c r="H35" t="s">
        <v>1213</v>
      </c>
      <c r="I35" t="s">
        <v>1213</v>
      </c>
      <c r="J35" t="s">
        <v>1274</v>
      </c>
      <c r="K35" t="s">
        <v>1214</v>
      </c>
      <c r="L35" s="33">
        <v>18666.2</v>
      </c>
    </row>
    <row r="36" spans="1:12" x14ac:dyDescent="0.25">
      <c r="A36" t="s">
        <v>639</v>
      </c>
      <c r="B36" t="s">
        <v>1277</v>
      </c>
      <c r="C36" t="s">
        <v>639</v>
      </c>
      <c r="D36" t="s">
        <v>1210</v>
      </c>
      <c r="E36" t="s">
        <v>1194</v>
      </c>
      <c r="F36" t="s">
        <v>1217</v>
      </c>
      <c r="G36" t="s">
        <v>1218</v>
      </c>
      <c r="H36" t="s">
        <v>1213</v>
      </c>
      <c r="I36" t="s">
        <v>1213</v>
      </c>
      <c r="J36" t="s">
        <v>639</v>
      </c>
      <c r="K36" t="s">
        <v>1214</v>
      </c>
      <c r="L36" s="33">
        <v>-7210.59</v>
      </c>
    </row>
    <row r="37" spans="1:12" x14ac:dyDescent="0.25">
      <c r="A37" t="s">
        <v>639</v>
      </c>
      <c r="B37" t="s">
        <v>1277</v>
      </c>
      <c r="C37" t="s">
        <v>639</v>
      </c>
      <c r="D37" t="s">
        <v>1210</v>
      </c>
      <c r="E37" t="s">
        <v>1194</v>
      </c>
      <c r="F37" t="s">
        <v>1252</v>
      </c>
      <c r="G37" t="s">
        <v>1253</v>
      </c>
      <c r="H37" t="s">
        <v>1213</v>
      </c>
      <c r="I37" t="s">
        <v>1213</v>
      </c>
      <c r="J37" t="s">
        <v>639</v>
      </c>
      <c r="K37" t="s">
        <v>1214</v>
      </c>
      <c r="L37" s="33">
        <v>-390.15</v>
      </c>
    </row>
    <row r="38" spans="1:12" x14ac:dyDescent="0.25">
      <c r="A38" t="s">
        <v>639</v>
      </c>
      <c r="B38" t="s">
        <v>1277</v>
      </c>
      <c r="C38" t="s">
        <v>639</v>
      </c>
      <c r="D38" t="s">
        <v>1210</v>
      </c>
      <c r="E38" t="s">
        <v>1194</v>
      </c>
      <c r="F38" t="s">
        <v>1278</v>
      </c>
      <c r="G38" t="s">
        <v>1279</v>
      </c>
      <c r="H38" t="s">
        <v>1213</v>
      </c>
      <c r="I38" t="s">
        <v>1213</v>
      </c>
      <c r="J38" t="s">
        <v>639</v>
      </c>
      <c r="K38" t="s">
        <v>1214</v>
      </c>
      <c r="L38" s="33">
        <v>-8970.83</v>
      </c>
    </row>
    <row r="39" spans="1:12" x14ac:dyDescent="0.25">
      <c r="A39" t="s">
        <v>1280</v>
      </c>
      <c r="B39" t="s">
        <v>1281</v>
      </c>
      <c r="C39" t="s">
        <v>639</v>
      </c>
      <c r="D39" t="s">
        <v>1210</v>
      </c>
      <c r="E39" t="s">
        <v>1194</v>
      </c>
      <c r="F39" t="s">
        <v>1217</v>
      </c>
      <c r="G39" t="s">
        <v>1218</v>
      </c>
      <c r="H39" t="s">
        <v>1213</v>
      </c>
      <c r="I39" t="s">
        <v>1213</v>
      </c>
      <c r="J39" t="s">
        <v>1280</v>
      </c>
      <c r="K39" t="s">
        <v>1214</v>
      </c>
      <c r="L39" s="33">
        <v>149.16999999999999</v>
      </c>
    </row>
    <row r="40" spans="1:12" x14ac:dyDescent="0.25">
      <c r="A40" t="s">
        <v>1280</v>
      </c>
      <c r="B40" t="s">
        <v>1281</v>
      </c>
      <c r="C40" t="s">
        <v>639</v>
      </c>
      <c r="D40" t="s">
        <v>1210</v>
      </c>
      <c r="E40" t="s">
        <v>1194</v>
      </c>
      <c r="F40" t="s">
        <v>1278</v>
      </c>
      <c r="G40" t="s">
        <v>1279</v>
      </c>
      <c r="H40" t="s">
        <v>1213</v>
      </c>
      <c r="I40" t="s">
        <v>1213</v>
      </c>
      <c r="J40" t="s">
        <v>1280</v>
      </c>
      <c r="K40" t="s">
        <v>1214</v>
      </c>
      <c r="L40" s="33">
        <v>-77.53</v>
      </c>
    </row>
    <row r="41" spans="1:12" x14ac:dyDescent="0.25">
      <c r="A41" t="s">
        <v>1282</v>
      </c>
      <c r="B41" t="s">
        <v>1283</v>
      </c>
      <c r="C41" t="s">
        <v>585</v>
      </c>
      <c r="D41" t="s">
        <v>1210</v>
      </c>
      <c r="E41" t="s">
        <v>1194</v>
      </c>
      <c r="F41" t="s">
        <v>1284</v>
      </c>
      <c r="G41" t="s">
        <v>1212</v>
      </c>
      <c r="H41" t="s">
        <v>1213</v>
      </c>
      <c r="I41" t="s">
        <v>1213</v>
      </c>
      <c r="J41" t="s">
        <v>1282</v>
      </c>
      <c r="K41" t="s">
        <v>1214</v>
      </c>
      <c r="L41" s="33">
        <v>-47800</v>
      </c>
    </row>
    <row r="42" spans="1:12" x14ac:dyDescent="0.25">
      <c r="A42" t="s">
        <v>1285</v>
      </c>
      <c r="B42" t="s">
        <v>1286</v>
      </c>
      <c r="C42" t="s">
        <v>527</v>
      </c>
      <c r="D42" t="s">
        <v>1210</v>
      </c>
      <c r="E42" t="s">
        <v>1194</v>
      </c>
      <c r="F42" t="s">
        <v>1287</v>
      </c>
      <c r="G42" t="s">
        <v>1212</v>
      </c>
      <c r="H42" t="s">
        <v>1213</v>
      </c>
      <c r="I42" t="s">
        <v>1213</v>
      </c>
      <c r="J42" t="s">
        <v>1285</v>
      </c>
      <c r="K42" t="s">
        <v>1214</v>
      </c>
      <c r="L42" s="33">
        <v>-181778.18</v>
      </c>
    </row>
    <row r="43" spans="1:12" x14ac:dyDescent="0.25">
      <c r="A43" t="s">
        <v>1288</v>
      </c>
      <c r="B43" t="s">
        <v>1289</v>
      </c>
      <c r="C43" t="s">
        <v>521</v>
      </c>
      <c r="D43" t="s">
        <v>1210</v>
      </c>
      <c r="E43" t="s">
        <v>1194</v>
      </c>
      <c r="F43" t="s">
        <v>1290</v>
      </c>
      <c r="G43" t="s">
        <v>1212</v>
      </c>
      <c r="H43" t="s">
        <v>1213</v>
      </c>
      <c r="I43" t="s">
        <v>1213</v>
      </c>
      <c r="J43" t="s">
        <v>1288</v>
      </c>
      <c r="K43" t="s">
        <v>1214</v>
      </c>
      <c r="L43" s="33">
        <v>-31773.37</v>
      </c>
    </row>
    <row r="44" spans="1:12" x14ac:dyDescent="0.25">
      <c r="A44" t="s">
        <v>1291</v>
      </c>
      <c r="B44" t="s">
        <v>1292</v>
      </c>
      <c r="C44" t="s">
        <v>521</v>
      </c>
      <c r="D44" t="s">
        <v>1210</v>
      </c>
      <c r="E44" t="s">
        <v>1194</v>
      </c>
      <c r="F44" t="s">
        <v>1293</v>
      </c>
      <c r="G44" t="s">
        <v>1212</v>
      </c>
      <c r="H44" t="s">
        <v>1213</v>
      </c>
      <c r="I44" t="s">
        <v>1213</v>
      </c>
      <c r="J44" t="s">
        <v>1291</v>
      </c>
      <c r="K44" t="s">
        <v>1214</v>
      </c>
      <c r="L44" s="33">
        <v>-1940.14</v>
      </c>
    </row>
    <row r="45" spans="1:12" x14ac:dyDescent="0.25">
      <c r="A45" t="s">
        <v>617</v>
      </c>
      <c r="B45" t="s">
        <v>1294</v>
      </c>
      <c r="C45" t="s">
        <v>617</v>
      </c>
      <c r="D45" t="s">
        <v>1210</v>
      </c>
      <c r="E45" t="s">
        <v>1194</v>
      </c>
      <c r="F45" t="s">
        <v>1295</v>
      </c>
      <c r="G45" t="s">
        <v>1212</v>
      </c>
      <c r="H45" t="s">
        <v>1213</v>
      </c>
      <c r="I45" t="s">
        <v>1213</v>
      </c>
      <c r="J45" t="s">
        <v>617</v>
      </c>
      <c r="K45" t="s">
        <v>1214</v>
      </c>
      <c r="L45" s="33">
        <v>80993.259999999995</v>
      </c>
    </row>
    <row r="46" spans="1:12" x14ac:dyDescent="0.25">
      <c r="A46" t="s">
        <v>1296</v>
      </c>
      <c r="B46" t="s">
        <v>1297</v>
      </c>
      <c r="C46" t="s">
        <v>617</v>
      </c>
      <c r="D46" t="s">
        <v>1210</v>
      </c>
      <c r="E46" t="s">
        <v>1194</v>
      </c>
      <c r="F46" t="s">
        <v>1298</v>
      </c>
      <c r="G46" t="s">
        <v>1212</v>
      </c>
      <c r="H46" t="s">
        <v>1213</v>
      </c>
      <c r="I46" t="s">
        <v>1213</v>
      </c>
      <c r="J46" t="s">
        <v>1296</v>
      </c>
      <c r="K46" t="s">
        <v>1214</v>
      </c>
      <c r="L46" s="33">
        <v>-105106</v>
      </c>
    </row>
    <row r="47" spans="1:12" x14ac:dyDescent="0.25">
      <c r="A47" t="s">
        <v>1299</v>
      </c>
      <c r="B47" t="s">
        <v>1300</v>
      </c>
      <c r="C47" t="s">
        <v>539</v>
      </c>
      <c r="D47" t="s">
        <v>1210</v>
      </c>
      <c r="E47" t="s">
        <v>1194</v>
      </c>
      <c r="F47" t="s">
        <v>1301</v>
      </c>
      <c r="G47" t="s">
        <v>1212</v>
      </c>
      <c r="H47" t="s">
        <v>1213</v>
      </c>
      <c r="I47" t="s">
        <v>1213</v>
      </c>
      <c r="J47" t="s">
        <v>1299</v>
      </c>
      <c r="K47" t="s">
        <v>1214</v>
      </c>
      <c r="L47" s="33">
        <v>-550</v>
      </c>
    </row>
    <row r="48" spans="1:12" x14ac:dyDescent="0.25">
      <c r="A48" t="s">
        <v>1302</v>
      </c>
      <c r="B48" t="s">
        <v>1303</v>
      </c>
      <c r="C48" t="s">
        <v>539</v>
      </c>
      <c r="D48" t="s">
        <v>1210</v>
      </c>
      <c r="E48" t="s">
        <v>1194</v>
      </c>
      <c r="F48" t="s">
        <v>1304</v>
      </c>
      <c r="G48" t="s">
        <v>1212</v>
      </c>
      <c r="H48" t="s">
        <v>1213</v>
      </c>
      <c r="I48" t="s">
        <v>1213</v>
      </c>
      <c r="J48" t="s">
        <v>1302</v>
      </c>
      <c r="K48" t="s">
        <v>1214</v>
      </c>
      <c r="L48" s="33">
        <v>-533.05999999999995</v>
      </c>
    </row>
    <row r="49" spans="1:12" x14ac:dyDescent="0.25">
      <c r="A49" t="s">
        <v>541</v>
      </c>
      <c r="B49" t="s">
        <v>542</v>
      </c>
      <c r="C49" t="s">
        <v>541</v>
      </c>
      <c r="D49" t="s">
        <v>1210</v>
      </c>
      <c r="E49" t="s">
        <v>1194</v>
      </c>
      <c r="F49" t="s">
        <v>1305</v>
      </c>
      <c r="G49" t="s">
        <v>1212</v>
      </c>
      <c r="H49" t="s">
        <v>1213</v>
      </c>
      <c r="I49" t="s">
        <v>1213</v>
      </c>
      <c r="J49" t="s">
        <v>541</v>
      </c>
      <c r="K49" t="s">
        <v>1214</v>
      </c>
      <c r="L49" s="33">
        <v>-2700</v>
      </c>
    </row>
    <row r="50" spans="1:12" x14ac:dyDescent="0.25">
      <c r="A50" t="s">
        <v>1306</v>
      </c>
      <c r="B50" t="s">
        <v>1307</v>
      </c>
      <c r="C50" t="s">
        <v>541</v>
      </c>
      <c r="D50" t="s">
        <v>1210</v>
      </c>
      <c r="E50" t="s">
        <v>1194</v>
      </c>
      <c r="F50" t="s">
        <v>1308</v>
      </c>
      <c r="G50" t="s">
        <v>1212</v>
      </c>
      <c r="H50" t="s">
        <v>1213</v>
      </c>
      <c r="I50" t="s">
        <v>1213</v>
      </c>
      <c r="J50" t="s">
        <v>1306</v>
      </c>
      <c r="K50" t="s">
        <v>1214</v>
      </c>
      <c r="L50" s="33">
        <v>-2967</v>
      </c>
    </row>
    <row r="51" spans="1:12" x14ac:dyDescent="0.25">
      <c r="A51" t="s">
        <v>1309</v>
      </c>
      <c r="B51" t="s">
        <v>534</v>
      </c>
      <c r="C51" t="s">
        <v>533</v>
      </c>
      <c r="D51" t="s">
        <v>1210</v>
      </c>
      <c r="E51" t="s">
        <v>1194</v>
      </c>
      <c r="F51" t="s">
        <v>1310</v>
      </c>
      <c r="G51" t="s">
        <v>1212</v>
      </c>
      <c r="H51" t="s">
        <v>1213</v>
      </c>
      <c r="I51" t="s">
        <v>1213</v>
      </c>
      <c r="J51" t="s">
        <v>1309</v>
      </c>
      <c r="K51" t="s">
        <v>1214</v>
      </c>
      <c r="L51" s="33">
        <v>-14100</v>
      </c>
    </row>
    <row r="52" spans="1:12" x14ac:dyDescent="0.25">
      <c r="A52" t="s">
        <v>675</v>
      </c>
      <c r="B52" t="s">
        <v>1311</v>
      </c>
      <c r="C52" t="s">
        <v>675</v>
      </c>
      <c r="D52" t="s">
        <v>1210</v>
      </c>
      <c r="E52" t="s">
        <v>1194</v>
      </c>
      <c r="F52" t="s">
        <v>1312</v>
      </c>
      <c r="G52" t="s">
        <v>1212</v>
      </c>
      <c r="H52" t="s">
        <v>1213</v>
      </c>
      <c r="I52" t="s">
        <v>1213</v>
      </c>
      <c r="J52" t="s">
        <v>675</v>
      </c>
      <c r="K52" t="s">
        <v>1214</v>
      </c>
      <c r="L52" s="33">
        <v>-174</v>
      </c>
    </row>
    <row r="53" spans="1:12" x14ac:dyDescent="0.25">
      <c r="A53" t="s">
        <v>1313</v>
      </c>
      <c r="B53" t="s">
        <v>1314</v>
      </c>
      <c r="C53" t="s">
        <v>703</v>
      </c>
      <c r="D53" t="s">
        <v>1210</v>
      </c>
      <c r="E53" t="s">
        <v>1194</v>
      </c>
      <c r="F53" t="s">
        <v>1315</v>
      </c>
      <c r="G53" t="s">
        <v>1212</v>
      </c>
      <c r="H53" t="s">
        <v>1213</v>
      </c>
      <c r="I53" t="s">
        <v>1213</v>
      </c>
      <c r="J53" t="s">
        <v>1313</v>
      </c>
      <c r="K53" t="s">
        <v>1214</v>
      </c>
      <c r="L53" s="33">
        <v>-33618</v>
      </c>
    </row>
    <row r="54" spans="1:12" x14ac:dyDescent="0.25">
      <c r="A54" t="s">
        <v>1316</v>
      </c>
      <c r="B54" t="s">
        <v>1317</v>
      </c>
      <c r="C54" t="s">
        <v>739</v>
      </c>
      <c r="D54" t="s">
        <v>1210</v>
      </c>
      <c r="E54" t="s">
        <v>1194</v>
      </c>
      <c r="F54" t="s">
        <v>1318</v>
      </c>
      <c r="G54" t="s">
        <v>1212</v>
      </c>
      <c r="H54" t="s">
        <v>1213</v>
      </c>
      <c r="I54" t="s">
        <v>1213</v>
      </c>
      <c r="J54" t="s">
        <v>1316</v>
      </c>
      <c r="K54" t="s">
        <v>1214</v>
      </c>
      <c r="L54" s="33">
        <v>-2354630.6</v>
      </c>
    </row>
    <row r="55" spans="1:12" x14ac:dyDescent="0.25">
      <c r="A55" t="s">
        <v>1319</v>
      </c>
      <c r="B55" t="s">
        <v>1320</v>
      </c>
      <c r="C55" t="s">
        <v>1321</v>
      </c>
      <c r="D55" t="s">
        <v>1210</v>
      </c>
      <c r="E55" t="s">
        <v>1194</v>
      </c>
      <c r="F55" t="s">
        <v>1322</v>
      </c>
      <c r="G55" t="s">
        <v>1212</v>
      </c>
      <c r="H55" t="s">
        <v>1213</v>
      </c>
      <c r="I55" t="s">
        <v>1213</v>
      </c>
      <c r="J55" t="s">
        <v>1319</v>
      </c>
      <c r="K55" t="s">
        <v>1214</v>
      </c>
      <c r="L55" s="33">
        <v>6201180.4299999997</v>
      </c>
    </row>
    <row r="56" spans="1:12" x14ac:dyDescent="0.25">
      <c r="A56" t="s">
        <v>1323</v>
      </c>
      <c r="B56" t="s">
        <v>1324</v>
      </c>
      <c r="C56" t="s">
        <v>1321</v>
      </c>
      <c r="D56" t="s">
        <v>1210</v>
      </c>
      <c r="E56" t="s">
        <v>1194</v>
      </c>
      <c r="F56" t="s">
        <v>1325</v>
      </c>
      <c r="G56" t="s">
        <v>1212</v>
      </c>
      <c r="H56" t="s">
        <v>1213</v>
      </c>
      <c r="I56" t="s">
        <v>1213</v>
      </c>
      <c r="J56" t="s">
        <v>1323</v>
      </c>
      <c r="K56" t="s">
        <v>1214</v>
      </c>
      <c r="L56" s="33">
        <v>-7317915.46</v>
      </c>
    </row>
    <row r="57" spans="1:12" x14ac:dyDescent="0.25">
      <c r="A57" t="s">
        <v>1326</v>
      </c>
      <c r="B57" t="s">
        <v>1327</v>
      </c>
      <c r="C57" t="s">
        <v>10</v>
      </c>
      <c r="D57" t="s">
        <v>1210</v>
      </c>
      <c r="E57" t="s">
        <v>1194</v>
      </c>
      <c r="F57" t="s">
        <v>1328</v>
      </c>
      <c r="G57" t="s">
        <v>1212</v>
      </c>
      <c r="H57" t="s">
        <v>1329</v>
      </c>
      <c r="I57" t="s">
        <v>1329</v>
      </c>
      <c r="J57" t="s">
        <v>1330</v>
      </c>
      <c r="K57" t="s">
        <v>1330</v>
      </c>
      <c r="L57" s="33">
        <v>39480</v>
      </c>
    </row>
    <row r="58" spans="1:12" x14ac:dyDescent="0.25">
      <c r="A58" t="s">
        <v>1326</v>
      </c>
      <c r="B58" t="s">
        <v>1331</v>
      </c>
      <c r="C58" t="s">
        <v>10</v>
      </c>
      <c r="D58" t="s">
        <v>1210</v>
      </c>
      <c r="E58" t="s">
        <v>1194</v>
      </c>
      <c r="F58" t="s">
        <v>1332</v>
      </c>
      <c r="G58" t="s">
        <v>1212</v>
      </c>
      <c r="H58" t="s">
        <v>1329</v>
      </c>
      <c r="I58" t="s">
        <v>1329</v>
      </c>
      <c r="J58" t="s">
        <v>1333</v>
      </c>
      <c r="K58" t="s">
        <v>1334</v>
      </c>
      <c r="L58" s="33">
        <v>3485.46</v>
      </c>
    </row>
    <row r="59" spans="1:12" x14ac:dyDescent="0.25">
      <c r="A59" t="s">
        <v>1326</v>
      </c>
      <c r="B59" t="s">
        <v>1335</v>
      </c>
      <c r="C59" t="s">
        <v>10</v>
      </c>
      <c r="D59" t="s">
        <v>1210</v>
      </c>
      <c r="E59" t="s">
        <v>1194</v>
      </c>
      <c r="F59" t="s">
        <v>1336</v>
      </c>
      <c r="G59" t="s">
        <v>1212</v>
      </c>
      <c r="H59" t="s">
        <v>1329</v>
      </c>
      <c r="I59" t="s">
        <v>1329</v>
      </c>
      <c r="J59" t="s">
        <v>1337</v>
      </c>
      <c r="K59" t="s">
        <v>1334</v>
      </c>
      <c r="L59" s="33">
        <v>-2232.84</v>
      </c>
    </row>
    <row r="60" spans="1:12" x14ac:dyDescent="0.25">
      <c r="A60" t="s">
        <v>1326</v>
      </c>
      <c r="B60" t="s">
        <v>1338</v>
      </c>
      <c r="C60" t="s">
        <v>10</v>
      </c>
      <c r="D60" t="s">
        <v>1210</v>
      </c>
      <c r="E60" t="s">
        <v>1194</v>
      </c>
      <c r="F60" t="s">
        <v>1339</v>
      </c>
      <c r="G60" t="s">
        <v>1212</v>
      </c>
      <c r="H60" t="s">
        <v>1329</v>
      </c>
      <c r="I60" t="s">
        <v>1329</v>
      </c>
      <c r="J60" t="s">
        <v>1340</v>
      </c>
      <c r="K60" t="s">
        <v>1334</v>
      </c>
      <c r="L60" s="33">
        <v>221</v>
      </c>
    </row>
    <row r="61" spans="1:12" x14ac:dyDescent="0.25">
      <c r="A61" t="s">
        <v>1326</v>
      </c>
      <c r="B61" t="s">
        <v>1341</v>
      </c>
      <c r="C61" t="s">
        <v>10</v>
      </c>
      <c r="D61" t="s">
        <v>1210</v>
      </c>
      <c r="E61" t="s">
        <v>1194</v>
      </c>
      <c r="F61" t="s">
        <v>1342</v>
      </c>
      <c r="G61" t="s">
        <v>1212</v>
      </c>
      <c r="H61" t="s">
        <v>1329</v>
      </c>
      <c r="I61" t="s">
        <v>1329</v>
      </c>
      <c r="J61" t="s">
        <v>1343</v>
      </c>
      <c r="K61" t="s">
        <v>1334</v>
      </c>
      <c r="L61" s="33">
        <v>253.34</v>
      </c>
    </row>
    <row r="62" spans="1:12" x14ac:dyDescent="0.25">
      <c r="A62" t="s">
        <v>1326</v>
      </c>
      <c r="B62" t="s">
        <v>1344</v>
      </c>
      <c r="C62" t="s">
        <v>10</v>
      </c>
      <c r="D62" t="s">
        <v>1210</v>
      </c>
      <c r="E62" t="s">
        <v>1194</v>
      </c>
      <c r="F62" t="s">
        <v>1345</v>
      </c>
      <c r="G62" t="s">
        <v>1212</v>
      </c>
      <c r="H62" t="s">
        <v>1329</v>
      </c>
      <c r="I62" t="s">
        <v>1329</v>
      </c>
      <c r="J62" t="s">
        <v>1346</v>
      </c>
      <c r="K62" t="s">
        <v>1347</v>
      </c>
      <c r="L62" s="33">
        <v>240</v>
      </c>
    </row>
    <row r="63" spans="1:12" x14ac:dyDescent="0.25">
      <c r="A63" t="s">
        <v>1326</v>
      </c>
      <c r="B63" t="s">
        <v>1348</v>
      </c>
      <c r="C63" t="s">
        <v>10</v>
      </c>
      <c r="D63" t="s">
        <v>1210</v>
      </c>
      <c r="E63" t="s">
        <v>1194</v>
      </c>
      <c r="F63" t="s">
        <v>1349</v>
      </c>
      <c r="G63" t="s">
        <v>1212</v>
      </c>
      <c r="H63" t="s">
        <v>1329</v>
      </c>
      <c r="I63" t="s">
        <v>1329</v>
      </c>
      <c r="J63" t="s">
        <v>1350</v>
      </c>
      <c r="K63" t="s">
        <v>1351</v>
      </c>
      <c r="L63" s="33">
        <v>177</v>
      </c>
    </row>
    <row r="64" spans="1:12" x14ac:dyDescent="0.25">
      <c r="A64" t="s">
        <v>1326</v>
      </c>
      <c r="B64" t="s">
        <v>1352</v>
      </c>
      <c r="C64" t="s">
        <v>10</v>
      </c>
      <c r="D64" t="s">
        <v>1210</v>
      </c>
      <c r="E64" t="s">
        <v>1194</v>
      </c>
      <c r="F64" t="s">
        <v>1353</v>
      </c>
      <c r="G64" t="s">
        <v>1212</v>
      </c>
      <c r="H64" t="s">
        <v>1329</v>
      </c>
      <c r="I64" t="s">
        <v>1329</v>
      </c>
      <c r="J64" t="s">
        <v>1354</v>
      </c>
      <c r="K64" t="s">
        <v>1351</v>
      </c>
      <c r="L64" s="33">
        <v>1089.95</v>
      </c>
    </row>
    <row r="65" spans="1:12" x14ac:dyDescent="0.25">
      <c r="A65" t="s">
        <v>1326</v>
      </c>
      <c r="B65" t="s">
        <v>1355</v>
      </c>
      <c r="C65" t="s">
        <v>10</v>
      </c>
      <c r="D65" t="s">
        <v>1210</v>
      </c>
      <c r="E65" t="s">
        <v>1194</v>
      </c>
      <c r="F65" t="s">
        <v>1356</v>
      </c>
      <c r="G65" t="s">
        <v>1212</v>
      </c>
      <c r="H65" t="s">
        <v>1329</v>
      </c>
      <c r="I65" t="s">
        <v>1329</v>
      </c>
      <c r="J65" t="s">
        <v>1357</v>
      </c>
      <c r="K65" t="s">
        <v>1351</v>
      </c>
      <c r="L65" s="33">
        <v>148.80000000000001</v>
      </c>
    </row>
    <row r="66" spans="1:12" x14ac:dyDescent="0.25">
      <c r="A66" t="s">
        <v>1326</v>
      </c>
      <c r="B66" t="s">
        <v>1358</v>
      </c>
      <c r="C66" t="s">
        <v>10</v>
      </c>
      <c r="D66" t="s">
        <v>1210</v>
      </c>
      <c r="E66" t="s">
        <v>1194</v>
      </c>
      <c r="F66" t="s">
        <v>1359</v>
      </c>
      <c r="G66" t="s">
        <v>1212</v>
      </c>
      <c r="H66" t="s">
        <v>1329</v>
      </c>
      <c r="I66" t="s">
        <v>1329</v>
      </c>
      <c r="J66" t="s">
        <v>1360</v>
      </c>
      <c r="K66" t="s">
        <v>1361</v>
      </c>
      <c r="L66" s="33">
        <v>1040.5</v>
      </c>
    </row>
    <row r="67" spans="1:12" x14ac:dyDescent="0.25">
      <c r="A67" t="s">
        <v>1326</v>
      </c>
      <c r="B67" t="s">
        <v>1362</v>
      </c>
      <c r="C67" t="s">
        <v>10</v>
      </c>
      <c r="D67" t="s">
        <v>1210</v>
      </c>
      <c r="E67" t="s">
        <v>1194</v>
      </c>
      <c r="F67" t="s">
        <v>1363</v>
      </c>
      <c r="G67" t="s">
        <v>1212</v>
      </c>
      <c r="H67" t="s">
        <v>1329</v>
      </c>
      <c r="I67" t="s">
        <v>1329</v>
      </c>
      <c r="J67" t="s">
        <v>1364</v>
      </c>
      <c r="K67" t="s">
        <v>1364</v>
      </c>
      <c r="L67" s="33">
        <v>-1036.8</v>
      </c>
    </row>
    <row r="68" spans="1:12" x14ac:dyDescent="0.25">
      <c r="A68" t="s">
        <v>1326</v>
      </c>
      <c r="B68" t="s">
        <v>1365</v>
      </c>
      <c r="C68" t="s">
        <v>10</v>
      </c>
      <c r="D68" t="s">
        <v>1210</v>
      </c>
      <c r="E68" t="s">
        <v>1194</v>
      </c>
      <c r="F68" t="s">
        <v>1366</v>
      </c>
      <c r="G68" t="s">
        <v>1212</v>
      </c>
      <c r="H68" t="s">
        <v>1329</v>
      </c>
      <c r="I68" t="s">
        <v>1329</v>
      </c>
      <c r="J68" t="s">
        <v>1367</v>
      </c>
      <c r="K68" t="s">
        <v>1368</v>
      </c>
      <c r="L68" s="33">
        <v>10100</v>
      </c>
    </row>
    <row r="69" spans="1:12" x14ac:dyDescent="0.25">
      <c r="A69" t="s">
        <v>1326</v>
      </c>
      <c r="B69" t="s">
        <v>1369</v>
      </c>
      <c r="C69" t="s">
        <v>10</v>
      </c>
      <c r="D69" t="s">
        <v>1210</v>
      </c>
      <c r="E69" t="s">
        <v>1194</v>
      </c>
      <c r="F69" t="s">
        <v>1370</v>
      </c>
      <c r="G69" t="s">
        <v>1212</v>
      </c>
      <c r="H69" t="s">
        <v>1329</v>
      </c>
      <c r="I69" t="s">
        <v>1329</v>
      </c>
      <c r="J69" t="s">
        <v>1371</v>
      </c>
      <c r="K69" t="s">
        <v>1368</v>
      </c>
      <c r="L69" s="33">
        <v>-16607.2</v>
      </c>
    </row>
    <row r="70" spans="1:12" x14ac:dyDescent="0.25">
      <c r="A70" t="s">
        <v>1326</v>
      </c>
      <c r="B70" t="s">
        <v>1372</v>
      </c>
      <c r="C70" t="s">
        <v>10</v>
      </c>
      <c r="D70" t="s">
        <v>1210</v>
      </c>
      <c r="E70" t="s">
        <v>1194</v>
      </c>
      <c r="F70" t="s">
        <v>1373</v>
      </c>
      <c r="G70" t="s">
        <v>1212</v>
      </c>
      <c r="H70" t="s">
        <v>1329</v>
      </c>
      <c r="I70" t="s">
        <v>1329</v>
      </c>
      <c r="J70" t="s">
        <v>1374</v>
      </c>
      <c r="K70" t="s">
        <v>1374</v>
      </c>
      <c r="L70" s="33">
        <v>8314.5300000000007</v>
      </c>
    </row>
    <row r="71" spans="1:12" x14ac:dyDescent="0.25">
      <c r="A71" t="s">
        <v>1326</v>
      </c>
      <c r="B71" t="s">
        <v>1375</v>
      </c>
      <c r="C71" t="s">
        <v>10</v>
      </c>
      <c r="D71" t="s">
        <v>1210</v>
      </c>
      <c r="E71" t="s">
        <v>1194</v>
      </c>
      <c r="F71" t="s">
        <v>1376</v>
      </c>
      <c r="G71" t="s">
        <v>1212</v>
      </c>
      <c r="H71" t="s">
        <v>1329</v>
      </c>
      <c r="I71" t="s">
        <v>1329</v>
      </c>
      <c r="J71" t="s">
        <v>1377</v>
      </c>
      <c r="K71" t="s">
        <v>1374</v>
      </c>
      <c r="L71" s="33">
        <v>10982.58</v>
      </c>
    </row>
    <row r="72" spans="1:12" x14ac:dyDescent="0.25">
      <c r="A72" t="s">
        <v>1326</v>
      </c>
      <c r="B72" t="s">
        <v>1378</v>
      </c>
      <c r="C72" t="s">
        <v>10</v>
      </c>
      <c r="D72" t="s">
        <v>1210</v>
      </c>
      <c r="E72" t="s">
        <v>1194</v>
      </c>
      <c r="F72" t="s">
        <v>1379</v>
      </c>
      <c r="G72" t="s">
        <v>1212</v>
      </c>
      <c r="H72" t="s">
        <v>1329</v>
      </c>
      <c r="I72" t="s">
        <v>1329</v>
      </c>
      <c r="J72" t="s">
        <v>1380</v>
      </c>
      <c r="K72" t="s">
        <v>1380</v>
      </c>
      <c r="L72" s="33">
        <v>2172.7399999999998</v>
      </c>
    </row>
    <row r="73" spans="1:12" x14ac:dyDescent="0.25">
      <c r="A73" t="s">
        <v>1326</v>
      </c>
      <c r="B73" t="s">
        <v>1381</v>
      </c>
      <c r="C73" t="s">
        <v>10</v>
      </c>
      <c r="D73" t="s">
        <v>1210</v>
      </c>
      <c r="E73" t="s">
        <v>1194</v>
      </c>
      <c r="F73" t="s">
        <v>1382</v>
      </c>
      <c r="G73" t="s">
        <v>1212</v>
      </c>
      <c r="H73" t="s">
        <v>1329</v>
      </c>
      <c r="I73" t="s">
        <v>1329</v>
      </c>
      <c r="J73" t="s">
        <v>1383</v>
      </c>
      <c r="K73" t="s">
        <v>1334</v>
      </c>
      <c r="L73" s="33">
        <v>4053.27</v>
      </c>
    </row>
    <row r="74" spans="1:12" x14ac:dyDescent="0.25">
      <c r="A74" t="s">
        <v>1326</v>
      </c>
      <c r="B74" t="s">
        <v>1384</v>
      </c>
      <c r="C74" t="s">
        <v>10</v>
      </c>
      <c r="D74" t="s">
        <v>1210</v>
      </c>
      <c r="E74" t="s">
        <v>1194</v>
      </c>
      <c r="F74" t="s">
        <v>1385</v>
      </c>
      <c r="G74" t="s">
        <v>1212</v>
      </c>
      <c r="H74" t="s">
        <v>1329</v>
      </c>
      <c r="I74" t="s">
        <v>1329</v>
      </c>
      <c r="J74" t="s">
        <v>1386</v>
      </c>
      <c r="K74" t="s">
        <v>1386</v>
      </c>
      <c r="L74" s="33">
        <v>395.63</v>
      </c>
    </row>
    <row r="75" spans="1:12" x14ac:dyDescent="0.25">
      <c r="A75" t="s">
        <v>1326</v>
      </c>
      <c r="B75" t="s">
        <v>1387</v>
      </c>
      <c r="C75" t="s">
        <v>10</v>
      </c>
      <c r="D75" t="s">
        <v>1210</v>
      </c>
      <c r="E75" t="s">
        <v>1194</v>
      </c>
      <c r="F75" t="s">
        <v>1388</v>
      </c>
      <c r="G75" t="s">
        <v>1212</v>
      </c>
      <c r="H75" t="s">
        <v>1329</v>
      </c>
      <c r="I75" t="s">
        <v>1329</v>
      </c>
      <c r="J75" t="s">
        <v>1389</v>
      </c>
      <c r="K75" t="s">
        <v>1390</v>
      </c>
      <c r="L75" s="33">
        <v>903.4</v>
      </c>
    </row>
    <row r="76" spans="1:12" x14ac:dyDescent="0.25">
      <c r="A76" t="s">
        <v>1326</v>
      </c>
      <c r="B76" t="s">
        <v>1391</v>
      </c>
      <c r="C76" t="s">
        <v>10</v>
      </c>
      <c r="D76" t="s">
        <v>1210</v>
      </c>
      <c r="E76" t="s">
        <v>1194</v>
      </c>
      <c r="F76" t="s">
        <v>1392</v>
      </c>
      <c r="G76" t="s">
        <v>1212</v>
      </c>
      <c r="H76" t="s">
        <v>1329</v>
      </c>
      <c r="I76" t="s">
        <v>1329</v>
      </c>
      <c r="J76" t="s">
        <v>1393</v>
      </c>
      <c r="K76" t="s">
        <v>1390</v>
      </c>
      <c r="L76" s="33">
        <v>1628.1</v>
      </c>
    </row>
    <row r="77" spans="1:12" x14ac:dyDescent="0.25">
      <c r="A77" t="s">
        <v>1326</v>
      </c>
      <c r="B77" t="s">
        <v>1394</v>
      </c>
      <c r="C77" t="s">
        <v>10</v>
      </c>
      <c r="D77" t="s">
        <v>1210</v>
      </c>
      <c r="E77" t="s">
        <v>1194</v>
      </c>
      <c r="F77" t="s">
        <v>1395</v>
      </c>
      <c r="G77" t="s">
        <v>1212</v>
      </c>
      <c r="H77" t="s">
        <v>1329</v>
      </c>
      <c r="I77" t="s">
        <v>1329</v>
      </c>
      <c r="J77" t="s">
        <v>1396</v>
      </c>
      <c r="K77" t="s">
        <v>1390</v>
      </c>
      <c r="L77" s="33">
        <v>1730</v>
      </c>
    </row>
    <row r="78" spans="1:12" x14ac:dyDescent="0.25">
      <c r="A78" t="s">
        <v>1326</v>
      </c>
      <c r="B78" t="s">
        <v>1397</v>
      </c>
      <c r="C78" t="s">
        <v>10</v>
      </c>
      <c r="D78" t="s">
        <v>1210</v>
      </c>
      <c r="E78" t="s">
        <v>1194</v>
      </c>
      <c r="F78" t="s">
        <v>1398</v>
      </c>
      <c r="G78" t="s">
        <v>1212</v>
      </c>
      <c r="H78" t="s">
        <v>1329</v>
      </c>
      <c r="I78" t="s">
        <v>1329</v>
      </c>
      <c r="J78" t="s">
        <v>1399</v>
      </c>
      <c r="K78" t="s">
        <v>1390</v>
      </c>
      <c r="L78" s="33">
        <v>932.35</v>
      </c>
    </row>
    <row r="79" spans="1:12" x14ac:dyDescent="0.25">
      <c r="A79" t="s">
        <v>1326</v>
      </c>
      <c r="B79" t="s">
        <v>1400</v>
      </c>
      <c r="C79" t="s">
        <v>10</v>
      </c>
      <c r="D79" t="s">
        <v>1210</v>
      </c>
      <c r="E79" t="s">
        <v>1194</v>
      </c>
      <c r="F79" t="s">
        <v>1401</v>
      </c>
      <c r="G79" t="s">
        <v>1212</v>
      </c>
      <c r="H79" t="s">
        <v>1329</v>
      </c>
      <c r="I79" t="s">
        <v>1329</v>
      </c>
      <c r="J79" t="s">
        <v>1402</v>
      </c>
      <c r="K79" t="s">
        <v>1390</v>
      </c>
      <c r="L79" s="33">
        <v>6.84</v>
      </c>
    </row>
    <row r="80" spans="1:12" x14ac:dyDescent="0.25">
      <c r="A80" t="s">
        <v>1326</v>
      </c>
      <c r="B80" t="s">
        <v>1403</v>
      </c>
      <c r="C80" t="s">
        <v>10</v>
      </c>
      <c r="D80" t="s">
        <v>1210</v>
      </c>
      <c r="E80" t="s">
        <v>1194</v>
      </c>
      <c r="F80" t="s">
        <v>1404</v>
      </c>
      <c r="G80" t="s">
        <v>1212</v>
      </c>
      <c r="H80" t="s">
        <v>1329</v>
      </c>
      <c r="I80" t="s">
        <v>1329</v>
      </c>
      <c r="J80" t="s">
        <v>1405</v>
      </c>
      <c r="K80" t="s">
        <v>1390</v>
      </c>
      <c r="L80" s="33">
        <v>584.92999999999995</v>
      </c>
    </row>
    <row r="81" spans="1:12" x14ac:dyDescent="0.25">
      <c r="A81" t="s">
        <v>1326</v>
      </c>
      <c r="B81" t="s">
        <v>1406</v>
      </c>
      <c r="C81" t="s">
        <v>10</v>
      </c>
      <c r="D81" t="s">
        <v>1210</v>
      </c>
      <c r="E81" t="s">
        <v>1194</v>
      </c>
      <c r="F81" t="s">
        <v>1407</v>
      </c>
      <c r="G81" t="s">
        <v>1212</v>
      </c>
      <c r="H81" t="s">
        <v>1329</v>
      </c>
      <c r="I81" t="s">
        <v>1329</v>
      </c>
      <c r="J81" t="s">
        <v>1408</v>
      </c>
      <c r="K81" t="s">
        <v>1390</v>
      </c>
      <c r="L81" s="33">
        <v>1161.95</v>
      </c>
    </row>
    <row r="82" spans="1:12" x14ac:dyDescent="0.25">
      <c r="A82" t="s">
        <v>1326</v>
      </c>
      <c r="B82" t="s">
        <v>1409</v>
      </c>
      <c r="C82" t="s">
        <v>10</v>
      </c>
      <c r="D82" t="s">
        <v>1210</v>
      </c>
      <c r="E82" t="s">
        <v>1194</v>
      </c>
      <c r="F82" t="s">
        <v>1410</v>
      </c>
      <c r="G82" t="s">
        <v>1212</v>
      </c>
      <c r="H82" t="s">
        <v>1329</v>
      </c>
      <c r="I82" t="s">
        <v>1329</v>
      </c>
      <c r="J82" t="s">
        <v>1411</v>
      </c>
      <c r="K82" t="s">
        <v>1390</v>
      </c>
      <c r="L82" s="33">
        <v>1232</v>
      </c>
    </row>
    <row r="83" spans="1:12" x14ac:dyDescent="0.25">
      <c r="A83" t="s">
        <v>1326</v>
      </c>
      <c r="B83" t="s">
        <v>1412</v>
      </c>
      <c r="C83" t="s">
        <v>10</v>
      </c>
      <c r="D83" t="s">
        <v>1210</v>
      </c>
      <c r="E83" t="s">
        <v>1194</v>
      </c>
      <c r="F83" t="s">
        <v>1413</v>
      </c>
      <c r="G83" t="s">
        <v>1212</v>
      </c>
      <c r="H83" t="s">
        <v>1329</v>
      </c>
      <c r="I83" t="s">
        <v>1329</v>
      </c>
      <c r="J83" t="s">
        <v>1414</v>
      </c>
      <c r="K83" t="s">
        <v>1415</v>
      </c>
      <c r="L83" s="33">
        <v>2230.17</v>
      </c>
    </row>
    <row r="84" spans="1:12" x14ac:dyDescent="0.25">
      <c r="A84" t="s">
        <v>1326</v>
      </c>
      <c r="B84" t="s">
        <v>1416</v>
      </c>
      <c r="C84" t="s">
        <v>10</v>
      </c>
      <c r="D84" t="s">
        <v>1210</v>
      </c>
      <c r="E84" t="s">
        <v>1194</v>
      </c>
      <c r="F84" t="s">
        <v>1417</v>
      </c>
      <c r="G84" t="s">
        <v>1212</v>
      </c>
      <c r="H84" t="s">
        <v>1329</v>
      </c>
      <c r="I84" t="s">
        <v>1329</v>
      </c>
      <c r="J84" t="s">
        <v>1418</v>
      </c>
      <c r="K84" t="s">
        <v>1415</v>
      </c>
      <c r="L84" s="33">
        <v>6818.02</v>
      </c>
    </row>
    <row r="85" spans="1:12" x14ac:dyDescent="0.25">
      <c r="A85" t="s">
        <v>1326</v>
      </c>
      <c r="B85" t="s">
        <v>1419</v>
      </c>
      <c r="C85" t="s">
        <v>10</v>
      </c>
      <c r="D85" t="s">
        <v>1210</v>
      </c>
      <c r="E85" t="s">
        <v>1194</v>
      </c>
      <c r="F85" t="s">
        <v>1420</v>
      </c>
      <c r="G85" t="s">
        <v>1212</v>
      </c>
      <c r="H85" t="s">
        <v>1329</v>
      </c>
      <c r="I85" t="s">
        <v>1329</v>
      </c>
      <c r="J85" t="s">
        <v>1421</v>
      </c>
      <c r="K85" t="s">
        <v>1421</v>
      </c>
      <c r="L85" s="33">
        <v>59.2</v>
      </c>
    </row>
    <row r="86" spans="1:12" x14ac:dyDescent="0.25">
      <c r="A86" t="s">
        <v>1326</v>
      </c>
      <c r="B86" t="s">
        <v>1422</v>
      </c>
      <c r="C86" t="s">
        <v>10</v>
      </c>
      <c r="D86" t="s">
        <v>1210</v>
      </c>
      <c r="E86" t="s">
        <v>1194</v>
      </c>
      <c r="F86" t="s">
        <v>1423</v>
      </c>
      <c r="G86" t="s">
        <v>1212</v>
      </c>
      <c r="H86" t="s">
        <v>1329</v>
      </c>
      <c r="I86" t="s">
        <v>1329</v>
      </c>
      <c r="J86" t="s">
        <v>1424</v>
      </c>
      <c r="K86" t="s">
        <v>1424</v>
      </c>
      <c r="L86" s="33">
        <v>365.08</v>
      </c>
    </row>
    <row r="87" spans="1:12" x14ac:dyDescent="0.25">
      <c r="A87" t="s">
        <v>1326</v>
      </c>
      <c r="B87" t="s">
        <v>1327</v>
      </c>
      <c r="C87" t="s">
        <v>10</v>
      </c>
      <c r="D87" t="s">
        <v>1210</v>
      </c>
      <c r="E87" t="s">
        <v>1194</v>
      </c>
      <c r="F87" t="s">
        <v>1328</v>
      </c>
      <c r="G87" t="s">
        <v>1212</v>
      </c>
      <c r="H87" t="s">
        <v>1425</v>
      </c>
      <c r="I87" t="s">
        <v>1425</v>
      </c>
      <c r="J87" t="s">
        <v>1330</v>
      </c>
      <c r="K87" t="s">
        <v>1330</v>
      </c>
      <c r="L87" s="33">
        <v>99566</v>
      </c>
    </row>
    <row r="88" spans="1:12" x14ac:dyDescent="0.25">
      <c r="A88" t="s">
        <v>1326</v>
      </c>
      <c r="B88" t="s">
        <v>1331</v>
      </c>
      <c r="C88" t="s">
        <v>10</v>
      </c>
      <c r="D88" t="s">
        <v>1210</v>
      </c>
      <c r="E88" t="s">
        <v>1194</v>
      </c>
      <c r="F88" t="s">
        <v>1332</v>
      </c>
      <c r="G88" t="s">
        <v>1212</v>
      </c>
      <c r="H88" t="s">
        <v>1425</v>
      </c>
      <c r="I88" t="s">
        <v>1425</v>
      </c>
      <c r="J88" t="s">
        <v>1333</v>
      </c>
      <c r="K88" t="s">
        <v>1334</v>
      </c>
      <c r="L88" s="33">
        <v>8790.2999999999993</v>
      </c>
    </row>
    <row r="89" spans="1:12" x14ac:dyDescent="0.25">
      <c r="A89" t="s">
        <v>1326</v>
      </c>
      <c r="B89" t="s">
        <v>1335</v>
      </c>
      <c r="C89" t="s">
        <v>10</v>
      </c>
      <c r="D89" t="s">
        <v>1210</v>
      </c>
      <c r="E89" t="s">
        <v>1194</v>
      </c>
      <c r="F89" t="s">
        <v>1336</v>
      </c>
      <c r="G89" t="s">
        <v>1212</v>
      </c>
      <c r="H89" t="s">
        <v>1425</v>
      </c>
      <c r="I89" t="s">
        <v>1425</v>
      </c>
      <c r="J89" t="s">
        <v>1337</v>
      </c>
      <c r="K89" t="s">
        <v>1334</v>
      </c>
      <c r="L89" s="33">
        <v>-5248.7</v>
      </c>
    </row>
    <row r="90" spans="1:12" x14ac:dyDescent="0.25">
      <c r="A90" t="s">
        <v>1326</v>
      </c>
      <c r="B90" t="s">
        <v>1338</v>
      </c>
      <c r="C90" t="s">
        <v>10</v>
      </c>
      <c r="D90" t="s">
        <v>1210</v>
      </c>
      <c r="E90" t="s">
        <v>1194</v>
      </c>
      <c r="F90" t="s">
        <v>1339</v>
      </c>
      <c r="G90" t="s">
        <v>1212</v>
      </c>
      <c r="H90" t="s">
        <v>1425</v>
      </c>
      <c r="I90" t="s">
        <v>1425</v>
      </c>
      <c r="J90" t="s">
        <v>1340</v>
      </c>
      <c r="K90" t="s">
        <v>1334</v>
      </c>
      <c r="L90" s="33">
        <v>486.5</v>
      </c>
    </row>
    <row r="91" spans="1:12" x14ac:dyDescent="0.25">
      <c r="A91" t="s">
        <v>1326</v>
      </c>
      <c r="B91" t="s">
        <v>1341</v>
      </c>
      <c r="C91" t="s">
        <v>10</v>
      </c>
      <c r="D91" t="s">
        <v>1210</v>
      </c>
      <c r="E91" t="s">
        <v>1194</v>
      </c>
      <c r="F91" t="s">
        <v>1342</v>
      </c>
      <c r="G91" t="s">
        <v>1212</v>
      </c>
      <c r="H91" t="s">
        <v>1425</v>
      </c>
      <c r="I91" t="s">
        <v>1425</v>
      </c>
      <c r="J91" t="s">
        <v>1343</v>
      </c>
      <c r="K91" t="s">
        <v>1334</v>
      </c>
      <c r="L91" s="33">
        <v>550</v>
      </c>
    </row>
    <row r="92" spans="1:12" x14ac:dyDescent="0.25">
      <c r="A92" t="s">
        <v>1326</v>
      </c>
      <c r="B92" t="s">
        <v>1344</v>
      </c>
      <c r="C92" t="s">
        <v>10</v>
      </c>
      <c r="D92" t="s">
        <v>1210</v>
      </c>
      <c r="E92" t="s">
        <v>1194</v>
      </c>
      <c r="F92" t="s">
        <v>1345</v>
      </c>
      <c r="G92" t="s">
        <v>1212</v>
      </c>
      <c r="H92" t="s">
        <v>1425</v>
      </c>
      <c r="I92" t="s">
        <v>1425</v>
      </c>
      <c r="J92" t="s">
        <v>1346</v>
      </c>
      <c r="K92" t="s">
        <v>1347</v>
      </c>
      <c r="L92" s="33">
        <v>720</v>
      </c>
    </row>
    <row r="93" spans="1:12" x14ac:dyDescent="0.25">
      <c r="A93" t="s">
        <v>1326</v>
      </c>
      <c r="B93" t="s">
        <v>1348</v>
      </c>
      <c r="C93" t="s">
        <v>10</v>
      </c>
      <c r="D93" t="s">
        <v>1210</v>
      </c>
      <c r="E93" t="s">
        <v>1194</v>
      </c>
      <c r="F93" t="s">
        <v>1349</v>
      </c>
      <c r="G93" t="s">
        <v>1212</v>
      </c>
      <c r="H93" t="s">
        <v>1425</v>
      </c>
      <c r="I93" t="s">
        <v>1425</v>
      </c>
      <c r="J93" t="s">
        <v>1350</v>
      </c>
      <c r="K93" t="s">
        <v>1351</v>
      </c>
      <c r="L93" s="33">
        <v>619.30999999999995</v>
      </c>
    </row>
    <row r="94" spans="1:12" x14ac:dyDescent="0.25">
      <c r="A94" t="s">
        <v>1326</v>
      </c>
      <c r="B94" t="s">
        <v>1352</v>
      </c>
      <c r="C94" t="s">
        <v>10</v>
      </c>
      <c r="D94" t="s">
        <v>1210</v>
      </c>
      <c r="E94" t="s">
        <v>1194</v>
      </c>
      <c r="F94" t="s">
        <v>1353</v>
      </c>
      <c r="G94" t="s">
        <v>1212</v>
      </c>
      <c r="H94" t="s">
        <v>1425</v>
      </c>
      <c r="I94" t="s">
        <v>1425</v>
      </c>
      <c r="J94" t="s">
        <v>1354</v>
      </c>
      <c r="K94" t="s">
        <v>1351</v>
      </c>
      <c r="L94" s="33">
        <v>406.07</v>
      </c>
    </row>
    <row r="95" spans="1:12" x14ac:dyDescent="0.25">
      <c r="A95" t="s">
        <v>1326</v>
      </c>
      <c r="B95" t="s">
        <v>1355</v>
      </c>
      <c r="C95" t="s">
        <v>10</v>
      </c>
      <c r="D95" t="s">
        <v>1210</v>
      </c>
      <c r="E95" t="s">
        <v>1194</v>
      </c>
      <c r="F95" t="s">
        <v>1356</v>
      </c>
      <c r="G95" t="s">
        <v>1212</v>
      </c>
      <c r="H95" t="s">
        <v>1425</v>
      </c>
      <c r="I95" t="s">
        <v>1425</v>
      </c>
      <c r="J95" t="s">
        <v>1357</v>
      </c>
      <c r="K95" t="s">
        <v>1351</v>
      </c>
      <c r="L95" s="33">
        <v>446.4</v>
      </c>
    </row>
    <row r="96" spans="1:12" x14ac:dyDescent="0.25">
      <c r="A96" t="s">
        <v>1326</v>
      </c>
      <c r="B96" t="s">
        <v>1358</v>
      </c>
      <c r="C96" t="s">
        <v>10</v>
      </c>
      <c r="D96" t="s">
        <v>1210</v>
      </c>
      <c r="E96" t="s">
        <v>1194</v>
      </c>
      <c r="F96" t="s">
        <v>1359</v>
      </c>
      <c r="G96" t="s">
        <v>1212</v>
      </c>
      <c r="H96" t="s">
        <v>1425</v>
      </c>
      <c r="I96" t="s">
        <v>1425</v>
      </c>
      <c r="J96" t="s">
        <v>1360</v>
      </c>
      <c r="K96" t="s">
        <v>1361</v>
      </c>
      <c r="L96" s="33">
        <v>3627.65</v>
      </c>
    </row>
    <row r="97" spans="1:12" x14ac:dyDescent="0.25">
      <c r="A97" t="s">
        <v>1326</v>
      </c>
      <c r="B97" t="s">
        <v>1362</v>
      </c>
      <c r="C97" t="s">
        <v>10</v>
      </c>
      <c r="D97" t="s">
        <v>1210</v>
      </c>
      <c r="E97" t="s">
        <v>1194</v>
      </c>
      <c r="F97" t="s">
        <v>1363</v>
      </c>
      <c r="G97" t="s">
        <v>1212</v>
      </c>
      <c r="H97" t="s">
        <v>1425</v>
      </c>
      <c r="I97" t="s">
        <v>1425</v>
      </c>
      <c r="J97" t="s">
        <v>1364</v>
      </c>
      <c r="K97" t="s">
        <v>1364</v>
      </c>
      <c r="L97" s="33">
        <v>-17633.099999999999</v>
      </c>
    </row>
    <row r="98" spans="1:12" x14ac:dyDescent="0.25">
      <c r="A98" t="s">
        <v>1326</v>
      </c>
      <c r="B98" t="s">
        <v>1369</v>
      </c>
      <c r="C98" t="s">
        <v>10</v>
      </c>
      <c r="D98" t="s">
        <v>1210</v>
      </c>
      <c r="E98" t="s">
        <v>1194</v>
      </c>
      <c r="F98" t="s">
        <v>1370</v>
      </c>
      <c r="G98" t="s">
        <v>1212</v>
      </c>
      <c r="H98" t="s">
        <v>1425</v>
      </c>
      <c r="I98" t="s">
        <v>1425</v>
      </c>
      <c r="J98" t="s">
        <v>1371</v>
      </c>
      <c r="K98" t="s">
        <v>1368</v>
      </c>
      <c r="L98" s="33">
        <v>76410.100000000006</v>
      </c>
    </row>
    <row r="99" spans="1:12" x14ac:dyDescent="0.25">
      <c r="A99" t="s">
        <v>1326</v>
      </c>
      <c r="B99" t="s">
        <v>1372</v>
      </c>
      <c r="C99" t="s">
        <v>10</v>
      </c>
      <c r="D99" t="s">
        <v>1210</v>
      </c>
      <c r="E99" t="s">
        <v>1194</v>
      </c>
      <c r="F99" t="s">
        <v>1373</v>
      </c>
      <c r="G99" t="s">
        <v>1212</v>
      </c>
      <c r="H99" t="s">
        <v>1425</v>
      </c>
      <c r="I99" t="s">
        <v>1425</v>
      </c>
      <c r="J99" t="s">
        <v>1374</v>
      </c>
      <c r="K99" t="s">
        <v>1374</v>
      </c>
      <c r="L99" s="33">
        <v>28655.87</v>
      </c>
    </row>
    <row r="100" spans="1:12" x14ac:dyDescent="0.25">
      <c r="A100" t="s">
        <v>1326</v>
      </c>
      <c r="B100" t="s">
        <v>1375</v>
      </c>
      <c r="C100" t="s">
        <v>10</v>
      </c>
      <c r="D100" t="s">
        <v>1210</v>
      </c>
      <c r="E100" t="s">
        <v>1194</v>
      </c>
      <c r="F100" t="s">
        <v>1376</v>
      </c>
      <c r="G100" t="s">
        <v>1212</v>
      </c>
      <c r="H100" t="s">
        <v>1425</v>
      </c>
      <c r="I100" t="s">
        <v>1425</v>
      </c>
      <c r="J100" t="s">
        <v>1377</v>
      </c>
      <c r="K100" t="s">
        <v>1374</v>
      </c>
      <c r="L100" s="33">
        <v>12462.36</v>
      </c>
    </row>
    <row r="101" spans="1:12" x14ac:dyDescent="0.25">
      <c r="A101" t="s">
        <v>1326</v>
      </c>
      <c r="B101" t="s">
        <v>1378</v>
      </c>
      <c r="C101" t="s">
        <v>10</v>
      </c>
      <c r="D101" t="s">
        <v>1210</v>
      </c>
      <c r="E101" t="s">
        <v>1194</v>
      </c>
      <c r="F101" t="s">
        <v>1379</v>
      </c>
      <c r="G101" t="s">
        <v>1212</v>
      </c>
      <c r="H101" t="s">
        <v>1425</v>
      </c>
      <c r="I101" t="s">
        <v>1425</v>
      </c>
      <c r="J101" t="s">
        <v>1380</v>
      </c>
      <c r="K101" t="s">
        <v>1380</v>
      </c>
      <c r="L101" s="33">
        <v>6119.73</v>
      </c>
    </row>
    <row r="102" spans="1:12" x14ac:dyDescent="0.25">
      <c r="A102" t="s">
        <v>1326</v>
      </c>
      <c r="B102" t="s">
        <v>1381</v>
      </c>
      <c r="C102" t="s">
        <v>10</v>
      </c>
      <c r="D102" t="s">
        <v>1210</v>
      </c>
      <c r="E102" t="s">
        <v>1194</v>
      </c>
      <c r="F102" t="s">
        <v>1382</v>
      </c>
      <c r="G102" t="s">
        <v>1212</v>
      </c>
      <c r="H102" t="s">
        <v>1425</v>
      </c>
      <c r="I102" t="s">
        <v>1425</v>
      </c>
      <c r="J102" t="s">
        <v>1383</v>
      </c>
      <c r="K102" t="s">
        <v>1334</v>
      </c>
      <c r="L102" s="33">
        <v>9002.3799999999992</v>
      </c>
    </row>
    <row r="103" spans="1:12" x14ac:dyDescent="0.25">
      <c r="A103" t="s">
        <v>1326</v>
      </c>
      <c r="B103" t="s">
        <v>1384</v>
      </c>
      <c r="C103" t="s">
        <v>10</v>
      </c>
      <c r="D103" t="s">
        <v>1210</v>
      </c>
      <c r="E103" t="s">
        <v>1194</v>
      </c>
      <c r="F103" t="s">
        <v>1385</v>
      </c>
      <c r="G103" t="s">
        <v>1212</v>
      </c>
      <c r="H103" t="s">
        <v>1425</v>
      </c>
      <c r="I103" t="s">
        <v>1425</v>
      </c>
      <c r="J103" t="s">
        <v>1386</v>
      </c>
      <c r="K103" t="s">
        <v>1386</v>
      </c>
      <c r="L103" s="33">
        <v>512.95000000000005</v>
      </c>
    </row>
    <row r="104" spans="1:12" x14ac:dyDescent="0.25">
      <c r="A104" t="s">
        <v>1326</v>
      </c>
      <c r="B104" t="s">
        <v>1387</v>
      </c>
      <c r="C104" t="s">
        <v>10</v>
      </c>
      <c r="D104" t="s">
        <v>1210</v>
      </c>
      <c r="E104" t="s">
        <v>1194</v>
      </c>
      <c r="F104" t="s">
        <v>1388</v>
      </c>
      <c r="G104" t="s">
        <v>1212</v>
      </c>
      <c r="H104" t="s">
        <v>1425</v>
      </c>
      <c r="I104" t="s">
        <v>1425</v>
      </c>
      <c r="J104" t="s">
        <v>1389</v>
      </c>
      <c r="K104" t="s">
        <v>1390</v>
      </c>
      <c r="L104" s="33">
        <v>1350.69</v>
      </c>
    </row>
    <row r="105" spans="1:12" x14ac:dyDescent="0.25">
      <c r="A105" t="s">
        <v>1326</v>
      </c>
      <c r="B105" t="s">
        <v>1391</v>
      </c>
      <c r="C105" t="s">
        <v>10</v>
      </c>
      <c r="D105" t="s">
        <v>1210</v>
      </c>
      <c r="E105" t="s">
        <v>1194</v>
      </c>
      <c r="F105" t="s">
        <v>1392</v>
      </c>
      <c r="G105" t="s">
        <v>1212</v>
      </c>
      <c r="H105" t="s">
        <v>1425</v>
      </c>
      <c r="I105" t="s">
        <v>1425</v>
      </c>
      <c r="J105" t="s">
        <v>1393</v>
      </c>
      <c r="K105" t="s">
        <v>1390</v>
      </c>
      <c r="L105" s="33">
        <v>2531.92</v>
      </c>
    </row>
    <row r="106" spans="1:12" x14ac:dyDescent="0.25">
      <c r="A106" t="s">
        <v>1326</v>
      </c>
      <c r="B106" t="s">
        <v>1394</v>
      </c>
      <c r="C106" t="s">
        <v>10</v>
      </c>
      <c r="D106" t="s">
        <v>1210</v>
      </c>
      <c r="E106" t="s">
        <v>1194</v>
      </c>
      <c r="F106" t="s">
        <v>1395</v>
      </c>
      <c r="G106" t="s">
        <v>1212</v>
      </c>
      <c r="H106" t="s">
        <v>1425</v>
      </c>
      <c r="I106" t="s">
        <v>1425</v>
      </c>
      <c r="J106" t="s">
        <v>1396</v>
      </c>
      <c r="K106" t="s">
        <v>1390</v>
      </c>
      <c r="L106" s="33">
        <v>2052</v>
      </c>
    </row>
    <row r="107" spans="1:12" x14ac:dyDescent="0.25">
      <c r="A107" t="s">
        <v>1326</v>
      </c>
      <c r="B107" t="s">
        <v>1397</v>
      </c>
      <c r="C107" t="s">
        <v>10</v>
      </c>
      <c r="D107" t="s">
        <v>1210</v>
      </c>
      <c r="E107" t="s">
        <v>1194</v>
      </c>
      <c r="F107" t="s">
        <v>1398</v>
      </c>
      <c r="G107" t="s">
        <v>1212</v>
      </c>
      <c r="H107" t="s">
        <v>1425</v>
      </c>
      <c r="I107" t="s">
        <v>1425</v>
      </c>
      <c r="J107" t="s">
        <v>1399</v>
      </c>
      <c r="K107" t="s">
        <v>1390</v>
      </c>
      <c r="L107" s="33">
        <v>3491.21</v>
      </c>
    </row>
    <row r="108" spans="1:12" x14ac:dyDescent="0.25">
      <c r="A108" t="s">
        <v>1326</v>
      </c>
      <c r="B108" t="s">
        <v>1400</v>
      </c>
      <c r="C108" t="s">
        <v>10</v>
      </c>
      <c r="D108" t="s">
        <v>1210</v>
      </c>
      <c r="E108" t="s">
        <v>1194</v>
      </c>
      <c r="F108" t="s">
        <v>1401</v>
      </c>
      <c r="G108" t="s">
        <v>1212</v>
      </c>
      <c r="H108" t="s">
        <v>1425</v>
      </c>
      <c r="I108" t="s">
        <v>1425</v>
      </c>
      <c r="J108" t="s">
        <v>1402</v>
      </c>
      <c r="K108" t="s">
        <v>1390</v>
      </c>
      <c r="L108" s="33">
        <v>334.16</v>
      </c>
    </row>
    <row r="109" spans="1:12" x14ac:dyDescent="0.25">
      <c r="A109" t="s">
        <v>1326</v>
      </c>
      <c r="B109" t="s">
        <v>1403</v>
      </c>
      <c r="C109" t="s">
        <v>10</v>
      </c>
      <c r="D109" t="s">
        <v>1210</v>
      </c>
      <c r="E109" t="s">
        <v>1194</v>
      </c>
      <c r="F109" t="s">
        <v>1404</v>
      </c>
      <c r="G109" t="s">
        <v>1212</v>
      </c>
      <c r="H109" t="s">
        <v>1425</v>
      </c>
      <c r="I109" t="s">
        <v>1425</v>
      </c>
      <c r="J109" t="s">
        <v>1405</v>
      </c>
      <c r="K109" t="s">
        <v>1390</v>
      </c>
      <c r="L109" s="33">
        <v>885.95</v>
      </c>
    </row>
    <row r="110" spans="1:12" x14ac:dyDescent="0.25">
      <c r="A110" t="s">
        <v>1326</v>
      </c>
      <c r="B110" t="s">
        <v>1406</v>
      </c>
      <c r="C110" t="s">
        <v>10</v>
      </c>
      <c r="D110" t="s">
        <v>1210</v>
      </c>
      <c r="E110" t="s">
        <v>1194</v>
      </c>
      <c r="F110" t="s">
        <v>1407</v>
      </c>
      <c r="G110" t="s">
        <v>1212</v>
      </c>
      <c r="H110" t="s">
        <v>1425</v>
      </c>
      <c r="I110" t="s">
        <v>1425</v>
      </c>
      <c r="J110" t="s">
        <v>1408</v>
      </c>
      <c r="K110" t="s">
        <v>1390</v>
      </c>
      <c r="L110" s="33">
        <v>3431.7</v>
      </c>
    </row>
    <row r="111" spans="1:12" x14ac:dyDescent="0.25">
      <c r="A111" t="s">
        <v>1326</v>
      </c>
      <c r="B111" t="s">
        <v>1409</v>
      </c>
      <c r="C111" t="s">
        <v>10</v>
      </c>
      <c r="D111" t="s">
        <v>1210</v>
      </c>
      <c r="E111" t="s">
        <v>1194</v>
      </c>
      <c r="F111" t="s">
        <v>1410</v>
      </c>
      <c r="G111" t="s">
        <v>1212</v>
      </c>
      <c r="H111" t="s">
        <v>1425</v>
      </c>
      <c r="I111" t="s">
        <v>1425</v>
      </c>
      <c r="J111" t="s">
        <v>1411</v>
      </c>
      <c r="K111" t="s">
        <v>1390</v>
      </c>
      <c r="L111" s="33">
        <v>950</v>
      </c>
    </row>
    <row r="112" spans="1:12" x14ac:dyDescent="0.25">
      <c r="A112" t="s">
        <v>1326</v>
      </c>
      <c r="B112" t="s">
        <v>1426</v>
      </c>
      <c r="C112" t="s">
        <v>10</v>
      </c>
      <c r="D112" t="s">
        <v>1210</v>
      </c>
      <c r="E112" t="s">
        <v>1194</v>
      </c>
      <c r="F112" t="s">
        <v>1427</v>
      </c>
      <c r="G112" t="s">
        <v>1212</v>
      </c>
      <c r="H112" t="s">
        <v>1425</v>
      </c>
      <c r="I112" t="s">
        <v>1425</v>
      </c>
      <c r="J112" t="s">
        <v>1428</v>
      </c>
      <c r="K112" t="s">
        <v>1415</v>
      </c>
      <c r="L112" s="33">
        <v>220.09</v>
      </c>
    </row>
    <row r="113" spans="1:12" x14ac:dyDescent="0.25">
      <c r="A113" t="s">
        <v>1326</v>
      </c>
      <c r="B113" t="s">
        <v>1412</v>
      </c>
      <c r="C113" t="s">
        <v>10</v>
      </c>
      <c r="D113" t="s">
        <v>1210</v>
      </c>
      <c r="E113" t="s">
        <v>1194</v>
      </c>
      <c r="F113" t="s">
        <v>1413</v>
      </c>
      <c r="G113" t="s">
        <v>1212</v>
      </c>
      <c r="H113" t="s">
        <v>1425</v>
      </c>
      <c r="I113" t="s">
        <v>1425</v>
      </c>
      <c r="J113" t="s">
        <v>1414</v>
      </c>
      <c r="K113" t="s">
        <v>1415</v>
      </c>
      <c r="L113" s="33">
        <v>7078.46</v>
      </c>
    </row>
    <row r="114" spans="1:12" x14ac:dyDescent="0.25">
      <c r="A114" t="s">
        <v>1326</v>
      </c>
      <c r="B114" t="s">
        <v>1416</v>
      </c>
      <c r="C114" t="s">
        <v>10</v>
      </c>
      <c r="D114" t="s">
        <v>1210</v>
      </c>
      <c r="E114" t="s">
        <v>1194</v>
      </c>
      <c r="F114" t="s">
        <v>1417</v>
      </c>
      <c r="G114" t="s">
        <v>1212</v>
      </c>
      <c r="H114" t="s">
        <v>1425</v>
      </c>
      <c r="I114" t="s">
        <v>1425</v>
      </c>
      <c r="J114" t="s">
        <v>1418</v>
      </c>
      <c r="K114" t="s">
        <v>1415</v>
      </c>
      <c r="L114" s="33">
        <v>14242.26</v>
      </c>
    </row>
    <row r="115" spans="1:12" x14ac:dyDescent="0.25">
      <c r="A115" t="s">
        <v>1326</v>
      </c>
      <c r="B115" t="s">
        <v>1429</v>
      </c>
      <c r="C115" t="s">
        <v>10</v>
      </c>
      <c r="D115" t="s">
        <v>1210</v>
      </c>
      <c r="E115" t="s">
        <v>1194</v>
      </c>
      <c r="F115" t="s">
        <v>1430</v>
      </c>
      <c r="G115" t="s">
        <v>1212</v>
      </c>
      <c r="H115" t="s">
        <v>1425</v>
      </c>
      <c r="I115" t="s">
        <v>1425</v>
      </c>
      <c r="J115" t="s">
        <v>1431</v>
      </c>
      <c r="K115" t="s">
        <v>1432</v>
      </c>
      <c r="L115" s="33">
        <v>1224.8900000000001</v>
      </c>
    </row>
    <row r="116" spans="1:12" x14ac:dyDescent="0.25">
      <c r="A116" t="s">
        <v>1326</v>
      </c>
      <c r="B116" t="s">
        <v>1422</v>
      </c>
      <c r="C116" t="s">
        <v>10</v>
      </c>
      <c r="D116" t="s">
        <v>1210</v>
      </c>
      <c r="E116" t="s">
        <v>1194</v>
      </c>
      <c r="F116" t="s">
        <v>1423</v>
      </c>
      <c r="G116" t="s">
        <v>1212</v>
      </c>
      <c r="H116" t="s">
        <v>1425</v>
      </c>
      <c r="I116" t="s">
        <v>1425</v>
      </c>
      <c r="J116" t="s">
        <v>1424</v>
      </c>
      <c r="K116" t="s">
        <v>1424</v>
      </c>
      <c r="L116" s="33">
        <v>295.42</v>
      </c>
    </row>
    <row r="117" spans="1:12" x14ac:dyDescent="0.25">
      <c r="A117" t="s">
        <v>1326</v>
      </c>
      <c r="B117" t="s">
        <v>1433</v>
      </c>
      <c r="C117" t="s">
        <v>10</v>
      </c>
      <c r="D117" t="s">
        <v>1210</v>
      </c>
      <c r="E117" t="s">
        <v>1194</v>
      </c>
      <c r="F117" t="s">
        <v>1434</v>
      </c>
      <c r="G117" t="s">
        <v>1212</v>
      </c>
      <c r="H117" t="s">
        <v>1425</v>
      </c>
      <c r="I117" t="s">
        <v>1425</v>
      </c>
      <c r="J117" t="s">
        <v>1435</v>
      </c>
      <c r="K117" t="s">
        <v>1436</v>
      </c>
      <c r="L117" s="33">
        <v>663.26</v>
      </c>
    </row>
    <row r="118" spans="1:12" x14ac:dyDescent="0.25">
      <c r="A118" t="s">
        <v>1326</v>
      </c>
      <c r="B118" t="s">
        <v>1437</v>
      </c>
      <c r="C118" t="s">
        <v>10</v>
      </c>
      <c r="D118" t="s">
        <v>1210</v>
      </c>
      <c r="E118" t="s">
        <v>1194</v>
      </c>
      <c r="F118" t="s">
        <v>1438</v>
      </c>
      <c r="G118" t="s">
        <v>1212</v>
      </c>
      <c r="H118" t="s">
        <v>1425</v>
      </c>
      <c r="I118" t="s">
        <v>1425</v>
      </c>
      <c r="J118" t="s">
        <v>1432</v>
      </c>
      <c r="K118" t="s">
        <v>1432</v>
      </c>
      <c r="L118" s="33">
        <v>880</v>
      </c>
    </row>
    <row r="119" spans="1:12" x14ac:dyDescent="0.25">
      <c r="A119" t="s">
        <v>1326</v>
      </c>
      <c r="B119" t="s">
        <v>1471</v>
      </c>
      <c r="C119" t="s">
        <v>10</v>
      </c>
      <c r="D119" t="s">
        <v>1210</v>
      </c>
      <c r="E119" t="s">
        <v>1194</v>
      </c>
      <c r="F119" t="s">
        <v>1472</v>
      </c>
      <c r="G119" t="s">
        <v>1212</v>
      </c>
      <c r="H119" t="s">
        <v>1425</v>
      </c>
      <c r="I119" t="s">
        <v>1425</v>
      </c>
      <c r="J119" t="s">
        <v>1473</v>
      </c>
      <c r="K119" t="s">
        <v>1432</v>
      </c>
      <c r="L119" s="33">
        <v>1500</v>
      </c>
    </row>
    <row r="120" spans="1:12" x14ac:dyDescent="0.25">
      <c r="A120" t="s">
        <v>1326</v>
      </c>
      <c r="B120" t="s">
        <v>1439</v>
      </c>
      <c r="C120" t="s">
        <v>10</v>
      </c>
      <c r="D120" t="s">
        <v>1210</v>
      </c>
      <c r="E120" t="s">
        <v>1194</v>
      </c>
      <c r="F120" t="s">
        <v>1440</v>
      </c>
      <c r="G120" t="s">
        <v>1212</v>
      </c>
      <c r="H120" t="s">
        <v>1425</v>
      </c>
      <c r="I120" t="s">
        <v>1425</v>
      </c>
      <c r="J120" t="s">
        <v>1441</v>
      </c>
      <c r="K120" t="s">
        <v>1441</v>
      </c>
      <c r="L120" s="33">
        <v>2215.33</v>
      </c>
    </row>
    <row r="121" spans="1:12" x14ac:dyDescent="0.25">
      <c r="A121" t="s">
        <v>1326</v>
      </c>
      <c r="B121" t="s">
        <v>1442</v>
      </c>
      <c r="C121" t="s">
        <v>10</v>
      </c>
      <c r="D121" t="s">
        <v>1210</v>
      </c>
      <c r="E121" t="s">
        <v>1194</v>
      </c>
      <c r="F121" t="s">
        <v>1443</v>
      </c>
      <c r="G121" t="s">
        <v>1212</v>
      </c>
      <c r="H121" t="s">
        <v>1425</v>
      </c>
      <c r="I121" t="s">
        <v>1425</v>
      </c>
      <c r="J121" t="s">
        <v>1444</v>
      </c>
      <c r="K121" t="s">
        <v>1444</v>
      </c>
      <c r="L121" s="33">
        <v>750</v>
      </c>
    </row>
    <row r="122" spans="1:12" x14ac:dyDescent="0.25">
      <c r="A122" t="s">
        <v>1326</v>
      </c>
      <c r="B122" t="s">
        <v>1327</v>
      </c>
      <c r="C122" t="s">
        <v>10</v>
      </c>
      <c r="D122" t="s">
        <v>1210</v>
      </c>
      <c r="E122" t="s">
        <v>1194</v>
      </c>
      <c r="F122" t="s">
        <v>1328</v>
      </c>
      <c r="G122" t="s">
        <v>1212</v>
      </c>
      <c r="H122" t="s">
        <v>1445</v>
      </c>
      <c r="I122" t="s">
        <v>1445</v>
      </c>
      <c r="J122" t="s">
        <v>1330</v>
      </c>
      <c r="K122" t="s">
        <v>1330</v>
      </c>
      <c r="L122" s="33">
        <v>40764</v>
      </c>
    </row>
    <row r="123" spans="1:12" x14ac:dyDescent="0.25">
      <c r="A123" t="s">
        <v>1326</v>
      </c>
      <c r="B123" t="s">
        <v>1331</v>
      </c>
      <c r="C123" t="s">
        <v>10</v>
      </c>
      <c r="D123" t="s">
        <v>1210</v>
      </c>
      <c r="E123" t="s">
        <v>1194</v>
      </c>
      <c r="F123" t="s">
        <v>1332</v>
      </c>
      <c r="G123" t="s">
        <v>1212</v>
      </c>
      <c r="H123" t="s">
        <v>1445</v>
      </c>
      <c r="I123" t="s">
        <v>1445</v>
      </c>
      <c r="J123" t="s">
        <v>1333</v>
      </c>
      <c r="K123" t="s">
        <v>1334</v>
      </c>
      <c r="L123" s="33">
        <v>2551.1</v>
      </c>
    </row>
    <row r="124" spans="1:12" x14ac:dyDescent="0.25">
      <c r="A124" t="s">
        <v>1326</v>
      </c>
      <c r="B124" t="s">
        <v>1335</v>
      </c>
      <c r="C124" t="s">
        <v>10</v>
      </c>
      <c r="D124" t="s">
        <v>1210</v>
      </c>
      <c r="E124" t="s">
        <v>1194</v>
      </c>
      <c r="F124" t="s">
        <v>1336</v>
      </c>
      <c r="G124" t="s">
        <v>1212</v>
      </c>
      <c r="H124" t="s">
        <v>1445</v>
      </c>
      <c r="I124" t="s">
        <v>1445</v>
      </c>
      <c r="J124" t="s">
        <v>1337</v>
      </c>
      <c r="K124" t="s">
        <v>1334</v>
      </c>
      <c r="L124" s="33">
        <v>-1544.09</v>
      </c>
    </row>
    <row r="125" spans="1:12" x14ac:dyDescent="0.25">
      <c r="A125" t="s">
        <v>1326</v>
      </c>
      <c r="B125" t="s">
        <v>1338</v>
      </c>
      <c r="C125" t="s">
        <v>10</v>
      </c>
      <c r="D125" t="s">
        <v>1210</v>
      </c>
      <c r="E125" t="s">
        <v>1194</v>
      </c>
      <c r="F125" t="s">
        <v>1339</v>
      </c>
      <c r="G125" t="s">
        <v>1212</v>
      </c>
      <c r="H125" t="s">
        <v>1445</v>
      </c>
      <c r="I125" t="s">
        <v>1445</v>
      </c>
      <c r="J125" t="s">
        <v>1340</v>
      </c>
      <c r="K125" t="s">
        <v>1334</v>
      </c>
      <c r="L125" s="33">
        <v>177</v>
      </c>
    </row>
    <row r="126" spans="1:12" x14ac:dyDescent="0.25">
      <c r="A126" t="s">
        <v>1326</v>
      </c>
      <c r="B126" t="s">
        <v>1341</v>
      </c>
      <c r="C126" t="s">
        <v>10</v>
      </c>
      <c r="D126" t="s">
        <v>1210</v>
      </c>
      <c r="E126" t="s">
        <v>1194</v>
      </c>
      <c r="F126" t="s">
        <v>1342</v>
      </c>
      <c r="G126" t="s">
        <v>1212</v>
      </c>
      <c r="H126" t="s">
        <v>1445</v>
      </c>
      <c r="I126" t="s">
        <v>1445</v>
      </c>
      <c r="J126" t="s">
        <v>1343</v>
      </c>
      <c r="K126" t="s">
        <v>1334</v>
      </c>
      <c r="L126" s="33">
        <v>180</v>
      </c>
    </row>
    <row r="127" spans="1:12" x14ac:dyDescent="0.25">
      <c r="A127" t="s">
        <v>1326</v>
      </c>
      <c r="B127" t="s">
        <v>1344</v>
      </c>
      <c r="C127" t="s">
        <v>10</v>
      </c>
      <c r="D127" t="s">
        <v>1210</v>
      </c>
      <c r="E127" t="s">
        <v>1194</v>
      </c>
      <c r="F127" t="s">
        <v>1345</v>
      </c>
      <c r="G127" t="s">
        <v>1212</v>
      </c>
      <c r="H127" t="s">
        <v>1445</v>
      </c>
      <c r="I127" t="s">
        <v>1445</v>
      </c>
      <c r="J127" t="s">
        <v>1346</v>
      </c>
      <c r="K127" t="s">
        <v>1347</v>
      </c>
      <c r="L127" s="33">
        <v>240</v>
      </c>
    </row>
    <row r="128" spans="1:12" x14ac:dyDescent="0.25">
      <c r="A128" t="s">
        <v>1326</v>
      </c>
      <c r="B128" t="s">
        <v>1348</v>
      </c>
      <c r="C128" t="s">
        <v>10</v>
      </c>
      <c r="D128" t="s">
        <v>1210</v>
      </c>
      <c r="E128" t="s">
        <v>1194</v>
      </c>
      <c r="F128" t="s">
        <v>1349</v>
      </c>
      <c r="G128" t="s">
        <v>1212</v>
      </c>
      <c r="H128" t="s">
        <v>1445</v>
      </c>
      <c r="I128" t="s">
        <v>1445</v>
      </c>
      <c r="J128" t="s">
        <v>1350</v>
      </c>
      <c r="K128" t="s">
        <v>1351</v>
      </c>
      <c r="L128" s="33">
        <v>177</v>
      </c>
    </row>
    <row r="129" spans="1:12" x14ac:dyDescent="0.25">
      <c r="A129" t="s">
        <v>1326</v>
      </c>
      <c r="B129" t="s">
        <v>1352</v>
      </c>
      <c r="C129" t="s">
        <v>10</v>
      </c>
      <c r="D129" t="s">
        <v>1210</v>
      </c>
      <c r="E129" t="s">
        <v>1194</v>
      </c>
      <c r="F129" t="s">
        <v>1353</v>
      </c>
      <c r="G129" t="s">
        <v>1212</v>
      </c>
      <c r="H129" t="s">
        <v>1445</v>
      </c>
      <c r="I129" t="s">
        <v>1445</v>
      </c>
      <c r="J129" t="s">
        <v>1354</v>
      </c>
      <c r="K129" t="s">
        <v>1351</v>
      </c>
      <c r="L129" s="33">
        <v>1004.31</v>
      </c>
    </row>
    <row r="130" spans="1:12" x14ac:dyDescent="0.25">
      <c r="A130" t="s">
        <v>1326</v>
      </c>
      <c r="B130" t="s">
        <v>1355</v>
      </c>
      <c r="C130" t="s">
        <v>10</v>
      </c>
      <c r="D130" t="s">
        <v>1210</v>
      </c>
      <c r="E130" t="s">
        <v>1194</v>
      </c>
      <c r="F130" t="s">
        <v>1356</v>
      </c>
      <c r="G130" t="s">
        <v>1212</v>
      </c>
      <c r="H130" t="s">
        <v>1445</v>
      </c>
      <c r="I130" t="s">
        <v>1445</v>
      </c>
      <c r="J130" t="s">
        <v>1357</v>
      </c>
      <c r="K130" t="s">
        <v>1351</v>
      </c>
      <c r="L130" s="33">
        <v>148.80000000000001</v>
      </c>
    </row>
    <row r="131" spans="1:12" x14ac:dyDescent="0.25">
      <c r="A131" t="s">
        <v>1326</v>
      </c>
      <c r="B131" t="s">
        <v>1358</v>
      </c>
      <c r="C131" t="s">
        <v>10</v>
      </c>
      <c r="D131" t="s">
        <v>1210</v>
      </c>
      <c r="E131" t="s">
        <v>1194</v>
      </c>
      <c r="F131" t="s">
        <v>1359</v>
      </c>
      <c r="G131" t="s">
        <v>1212</v>
      </c>
      <c r="H131" t="s">
        <v>1445</v>
      </c>
      <c r="I131" t="s">
        <v>1445</v>
      </c>
      <c r="J131" t="s">
        <v>1360</v>
      </c>
      <c r="K131" t="s">
        <v>1361</v>
      </c>
      <c r="L131" s="33">
        <v>1983.86</v>
      </c>
    </row>
    <row r="132" spans="1:12" x14ac:dyDescent="0.25">
      <c r="A132" t="s">
        <v>1326</v>
      </c>
      <c r="B132" t="s">
        <v>1362</v>
      </c>
      <c r="C132" t="s">
        <v>10</v>
      </c>
      <c r="D132" t="s">
        <v>1210</v>
      </c>
      <c r="E132" t="s">
        <v>1194</v>
      </c>
      <c r="F132" t="s">
        <v>1363</v>
      </c>
      <c r="G132" t="s">
        <v>1212</v>
      </c>
      <c r="H132" t="s">
        <v>1445</v>
      </c>
      <c r="I132" t="s">
        <v>1445</v>
      </c>
      <c r="J132" t="s">
        <v>1364</v>
      </c>
      <c r="K132" t="s">
        <v>1364</v>
      </c>
      <c r="L132" s="33">
        <v>-13731</v>
      </c>
    </row>
    <row r="133" spans="1:12" x14ac:dyDescent="0.25">
      <c r="A133" t="s">
        <v>1326</v>
      </c>
      <c r="B133" t="s">
        <v>1365</v>
      </c>
      <c r="C133" t="s">
        <v>10</v>
      </c>
      <c r="D133" t="s">
        <v>1210</v>
      </c>
      <c r="E133" t="s">
        <v>1194</v>
      </c>
      <c r="F133" t="s">
        <v>1366</v>
      </c>
      <c r="G133" t="s">
        <v>1212</v>
      </c>
      <c r="H133" t="s">
        <v>1445</v>
      </c>
      <c r="I133" t="s">
        <v>1445</v>
      </c>
      <c r="J133" t="s">
        <v>1367</v>
      </c>
      <c r="K133" t="s">
        <v>1368</v>
      </c>
      <c r="L133" s="33">
        <v>9600</v>
      </c>
    </row>
    <row r="134" spans="1:12" x14ac:dyDescent="0.25">
      <c r="A134" t="s">
        <v>1326</v>
      </c>
      <c r="B134" t="s">
        <v>1369</v>
      </c>
      <c r="C134" t="s">
        <v>10</v>
      </c>
      <c r="D134" t="s">
        <v>1210</v>
      </c>
      <c r="E134" t="s">
        <v>1194</v>
      </c>
      <c r="F134" t="s">
        <v>1370</v>
      </c>
      <c r="G134" t="s">
        <v>1212</v>
      </c>
      <c r="H134" t="s">
        <v>1445</v>
      </c>
      <c r="I134" t="s">
        <v>1445</v>
      </c>
      <c r="J134" t="s">
        <v>1371</v>
      </c>
      <c r="K134" t="s">
        <v>1368</v>
      </c>
      <c r="L134" s="33">
        <v>-6399</v>
      </c>
    </row>
    <row r="135" spans="1:12" x14ac:dyDescent="0.25">
      <c r="A135" t="s">
        <v>1326</v>
      </c>
      <c r="B135" t="s">
        <v>1372</v>
      </c>
      <c r="C135" t="s">
        <v>10</v>
      </c>
      <c r="D135" t="s">
        <v>1210</v>
      </c>
      <c r="E135" t="s">
        <v>1194</v>
      </c>
      <c r="F135" t="s">
        <v>1373</v>
      </c>
      <c r="G135" t="s">
        <v>1212</v>
      </c>
      <c r="H135" t="s">
        <v>1445</v>
      </c>
      <c r="I135" t="s">
        <v>1445</v>
      </c>
      <c r="J135" t="s">
        <v>1374</v>
      </c>
      <c r="K135" t="s">
        <v>1374</v>
      </c>
      <c r="L135" s="33">
        <v>16951.77</v>
      </c>
    </row>
    <row r="136" spans="1:12" x14ac:dyDescent="0.25">
      <c r="A136" t="s">
        <v>1326</v>
      </c>
      <c r="B136" t="s">
        <v>1375</v>
      </c>
      <c r="C136" t="s">
        <v>10</v>
      </c>
      <c r="D136" t="s">
        <v>1210</v>
      </c>
      <c r="E136" t="s">
        <v>1194</v>
      </c>
      <c r="F136" t="s">
        <v>1376</v>
      </c>
      <c r="G136" t="s">
        <v>1212</v>
      </c>
      <c r="H136" t="s">
        <v>1445</v>
      </c>
      <c r="I136" t="s">
        <v>1445</v>
      </c>
      <c r="J136" t="s">
        <v>1377</v>
      </c>
      <c r="K136" t="s">
        <v>1374</v>
      </c>
      <c r="L136" s="33">
        <v>2038.5</v>
      </c>
    </row>
    <row r="137" spans="1:12" x14ac:dyDescent="0.25">
      <c r="A137" t="s">
        <v>1326</v>
      </c>
      <c r="B137" t="s">
        <v>1378</v>
      </c>
      <c r="C137" t="s">
        <v>10</v>
      </c>
      <c r="D137" t="s">
        <v>1210</v>
      </c>
      <c r="E137" t="s">
        <v>1194</v>
      </c>
      <c r="F137" t="s">
        <v>1379</v>
      </c>
      <c r="G137" t="s">
        <v>1212</v>
      </c>
      <c r="H137" t="s">
        <v>1445</v>
      </c>
      <c r="I137" t="s">
        <v>1445</v>
      </c>
      <c r="J137" t="s">
        <v>1380</v>
      </c>
      <c r="K137" t="s">
        <v>1380</v>
      </c>
      <c r="L137" s="33">
        <v>2427.9299999999998</v>
      </c>
    </row>
    <row r="138" spans="1:12" x14ac:dyDescent="0.25">
      <c r="A138" t="s">
        <v>1326</v>
      </c>
      <c r="B138" t="s">
        <v>1381</v>
      </c>
      <c r="C138" t="s">
        <v>10</v>
      </c>
      <c r="D138" t="s">
        <v>1210</v>
      </c>
      <c r="E138" t="s">
        <v>1194</v>
      </c>
      <c r="F138" t="s">
        <v>1382</v>
      </c>
      <c r="G138" t="s">
        <v>1212</v>
      </c>
      <c r="H138" t="s">
        <v>1445</v>
      </c>
      <c r="I138" t="s">
        <v>1445</v>
      </c>
      <c r="J138" t="s">
        <v>1383</v>
      </c>
      <c r="K138" t="s">
        <v>1334</v>
      </c>
      <c r="L138" s="33">
        <v>4477.92</v>
      </c>
    </row>
    <row r="139" spans="1:12" x14ac:dyDescent="0.25">
      <c r="A139" t="s">
        <v>1326</v>
      </c>
      <c r="B139" t="s">
        <v>1384</v>
      </c>
      <c r="C139" t="s">
        <v>10</v>
      </c>
      <c r="D139" t="s">
        <v>1210</v>
      </c>
      <c r="E139" t="s">
        <v>1194</v>
      </c>
      <c r="F139" t="s">
        <v>1385</v>
      </c>
      <c r="G139" t="s">
        <v>1212</v>
      </c>
      <c r="H139" t="s">
        <v>1445</v>
      </c>
      <c r="I139" t="s">
        <v>1445</v>
      </c>
      <c r="J139" t="s">
        <v>1386</v>
      </c>
      <c r="K139" t="s">
        <v>1386</v>
      </c>
      <c r="L139" s="33">
        <v>289.99</v>
      </c>
    </row>
    <row r="140" spans="1:12" x14ac:dyDescent="0.25">
      <c r="A140" t="s">
        <v>1326</v>
      </c>
      <c r="B140" t="s">
        <v>1387</v>
      </c>
      <c r="C140" t="s">
        <v>10</v>
      </c>
      <c r="D140" t="s">
        <v>1210</v>
      </c>
      <c r="E140" t="s">
        <v>1194</v>
      </c>
      <c r="F140" t="s">
        <v>1388</v>
      </c>
      <c r="G140" t="s">
        <v>1212</v>
      </c>
      <c r="H140" t="s">
        <v>1445</v>
      </c>
      <c r="I140" t="s">
        <v>1445</v>
      </c>
      <c r="J140" t="s">
        <v>1389</v>
      </c>
      <c r="K140" t="s">
        <v>1390</v>
      </c>
      <c r="L140" s="33">
        <v>913.13</v>
      </c>
    </row>
    <row r="141" spans="1:12" x14ac:dyDescent="0.25">
      <c r="A141" t="s">
        <v>1326</v>
      </c>
      <c r="B141" t="s">
        <v>1391</v>
      </c>
      <c r="C141" t="s">
        <v>10</v>
      </c>
      <c r="D141" t="s">
        <v>1210</v>
      </c>
      <c r="E141" t="s">
        <v>1194</v>
      </c>
      <c r="F141" t="s">
        <v>1392</v>
      </c>
      <c r="G141" t="s">
        <v>1212</v>
      </c>
      <c r="H141" t="s">
        <v>1445</v>
      </c>
      <c r="I141" t="s">
        <v>1445</v>
      </c>
      <c r="J141" t="s">
        <v>1393</v>
      </c>
      <c r="K141" t="s">
        <v>1390</v>
      </c>
      <c r="L141" s="33">
        <v>2836.01</v>
      </c>
    </row>
    <row r="142" spans="1:12" x14ac:dyDescent="0.25">
      <c r="A142" t="s">
        <v>1326</v>
      </c>
      <c r="B142" t="s">
        <v>1394</v>
      </c>
      <c r="C142" t="s">
        <v>10</v>
      </c>
      <c r="D142" t="s">
        <v>1210</v>
      </c>
      <c r="E142" t="s">
        <v>1194</v>
      </c>
      <c r="F142" t="s">
        <v>1395</v>
      </c>
      <c r="G142" t="s">
        <v>1212</v>
      </c>
      <c r="H142" t="s">
        <v>1445</v>
      </c>
      <c r="I142" t="s">
        <v>1445</v>
      </c>
      <c r="J142" t="s">
        <v>1396</v>
      </c>
      <c r="K142" t="s">
        <v>1390</v>
      </c>
      <c r="L142" s="33">
        <v>1936</v>
      </c>
    </row>
    <row r="143" spans="1:12" x14ac:dyDescent="0.25">
      <c r="A143" t="s">
        <v>1326</v>
      </c>
      <c r="B143" t="s">
        <v>1397</v>
      </c>
      <c r="C143" t="s">
        <v>10</v>
      </c>
      <c r="D143" t="s">
        <v>1210</v>
      </c>
      <c r="E143" t="s">
        <v>1194</v>
      </c>
      <c r="F143" t="s">
        <v>1398</v>
      </c>
      <c r="G143" t="s">
        <v>1212</v>
      </c>
      <c r="H143" t="s">
        <v>1445</v>
      </c>
      <c r="I143" t="s">
        <v>1445</v>
      </c>
      <c r="J143" t="s">
        <v>1399</v>
      </c>
      <c r="K143" t="s">
        <v>1390</v>
      </c>
      <c r="L143" s="33">
        <v>344.12</v>
      </c>
    </row>
    <row r="144" spans="1:12" x14ac:dyDescent="0.25">
      <c r="A144" t="s">
        <v>1326</v>
      </c>
      <c r="B144" t="s">
        <v>1400</v>
      </c>
      <c r="C144" t="s">
        <v>10</v>
      </c>
      <c r="D144" t="s">
        <v>1210</v>
      </c>
      <c r="E144" t="s">
        <v>1194</v>
      </c>
      <c r="F144" t="s">
        <v>1401</v>
      </c>
      <c r="G144" t="s">
        <v>1212</v>
      </c>
      <c r="H144" t="s">
        <v>1445</v>
      </c>
      <c r="I144" t="s">
        <v>1445</v>
      </c>
      <c r="J144" t="s">
        <v>1402</v>
      </c>
      <c r="K144" t="s">
        <v>1390</v>
      </c>
      <c r="L144" s="33">
        <v>88.5</v>
      </c>
    </row>
    <row r="145" spans="1:12" x14ac:dyDescent="0.25">
      <c r="A145" t="s">
        <v>1326</v>
      </c>
      <c r="B145" t="s">
        <v>1403</v>
      </c>
      <c r="C145" t="s">
        <v>10</v>
      </c>
      <c r="D145" t="s">
        <v>1210</v>
      </c>
      <c r="E145" t="s">
        <v>1194</v>
      </c>
      <c r="F145" t="s">
        <v>1404</v>
      </c>
      <c r="G145" t="s">
        <v>1212</v>
      </c>
      <c r="H145" t="s">
        <v>1445</v>
      </c>
      <c r="I145" t="s">
        <v>1445</v>
      </c>
      <c r="J145" t="s">
        <v>1405</v>
      </c>
      <c r="K145" t="s">
        <v>1390</v>
      </c>
      <c r="L145" s="33">
        <v>1176.24</v>
      </c>
    </row>
    <row r="146" spans="1:12" x14ac:dyDescent="0.25">
      <c r="A146" t="s">
        <v>1326</v>
      </c>
      <c r="B146" t="s">
        <v>1406</v>
      </c>
      <c r="C146" t="s">
        <v>10</v>
      </c>
      <c r="D146" t="s">
        <v>1210</v>
      </c>
      <c r="E146" t="s">
        <v>1194</v>
      </c>
      <c r="F146" t="s">
        <v>1407</v>
      </c>
      <c r="G146" t="s">
        <v>1212</v>
      </c>
      <c r="H146" t="s">
        <v>1445</v>
      </c>
      <c r="I146" t="s">
        <v>1445</v>
      </c>
      <c r="J146" t="s">
        <v>1408</v>
      </c>
      <c r="K146" t="s">
        <v>1390</v>
      </c>
      <c r="L146" s="33">
        <v>363.18</v>
      </c>
    </row>
    <row r="147" spans="1:12" x14ac:dyDescent="0.25">
      <c r="A147" t="s">
        <v>1326</v>
      </c>
      <c r="B147" t="s">
        <v>1462</v>
      </c>
      <c r="C147" t="s">
        <v>10</v>
      </c>
      <c r="D147" t="s">
        <v>1210</v>
      </c>
      <c r="E147" t="s">
        <v>1194</v>
      </c>
      <c r="F147" t="s">
        <v>1463</v>
      </c>
      <c r="G147" t="s">
        <v>1212</v>
      </c>
      <c r="H147" t="s">
        <v>1445</v>
      </c>
      <c r="I147" t="s">
        <v>1445</v>
      </c>
      <c r="J147" t="s">
        <v>1464</v>
      </c>
      <c r="K147" t="s">
        <v>1390</v>
      </c>
      <c r="L147" s="33">
        <v>170</v>
      </c>
    </row>
    <row r="148" spans="1:12" x14ac:dyDescent="0.25">
      <c r="A148" t="s">
        <v>1326</v>
      </c>
      <c r="B148" t="s">
        <v>1409</v>
      </c>
      <c r="C148" t="s">
        <v>10</v>
      </c>
      <c r="D148" t="s">
        <v>1210</v>
      </c>
      <c r="E148" t="s">
        <v>1194</v>
      </c>
      <c r="F148" t="s">
        <v>1410</v>
      </c>
      <c r="G148" t="s">
        <v>1212</v>
      </c>
      <c r="H148" t="s">
        <v>1445</v>
      </c>
      <c r="I148" t="s">
        <v>1445</v>
      </c>
      <c r="J148" t="s">
        <v>1411</v>
      </c>
      <c r="K148" t="s">
        <v>1390</v>
      </c>
      <c r="L148" s="33">
        <v>228</v>
      </c>
    </row>
    <row r="149" spans="1:12" x14ac:dyDescent="0.25">
      <c r="A149" t="s">
        <v>1326</v>
      </c>
      <c r="B149" t="s">
        <v>1412</v>
      </c>
      <c r="C149" t="s">
        <v>10</v>
      </c>
      <c r="D149" t="s">
        <v>1210</v>
      </c>
      <c r="E149" t="s">
        <v>1194</v>
      </c>
      <c r="F149" t="s">
        <v>1413</v>
      </c>
      <c r="G149" t="s">
        <v>1212</v>
      </c>
      <c r="H149" t="s">
        <v>1445</v>
      </c>
      <c r="I149" t="s">
        <v>1445</v>
      </c>
      <c r="J149" t="s">
        <v>1414</v>
      </c>
      <c r="K149" t="s">
        <v>1415</v>
      </c>
      <c r="L149" s="33">
        <v>2539.8200000000002</v>
      </c>
    </row>
    <row r="150" spans="1:12" x14ac:dyDescent="0.25">
      <c r="A150" t="s">
        <v>1326</v>
      </c>
      <c r="B150" t="s">
        <v>1416</v>
      </c>
      <c r="C150" t="s">
        <v>10</v>
      </c>
      <c r="D150" t="s">
        <v>1210</v>
      </c>
      <c r="E150" t="s">
        <v>1194</v>
      </c>
      <c r="F150" t="s">
        <v>1417</v>
      </c>
      <c r="G150" t="s">
        <v>1212</v>
      </c>
      <c r="H150" t="s">
        <v>1445</v>
      </c>
      <c r="I150" t="s">
        <v>1445</v>
      </c>
      <c r="J150" t="s">
        <v>1418</v>
      </c>
      <c r="K150" t="s">
        <v>1415</v>
      </c>
      <c r="L150" s="33">
        <v>7676.74</v>
      </c>
    </row>
    <row r="151" spans="1:12" x14ac:dyDescent="0.25">
      <c r="A151" t="s">
        <v>1326</v>
      </c>
      <c r="B151" t="s">
        <v>1419</v>
      </c>
      <c r="C151" t="s">
        <v>10</v>
      </c>
      <c r="D151" t="s">
        <v>1210</v>
      </c>
      <c r="E151" t="s">
        <v>1194</v>
      </c>
      <c r="F151" t="s">
        <v>1420</v>
      </c>
      <c r="G151" t="s">
        <v>1212</v>
      </c>
      <c r="H151" t="s">
        <v>1445</v>
      </c>
      <c r="I151" t="s">
        <v>1445</v>
      </c>
      <c r="J151" t="s">
        <v>1421</v>
      </c>
      <c r="K151" t="s">
        <v>1421</v>
      </c>
      <c r="L151" s="33">
        <v>127.5</v>
      </c>
    </row>
    <row r="152" spans="1:12" x14ac:dyDescent="0.25">
      <c r="A152" t="s">
        <v>1326</v>
      </c>
      <c r="B152" t="s">
        <v>1327</v>
      </c>
      <c r="C152" t="s">
        <v>10</v>
      </c>
      <c r="D152" t="s">
        <v>1210</v>
      </c>
      <c r="E152" t="s">
        <v>1194</v>
      </c>
      <c r="F152" t="s">
        <v>1328</v>
      </c>
      <c r="G152" t="s">
        <v>1212</v>
      </c>
      <c r="H152" t="s">
        <v>1446</v>
      </c>
      <c r="I152" t="s">
        <v>1446</v>
      </c>
      <c r="J152" t="s">
        <v>1330</v>
      </c>
      <c r="K152" t="s">
        <v>1330</v>
      </c>
      <c r="L152" s="33">
        <v>142376</v>
      </c>
    </row>
    <row r="153" spans="1:12" x14ac:dyDescent="0.25">
      <c r="A153" t="s">
        <v>1326</v>
      </c>
      <c r="B153" t="s">
        <v>1447</v>
      </c>
      <c r="C153" t="s">
        <v>10</v>
      </c>
      <c r="D153" t="s">
        <v>1210</v>
      </c>
      <c r="E153" t="s">
        <v>1194</v>
      </c>
      <c r="F153" t="s">
        <v>1448</v>
      </c>
      <c r="G153" t="s">
        <v>1212</v>
      </c>
      <c r="H153" t="s">
        <v>1446</v>
      </c>
      <c r="I153" t="s">
        <v>1446</v>
      </c>
      <c r="J153" t="s">
        <v>1449</v>
      </c>
      <c r="K153" t="s">
        <v>1334</v>
      </c>
      <c r="L153" s="33">
        <v>911.4</v>
      </c>
    </row>
    <row r="154" spans="1:12" x14ac:dyDescent="0.25">
      <c r="A154" t="s">
        <v>1326</v>
      </c>
      <c r="B154" t="s">
        <v>1450</v>
      </c>
      <c r="C154" t="s">
        <v>10</v>
      </c>
      <c r="D154" t="s">
        <v>1210</v>
      </c>
      <c r="E154" t="s">
        <v>1194</v>
      </c>
      <c r="F154" t="s">
        <v>1451</v>
      </c>
      <c r="G154" t="s">
        <v>1212</v>
      </c>
      <c r="H154" t="s">
        <v>1446</v>
      </c>
      <c r="I154" t="s">
        <v>1446</v>
      </c>
      <c r="J154" t="s">
        <v>1452</v>
      </c>
      <c r="K154" t="s">
        <v>1330</v>
      </c>
      <c r="L154" s="33">
        <v>-911.4</v>
      </c>
    </row>
    <row r="155" spans="1:12" x14ac:dyDescent="0.25">
      <c r="A155" t="s">
        <v>1326</v>
      </c>
      <c r="B155" t="s">
        <v>1331</v>
      </c>
      <c r="C155" t="s">
        <v>10</v>
      </c>
      <c r="D155" t="s">
        <v>1210</v>
      </c>
      <c r="E155" t="s">
        <v>1194</v>
      </c>
      <c r="F155" t="s">
        <v>1332</v>
      </c>
      <c r="G155" t="s">
        <v>1212</v>
      </c>
      <c r="H155" t="s">
        <v>1446</v>
      </c>
      <c r="I155" t="s">
        <v>1446</v>
      </c>
      <c r="J155" t="s">
        <v>1333</v>
      </c>
      <c r="K155" t="s">
        <v>1334</v>
      </c>
      <c r="L155" s="33">
        <v>9099.65</v>
      </c>
    </row>
    <row r="156" spans="1:12" x14ac:dyDescent="0.25">
      <c r="A156" t="s">
        <v>1326</v>
      </c>
      <c r="B156" t="s">
        <v>1335</v>
      </c>
      <c r="C156" t="s">
        <v>10</v>
      </c>
      <c r="D156" t="s">
        <v>1210</v>
      </c>
      <c r="E156" t="s">
        <v>1194</v>
      </c>
      <c r="F156" t="s">
        <v>1336</v>
      </c>
      <c r="G156" t="s">
        <v>1212</v>
      </c>
      <c r="H156" t="s">
        <v>1446</v>
      </c>
      <c r="I156" t="s">
        <v>1446</v>
      </c>
      <c r="J156" t="s">
        <v>1337</v>
      </c>
      <c r="K156" t="s">
        <v>1334</v>
      </c>
      <c r="L156" s="33">
        <v>-5875.83</v>
      </c>
    </row>
    <row r="157" spans="1:12" x14ac:dyDescent="0.25">
      <c r="A157" t="s">
        <v>1326</v>
      </c>
      <c r="B157" t="s">
        <v>1338</v>
      </c>
      <c r="C157" t="s">
        <v>10</v>
      </c>
      <c r="D157" t="s">
        <v>1210</v>
      </c>
      <c r="E157" t="s">
        <v>1194</v>
      </c>
      <c r="F157" t="s">
        <v>1339</v>
      </c>
      <c r="G157" t="s">
        <v>1212</v>
      </c>
      <c r="H157" t="s">
        <v>1446</v>
      </c>
      <c r="I157" t="s">
        <v>1446</v>
      </c>
      <c r="J157" t="s">
        <v>1340</v>
      </c>
      <c r="K157" t="s">
        <v>1334</v>
      </c>
      <c r="L157" s="33">
        <v>974</v>
      </c>
    </row>
    <row r="158" spans="1:12" x14ac:dyDescent="0.25">
      <c r="A158" t="s">
        <v>1326</v>
      </c>
      <c r="B158" t="s">
        <v>1341</v>
      </c>
      <c r="C158" t="s">
        <v>10</v>
      </c>
      <c r="D158" t="s">
        <v>1210</v>
      </c>
      <c r="E158" t="s">
        <v>1194</v>
      </c>
      <c r="F158" t="s">
        <v>1342</v>
      </c>
      <c r="G158" t="s">
        <v>1212</v>
      </c>
      <c r="H158" t="s">
        <v>1446</v>
      </c>
      <c r="I158" t="s">
        <v>1446</v>
      </c>
      <c r="J158" t="s">
        <v>1343</v>
      </c>
      <c r="K158" t="s">
        <v>1334</v>
      </c>
      <c r="L158" s="33">
        <v>540</v>
      </c>
    </row>
    <row r="159" spans="1:12" x14ac:dyDescent="0.25">
      <c r="A159" t="s">
        <v>1326</v>
      </c>
      <c r="B159" t="s">
        <v>1453</v>
      </c>
      <c r="C159" t="s">
        <v>10</v>
      </c>
      <c r="D159" t="s">
        <v>1210</v>
      </c>
      <c r="E159" t="s">
        <v>1194</v>
      </c>
      <c r="F159" t="s">
        <v>1454</v>
      </c>
      <c r="G159" t="s">
        <v>1212</v>
      </c>
      <c r="H159" t="s">
        <v>1446</v>
      </c>
      <c r="I159" t="s">
        <v>1446</v>
      </c>
      <c r="J159" t="s">
        <v>1014</v>
      </c>
      <c r="K159" t="s">
        <v>1455</v>
      </c>
      <c r="L159" s="33">
        <v>203</v>
      </c>
    </row>
    <row r="160" spans="1:12" x14ac:dyDescent="0.25">
      <c r="A160" t="s">
        <v>1326</v>
      </c>
      <c r="B160" t="s">
        <v>1344</v>
      </c>
      <c r="C160" t="s">
        <v>10</v>
      </c>
      <c r="D160" t="s">
        <v>1210</v>
      </c>
      <c r="E160" t="s">
        <v>1194</v>
      </c>
      <c r="F160" t="s">
        <v>1345</v>
      </c>
      <c r="G160" t="s">
        <v>1212</v>
      </c>
      <c r="H160" t="s">
        <v>1446</v>
      </c>
      <c r="I160" t="s">
        <v>1446</v>
      </c>
      <c r="J160" t="s">
        <v>1346</v>
      </c>
      <c r="K160" t="s">
        <v>1347</v>
      </c>
      <c r="L160" s="33">
        <v>960</v>
      </c>
    </row>
    <row r="161" spans="1:12" x14ac:dyDescent="0.25">
      <c r="A161" t="s">
        <v>1326</v>
      </c>
      <c r="B161" t="s">
        <v>1348</v>
      </c>
      <c r="C161" t="s">
        <v>10</v>
      </c>
      <c r="D161" t="s">
        <v>1210</v>
      </c>
      <c r="E161" t="s">
        <v>1194</v>
      </c>
      <c r="F161" t="s">
        <v>1349</v>
      </c>
      <c r="G161" t="s">
        <v>1212</v>
      </c>
      <c r="H161" t="s">
        <v>1446</v>
      </c>
      <c r="I161" t="s">
        <v>1446</v>
      </c>
      <c r="J161" t="s">
        <v>1350</v>
      </c>
      <c r="K161" t="s">
        <v>1351</v>
      </c>
      <c r="L161" s="33">
        <v>533.99</v>
      </c>
    </row>
    <row r="162" spans="1:12" x14ac:dyDescent="0.25">
      <c r="A162" t="s">
        <v>1326</v>
      </c>
      <c r="B162" t="s">
        <v>1352</v>
      </c>
      <c r="C162" t="s">
        <v>10</v>
      </c>
      <c r="D162" t="s">
        <v>1210</v>
      </c>
      <c r="E162" t="s">
        <v>1194</v>
      </c>
      <c r="F162" t="s">
        <v>1353</v>
      </c>
      <c r="G162" t="s">
        <v>1212</v>
      </c>
      <c r="H162" t="s">
        <v>1446</v>
      </c>
      <c r="I162" t="s">
        <v>1446</v>
      </c>
      <c r="J162" t="s">
        <v>1354</v>
      </c>
      <c r="K162" t="s">
        <v>1351</v>
      </c>
      <c r="L162" s="33">
        <v>1287</v>
      </c>
    </row>
    <row r="163" spans="1:12" x14ac:dyDescent="0.25">
      <c r="A163" t="s">
        <v>1326</v>
      </c>
      <c r="B163" t="s">
        <v>1355</v>
      </c>
      <c r="C163" t="s">
        <v>10</v>
      </c>
      <c r="D163" t="s">
        <v>1210</v>
      </c>
      <c r="E163" t="s">
        <v>1194</v>
      </c>
      <c r="F163" t="s">
        <v>1356</v>
      </c>
      <c r="G163" t="s">
        <v>1212</v>
      </c>
      <c r="H163" t="s">
        <v>1446</v>
      </c>
      <c r="I163" t="s">
        <v>1446</v>
      </c>
      <c r="J163" t="s">
        <v>1357</v>
      </c>
      <c r="K163" t="s">
        <v>1351</v>
      </c>
      <c r="L163" s="33">
        <v>595.20000000000005</v>
      </c>
    </row>
    <row r="164" spans="1:12" x14ac:dyDescent="0.25">
      <c r="A164" t="s">
        <v>1326</v>
      </c>
      <c r="B164" t="s">
        <v>1358</v>
      </c>
      <c r="C164" t="s">
        <v>10</v>
      </c>
      <c r="D164" t="s">
        <v>1210</v>
      </c>
      <c r="E164" t="s">
        <v>1194</v>
      </c>
      <c r="F164" t="s">
        <v>1359</v>
      </c>
      <c r="G164" t="s">
        <v>1212</v>
      </c>
      <c r="H164" t="s">
        <v>1446</v>
      </c>
      <c r="I164" t="s">
        <v>1446</v>
      </c>
      <c r="J164" t="s">
        <v>1360</v>
      </c>
      <c r="K164" t="s">
        <v>1361</v>
      </c>
      <c r="L164" s="33">
        <v>3641.96</v>
      </c>
    </row>
    <row r="165" spans="1:12" x14ac:dyDescent="0.25">
      <c r="A165" t="s">
        <v>1326</v>
      </c>
      <c r="B165" t="s">
        <v>1362</v>
      </c>
      <c r="C165" t="s">
        <v>10</v>
      </c>
      <c r="D165" t="s">
        <v>1210</v>
      </c>
      <c r="E165" t="s">
        <v>1194</v>
      </c>
      <c r="F165" t="s">
        <v>1363</v>
      </c>
      <c r="G165" t="s">
        <v>1212</v>
      </c>
      <c r="H165" t="s">
        <v>1446</v>
      </c>
      <c r="I165" t="s">
        <v>1446</v>
      </c>
      <c r="J165" t="s">
        <v>1364</v>
      </c>
      <c r="K165" t="s">
        <v>1364</v>
      </c>
      <c r="L165" s="33">
        <v>-3575.9</v>
      </c>
    </row>
    <row r="166" spans="1:12" x14ac:dyDescent="0.25">
      <c r="A166" t="s">
        <v>1326</v>
      </c>
      <c r="B166" t="s">
        <v>1369</v>
      </c>
      <c r="C166" t="s">
        <v>10</v>
      </c>
      <c r="D166" t="s">
        <v>1210</v>
      </c>
      <c r="E166" t="s">
        <v>1194</v>
      </c>
      <c r="F166" t="s">
        <v>1370</v>
      </c>
      <c r="G166" t="s">
        <v>1212</v>
      </c>
      <c r="H166" t="s">
        <v>1446</v>
      </c>
      <c r="I166" t="s">
        <v>1446</v>
      </c>
      <c r="J166" t="s">
        <v>1371</v>
      </c>
      <c r="K166" t="s">
        <v>1368</v>
      </c>
      <c r="L166" s="33">
        <v>1793.74</v>
      </c>
    </row>
    <row r="167" spans="1:12" x14ac:dyDescent="0.25">
      <c r="A167" t="s">
        <v>1326</v>
      </c>
      <c r="B167" t="s">
        <v>1456</v>
      </c>
      <c r="C167" t="s">
        <v>10</v>
      </c>
      <c r="D167" t="s">
        <v>1210</v>
      </c>
      <c r="E167" t="s">
        <v>1194</v>
      </c>
      <c r="F167" t="s">
        <v>1457</v>
      </c>
      <c r="G167" t="s">
        <v>1212</v>
      </c>
      <c r="H167" t="s">
        <v>1446</v>
      </c>
      <c r="I167" t="s">
        <v>1446</v>
      </c>
      <c r="J167" t="s">
        <v>1458</v>
      </c>
      <c r="K167" t="s">
        <v>1364</v>
      </c>
      <c r="L167" s="33">
        <v>733.35</v>
      </c>
    </row>
    <row r="168" spans="1:12" x14ac:dyDescent="0.25">
      <c r="A168" t="s">
        <v>1326</v>
      </c>
      <c r="B168" t="s">
        <v>1372</v>
      </c>
      <c r="C168" t="s">
        <v>10</v>
      </c>
      <c r="D168" t="s">
        <v>1210</v>
      </c>
      <c r="E168" t="s">
        <v>1194</v>
      </c>
      <c r="F168" t="s">
        <v>1373</v>
      </c>
      <c r="G168" t="s">
        <v>1212</v>
      </c>
      <c r="H168" t="s">
        <v>1446</v>
      </c>
      <c r="I168" t="s">
        <v>1446</v>
      </c>
      <c r="J168" t="s">
        <v>1374</v>
      </c>
      <c r="K168" t="s">
        <v>1374</v>
      </c>
      <c r="L168" s="33">
        <v>30129.49</v>
      </c>
    </row>
    <row r="169" spans="1:12" x14ac:dyDescent="0.25">
      <c r="A169" t="s">
        <v>1326</v>
      </c>
      <c r="B169" t="s">
        <v>1375</v>
      </c>
      <c r="C169" t="s">
        <v>10</v>
      </c>
      <c r="D169" t="s">
        <v>1210</v>
      </c>
      <c r="E169" t="s">
        <v>1194</v>
      </c>
      <c r="F169" t="s">
        <v>1376</v>
      </c>
      <c r="G169" t="s">
        <v>1212</v>
      </c>
      <c r="H169" t="s">
        <v>1446</v>
      </c>
      <c r="I169" t="s">
        <v>1446</v>
      </c>
      <c r="J169" t="s">
        <v>1377</v>
      </c>
      <c r="K169" t="s">
        <v>1374</v>
      </c>
      <c r="L169" s="33">
        <v>12659.25</v>
      </c>
    </row>
    <row r="170" spans="1:12" x14ac:dyDescent="0.25">
      <c r="A170" t="s">
        <v>1326</v>
      </c>
      <c r="B170" t="s">
        <v>1378</v>
      </c>
      <c r="C170" t="s">
        <v>10</v>
      </c>
      <c r="D170" t="s">
        <v>1210</v>
      </c>
      <c r="E170" t="s">
        <v>1194</v>
      </c>
      <c r="F170" t="s">
        <v>1379</v>
      </c>
      <c r="G170" t="s">
        <v>1212</v>
      </c>
      <c r="H170" t="s">
        <v>1446</v>
      </c>
      <c r="I170" t="s">
        <v>1446</v>
      </c>
      <c r="J170" t="s">
        <v>1380</v>
      </c>
      <c r="K170" t="s">
        <v>1380</v>
      </c>
      <c r="L170" s="33">
        <v>7056.45</v>
      </c>
    </row>
    <row r="171" spans="1:12" x14ac:dyDescent="0.25">
      <c r="A171" t="s">
        <v>1326</v>
      </c>
      <c r="B171" t="s">
        <v>1381</v>
      </c>
      <c r="C171" t="s">
        <v>10</v>
      </c>
      <c r="D171" t="s">
        <v>1210</v>
      </c>
      <c r="E171" t="s">
        <v>1194</v>
      </c>
      <c r="F171" t="s">
        <v>1382</v>
      </c>
      <c r="G171" t="s">
        <v>1212</v>
      </c>
      <c r="H171" t="s">
        <v>1446</v>
      </c>
      <c r="I171" t="s">
        <v>1446</v>
      </c>
      <c r="J171" t="s">
        <v>1383</v>
      </c>
      <c r="K171" t="s">
        <v>1334</v>
      </c>
      <c r="L171" s="33">
        <v>11184.98</v>
      </c>
    </row>
    <row r="172" spans="1:12" x14ac:dyDescent="0.25">
      <c r="A172" t="s">
        <v>1326</v>
      </c>
      <c r="B172" t="s">
        <v>1384</v>
      </c>
      <c r="C172" t="s">
        <v>10</v>
      </c>
      <c r="D172" t="s">
        <v>1210</v>
      </c>
      <c r="E172" t="s">
        <v>1194</v>
      </c>
      <c r="F172" t="s">
        <v>1385</v>
      </c>
      <c r="G172" t="s">
        <v>1212</v>
      </c>
      <c r="H172" t="s">
        <v>1446</v>
      </c>
      <c r="I172" t="s">
        <v>1446</v>
      </c>
      <c r="J172" t="s">
        <v>1386</v>
      </c>
      <c r="K172" t="s">
        <v>1386</v>
      </c>
      <c r="L172" s="33">
        <v>476.14</v>
      </c>
    </row>
    <row r="173" spans="1:12" x14ac:dyDescent="0.25">
      <c r="A173" t="s">
        <v>1326</v>
      </c>
      <c r="B173" t="s">
        <v>1459</v>
      </c>
      <c r="C173" t="s">
        <v>10</v>
      </c>
      <c r="D173" t="s">
        <v>1210</v>
      </c>
      <c r="E173" t="s">
        <v>1194</v>
      </c>
      <c r="F173" t="s">
        <v>1460</v>
      </c>
      <c r="G173" t="s">
        <v>1212</v>
      </c>
      <c r="H173" t="s">
        <v>1446</v>
      </c>
      <c r="I173" t="s">
        <v>1446</v>
      </c>
      <c r="J173" t="s">
        <v>1461</v>
      </c>
      <c r="K173" t="s">
        <v>1461</v>
      </c>
      <c r="L173" s="33">
        <v>94</v>
      </c>
    </row>
    <row r="174" spans="1:12" x14ac:dyDescent="0.25">
      <c r="A174" t="s">
        <v>1326</v>
      </c>
      <c r="B174" t="s">
        <v>1387</v>
      </c>
      <c r="C174" t="s">
        <v>10</v>
      </c>
      <c r="D174" t="s">
        <v>1210</v>
      </c>
      <c r="E174" t="s">
        <v>1194</v>
      </c>
      <c r="F174" t="s">
        <v>1388</v>
      </c>
      <c r="G174" t="s">
        <v>1212</v>
      </c>
      <c r="H174" t="s">
        <v>1446</v>
      </c>
      <c r="I174" t="s">
        <v>1446</v>
      </c>
      <c r="J174" t="s">
        <v>1389</v>
      </c>
      <c r="K174" t="s">
        <v>1390</v>
      </c>
      <c r="L174" s="33">
        <v>5433</v>
      </c>
    </row>
    <row r="175" spans="1:12" x14ac:dyDescent="0.25">
      <c r="A175" t="s">
        <v>1326</v>
      </c>
      <c r="B175" t="s">
        <v>1391</v>
      </c>
      <c r="C175" t="s">
        <v>10</v>
      </c>
      <c r="D175" t="s">
        <v>1210</v>
      </c>
      <c r="E175" t="s">
        <v>1194</v>
      </c>
      <c r="F175" t="s">
        <v>1392</v>
      </c>
      <c r="G175" t="s">
        <v>1212</v>
      </c>
      <c r="H175" t="s">
        <v>1446</v>
      </c>
      <c r="I175" t="s">
        <v>1446</v>
      </c>
      <c r="J175" t="s">
        <v>1393</v>
      </c>
      <c r="K175" t="s">
        <v>1390</v>
      </c>
      <c r="L175" s="33">
        <v>3027.48</v>
      </c>
    </row>
    <row r="176" spans="1:12" x14ac:dyDescent="0.25">
      <c r="A176" t="s">
        <v>1326</v>
      </c>
      <c r="B176" t="s">
        <v>1394</v>
      </c>
      <c r="C176" t="s">
        <v>10</v>
      </c>
      <c r="D176" t="s">
        <v>1210</v>
      </c>
      <c r="E176" t="s">
        <v>1194</v>
      </c>
      <c r="F176" t="s">
        <v>1395</v>
      </c>
      <c r="G176" t="s">
        <v>1212</v>
      </c>
      <c r="H176" t="s">
        <v>1446</v>
      </c>
      <c r="I176" t="s">
        <v>1446</v>
      </c>
      <c r="J176" t="s">
        <v>1396</v>
      </c>
      <c r="K176" t="s">
        <v>1390</v>
      </c>
      <c r="L176" s="33">
        <v>3246</v>
      </c>
    </row>
    <row r="177" spans="1:12" x14ac:dyDescent="0.25">
      <c r="A177" t="s">
        <v>1326</v>
      </c>
      <c r="B177" t="s">
        <v>1397</v>
      </c>
      <c r="C177" t="s">
        <v>10</v>
      </c>
      <c r="D177" t="s">
        <v>1210</v>
      </c>
      <c r="E177" t="s">
        <v>1194</v>
      </c>
      <c r="F177" t="s">
        <v>1398</v>
      </c>
      <c r="G177" t="s">
        <v>1212</v>
      </c>
      <c r="H177" t="s">
        <v>1446</v>
      </c>
      <c r="I177" t="s">
        <v>1446</v>
      </c>
      <c r="J177" t="s">
        <v>1399</v>
      </c>
      <c r="K177" t="s">
        <v>1390</v>
      </c>
      <c r="L177" s="33">
        <v>454.51</v>
      </c>
    </row>
    <row r="178" spans="1:12" x14ac:dyDescent="0.25">
      <c r="A178" t="s">
        <v>1326</v>
      </c>
      <c r="B178" t="s">
        <v>1400</v>
      </c>
      <c r="C178" t="s">
        <v>10</v>
      </c>
      <c r="D178" t="s">
        <v>1210</v>
      </c>
      <c r="E178" t="s">
        <v>1194</v>
      </c>
      <c r="F178" t="s">
        <v>1401</v>
      </c>
      <c r="G178" t="s">
        <v>1212</v>
      </c>
      <c r="H178" t="s">
        <v>1446</v>
      </c>
      <c r="I178" t="s">
        <v>1446</v>
      </c>
      <c r="J178" t="s">
        <v>1402</v>
      </c>
      <c r="K178" t="s">
        <v>1390</v>
      </c>
      <c r="L178" s="33">
        <v>1235.1600000000001</v>
      </c>
    </row>
    <row r="179" spans="1:12" x14ac:dyDescent="0.25">
      <c r="A179" t="s">
        <v>1326</v>
      </c>
      <c r="B179" t="s">
        <v>1403</v>
      </c>
      <c r="C179" t="s">
        <v>10</v>
      </c>
      <c r="D179" t="s">
        <v>1210</v>
      </c>
      <c r="E179" t="s">
        <v>1194</v>
      </c>
      <c r="F179" t="s">
        <v>1404</v>
      </c>
      <c r="G179" t="s">
        <v>1212</v>
      </c>
      <c r="H179" t="s">
        <v>1446</v>
      </c>
      <c r="I179" t="s">
        <v>1446</v>
      </c>
      <c r="J179" t="s">
        <v>1405</v>
      </c>
      <c r="K179" t="s">
        <v>1390</v>
      </c>
      <c r="L179" s="33">
        <v>1728.02</v>
      </c>
    </row>
    <row r="180" spans="1:12" x14ac:dyDescent="0.25">
      <c r="A180" t="s">
        <v>1326</v>
      </c>
      <c r="B180" t="s">
        <v>1406</v>
      </c>
      <c r="C180" t="s">
        <v>10</v>
      </c>
      <c r="D180" t="s">
        <v>1210</v>
      </c>
      <c r="E180" t="s">
        <v>1194</v>
      </c>
      <c r="F180" t="s">
        <v>1407</v>
      </c>
      <c r="G180" t="s">
        <v>1212</v>
      </c>
      <c r="H180" t="s">
        <v>1446</v>
      </c>
      <c r="I180" t="s">
        <v>1446</v>
      </c>
      <c r="J180" t="s">
        <v>1408</v>
      </c>
      <c r="K180" t="s">
        <v>1390</v>
      </c>
      <c r="L180" s="33">
        <v>1550.45</v>
      </c>
    </row>
    <row r="181" spans="1:12" x14ac:dyDescent="0.25">
      <c r="A181" t="s">
        <v>1326</v>
      </c>
      <c r="B181" t="s">
        <v>1462</v>
      </c>
      <c r="C181" t="s">
        <v>10</v>
      </c>
      <c r="D181" t="s">
        <v>1210</v>
      </c>
      <c r="E181" t="s">
        <v>1194</v>
      </c>
      <c r="F181" t="s">
        <v>1463</v>
      </c>
      <c r="G181" t="s">
        <v>1212</v>
      </c>
      <c r="H181" t="s">
        <v>1446</v>
      </c>
      <c r="I181" t="s">
        <v>1446</v>
      </c>
      <c r="J181" t="s">
        <v>1464</v>
      </c>
      <c r="K181" t="s">
        <v>1390</v>
      </c>
      <c r="L181" s="33">
        <v>24</v>
      </c>
    </row>
    <row r="182" spans="1:12" x14ac:dyDescent="0.25">
      <c r="A182" t="s">
        <v>1326</v>
      </c>
      <c r="B182" t="s">
        <v>1409</v>
      </c>
      <c r="C182" t="s">
        <v>10</v>
      </c>
      <c r="D182" t="s">
        <v>1210</v>
      </c>
      <c r="E182" t="s">
        <v>1194</v>
      </c>
      <c r="F182" t="s">
        <v>1410</v>
      </c>
      <c r="G182" t="s">
        <v>1212</v>
      </c>
      <c r="H182" t="s">
        <v>1446</v>
      </c>
      <c r="I182" t="s">
        <v>1446</v>
      </c>
      <c r="J182" t="s">
        <v>1411</v>
      </c>
      <c r="K182" t="s">
        <v>1390</v>
      </c>
      <c r="L182" s="33">
        <v>-44</v>
      </c>
    </row>
    <row r="183" spans="1:12" x14ac:dyDescent="0.25">
      <c r="A183" t="s">
        <v>1326</v>
      </c>
      <c r="B183" t="s">
        <v>1426</v>
      </c>
      <c r="C183" t="s">
        <v>10</v>
      </c>
      <c r="D183" t="s">
        <v>1210</v>
      </c>
      <c r="E183" t="s">
        <v>1194</v>
      </c>
      <c r="F183" t="s">
        <v>1427</v>
      </c>
      <c r="G183" t="s">
        <v>1212</v>
      </c>
      <c r="H183" t="s">
        <v>1446</v>
      </c>
      <c r="I183" t="s">
        <v>1446</v>
      </c>
      <c r="J183" t="s">
        <v>1428</v>
      </c>
      <c r="K183" t="s">
        <v>1415</v>
      </c>
      <c r="L183" s="33">
        <v>25.01</v>
      </c>
    </row>
    <row r="184" spans="1:12" x14ac:dyDescent="0.25">
      <c r="A184" t="s">
        <v>1326</v>
      </c>
      <c r="B184" t="s">
        <v>1412</v>
      </c>
      <c r="C184" t="s">
        <v>10</v>
      </c>
      <c r="D184" t="s">
        <v>1210</v>
      </c>
      <c r="E184" t="s">
        <v>1194</v>
      </c>
      <c r="F184" t="s">
        <v>1413</v>
      </c>
      <c r="G184" t="s">
        <v>1212</v>
      </c>
      <c r="H184" t="s">
        <v>1446</v>
      </c>
      <c r="I184" t="s">
        <v>1446</v>
      </c>
      <c r="J184" t="s">
        <v>1414</v>
      </c>
      <c r="K184" t="s">
        <v>1415</v>
      </c>
      <c r="L184" s="33">
        <v>9111.68</v>
      </c>
    </row>
    <row r="185" spans="1:12" x14ac:dyDescent="0.25">
      <c r="A185" t="s">
        <v>1326</v>
      </c>
      <c r="B185" t="s">
        <v>1416</v>
      </c>
      <c r="C185" t="s">
        <v>10</v>
      </c>
      <c r="D185" t="s">
        <v>1210</v>
      </c>
      <c r="E185" t="s">
        <v>1194</v>
      </c>
      <c r="F185" t="s">
        <v>1417</v>
      </c>
      <c r="G185" t="s">
        <v>1212</v>
      </c>
      <c r="H185" t="s">
        <v>1446</v>
      </c>
      <c r="I185" t="s">
        <v>1446</v>
      </c>
      <c r="J185" t="s">
        <v>1418</v>
      </c>
      <c r="K185" t="s">
        <v>1415</v>
      </c>
      <c r="L185" s="33">
        <v>18231.68</v>
      </c>
    </row>
    <row r="186" spans="1:12" x14ac:dyDescent="0.25">
      <c r="A186" t="s">
        <v>1326</v>
      </c>
      <c r="B186" t="s">
        <v>1561</v>
      </c>
      <c r="C186" t="s">
        <v>10</v>
      </c>
      <c r="D186" t="s">
        <v>1210</v>
      </c>
      <c r="E186" t="s">
        <v>1194</v>
      </c>
      <c r="F186" t="s">
        <v>1562</v>
      </c>
      <c r="G186" t="s">
        <v>1212</v>
      </c>
      <c r="H186" t="s">
        <v>1446</v>
      </c>
      <c r="I186" t="s">
        <v>1446</v>
      </c>
      <c r="J186" t="s">
        <v>1563</v>
      </c>
      <c r="K186" t="s">
        <v>1421</v>
      </c>
      <c r="L186" s="33">
        <v>50.9</v>
      </c>
    </row>
    <row r="187" spans="1:12" x14ac:dyDescent="0.25">
      <c r="A187" t="s">
        <v>1326</v>
      </c>
      <c r="B187" t="s">
        <v>1419</v>
      </c>
      <c r="C187" t="s">
        <v>10</v>
      </c>
      <c r="D187" t="s">
        <v>1210</v>
      </c>
      <c r="E187" t="s">
        <v>1194</v>
      </c>
      <c r="F187" t="s">
        <v>1420</v>
      </c>
      <c r="G187" t="s">
        <v>1212</v>
      </c>
      <c r="H187" t="s">
        <v>1446</v>
      </c>
      <c r="I187" t="s">
        <v>1446</v>
      </c>
      <c r="J187" t="s">
        <v>1421</v>
      </c>
      <c r="K187" t="s">
        <v>1421</v>
      </c>
      <c r="L187" s="33">
        <v>120.53</v>
      </c>
    </row>
    <row r="188" spans="1:12" x14ac:dyDescent="0.25">
      <c r="A188" t="s">
        <v>1326</v>
      </c>
      <c r="B188" t="s">
        <v>1429</v>
      </c>
      <c r="C188" t="s">
        <v>10</v>
      </c>
      <c r="D188" t="s">
        <v>1210</v>
      </c>
      <c r="E188" t="s">
        <v>1194</v>
      </c>
      <c r="F188" t="s">
        <v>1430</v>
      </c>
      <c r="G188" t="s">
        <v>1212</v>
      </c>
      <c r="H188" t="s">
        <v>1446</v>
      </c>
      <c r="I188" t="s">
        <v>1446</v>
      </c>
      <c r="J188" t="s">
        <v>1431</v>
      </c>
      <c r="K188" t="s">
        <v>1432</v>
      </c>
      <c r="L188" s="33">
        <v>1442.6</v>
      </c>
    </row>
    <row r="189" spans="1:12" x14ac:dyDescent="0.25">
      <c r="A189" t="s">
        <v>1326</v>
      </c>
      <c r="B189" t="s">
        <v>1422</v>
      </c>
      <c r="C189" t="s">
        <v>10</v>
      </c>
      <c r="D189" t="s">
        <v>1210</v>
      </c>
      <c r="E189" t="s">
        <v>1194</v>
      </c>
      <c r="F189" t="s">
        <v>1423</v>
      </c>
      <c r="G189" t="s">
        <v>1212</v>
      </c>
      <c r="H189" t="s">
        <v>1446</v>
      </c>
      <c r="I189" t="s">
        <v>1446</v>
      </c>
      <c r="J189" t="s">
        <v>1424</v>
      </c>
      <c r="K189" t="s">
        <v>1424</v>
      </c>
      <c r="L189" s="33">
        <v>140.13</v>
      </c>
    </row>
    <row r="190" spans="1:12" x14ac:dyDescent="0.25">
      <c r="A190" t="s">
        <v>1326</v>
      </c>
      <c r="B190" t="s">
        <v>1465</v>
      </c>
      <c r="C190" t="s">
        <v>10</v>
      </c>
      <c r="D190" t="s">
        <v>1210</v>
      </c>
      <c r="E190" t="s">
        <v>1194</v>
      </c>
      <c r="F190" t="s">
        <v>1466</v>
      </c>
      <c r="G190" t="s">
        <v>1212</v>
      </c>
      <c r="H190" t="s">
        <v>1446</v>
      </c>
      <c r="I190" t="s">
        <v>1446</v>
      </c>
      <c r="J190" t="s">
        <v>1467</v>
      </c>
      <c r="K190" t="s">
        <v>1424</v>
      </c>
      <c r="L190" s="33">
        <v>2241.3000000000002</v>
      </c>
    </row>
    <row r="191" spans="1:12" x14ac:dyDescent="0.25">
      <c r="A191" t="s">
        <v>1326</v>
      </c>
      <c r="B191" t="s">
        <v>1468</v>
      </c>
      <c r="C191" t="s">
        <v>10</v>
      </c>
      <c r="D191" t="s">
        <v>1210</v>
      </c>
      <c r="E191" t="s">
        <v>1194</v>
      </c>
      <c r="F191" t="s">
        <v>1469</v>
      </c>
      <c r="G191" t="s">
        <v>1212</v>
      </c>
      <c r="H191" t="s">
        <v>1446</v>
      </c>
      <c r="I191" t="s">
        <v>1446</v>
      </c>
      <c r="J191" t="s">
        <v>1470</v>
      </c>
      <c r="K191" t="s">
        <v>1432</v>
      </c>
      <c r="L191" s="33">
        <v>300</v>
      </c>
    </row>
    <row r="192" spans="1:12" x14ac:dyDescent="0.25">
      <c r="A192" t="s">
        <v>1326</v>
      </c>
      <c r="B192" t="s">
        <v>1471</v>
      </c>
      <c r="C192" t="s">
        <v>10</v>
      </c>
      <c r="D192" t="s">
        <v>1210</v>
      </c>
      <c r="E192" t="s">
        <v>1194</v>
      </c>
      <c r="F192" t="s">
        <v>1472</v>
      </c>
      <c r="G192" t="s">
        <v>1212</v>
      </c>
      <c r="H192" t="s">
        <v>1446</v>
      </c>
      <c r="I192" t="s">
        <v>1446</v>
      </c>
      <c r="J192" t="s">
        <v>1473</v>
      </c>
      <c r="K192" t="s">
        <v>1432</v>
      </c>
      <c r="L192" s="33">
        <v>16385.25</v>
      </c>
    </row>
    <row r="193" spans="1:12" x14ac:dyDescent="0.25">
      <c r="A193" t="s">
        <v>1326</v>
      </c>
      <c r="B193" t="s">
        <v>1439</v>
      </c>
      <c r="C193" t="s">
        <v>10</v>
      </c>
      <c r="D193" t="s">
        <v>1210</v>
      </c>
      <c r="E193" t="s">
        <v>1194</v>
      </c>
      <c r="F193" t="s">
        <v>1440</v>
      </c>
      <c r="G193" t="s">
        <v>1212</v>
      </c>
      <c r="H193" t="s">
        <v>1446</v>
      </c>
      <c r="I193" t="s">
        <v>1446</v>
      </c>
      <c r="J193" t="s">
        <v>1441</v>
      </c>
      <c r="K193" t="s">
        <v>1441</v>
      </c>
      <c r="L193" s="33">
        <v>3755.54</v>
      </c>
    </row>
    <row r="194" spans="1:12" x14ac:dyDescent="0.25">
      <c r="A194" t="s">
        <v>1326</v>
      </c>
      <c r="B194" t="s">
        <v>1442</v>
      </c>
      <c r="C194" t="s">
        <v>10</v>
      </c>
      <c r="D194" t="s">
        <v>1210</v>
      </c>
      <c r="E194" t="s">
        <v>1194</v>
      </c>
      <c r="F194" t="s">
        <v>1443</v>
      </c>
      <c r="G194" t="s">
        <v>1212</v>
      </c>
      <c r="H194" t="s">
        <v>1446</v>
      </c>
      <c r="I194" t="s">
        <v>1446</v>
      </c>
      <c r="J194" t="s">
        <v>1444</v>
      </c>
      <c r="K194" t="s">
        <v>1444</v>
      </c>
      <c r="L194" s="33">
        <v>2532</v>
      </c>
    </row>
    <row r="195" spans="1:12" x14ac:dyDescent="0.25">
      <c r="A195" t="s">
        <v>1326</v>
      </c>
      <c r="B195" t="s">
        <v>1327</v>
      </c>
      <c r="C195" t="s">
        <v>10</v>
      </c>
      <c r="D195" t="s">
        <v>1210</v>
      </c>
      <c r="E195" t="s">
        <v>1194</v>
      </c>
      <c r="F195" t="s">
        <v>1328</v>
      </c>
      <c r="G195" t="s">
        <v>1212</v>
      </c>
      <c r="H195" t="s">
        <v>1474</v>
      </c>
      <c r="I195" t="s">
        <v>1474</v>
      </c>
      <c r="J195" t="s">
        <v>1330</v>
      </c>
      <c r="K195" t="s">
        <v>1330</v>
      </c>
      <c r="L195" s="33">
        <v>73850.7</v>
      </c>
    </row>
    <row r="196" spans="1:12" x14ac:dyDescent="0.25">
      <c r="A196" t="s">
        <v>1326</v>
      </c>
      <c r="B196" t="s">
        <v>1447</v>
      </c>
      <c r="C196" t="s">
        <v>10</v>
      </c>
      <c r="D196" t="s">
        <v>1210</v>
      </c>
      <c r="E196" t="s">
        <v>1194</v>
      </c>
      <c r="F196" t="s">
        <v>1448</v>
      </c>
      <c r="G196" t="s">
        <v>1212</v>
      </c>
      <c r="H196" t="s">
        <v>1474</v>
      </c>
      <c r="I196" t="s">
        <v>1474</v>
      </c>
      <c r="J196" t="s">
        <v>1449</v>
      </c>
      <c r="K196" t="s">
        <v>1334</v>
      </c>
      <c r="L196" s="33">
        <v>1618.86</v>
      </c>
    </row>
    <row r="197" spans="1:12" x14ac:dyDescent="0.25">
      <c r="A197" t="s">
        <v>1326</v>
      </c>
      <c r="B197" t="s">
        <v>1450</v>
      </c>
      <c r="C197" t="s">
        <v>10</v>
      </c>
      <c r="D197" t="s">
        <v>1210</v>
      </c>
      <c r="E197" t="s">
        <v>1194</v>
      </c>
      <c r="F197" t="s">
        <v>1451</v>
      </c>
      <c r="G197" t="s">
        <v>1212</v>
      </c>
      <c r="H197" t="s">
        <v>1474</v>
      </c>
      <c r="I197" t="s">
        <v>1474</v>
      </c>
      <c r="J197" t="s">
        <v>1452</v>
      </c>
      <c r="K197" t="s">
        <v>1330</v>
      </c>
      <c r="L197" s="33">
        <v>-1618.86</v>
      </c>
    </row>
    <row r="198" spans="1:12" x14ac:dyDescent="0.25">
      <c r="A198" t="s">
        <v>1326</v>
      </c>
      <c r="B198" t="s">
        <v>1331</v>
      </c>
      <c r="C198" t="s">
        <v>10</v>
      </c>
      <c r="D198" t="s">
        <v>1210</v>
      </c>
      <c r="E198" t="s">
        <v>1194</v>
      </c>
      <c r="F198" t="s">
        <v>1332</v>
      </c>
      <c r="G198" t="s">
        <v>1212</v>
      </c>
      <c r="H198" t="s">
        <v>1474</v>
      </c>
      <c r="I198" t="s">
        <v>1474</v>
      </c>
      <c r="J198" t="s">
        <v>1333</v>
      </c>
      <c r="K198" t="s">
        <v>1334</v>
      </c>
      <c r="L198" s="33">
        <v>5495.1</v>
      </c>
    </row>
    <row r="199" spans="1:12" x14ac:dyDescent="0.25">
      <c r="A199" t="s">
        <v>1326</v>
      </c>
      <c r="B199" t="s">
        <v>1335</v>
      </c>
      <c r="C199" t="s">
        <v>10</v>
      </c>
      <c r="D199" t="s">
        <v>1210</v>
      </c>
      <c r="E199" t="s">
        <v>1194</v>
      </c>
      <c r="F199" t="s">
        <v>1336</v>
      </c>
      <c r="G199" t="s">
        <v>1212</v>
      </c>
      <c r="H199" t="s">
        <v>1474</v>
      </c>
      <c r="I199" t="s">
        <v>1474</v>
      </c>
      <c r="J199" t="s">
        <v>1337</v>
      </c>
      <c r="K199" t="s">
        <v>1334</v>
      </c>
      <c r="L199" s="33">
        <v>-3319.78</v>
      </c>
    </row>
    <row r="200" spans="1:12" x14ac:dyDescent="0.25">
      <c r="A200" t="s">
        <v>1326</v>
      </c>
      <c r="B200" t="s">
        <v>1338</v>
      </c>
      <c r="C200" t="s">
        <v>10</v>
      </c>
      <c r="D200" t="s">
        <v>1210</v>
      </c>
      <c r="E200" t="s">
        <v>1194</v>
      </c>
      <c r="F200" t="s">
        <v>1339</v>
      </c>
      <c r="G200" t="s">
        <v>1212</v>
      </c>
      <c r="H200" t="s">
        <v>1474</v>
      </c>
      <c r="I200" t="s">
        <v>1474</v>
      </c>
      <c r="J200" t="s">
        <v>1340</v>
      </c>
      <c r="K200" t="s">
        <v>1334</v>
      </c>
      <c r="L200" s="33">
        <v>288.5</v>
      </c>
    </row>
    <row r="201" spans="1:12" x14ac:dyDescent="0.25">
      <c r="A201" t="s">
        <v>1326</v>
      </c>
      <c r="B201" t="s">
        <v>1475</v>
      </c>
      <c r="C201" t="s">
        <v>10</v>
      </c>
      <c r="D201" t="s">
        <v>1210</v>
      </c>
      <c r="E201" t="s">
        <v>1194</v>
      </c>
      <c r="F201" t="s">
        <v>1476</v>
      </c>
      <c r="G201" t="s">
        <v>1212</v>
      </c>
      <c r="H201" t="s">
        <v>1474</v>
      </c>
      <c r="I201" t="s">
        <v>1474</v>
      </c>
      <c r="J201" t="s">
        <v>1477</v>
      </c>
      <c r="K201" t="s">
        <v>1334</v>
      </c>
      <c r="L201" s="33">
        <v>1500</v>
      </c>
    </row>
    <row r="202" spans="1:12" x14ac:dyDescent="0.25">
      <c r="A202" t="s">
        <v>1326</v>
      </c>
      <c r="B202" t="s">
        <v>1341</v>
      </c>
      <c r="C202" t="s">
        <v>10</v>
      </c>
      <c r="D202" t="s">
        <v>1210</v>
      </c>
      <c r="E202" t="s">
        <v>1194</v>
      </c>
      <c r="F202" t="s">
        <v>1342</v>
      </c>
      <c r="G202" t="s">
        <v>1212</v>
      </c>
      <c r="H202" t="s">
        <v>1474</v>
      </c>
      <c r="I202" t="s">
        <v>1474</v>
      </c>
      <c r="J202" t="s">
        <v>1343</v>
      </c>
      <c r="K202" t="s">
        <v>1334</v>
      </c>
      <c r="L202" s="33">
        <v>360</v>
      </c>
    </row>
    <row r="203" spans="1:12" x14ac:dyDescent="0.25">
      <c r="A203" t="s">
        <v>1326</v>
      </c>
      <c r="B203" t="s">
        <v>1344</v>
      </c>
      <c r="C203" t="s">
        <v>10</v>
      </c>
      <c r="D203" t="s">
        <v>1210</v>
      </c>
      <c r="E203" t="s">
        <v>1194</v>
      </c>
      <c r="F203" t="s">
        <v>1345</v>
      </c>
      <c r="G203" t="s">
        <v>1212</v>
      </c>
      <c r="H203" t="s">
        <v>1474</v>
      </c>
      <c r="I203" t="s">
        <v>1474</v>
      </c>
      <c r="J203" t="s">
        <v>1346</v>
      </c>
      <c r="K203" t="s">
        <v>1347</v>
      </c>
      <c r="L203" s="33">
        <v>480</v>
      </c>
    </row>
    <row r="204" spans="1:12" x14ac:dyDescent="0.25">
      <c r="A204" t="s">
        <v>1326</v>
      </c>
      <c r="B204" t="s">
        <v>1348</v>
      </c>
      <c r="C204" t="s">
        <v>10</v>
      </c>
      <c r="D204" t="s">
        <v>1210</v>
      </c>
      <c r="E204" t="s">
        <v>1194</v>
      </c>
      <c r="F204" t="s">
        <v>1349</v>
      </c>
      <c r="G204" t="s">
        <v>1212</v>
      </c>
      <c r="H204" t="s">
        <v>1474</v>
      </c>
      <c r="I204" t="s">
        <v>1474</v>
      </c>
      <c r="J204" t="s">
        <v>1350</v>
      </c>
      <c r="K204" t="s">
        <v>1351</v>
      </c>
      <c r="L204" s="33">
        <v>98.56</v>
      </c>
    </row>
    <row r="205" spans="1:12" x14ac:dyDescent="0.25">
      <c r="A205" t="s">
        <v>1326</v>
      </c>
      <c r="B205" t="s">
        <v>1352</v>
      </c>
      <c r="C205" t="s">
        <v>10</v>
      </c>
      <c r="D205" t="s">
        <v>1210</v>
      </c>
      <c r="E205" t="s">
        <v>1194</v>
      </c>
      <c r="F205" t="s">
        <v>1353</v>
      </c>
      <c r="G205" t="s">
        <v>1212</v>
      </c>
      <c r="H205" t="s">
        <v>1474</v>
      </c>
      <c r="I205" t="s">
        <v>1474</v>
      </c>
      <c r="J205" t="s">
        <v>1354</v>
      </c>
      <c r="K205" t="s">
        <v>1351</v>
      </c>
      <c r="L205" s="33">
        <v>239.64</v>
      </c>
    </row>
    <row r="206" spans="1:12" x14ac:dyDescent="0.25">
      <c r="A206" t="s">
        <v>1326</v>
      </c>
      <c r="B206" t="s">
        <v>1355</v>
      </c>
      <c r="C206" t="s">
        <v>10</v>
      </c>
      <c r="D206" t="s">
        <v>1210</v>
      </c>
      <c r="E206" t="s">
        <v>1194</v>
      </c>
      <c r="F206" t="s">
        <v>1356</v>
      </c>
      <c r="G206" t="s">
        <v>1212</v>
      </c>
      <c r="H206" t="s">
        <v>1474</v>
      </c>
      <c r="I206" t="s">
        <v>1474</v>
      </c>
      <c r="J206" t="s">
        <v>1357</v>
      </c>
      <c r="K206" t="s">
        <v>1351</v>
      </c>
      <c r="L206" s="33">
        <v>297.60000000000002</v>
      </c>
    </row>
    <row r="207" spans="1:12" x14ac:dyDescent="0.25">
      <c r="A207" t="s">
        <v>1326</v>
      </c>
      <c r="B207" t="s">
        <v>1358</v>
      </c>
      <c r="C207" t="s">
        <v>10</v>
      </c>
      <c r="D207" t="s">
        <v>1210</v>
      </c>
      <c r="E207" t="s">
        <v>1194</v>
      </c>
      <c r="F207" t="s">
        <v>1359</v>
      </c>
      <c r="G207" t="s">
        <v>1212</v>
      </c>
      <c r="H207" t="s">
        <v>1474</v>
      </c>
      <c r="I207" t="s">
        <v>1474</v>
      </c>
      <c r="J207" t="s">
        <v>1360</v>
      </c>
      <c r="K207" t="s">
        <v>1361</v>
      </c>
      <c r="L207" s="33">
        <v>1983.97</v>
      </c>
    </row>
    <row r="208" spans="1:12" x14ac:dyDescent="0.25">
      <c r="A208" t="s">
        <v>1326</v>
      </c>
      <c r="B208" t="s">
        <v>1362</v>
      </c>
      <c r="C208" t="s">
        <v>10</v>
      </c>
      <c r="D208" t="s">
        <v>1210</v>
      </c>
      <c r="E208" t="s">
        <v>1194</v>
      </c>
      <c r="F208" t="s">
        <v>1363</v>
      </c>
      <c r="G208" t="s">
        <v>1212</v>
      </c>
      <c r="H208" t="s">
        <v>1474</v>
      </c>
      <c r="I208" t="s">
        <v>1474</v>
      </c>
      <c r="J208" t="s">
        <v>1364</v>
      </c>
      <c r="K208" t="s">
        <v>1364</v>
      </c>
      <c r="L208" s="33">
        <v>-3220.5</v>
      </c>
    </row>
    <row r="209" spans="1:12" x14ac:dyDescent="0.25">
      <c r="A209" t="s">
        <v>1326</v>
      </c>
      <c r="B209" t="s">
        <v>1365</v>
      </c>
      <c r="C209" t="s">
        <v>10</v>
      </c>
      <c r="D209" t="s">
        <v>1210</v>
      </c>
      <c r="E209" t="s">
        <v>1194</v>
      </c>
      <c r="F209" t="s">
        <v>1366</v>
      </c>
      <c r="G209" t="s">
        <v>1212</v>
      </c>
      <c r="H209" t="s">
        <v>1474</v>
      </c>
      <c r="I209" t="s">
        <v>1474</v>
      </c>
      <c r="J209" t="s">
        <v>1367</v>
      </c>
      <c r="K209" t="s">
        <v>1368</v>
      </c>
      <c r="L209" s="33">
        <v>11722</v>
      </c>
    </row>
    <row r="210" spans="1:12" x14ac:dyDescent="0.25">
      <c r="A210" t="s">
        <v>1326</v>
      </c>
      <c r="B210" t="s">
        <v>1369</v>
      </c>
      <c r="C210" t="s">
        <v>10</v>
      </c>
      <c r="D210" t="s">
        <v>1210</v>
      </c>
      <c r="E210" t="s">
        <v>1194</v>
      </c>
      <c r="F210" t="s">
        <v>1370</v>
      </c>
      <c r="G210" t="s">
        <v>1212</v>
      </c>
      <c r="H210" t="s">
        <v>1474</v>
      </c>
      <c r="I210" t="s">
        <v>1474</v>
      </c>
      <c r="J210" t="s">
        <v>1371</v>
      </c>
      <c r="K210" t="s">
        <v>1368</v>
      </c>
      <c r="L210" s="33">
        <v>-1867.5</v>
      </c>
    </row>
    <row r="211" spans="1:12" x14ac:dyDescent="0.25">
      <c r="A211" t="s">
        <v>1326</v>
      </c>
      <c r="B211" t="s">
        <v>1372</v>
      </c>
      <c r="C211" t="s">
        <v>10</v>
      </c>
      <c r="D211" t="s">
        <v>1210</v>
      </c>
      <c r="E211" t="s">
        <v>1194</v>
      </c>
      <c r="F211" t="s">
        <v>1373</v>
      </c>
      <c r="G211" t="s">
        <v>1212</v>
      </c>
      <c r="H211" t="s">
        <v>1474</v>
      </c>
      <c r="I211" t="s">
        <v>1474</v>
      </c>
      <c r="J211" t="s">
        <v>1374</v>
      </c>
      <c r="K211" t="s">
        <v>1374</v>
      </c>
      <c r="L211" s="33">
        <v>16269.73</v>
      </c>
    </row>
    <row r="212" spans="1:12" x14ac:dyDescent="0.25">
      <c r="A212" t="s">
        <v>1326</v>
      </c>
      <c r="B212" t="s">
        <v>1375</v>
      </c>
      <c r="C212" t="s">
        <v>10</v>
      </c>
      <c r="D212" t="s">
        <v>1210</v>
      </c>
      <c r="E212" t="s">
        <v>1194</v>
      </c>
      <c r="F212" t="s">
        <v>1376</v>
      </c>
      <c r="G212" t="s">
        <v>1212</v>
      </c>
      <c r="H212" t="s">
        <v>1474</v>
      </c>
      <c r="I212" t="s">
        <v>1474</v>
      </c>
      <c r="J212" t="s">
        <v>1377</v>
      </c>
      <c r="K212" t="s">
        <v>1374</v>
      </c>
      <c r="L212" s="33">
        <v>15750.03</v>
      </c>
    </row>
    <row r="213" spans="1:12" x14ac:dyDescent="0.25">
      <c r="A213" t="s">
        <v>1326</v>
      </c>
      <c r="B213" t="s">
        <v>1378</v>
      </c>
      <c r="C213" t="s">
        <v>10</v>
      </c>
      <c r="D213" t="s">
        <v>1210</v>
      </c>
      <c r="E213" t="s">
        <v>1194</v>
      </c>
      <c r="F213" t="s">
        <v>1379</v>
      </c>
      <c r="G213" t="s">
        <v>1212</v>
      </c>
      <c r="H213" t="s">
        <v>1474</v>
      </c>
      <c r="I213" t="s">
        <v>1474</v>
      </c>
      <c r="J213" t="s">
        <v>1380</v>
      </c>
      <c r="K213" t="s">
        <v>1380</v>
      </c>
      <c r="L213" s="33">
        <v>3864.17</v>
      </c>
    </row>
    <row r="214" spans="1:12" x14ac:dyDescent="0.25">
      <c r="A214" t="s">
        <v>1326</v>
      </c>
      <c r="B214" t="s">
        <v>1381</v>
      </c>
      <c r="C214" t="s">
        <v>10</v>
      </c>
      <c r="D214" t="s">
        <v>1210</v>
      </c>
      <c r="E214" t="s">
        <v>1194</v>
      </c>
      <c r="F214" t="s">
        <v>1382</v>
      </c>
      <c r="G214" t="s">
        <v>1212</v>
      </c>
      <c r="H214" t="s">
        <v>1474</v>
      </c>
      <c r="I214" t="s">
        <v>1474</v>
      </c>
      <c r="J214" t="s">
        <v>1383</v>
      </c>
      <c r="K214" t="s">
        <v>1334</v>
      </c>
      <c r="L214" s="33">
        <v>8453.6200000000008</v>
      </c>
    </row>
    <row r="215" spans="1:12" x14ac:dyDescent="0.25">
      <c r="A215" t="s">
        <v>1326</v>
      </c>
      <c r="B215" t="s">
        <v>1384</v>
      </c>
      <c r="C215" t="s">
        <v>10</v>
      </c>
      <c r="D215" t="s">
        <v>1210</v>
      </c>
      <c r="E215" t="s">
        <v>1194</v>
      </c>
      <c r="F215" t="s">
        <v>1385</v>
      </c>
      <c r="G215" t="s">
        <v>1212</v>
      </c>
      <c r="H215" t="s">
        <v>1474</v>
      </c>
      <c r="I215" t="s">
        <v>1474</v>
      </c>
      <c r="J215" t="s">
        <v>1386</v>
      </c>
      <c r="K215" t="s">
        <v>1386</v>
      </c>
      <c r="L215" s="33">
        <v>230.32</v>
      </c>
    </row>
    <row r="216" spans="1:12" x14ac:dyDescent="0.25">
      <c r="A216" t="s">
        <v>1326</v>
      </c>
      <c r="B216" t="s">
        <v>1387</v>
      </c>
      <c r="C216" t="s">
        <v>10</v>
      </c>
      <c r="D216" t="s">
        <v>1210</v>
      </c>
      <c r="E216" t="s">
        <v>1194</v>
      </c>
      <c r="F216" t="s">
        <v>1388</v>
      </c>
      <c r="G216" t="s">
        <v>1212</v>
      </c>
      <c r="H216" t="s">
        <v>1474</v>
      </c>
      <c r="I216" t="s">
        <v>1474</v>
      </c>
      <c r="J216" t="s">
        <v>1389</v>
      </c>
      <c r="K216" t="s">
        <v>1390</v>
      </c>
      <c r="L216" s="33">
        <v>422.49</v>
      </c>
    </row>
    <row r="217" spans="1:12" x14ac:dyDescent="0.25">
      <c r="A217" t="s">
        <v>1326</v>
      </c>
      <c r="B217" t="s">
        <v>1391</v>
      </c>
      <c r="C217" t="s">
        <v>10</v>
      </c>
      <c r="D217" t="s">
        <v>1210</v>
      </c>
      <c r="E217" t="s">
        <v>1194</v>
      </c>
      <c r="F217" t="s">
        <v>1392</v>
      </c>
      <c r="G217" t="s">
        <v>1212</v>
      </c>
      <c r="H217" t="s">
        <v>1474</v>
      </c>
      <c r="I217" t="s">
        <v>1474</v>
      </c>
      <c r="J217" t="s">
        <v>1393</v>
      </c>
      <c r="K217" t="s">
        <v>1390</v>
      </c>
      <c r="L217" s="33">
        <v>2146.64</v>
      </c>
    </row>
    <row r="218" spans="1:12" x14ac:dyDescent="0.25">
      <c r="A218" t="s">
        <v>1326</v>
      </c>
      <c r="B218" t="s">
        <v>1394</v>
      </c>
      <c r="C218" t="s">
        <v>10</v>
      </c>
      <c r="D218" t="s">
        <v>1210</v>
      </c>
      <c r="E218" t="s">
        <v>1194</v>
      </c>
      <c r="F218" t="s">
        <v>1395</v>
      </c>
      <c r="G218" t="s">
        <v>1212</v>
      </c>
      <c r="H218" t="s">
        <v>1474</v>
      </c>
      <c r="I218" t="s">
        <v>1474</v>
      </c>
      <c r="J218" t="s">
        <v>1396</v>
      </c>
      <c r="K218" t="s">
        <v>1390</v>
      </c>
      <c r="L218" s="33">
        <v>1142</v>
      </c>
    </row>
    <row r="219" spans="1:12" x14ac:dyDescent="0.25">
      <c r="A219" t="s">
        <v>1326</v>
      </c>
      <c r="B219" t="s">
        <v>1397</v>
      </c>
      <c r="C219" t="s">
        <v>10</v>
      </c>
      <c r="D219" t="s">
        <v>1210</v>
      </c>
      <c r="E219" t="s">
        <v>1194</v>
      </c>
      <c r="F219" t="s">
        <v>1398</v>
      </c>
      <c r="G219" t="s">
        <v>1212</v>
      </c>
      <c r="H219" t="s">
        <v>1474</v>
      </c>
      <c r="I219" t="s">
        <v>1474</v>
      </c>
      <c r="J219" t="s">
        <v>1399</v>
      </c>
      <c r="K219" t="s">
        <v>1390</v>
      </c>
      <c r="L219" s="33">
        <v>789.34</v>
      </c>
    </row>
    <row r="220" spans="1:12" x14ac:dyDescent="0.25">
      <c r="A220" t="s">
        <v>1326</v>
      </c>
      <c r="B220" t="s">
        <v>1400</v>
      </c>
      <c r="C220" t="s">
        <v>10</v>
      </c>
      <c r="D220" t="s">
        <v>1210</v>
      </c>
      <c r="E220" t="s">
        <v>1194</v>
      </c>
      <c r="F220" t="s">
        <v>1401</v>
      </c>
      <c r="G220" t="s">
        <v>1212</v>
      </c>
      <c r="H220" t="s">
        <v>1474</v>
      </c>
      <c r="I220" t="s">
        <v>1474</v>
      </c>
      <c r="J220" t="s">
        <v>1402</v>
      </c>
      <c r="K220" t="s">
        <v>1390</v>
      </c>
      <c r="L220" s="33">
        <v>228.08</v>
      </c>
    </row>
    <row r="221" spans="1:12" x14ac:dyDescent="0.25">
      <c r="A221" t="s">
        <v>1326</v>
      </c>
      <c r="B221" t="s">
        <v>1403</v>
      </c>
      <c r="C221" t="s">
        <v>10</v>
      </c>
      <c r="D221" t="s">
        <v>1210</v>
      </c>
      <c r="E221" t="s">
        <v>1194</v>
      </c>
      <c r="F221" t="s">
        <v>1404</v>
      </c>
      <c r="G221" t="s">
        <v>1212</v>
      </c>
      <c r="H221" t="s">
        <v>1474</v>
      </c>
      <c r="I221" t="s">
        <v>1474</v>
      </c>
      <c r="J221" t="s">
        <v>1405</v>
      </c>
      <c r="K221" t="s">
        <v>1390</v>
      </c>
      <c r="L221" s="33">
        <v>507.99</v>
      </c>
    </row>
    <row r="222" spans="1:12" x14ac:dyDescent="0.25">
      <c r="A222" t="s">
        <v>1326</v>
      </c>
      <c r="B222" t="s">
        <v>1406</v>
      </c>
      <c r="C222" t="s">
        <v>10</v>
      </c>
      <c r="D222" t="s">
        <v>1210</v>
      </c>
      <c r="E222" t="s">
        <v>1194</v>
      </c>
      <c r="F222" t="s">
        <v>1407</v>
      </c>
      <c r="G222" t="s">
        <v>1212</v>
      </c>
      <c r="H222" t="s">
        <v>1474</v>
      </c>
      <c r="I222" t="s">
        <v>1474</v>
      </c>
      <c r="J222" t="s">
        <v>1408</v>
      </c>
      <c r="K222" t="s">
        <v>1390</v>
      </c>
      <c r="L222" s="33">
        <v>2458.54</v>
      </c>
    </row>
    <row r="223" spans="1:12" x14ac:dyDescent="0.25">
      <c r="A223" t="s">
        <v>1326</v>
      </c>
      <c r="B223" t="s">
        <v>1462</v>
      </c>
      <c r="C223" t="s">
        <v>10</v>
      </c>
      <c r="D223" t="s">
        <v>1210</v>
      </c>
      <c r="E223" t="s">
        <v>1194</v>
      </c>
      <c r="F223" t="s">
        <v>1463</v>
      </c>
      <c r="G223" t="s">
        <v>1212</v>
      </c>
      <c r="H223" t="s">
        <v>1474</v>
      </c>
      <c r="I223" t="s">
        <v>1474</v>
      </c>
      <c r="J223" t="s">
        <v>1464</v>
      </c>
      <c r="K223" t="s">
        <v>1390</v>
      </c>
      <c r="L223" s="33">
        <v>50</v>
      </c>
    </row>
    <row r="224" spans="1:12" x14ac:dyDescent="0.25">
      <c r="A224" t="s">
        <v>1326</v>
      </c>
      <c r="B224" t="s">
        <v>1409</v>
      </c>
      <c r="C224" t="s">
        <v>10</v>
      </c>
      <c r="D224" t="s">
        <v>1210</v>
      </c>
      <c r="E224" t="s">
        <v>1194</v>
      </c>
      <c r="F224" t="s">
        <v>1410</v>
      </c>
      <c r="G224" t="s">
        <v>1212</v>
      </c>
      <c r="H224" t="s">
        <v>1474</v>
      </c>
      <c r="I224" t="s">
        <v>1474</v>
      </c>
      <c r="J224" t="s">
        <v>1411</v>
      </c>
      <c r="K224" t="s">
        <v>1390</v>
      </c>
      <c r="L224" s="33">
        <v>-460</v>
      </c>
    </row>
    <row r="225" spans="1:12" x14ac:dyDescent="0.25">
      <c r="A225" t="s">
        <v>1326</v>
      </c>
      <c r="B225" t="s">
        <v>1412</v>
      </c>
      <c r="C225" t="s">
        <v>10</v>
      </c>
      <c r="D225" t="s">
        <v>1210</v>
      </c>
      <c r="E225" t="s">
        <v>1194</v>
      </c>
      <c r="F225" t="s">
        <v>1413</v>
      </c>
      <c r="G225" t="s">
        <v>1212</v>
      </c>
      <c r="H225" t="s">
        <v>1474</v>
      </c>
      <c r="I225" t="s">
        <v>1474</v>
      </c>
      <c r="J225" t="s">
        <v>1414</v>
      </c>
      <c r="K225" t="s">
        <v>1415</v>
      </c>
      <c r="L225" s="33">
        <v>2896</v>
      </c>
    </row>
    <row r="226" spans="1:12" x14ac:dyDescent="0.25">
      <c r="A226" t="s">
        <v>1326</v>
      </c>
      <c r="B226" t="s">
        <v>1416</v>
      </c>
      <c r="C226" t="s">
        <v>10</v>
      </c>
      <c r="D226" t="s">
        <v>1210</v>
      </c>
      <c r="E226" t="s">
        <v>1194</v>
      </c>
      <c r="F226" t="s">
        <v>1417</v>
      </c>
      <c r="G226" t="s">
        <v>1212</v>
      </c>
      <c r="H226" t="s">
        <v>1474</v>
      </c>
      <c r="I226" t="s">
        <v>1474</v>
      </c>
      <c r="J226" t="s">
        <v>1418</v>
      </c>
      <c r="K226" t="s">
        <v>1415</v>
      </c>
      <c r="L226" s="33">
        <v>6831</v>
      </c>
    </row>
    <row r="227" spans="1:12" x14ac:dyDescent="0.25">
      <c r="A227" t="s">
        <v>1326</v>
      </c>
      <c r="B227" t="s">
        <v>1419</v>
      </c>
      <c r="C227" t="s">
        <v>10</v>
      </c>
      <c r="D227" t="s">
        <v>1210</v>
      </c>
      <c r="E227" t="s">
        <v>1194</v>
      </c>
      <c r="F227" t="s">
        <v>1420</v>
      </c>
      <c r="G227" t="s">
        <v>1212</v>
      </c>
      <c r="H227" t="s">
        <v>1474</v>
      </c>
      <c r="I227" t="s">
        <v>1474</v>
      </c>
      <c r="J227" t="s">
        <v>1421</v>
      </c>
      <c r="K227" t="s">
        <v>1421</v>
      </c>
      <c r="L227" s="33">
        <v>57.4</v>
      </c>
    </row>
    <row r="228" spans="1:12" x14ac:dyDescent="0.25">
      <c r="A228" t="s">
        <v>1326</v>
      </c>
      <c r="B228" t="s">
        <v>1429</v>
      </c>
      <c r="C228" t="s">
        <v>10</v>
      </c>
      <c r="D228" t="s">
        <v>1210</v>
      </c>
      <c r="E228" t="s">
        <v>1194</v>
      </c>
      <c r="F228" t="s">
        <v>1430</v>
      </c>
      <c r="G228" t="s">
        <v>1212</v>
      </c>
      <c r="H228" t="s">
        <v>1474</v>
      </c>
      <c r="I228" t="s">
        <v>1474</v>
      </c>
      <c r="J228" t="s">
        <v>1431</v>
      </c>
      <c r="K228" t="s">
        <v>1432</v>
      </c>
      <c r="L228" s="33">
        <v>4.07</v>
      </c>
    </row>
    <row r="229" spans="1:12" x14ac:dyDescent="0.25">
      <c r="A229" t="s">
        <v>1326</v>
      </c>
      <c r="B229" t="s">
        <v>1422</v>
      </c>
      <c r="C229" t="s">
        <v>10</v>
      </c>
      <c r="D229" t="s">
        <v>1210</v>
      </c>
      <c r="E229" t="s">
        <v>1194</v>
      </c>
      <c r="F229" t="s">
        <v>1423</v>
      </c>
      <c r="G229" t="s">
        <v>1212</v>
      </c>
      <c r="H229" t="s">
        <v>1474</v>
      </c>
      <c r="I229" t="s">
        <v>1474</v>
      </c>
      <c r="J229" t="s">
        <v>1424</v>
      </c>
      <c r="K229" t="s">
        <v>1424</v>
      </c>
      <c r="L229" s="33">
        <v>31.45</v>
      </c>
    </row>
    <row r="230" spans="1:12" x14ac:dyDescent="0.25">
      <c r="A230" t="s">
        <v>1326</v>
      </c>
      <c r="B230" t="s">
        <v>1465</v>
      </c>
      <c r="C230" t="s">
        <v>10</v>
      </c>
      <c r="D230" t="s">
        <v>1210</v>
      </c>
      <c r="E230" t="s">
        <v>1194</v>
      </c>
      <c r="F230" t="s">
        <v>1466</v>
      </c>
      <c r="G230" t="s">
        <v>1212</v>
      </c>
      <c r="H230" t="s">
        <v>1474</v>
      </c>
      <c r="I230" t="s">
        <v>1474</v>
      </c>
      <c r="J230" t="s">
        <v>1467</v>
      </c>
      <c r="K230" t="s">
        <v>1424</v>
      </c>
      <c r="L230" s="33">
        <v>734.68</v>
      </c>
    </row>
    <row r="231" spans="1:12" x14ac:dyDescent="0.25">
      <c r="A231" t="s">
        <v>1326</v>
      </c>
      <c r="B231" t="s">
        <v>1327</v>
      </c>
      <c r="C231" t="s">
        <v>10</v>
      </c>
      <c r="D231" t="s">
        <v>1210</v>
      </c>
      <c r="E231" t="s">
        <v>1194</v>
      </c>
      <c r="F231" t="s">
        <v>1328</v>
      </c>
      <c r="G231" t="s">
        <v>1212</v>
      </c>
      <c r="H231" t="s">
        <v>1478</v>
      </c>
      <c r="I231" t="s">
        <v>1478</v>
      </c>
      <c r="J231" t="s">
        <v>1330</v>
      </c>
      <c r="K231" t="s">
        <v>1330</v>
      </c>
      <c r="L231" s="33">
        <v>40077</v>
      </c>
    </row>
    <row r="232" spans="1:12" x14ac:dyDescent="0.25">
      <c r="A232" t="s">
        <v>1326</v>
      </c>
      <c r="B232" t="s">
        <v>1331</v>
      </c>
      <c r="C232" t="s">
        <v>10</v>
      </c>
      <c r="D232" t="s">
        <v>1210</v>
      </c>
      <c r="E232" t="s">
        <v>1194</v>
      </c>
      <c r="F232" t="s">
        <v>1332</v>
      </c>
      <c r="G232" t="s">
        <v>1212</v>
      </c>
      <c r="H232" t="s">
        <v>1478</v>
      </c>
      <c r="I232" t="s">
        <v>1478</v>
      </c>
      <c r="J232" t="s">
        <v>1333</v>
      </c>
      <c r="K232" t="s">
        <v>1334</v>
      </c>
      <c r="L232" s="33">
        <v>5061.7299999999996</v>
      </c>
    </row>
    <row r="233" spans="1:12" x14ac:dyDescent="0.25">
      <c r="A233" t="s">
        <v>1326</v>
      </c>
      <c r="B233" t="s">
        <v>1335</v>
      </c>
      <c r="C233" t="s">
        <v>10</v>
      </c>
      <c r="D233" t="s">
        <v>1210</v>
      </c>
      <c r="E233" t="s">
        <v>1194</v>
      </c>
      <c r="F233" t="s">
        <v>1336</v>
      </c>
      <c r="G233" t="s">
        <v>1212</v>
      </c>
      <c r="H233" t="s">
        <v>1478</v>
      </c>
      <c r="I233" t="s">
        <v>1478</v>
      </c>
      <c r="J233" t="s">
        <v>1337</v>
      </c>
      <c r="K233" t="s">
        <v>1334</v>
      </c>
      <c r="L233" s="33">
        <v>-2556.81</v>
      </c>
    </row>
    <row r="234" spans="1:12" x14ac:dyDescent="0.25">
      <c r="A234" t="s">
        <v>1326</v>
      </c>
      <c r="B234" t="s">
        <v>1338</v>
      </c>
      <c r="C234" t="s">
        <v>10</v>
      </c>
      <c r="D234" t="s">
        <v>1210</v>
      </c>
      <c r="E234" t="s">
        <v>1194</v>
      </c>
      <c r="F234" t="s">
        <v>1339</v>
      </c>
      <c r="G234" t="s">
        <v>1212</v>
      </c>
      <c r="H234" t="s">
        <v>1478</v>
      </c>
      <c r="I234" t="s">
        <v>1478</v>
      </c>
      <c r="J234" t="s">
        <v>1340</v>
      </c>
      <c r="K234" t="s">
        <v>1334</v>
      </c>
      <c r="L234" s="33">
        <v>244</v>
      </c>
    </row>
    <row r="235" spans="1:12" x14ac:dyDescent="0.25">
      <c r="A235" t="s">
        <v>1326</v>
      </c>
      <c r="B235" t="s">
        <v>1341</v>
      </c>
      <c r="C235" t="s">
        <v>10</v>
      </c>
      <c r="D235" t="s">
        <v>1210</v>
      </c>
      <c r="E235" t="s">
        <v>1194</v>
      </c>
      <c r="F235" t="s">
        <v>1342</v>
      </c>
      <c r="G235" t="s">
        <v>1212</v>
      </c>
      <c r="H235" t="s">
        <v>1478</v>
      </c>
      <c r="I235" t="s">
        <v>1478</v>
      </c>
      <c r="J235" t="s">
        <v>1343</v>
      </c>
      <c r="K235" t="s">
        <v>1334</v>
      </c>
      <c r="L235" s="33">
        <v>180</v>
      </c>
    </row>
    <row r="236" spans="1:12" x14ac:dyDescent="0.25">
      <c r="A236" t="s">
        <v>1326</v>
      </c>
      <c r="B236" t="s">
        <v>1344</v>
      </c>
      <c r="C236" t="s">
        <v>10</v>
      </c>
      <c r="D236" t="s">
        <v>1210</v>
      </c>
      <c r="E236" t="s">
        <v>1194</v>
      </c>
      <c r="F236" t="s">
        <v>1345</v>
      </c>
      <c r="G236" t="s">
        <v>1212</v>
      </c>
      <c r="H236" t="s">
        <v>1478</v>
      </c>
      <c r="I236" t="s">
        <v>1478</v>
      </c>
      <c r="J236" t="s">
        <v>1346</v>
      </c>
      <c r="K236" t="s">
        <v>1347</v>
      </c>
      <c r="L236" s="33">
        <v>240</v>
      </c>
    </row>
    <row r="237" spans="1:12" x14ac:dyDescent="0.25">
      <c r="A237" t="s">
        <v>1326</v>
      </c>
      <c r="B237" t="s">
        <v>1348</v>
      </c>
      <c r="C237" t="s">
        <v>10</v>
      </c>
      <c r="D237" t="s">
        <v>1210</v>
      </c>
      <c r="E237" t="s">
        <v>1194</v>
      </c>
      <c r="F237" t="s">
        <v>1349</v>
      </c>
      <c r="G237" t="s">
        <v>1212</v>
      </c>
      <c r="H237" t="s">
        <v>1478</v>
      </c>
      <c r="I237" t="s">
        <v>1478</v>
      </c>
      <c r="J237" t="s">
        <v>1350</v>
      </c>
      <c r="K237" t="s">
        <v>1351</v>
      </c>
      <c r="L237" s="33">
        <v>177</v>
      </c>
    </row>
    <row r="238" spans="1:12" x14ac:dyDescent="0.25">
      <c r="A238" t="s">
        <v>1326</v>
      </c>
      <c r="B238" t="s">
        <v>1352</v>
      </c>
      <c r="C238" t="s">
        <v>10</v>
      </c>
      <c r="D238" t="s">
        <v>1210</v>
      </c>
      <c r="E238" t="s">
        <v>1194</v>
      </c>
      <c r="F238" t="s">
        <v>1353</v>
      </c>
      <c r="G238" t="s">
        <v>1212</v>
      </c>
      <c r="H238" t="s">
        <v>1478</v>
      </c>
      <c r="I238" t="s">
        <v>1478</v>
      </c>
      <c r="J238" t="s">
        <v>1354</v>
      </c>
      <c r="K238" t="s">
        <v>1351</v>
      </c>
      <c r="L238" s="33">
        <v>420.16</v>
      </c>
    </row>
    <row r="239" spans="1:12" x14ac:dyDescent="0.25">
      <c r="A239" t="s">
        <v>1326</v>
      </c>
      <c r="B239" t="s">
        <v>1355</v>
      </c>
      <c r="C239" t="s">
        <v>10</v>
      </c>
      <c r="D239" t="s">
        <v>1210</v>
      </c>
      <c r="E239" t="s">
        <v>1194</v>
      </c>
      <c r="F239" t="s">
        <v>1356</v>
      </c>
      <c r="G239" t="s">
        <v>1212</v>
      </c>
      <c r="H239" t="s">
        <v>1478</v>
      </c>
      <c r="I239" t="s">
        <v>1478</v>
      </c>
      <c r="J239" t="s">
        <v>1357</v>
      </c>
      <c r="K239" t="s">
        <v>1351</v>
      </c>
      <c r="L239" s="33">
        <v>148.80000000000001</v>
      </c>
    </row>
    <row r="240" spans="1:12" x14ac:dyDescent="0.25">
      <c r="A240" t="s">
        <v>1326</v>
      </c>
      <c r="B240" t="s">
        <v>1358</v>
      </c>
      <c r="C240" t="s">
        <v>10</v>
      </c>
      <c r="D240" t="s">
        <v>1210</v>
      </c>
      <c r="E240" t="s">
        <v>1194</v>
      </c>
      <c r="F240" t="s">
        <v>1359</v>
      </c>
      <c r="G240" t="s">
        <v>1212</v>
      </c>
      <c r="H240" t="s">
        <v>1478</v>
      </c>
      <c r="I240" t="s">
        <v>1478</v>
      </c>
      <c r="J240" t="s">
        <v>1360</v>
      </c>
      <c r="K240" t="s">
        <v>1361</v>
      </c>
      <c r="L240" s="33">
        <v>1851.44</v>
      </c>
    </row>
    <row r="241" spans="1:12" x14ac:dyDescent="0.25">
      <c r="A241" t="s">
        <v>1326</v>
      </c>
      <c r="B241" t="s">
        <v>1362</v>
      </c>
      <c r="C241" t="s">
        <v>10</v>
      </c>
      <c r="D241" t="s">
        <v>1210</v>
      </c>
      <c r="E241" t="s">
        <v>1194</v>
      </c>
      <c r="F241" t="s">
        <v>1363</v>
      </c>
      <c r="G241" t="s">
        <v>1212</v>
      </c>
      <c r="H241" t="s">
        <v>1478</v>
      </c>
      <c r="I241" t="s">
        <v>1478</v>
      </c>
      <c r="J241" t="s">
        <v>1364</v>
      </c>
      <c r="K241" t="s">
        <v>1364</v>
      </c>
      <c r="L241" s="33">
        <v>-11526.41</v>
      </c>
    </row>
    <row r="242" spans="1:12" x14ac:dyDescent="0.25">
      <c r="A242" t="s">
        <v>1326</v>
      </c>
      <c r="B242" t="s">
        <v>1365</v>
      </c>
      <c r="C242" t="s">
        <v>10</v>
      </c>
      <c r="D242" t="s">
        <v>1210</v>
      </c>
      <c r="E242" t="s">
        <v>1194</v>
      </c>
      <c r="F242" t="s">
        <v>1366</v>
      </c>
      <c r="G242" t="s">
        <v>1212</v>
      </c>
      <c r="H242" t="s">
        <v>1478</v>
      </c>
      <c r="I242" t="s">
        <v>1478</v>
      </c>
      <c r="J242" t="s">
        <v>1367</v>
      </c>
      <c r="K242" t="s">
        <v>1368</v>
      </c>
      <c r="L242" s="33">
        <v>19900</v>
      </c>
    </row>
    <row r="243" spans="1:12" x14ac:dyDescent="0.25">
      <c r="A243" t="s">
        <v>1326</v>
      </c>
      <c r="B243" t="s">
        <v>1369</v>
      </c>
      <c r="C243" t="s">
        <v>10</v>
      </c>
      <c r="D243" t="s">
        <v>1210</v>
      </c>
      <c r="E243" t="s">
        <v>1194</v>
      </c>
      <c r="F243" t="s">
        <v>1370</v>
      </c>
      <c r="G243" t="s">
        <v>1212</v>
      </c>
      <c r="H243" t="s">
        <v>1478</v>
      </c>
      <c r="I243" t="s">
        <v>1478</v>
      </c>
      <c r="J243" t="s">
        <v>1371</v>
      </c>
      <c r="K243" t="s">
        <v>1368</v>
      </c>
      <c r="L243" s="33">
        <v>-12952.22</v>
      </c>
    </row>
    <row r="244" spans="1:12" x14ac:dyDescent="0.25">
      <c r="A244" t="s">
        <v>1326</v>
      </c>
      <c r="B244" t="s">
        <v>1372</v>
      </c>
      <c r="C244" t="s">
        <v>10</v>
      </c>
      <c r="D244" t="s">
        <v>1210</v>
      </c>
      <c r="E244" t="s">
        <v>1194</v>
      </c>
      <c r="F244" t="s">
        <v>1373</v>
      </c>
      <c r="G244" t="s">
        <v>1212</v>
      </c>
      <c r="H244" t="s">
        <v>1478</v>
      </c>
      <c r="I244" t="s">
        <v>1478</v>
      </c>
      <c r="J244" t="s">
        <v>1374</v>
      </c>
      <c r="K244" t="s">
        <v>1374</v>
      </c>
      <c r="L244" s="33">
        <v>14545.54</v>
      </c>
    </row>
    <row r="245" spans="1:12" x14ac:dyDescent="0.25">
      <c r="A245" t="s">
        <v>1326</v>
      </c>
      <c r="B245" t="s">
        <v>1375</v>
      </c>
      <c r="C245" t="s">
        <v>10</v>
      </c>
      <c r="D245" t="s">
        <v>1210</v>
      </c>
      <c r="E245" t="s">
        <v>1194</v>
      </c>
      <c r="F245" t="s">
        <v>1376</v>
      </c>
      <c r="G245" t="s">
        <v>1212</v>
      </c>
      <c r="H245" t="s">
        <v>1478</v>
      </c>
      <c r="I245" t="s">
        <v>1478</v>
      </c>
      <c r="J245" t="s">
        <v>1377</v>
      </c>
      <c r="K245" t="s">
        <v>1374</v>
      </c>
      <c r="L245" s="33">
        <v>11742.57</v>
      </c>
    </row>
    <row r="246" spans="1:12" x14ac:dyDescent="0.25">
      <c r="A246" t="s">
        <v>1326</v>
      </c>
      <c r="B246" t="s">
        <v>1378</v>
      </c>
      <c r="C246" t="s">
        <v>10</v>
      </c>
      <c r="D246" t="s">
        <v>1210</v>
      </c>
      <c r="E246" t="s">
        <v>1194</v>
      </c>
      <c r="F246" t="s">
        <v>1379</v>
      </c>
      <c r="G246" t="s">
        <v>1212</v>
      </c>
      <c r="H246" t="s">
        <v>1478</v>
      </c>
      <c r="I246" t="s">
        <v>1478</v>
      </c>
      <c r="J246" t="s">
        <v>1380</v>
      </c>
      <c r="K246" t="s">
        <v>1380</v>
      </c>
      <c r="L246" s="33">
        <v>2388.64</v>
      </c>
    </row>
    <row r="247" spans="1:12" x14ac:dyDescent="0.25">
      <c r="A247" t="s">
        <v>1326</v>
      </c>
      <c r="B247" t="s">
        <v>1381</v>
      </c>
      <c r="C247" t="s">
        <v>10</v>
      </c>
      <c r="D247" t="s">
        <v>1210</v>
      </c>
      <c r="E247" t="s">
        <v>1194</v>
      </c>
      <c r="F247" t="s">
        <v>1382</v>
      </c>
      <c r="G247" t="s">
        <v>1212</v>
      </c>
      <c r="H247" t="s">
        <v>1478</v>
      </c>
      <c r="I247" t="s">
        <v>1478</v>
      </c>
      <c r="J247" t="s">
        <v>1383</v>
      </c>
      <c r="K247" t="s">
        <v>1334</v>
      </c>
      <c r="L247" s="33">
        <v>3818.73</v>
      </c>
    </row>
    <row r="248" spans="1:12" x14ac:dyDescent="0.25">
      <c r="A248" t="s">
        <v>1326</v>
      </c>
      <c r="B248" t="s">
        <v>1384</v>
      </c>
      <c r="C248" t="s">
        <v>10</v>
      </c>
      <c r="D248" t="s">
        <v>1210</v>
      </c>
      <c r="E248" t="s">
        <v>1194</v>
      </c>
      <c r="F248" t="s">
        <v>1385</v>
      </c>
      <c r="G248" t="s">
        <v>1212</v>
      </c>
      <c r="H248" t="s">
        <v>1478</v>
      </c>
      <c r="I248" t="s">
        <v>1478</v>
      </c>
      <c r="J248" t="s">
        <v>1386</v>
      </c>
      <c r="K248" t="s">
        <v>1386</v>
      </c>
      <c r="L248" s="33">
        <v>236.99</v>
      </c>
    </row>
    <row r="249" spans="1:12" x14ac:dyDescent="0.25">
      <c r="A249" t="s">
        <v>1326</v>
      </c>
      <c r="B249" t="s">
        <v>1387</v>
      </c>
      <c r="C249" t="s">
        <v>10</v>
      </c>
      <c r="D249" t="s">
        <v>1210</v>
      </c>
      <c r="E249" t="s">
        <v>1194</v>
      </c>
      <c r="F249" t="s">
        <v>1388</v>
      </c>
      <c r="G249" t="s">
        <v>1212</v>
      </c>
      <c r="H249" t="s">
        <v>1478</v>
      </c>
      <c r="I249" t="s">
        <v>1478</v>
      </c>
      <c r="J249" t="s">
        <v>1389</v>
      </c>
      <c r="K249" t="s">
        <v>1390</v>
      </c>
      <c r="L249" s="33">
        <v>4893.0600000000004</v>
      </c>
    </row>
    <row r="250" spans="1:12" x14ac:dyDescent="0.25">
      <c r="A250" t="s">
        <v>1326</v>
      </c>
      <c r="B250" t="s">
        <v>1391</v>
      </c>
      <c r="C250" t="s">
        <v>10</v>
      </c>
      <c r="D250" t="s">
        <v>1210</v>
      </c>
      <c r="E250" t="s">
        <v>1194</v>
      </c>
      <c r="F250" t="s">
        <v>1392</v>
      </c>
      <c r="G250" t="s">
        <v>1212</v>
      </c>
      <c r="H250" t="s">
        <v>1478</v>
      </c>
      <c r="I250" t="s">
        <v>1478</v>
      </c>
      <c r="J250" t="s">
        <v>1393</v>
      </c>
      <c r="K250" t="s">
        <v>1390</v>
      </c>
      <c r="L250" s="33">
        <v>1065.18</v>
      </c>
    </row>
    <row r="251" spans="1:12" x14ac:dyDescent="0.25">
      <c r="A251" t="s">
        <v>1326</v>
      </c>
      <c r="B251" t="s">
        <v>1394</v>
      </c>
      <c r="C251" t="s">
        <v>10</v>
      </c>
      <c r="D251" t="s">
        <v>1210</v>
      </c>
      <c r="E251" t="s">
        <v>1194</v>
      </c>
      <c r="F251" t="s">
        <v>1395</v>
      </c>
      <c r="G251" t="s">
        <v>1212</v>
      </c>
      <c r="H251" t="s">
        <v>1478</v>
      </c>
      <c r="I251" t="s">
        <v>1478</v>
      </c>
      <c r="J251" t="s">
        <v>1396</v>
      </c>
      <c r="K251" t="s">
        <v>1390</v>
      </c>
      <c r="L251" s="33">
        <v>1412</v>
      </c>
    </row>
    <row r="252" spans="1:12" x14ac:dyDescent="0.25">
      <c r="A252" t="s">
        <v>1326</v>
      </c>
      <c r="B252" t="s">
        <v>1397</v>
      </c>
      <c r="C252" t="s">
        <v>10</v>
      </c>
      <c r="D252" t="s">
        <v>1210</v>
      </c>
      <c r="E252" t="s">
        <v>1194</v>
      </c>
      <c r="F252" t="s">
        <v>1398</v>
      </c>
      <c r="G252" t="s">
        <v>1212</v>
      </c>
      <c r="H252" t="s">
        <v>1478</v>
      </c>
      <c r="I252" t="s">
        <v>1478</v>
      </c>
      <c r="J252" t="s">
        <v>1399</v>
      </c>
      <c r="K252" t="s">
        <v>1390</v>
      </c>
      <c r="L252" s="33">
        <v>252.7</v>
      </c>
    </row>
    <row r="253" spans="1:12" x14ac:dyDescent="0.25">
      <c r="A253" t="s">
        <v>1326</v>
      </c>
      <c r="B253" t="s">
        <v>1400</v>
      </c>
      <c r="C253" t="s">
        <v>10</v>
      </c>
      <c r="D253" t="s">
        <v>1210</v>
      </c>
      <c r="E253" t="s">
        <v>1194</v>
      </c>
      <c r="F253" t="s">
        <v>1401</v>
      </c>
      <c r="G253" t="s">
        <v>1212</v>
      </c>
      <c r="H253" t="s">
        <v>1478</v>
      </c>
      <c r="I253" t="s">
        <v>1478</v>
      </c>
      <c r="J253" t="s">
        <v>1402</v>
      </c>
      <c r="K253" t="s">
        <v>1390</v>
      </c>
      <c r="L253" s="33">
        <v>15.96</v>
      </c>
    </row>
    <row r="254" spans="1:12" x14ac:dyDescent="0.25">
      <c r="A254" t="s">
        <v>1326</v>
      </c>
      <c r="B254" t="s">
        <v>1403</v>
      </c>
      <c r="C254" t="s">
        <v>10</v>
      </c>
      <c r="D254" t="s">
        <v>1210</v>
      </c>
      <c r="E254" t="s">
        <v>1194</v>
      </c>
      <c r="F254" t="s">
        <v>1404</v>
      </c>
      <c r="G254" t="s">
        <v>1212</v>
      </c>
      <c r="H254" t="s">
        <v>1478</v>
      </c>
      <c r="I254" t="s">
        <v>1478</v>
      </c>
      <c r="J254" t="s">
        <v>1405</v>
      </c>
      <c r="K254" t="s">
        <v>1390</v>
      </c>
      <c r="L254" s="33">
        <v>1259.72</v>
      </c>
    </row>
    <row r="255" spans="1:12" x14ac:dyDescent="0.25">
      <c r="A255" t="s">
        <v>1326</v>
      </c>
      <c r="B255" t="s">
        <v>1406</v>
      </c>
      <c r="C255" t="s">
        <v>10</v>
      </c>
      <c r="D255" t="s">
        <v>1210</v>
      </c>
      <c r="E255" t="s">
        <v>1194</v>
      </c>
      <c r="F255" t="s">
        <v>1407</v>
      </c>
      <c r="G255" t="s">
        <v>1212</v>
      </c>
      <c r="H255" t="s">
        <v>1478</v>
      </c>
      <c r="I255" t="s">
        <v>1478</v>
      </c>
      <c r="J255" t="s">
        <v>1408</v>
      </c>
      <c r="K255" t="s">
        <v>1390</v>
      </c>
      <c r="L255" s="33">
        <v>575.78</v>
      </c>
    </row>
    <row r="256" spans="1:12" x14ac:dyDescent="0.25">
      <c r="A256" t="s">
        <v>1326</v>
      </c>
      <c r="B256" t="s">
        <v>1462</v>
      </c>
      <c r="C256" t="s">
        <v>10</v>
      </c>
      <c r="D256" t="s">
        <v>1210</v>
      </c>
      <c r="E256" t="s">
        <v>1194</v>
      </c>
      <c r="F256" t="s">
        <v>1463</v>
      </c>
      <c r="G256" t="s">
        <v>1212</v>
      </c>
      <c r="H256" t="s">
        <v>1478</v>
      </c>
      <c r="I256" t="s">
        <v>1478</v>
      </c>
      <c r="J256" t="s">
        <v>1464</v>
      </c>
      <c r="K256" t="s">
        <v>1390</v>
      </c>
      <c r="L256" s="33">
        <v>60</v>
      </c>
    </row>
    <row r="257" spans="1:12" x14ac:dyDescent="0.25">
      <c r="A257" t="s">
        <v>1326</v>
      </c>
      <c r="B257" t="s">
        <v>1412</v>
      </c>
      <c r="C257" t="s">
        <v>10</v>
      </c>
      <c r="D257" t="s">
        <v>1210</v>
      </c>
      <c r="E257" t="s">
        <v>1194</v>
      </c>
      <c r="F257" t="s">
        <v>1413</v>
      </c>
      <c r="G257" t="s">
        <v>1212</v>
      </c>
      <c r="H257" t="s">
        <v>1478</v>
      </c>
      <c r="I257" t="s">
        <v>1478</v>
      </c>
      <c r="J257" t="s">
        <v>1414</v>
      </c>
      <c r="K257" t="s">
        <v>1415</v>
      </c>
      <c r="L257" s="33">
        <v>3366.74</v>
      </c>
    </row>
    <row r="258" spans="1:12" x14ac:dyDescent="0.25">
      <c r="A258" t="s">
        <v>1326</v>
      </c>
      <c r="B258" t="s">
        <v>1416</v>
      </c>
      <c r="C258" t="s">
        <v>10</v>
      </c>
      <c r="D258" t="s">
        <v>1210</v>
      </c>
      <c r="E258" t="s">
        <v>1194</v>
      </c>
      <c r="F258" t="s">
        <v>1417</v>
      </c>
      <c r="G258" t="s">
        <v>1212</v>
      </c>
      <c r="H258" t="s">
        <v>1478</v>
      </c>
      <c r="I258" t="s">
        <v>1478</v>
      </c>
      <c r="J258" t="s">
        <v>1418</v>
      </c>
      <c r="K258" t="s">
        <v>1415</v>
      </c>
      <c r="L258" s="33">
        <v>7028.76</v>
      </c>
    </row>
    <row r="259" spans="1:12" x14ac:dyDescent="0.25">
      <c r="A259" t="s">
        <v>1326</v>
      </c>
      <c r="B259" t="s">
        <v>1429</v>
      </c>
      <c r="C259" t="s">
        <v>10</v>
      </c>
      <c r="D259" t="s">
        <v>1210</v>
      </c>
      <c r="E259" t="s">
        <v>1194</v>
      </c>
      <c r="F259" t="s">
        <v>1430</v>
      </c>
      <c r="G259" t="s">
        <v>1212</v>
      </c>
      <c r="H259" t="s">
        <v>1478</v>
      </c>
      <c r="I259" t="s">
        <v>1478</v>
      </c>
      <c r="J259" t="s">
        <v>1431</v>
      </c>
      <c r="K259" t="s">
        <v>1432</v>
      </c>
      <c r="L259" s="33">
        <v>23.25</v>
      </c>
    </row>
    <row r="260" spans="1:12" x14ac:dyDescent="0.25">
      <c r="A260" t="s">
        <v>1326</v>
      </c>
      <c r="B260" t="s">
        <v>1422</v>
      </c>
      <c r="C260" t="s">
        <v>10</v>
      </c>
      <c r="D260" t="s">
        <v>1210</v>
      </c>
      <c r="E260" t="s">
        <v>1194</v>
      </c>
      <c r="F260" t="s">
        <v>1423</v>
      </c>
      <c r="G260" t="s">
        <v>1212</v>
      </c>
      <c r="H260" t="s">
        <v>1478</v>
      </c>
      <c r="I260" t="s">
        <v>1478</v>
      </c>
      <c r="J260" t="s">
        <v>1424</v>
      </c>
      <c r="K260" t="s">
        <v>1424</v>
      </c>
      <c r="L260" s="33">
        <v>35.14</v>
      </c>
    </row>
    <row r="261" spans="1:12" x14ac:dyDescent="0.25">
      <c r="A261" t="s">
        <v>1326</v>
      </c>
      <c r="B261" t="s">
        <v>1409</v>
      </c>
      <c r="C261" t="s">
        <v>10</v>
      </c>
      <c r="D261" t="s">
        <v>1210</v>
      </c>
      <c r="E261" t="s">
        <v>1194</v>
      </c>
      <c r="F261" t="s">
        <v>1410</v>
      </c>
      <c r="G261" t="s">
        <v>1212</v>
      </c>
      <c r="H261" t="s">
        <v>1489</v>
      </c>
      <c r="I261" t="s">
        <v>1489</v>
      </c>
      <c r="J261" t="s">
        <v>1411</v>
      </c>
      <c r="K261" t="s">
        <v>1390</v>
      </c>
      <c r="L261" s="33">
        <v>462</v>
      </c>
    </row>
    <row r="262" spans="1:12" x14ac:dyDescent="0.25">
      <c r="A262" t="s">
        <v>1479</v>
      </c>
      <c r="B262" t="s">
        <v>1480</v>
      </c>
      <c r="C262" t="s">
        <v>54</v>
      </c>
      <c r="D262" t="s">
        <v>1210</v>
      </c>
      <c r="E262" t="s">
        <v>1194</v>
      </c>
      <c r="F262" t="s">
        <v>1481</v>
      </c>
      <c r="G262" t="s">
        <v>1212</v>
      </c>
      <c r="H262" t="s">
        <v>1213</v>
      </c>
      <c r="I262" t="s">
        <v>1213</v>
      </c>
      <c r="J262" t="s">
        <v>1479</v>
      </c>
      <c r="K262" t="s">
        <v>1482</v>
      </c>
      <c r="L262" s="33">
        <v>-7.9</v>
      </c>
    </row>
    <row r="263" spans="1:12" x14ac:dyDescent="0.25">
      <c r="A263" t="s">
        <v>1483</v>
      </c>
      <c r="B263" t="s">
        <v>1484</v>
      </c>
      <c r="C263" t="s">
        <v>62</v>
      </c>
      <c r="D263" t="s">
        <v>1210</v>
      </c>
      <c r="E263" t="s">
        <v>1194</v>
      </c>
      <c r="F263" t="s">
        <v>1485</v>
      </c>
      <c r="G263" t="s">
        <v>1212</v>
      </c>
      <c r="H263" t="s">
        <v>1213</v>
      </c>
      <c r="I263" t="s">
        <v>1213</v>
      </c>
      <c r="J263" t="s">
        <v>1483</v>
      </c>
      <c r="K263" t="s">
        <v>1482</v>
      </c>
      <c r="L263" s="33">
        <v>38.68</v>
      </c>
    </row>
    <row r="264" spans="1:12" x14ac:dyDescent="0.25">
      <c r="A264" t="s">
        <v>1486</v>
      </c>
      <c r="B264" t="s">
        <v>1487</v>
      </c>
      <c r="C264" t="s">
        <v>127</v>
      </c>
      <c r="D264" t="s">
        <v>1210</v>
      </c>
      <c r="E264" t="s">
        <v>1194</v>
      </c>
      <c r="F264" t="s">
        <v>1488</v>
      </c>
      <c r="G264" t="s">
        <v>1212</v>
      </c>
      <c r="H264" t="s">
        <v>1489</v>
      </c>
      <c r="I264" t="s">
        <v>1489</v>
      </c>
      <c r="J264" t="s">
        <v>1486</v>
      </c>
      <c r="K264" t="s">
        <v>1482</v>
      </c>
      <c r="L264" s="33">
        <v>-0.42</v>
      </c>
    </row>
    <row r="265" spans="1:12" x14ac:dyDescent="0.25">
      <c r="A265" t="s">
        <v>1486</v>
      </c>
      <c r="B265" t="s">
        <v>1487</v>
      </c>
      <c r="C265" t="s">
        <v>127</v>
      </c>
      <c r="D265" t="s">
        <v>1210</v>
      </c>
      <c r="E265" t="s">
        <v>1194</v>
      </c>
      <c r="F265" t="s">
        <v>1488</v>
      </c>
      <c r="G265" t="s">
        <v>1212</v>
      </c>
      <c r="H265" t="s">
        <v>1490</v>
      </c>
      <c r="I265" t="s">
        <v>1490</v>
      </c>
      <c r="J265" t="s">
        <v>1486</v>
      </c>
      <c r="K265" t="s">
        <v>1482</v>
      </c>
      <c r="L265" s="33">
        <v>-0.86</v>
      </c>
    </row>
    <row r="266" spans="1:12" x14ac:dyDescent="0.25">
      <c r="A266" t="s">
        <v>1486</v>
      </c>
      <c r="B266" t="s">
        <v>1487</v>
      </c>
      <c r="C266" t="s">
        <v>127</v>
      </c>
      <c r="D266" t="s">
        <v>1210</v>
      </c>
      <c r="E266" t="s">
        <v>1194</v>
      </c>
      <c r="F266" t="s">
        <v>1488</v>
      </c>
      <c r="G266" t="s">
        <v>1212</v>
      </c>
      <c r="H266" t="s">
        <v>1491</v>
      </c>
      <c r="I266" t="s">
        <v>1491</v>
      </c>
      <c r="J266" t="s">
        <v>1486</v>
      </c>
      <c r="K266" t="s">
        <v>1482</v>
      </c>
      <c r="L266" s="33">
        <v>-1.21</v>
      </c>
    </row>
    <row r="267" spans="1:12" x14ac:dyDescent="0.25">
      <c r="A267" t="s">
        <v>1486</v>
      </c>
      <c r="B267" t="s">
        <v>1487</v>
      </c>
      <c r="C267" t="s">
        <v>127</v>
      </c>
      <c r="D267" t="s">
        <v>1210</v>
      </c>
      <c r="E267" t="s">
        <v>1194</v>
      </c>
      <c r="F267" t="s">
        <v>1488</v>
      </c>
      <c r="G267" t="s">
        <v>1212</v>
      </c>
      <c r="H267" t="s">
        <v>1492</v>
      </c>
      <c r="I267" t="s">
        <v>1492</v>
      </c>
      <c r="J267" t="s">
        <v>1486</v>
      </c>
      <c r="K267" t="s">
        <v>1482</v>
      </c>
      <c r="L267" s="33">
        <v>-0.21</v>
      </c>
    </row>
    <row r="268" spans="1:12" x14ac:dyDescent="0.25">
      <c r="A268" t="s">
        <v>1486</v>
      </c>
      <c r="B268" t="s">
        <v>1487</v>
      </c>
      <c r="C268" t="s">
        <v>127</v>
      </c>
      <c r="D268" t="s">
        <v>1210</v>
      </c>
      <c r="E268" t="s">
        <v>1194</v>
      </c>
      <c r="F268" t="s">
        <v>1488</v>
      </c>
      <c r="G268" t="s">
        <v>1212</v>
      </c>
      <c r="H268" t="s">
        <v>1425</v>
      </c>
      <c r="I268" t="s">
        <v>1425</v>
      </c>
      <c r="J268" t="s">
        <v>1486</v>
      </c>
      <c r="K268" t="s">
        <v>1482</v>
      </c>
      <c r="L268" s="33">
        <v>-0.79</v>
      </c>
    </row>
    <row r="269" spans="1:12" x14ac:dyDescent="0.25">
      <c r="A269" t="s">
        <v>1493</v>
      </c>
      <c r="B269" t="s">
        <v>1494</v>
      </c>
      <c r="C269" t="s">
        <v>127</v>
      </c>
      <c r="D269" t="s">
        <v>1210</v>
      </c>
      <c r="E269" t="s">
        <v>1194</v>
      </c>
      <c r="F269" t="s">
        <v>1495</v>
      </c>
      <c r="G269" t="s">
        <v>1212</v>
      </c>
      <c r="H269" t="s">
        <v>1425</v>
      </c>
      <c r="I269" t="s">
        <v>1425</v>
      </c>
      <c r="J269" t="s">
        <v>1493</v>
      </c>
      <c r="K269" t="s">
        <v>1482</v>
      </c>
      <c r="L269" s="33">
        <v>956.91</v>
      </c>
    </row>
    <row r="270" spans="1:12" x14ac:dyDescent="0.25">
      <c r="A270" t="s">
        <v>1493</v>
      </c>
      <c r="B270" t="s">
        <v>1494</v>
      </c>
      <c r="C270" t="s">
        <v>127</v>
      </c>
      <c r="D270" t="s">
        <v>1210</v>
      </c>
      <c r="E270" t="s">
        <v>1194</v>
      </c>
      <c r="F270" t="s">
        <v>1495</v>
      </c>
      <c r="G270" t="s">
        <v>1212</v>
      </c>
      <c r="H270" t="s">
        <v>1492</v>
      </c>
      <c r="I270" t="s">
        <v>1492</v>
      </c>
      <c r="J270" t="s">
        <v>1493</v>
      </c>
      <c r="K270" t="s">
        <v>1482</v>
      </c>
      <c r="L270" s="33">
        <v>254.69</v>
      </c>
    </row>
    <row r="271" spans="1:12" x14ac:dyDescent="0.25">
      <c r="A271" t="s">
        <v>1493</v>
      </c>
      <c r="B271" t="s">
        <v>1494</v>
      </c>
      <c r="C271" t="s">
        <v>127</v>
      </c>
      <c r="D271" t="s">
        <v>1210</v>
      </c>
      <c r="E271" t="s">
        <v>1194</v>
      </c>
      <c r="F271" t="s">
        <v>1495</v>
      </c>
      <c r="G271" t="s">
        <v>1212</v>
      </c>
      <c r="H271" t="s">
        <v>1491</v>
      </c>
      <c r="I271" t="s">
        <v>1491</v>
      </c>
      <c r="J271" t="s">
        <v>1493</v>
      </c>
      <c r="K271" t="s">
        <v>1482</v>
      </c>
      <c r="L271" s="33">
        <v>1446.14</v>
      </c>
    </row>
    <row r="272" spans="1:12" x14ac:dyDescent="0.25">
      <c r="A272" t="s">
        <v>1493</v>
      </c>
      <c r="B272" t="s">
        <v>1494</v>
      </c>
      <c r="C272" t="s">
        <v>127</v>
      </c>
      <c r="D272" t="s">
        <v>1210</v>
      </c>
      <c r="E272" t="s">
        <v>1194</v>
      </c>
      <c r="F272" t="s">
        <v>1495</v>
      </c>
      <c r="G272" t="s">
        <v>1212</v>
      </c>
      <c r="H272" t="s">
        <v>1490</v>
      </c>
      <c r="I272" t="s">
        <v>1490</v>
      </c>
      <c r="J272" t="s">
        <v>1493</v>
      </c>
      <c r="K272" t="s">
        <v>1482</v>
      </c>
      <c r="L272" s="33">
        <v>1040.3</v>
      </c>
    </row>
    <row r="273" spans="1:12" x14ac:dyDescent="0.25">
      <c r="A273" t="s">
        <v>1493</v>
      </c>
      <c r="B273" t="s">
        <v>1494</v>
      </c>
      <c r="C273" t="s">
        <v>127</v>
      </c>
      <c r="D273" t="s">
        <v>1210</v>
      </c>
      <c r="E273" t="s">
        <v>1194</v>
      </c>
      <c r="F273" t="s">
        <v>1495</v>
      </c>
      <c r="G273" t="s">
        <v>1212</v>
      </c>
      <c r="H273" t="s">
        <v>1489</v>
      </c>
      <c r="I273" t="s">
        <v>1489</v>
      </c>
      <c r="J273" t="s">
        <v>1493</v>
      </c>
      <c r="K273" t="s">
        <v>1482</v>
      </c>
      <c r="L273" s="33">
        <v>509.39</v>
      </c>
    </row>
    <row r="274" spans="1:12" x14ac:dyDescent="0.25">
      <c r="A274" t="s">
        <v>1493</v>
      </c>
      <c r="B274" t="s">
        <v>1494</v>
      </c>
      <c r="C274" t="s">
        <v>127</v>
      </c>
      <c r="D274" t="s">
        <v>1210</v>
      </c>
      <c r="E274" t="s">
        <v>1194</v>
      </c>
      <c r="F274" t="s">
        <v>1495</v>
      </c>
      <c r="G274" t="s">
        <v>1212</v>
      </c>
      <c r="H274" t="s">
        <v>1213</v>
      </c>
      <c r="I274" t="s">
        <v>1213</v>
      </c>
      <c r="J274" t="s">
        <v>1493</v>
      </c>
      <c r="K274" t="s">
        <v>1482</v>
      </c>
      <c r="L274" s="33">
        <v>-2267.7399999999998</v>
      </c>
    </row>
    <row r="275" spans="1:12" x14ac:dyDescent="0.25">
      <c r="A275" t="s">
        <v>1496</v>
      </c>
      <c r="B275" t="s">
        <v>1497</v>
      </c>
      <c r="C275" t="s">
        <v>127</v>
      </c>
      <c r="D275" t="s">
        <v>1210</v>
      </c>
      <c r="E275" t="s">
        <v>1194</v>
      </c>
      <c r="F275" t="s">
        <v>1498</v>
      </c>
      <c r="G275" t="s">
        <v>1212</v>
      </c>
      <c r="H275" t="s">
        <v>1213</v>
      </c>
      <c r="I275" t="s">
        <v>1213</v>
      </c>
      <c r="J275" t="s">
        <v>1496</v>
      </c>
      <c r="K275" t="s">
        <v>1482</v>
      </c>
      <c r="L275" s="33">
        <v>16358</v>
      </c>
    </row>
    <row r="276" spans="1:12" x14ac:dyDescent="0.25">
      <c r="A276" t="s">
        <v>1496</v>
      </c>
      <c r="B276" t="s">
        <v>1497</v>
      </c>
      <c r="C276" t="s">
        <v>127</v>
      </c>
      <c r="D276" t="s">
        <v>1210</v>
      </c>
      <c r="E276" t="s">
        <v>1194</v>
      </c>
      <c r="F276" t="s">
        <v>1498</v>
      </c>
      <c r="G276" t="s">
        <v>1212</v>
      </c>
      <c r="H276" t="s">
        <v>1489</v>
      </c>
      <c r="I276" t="s">
        <v>1489</v>
      </c>
      <c r="J276" t="s">
        <v>1496</v>
      </c>
      <c r="K276" t="s">
        <v>1482</v>
      </c>
      <c r="L276" s="33">
        <v>-2602.85</v>
      </c>
    </row>
    <row r="277" spans="1:12" x14ac:dyDescent="0.25">
      <c r="A277" t="s">
        <v>1496</v>
      </c>
      <c r="B277" t="s">
        <v>1497</v>
      </c>
      <c r="C277" t="s">
        <v>127</v>
      </c>
      <c r="D277" t="s">
        <v>1210</v>
      </c>
      <c r="E277" t="s">
        <v>1194</v>
      </c>
      <c r="F277" t="s">
        <v>1498</v>
      </c>
      <c r="G277" t="s">
        <v>1212</v>
      </c>
      <c r="H277" t="s">
        <v>1490</v>
      </c>
      <c r="I277" t="s">
        <v>1490</v>
      </c>
      <c r="J277" t="s">
        <v>1496</v>
      </c>
      <c r="K277" t="s">
        <v>1482</v>
      </c>
      <c r="L277" s="33">
        <v>-5315.46</v>
      </c>
    </row>
    <row r="278" spans="1:12" x14ac:dyDescent="0.25">
      <c r="A278" t="s">
        <v>1496</v>
      </c>
      <c r="B278" t="s">
        <v>1497</v>
      </c>
      <c r="C278" t="s">
        <v>127</v>
      </c>
      <c r="D278" t="s">
        <v>1210</v>
      </c>
      <c r="E278" t="s">
        <v>1194</v>
      </c>
      <c r="F278" t="s">
        <v>1498</v>
      </c>
      <c r="G278" t="s">
        <v>1212</v>
      </c>
      <c r="H278" t="s">
        <v>1491</v>
      </c>
      <c r="I278" t="s">
        <v>1491</v>
      </c>
      <c r="J278" t="s">
        <v>1496</v>
      </c>
      <c r="K278" t="s">
        <v>1482</v>
      </c>
      <c r="L278" s="33">
        <v>-7388.97</v>
      </c>
    </row>
    <row r="279" spans="1:12" x14ac:dyDescent="0.25">
      <c r="A279" t="s">
        <v>1496</v>
      </c>
      <c r="B279" t="s">
        <v>1497</v>
      </c>
      <c r="C279" t="s">
        <v>127</v>
      </c>
      <c r="D279" t="s">
        <v>1210</v>
      </c>
      <c r="E279" t="s">
        <v>1194</v>
      </c>
      <c r="F279" t="s">
        <v>1498</v>
      </c>
      <c r="G279" t="s">
        <v>1212</v>
      </c>
      <c r="H279" t="s">
        <v>1492</v>
      </c>
      <c r="I279" t="s">
        <v>1492</v>
      </c>
      <c r="J279" t="s">
        <v>1496</v>
      </c>
      <c r="K279" t="s">
        <v>1482</v>
      </c>
      <c r="L279" s="33">
        <v>-1301.42</v>
      </c>
    </row>
    <row r="280" spans="1:12" x14ac:dyDescent="0.25">
      <c r="A280" t="s">
        <v>1496</v>
      </c>
      <c r="B280" t="s">
        <v>1497</v>
      </c>
      <c r="C280" t="s">
        <v>127</v>
      </c>
      <c r="D280" t="s">
        <v>1210</v>
      </c>
      <c r="E280" t="s">
        <v>1194</v>
      </c>
      <c r="F280" t="s">
        <v>1498</v>
      </c>
      <c r="G280" t="s">
        <v>1212</v>
      </c>
      <c r="H280" t="s">
        <v>1425</v>
      </c>
      <c r="I280" t="s">
        <v>1425</v>
      </c>
      <c r="J280" t="s">
        <v>1496</v>
      </c>
      <c r="K280" t="s">
        <v>1482</v>
      </c>
      <c r="L280" s="33">
        <v>-4889.3999999999996</v>
      </c>
    </row>
    <row r="281" spans="1:12" x14ac:dyDescent="0.25">
      <c r="A281" t="s">
        <v>1499</v>
      </c>
      <c r="B281" t="s">
        <v>1500</v>
      </c>
      <c r="C281" t="s">
        <v>129</v>
      </c>
      <c r="D281" t="s">
        <v>1210</v>
      </c>
      <c r="E281" t="s">
        <v>1194</v>
      </c>
      <c r="F281" t="s">
        <v>1501</v>
      </c>
      <c r="G281" t="s">
        <v>1212</v>
      </c>
      <c r="H281" t="s">
        <v>1213</v>
      </c>
      <c r="I281" t="s">
        <v>1213</v>
      </c>
      <c r="J281" t="s">
        <v>1499</v>
      </c>
      <c r="K281" t="s">
        <v>1482</v>
      </c>
      <c r="L281" s="33">
        <v>1977.53</v>
      </c>
    </row>
    <row r="282" spans="1:12" x14ac:dyDescent="0.25">
      <c r="A282" t="s">
        <v>1502</v>
      </c>
      <c r="B282" t="s">
        <v>1503</v>
      </c>
      <c r="C282" t="s">
        <v>129</v>
      </c>
      <c r="D282" t="s">
        <v>1210</v>
      </c>
      <c r="E282" t="s">
        <v>1194</v>
      </c>
      <c r="F282" t="s">
        <v>1504</v>
      </c>
      <c r="G282" t="s">
        <v>1212</v>
      </c>
      <c r="H282" t="s">
        <v>1213</v>
      </c>
      <c r="I282" t="s">
        <v>1213</v>
      </c>
      <c r="J282" t="s">
        <v>1502</v>
      </c>
      <c r="K282" t="s">
        <v>1482</v>
      </c>
      <c r="L282" s="33">
        <v>-1.26</v>
      </c>
    </row>
    <row r="283" spans="1:12" x14ac:dyDescent="0.25">
      <c r="A283" t="s">
        <v>1502</v>
      </c>
      <c r="B283" t="s">
        <v>1503</v>
      </c>
      <c r="C283" t="s">
        <v>129</v>
      </c>
      <c r="D283" t="s">
        <v>1210</v>
      </c>
      <c r="E283" t="s">
        <v>1194</v>
      </c>
      <c r="F283" t="s">
        <v>1504</v>
      </c>
      <c r="G283" t="s">
        <v>1212</v>
      </c>
      <c r="H283" t="s">
        <v>1489</v>
      </c>
      <c r="I283" t="s">
        <v>1489</v>
      </c>
      <c r="J283" t="s">
        <v>1502</v>
      </c>
      <c r="K283" t="s">
        <v>1482</v>
      </c>
      <c r="L283" s="33">
        <v>-17.920000000000002</v>
      </c>
    </row>
    <row r="284" spans="1:12" x14ac:dyDescent="0.25">
      <c r="A284" t="s">
        <v>1502</v>
      </c>
      <c r="B284" t="s">
        <v>1503</v>
      </c>
      <c r="C284" t="s">
        <v>129</v>
      </c>
      <c r="D284" t="s">
        <v>1210</v>
      </c>
      <c r="E284" t="s">
        <v>1194</v>
      </c>
      <c r="F284" t="s">
        <v>1504</v>
      </c>
      <c r="G284" t="s">
        <v>1212</v>
      </c>
      <c r="H284" t="s">
        <v>1490</v>
      </c>
      <c r="I284" t="s">
        <v>1490</v>
      </c>
      <c r="J284" t="s">
        <v>1502</v>
      </c>
      <c r="K284" t="s">
        <v>1482</v>
      </c>
      <c r="L284" s="33">
        <v>-36.57</v>
      </c>
    </row>
    <row r="285" spans="1:12" x14ac:dyDescent="0.25">
      <c r="A285" t="s">
        <v>1502</v>
      </c>
      <c r="B285" t="s">
        <v>1503</v>
      </c>
      <c r="C285" t="s">
        <v>129</v>
      </c>
      <c r="D285" t="s">
        <v>1210</v>
      </c>
      <c r="E285" t="s">
        <v>1194</v>
      </c>
      <c r="F285" t="s">
        <v>1504</v>
      </c>
      <c r="G285" t="s">
        <v>1212</v>
      </c>
      <c r="H285" t="s">
        <v>1425</v>
      </c>
      <c r="I285" t="s">
        <v>1425</v>
      </c>
      <c r="J285" t="s">
        <v>1502</v>
      </c>
      <c r="K285" t="s">
        <v>1482</v>
      </c>
      <c r="L285" s="33">
        <v>-33.64</v>
      </c>
    </row>
    <row r="286" spans="1:12" x14ac:dyDescent="0.25">
      <c r="A286" t="s">
        <v>1502</v>
      </c>
      <c r="B286" t="s">
        <v>1503</v>
      </c>
      <c r="C286" t="s">
        <v>129</v>
      </c>
      <c r="D286" t="s">
        <v>1210</v>
      </c>
      <c r="E286" t="s">
        <v>1194</v>
      </c>
      <c r="F286" t="s">
        <v>1504</v>
      </c>
      <c r="G286" t="s">
        <v>1212</v>
      </c>
      <c r="H286" t="s">
        <v>1492</v>
      </c>
      <c r="I286" t="s">
        <v>1492</v>
      </c>
      <c r="J286" t="s">
        <v>1502</v>
      </c>
      <c r="K286" t="s">
        <v>1482</v>
      </c>
      <c r="L286" s="33">
        <v>-8.9499999999999993</v>
      </c>
    </row>
    <row r="287" spans="1:12" x14ac:dyDescent="0.25">
      <c r="A287" t="s">
        <v>1502</v>
      </c>
      <c r="B287" t="s">
        <v>1503</v>
      </c>
      <c r="C287" t="s">
        <v>129</v>
      </c>
      <c r="D287" t="s">
        <v>1210</v>
      </c>
      <c r="E287" t="s">
        <v>1194</v>
      </c>
      <c r="F287" t="s">
        <v>1504</v>
      </c>
      <c r="G287" t="s">
        <v>1212</v>
      </c>
      <c r="H287" t="s">
        <v>1491</v>
      </c>
      <c r="I287" t="s">
        <v>1491</v>
      </c>
      <c r="J287" t="s">
        <v>1502</v>
      </c>
      <c r="K287" t="s">
        <v>1482</v>
      </c>
      <c r="L287" s="33">
        <v>-50.83</v>
      </c>
    </row>
    <row r="288" spans="1:12" x14ac:dyDescent="0.25">
      <c r="A288" t="s">
        <v>1505</v>
      </c>
      <c r="B288" t="s">
        <v>1506</v>
      </c>
      <c r="C288" t="s">
        <v>129</v>
      </c>
      <c r="D288" t="s">
        <v>1210</v>
      </c>
      <c r="E288" t="s">
        <v>1194</v>
      </c>
      <c r="F288" t="s">
        <v>1507</v>
      </c>
      <c r="G288" t="s">
        <v>1212</v>
      </c>
      <c r="H288" t="s">
        <v>1491</v>
      </c>
      <c r="I288" t="s">
        <v>1491</v>
      </c>
      <c r="J288" t="s">
        <v>1505</v>
      </c>
      <c r="K288" t="s">
        <v>1482</v>
      </c>
      <c r="L288" s="33">
        <v>-101.24</v>
      </c>
    </row>
    <row r="289" spans="1:12" x14ac:dyDescent="0.25">
      <c r="A289" t="s">
        <v>1505</v>
      </c>
      <c r="B289" t="s">
        <v>1506</v>
      </c>
      <c r="C289" t="s">
        <v>129</v>
      </c>
      <c r="D289" t="s">
        <v>1210</v>
      </c>
      <c r="E289" t="s">
        <v>1194</v>
      </c>
      <c r="F289" t="s">
        <v>1507</v>
      </c>
      <c r="G289" t="s">
        <v>1212</v>
      </c>
      <c r="H289" t="s">
        <v>1492</v>
      </c>
      <c r="I289" t="s">
        <v>1492</v>
      </c>
      <c r="J289" t="s">
        <v>1505</v>
      </c>
      <c r="K289" t="s">
        <v>1482</v>
      </c>
      <c r="L289" s="33">
        <v>-17.82</v>
      </c>
    </row>
    <row r="290" spans="1:12" x14ac:dyDescent="0.25">
      <c r="A290" t="s">
        <v>1505</v>
      </c>
      <c r="B290" t="s">
        <v>1506</v>
      </c>
      <c r="C290" t="s">
        <v>129</v>
      </c>
      <c r="D290" t="s">
        <v>1210</v>
      </c>
      <c r="E290" t="s">
        <v>1194</v>
      </c>
      <c r="F290" t="s">
        <v>1507</v>
      </c>
      <c r="G290" t="s">
        <v>1212</v>
      </c>
      <c r="H290" t="s">
        <v>1425</v>
      </c>
      <c r="I290" t="s">
        <v>1425</v>
      </c>
      <c r="J290" t="s">
        <v>1505</v>
      </c>
      <c r="K290" t="s">
        <v>1482</v>
      </c>
      <c r="L290" s="33">
        <v>-66.989999999999995</v>
      </c>
    </row>
    <row r="291" spans="1:12" x14ac:dyDescent="0.25">
      <c r="A291" t="s">
        <v>1505</v>
      </c>
      <c r="B291" t="s">
        <v>1506</v>
      </c>
      <c r="C291" t="s">
        <v>129</v>
      </c>
      <c r="D291" t="s">
        <v>1210</v>
      </c>
      <c r="E291" t="s">
        <v>1194</v>
      </c>
      <c r="F291" t="s">
        <v>1507</v>
      </c>
      <c r="G291" t="s">
        <v>1212</v>
      </c>
      <c r="H291" t="s">
        <v>1490</v>
      </c>
      <c r="I291" t="s">
        <v>1490</v>
      </c>
      <c r="J291" t="s">
        <v>1505</v>
      </c>
      <c r="K291" t="s">
        <v>1482</v>
      </c>
      <c r="L291" s="33">
        <v>-72.819999999999993</v>
      </c>
    </row>
    <row r="292" spans="1:12" x14ac:dyDescent="0.25">
      <c r="A292" t="s">
        <v>1505</v>
      </c>
      <c r="B292" t="s">
        <v>1506</v>
      </c>
      <c r="C292" t="s">
        <v>129</v>
      </c>
      <c r="D292" t="s">
        <v>1210</v>
      </c>
      <c r="E292" t="s">
        <v>1194</v>
      </c>
      <c r="F292" t="s">
        <v>1507</v>
      </c>
      <c r="G292" t="s">
        <v>1212</v>
      </c>
      <c r="H292" t="s">
        <v>1489</v>
      </c>
      <c r="I292" t="s">
        <v>1489</v>
      </c>
      <c r="J292" t="s">
        <v>1505</v>
      </c>
      <c r="K292" t="s">
        <v>1482</v>
      </c>
      <c r="L292" s="33">
        <v>-35.67</v>
      </c>
    </row>
    <row r="293" spans="1:12" x14ac:dyDescent="0.25">
      <c r="A293" t="s">
        <v>1505</v>
      </c>
      <c r="B293" t="s">
        <v>1506</v>
      </c>
      <c r="C293" t="s">
        <v>129</v>
      </c>
      <c r="D293" t="s">
        <v>1210</v>
      </c>
      <c r="E293" t="s">
        <v>1194</v>
      </c>
      <c r="F293" t="s">
        <v>1507</v>
      </c>
      <c r="G293" t="s">
        <v>1212</v>
      </c>
      <c r="H293" t="s">
        <v>1213</v>
      </c>
      <c r="I293" t="s">
        <v>1213</v>
      </c>
      <c r="J293" t="s">
        <v>1505</v>
      </c>
      <c r="K293" t="s">
        <v>1482</v>
      </c>
      <c r="L293" s="33">
        <v>163.38999999999999</v>
      </c>
    </row>
    <row r="294" spans="1:12" x14ac:dyDescent="0.25">
      <c r="A294" t="s">
        <v>41</v>
      </c>
      <c r="B294" t="s">
        <v>1508</v>
      </c>
      <c r="C294" t="s">
        <v>41</v>
      </c>
      <c r="D294" t="s">
        <v>1210</v>
      </c>
      <c r="E294" t="s">
        <v>1194</v>
      </c>
      <c r="F294" t="s">
        <v>1509</v>
      </c>
      <c r="G294" t="s">
        <v>1212</v>
      </c>
      <c r="H294" t="s">
        <v>1213</v>
      </c>
      <c r="I294" t="s">
        <v>1213</v>
      </c>
      <c r="J294" t="s">
        <v>41</v>
      </c>
      <c r="K294" t="s">
        <v>1482</v>
      </c>
      <c r="L294" s="33">
        <v>73010</v>
      </c>
    </row>
    <row r="295" spans="1:12" x14ac:dyDescent="0.25">
      <c r="A295" t="s">
        <v>1510</v>
      </c>
      <c r="B295" t="s">
        <v>1511</v>
      </c>
      <c r="C295" t="s">
        <v>48</v>
      </c>
      <c r="D295" t="s">
        <v>1210</v>
      </c>
      <c r="E295" t="s">
        <v>1194</v>
      </c>
      <c r="F295" t="s">
        <v>1249</v>
      </c>
      <c r="G295" t="s">
        <v>1250</v>
      </c>
      <c r="H295" t="s">
        <v>1213</v>
      </c>
      <c r="I295" t="s">
        <v>1213</v>
      </c>
      <c r="J295" t="s">
        <v>1510</v>
      </c>
      <c r="K295" t="s">
        <v>1482</v>
      </c>
      <c r="L295" s="33">
        <v>-1599.13</v>
      </c>
    </row>
    <row r="296" spans="1:12" x14ac:dyDescent="0.25">
      <c r="A296" t="s">
        <v>1512</v>
      </c>
      <c r="B296" t="s">
        <v>1513</v>
      </c>
      <c r="C296" t="s">
        <v>177</v>
      </c>
      <c r="D296" t="s">
        <v>1210</v>
      </c>
      <c r="E296" t="s">
        <v>1194</v>
      </c>
      <c r="F296" t="s">
        <v>1514</v>
      </c>
      <c r="G296" t="s">
        <v>1212</v>
      </c>
      <c r="H296" t="s">
        <v>1213</v>
      </c>
      <c r="I296" t="s">
        <v>1213</v>
      </c>
      <c r="J296" t="s">
        <v>1512</v>
      </c>
      <c r="K296" t="s">
        <v>1482</v>
      </c>
      <c r="L296" s="33">
        <v>-0.01</v>
      </c>
    </row>
    <row r="297" spans="1:12" x14ac:dyDescent="0.25">
      <c r="A297" t="s">
        <v>1512</v>
      </c>
      <c r="B297" t="s">
        <v>1513</v>
      </c>
      <c r="C297" t="s">
        <v>177</v>
      </c>
      <c r="D297" t="s">
        <v>1210</v>
      </c>
      <c r="E297" t="s">
        <v>1194</v>
      </c>
      <c r="F297" t="s">
        <v>1514</v>
      </c>
      <c r="G297" t="s">
        <v>1212</v>
      </c>
      <c r="H297" t="s">
        <v>1489</v>
      </c>
      <c r="I297" t="s">
        <v>1489</v>
      </c>
      <c r="J297" t="s">
        <v>1512</v>
      </c>
      <c r="K297" t="s">
        <v>1482</v>
      </c>
      <c r="L297" s="33">
        <v>-0.05</v>
      </c>
    </row>
    <row r="298" spans="1:12" x14ac:dyDescent="0.25">
      <c r="A298" t="s">
        <v>1512</v>
      </c>
      <c r="B298" t="s">
        <v>1513</v>
      </c>
      <c r="C298" t="s">
        <v>177</v>
      </c>
      <c r="D298" t="s">
        <v>1210</v>
      </c>
      <c r="E298" t="s">
        <v>1194</v>
      </c>
      <c r="F298" t="s">
        <v>1514</v>
      </c>
      <c r="G298" t="s">
        <v>1212</v>
      </c>
      <c r="H298" t="s">
        <v>1490</v>
      </c>
      <c r="I298" t="s">
        <v>1490</v>
      </c>
      <c r="J298" t="s">
        <v>1512</v>
      </c>
      <c r="K298" t="s">
        <v>1482</v>
      </c>
      <c r="L298" s="33">
        <v>-0.09</v>
      </c>
    </row>
    <row r="299" spans="1:12" x14ac:dyDescent="0.25">
      <c r="A299" t="s">
        <v>1512</v>
      </c>
      <c r="B299" t="s">
        <v>1513</v>
      </c>
      <c r="C299" t="s">
        <v>177</v>
      </c>
      <c r="D299" t="s">
        <v>1210</v>
      </c>
      <c r="E299" t="s">
        <v>1194</v>
      </c>
      <c r="F299" t="s">
        <v>1514</v>
      </c>
      <c r="G299" t="s">
        <v>1212</v>
      </c>
      <c r="H299" t="s">
        <v>1425</v>
      </c>
      <c r="I299" t="s">
        <v>1425</v>
      </c>
      <c r="J299" t="s">
        <v>1512</v>
      </c>
      <c r="K299" t="s">
        <v>1482</v>
      </c>
      <c r="L299" s="33">
        <v>-0.09</v>
      </c>
    </row>
    <row r="300" spans="1:12" x14ac:dyDescent="0.25">
      <c r="A300" t="s">
        <v>1512</v>
      </c>
      <c r="B300" t="s">
        <v>1513</v>
      </c>
      <c r="C300" t="s">
        <v>177</v>
      </c>
      <c r="D300" t="s">
        <v>1210</v>
      </c>
      <c r="E300" t="s">
        <v>1194</v>
      </c>
      <c r="F300" t="s">
        <v>1514</v>
      </c>
      <c r="G300" t="s">
        <v>1212</v>
      </c>
      <c r="H300" t="s">
        <v>1492</v>
      </c>
      <c r="I300" t="s">
        <v>1492</v>
      </c>
      <c r="J300" t="s">
        <v>1512</v>
      </c>
      <c r="K300" t="s">
        <v>1482</v>
      </c>
      <c r="L300" s="33">
        <v>-0.02</v>
      </c>
    </row>
    <row r="301" spans="1:12" x14ac:dyDescent="0.25">
      <c r="A301" t="s">
        <v>1512</v>
      </c>
      <c r="B301" t="s">
        <v>1513</v>
      </c>
      <c r="C301" t="s">
        <v>177</v>
      </c>
      <c r="D301" t="s">
        <v>1210</v>
      </c>
      <c r="E301" t="s">
        <v>1194</v>
      </c>
      <c r="F301" t="s">
        <v>1514</v>
      </c>
      <c r="G301" t="s">
        <v>1212</v>
      </c>
      <c r="H301" t="s">
        <v>1491</v>
      </c>
      <c r="I301" t="s">
        <v>1491</v>
      </c>
      <c r="J301" t="s">
        <v>1512</v>
      </c>
      <c r="K301" t="s">
        <v>1482</v>
      </c>
      <c r="L301" s="33">
        <v>-0.14000000000000001</v>
      </c>
    </row>
    <row r="302" spans="1:12" x14ac:dyDescent="0.25">
      <c r="A302" t="s">
        <v>1515</v>
      </c>
      <c r="B302" t="s">
        <v>1516</v>
      </c>
      <c r="C302" t="s">
        <v>169</v>
      </c>
      <c r="D302" t="s">
        <v>1210</v>
      </c>
      <c r="E302" t="s">
        <v>1194</v>
      </c>
      <c r="F302" t="s">
        <v>1517</v>
      </c>
      <c r="G302" t="s">
        <v>1212</v>
      </c>
      <c r="H302" t="s">
        <v>1491</v>
      </c>
      <c r="I302" t="s">
        <v>1491</v>
      </c>
      <c r="J302" t="s">
        <v>1515</v>
      </c>
      <c r="K302" t="s">
        <v>1482</v>
      </c>
      <c r="L302" s="33">
        <v>259.02</v>
      </c>
    </row>
    <row r="303" spans="1:12" x14ac:dyDescent="0.25">
      <c r="A303" t="s">
        <v>1515</v>
      </c>
      <c r="B303" t="s">
        <v>1516</v>
      </c>
      <c r="C303" t="s">
        <v>169</v>
      </c>
      <c r="D303" t="s">
        <v>1210</v>
      </c>
      <c r="E303" t="s">
        <v>1194</v>
      </c>
      <c r="F303" t="s">
        <v>1517</v>
      </c>
      <c r="G303" t="s">
        <v>1212</v>
      </c>
      <c r="H303" t="s">
        <v>1492</v>
      </c>
      <c r="I303" t="s">
        <v>1492</v>
      </c>
      <c r="J303" t="s">
        <v>1515</v>
      </c>
      <c r="K303" t="s">
        <v>1482</v>
      </c>
      <c r="L303" s="33">
        <v>45.61</v>
      </c>
    </row>
    <row r="304" spans="1:12" x14ac:dyDescent="0.25">
      <c r="A304" t="s">
        <v>1515</v>
      </c>
      <c r="B304" t="s">
        <v>1516</v>
      </c>
      <c r="C304" t="s">
        <v>169</v>
      </c>
      <c r="D304" t="s">
        <v>1210</v>
      </c>
      <c r="E304" t="s">
        <v>1194</v>
      </c>
      <c r="F304" t="s">
        <v>1517</v>
      </c>
      <c r="G304" t="s">
        <v>1212</v>
      </c>
      <c r="H304" t="s">
        <v>1425</v>
      </c>
      <c r="I304" t="s">
        <v>1425</v>
      </c>
      <c r="J304" t="s">
        <v>1515</v>
      </c>
      <c r="K304" t="s">
        <v>1482</v>
      </c>
      <c r="L304" s="33">
        <v>171.41</v>
      </c>
    </row>
    <row r="305" spans="1:12" x14ac:dyDescent="0.25">
      <c r="A305" t="s">
        <v>1515</v>
      </c>
      <c r="B305" t="s">
        <v>1516</v>
      </c>
      <c r="C305" t="s">
        <v>169</v>
      </c>
      <c r="D305" t="s">
        <v>1210</v>
      </c>
      <c r="E305" t="s">
        <v>1194</v>
      </c>
      <c r="F305" t="s">
        <v>1517</v>
      </c>
      <c r="G305" t="s">
        <v>1212</v>
      </c>
      <c r="H305" t="s">
        <v>1490</v>
      </c>
      <c r="I305" t="s">
        <v>1490</v>
      </c>
      <c r="J305" t="s">
        <v>1515</v>
      </c>
      <c r="K305" t="s">
        <v>1482</v>
      </c>
      <c r="L305" s="33">
        <v>186.34</v>
      </c>
    </row>
    <row r="306" spans="1:12" x14ac:dyDescent="0.25">
      <c r="A306" t="s">
        <v>1515</v>
      </c>
      <c r="B306" t="s">
        <v>1516</v>
      </c>
      <c r="C306" t="s">
        <v>169</v>
      </c>
      <c r="D306" t="s">
        <v>1210</v>
      </c>
      <c r="E306" t="s">
        <v>1194</v>
      </c>
      <c r="F306" t="s">
        <v>1517</v>
      </c>
      <c r="G306" t="s">
        <v>1212</v>
      </c>
      <c r="H306" t="s">
        <v>1489</v>
      </c>
      <c r="I306" t="s">
        <v>1489</v>
      </c>
      <c r="J306" t="s">
        <v>1515</v>
      </c>
      <c r="K306" t="s">
        <v>1482</v>
      </c>
      <c r="L306" s="33">
        <v>126.26</v>
      </c>
    </row>
    <row r="307" spans="1:12" x14ac:dyDescent="0.25">
      <c r="A307" t="s">
        <v>1515</v>
      </c>
      <c r="B307" t="s">
        <v>1516</v>
      </c>
      <c r="C307" t="s">
        <v>169</v>
      </c>
      <c r="D307" t="s">
        <v>1210</v>
      </c>
      <c r="E307" t="s">
        <v>1194</v>
      </c>
      <c r="F307" t="s">
        <v>1517</v>
      </c>
      <c r="G307" t="s">
        <v>1212</v>
      </c>
      <c r="H307" t="s">
        <v>1213</v>
      </c>
      <c r="I307" t="s">
        <v>1213</v>
      </c>
      <c r="J307" t="s">
        <v>1515</v>
      </c>
      <c r="K307" t="s">
        <v>1482</v>
      </c>
      <c r="L307" s="33">
        <v>235.5</v>
      </c>
    </row>
    <row r="308" spans="1:12" x14ac:dyDescent="0.25">
      <c r="A308" t="s">
        <v>143</v>
      </c>
      <c r="B308" t="s">
        <v>142</v>
      </c>
      <c r="C308" t="s">
        <v>143</v>
      </c>
      <c r="D308" t="s">
        <v>1210</v>
      </c>
      <c r="E308" t="s">
        <v>1194</v>
      </c>
      <c r="F308" t="s">
        <v>1252</v>
      </c>
      <c r="G308" t="s">
        <v>1253</v>
      </c>
      <c r="H308" t="s">
        <v>1213</v>
      </c>
      <c r="I308" t="s">
        <v>1213</v>
      </c>
      <c r="J308" t="s">
        <v>143</v>
      </c>
      <c r="K308" t="s">
        <v>1482</v>
      </c>
      <c r="L308" s="33">
        <v>-715474.5</v>
      </c>
    </row>
    <row r="309" spans="1:12" x14ac:dyDescent="0.25">
      <c r="A309" t="s">
        <v>1518</v>
      </c>
      <c r="B309" t="s">
        <v>1519</v>
      </c>
      <c r="C309" t="s">
        <v>143</v>
      </c>
      <c r="D309" t="s">
        <v>1210</v>
      </c>
      <c r="E309" t="s">
        <v>1194</v>
      </c>
      <c r="F309" t="s">
        <v>1252</v>
      </c>
      <c r="G309" t="s">
        <v>1253</v>
      </c>
      <c r="H309" t="s">
        <v>1213</v>
      </c>
      <c r="I309" t="s">
        <v>1213</v>
      </c>
      <c r="J309" t="s">
        <v>1518</v>
      </c>
      <c r="K309" t="s">
        <v>1482</v>
      </c>
      <c r="L309" s="33">
        <v>-777400</v>
      </c>
    </row>
    <row r="310" spans="1:12" x14ac:dyDescent="0.25">
      <c r="A310" t="s">
        <v>133</v>
      </c>
      <c r="B310" t="s">
        <v>132</v>
      </c>
      <c r="C310" t="s">
        <v>133</v>
      </c>
      <c r="D310" t="s">
        <v>1210</v>
      </c>
      <c r="E310" t="s">
        <v>1194</v>
      </c>
      <c r="F310" t="s">
        <v>1278</v>
      </c>
      <c r="G310" t="s">
        <v>1279</v>
      </c>
      <c r="H310" t="s">
        <v>1213</v>
      </c>
      <c r="I310" t="s">
        <v>1213</v>
      </c>
      <c r="J310" t="s">
        <v>133</v>
      </c>
      <c r="K310" t="s">
        <v>1482</v>
      </c>
      <c r="L310" s="33">
        <v>33437.79</v>
      </c>
    </row>
    <row r="311" spans="1:12" x14ac:dyDescent="0.25">
      <c r="A311" t="s">
        <v>1520</v>
      </c>
      <c r="B311" t="s">
        <v>1327</v>
      </c>
      <c r="C311" t="s">
        <v>9</v>
      </c>
      <c r="D311" t="s">
        <v>1210</v>
      </c>
      <c r="E311" t="s">
        <v>1194</v>
      </c>
      <c r="F311" t="s">
        <v>1328</v>
      </c>
      <c r="G311" t="s">
        <v>1212</v>
      </c>
      <c r="H311" t="s">
        <v>1521</v>
      </c>
      <c r="I311" t="s">
        <v>1521</v>
      </c>
      <c r="J311" t="s">
        <v>1330</v>
      </c>
      <c r="K311" t="s">
        <v>1330</v>
      </c>
      <c r="L311" s="33">
        <v>13715.56</v>
      </c>
    </row>
    <row r="312" spans="1:12" x14ac:dyDescent="0.25">
      <c r="A312" t="s">
        <v>1520</v>
      </c>
      <c r="B312" t="s">
        <v>1447</v>
      </c>
      <c r="C312" t="s">
        <v>9</v>
      </c>
      <c r="D312" t="s">
        <v>1210</v>
      </c>
      <c r="E312" t="s">
        <v>1194</v>
      </c>
      <c r="F312" t="s">
        <v>1448</v>
      </c>
      <c r="G312" t="s">
        <v>1212</v>
      </c>
      <c r="H312" t="s">
        <v>1521</v>
      </c>
      <c r="I312" t="s">
        <v>1521</v>
      </c>
      <c r="J312" t="s">
        <v>1449</v>
      </c>
      <c r="K312" t="s">
        <v>1334</v>
      </c>
      <c r="L312" s="33">
        <v>556.5</v>
      </c>
    </row>
    <row r="313" spans="1:12" x14ac:dyDescent="0.25">
      <c r="A313" t="s">
        <v>1520</v>
      </c>
      <c r="B313" t="s">
        <v>1450</v>
      </c>
      <c r="C313" t="s">
        <v>9</v>
      </c>
      <c r="D313" t="s">
        <v>1210</v>
      </c>
      <c r="E313" t="s">
        <v>1194</v>
      </c>
      <c r="F313" t="s">
        <v>1451</v>
      </c>
      <c r="G313" t="s">
        <v>1212</v>
      </c>
      <c r="H313" t="s">
        <v>1521</v>
      </c>
      <c r="I313" t="s">
        <v>1521</v>
      </c>
      <c r="J313" t="s">
        <v>1452</v>
      </c>
      <c r="K313" t="s">
        <v>1330</v>
      </c>
      <c r="L313" s="33">
        <v>-556.5</v>
      </c>
    </row>
    <row r="314" spans="1:12" x14ac:dyDescent="0.25">
      <c r="A314" t="s">
        <v>1520</v>
      </c>
      <c r="B314" t="s">
        <v>1338</v>
      </c>
      <c r="C314" t="s">
        <v>9</v>
      </c>
      <c r="D314" t="s">
        <v>1210</v>
      </c>
      <c r="E314" t="s">
        <v>1194</v>
      </c>
      <c r="F314" t="s">
        <v>1339</v>
      </c>
      <c r="G314" t="s">
        <v>1212</v>
      </c>
      <c r="H314" t="s">
        <v>1521</v>
      </c>
      <c r="I314" t="s">
        <v>1521</v>
      </c>
      <c r="J314" t="s">
        <v>1340</v>
      </c>
      <c r="K314" t="s">
        <v>1334</v>
      </c>
      <c r="L314" s="33">
        <v>66.5</v>
      </c>
    </row>
    <row r="315" spans="1:12" x14ac:dyDescent="0.25">
      <c r="A315" t="s">
        <v>1520</v>
      </c>
      <c r="B315" t="s">
        <v>1341</v>
      </c>
      <c r="C315" t="s">
        <v>9</v>
      </c>
      <c r="D315" t="s">
        <v>1210</v>
      </c>
      <c r="E315" t="s">
        <v>1194</v>
      </c>
      <c r="F315" t="s">
        <v>1342</v>
      </c>
      <c r="G315" t="s">
        <v>1212</v>
      </c>
      <c r="H315" t="s">
        <v>1521</v>
      </c>
      <c r="I315" t="s">
        <v>1521</v>
      </c>
      <c r="J315" t="s">
        <v>1343</v>
      </c>
      <c r="K315" t="s">
        <v>1334</v>
      </c>
      <c r="L315" s="33">
        <v>150</v>
      </c>
    </row>
    <row r="316" spans="1:12" x14ac:dyDescent="0.25">
      <c r="A316" t="s">
        <v>1520</v>
      </c>
      <c r="B316" t="s">
        <v>1344</v>
      </c>
      <c r="C316" t="s">
        <v>9</v>
      </c>
      <c r="D316" t="s">
        <v>1210</v>
      </c>
      <c r="E316" t="s">
        <v>1194</v>
      </c>
      <c r="F316" t="s">
        <v>1345</v>
      </c>
      <c r="G316" t="s">
        <v>1212</v>
      </c>
      <c r="H316" t="s">
        <v>1521</v>
      </c>
      <c r="I316" t="s">
        <v>1521</v>
      </c>
      <c r="J316" t="s">
        <v>1346</v>
      </c>
      <c r="K316" t="s">
        <v>1347</v>
      </c>
      <c r="L316" s="33">
        <v>200</v>
      </c>
    </row>
    <row r="317" spans="1:12" x14ac:dyDescent="0.25">
      <c r="A317" t="s">
        <v>1520</v>
      </c>
      <c r="B317" t="s">
        <v>1352</v>
      </c>
      <c r="C317" t="s">
        <v>9</v>
      </c>
      <c r="D317" t="s">
        <v>1210</v>
      </c>
      <c r="E317" t="s">
        <v>1194</v>
      </c>
      <c r="F317" t="s">
        <v>1353</v>
      </c>
      <c r="G317" t="s">
        <v>1212</v>
      </c>
      <c r="H317" t="s">
        <v>1521</v>
      </c>
      <c r="I317" t="s">
        <v>1521</v>
      </c>
      <c r="J317" t="s">
        <v>1354</v>
      </c>
      <c r="K317" t="s">
        <v>1351</v>
      </c>
      <c r="L317" s="33">
        <v>39.799999999999997</v>
      </c>
    </row>
    <row r="318" spans="1:12" x14ac:dyDescent="0.25">
      <c r="A318" t="s">
        <v>1520</v>
      </c>
      <c r="B318" t="s">
        <v>1355</v>
      </c>
      <c r="C318" t="s">
        <v>9</v>
      </c>
      <c r="D318" t="s">
        <v>1210</v>
      </c>
      <c r="E318" t="s">
        <v>1194</v>
      </c>
      <c r="F318" t="s">
        <v>1356</v>
      </c>
      <c r="G318" t="s">
        <v>1212</v>
      </c>
      <c r="H318" t="s">
        <v>1521</v>
      </c>
      <c r="I318" t="s">
        <v>1521</v>
      </c>
      <c r="J318" t="s">
        <v>1357</v>
      </c>
      <c r="K318" t="s">
        <v>1351</v>
      </c>
      <c r="L318" s="33">
        <v>124</v>
      </c>
    </row>
    <row r="319" spans="1:12" x14ac:dyDescent="0.25">
      <c r="A319" t="s">
        <v>1520</v>
      </c>
      <c r="B319" t="s">
        <v>1358</v>
      </c>
      <c r="C319" t="s">
        <v>9</v>
      </c>
      <c r="D319" t="s">
        <v>1210</v>
      </c>
      <c r="E319" t="s">
        <v>1194</v>
      </c>
      <c r="F319" t="s">
        <v>1359</v>
      </c>
      <c r="G319" t="s">
        <v>1212</v>
      </c>
      <c r="H319" t="s">
        <v>1521</v>
      </c>
      <c r="I319" t="s">
        <v>1521</v>
      </c>
      <c r="J319" t="s">
        <v>1360</v>
      </c>
      <c r="K319" t="s">
        <v>1361</v>
      </c>
      <c r="L319" s="33">
        <v>291.69</v>
      </c>
    </row>
    <row r="320" spans="1:12" x14ac:dyDescent="0.25">
      <c r="A320" t="s">
        <v>1520</v>
      </c>
      <c r="B320" t="s">
        <v>1372</v>
      </c>
      <c r="C320" t="s">
        <v>9</v>
      </c>
      <c r="D320" t="s">
        <v>1210</v>
      </c>
      <c r="E320" t="s">
        <v>1194</v>
      </c>
      <c r="F320" t="s">
        <v>1373</v>
      </c>
      <c r="G320" t="s">
        <v>1212</v>
      </c>
      <c r="H320" t="s">
        <v>1521</v>
      </c>
      <c r="I320" t="s">
        <v>1521</v>
      </c>
      <c r="J320" t="s">
        <v>1374</v>
      </c>
      <c r="K320" t="s">
        <v>1374</v>
      </c>
      <c r="L320" s="33">
        <v>2542</v>
      </c>
    </row>
    <row r="321" spans="1:12" x14ac:dyDescent="0.25">
      <c r="A321" t="s">
        <v>1520</v>
      </c>
      <c r="B321" t="s">
        <v>1378</v>
      </c>
      <c r="C321" t="s">
        <v>9</v>
      </c>
      <c r="D321" t="s">
        <v>1210</v>
      </c>
      <c r="E321" t="s">
        <v>1194</v>
      </c>
      <c r="F321" t="s">
        <v>1379</v>
      </c>
      <c r="G321" t="s">
        <v>1212</v>
      </c>
      <c r="H321" t="s">
        <v>1521</v>
      </c>
      <c r="I321" t="s">
        <v>1521</v>
      </c>
      <c r="J321" t="s">
        <v>1380</v>
      </c>
      <c r="K321" t="s">
        <v>1380</v>
      </c>
      <c r="L321" s="33">
        <v>12.85</v>
      </c>
    </row>
    <row r="322" spans="1:12" x14ac:dyDescent="0.25">
      <c r="A322" t="s">
        <v>1520</v>
      </c>
      <c r="B322" t="s">
        <v>1381</v>
      </c>
      <c r="C322" t="s">
        <v>9</v>
      </c>
      <c r="D322" t="s">
        <v>1210</v>
      </c>
      <c r="E322" t="s">
        <v>1194</v>
      </c>
      <c r="F322" t="s">
        <v>1382</v>
      </c>
      <c r="G322" t="s">
        <v>1212</v>
      </c>
      <c r="H322" t="s">
        <v>1521</v>
      </c>
      <c r="I322" t="s">
        <v>1521</v>
      </c>
      <c r="J322" t="s">
        <v>1383</v>
      </c>
      <c r="K322" t="s">
        <v>1334</v>
      </c>
      <c r="L322" s="33">
        <v>4838.17</v>
      </c>
    </row>
    <row r="323" spans="1:12" x14ac:dyDescent="0.25">
      <c r="A323" t="s">
        <v>1520</v>
      </c>
      <c r="B323" t="s">
        <v>1384</v>
      </c>
      <c r="C323" t="s">
        <v>9</v>
      </c>
      <c r="D323" t="s">
        <v>1210</v>
      </c>
      <c r="E323" t="s">
        <v>1194</v>
      </c>
      <c r="F323" t="s">
        <v>1385</v>
      </c>
      <c r="G323" t="s">
        <v>1212</v>
      </c>
      <c r="H323" t="s">
        <v>1521</v>
      </c>
      <c r="I323" t="s">
        <v>1521</v>
      </c>
      <c r="J323" t="s">
        <v>1386</v>
      </c>
      <c r="K323" t="s">
        <v>1386</v>
      </c>
      <c r="L323" s="33">
        <v>19.63</v>
      </c>
    </row>
    <row r="324" spans="1:12" x14ac:dyDescent="0.25">
      <c r="A324" t="s">
        <v>1520</v>
      </c>
      <c r="B324" t="s">
        <v>1394</v>
      </c>
      <c r="C324" t="s">
        <v>9</v>
      </c>
      <c r="D324" t="s">
        <v>1210</v>
      </c>
      <c r="E324" t="s">
        <v>1194</v>
      </c>
      <c r="F324" t="s">
        <v>1395</v>
      </c>
      <c r="G324" t="s">
        <v>1212</v>
      </c>
      <c r="H324" t="s">
        <v>1521</v>
      </c>
      <c r="I324" t="s">
        <v>1521</v>
      </c>
      <c r="J324" t="s">
        <v>1396</v>
      </c>
      <c r="K324" t="s">
        <v>1390</v>
      </c>
      <c r="L324" s="33">
        <v>231</v>
      </c>
    </row>
    <row r="325" spans="1:12" x14ac:dyDescent="0.25">
      <c r="A325" t="s">
        <v>1520</v>
      </c>
      <c r="B325" t="s">
        <v>1400</v>
      </c>
      <c r="C325" t="s">
        <v>9</v>
      </c>
      <c r="D325" t="s">
        <v>1210</v>
      </c>
      <c r="E325" t="s">
        <v>1194</v>
      </c>
      <c r="F325" t="s">
        <v>1401</v>
      </c>
      <c r="G325" t="s">
        <v>1212</v>
      </c>
      <c r="H325" t="s">
        <v>1521</v>
      </c>
      <c r="I325" t="s">
        <v>1521</v>
      </c>
      <c r="J325" t="s">
        <v>1402</v>
      </c>
      <c r="K325" t="s">
        <v>1390</v>
      </c>
      <c r="L325" s="33">
        <v>16.670000000000002</v>
      </c>
    </row>
    <row r="326" spans="1:12" x14ac:dyDescent="0.25">
      <c r="A326" t="s">
        <v>1520</v>
      </c>
      <c r="B326" t="s">
        <v>1522</v>
      </c>
      <c r="C326" t="s">
        <v>9</v>
      </c>
      <c r="D326" t="s">
        <v>1210</v>
      </c>
      <c r="E326" t="s">
        <v>1194</v>
      </c>
      <c r="F326" t="s">
        <v>1523</v>
      </c>
      <c r="G326" t="s">
        <v>1212</v>
      </c>
      <c r="H326" t="s">
        <v>1521</v>
      </c>
      <c r="I326" t="s">
        <v>1521</v>
      </c>
      <c r="J326" t="s">
        <v>1524</v>
      </c>
      <c r="K326" t="s">
        <v>1524</v>
      </c>
      <c r="L326" s="33">
        <v>4270</v>
      </c>
    </row>
    <row r="327" spans="1:12" x14ac:dyDescent="0.25">
      <c r="A327" t="s">
        <v>1520</v>
      </c>
      <c r="B327" t="s">
        <v>1525</v>
      </c>
      <c r="C327" t="s">
        <v>9</v>
      </c>
      <c r="D327" t="s">
        <v>1210</v>
      </c>
      <c r="E327" t="s">
        <v>1194</v>
      </c>
      <c r="F327" t="s">
        <v>1526</v>
      </c>
      <c r="G327" t="s">
        <v>1212</v>
      </c>
      <c r="H327" t="s">
        <v>1521</v>
      </c>
      <c r="I327" t="s">
        <v>1521</v>
      </c>
      <c r="J327" t="s">
        <v>1527</v>
      </c>
      <c r="K327" t="s">
        <v>1528</v>
      </c>
      <c r="L327" s="33">
        <v>2328.4699999999998</v>
      </c>
    </row>
    <row r="328" spans="1:12" x14ac:dyDescent="0.25">
      <c r="A328" t="s">
        <v>1520</v>
      </c>
      <c r="B328" t="s">
        <v>1529</v>
      </c>
      <c r="C328" t="s">
        <v>9</v>
      </c>
      <c r="D328" t="s">
        <v>1210</v>
      </c>
      <c r="E328" t="s">
        <v>1194</v>
      </c>
      <c r="F328" t="s">
        <v>1530</v>
      </c>
      <c r="G328" t="s">
        <v>1212</v>
      </c>
      <c r="H328" t="s">
        <v>1521</v>
      </c>
      <c r="I328" t="s">
        <v>1521</v>
      </c>
      <c r="J328" t="s">
        <v>1531</v>
      </c>
      <c r="K328" t="s">
        <v>1531</v>
      </c>
      <c r="L328" s="33">
        <v>7.94</v>
      </c>
    </row>
    <row r="329" spans="1:12" x14ac:dyDescent="0.25">
      <c r="A329" t="s">
        <v>1520</v>
      </c>
      <c r="B329" t="s">
        <v>1433</v>
      </c>
      <c r="C329" t="s">
        <v>9</v>
      </c>
      <c r="D329" t="s">
        <v>1210</v>
      </c>
      <c r="E329" t="s">
        <v>1194</v>
      </c>
      <c r="F329" t="s">
        <v>1434</v>
      </c>
      <c r="G329" t="s">
        <v>1212</v>
      </c>
      <c r="H329" t="s">
        <v>1521</v>
      </c>
      <c r="I329" t="s">
        <v>1521</v>
      </c>
      <c r="J329" t="s">
        <v>1435</v>
      </c>
      <c r="K329" t="s">
        <v>1436</v>
      </c>
      <c r="L329" s="33">
        <v>607.04</v>
      </c>
    </row>
    <row r="330" spans="1:12" x14ac:dyDescent="0.25">
      <c r="A330" t="s">
        <v>1520</v>
      </c>
      <c r="B330" t="s">
        <v>1439</v>
      </c>
      <c r="C330" t="s">
        <v>9</v>
      </c>
      <c r="D330" t="s">
        <v>1210</v>
      </c>
      <c r="E330" t="s">
        <v>1194</v>
      </c>
      <c r="F330" t="s">
        <v>1440</v>
      </c>
      <c r="G330" t="s">
        <v>1212</v>
      </c>
      <c r="H330" t="s">
        <v>1521</v>
      </c>
      <c r="I330" t="s">
        <v>1521</v>
      </c>
      <c r="J330" t="s">
        <v>1441</v>
      </c>
      <c r="K330" t="s">
        <v>1441</v>
      </c>
      <c r="L330" s="33">
        <v>22.89</v>
      </c>
    </row>
    <row r="331" spans="1:12" x14ac:dyDescent="0.25">
      <c r="A331" t="s">
        <v>1520</v>
      </c>
      <c r="B331" t="s">
        <v>1532</v>
      </c>
      <c r="C331" t="s">
        <v>9</v>
      </c>
      <c r="D331" t="s">
        <v>1210</v>
      </c>
      <c r="E331" t="s">
        <v>1194</v>
      </c>
      <c r="F331" t="s">
        <v>1533</v>
      </c>
      <c r="G331" t="s">
        <v>1212</v>
      </c>
      <c r="H331" t="s">
        <v>1534</v>
      </c>
      <c r="I331" t="s">
        <v>1534</v>
      </c>
      <c r="J331" t="s">
        <v>1535</v>
      </c>
      <c r="K331" t="s">
        <v>1334</v>
      </c>
      <c r="L331" s="33">
        <v>1427.77</v>
      </c>
    </row>
    <row r="332" spans="1:12" x14ac:dyDescent="0.25">
      <c r="A332" t="s">
        <v>1520</v>
      </c>
      <c r="B332" t="s">
        <v>1341</v>
      </c>
      <c r="C332" t="s">
        <v>9</v>
      </c>
      <c r="D332" t="s">
        <v>1210</v>
      </c>
      <c r="E332" t="s">
        <v>1194</v>
      </c>
      <c r="F332" t="s">
        <v>1342</v>
      </c>
      <c r="G332" t="s">
        <v>1212</v>
      </c>
      <c r="H332" t="s">
        <v>1534</v>
      </c>
      <c r="I332" t="s">
        <v>1534</v>
      </c>
      <c r="J332" t="s">
        <v>1343</v>
      </c>
      <c r="K332" t="s">
        <v>1334</v>
      </c>
      <c r="L332" s="33">
        <v>2637.41</v>
      </c>
    </row>
    <row r="333" spans="1:12" x14ac:dyDescent="0.25">
      <c r="A333" t="s">
        <v>1520</v>
      </c>
      <c r="B333" t="s">
        <v>1536</v>
      </c>
      <c r="C333" t="s">
        <v>9</v>
      </c>
      <c r="D333" t="s">
        <v>1210</v>
      </c>
      <c r="E333" t="s">
        <v>1194</v>
      </c>
      <c r="F333" t="s">
        <v>1537</v>
      </c>
      <c r="G333" t="s">
        <v>1212</v>
      </c>
      <c r="H333" t="s">
        <v>1534</v>
      </c>
      <c r="I333" t="s">
        <v>1534</v>
      </c>
      <c r="J333" t="s">
        <v>1018</v>
      </c>
      <c r="K333" t="s">
        <v>1538</v>
      </c>
      <c r="L333" s="33">
        <v>697</v>
      </c>
    </row>
    <row r="334" spans="1:12" x14ac:dyDescent="0.25">
      <c r="A334" t="s">
        <v>1520</v>
      </c>
      <c r="B334" t="s">
        <v>1539</v>
      </c>
      <c r="C334" t="s">
        <v>9</v>
      </c>
      <c r="D334" t="s">
        <v>1210</v>
      </c>
      <c r="E334" t="s">
        <v>1194</v>
      </c>
      <c r="F334" t="s">
        <v>1540</v>
      </c>
      <c r="G334" t="s">
        <v>1212</v>
      </c>
      <c r="H334" t="s">
        <v>1534</v>
      </c>
      <c r="I334" t="s">
        <v>1534</v>
      </c>
      <c r="J334" t="s">
        <v>1541</v>
      </c>
      <c r="K334" t="s">
        <v>1347</v>
      </c>
      <c r="L334" s="33">
        <v>3561.41</v>
      </c>
    </row>
    <row r="335" spans="1:12" x14ac:dyDescent="0.25">
      <c r="A335" t="s">
        <v>1520</v>
      </c>
      <c r="B335" t="s">
        <v>1542</v>
      </c>
      <c r="C335" t="s">
        <v>9</v>
      </c>
      <c r="D335" t="s">
        <v>1210</v>
      </c>
      <c r="E335" t="s">
        <v>1194</v>
      </c>
      <c r="F335" t="s">
        <v>1543</v>
      </c>
      <c r="G335" t="s">
        <v>1212</v>
      </c>
      <c r="H335" t="s">
        <v>1534</v>
      </c>
      <c r="I335" t="s">
        <v>1534</v>
      </c>
      <c r="J335" t="s">
        <v>1544</v>
      </c>
      <c r="K335" t="s">
        <v>1347</v>
      </c>
      <c r="L335" s="33">
        <v>769.01</v>
      </c>
    </row>
    <row r="336" spans="1:12" x14ac:dyDescent="0.25">
      <c r="A336" t="s">
        <v>1520</v>
      </c>
      <c r="B336" t="s">
        <v>1344</v>
      </c>
      <c r="C336" t="s">
        <v>9</v>
      </c>
      <c r="D336" t="s">
        <v>1210</v>
      </c>
      <c r="E336" t="s">
        <v>1194</v>
      </c>
      <c r="F336" t="s">
        <v>1345</v>
      </c>
      <c r="G336" t="s">
        <v>1212</v>
      </c>
      <c r="H336" t="s">
        <v>1534</v>
      </c>
      <c r="I336" t="s">
        <v>1534</v>
      </c>
      <c r="J336" t="s">
        <v>1346</v>
      </c>
      <c r="K336" t="s">
        <v>1347</v>
      </c>
      <c r="L336" s="33">
        <v>-3120</v>
      </c>
    </row>
    <row r="337" spans="1:12" x14ac:dyDescent="0.25">
      <c r="A337" t="s">
        <v>1520</v>
      </c>
      <c r="B337" t="s">
        <v>1545</v>
      </c>
      <c r="C337" t="s">
        <v>9</v>
      </c>
      <c r="D337" t="s">
        <v>1210</v>
      </c>
      <c r="E337" t="s">
        <v>1194</v>
      </c>
      <c r="F337" t="s">
        <v>1546</v>
      </c>
      <c r="G337" t="s">
        <v>1212</v>
      </c>
      <c r="H337" t="s">
        <v>1534</v>
      </c>
      <c r="I337" t="s">
        <v>1534</v>
      </c>
      <c r="J337" t="s">
        <v>1547</v>
      </c>
      <c r="K337" t="s">
        <v>1351</v>
      </c>
      <c r="L337" s="33">
        <v>1202.47</v>
      </c>
    </row>
    <row r="338" spans="1:12" x14ac:dyDescent="0.25">
      <c r="A338" t="s">
        <v>1520</v>
      </c>
      <c r="B338" t="s">
        <v>1548</v>
      </c>
      <c r="C338" t="s">
        <v>9</v>
      </c>
      <c r="D338" t="s">
        <v>1210</v>
      </c>
      <c r="E338" t="s">
        <v>1194</v>
      </c>
      <c r="F338" t="s">
        <v>1549</v>
      </c>
      <c r="G338" t="s">
        <v>1212</v>
      </c>
      <c r="H338" t="s">
        <v>1534</v>
      </c>
      <c r="I338" t="s">
        <v>1534</v>
      </c>
      <c r="J338" t="s">
        <v>1550</v>
      </c>
      <c r="K338" t="s">
        <v>1551</v>
      </c>
      <c r="L338" s="33">
        <v>2497.9899999999998</v>
      </c>
    </row>
    <row r="339" spans="1:12" x14ac:dyDescent="0.25">
      <c r="A339" t="s">
        <v>1520</v>
      </c>
      <c r="B339" t="s">
        <v>1552</v>
      </c>
      <c r="C339" t="s">
        <v>9</v>
      </c>
      <c r="D339" t="s">
        <v>1210</v>
      </c>
      <c r="E339" t="s">
        <v>1194</v>
      </c>
      <c r="F339" t="s">
        <v>1553</v>
      </c>
      <c r="G339" t="s">
        <v>1212</v>
      </c>
      <c r="H339" t="s">
        <v>1534</v>
      </c>
      <c r="I339" t="s">
        <v>1534</v>
      </c>
      <c r="J339" t="s">
        <v>1554</v>
      </c>
      <c r="K339" t="s">
        <v>1351</v>
      </c>
      <c r="L339" s="33">
        <v>2343.71</v>
      </c>
    </row>
    <row r="340" spans="1:12" x14ac:dyDescent="0.25">
      <c r="A340" t="s">
        <v>1520</v>
      </c>
      <c r="B340" t="s">
        <v>1348</v>
      </c>
      <c r="C340" t="s">
        <v>9</v>
      </c>
      <c r="D340" t="s">
        <v>1210</v>
      </c>
      <c r="E340" t="s">
        <v>1194</v>
      </c>
      <c r="F340" t="s">
        <v>1349</v>
      </c>
      <c r="G340" t="s">
        <v>1212</v>
      </c>
      <c r="H340" t="s">
        <v>1534</v>
      </c>
      <c r="I340" t="s">
        <v>1534</v>
      </c>
      <c r="J340" t="s">
        <v>1350</v>
      </c>
      <c r="K340" t="s">
        <v>1351</v>
      </c>
      <c r="L340" s="33">
        <v>1074.02</v>
      </c>
    </row>
    <row r="341" spans="1:12" x14ac:dyDescent="0.25">
      <c r="A341" t="s">
        <v>1520</v>
      </c>
      <c r="B341" t="s">
        <v>1352</v>
      </c>
      <c r="C341" t="s">
        <v>9</v>
      </c>
      <c r="D341" t="s">
        <v>1210</v>
      </c>
      <c r="E341" t="s">
        <v>1194</v>
      </c>
      <c r="F341" t="s">
        <v>1353</v>
      </c>
      <c r="G341" t="s">
        <v>1212</v>
      </c>
      <c r="H341" t="s">
        <v>1534</v>
      </c>
      <c r="I341" t="s">
        <v>1534</v>
      </c>
      <c r="J341" t="s">
        <v>1354</v>
      </c>
      <c r="K341" t="s">
        <v>1351</v>
      </c>
      <c r="L341" s="33">
        <v>365.37</v>
      </c>
    </row>
    <row r="342" spans="1:12" x14ac:dyDescent="0.25">
      <c r="A342" t="s">
        <v>1520</v>
      </c>
      <c r="B342" t="s">
        <v>1555</v>
      </c>
      <c r="C342" t="s">
        <v>9</v>
      </c>
      <c r="D342" t="s">
        <v>1210</v>
      </c>
      <c r="E342" t="s">
        <v>1194</v>
      </c>
      <c r="F342" t="s">
        <v>1556</v>
      </c>
      <c r="G342" t="s">
        <v>1212</v>
      </c>
      <c r="H342" t="s">
        <v>1534</v>
      </c>
      <c r="I342" t="s">
        <v>1534</v>
      </c>
      <c r="J342" t="s">
        <v>1557</v>
      </c>
      <c r="K342" t="s">
        <v>1557</v>
      </c>
      <c r="L342" s="33">
        <v>29442.84</v>
      </c>
    </row>
    <row r="343" spans="1:12" x14ac:dyDescent="0.25">
      <c r="A343" t="s">
        <v>1520</v>
      </c>
      <c r="B343" t="s">
        <v>1558</v>
      </c>
      <c r="C343" t="s">
        <v>9</v>
      </c>
      <c r="D343" t="s">
        <v>1210</v>
      </c>
      <c r="E343" t="s">
        <v>1194</v>
      </c>
      <c r="F343" t="s">
        <v>1559</v>
      </c>
      <c r="G343" t="s">
        <v>1212</v>
      </c>
      <c r="H343" t="s">
        <v>1534</v>
      </c>
      <c r="I343" t="s">
        <v>1534</v>
      </c>
      <c r="J343" t="s">
        <v>1560</v>
      </c>
      <c r="K343" t="s">
        <v>1557</v>
      </c>
      <c r="L343" s="33">
        <v>346.02</v>
      </c>
    </row>
    <row r="344" spans="1:12" x14ac:dyDescent="0.25">
      <c r="A344" t="s">
        <v>1520</v>
      </c>
      <c r="B344" t="s">
        <v>1384</v>
      </c>
      <c r="C344" t="s">
        <v>9</v>
      </c>
      <c r="D344" t="s">
        <v>1210</v>
      </c>
      <c r="E344" t="s">
        <v>1194</v>
      </c>
      <c r="F344" t="s">
        <v>1385</v>
      </c>
      <c r="G344" t="s">
        <v>1212</v>
      </c>
      <c r="H344" t="s">
        <v>1534</v>
      </c>
      <c r="I344" t="s">
        <v>1534</v>
      </c>
      <c r="J344" t="s">
        <v>1386</v>
      </c>
      <c r="K344" t="s">
        <v>1386</v>
      </c>
      <c r="L344" s="33">
        <v>13.32</v>
      </c>
    </row>
    <row r="345" spans="1:12" x14ac:dyDescent="0.25">
      <c r="A345" t="s">
        <v>1520</v>
      </c>
      <c r="B345" t="s">
        <v>1459</v>
      </c>
      <c r="C345" t="s">
        <v>9</v>
      </c>
      <c r="D345" t="s">
        <v>1210</v>
      </c>
      <c r="E345" t="s">
        <v>1194</v>
      </c>
      <c r="F345" t="s">
        <v>1460</v>
      </c>
      <c r="G345" t="s">
        <v>1212</v>
      </c>
      <c r="H345" t="s">
        <v>1534</v>
      </c>
      <c r="I345" t="s">
        <v>1534</v>
      </c>
      <c r="J345" t="s">
        <v>1461</v>
      </c>
      <c r="K345" t="s">
        <v>1461</v>
      </c>
      <c r="L345" s="33">
        <v>966.56</v>
      </c>
    </row>
    <row r="346" spans="1:12" x14ac:dyDescent="0.25">
      <c r="A346" t="s">
        <v>1520</v>
      </c>
      <c r="B346" t="s">
        <v>1387</v>
      </c>
      <c r="C346" t="s">
        <v>9</v>
      </c>
      <c r="D346" t="s">
        <v>1210</v>
      </c>
      <c r="E346" t="s">
        <v>1194</v>
      </c>
      <c r="F346" t="s">
        <v>1388</v>
      </c>
      <c r="G346" t="s">
        <v>1212</v>
      </c>
      <c r="H346" t="s">
        <v>1534</v>
      </c>
      <c r="I346" t="s">
        <v>1534</v>
      </c>
      <c r="J346" t="s">
        <v>1389</v>
      </c>
      <c r="K346" t="s">
        <v>1390</v>
      </c>
      <c r="L346" s="33">
        <v>147.11000000000001</v>
      </c>
    </row>
    <row r="347" spans="1:12" x14ac:dyDescent="0.25">
      <c r="A347" t="s">
        <v>1520</v>
      </c>
      <c r="B347" t="s">
        <v>1391</v>
      </c>
      <c r="C347" t="s">
        <v>9</v>
      </c>
      <c r="D347" t="s">
        <v>1210</v>
      </c>
      <c r="E347" t="s">
        <v>1194</v>
      </c>
      <c r="F347" t="s">
        <v>1392</v>
      </c>
      <c r="G347" t="s">
        <v>1212</v>
      </c>
      <c r="H347" t="s">
        <v>1534</v>
      </c>
      <c r="I347" t="s">
        <v>1534</v>
      </c>
      <c r="J347" t="s">
        <v>1393</v>
      </c>
      <c r="K347" t="s">
        <v>1390</v>
      </c>
      <c r="L347" s="33">
        <v>405.3</v>
      </c>
    </row>
    <row r="348" spans="1:12" x14ac:dyDescent="0.25">
      <c r="A348" t="s">
        <v>1520</v>
      </c>
      <c r="B348" t="s">
        <v>1400</v>
      </c>
      <c r="C348" t="s">
        <v>9</v>
      </c>
      <c r="D348" t="s">
        <v>1210</v>
      </c>
      <c r="E348" t="s">
        <v>1194</v>
      </c>
      <c r="F348" t="s">
        <v>1401</v>
      </c>
      <c r="G348" t="s">
        <v>1212</v>
      </c>
      <c r="H348" t="s">
        <v>1534</v>
      </c>
      <c r="I348" t="s">
        <v>1534</v>
      </c>
      <c r="J348" t="s">
        <v>1402</v>
      </c>
      <c r="K348" t="s">
        <v>1390</v>
      </c>
      <c r="L348" s="33">
        <v>67.540000000000006</v>
      </c>
    </row>
    <row r="349" spans="1:12" x14ac:dyDescent="0.25">
      <c r="A349" t="s">
        <v>1520</v>
      </c>
      <c r="B349" t="s">
        <v>1403</v>
      </c>
      <c r="C349" t="s">
        <v>9</v>
      </c>
      <c r="D349" t="s">
        <v>1210</v>
      </c>
      <c r="E349" t="s">
        <v>1194</v>
      </c>
      <c r="F349" t="s">
        <v>1404</v>
      </c>
      <c r="G349" t="s">
        <v>1212</v>
      </c>
      <c r="H349" t="s">
        <v>1534</v>
      </c>
      <c r="I349" t="s">
        <v>1534</v>
      </c>
      <c r="J349" t="s">
        <v>1405</v>
      </c>
      <c r="K349" t="s">
        <v>1390</v>
      </c>
      <c r="L349" s="33">
        <v>95.47</v>
      </c>
    </row>
    <row r="350" spans="1:12" x14ac:dyDescent="0.25">
      <c r="A350" t="s">
        <v>1520</v>
      </c>
      <c r="B350" t="s">
        <v>1561</v>
      </c>
      <c r="C350" t="s">
        <v>9</v>
      </c>
      <c r="D350" t="s">
        <v>1210</v>
      </c>
      <c r="E350" t="s">
        <v>1194</v>
      </c>
      <c r="F350" t="s">
        <v>1562</v>
      </c>
      <c r="G350" t="s">
        <v>1212</v>
      </c>
      <c r="H350" t="s">
        <v>1534</v>
      </c>
      <c r="I350" t="s">
        <v>1534</v>
      </c>
      <c r="J350" t="s">
        <v>1563</v>
      </c>
      <c r="K350" t="s">
        <v>1421</v>
      </c>
      <c r="L350" s="33">
        <v>1507.04</v>
      </c>
    </row>
    <row r="351" spans="1:12" x14ac:dyDescent="0.25">
      <c r="A351" t="s">
        <v>1520</v>
      </c>
      <c r="B351" t="s">
        <v>1419</v>
      </c>
      <c r="C351" t="s">
        <v>9</v>
      </c>
      <c r="D351" t="s">
        <v>1210</v>
      </c>
      <c r="E351" t="s">
        <v>1194</v>
      </c>
      <c r="F351" t="s">
        <v>1420</v>
      </c>
      <c r="G351" t="s">
        <v>1212</v>
      </c>
      <c r="H351" t="s">
        <v>1534</v>
      </c>
      <c r="I351" t="s">
        <v>1534</v>
      </c>
      <c r="J351" t="s">
        <v>1421</v>
      </c>
      <c r="K351" t="s">
        <v>1421</v>
      </c>
      <c r="L351" s="33">
        <v>426.34</v>
      </c>
    </row>
    <row r="352" spans="1:12" x14ac:dyDescent="0.25">
      <c r="A352" t="s">
        <v>1520</v>
      </c>
      <c r="B352" t="s">
        <v>1564</v>
      </c>
      <c r="C352" t="s">
        <v>9</v>
      </c>
      <c r="D352" t="s">
        <v>1210</v>
      </c>
      <c r="E352" t="s">
        <v>1194</v>
      </c>
      <c r="F352" t="s">
        <v>1565</v>
      </c>
      <c r="G352" t="s">
        <v>1212</v>
      </c>
      <c r="H352" t="s">
        <v>1534</v>
      </c>
      <c r="I352" t="s">
        <v>1534</v>
      </c>
      <c r="J352" t="s">
        <v>1566</v>
      </c>
      <c r="K352" t="s">
        <v>1566</v>
      </c>
      <c r="L352" s="33">
        <v>8854.4699999999993</v>
      </c>
    </row>
    <row r="353" spans="1:12" x14ac:dyDescent="0.25">
      <c r="A353" t="s">
        <v>1520</v>
      </c>
      <c r="B353" t="s">
        <v>1567</v>
      </c>
      <c r="C353" t="s">
        <v>9</v>
      </c>
      <c r="D353" t="s">
        <v>1210</v>
      </c>
      <c r="E353" t="s">
        <v>1194</v>
      </c>
      <c r="F353" t="s">
        <v>1568</v>
      </c>
      <c r="G353" t="s">
        <v>1212</v>
      </c>
      <c r="H353" t="s">
        <v>1534</v>
      </c>
      <c r="I353" t="s">
        <v>1534</v>
      </c>
      <c r="J353" t="s">
        <v>1569</v>
      </c>
      <c r="K353" t="s">
        <v>1436</v>
      </c>
      <c r="L353" s="33">
        <v>1972.57</v>
      </c>
    </row>
    <row r="354" spans="1:12" x14ac:dyDescent="0.25">
      <c r="A354" t="s">
        <v>1520</v>
      </c>
      <c r="B354" t="s">
        <v>1433</v>
      </c>
      <c r="C354" t="s">
        <v>9</v>
      </c>
      <c r="D354" t="s">
        <v>1210</v>
      </c>
      <c r="E354" t="s">
        <v>1194</v>
      </c>
      <c r="F354" t="s">
        <v>1434</v>
      </c>
      <c r="G354" t="s">
        <v>1212</v>
      </c>
      <c r="H354" t="s">
        <v>1534</v>
      </c>
      <c r="I354" t="s">
        <v>1534</v>
      </c>
      <c r="J354" t="s">
        <v>1435</v>
      </c>
      <c r="K354" t="s">
        <v>1436</v>
      </c>
      <c r="L354" s="33">
        <v>8207.2000000000007</v>
      </c>
    </row>
    <row r="355" spans="1:12" x14ac:dyDescent="0.25">
      <c r="A355" t="s">
        <v>1520</v>
      </c>
      <c r="B355" t="s">
        <v>1570</v>
      </c>
      <c r="C355" t="s">
        <v>9</v>
      </c>
      <c r="D355" t="s">
        <v>1210</v>
      </c>
      <c r="E355" t="s">
        <v>1194</v>
      </c>
      <c r="F355" t="s">
        <v>1571</v>
      </c>
      <c r="G355" t="s">
        <v>1212</v>
      </c>
      <c r="H355" t="s">
        <v>1534</v>
      </c>
      <c r="I355" t="s">
        <v>1534</v>
      </c>
      <c r="J355" t="s">
        <v>1572</v>
      </c>
      <c r="K355" t="s">
        <v>1531</v>
      </c>
      <c r="L355" s="33">
        <v>402</v>
      </c>
    </row>
    <row r="356" spans="1:12" x14ac:dyDescent="0.25">
      <c r="A356" t="s">
        <v>1520</v>
      </c>
      <c r="B356" t="s">
        <v>1439</v>
      </c>
      <c r="C356" t="s">
        <v>9</v>
      </c>
      <c r="D356" t="s">
        <v>1210</v>
      </c>
      <c r="E356" t="s">
        <v>1194</v>
      </c>
      <c r="F356" t="s">
        <v>1440</v>
      </c>
      <c r="G356" t="s">
        <v>1212</v>
      </c>
      <c r="H356" t="s">
        <v>1534</v>
      </c>
      <c r="I356" t="s">
        <v>1534</v>
      </c>
      <c r="J356" t="s">
        <v>1441</v>
      </c>
      <c r="K356" t="s">
        <v>1441</v>
      </c>
      <c r="L356" s="33">
        <v>1387.23</v>
      </c>
    </row>
    <row r="357" spans="1:12" x14ac:dyDescent="0.25">
      <c r="A357" t="s">
        <v>1520</v>
      </c>
      <c r="B357" t="s">
        <v>1573</v>
      </c>
      <c r="C357" t="s">
        <v>9</v>
      </c>
      <c r="D357" t="s">
        <v>1210</v>
      </c>
      <c r="E357" t="s">
        <v>1194</v>
      </c>
      <c r="F357" t="s">
        <v>1574</v>
      </c>
      <c r="G357" t="s">
        <v>1212</v>
      </c>
      <c r="H357" t="s">
        <v>1534</v>
      </c>
      <c r="I357" t="s">
        <v>1534</v>
      </c>
      <c r="J357" t="s">
        <v>1575</v>
      </c>
      <c r="K357" t="s">
        <v>1575</v>
      </c>
      <c r="L357" s="33">
        <v>-1522.57</v>
      </c>
    </row>
    <row r="358" spans="1:12" x14ac:dyDescent="0.25">
      <c r="A358" t="s">
        <v>1520</v>
      </c>
      <c r="B358" t="s">
        <v>1327</v>
      </c>
      <c r="C358" t="s">
        <v>9</v>
      </c>
      <c r="D358" t="s">
        <v>1210</v>
      </c>
      <c r="E358" t="s">
        <v>1194</v>
      </c>
      <c r="F358" t="s">
        <v>1328</v>
      </c>
      <c r="G358" t="s">
        <v>1212</v>
      </c>
      <c r="H358" t="s">
        <v>1588</v>
      </c>
      <c r="I358" t="s">
        <v>1588</v>
      </c>
      <c r="J358" t="s">
        <v>1330</v>
      </c>
      <c r="K358" t="s">
        <v>1330</v>
      </c>
      <c r="L358" s="33">
        <v>2968</v>
      </c>
    </row>
    <row r="359" spans="1:12" x14ac:dyDescent="0.25">
      <c r="A359" t="s">
        <v>1520</v>
      </c>
      <c r="B359" t="s">
        <v>1447</v>
      </c>
      <c r="C359" t="s">
        <v>9</v>
      </c>
      <c r="D359" t="s">
        <v>1210</v>
      </c>
      <c r="E359" t="s">
        <v>1194</v>
      </c>
      <c r="F359" t="s">
        <v>1448</v>
      </c>
      <c r="G359" t="s">
        <v>1212</v>
      </c>
      <c r="H359" t="s">
        <v>1588</v>
      </c>
      <c r="I359" t="s">
        <v>1588</v>
      </c>
      <c r="J359" t="s">
        <v>1449</v>
      </c>
      <c r="K359" t="s">
        <v>1334</v>
      </c>
      <c r="L359" s="33">
        <v>296.8</v>
      </c>
    </row>
    <row r="360" spans="1:12" x14ac:dyDescent="0.25">
      <c r="A360" t="s">
        <v>1520</v>
      </c>
      <c r="B360" t="s">
        <v>1450</v>
      </c>
      <c r="C360" t="s">
        <v>9</v>
      </c>
      <c r="D360" t="s">
        <v>1210</v>
      </c>
      <c r="E360" t="s">
        <v>1194</v>
      </c>
      <c r="F360" t="s">
        <v>1451</v>
      </c>
      <c r="G360" t="s">
        <v>1212</v>
      </c>
      <c r="H360" t="s">
        <v>1588</v>
      </c>
      <c r="I360" t="s">
        <v>1588</v>
      </c>
      <c r="J360" t="s">
        <v>1452</v>
      </c>
      <c r="K360" t="s">
        <v>1330</v>
      </c>
      <c r="L360" s="33">
        <v>-296.8</v>
      </c>
    </row>
    <row r="361" spans="1:12" x14ac:dyDescent="0.25">
      <c r="A361" t="s">
        <v>1520</v>
      </c>
      <c r="B361" t="s">
        <v>1341</v>
      </c>
      <c r="C361" t="s">
        <v>9</v>
      </c>
      <c r="D361" t="s">
        <v>1210</v>
      </c>
      <c r="E361" t="s">
        <v>1194</v>
      </c>
      <c r="F361" t="s">
        <v>1342</v>
      </c>
      <c r="G361" t="s">
        <v>1212</v>
      </c>
      <c r="H361" t="s">
        <v>1588</v>
      </c>
      <c r="I361" t="s">
        <v>1588</v>
      </c>
      <c r="J361" t="s">
        <v>1343</v>
      </c>
      <c r="K361" t="s">
        <v>1334</v>
      </c>
      <c r="L361" s="33">
        <v>30</v>
      </c>
    </row>
    <row r="362" spans="1:12" x14ac:dyDescent="0.25">
      <c r="A362" t="s">
        <v>1520</v>
      </c>
      <c r="B362" t="s">
        <v>1344</v>
      </c>
      <c r="C362" t="s">
        <v>9</v>
      </c>
      <c r="D362" t="s">
        <v>1210</v>
      </c>
      <c r="E362" t="s">
        <v>1194</v>
      </c>
      <c r="F362" t="s">
        <v>1345</v>
      </c>
      <c r="G362" t="s">
        <v>1212</v>
      </c>
      <c r="H362" t="s">
        <v>1588</v>
      </c>
      <c r="I362" t="s">
        <v>1588</v>
      </c>
      <c r="J362" t="s">
        <v>1346</v>
      </c>
      <c r="K362" t="s">
        <v>1347</v>
      </c>
      <c r="L362" s="33">
        <v>40</v>
      </c>
    </row>
    <row r="363" spans="1:12" x14ac:dyDescent="0.25">
      <c r="A363" t="s">
        <v>1520</v>
      </c>
      <c r="B363" t="s">
        <v>1352</v>
      </c>
      <c r="C363" t="s">
        <v>9</v>
      </c>
      <c r="D363" t="s">
        <v>1210</v>
      </c>
      <c r="E363" t="s">
        <v>1194</v>
      </c>
      <c r="F363" t="s">
        <v>1353</v>
      </c>
      <c r="G363" t="s">
        <v>1212</v>
      </c>
      <c r="H363" t="s">
        <v>1588</v>
      </c>
      <c r="I363" t="s">
        <v>1588</v>
      </c>
      <c r="J363" t="s">
        <v>1354</v>
      </c>
      <c r="K363" t="s">
        <v>1351</v>
      </c>
      <c r="L363" s="33">
        <v>10.78</v>
      </c>
    </row>
    <row r="364" spans="1:12" x14ac:dyDescent="0.25">
      <c r="A364" t="s">
        <v>1520</v>
      </c>
      <c r="B364" t="s">
        <v>1355</v>
      </c>
      <c r="C364" t="s">
        <v>9</v>
      </c>
      <c r="D364" t="s">
        <v>1210</v>
      </c>
      <c r="E364" t="s">
        <v>1194</v>
      </c>
      <c r="F364" t="s">
        <v>1356</v>
      </c>
      <c r="G364" t="s">
        <v>1212</v>
      </c>
      <c r="H364" t="s">
        <v>1588</v>
      </c>
      <c r="I364" t="s">
        <v>1588</v>
      </c>
      <c r="J364" t="s">
        <v>1357</v>
      </c>
      <c r="K364" t="s">
        <v>1351</v>
      </c>
      <c r="L364" s="33">
        <v>24.8</v>
      </c>
    </row>
    <row r="365" spans="1:12" x14ac:dyDescent="0.25">
      <c r="A365" t="s">
        <v>1520</v>
      </c>
      <c r="B365" t="s">
        <v>1358</v>
      </c>
      <c r="C365" t="s">
        <v>9</v>
      </c>
      <c r="D365" t="s">
        <v>1210</v>
      </c>
      <c r="E365" t="s">
        <v>1194</v>
      </c>
      <c r="F365" t="s">
        <v>1359</v>
      </c>
      <c r="G365" t="s">
        <v>1212</v>
      </c>
      <c r="H365" t="s">
        <v>1588</v>
      </c>
      <c r="I365" t="s">
        <v>1588</v>
      </c>
      <c r="J365" t="s">
        <v>1360</v>
      </c>
      <c r="K365" t="s">
        <v>1361</v>
      </c>
      <c r="L365" s="33">
        <v>62.15</v>
      </c>
    </row>
    <row r="366" spans="1:12" x14ac:dyDescent="0.25">
      <c r="A366" t="s">
        <v>1520</v>
      </c>
      <c r="B366" t="s">
        <v>1372</v>
      </c>
      <c r="C366" t="s">
        <v>9</v>
      </c>
      <c r="D366" t="s">
        <v>1210</v>
      </c>
      <c r="E366" t="s">
        <v>1194</v>
      </c>
      <c r="F366" t="s">
        <v>1373</v>
      </c>
      <c r="G366" t="s">
        <v>1212</v>
      </c>
      <c r="H366" t="s">
        <v>1588</v>
      </c>
      <c r="I366" t="s">
        <v>1588</v>
      </c>
      <c r="J366" t="s">
        <v>1374</v>
      </c>
      <c r="K366" t="s">
        <v>1374</v>
      </c>
      <c r="L366" s="33">
        <v>567.71</v>
      </c>
    </row>
    <row r="367" spans="1:12" x14ac:dyDescent="0.25">
      <c r="A367" t="s">
        <v>1520</v>
      </c>
      <c r="B367" t="s">
        <v>1378</v>
      </c>
      <c r="C367" t="s">
        <v>9</v>
      </c>
      <c r="D367" t="s">
        <v>1210</v>
      </c>
      <c r="E367" t="s">
        <v>1194</v>
      </c>
      <c r="F367" t="s">
        <v>1379</v>
      </c>
      <c r="G367" t="s">
        <v>1212</v>
      </c>
      <c r="H367" t="s">
        <v>1588</v>
      </c>
      <c r="I367" t="s">
        <v>1588</v>
      </c>
      <c r="J367" t="s">
        <v>1380</v>
      </c>
      <c r="K367" t="s">
        <v>1380</v>
      </c>
      <c r="L367" s="33">
        <v>975.23</v>
      </c>
    </row>
    <row r="368" spans="1:12" x14ac:dyDescent="0.25">
      <c r="A368" t="s">
        <v>1520</v>
      </c>
      <c r="B368" t="s">
        <v>1381</v>
      </c>
      <c r="C368" t="s">
        <v>9</v>
      </c>
      <c r="D368" t="s">
        <v>1210</v>
      </c>
      <c r="E368" t="s">
        <v>1194</v>
      </c>
      <c r="F368" t="s">
        <v>1382</v>
      </c>
      <c r="G368" t="s">
        <v>1212</v>
      </c>
      <c r="H368" t="s">
        <v>1588</v>
      </c>
      <c r="I368" t="s">
        <v>1588</v>
      </c>
      <c r="J368" t="s">
        <v>1383</v>
      </c>
      <c r="K368" t="s">
        <v>1334</v>
      </c>
      <c r="L368" s="33">
        <v>540.77</v>
      </c>
    </row>
    <row r="369" spans="1:12" x14ac:dyDescent="0.25">
      <c r="A369" t="s">
        <v>1520</v>
      </c>
      <c r="B369" t="s">
        <v>1459</v>
      </c>
      <c r="C369" t="s">
        <v>9</v>
      </c>
      <c r="D369" t="s">
        <v>1210</v>
      </c>
      <c r="E369" t="s">
        <v>1194</v>
      </c>
      <c r="F369" t="s">
        <v>1460</v>
      </c>
      <c r="G369" t="s">
        <v>1212</v>
      </c>
      <c r="H369" t="s">
        <v>1588</v>
      </c>
      <c r="I369" t="s">
        <v>1588</v>
      </c>
      <c r="J369" t="s">
        <v>1461</v>
      </c>
      <c r="K369" t="s">
        <v>1461</v>
      </c>
      <c r="L369" s="33">
        <v>250</v>
      </c>
    </row>
    <row r="370" spans="1:12" x14ac:dyDescent="0.25">
      <c r="A370" t="s">
        <v>1520</v>
      </c>
      <c r="B370" t="s">
        <v>1419</v>
      </c>
      <c r="C370" t="s">
        <v>9</v>
      </c>
      <c r="D370" t="s">
        <v>1210</v>
      </c>
      <c r="E370" t="s">
        <v>1194</v>
      </c>
      <c r="F370" t="s">
        <v>1420</v>
      </c>
      <c r="G370" t="s">
        <v>1212</v>
      </c>
      <c r="H370" t="s">
        <v>1588</v>
      </c>
      <c r="I370" t="s">
        <v>1588</v>
      </c>
      <c r="J370" t="s">
        <v>1421</v>
      </c>
      <c r="K370" t="s">
        <v>1421</v>
      </c>
      <c r="L370" s="33">
        <v>47.79</v>
      </c>
    </row>
    <row r="371" spans="1:12" x14ac:dyDescent="0.25">
      <c r="A371" t="s">
        <v>1520</v>
      </c>
      <c r="B371" t="s">
        <v>1522</v>
      </c>
      <c r="C371" t="s">
        <v>9</v>
      </c>
      <c r="D371" t="s">
        <v>1210</v>
      </c>
      <c r="E371" t="s">
        <v>1194</v>
      </c>
      <c r="F371" t="s">
        <v>1523</v>
      </c>
      <c r="G371" t="s">
        <v>1212</v>
      </c>
      <c r="H371" t="s">
        <v>1588</v>
      </c>
      <c r="I371" t="s">
        <v>1588</v>
      </c>
      <c r="J371" t="s">
        <v>1524</v>
      </c>
      <c r="K371" t="s">
        <v>1524</v>
      </c>
      <c r="L371" s="33">
        <v>10116.6</v>
      </c>
    </row>
    <row r="372" spans="1:12" x14ac:dyDescent="0.25">
      <c r="A372" t="s">
        <v>1520</v>
      </c>
      <c r="B372" t="s">
        <v>1525</v>
      </c>
      <c r="C372" t="s">
        <v>9</v>
      </c>
      <c r="D372" t="s">
        <v>1210</v>
      </c>
      <c r="E372" t="s">
        <v>1194</v>
      </c>
      <c r="F372" t="s">
        <v>1526</v>
      </c>
      <c r="G372" t="s">
        <v>1212</v>
      </c>
      <c r="H372" t="s">
        <v>1588</v>
      </c>
      <c r="I372" t="s">
        <v>1588</v>
      </c>
      <c r="J372" t="s">
        <v>1527</v>
      </c>
      <c r="K372" t="s">
        <v>1528</v>
      </c>
      <c r="L372" s="33">
        <v>804.21</v>
      </c>
    </row>
    <row r="373" spans="1:12" x14ac:dyDescent="0.25">
      <c r="A373" t="s">
        <v>1520</v>
      </c>
      <c r="B373" t="s">
        <v>1529</v>
      </c>
      <c r="C373" t="s">
        <v>9</v>
      </c>
      <c r="D373" t="s">
        <v>1210</v>
      </c>
      <c r="E373" t="s">
        <v>1194</v>
      </c>
      <c r="F373" t="s">
        <v>1530</v>
      </c>
      <c r="G373" t="s">
        <v>1212</v>
      </c>
      <c r="H373" t="s">
        <v>1588</v>
      </c>
      <c r="I373" t="s">
        <v>1588</v>
      </c>
      <c r="J373" t="s">
        <v>1531</v>
      </c>
      <c r="K373" t="s">
        <v>1531</v>
      </c>
      <c r="L373" s="33">
        <v>155</v>
      </c>
    </row>
    <row r="374" spans="1:12" x14ac:dyDescent="0.25">
      <c r="A374" t="s">
        <v>1520</v>
      </c>
      <c r="B374" t="s">
        <v>1433</v>
      </c>
      <c r="C374" t="s">
        <v>9</v>
      </c>
      <c r="D374" t="s">
        <v>1210</v>
      </c>
      <c r="E374" t="s">
        <v>1194</v>
      </c>
      <c r="F374" t="s">
        <v>1434</v>
      </c>
      <c r="G374" t="s">
        <v>1212</v>
      </c>
      <c r="H374" t="s">
        <v>1588</v>
      </c>
      <c r="I374" t="s">
        <v>1588</v>
      </c>
      <c r="J374" t="s">
        <v>1435</v>
      </c>
      <c r="K374" t="s">
        <v>1436</v>
      </c>
      <c r="L374" s="33">
        <v>-560.41</v>
      </c>
    </row>
    <row r="375" spans="1:12" x14ac:dyDescent="0.25">
      <c r="A375" t="s">
        <v>1520</v>
      </c>
      <c r="B375" t="s">
        <v>1439</v>
      </c>
      <c r="C375" t="s">
        <v>9</v>
      </c>
      <c r="D375" t="s">
        <v>1210</v>
      </c>
      <c r="E375" t="s">
        <v>1194</v>
      </c>
      <c r="F375" t="s">
        <v>1440</v>
      </c>
      <c r="G375" t="s">
        <v>1212</v>
      </c>
      <c r="H375" t="s">
        <v>1588</v>
      </c>
      <c r="I375" t="s">
        <v>1588</v>
      </c>
      <c r="J375" t="s">
        <v>1441</v>
      </c>
      <c r="K375" t="s">
        <v>1441</v>
      </c>
      <c r="L375" s="33">
        <v>13.81</v>
      </c>
    </row>
    <row r="376" spans="1:12" x14ac:dyDescent="0.25">
      <c r="A376" t="s">
        <v>1520</v>
      </c>
      <c r="B376" t="s">
        <v>1442</v>
      </c>
      <c r="C376" t="s">
        <v>9</v>
      </c>
      <c r="D376" t="s">
        <v>1210</v>
      </c>
      <c r="E376" t="s">
        <v>1194</v>
      </c>
      <c r="F376" t="s">
        <v>1443</v>
      </c>
      <c r="G376" t="s">
        <v>1212</v>
      </c>
      <c r="H376" t="s">
        <v>1588</v>
      </c>
      <c r="I376" t="s">
        <v>1588</v>
      </c>
      <c r="J376" t="s">
        <v>1444</v>
      </c>
      <c r="K376" t="s">
        <v>1444</v>
      </c>
      <c r="L376" s="33">
        <v>550</v>
      </c>
    </row>
    <row r="377" spans="1:12" x14ac:dyDescent="0.25">
      <c r="A377" t="s">
        <v>1576</v>
      </c>
      <c r="B377" t="s">
        <v>1577</v>
      </c>
      <c r="C377" t="s">
        <v>8</v>
      </c>
      <c r="D377" t="s">
        <v>1210</v>
      </c>
      <c r="E377" t="s">
        <v>1194</v>
      </c>
      <c r="F377" t="s">
        <v>1578</v>
      </c>
      <c r="G377" t="s">
        <v>1212</v>
      </c>
      <c r="H377" t="s">
        <v>1521</v>
      </c>
      <c r="I377" t="s">
        <v>1521</v>
      </c>
      <c r="J377" t="s">
        <v>1579</v>
      </c>
      <c r="K377" t="s">
        <v>1579</v>
      </c>
      <c r="L377" s="33">
        <v>41132.5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265"/>
  <sheetViews>
    <sheetView topLeftCell="A140" workbookViewId="0">
      <selection activeCell="A265" sqref="A265"/>
    </sheetView>
  </sheetViews>
  <sheetFormatPr defaultColWidth="9.140625" defaultRowHeight="15" x14ac:dyDescent="0.25"/>
  <cols>
    <col min="1" max="1" width="29.42578125" bestFit="1" customWidth="1"/>
    <col min="2" max="2" width="18.42578125" bestFit="1" customWidth="1"/>
    <col min="3" max="3" width="39.5703125" bestFit="1" customWidth="1"/>
    <col min="7" max="7" width="10" bestFit="1" customWidth="1"/>
  </cols>
  <sheetData>
    <row r="1" spans="1:7" x14ac:dyDescent="0.25">
      <c r="A1" s="10" t="s">
        <v>818</v>
      </c>
      <c r="B1" s="10" t="s">
        <v>819</v>
      </c>
      <c r="C1" s="10" t="s">
        <v>287</v>
      </c>
      <c r="G1" s="10" t="s">
        <v>863</v>
      </c>
    </row>
    <row r="2" spans="1:7" x14ac:dyDescent="0.25">
      <c r="A2" t="s">
        <v>853</v>
      </c>
      <c r="B2" t="s">
        <v>852</v>
      </c>
      <c r="C2" t="s">
        <v>854</v>
      </c>
      <c r="G2" t="s">
        <v>864</v>
      </c>
    </row>
    <row r="3" spans="1:7" x14ac:dyDescent="0.25">
      <c r="A3" t="s">
        <v>855</v>
      </c>
      <c r="B3" t="s">
        <v>856</v>
      </c>
      <c r="C3" t="s">
        <v>857</v>
      </c>
      <c r="G3" t="s">
        <v>865</v>
      </c>
    </row>
    <row r="4" spans="1:7" x14ac:dyDescent="0.25">
      <c r="A4" t="s">
        <v>853</v>
      </c>
      <c r="B4" t="s">
        <v>868</v>
      </c>
      <c r="C4" t="s">
        <v>854</v>
      </c>
      <c r="G4" t="s">
        <v>867</v>
      </c>
    </row>
    <row r="5" spans="1:7" x14ac:dyDescent="0.25">
      <c r="A5" t="s">
        <v>853</v>
      </c>
      <c r="B5" t="s">
        <v>869</v>
      </c>
      <c r="C5" t="s">
        <v>854</v>
      </c>
    </row>
    <row r="6" spans="1:7" x14ac:dyDescent="0.25">
      <c r="A6" t="s">
        <v>855</v>
      </c>
      <c r="B6" t="s">
        <v>856</v>
      </c>
      <c r="C6" t="s">
        <v>857</v>
      </c>
    </row>
    <row r="7" spans="1:7" x14ac:dyDescent="0.25">
      <c r="A7" t="s">
        <v>853</v>
      </c>
      <c r="B7" t="s">
        <v>868</v>
      </c>
      <c r="C7" t="s">
        <v>854</v>
      </c>
    </row>
    <row r="8" spans="1:7" x14ac:dyDescent="0.25">
      <c r="A8" t="s">
        <v>853</v>
      </c>
      <c r="B8" t="s">
        <v>869</v>
      </c>
      <c r="C8" t="s">
        <v>854</v>
      </c>
    </row>
    <row r="9" spans="1:7" x14ac:dyDescent="0.25">
      <c r="A9" t="s">
        <v>855</v>
      </c>
      <c r="B9" t="s">
        <v>856</v>
      </c>
      <c r="C9" t="s">
        <v>857</v>
      </c>
    </row>
    <row r="10" spans="1:7" x14ac:dyDescent="0.25">
      <c r="A10" t="s">
        <v>853</v>
      </c>
      <c r="B10" t="s">
        <v>870</v>
      </c>
      <c r="C10" t="s">
        <v>854</v>
      </c>
    </row>
    <row r="11" spans="1:7" x14ac:dyDescent="0.25">
      <c r="A11" t="s">
        <v>853</v>
      </c>
      <c r="B11" t="s">
        <v>871</v>
      </c>
      <c r="C11" t="s">
        <v>854</v>
      </c>
    </row>
    <row r="12" spans="1:7" x14ac:dyDescent="0.25">
      <c r="A12" t="s">
        <v>855</v>
      </c>
      <c r="B12" t="s">
        <v>856</v>
      </c>
      <c r="C12" t="s">
        <v>857</v>
      </c>
    </row>
    <row r="13" spans="1:7" x14ac:dyDescent="0.25">
      <c r="A13" t="s">
        <v>853</v>
      </c>
      <c r="B13" t="s">
        <v>870</v>
      </c>
      <c r="C13" t="s">
        <v>854</v>
      </c>
    </row>
    <row r="14" spans="1:7" x14ac:dyDescent="0.25">
      <c r="A14" t="s">
        <v>853</v>
      </c>
      <c r="B14" t="s">
        <v>871</v>
      </c>
      <c r="C14" t="s">
        <v>854</v>
      </c>
    </row>
    <row r="15" spans="1:7" x14ac:dyDescent="0.25">
      <c r="A15" t="s">
        <v>855</v>
      </c>
      <c r="B15" t="s">
        <v>856</v>
      </c>
      <c r="C15" t="s">
        <v>857</v>
      </c>
    </row>
    <row r="16" spans="1:7" x14ac:dyDescent="0.25">
      <c r="A16" t="s">
        <v>853</v>
      </c>
      <c r="B16" t="s">
        <v>870</v>
      </c>
      <c r="C16" t="s">
        <v>854</v>
      </c>
    </row>
    <row r="17" spans="1:3" x14ac:dyDescent="0.25">
      <c r="A17" t="s">
        <v>853</v>
      </c>
      <c r="B17" t="s">
        <v>871</v>
      </c>
      <c r="C17" t="s">
        <v>854</v>
      </c>
    </row>
    <row r="18" spans="1:3" x14ac:dyDescent="0.25">
      <c r="A18" t="s">
        <v>855</v>
      </c>
      <c r="B18" t="s">
        <v>856</v>
      </c>
      <c r="C18" t="s">
        <v>857</v>
      </c>
    </row>
    <row r="19" spans="1:3" x14ac:dyDescent="0.25">
      <c r="A19" t="s">
        <v>853</v>
      </c>
      <c r="B19" t="s">
        <v>870</v>
      </c>
      <c r="C19" t="s">
        <v>854</v>
      </c>
    </row>
    <row r="20" spans="1:3" x14ac:dyDescent="0.25">
      <c r="A20" t="s">
        <v>853</v>
      </c>
      <c r="B20" t="s">
        <v>871</v>
      </c>
      <c r="C20" t="s">
        <v>854</v>
      </c>
    </row>
    <row r="21" spans="1:3" x14ac:dyDescent="0.25">
      <c r="A21" t="s">
        <v>855</v>
      </c>
      <c r="B21" t="s">
        <v>856</v>
      </c>
      <c r="C21" t="s">
        <v>857</v>
      </c>
    </row>
    <row r="22" spans="1:3" x14ac:dyDescent="0.25">
      <c r="A22" t="s">
        <v>853</v>
      </c>
      <c r="B22" t="s">
        <v>870</v>
      </c>
      <c r="C22" t="s">
        <v>854</v>
      </c>
    </row>
    <row r="23" spans="1:3" x14ac:dyDescent="0.25">
      <c r="A23" t="s">
        <v>853</v>
      </c>
      <c r="B23" t="s">
        <v>871</v>
      </c>
      <c r="C23" t="s">
        <v>854</v>
      </c>
    </row>
    <row r="24" spans="1:3" x14ac:dyDescent="0.25">
      <c r="A24" t="s">
        <v>855</v>
      </c>
      <c r="B24" t="s">
        <v>856</v>
      </c>
      <c r="C24" t="s">
        <v>857</v>
      </c>
    </row>
    <row r="25" spans="1:3" x14ac:dyDescent="0.25">
      <c r="A25" t="s">
        <v>853</v>
      </c>
      <c r="B25" t="s">
        <v>870</v>
      </c>
      <c r="C25" t="s">
        <v>854</v>
      </c>
    </row>
    <row r="26" spans="1:3" x14ac:dyDescent="0.25">
      <c r="A26" t="s">
        <v>853</v>
      </c>
      <c r="B26" t="s">
        <v>870</v>
      </c>
      <c r="C26" t="s">
        <v>854</v>
      </c>
    </row>
    <row r="27" spans="1:3" x14ac:dyDescent="0.25">
      <c r="A27" t="s">
        <v>853</v>
      </c>
      <c r="B27" t="s">
        <v>871</v>
      </c>
      <c r="C27" t="s">
        <v>854</v>
      </c>
    </row>
    <row r="28" spans="1:3" x14ac:dyDescent="0.25">
      <c r="A28" t="s">
        <v>855</v>
      </c>
      <c r="B28" t="s">
        <v>856</v>
      </c>
      <c r="C28" t="s">
        <v>857</v>
      </c>
    </row>
    <row r="29" spans="1:3" x14ac:dyDescent="0.25">
      <c r="A29" t="s">
        <v>853</v>
      </c>
      <c r="B29" t="s">
        <v>868</v>
      </c>
      <c r="C29" t="s">
        <v>854</v>
      </c>
    </row>
    <row r="30" spans="1:3" x14ac:dyDescent="0.25">
      <c r="A30" t="s">
        <v>853</v>
      </c>
      <c r="B30" t="s">
        <v>869</v>
      </c>
      <c r="C30" t="s">
        <v>854</v>
      </c>
    </row>
    <row r="31" spans="1:3" x14ac:dyDescent="0.25">
      <c r="A31" t="s">
        <v>855</v>
      </c>
      <c r="B31" t="s">
        <v>856</v>
      </c>
      <c r="C31" t="s">
        <v>857</v>
      </c>
    </row>
    <row r="32" spans="1:3" x14ac:dyDescent="0.25">
      <c r="A32" t="s">
        <v>853</v>
      </c>
      <c r="B32" t="s">
        <v>868</v>
      </c>
      <c r="C32" t="s">
        <v>854</v>
      </c>
    </row>
    <row r="33" spans="1:3" x14ac:dyDescent="0.25">
      <c r="A33" t="s">
        <v>853</v>
      </c>
      <c r="B33" t="s">
        <v>869</v>
      </c>
      <c r="C33" t="s">
        <v>854</v>
      </c>
    </row>
    <row r="34" spans="1:3" x14ac:dyDescent="0.25">
      <c r="A34" t="s">
        <v>855</v>
      </c>
      <c r="B34" t="s">
        <v>856</v>
      </c>
      <c r="C34" t="s">
        <v>857</v>
      </c>
    </row>
    <row r="35" spans="1:3" x14ac:dyDescent="0.25">
      <c r="A35" t="s">
        <v>853</v>
      </c>
      <c r="B35" t="s">
        <v>870</v>
      </c>
      <c r="C35" t="s">
        <v>854</v>
      </c>
    </row>
    <row r="36" spans="1:3" x14ac:dyDescent="0.25">
      <c r="A36" t="s">
        <v>853</v>
      </c>
      <c r="B36" t="s">
        <v>871</v>
      </c>
      <c r="C36" t="s">
        <v>854</v>
      </c>
    </row>
    <row r="37" spans="1:3" x14ac:dyDescent="0.25">
      <c r="A37" t="s">
        <v>855</v>
      </c>
      <c r="B37" t="s">
        <v>856</v>
      </c>
      <c r="C37" t="s">
        <v>857</v>
      </c>
    </row>
    <row r="38" spans="1:3" x14ac:dyDescent="0.25">
      <c r="A38" t="s">
        <v>853</v>
      </c>
      <c r="B38" t="s">
        <v>870</v>
      </c>
      <c r="C38" t="s">
        <v>854</v>
      </c>
    </row>
    <row r="39" spans="1:3" x14ac:dyDescent="0.25">
      <c r="A39" t="s">
        <v>853</v>
      </c>
      <c r="B39" t="s">
        <v>871</v>
      </c>
      <c r="C39" t="s">
        <v>854</v>
      </c>
    </row>
    <row r="40" spans="1:3" x14ac:dyDescent="0.25">
      <c r="A40" t="s">
        <v>855</v>
      </c>
      <c r="B40" t="s">
        <v>856</v>
      </c>
      <c r="C40" t="s">
        <v>857</v>
      </c>
    </row>
    <row r="41" spans="1:3" x14ac:dyDescent="0.25">
      <c r="A41" t="s">
        <v>853</v>
      </c>
      <c r="B41" t="s">
        <v>868</v>
      </c>
      <c r="C41" t="s">
        <v>854</v>
      </c>
    </row>
    <row r="42" spans="1:3" x14ac:dyDescent="0.25">
      <c r="A42" t="s">
        <v>853</v>
      </c>
      <c r="B42" t="s">
        <v>869</v>
      </c>
      <c r="C42" t="s">
        <v>854</v>
      </c>
    </row>
    <row r="43" spans="1:3" x14ac:dyDescent="0.25">
      <c r="A43" t="s">
        <v>853</v>
      </c>
      <c r="B43" t="s">
        <v>868</v>
      </c>
      <c r="C43" t="s">
        <v>854</v>
      </c>
    </row>
    <row r="44" spans="1:3" x14ac:dyDescent="0.25">
      <c r="A44" t="s">
        <v>853</v>
      </c>
      <c r="B44" t="s">
        <v>869</v>
      </c>
      <c r="C44" t="s">
        <v>854</v>
      </c>
    </row>
    <row r="45" spans="1:3" x14ac:dyDescent="0.25">
      <c r="A45" t="s">
        <v>855</v>
      </c>
      <c r="B45" t="s">
        <v>856</v>
      </c>
      <c r="C45" t="s">
        <v>857</v>
      </c>
    </row>
    <row r="46" spans="1:3" x14ac:dyDescent="0.25">
      <c r="A46" t="s">
        <v>853</v>
      </c>
      <c r="B46" t="s">
        <v>868</v>
      </c>
      <c r="C46" t="s">
        <v>854</v>
      </c>
    </row>
    <row r="47" spans="1:3" x14ac:dyDescent="0.25">
      <c r="A47" t="s">
        <v>853</v>
      </c>
      <c r="B47" t="s">
        <v>869</v>
      </c>
      <c r="C47" t="s">
        <v>854</v>
      </c>
    </row>
    <row r="48" spans="1:3" x14ac:dyDescent="0.25">
      <c r="A48" t="s">
        <v>855</v>
      </c>
      <c r="B48" t="s">
        <v>856</v>
      </c>
      <c r="C48" t="s">
        <v>857</v>
      </c>
    </row>
    <row r="49" spans="1:3" x14ac:dyDescent="0.25">
      <c r="A49" t="s">
        <v>853</v>
      </c>
      <c r="B49" t="s">
        <v>868</v>
      </c>
      <c r="C49" t="s">
        <v>854</v>
      </c>
    </row>
    <row r="50" spans="1:3" x14ac:dyDescent="0.25">
      <c r="A50" t="s">
        <v>853</v>
      </c>
      <c r="B50" t="s">
        <v>869</v>
      </c>
      <c r="C50" t="s">
        <v>854</v>
      </c>
    </row>
    <row r="51" spans="1:3" x14ac:dyDescent="0.25">
      <c r="A51" t="s">
        <v>853</v>
      </c>
      <c r="B51" t="s">
        <v>868</v>
      </c>
      <c r="C51" t="s">
        <v>854</v>
      </c>
    </row>
    <row r="52" spans="1:3" x14ac:dyDescent="0.25">
      <c r="A52" t="s">
        <v>853</v>
      </c>
      <c r="B52" t="s">
        <v>869</v>
      </c>
      <c r="C52" t="s">
        <v>854</v>
      </c>
    </row>
    <row r="53" spans="1:3" x14ac:dyDescent="0.25">
      <c r="A53" t="s">
        <v>855</v>
      </c>
      <c r="B53" t="s">
        <v>856</v>
      </c>
      <c r="C53" t="s">
        <v>857</v>
      </c>
    </row>
    <row r="54" spans="1:3" x14ac:dyDescent="0.25">
      <c r="A54" t="s">
        <v>853</v>
      </c>
      <c r="B54" t="s">
        <v>868</v>
      </c>
      <c r="C54" t="s">
        <v>854</v>
      </c>
    </row>
    <row r="55" spans="1:3" x14ac:dyDescent="0.25">
      <c r="A55" t="s">
        <v>853</v>
      </c>
      <c r="B55" t="s">
        <v>869</v>
      </c>
      <c r="C55" t="s">
        <v>854</v>
      </c>
    </row>
    <row r="56" spans="1:3" x14ac:dyDescent="0.25">
      <c r="A56" t="s">
        <v>855</v>
      </c>
      <c r="B56" t="s">
        <v>856</v>
      </c>
      <c r="C56" t="s">
        <v>857</v>
      </c>
    </row>
    <row r="57" spans="1:3" x14ac:dyDescent="0.25">
      <c r="A57" t="s">
        <v>853</v>
      </c>
      <c r="B57" t="s">
        <v>868</v>
      </c>
      <c r="C57" t="s">
        <v>854</v>
      </c>
    </row>
    <row r="58" spans="1:3" x14ac:dyDescent="0.25">
      <c r="A58" t="s">
        <v>853</v>
      </c>
      <c r="B58" t="s">
        <v>869</v>
      </c>
      <c r="C58" t="s">
        <v>854</v>
      </c>
    </row>
    <row r="59" spans="1:3" x14ac:dyDescent="0.25">
      <c r="A59" t="s">
        <v>853</v>
      </c>
      <c r="B59" t="s">
        <v>1138</v>
      </c>
      <c r="C59" t="s">
        <v>854</v>
      </c>
    </row>
    <row r="60" spans="1:3" x14ac:dyDescent="0.25">
      <c r="A60" t="s">
        <v>853</v>
      </c>
      <c r="B60" t="s">
        <v>1139</v>
      </c>
      <c r="C60" t="s">
        <v>854</v>
      </c>
    </row>
    <row r="61" spans="1:3" x14ac:dyDescent="0.25">
      <c r="A61" t="s">
        <v>855</v>
      </c>
      <c r="B61" t="s">
        <v>856</v>
      </c>
      <c r="C61" t="s">
        <v>857</v>
      </c>
    </row>
    <row r="62" spans="1:3" x14ac:dyDescent="0.25">
      <c r="A62" t="s">
        <v>853</v>
      </c>
      <c r="B62" t="s">
        <v>1138</v>
      </c>
      <c r="C62" t="s">
        <v>854</v>
      </c>
    </row>
    <row r="63" spans="1:3" x14ac:dyDescent="0.25">
      <c r="A63" t="s">
        <v>853</v>
      </c>
      <c r="B63" t="s">
        <v>1139</v>
      </c>
      <c r="C63" t="s">
        <v>854</v>
      </c>
    </row>
    <row r="64" spans="1:3" x14ac:dyDescent="0.25">
      <c r="A64" t="s">
        <v>855</v>
      </c>
      <c r="B64" t="s">
        <v>856</v>
      </c>
      <c r="C64" t="s">
        <v>857</v>
      </c>
    </row>
    <row r="65" spans="1:3" x14ac:dyDescent="0.25">
      <c r="A65" t="s">
        <v>853</v>
      </c>
      <c r="B65" t="s">
        <v>1138</v>
      </c>
      <c r="C65" t="s">
        <v>854</v>
      </c>
    </row>
    <row r="66" spans="1:3" x14ac:dyDescent="0.25">
      <c r="A66" t="s">
        <v>853</v>
      </c>
      <c r="B66" t="s">
        <v>1138</v>
      </c>
      <c r="C66" t="s">
        <v>854</v>
      </c>
    </row>
    <row r="67" spans="1:3" x14ac:dyDescent="0.25">
      <c r="A67" t="s">
        <v>853</v>
      </c>
      <c r="B67" t="s">
        <v>1139</v>
      </c>
      <c r="C67" t="s">
        <v>854</v>
      </c>
    </row>
    <row r="68" spans="1:3" x14ac:dyDescent="0.25">
      <c r="A68" t="s">
        <v>855</v>
      </c>
      <c r="B68" t="s">
        <v>856</v>
      </c>
      <c r="C68" t="s">
        <v>857</v>
      </c>
    </row>
    <row r="69" spans="1:3" x14ac:dyDescent="0.25">
      <c r="A69" t="s">
        <v>853</v>
      </c>
      <c r="B69" t="s">
        <v>1139</v>
      </c>
      <c r="C69" t="s">
        <v>854</v>
      </c>
    </row>
    <row r="70" spans="1:3" x14ac:dyDescent="0.25">
      <c r="A70" t="s">
        <v>855</v>
      </c>
      <c r="B70" t="s">
        <v>856</v>
      </c>
      <c r="C70" t="s">
        <v>857</v>
      </c>
    </row>
    <row r="71" spans="1:3" x14ac:dyDescent="0.25">
      <c r="A71" t="s">
        <v>853</v>
      </c>
      <c r="B71" t="s">
        <v>1139</v>
      </c>
      <c r="C71" t="s">
        <v>854</v>
      </c>
    </row>
    <row r="72" spans="1:3" x14ac:dyDescent="0.25">
      <c r="A72" t="s">
        <v>855</v>
      </c>
      <c r="B72" t="s">
        <v>856</v>
      </c>
      <c r="C72" t="s">
        <v>857</v>
      </c>
    </row>
    <row r="73" spans="1:3" x14ac:dyDescent="0.25">
      <c r="A73" t="s">
        <v>853</v>
      </c>
      <c r="B73" t="s">
        <v>1139</v>
      </c>
      <c r="C73" t="s">
        <v>854</v>
      </c>
    </row>
    <row r="74" spans="1:3" x14ac:dyDescent="0.25">
      <c r="A74" t="s">
        <v>855</v>
      </c>
      <c r="B74" t="s">
        <v>856</v>
      </c>
      <c r="C74" t="s">
        <v>857</v>
      </c>
    </row>
    <row r="75" spans="1:3" x14ac:dyDescent="0.25">
      <c r="A75" t="s">
        <v>853</v>
      </c>
      <c r="B75" t="s">
        <v>1139</v>
      </c>
      <c r="C75" t="s">
        <v>854</v>
      </c>
    </row>
    <row r="76" spans="1:3" x14ac:dyDescent="0.25">
      <c r="A76" t="s">
        <v>855</v>
      </c>
      <c r="B76" t="s">
        <v>856</v>
      </c>
      <c r="C76" t="s">
        <v>857</v>
      </c>
    </row>
    <row r="77" spans="1:3" x14ac:dyDescent="0.25">
      <c r="A77" t="s">
        <v>853</v>
      </c>
      <c r="B77" t="s">
        <v>1139</v>
      </c>
      <c r="C77" t="s">
        <v>854</v>
      </c>
    </row>
    <row r="78" spans="1:3" x14ac:dyDescent="0.25">
      <c r="A78" t="s">
        <v>853</v>
      </c>
      <c r="B78" t="s">
        <v>1139</v>
      </c>
      <c r="C78" t="s">
        <v>854</v>
      </c>
    </row>
    <row r="79" spans="1:3" x14ac:dyDescent="0.25">
      <c r="A79" t="s">
        <v>855</v>
      </c>
      <c r="B79" t="s">
        <v>856</v>
      </c>
      <c r="C79" t="s">
        <v>857</v>
      </c>
    </row>
    <row r="80" spans="1:3" x14ac:dyDescent="0.25">
      <c r="A80" t="s">
        <v>853</v>
      </c>
      <c r="B80" t="s">
        <v>1139</v>
      </c>
      <c r="C80" t="s">
        <v>854</v>
      </c>
    </row>
    <row r="81" spans="1:3" x14ac:dyDescent="0.25">
      <c r="A81" t="s">
        <v>855</v>
      </c>
      <c r="B81" t="s">
        <v>856</v>
      </c>
      <c r="C81" t="s">
        <v>857</v>
      </c>
    </row>
    <row r="82" spans="1:3" x14ac:dyDescent="0.25">
      <c r="A82" t="s">
        <v>853</v>
      </c>
      <c r="B82" t="s">
        <v>1141</v>
      </c>
      <c r="C82" t="s">
        <v>854</v>
      </c>
    </row>
    <row r="83" spans="1:3" x14ac:dyDescent="0.25">
      <c r="A83" t="s">
        <v>853</v>
      </c>
      <c r="B83" t="s">
        <v>1142</v>
      </c>
      <c r="C83" t="s">
        <v>854</v>
      </c>
    </row>
    <row r="84" spans="1:3" x14ac:dyDescent="0.25">
      <c r="A84" t="s">
        <v>855</v>
      </c>
      <c r="B84" t="s">
        <v>856</v>
      </c>
      <c r="C84" t="s">
        <v>857</v>
      </c>
    </row>
    <row r="85" spans="1:3" x14ac:dyDescent="0.25">
      <c r="A85" t="s">
        <v>853</v>
      </c>
      <c r="B85" t="s">
        <v>1141</v>
      </c>
      <c r="C85" t="s">
        <v>854</v>
      </c>
    </row>
    <row r="86" spans="1:3" x14ac:dyDescent="0.25">
      <c r="A86" t="s">
        <v>855</v>
      </c>
      <c r="B86" t="s">
        <v>856</v>
      </c>
      <c r="C86" t="s">
        <v>857</v>
      </c>
    </row>
    <row r="87" spans="1:3" x14ac:dyDescent="0.25">
      <c r="A87" t="s">
        <v>853</v>
      </c>
      <c r="B87" t="s">
        <v>1142</v>
      </c>
      <c r="C87" t="s">
        <v>854</v>
      </c>
    </row>
    <row r="88" spans="1:3" x14ac:dyDescent="0.25">
      <c r="A88" t="s">
        <v>855</v>
      </c>
      <c r="B88" t="s">
        <v>856</v>
      </c>
      <c r="C88" t="s">
        <v>857</v>
      </c>
    </row>
    <row r="89" spans="1:3" x14ac:dyDescent="0.25">
      <c r="A89" t="s">
        <v>853</v>
      </c>
      <c r="B89" t="s">
        <v>1141</v>
      </c>
      <c r="C89" t="s">
        <v>854</v>
      </c>
    </row>
    <row r="90" spans="1:3" x14ac:dyDescent="0.25">
      <c r="A90" t="s">
        <v>853</v>
      </c>
      <c r="B90" t="s">
        <v>1142</v>
      </c>
      <c r="C90" t="s">
        <v>854</v>
      </c>
    </row>
    <row r="91" spans="1:3" x14ac:dyDescent="0.25">
      <c r="A91" t="s">
        <v>855</v>
      </c>
      <c r="B91" t="s">
        <v>856</v>
      </c>
      <c r="C91" t="s">
        <v>857</v>
      </c>
    </row>
    <row r="92" spans="1:3" x14ac:dyDescent="0.25">
      <c r="A92" t="s">
        <v>853</v>
      </c>
      <c r="B92" t="s">
        <v>1138</v>
      </c>
      <c r="C92" t="s">
        <v>854</v>
      </c>
    </row>
    <row r="93" spans="1:3" x14ac:dyDescent="0.25">
      <c r="A93" t="s">
        <v>853</v>
      </c>
      <c r="B93" t="s">
        <v>1139</v>
      </c>
      <c r="C93" t="s">
        <v>854</v>
      </c>
    </row>
    <row r="94" spans="1:3" x14ac:dyDescent="0.25">
      <c r="A94" t="s">
        <v>855</v>
      </c>
      <c r="B94" t="s">
        <v>856</v>
      </c>
      <c r="C94" t="s">
        <v>857</v>
      </c>
    </row>
    <row r="95" spans="1:3" x14ac:dyDescent="0.25">
      <c r="A95" t="s">
        <v>853</v>
      </c>
      <c r="B95" t="s">
        <v>870</v>
      </c>
      <c r="C95" t="s">
        <v>854</v>
      </c>
    </row>
    <row r="96" spans="1:3" x14ac:dyDescent="0.25">
      <c r="A96" t="s">
        <v>853</v>
      </c>
      <c r="B96" t="s">
        <v>871</v>
      </c>
      <c r="C96" t="s">
        <v>854</v>
      </c>
    </row>
    <row r="97" spans="1:3" x14ac:dyDescent="0.25">
      <c r="A97" t="s">
        <v>855</v>
      </c>
      <c r="B97" t="s">
        <v>856</v>
      </c>
      <c r="C97" t="s">
        <v>857</v>
      </c>
    </row>
    <row r="98" spans="1:3" x14ac:dyDescent="0.25">
      <c r="A98" t="s">
        <v>853</v>
      </c>
      <c r="B98" t="s">
        <v>868</v>
      </c>
      <c r="C98" t="s">
        <v>854</v>
      </c>
    </row>
    <row r="99" spans="1:3" x14ac:dyDescent="0.25">
      <c r="A99" t="s">
        <v>853</v>
      </c>
      <c r="B99" t="s">
        <v>869</v>
      </c>
      <c r="C99" t="s">
        <v>854</v>
      </c>
    </row>
    <row r="100" spans="1:3" x14ac:dyDescent="0.25">
      <c r="A100" t="s">
        <v>853</v>
      </c>
      <c r="B100" t="s">
        <v>868</v>
      </c>
      <c r="C100" t="s">
        <v>854</v>
      </c>
    </row>
    <row r="101" spans="1:3" x14ac:dyDescent="0.25">
      <c r="A101" t="s">
        <v>853</v>
      </c>
      <c r="B101" t="s">
        <v>869</v>
      </c>
      <c r="C101" t="s">
        <v>854</v>
      </c>
    </row>
    <row r="102" spans="1:3" x14ac:dyDescent="0.25">
      <c r="A102" t="s">
        <v>855</v>
      </c>
      <c r="B102" t="s">
        <v>856</v>
      </c>
      <c r="C102" t="s">
        <v>857</v>
      </c>
    </row>
    <row r="103" spans="1:3" x14ac:dyDescent="0.25">
      <c r="A103" t="s">
        <v>853</v>
      </c>
      <c r="B103" t="s">
        <v>869</v>
      </c>
      <c r="C103" t="s">
        <v>854</v>
      </c>
    </row>
    <row r="104" spans="1:3" x14ac:dyDescent="0.25">
      <c r="A104" t="s">
        <v>855</v>
      </c>
      <c r="B104" t="s">
        <v>856</v>
      </c>
      <c r="C104" t="s">
        <v>857</v>
      </c>
    </row>
    <row r="105" spans="1:3" x14ac:dyDescent="0.25">
      <c r="A105" t="s">
        <v>853</v>
      </c>
      <c r="B105" t="s">
        <v>1138</v>
      </c>
      <c r="C105" t="s">
        <v>854</v>
      </c>
    </row>
    <row r="106" spans="1:3" x14ac:dyDescent="0.25">
      <c r="A106" t="s">
        <v>853</v>
      </c>
      <c r="B106" t="s">
        <v>1139</v>
      </c>
      <c r="C106" t="s">
        <v>854</v>
      </c>
    </row>
    <row r="107" spans="1:3" x14ac:dyDescent="0.25">
      <c r="A107" t="s">
        <v>855</v>
      </c>
      <c r="B107" t="s">
        <v>856</v>
      </c>
      <c r="C107" t="s">
        <v>857</v>
      </c>
    </row>
    <row r="108" spans="1:3" x14ac:dyDescent="0.25">
      <c r="A108" t="s">
        <v>853</v>
      </c>
      <c r="B108" t="s">
        <v>1138</v>
      </c>
      <c r="C108" t="s">
        <v>854</v>
      </c>
    </row>
    <row r="109" spans="1:3" x14ac:dyDescent="0.25">
      <c r="A109" t="s">
        <v>853</v>
      </c>
      <c r="B109" t="s">
        <v>1139</v>
      </c>
      <c r="C109" t="s">
        <v>854</v>
      </c>
    </row>
    <row r="110" spans="1:3" x14ac:dyDescent="0.25">
      <c r="A110" t="s">
        <v>855</v>
      </c>
      <c r="B110" t="s">
        <v>856</v>
      </c>
      <c r="C110" t="s">
        <v>857</v>
      </c>
    </row>
    <row r="111" spans="1:3" x14ac:dyDescent="0.25">
      <c r="A111" t="s">
        <v>855</v>
      </c>
      <c r="B111" t="s">
        <v>856</v>
      </c>
      <c r="C111" t="s">
        <v>857</v>
      </c>
    </row>
    <row r="112" spans="1:3" x14ac:dyDescent="0.25">
      <c r="A112" t="s">
        <v>855</v>
      </c>
      <c r="B112" t="s">
        <v>856</v>
      </c>
      <c r="C112" t="s">
        <v>857</v>
      </c>
    </row>
    <row r="113" spans="1:3" x14ac:dyDescent="0.25">
      <c r="A113" t="s">
        <v>855</v>
      </c>
      <c r="B113" t="s">
        <v>856</v>
      </c>
      <c r="C113" t="s">
        <v>857</v>
      </c>
    </row>
    <row r="114" spans="1:3" x14ac:dyDescent="0.25">
      <c r="A114" t="s">
        <v>855</v>
      </c>
      <c r="B114" t="s">
        <v>856</v>
      </c>
      <c r="C114" t="s">
        <v>857</v>
      </c>
    </row>
    <row r="115" spans="1:3" x14ac:dyDescent="0.25">
      <c r="A115" t="s">
        <v>855</v>
      </c>
      <c r="B115" t="s">
        <v>856</v>
      </c>
      <c r="C115" t="s">
        <v>857</v>
      </c>
    </row>
    <row r="116" spans="1:3" x14ac:dyDescent="0.25">
      <c r="A116" t="s">
        <v>853</v>
      </c>
      <c r="B116" t="s">
        <v>1138</v>
      </c>
      <c r="C116" t="s">
        <v>854</v>
      </c>
    </row>
    <row r="117" spans="1:3" x14ac:dyDescent="0.25">
      <c r="A117" t="s">
        <v>853</v>
      </c>
      <c r="B117" t="s">
        <v>1139</v>
      </c>
      <c r="C117" t="s">
        <v>854</v>
      </c>
    </row>
    <row r="118" spans="1:3" x14ac:dyDescent="0.25">
      <c r="A118" t="s">
        <v>855</v>
      </c>
      <c r="B118" t="s">
        <v>856</v>
      </c>
      <c r="C118" t="s">
        <v>857</v>
      </c>
    </row>
    <row r="119" spans="1:3" x14ac:dyDescent="0.25">
      <c r="A119" t="s">
        <v>855</v>
      </c>
      <c r="B119" t="s">
        <v>856</v>
      </c>
      <c r="C119" t="s">
        <v>857</v>
      </c>
    </row>
    <row r="120" spans="1:3" x14ac:dyDescent="0.25">
      <c r="A120" t="s">
        <v>855</v>
      </c>
      <c r="B120" t="s">
        <v>856</v>
      </c>
      <c r="C120" t="s">
        <v>857</v>
      </c>
    </row>
    <row r="121" spans="1:3" x14ac:dyDescent="0.25">
      <c r="A121" t="s">
        <v>855</v>
      </c>
      <c r="B121" t="s">
        <v>856</v>
      </c>
      <c r="C121" t="s">
        <v>857</v>
      </c>
    </row>
    <row r="122" spans="1:3" x14ac:dyDescent="0.25">
      <c r="A122" t="s">
        <v>855</v>
      </c>
      <c r="B122" t="s">
        <v>856</v>
      </c>
      <c r="C122" t="s">
        <v>857</v>
      </c>
    </row>
    <row r="123" spans="1:3" x14ac:dyDescent="0.25">
      <c r="A123" t="s">
        <v>855</v>
      </c>
      <c r="B123" t="s">
        <v>856</v>
      </c>
      <c r="C123" t="s">
        <v>857</v>
      </c>
    </row>
    <row r="124" spans="1:3" x14ac:dyDescent="0.25">
      <c r="A124" t="s">
        <v>855</v>
      </c>
      <c r="B124" t="s">
        <v>856</v>
      </c>
      <c r="C124" t="s">
        <v>857</v>
      </c>
    </row>
    <row r="125" spans="1:3" x14ac:dyDescent="0.25">
      <c r="A125" t="s">
        <v>853</v>
      </c>
      <c r="B125" t="s">
        <v>1138</v>
      </c>
      <c r="C125" t="s">
        <v>854</v>
      </c>
    </row>
    <row r="126" spans="1:3" x14ac:dyDescent="0.25">
      <c r="A126" t="s">
        <v>853</v>
      </c>
      <c r="B126" t="s">
        <v>1139</v>
      </c>
      <c r="C126" t="s">
        <v>854</v>
      </c>
    </row>
    <row r="127" spans="1:3" x14ac:dyDescent="0.25">
      <c r="A127" t="s">
        <v>855</v>
      </c>
      <c r="B127" t="s">
        <v>856</v>
      </c>
      <c r="C127" t="s">
        <v>857</v>
      </c>
    </row>
    <row r="128" spans="1:3" x14ac:dyDescent="0.25">
      <c r="A128" t="s">
        <v>855</v>
      </c>
      <c r="B128" t="s">
        <v>856</v>
      </c>
      <c r="C128" t="s">
        <v>857</v>
      </c>
    </row>
    <row r="129" spans="1:3" x14ac:dyDescent="0.25">
      <c r="A129" t="s">
        <v>855</v>
      </c>
      <c r="B129" t="s">
        <v>856</v>
      </c>
      <c r="C129" t="s">
        <v>857</v>
      </c>
    </row>
    <row r="130" spans="1:3" x14ac:dyDescent="0.25">
      <c r="A130" t="s">
        <v>855</v>
      </c>
      <c r="B130" t="s">
        <v>856</v>
      </c>
      <c r="C130" t="s">
        <v>857</v>
      </c>
    </row>
    <row r="131" spans="1:3" x14ac:dyDescent="0.25">
      <c r="A131" t="s">
        <v>855</v>
      </c>
      <c r="B131" t="s">
        <v>856</v>
      </c>
      <c r="C131" t="s">
        <v>857</v>
      </c>
    </row>
    <row r="132" spans="1:3" x14ac:dyDescent="0.25">
      <c r="A132" t="s">
        <v>855</v>
      </c>
      <c r="B132" t="s">
        <v>856</v>
      </c>
      <c r="C132" t="s">
        <v>857</v>
      </c>
    </row>
    <row r="133" spans="1:3" x14ac:dyDescent="0.25">
      <c r="A133" t="s">
        <v>855</v>
      </c>
      <c r="B133" t="s">
        <v>856</v>
      </c>
      <c r="C133" t="s">
        <v>857</v>
      </c>
    </row>
    <row r="134" spans="1:3" x14ac:dyDescent="0.25">
      <c r="A134" t="s">
        <v>855</v>
      </c>
      <c r="B134" t="s">
        <v>856</v>
      </c>
      <c r="C134" t="s">
        <v>857</v>
      </c>
    </row>
    <row r="135" spans="1:3" x14ac:dyDescent="0.25">
      <c r="A135" t="s">
        <v>855</v>
      </c>
      <c r="B135" t="s">
        <v>856</v>
      </c>
      <c r="C135" t="s">
        <v>857</v>
      </c>
    </row>
    <row r="136" spans="1:3" x14ac:dyDescent="0.25">
      <c r="A136" t="s">
        <v>855</v>
      </c>
      <c r="B136" t="s">
        <v>856</v>
      </c>
      <c r="C136" t="s">
        <v>857</v>
      </c>
    </row>
    <row r="137" spans="1:3" x14ac:dyDescent="0.25">
      <c r="A137" t="s">
        <v>855</v>
      </c>
      <c r="B137" t="s">
        <v>856</v>
      </c>
      <c r="C137" t="s">
        <v>857</v>
      </c>
    </row>
    <row r="138" spans="1:3" x14ac:dyDescent="0.25">
      <c r="A138" t="s">
        <v>855</v>
      </c>
      <c r="B138" t="s">
        <v>856</v>
      </c>
      <c r="C138" t="s">
        <v>857</v>
      </c>
    </row>
    <row r="139" spans="1:3" x14ac:dyDescent="0.25">
      <c r="A139" t="s">
        <v>855</v>
      </c>
      <c r="B139" t="s">
        <v>856</v>
      </c>
      <c r="C139" t="s">
        <v>857</v>
      </c>
    </row>
    <row r="140" spans="1:3" x14ac:dyDescent="0.25">
      <c r="A140" t="s">
        <v>855</v>
      </c>
      <c r="B140" t="s">
        <v>856</v>
      </c>
      <c r="C140" t="s">
        <v>857</v>
      </c>
    </row>
    <row r="141" spans="1:3" x14ac:dyDescent="0.25">
      <c r="A141" t="s">
        <v>855</v>
      </c>
      <c r="B141" t="s">
        <v>856</v>
      </c>
      <c r="C141" t="s">
        <v>857</v>
      </c>
    </row>
    <row r="142" spans="1:3" x14ac:dyDescent="0.25">
      <c r="A142" t="s">
        <v>855</v>
      </c>
      <c r="B142" t="s">
        <v>856</v>
      </c>
      <c r="C142" t="s">
        <v>857</v>
      </c>
    </row>
    <row r="143" spans="1:3" x14ac:dyDescent="0.25">
      <c r="A143" t="s">
        <v>855</v>
      </c>
      <c r="B143" t="s">
        <v>856</v>
      </c>
      <c r="C143" t="s">
        <v>857</v>
      </c>
    </row>
    <row r="144" spans="1:3" x14ac:dyDescent="0.25">
      <c r="A144" t="s">
        <v>855</v>
      </c>
      <c r="B144" t="s">
        <v>856</v>
      </c>
      <c r="C144" t="s">
        <v>857</v>
      </c>
    </row>
    <row r="145" spans="1:3" x14ac:dyDescent="0.25">
      <c r="A145" t="s">
        <v>855</v>
      </c>
      <c r="B145" t="s">
        <v>856</v>
      </c>
      <c r="C145" t="s">
        <v>857</v>
      </c>
    </row>
    <row r="146" spans="1:3" x14ac:dyDescent="0.25">
      <c r="A146" t="s">
        <v>855</v>
      </c>
      <c r="B146" t="s">
        <v>856</v>
      </c>
      <c r="C146" t="s">
        <v>857</v>
      </c>
    </row>
    <row r="147" spans="1:3" x14ac:dyDescent="0.25">
      <c r="A147" t="s">
        <v>855</v>
      </c>
      <c r="B147" t="s">
        <v>856</v>
      </c>
      <c r="C147" t="s">
        <v>857</v>
      </c>
    </row>
    <row r="148" spans="1:3" x14ac:dyDescent="0.25">
      <c r="A148" t="s">
        <v>855</v>
      </c>
      <c r="B148" t="s">
        <v>856</v>
      </c>
      <c r="C148" t="s">
        <v>857</v>
      </c>
    </row>
    <row r="149" spans="1:3" x14ac:dyDescent="0.25">
      <c r="A149" t="s">
        <v>855</v>
      </c>
      <c r="B149" t="s">
        <v>856</v>
      </c>
      <c r="C149" t="s">
        <v>857</v>
      </c>
    </row>
    <row r="150" spans="1:3" x14ac:dyDescent="0.25">
      <c r="A150" t="s">
        <v>855</v>
      </c>
      <c r="B150" t="s">
        <v>856</v>
      </c>
      <c r="C150" t="s">
        <v>857</v>
      </c>
    </row>
    <row r="151" spans="1:3" x14ac:dyDescent="0.25">
      <c r="A151" t="s">
        <v>855</v>
      </c>
      <c r="B151" t="s">
        <v>856</v>
      </c>
      <c r="C151" t="s">
        <v>857</v>
      </c>
    </row>
    <row r="152" spans="1:3" x14ac:dyDescent="0.25">
      <c r="A152" t="s">
        <v>855</v>
      </c>
      <c r="B152" t="s">
        <v>856</v>
      </c>
      <c r="C152" t="s">
        <v>857</v>
      </c>
    </row>
    <row r="153" spans="1:3" x14ac:dyDescent="0.25">
      <c r="A153" t="s">
        <v>855</v>
      </c>
      <c r="B153" t="s">
        <v>856</v>
      </c>
      <c r="C153" t="s">
        <v>857</v>
      </c>
    </row>
    <row r="154" spans="1:3" x14ac:dyDescent="0.25">
      <c r="A154" t="s">
        <v>855</v>
      </c>
      <c r="B154" t="s">
        <v>856</v>
      </c>
      <c r="C154" t="s">
        <v>857</v>
      </c>
    </row>
    <row r="155" spans="1:3" x14ac:dyDescent="0.25">
      <c r="A155" t="s">
        <v>853</v>
      </c>
      <c r="B155" t="s">
        <v>1138</v>
      </c>
      <c r="C155" t="s">
        <v>854</v>
      </c>
    </row>
    <row r="156" spans="1:3" x14ac:dyDescent="0.25">
      <c r="A156" t="s">
        <v>853</v>
      </c>
      <c r="B156" t="s">
        <v>1139</v>
      </c>
      <c r="C156" t="s">
        <v>854</v>
      </c>
    </row>
    <row r="157" spans="1:3" x14ac:dyDescent="0.25">
      <c r="A157" t="s">
        <v>855</v>
      </c>
      <c r="B157" t="s">
        <v>856</v>
      </c>
      <c r="C157" t="s">
        <v>857</v>
      </c>
    </row>
    <row r="158" spans="1:3" x14ac:dyDescent="0.25">
      <c r="A158" t="s">
        <v>853</v>
      </c>
      <c r="B158" t="s">
        <v>1138</v>
      </c>
      <c r="C158" t="s">
        <v>854</v>
      </c>
    </row>
    <row r="159" spans="1:3" x14ac:dyDescent="0.25">
      <c r="A159" t="s">
        <v>853</v>
      </c>
      <c r="B159" t="s">
        <v>1139</v>
      </c>
      <c r="C159" t="s">
        <v>854</v>
      </c>
    </row>
    <row r="160" spans="1:3" x14ac:dyDescent="0.25">
      <c r="A160" t="s">
        <v>855</v>
      </c>
      <c r="B160" t="s">
        <v>856</v>
      </c>
      <c r="C160" t="s">
        <v>857</v>
      </c>
    </row>
    <row r="161" spans="1:3" x14ac:dyDescent="0.25">
      <c r="A161" t="s">
        <v>853</v>
      </c>
      <c r="B161" t="s">
        <v>1144</v>
      </c>
      <c r="C161" t="s">
        <v>854</v>
      </c>
    </row>
    <row r="162" spans="1:3" x14ac:dyDescent="0.25">
      <c r="A162" t="s">
        <v>855</v>
      </c>
      <c r="B162" t="s">
        <v>856</v>
      </c>
      <c r="C162" t="s">
        <v>857</v>
      </c>
    </row>
    <row r="163" spans="1:3" x14ac:dyDescent="0.25">
      <c r="A163" t="s">
        <v>853</v>
      </c>
      <c r="B163" t="s">
        <v>1144</v>
      </c>
      <c r="C163" t="s">
        <v>854</v>
      </c>
    </row>
    <row r="164" spans="1:3" x14ac:dyDescent="0.25">
      <c r="A164" t="s">
        <v>855</v>
      </c>
      <c r="B164" t="s">
        <v>856</v>
      </c>
      <c r="C164" t="s">
        <v>857</v>
      </c>
    </row>
    <row r="165" spans="1:3" x14ac:dyDescent="0.25">
      <c r="A165" t="s">
        <v>853</v>
      </c>
      <c r="B165" t="s">
        <v>1144</v>
      </c>
      <c r="C165" t="s">
        <v>854</v>
      </c>
    </row>
    <row r="166" spans="1:3" x14ac:dyDescent="0.25">
      <c r="A166" t="s">
        <v>855</v>
      </c>
      <c r="B166" t="s">
        <v>856</v>
      </c>
      <c r="C166" t="s">
        <v>857</v>
      </c>
    </row>
    <row r="167" spans="1:3" x14ac:dyDescent="0.25">
      <c r="A167" t="s">
        <v>853</v>
      </c>
      <c r="B167" t="s">
        <v>1144</v>
      </c>
      <c r="C167" t="s">
        <v>854</v>
      </c>
    </row>
    <row r="168" spans="1:3" x14ac:dyDescent="0.25">
      <c r="A168" t="s">
        <v>855</v>
      </c>
      <c r="B168" t="s">
        <v>856</v>
      </c>
      <c r="C168" t="s">
        <v>857</v>
      </c>
    </row>
    <row r="169" spans="1:3" x14ac:dyDescent="0.25">
      <c r="A169" t="s">
        <v>853</v>
      </c>
      <c r="B169" t="s">
        <v>1144</v>
      </c>
      <c r="C169" t="s">
        <v>854</v>
      </c>
    </row>
    <row r="170" spans="1:3" x14ac:dyDescent="0.25">
      <c r="A170" t="s">
        <v>855</v>
      </c>
      <c r="B170" t="s">
        <v>856</v>
      </c>
      <c r="C170" t="s">
        <v>857</v>
      </c>
    </row>
    <row r="171" spans="1:3" x14ac:dyDescent="0.25">
      <c r="A171" t="s">
        <v>853</v>
      </c>
      <c r="B171" t="s">
        <v>1138</v>
      </c>
      <c r="C171" t="s">
        <v>854</v>
      </c>
    </row>
    <row r="172" spans="1:3" x14ac:dyDescent="0.25">
      <c r="A172" t="s">
        <v>853</v>
      </c>
      <c r="B172" t="s">
        <v>1139</v>
      </c>
      <c r="C172" t="s">
        <v>854</v>
      </c>
    </row>
    <row r="173" spans="1:3" x14ac:dyDescent="0.25">
      <c r="A173" t="s">
        <v>855</v>
      </c>
      <c r="B173" t="s">
        <v>856</v>
      </c>
      <c r="C173" t="s">
        <v>857</v>
      </c>
    </row>
    <row r="174" spans="1:3" x14ac:dyDescent="0.25">
      <c r="A174" t="s">
        <v>853</v>
      </c>
      <c r="B174" t="s">
        <v>1138</v>
      </c>
      <c r="C174" t="s">
        <v>854</v>
      </c>
    </row>
    <row r="175" spans="1:3" x14ac:dyDescent="0.25">
      <c r="A175" t="s">
        <v>853</v>
      </c>
      <c r="B175" t="s">
        <v>1139</v>
      </c>
      <c r="C175" t="s">
        <v>854</v>
      </c>
    </row>
    <row r="176" spans="1:3" x14ac:dyDescent="0.25">
      <c r="A176" t="s">
        <v>855</v>
      </c>
      <c r="B176" t="s">
        <v>856</v>
      </c>
      <c r="C176" t="s">
        <v>857</v>
      </c>
    </row>
    <row r="177" spans="1:3" x14ac:dyDescent="0.25">
      <c r="A177" t="s">
        <v>853</v>
      </c>
      <c r="B177" t="s">
        <v>1145</v>
      </c>
      <c r="C177" t="s">
        <v>854</v>
      </c>
    </row>
    <row r="178" spans="1:3" x14ac:dyDescent="0.25">
      <c r="A178" t="s">
        <v>853</v>
      </c>
      <c r="B178" t="s">
        <v>1146</v>
      </c>
      <c r="C178" t="s">
        <v>854</v>
      </c>
    </row>
    <row r="179" spans="1:3" x14ac:dyDescent="0.25">
      <c r="A179" t="s">
        <v>855</v>
      </c>
      <c r="B179" t="s">
        <v>856</v>
      </c>
      <c r="C179" t="s">
        <v>857</v>
      </c>
    </row>
    <row r="180" spans="1:3" x14ac:dyDescent="0.25">
      <c r="A180" t="s">
        <v>853</v>
      </c>
      <c r="B180" t="s">
        <v>1145</v>
      </c>
      <c r="C180" t="s">
        <v>854</v>
      </c>
    </row>
    <row r="181" spans="1:3" x14ac:dyDescent="0.25">
      <c r="A181" t="s">
        <v>853</v>
      </c>
      <c r="B181" t="s">
        <v>1147</v>
      </c>
      <c r="C181" t="s">
        <v>854</v>
      </c>
    </row>
    <row r="182" spans="1:3" x14ac:dyDescent="0.25">
      <c r="A182" t="s">
        <v>855</v>
      </c>
      <c r="B182" t="s">
        <v>856</v>
      </c>
      <c r="C182" t="s">
        <v>857</v>
      </c>
    </row>
    <row r="183" spans="1:3" x14ac:dyDescent="0.25">
      <c r="A183" t="s">
        <v>853</v>
      </c>
      <c r="B183" t="s">
        <v>1150</v>
      </c>
      <c r="C183" t="s">
        <v>854</v>
      </c>
    </row>
    <row r="184" spans="1:3" x14ac:dyDescent="0.25">
      <c r="A184" t="s">
        <v>853</v>
      </c>
      <c r="B184" t="s">
        <v>1151</v>
      </c>
      <c r="C184" t="s">
        <v>854</v>
      </c>
    </row>
    <row r="185" spans="1:3" x14ac:dyDescent="0.25">
      <c r="A185" t="s">
        <v>855</v>
      </c>
      <c r="B185" t="s">
        <v>856</v>
      </c>
      <c r="C185" t="s">
        <v>857</v>
      </c>
    </row>
    <row r="186" spans="1:3" x14ac:dyDescent="0.25">
      <c r="A186" t="s">
        <v>853</v>
      </c>
      <c r="B186" t="s">
        <v>1150</v>
      </c>
      <c r="C186" t="s">
        <v>854</v>
      </c>
    </row>
    <row r="187" spans="1:3" x14ac:dyDescent="0.25">
      <c r="A187" t="s">
        <v>853</v>
      </c>
      <c r="B187" t="s">
        <v>1151</v>
      </c>
      <c r="C187" t="s">
        <v>854</v>
      </c>
    </row>
    <row r="188" spans="1:3" x14ac:dyDescent="0.25">
      <c r="A188" t="s">
        <v>855</v>
      </c>
      <c r="B188" t="s">
        <v>856</v>
      </c>
      <c r="C188" t="s">
        <v>857</v>
      </c>
    </row>
    <row r="189" spans="1:3" x14ac:dyDescent="0.25">
      <c r="A189" t="s">
        <v>853</v>
      </c>
      <c r="B189" t="s">
        <v>1150</v>
      </c>
      <c r="C189" t="s">
        <v>854</v>
      </c>
    </row>
    <row r="190" spans="1:3" x14ac:dyDescent="0.25">
      <c r="A190" t="s">
        <v>853</v>
      </c>
      <c r="B190" t="s">
        <v>1151</v>
      </c>
      <c r="C190" t="s">
        <v>854</v>
      </c>
    </row>
    <row r="191" spans="1:3" x14ac:dyDescent="0.25">
      <c r="A191" t="s">
        <v>855</v>
      </c>
      <c r="B191" t="s">
        <v>856</v>
      </c>
      <c r="C191" t="s">
        <v>857</v>
      </c>
    </row>
    <row r="192" spans="1:3" x14ac:dyDescent="0.25">
      <c r="A192" t="s">
        <v>853</v>
      </c>
      <c r="B192" t="s">
        <v>1150</v>
      </c>
      <c r="C192" t="s">
        <v>854</v>
      </c>
    </row>
    <row r="193" spans="1:3" x14ac:dyDescent="0.25">
      <c r="A193" t="s">
        <v>853</v>
      </c>
      <c r="B193" t="s">
        <v>1151</v>
      </c>
      <c r="C193" t="s">
        <v>854</v>
      </c>
    </row>
    <row r="194" spans="1:3" x14ac:dyDescent="0.25">
      <c r="A194" t="s">
        <v>855</v>
      </c>
      <c r="B194" t="s">
        <v>856</v>
      </c>
      <c r="C194" t="s">
        <v>857</v>
      </c>
    </row>
    <row r="195" spans="1:3" x14ac:dyDescent="0.25">
      <c r="A195" t="s">
        <v>853</v>
      </c>
      <c r="B195" t="s">
        <v>1150</v>
      </c>
      <c r="C195" t="s">
        <v>854</v>
      </c>
    </row>
    <row r="196" spans="1:3" x14ac:dyDescent="0.25">
      <c r="A196" t="s">
        <v>853</v>
      </c>
      <c r="B196" t="s">
        <v>1151</v>
      </c>
      <c r="C196" t="s">
        <v>854</v>
      </c>
    </row>
    <row r="197" spans="1:3" x14ac:dyDescent="0.25">
      <c r="A197" t="s">
        <v>855</v>
      </c>
      <c r="B197" t="s">
        <v>856</v>
      </c>
      <c r="C197" t="s">
        <v>857</v>
      </c>
    </row>
    <row r="198" spans="1:3" x14ac:dyDescent="0.25">
      <c r="A198" t="s">
        <v>853</v>
      </c>
      <c r="B198" t="s">
        <v>1150</v>
      </c>
      <c r="C198" t="s">
        <v>854</v>
      </c>
    </row>
    <row r="199" spans="1:3" x14ac:dyDescent="0.25">
      <c r="A199" t="s">
        <v>853</v>
      </c>
      <c r="B199" t="s">
        <v>1151</v>
      </c>
      <c r="C199" t="s">
        <v>854</v>
      </c>
    </row>
    <row r="200" spans="1:3" x14ac:dyDescent="0.25">
      <c r="A200" t="s">
        <v>855</v>
      </c>
      <c r="B200" t="s">
        <v>856</v>
      </c>
      <c r="C200" t="s">
        <v>857</v>
      </c>
    </row>
    <row r="201" spans="1:3" x14ac:dyDescent="0.25">
      <c r="A201" t="s">
        <v>853</v>
      </c>
      <c r="B201" t="s">
        <v>1150</v>
      </c>
      <c r="C201" t="s">
        <v>854</v>
      </c>
    </row>
    <row r="202" spans="1:3" x14ac:dyDescent="0.25">
      <c r="A202" t="s">
        <v>853</v>
      </c>
      <c r="B202" t="s">
        <v>1151</v>
      </c>
      <c r="C202" t="s">
        <v>854</v>
      </c>
    </row>
    <row r="203" spans="1:3" x14ac:dyDescent="0.25">
      <c r="A203" t="s">
        <v>855</v>
      </c>
      <c r="B203" t="s">
        <v>856</v>
      </c>
      <c r="C203" t="s">
        <v>857</v>
      </c>
    </row>
    <row r="204" spans="1:3" x14ac:dyDescent="0.25">
      <c r="A204" t="s">
        <v>853</v>
      </c>
      <c r="B204" t="s">
        <v>1150</v>
      </c>
      <c r="C204" t="s">
        <v>854</v>
      </c>
    </row>
    <row r="205" spans="1:3" x14ac:dyDescent="0.25">
      <c r="A205" t="s">
        <v>853</v>
      </c>
      <c r="B205" t="s">
        <v>1151</v>
      </c>
      <c r="C205" t="s">
        <v>854</v>
      </c>
    </row>
    <row r="206" spans="1:3" x14ac:dyDescent="0.25">
      <c r="A206" t="s">
        <v>855</v>
      </c>
      <c r="B206" t="s">
        <v>856</v>
      </c>
      <c r="C206" t="s">
        <v>857</v>
      </c>
    </row>
    <row r="207" spans="1:3" x14ac:dyDescent="0.25">
      <c r="A207" t="s">
        <v>853</v>
      </c>
      <c r="B207" t="s">
        <v>1150</v>
      </c>
      <c r="C207" t="s">
        <v>854</v>
      </c>
    </row>
    <row r="208" spans="1:3" x14ac:dyDescent="0.25">
      <c r="A208" t="s">
        <v>853</v>
      </c>
      <c r="B208" t="s">
        <v>1151</v>
      </c>
      <c r="C208" t="s">
        <v>854</v>
      </c>
    </row>
    <row r="209" spans="1:3" x14ac:dyDescent="0.25">
      <c r="A209" t="s">
        <v>855</v>
      </c>
      <c r="B209" t="s">
        <v>856</v>
      </c>
      <c r="C209" t="s">
        <v>857</v>
      </c>
    </row>
    <row r="210" spans="1:3" x14ac:dyDescent="0.25">
      <c r="A210" t="s">
        <v>853</v>
      </c>
      <c r="B210" t="s">
        <v>1150</v>
      </c>
      <c r="C210" t="s">
        <v>854</v>
      </c>
    </row>
    <row r="211" spans="1:3" x14ac:dyDescent="0.25">
      <c r="A211" t="s">
        <v>853</v>
      </c>
      <c r="B211" t="s">
        <v>1151</v>
      </c>
      <c r="C211" t="s">
        <v>854</v>
      </c>
    </row>
    <row r="212" spans="1:3" x14ac:dyDescent="0.25">
      <c r="A212" t="s">
        <v>855</v>
      </c>
      <c r="B212" t="s">
        <v>856</v>
      </c>
      <c r="C212" t="s">
        <v>857</v>
      </c>
    </row>
    <row r="213" spans="1:3" x14ac:dyDescent="0.25">
      <c r="A213" t="s">
        <v>853</v>
      </c>
      <c r="B213" t="s">
        <v>1150</v>
      </c>
      <c r="C213" t="s">
        <v>854</v>
      </c>
    </row>
    <row r="214" spans="1:3" x14ac:dyDescent="0.25">
      <c r="A214" t="s">
        <v>853</v>
      </c>
      <c r="B214" t="s">
        <v>1151</v>
      </c>
      <c r="C214" t="s">
        <v>854</v>
      </c>
    </row>
    <row r="215" spans="1:3" x14ac:dyDescent="0.25">
      <c r="A215" t="s">
        <v>855</v>
      </c>
      <c r="B215" t="s">
        <v>856</v>
      </c>
      <c r="C215" t="s">
        <v>857</v>
      </c>
    </row>
    <row r="216" spans="1:3" x14ac:dyDescent="0.25">
      <c r="A216" t="s">
        <v>853</v>
      </c>
      <c r="B216" t="s">
        <v>1151</v>
      </c>
      <c r="C216" t="s">
        <v>854</v>
      </c>
    </row>
    <row r="217" spans="1:3" x14ac:dyDescent="0.25">
      <c r="A217" t="s">
        <v>855</v>
      </c>
      <c r="B217" t="s">
        <v>856</v>
      </c>
      <c r="C217" t="s">
        <v>857</v>
      </c>
    </row>
    <row r="218" spans="1:3" x14ac:dyDescent="0.25">
      <c r="A218" t="s">
        <v>853</v>
      </c>
      <c r="B218" t="s">
        <v>1150</v>
      </c>
      <c r="C218" t="s">
        <v>854</v>
      </c>
    </row>
    <row r="219" spans="1:3" x14ac:dyDescent="0.25">
      <c r="A219" t="s">
        <v>853</v>
      </c>
      <c r="B219" t="s">
        <v>1151</v>
      </c>
      <c r="C219" t="s">
        <v>854</v>
      </c>
    </row>
    <row r="220" spans="1:3" x14ac:dyDescent="0.25">
      <c r="A220" t="s">
        <v>855</v>
      </c>
      <c r="B220" t="s">
        <v>856</v>
      </c>
      <c r="C220" t="s">
        <v>857</v>
      </c>
    </row>
    <row r="221" spans="1:3" x14ac:dyDescent="0.25">
      <c r="A221" t="s">
        <v>853</v>
      </c>
      <c r="B221" t="s">
        <v>1151</v>
      </c>
      <c r="C221" t="s">
        <v>854</v>
      </c>
    </row>
    <row r="222" spans="1:3" x14ac:dyDescent="0.25">
      <c r="A222" t="s">
        <v>855</v>
      </c>
      <c r="B222" t="s">
        <v>856</v>
      </c>
      <c r="C222" t="s">
        <v>857</v>
      </c>
    </row>
    <row r="223" spans="1:3" x14ac:dyDescent="0.25">
      <c r="A223" t="s">
        <v>853</v>
      </c>
      <c r="B223" t="s">
        <v>1150</v>
      </c>
      <c r="C223" t="s">
        <v>854</v>
      </c>
    </row>
    <row r="224" spans="1:3" x14ac:dyDescent="0.25">
      <c r="A224" t="s">
        <v>853</v>
      </c>
      <c r="B224" t="s">
        <v>1151</v>
      </c>
      <c r="C224" t="s">
        <v>854</v>
      </c>
    </row>
    <row r="225" spans="1:3" x14ac:dyDescent="0.25">
      <c r="A225" t="s">
        <v>855</v>
      </c>
      <c r="B225" t="s">
        <v>856</v>
      </c>
      <c r="C225" t="s">
        <v>857</v>
      </c>
    </row>
    <row r="226" spans="1:3" x14ac:dyDescent="0.25">
      <c r="A226" t="s">
        <v>853</v>
      </c>
      <c r="B226" t="s">
        <v>1150</v>
      </c>
      <c r="C226" t="s">
        <v>854</v>
      </c>
    </row>
    <row r="227" spans="1:3" x14ac:dyDescent="0.25">
      <c r="A227" t="s">
        <v>853</v>
      </c>
      <c r="B227" t="s">
        <v>1151</v>
      </c>
      <c r="C227" t="s">
        <v>854</v>
      </c>
    </row>
    <row r="228" spans="1:3" x14ac:dyDescent="0.25">
      <c r="A228" t="s">
        <v>855</v>
      </c>
      <c r="B228" t="s">
        <v>856</v>
      </c>
      <c r="C228" t="s">
        <v>857</v>
      </c>
    </row>
    <row r="229" spans="1:3" x14ac:dyDescent="0.25">
      <c r="A229" t="s">
        <v>853</v>
      </c>
      <c r="B229" t="s">
        <v>1150</v>
      </c>
      <c r="C229" t="s">
        <v>854</v>
      </c>
    </row>
    <row r="230" spans="1:3" x14ac:dyDescent="0.25">
      <c r="A230" t="s">
        <v>853</v>
      </c>
      <c r="B230" t="s">
        <v>1151</v>
      </c>
      <c r="C230" t="s">
        <v>854</v>
      </c>
    </row>
    <row r="231" spans="1:3" x14ac:dyDescent="0.25">
      <c r="A231" t="s">
        <v>855</v>
      </c>
      <c r="B231" t="s">
        <v>856</v>
      </c>
      <c r="C231" t="s">
        <v>857</v>
      </c>
    </row>
    <row r="232" spans="1:3" x14ac:dyDescent="0.25">
      <c r="A232" t="s">
        <v>853</v>
      </c>
      <c r="B232" t="s">
        <v>1150</v>
      </c>
      <c r="C232" t="s">
        <v>854</v>
      </c>
    </row>
    <row r="233" spans="1:3" x14ac:dyDescent="0.25">
      <c r="A233" t="s">
        <v>853</v>
      </c>
      <c r="B233" t="s">
        <v>1151</v>
      </c>
      <c r="C233" t="s">
        <v>854</v>
      </c>
    </row>
    <row r="234" spans="1:3" x14ac:dyDescent="0.25">
      <c r="A234" t="s">
        <v>855</v>
      </c>
      <c r="B234" t="s">
        <v>856</v>
      </c>
      <c r="C234" t="s">
        <v>857</v>
      </c>
    </row>
    <row r="235" spans="1:3" x14ac:dyDescent="0.25">
      <c r="A235" t="s">
        <v>853</v>
      </c>
      <c r="B235" t="s">
        <v>1150</v>
      </c>
      <c r="C235" t="s">
        <v>854</v>
      </c>
    </row>
    <row r="236" spans="1:3" x14ac:dyDescent="0.25">
      <c r="A236" t="s">
        <v>853</v>
      </c>
      <c r="B236" t="s">
        <v>1151</v>
      </c>
      <c r="C236" t="s">
        <v>854</v>
      </c>
    </row>
    <row r="237" spans="1:3" x14ac:dyDescent="0.25">
      <c r="A237" t="s">
        <v>855</v>
      </c>
      <c r="B237" t="s">
        <v>856</v>
      </c>
      <c r="C237" t="s">
        <v>857</v>
      </c>
    </row>
    <row r="238" spans="1:3" x14ac:dyDescent="0.25">
      <c r="A238" t="s">
        <v>853</v>
      </c>
      <c r="B238" t="s">
        <v>1150</v>
      </c>
      <c r="C238" t="s">
        <v>854</v>
      </c>
    </row>
    <row r="239" spans="1:3" x14ac:dyDescent="0.25">
      <c r="A239" t="s">
        <v>853</v>
      </c>
      <c r="B239" t="s">
        <v>1151</v>
      </c>
      <c r="C239" t="s">
        <v>854</v>
      </c>
    </row>
    <row r="240" spans="1:3" x14ac:dyDescent="0.25">
      <c r="A240" t="s">
        <v>855</v>
      </c>
      <c r="B240" t="s">
        <v>856</v>
      </c>
      <c r="C240" t="s">
        <v>857</v>
      </c>
    </row>
    <row r="241" spans="1:3" x14ac:dyDescent="0.25">
      <c r="A241" t="s">
        <v>853</v>
      </c>
      <c r="B241" t="s">
        <v>1150</v>
      </c>
      <c r="C241" t="s">
        <v>854</v>
      </c>
    </row>
    <row r="242" spans="1:3" x14ac:dyDescent="0.25">
      <c r="A242" t="s">
        <v>853</v>
      </c>
      <c r="B242" t="s">
        <v>1151</v>
      </c>
      <c r="C242" t="s">
        <v>854</v>
      </c>
    </row>
    <row r="243" spans="1:3" x14ac:dyDescent="0.25">
      <c r="A243" t="s">
        <v>855</v>
      </c>
      <c r="B243" t="s">
        <v>856</v>
      </c>
      <c r="C243" t="s">
        <v>857</v>
      </c>
    </row>
    <row r="244" spans="1:3" x14ac:dyDescent="0.25">
      <c r="A244" t="s">
        <v>853</v>
      </c>
      <c r="B244" t="s">
        <v>1150</v>
      </c>
      <c r="C244" t="s">
        <v>854</v>
      </c>
    </row>
    <row r="245" spans="1:3" x14ac:dyDescent="0.25">
      <c r="A245" t="s">
        <v>853</v>
      </c>
      <c r="B245" t="s">
        <v>1190</v>
      </c>
      <c r="C245" t="s">
        <v>854</v>
      </c>
    </row>
    <row r="246" spans="1:3" x14ac:dyDescent="0.25">
      <c r="A246" t="s">
        <v>855</v>
      </c>
      <c r="B246" t="s">
        <v>856</v>
      </c>
      <c r="C246" t="s">
        <v>857</v>
      </c>
    </row>
    <row r="247" spans="1:3" x14ac:dyDescent="0.25">
      <c r="A247" t="s">
        <v>853</v>
      </c>
      <c r="B247" t="s">
        <v>1150</v>
      </c>
      <c r="C247" t="s">
        <v>854</v>
      </c>
    </row>
    <row r="248" spans="1:3" x14ac:dyDescent="0.25">
      <c r="A248" t="s">
        <v>853</v>
      </c>
      <c r="B248" t="s">
        <v>1151</v>
      </c>
      <c r="C248" t="s">
        <v>854</v>
      </c>
    </row>
    <row r="249" spans="1:3" x14ac:dyDescent="0.25">
      <c r="A249" t="s">
        <v>855</v>
      </c>
      <c r="B249" t="s">
        <v>856</v>
      </c>
      <c r="C249" t="s">
        <v>857</v>
      </c>
    </row>
    <row r="250" spans="1:3" x14ac:dyDescent="0.25">
      <c r="A250" t="s">
        <v>853</v>
      </c>
      <c r="B250" t="s">
        <v>1150</v>
      </c>
      <c r="C250" t="s">
        <v>854</v>
      </c>
    </row>
    <row r="251" spans="1:3" x14ac:dyDescent="0.25">
      <c r="A251" t="s">
        <v>853</v>
      </c>
      <c r="B251" t="s">
        <v>1151</v>
      </c>
      <c r="C251" t="s">
        <v>854</v>
      </c>
    </row>
    <row r="252" spans="1:3" x14ac:dyDescent="0.25">
      <c r="A252" t="s">
        <v>855</v>
      </c>
      <c r="B252" t="s">
        <v>856</v>
      </c>
      <c r="C252" t="s">
        <v>857</v>
      </c>
    </row>
    <row r="253" spans="1:3" x14ac:dyDescent="0.25">
      <c r="A253" t="s">
        <v>853</v>
      </c>
      <c r="B253" t="s">
        <v>1150</v>
      </c>
      <c r="C253" t="s">
        <v>854</v>
      </c>
    </row>
    <row r="254" spans="1:3" x14ac:dyDescent="0.25">
      <c r="A254" t="s">
        <v>853</v>
      </c>
      <c r="B254" t="s">
        <v>1190</v>
      </c>
      <c r="C254" t="s">
        <v>854</v>
      </c>
    </row>
    <row r="255" spans="1:3" x14ac:dyDescent="0.25">
      <c r="A255" t="s">
        <v>853</v>
      </c>
      <c r="B255" t="s">
        <v>1151</v>
      </c>
      <c r="C255" t="s">
        <v>854</v>
      </c>
    </row>
    <row r="256" spans="1:3" x14ac:dyDescent="0.25">
      <c r="A256" t="s">
        <v>855</v>
      </c>
      <c r="B256" t="s">
        <v>856</v>
      </c>
      <c r="C256" t="s">
        <v>857</v>
      </c>
    </row>
    <row r="257" spans="1:3" x14ac:dyDescent="0.25">
      <c r="A257" t="s">
        <v>853</v>
      </c>
      <c r="B257" t="s">
        <v>1151</v>
      </c>
      <c r="C257" t="s">
        <v>854</v>
      </c>
    </row>
    <row r="258" spans="1:3" x14ac:dyDescent="0.25">
      <c r="A258" t="s">
        <v>855</v>
      </c>
      <c r="B258" t="s">
        <v>856</v>
      </c>
      <c r="C258" t="s">
        <v>857</v>
      </c>
    </row>
    <row r="259" spans="1:3" x14ac:dyDescent="0.25">
      <c r="A259" t="s">
        <v>853</v>
      </c>
      <c r="B259" t="s">
        <v>1151</v>
      </c>
      <c r="C259" t="s">
        <v>854</v>
      </c>
    </row>
    <row r="260" spans="1:3" x14ac:dyDescent="0.25">
      <c r="A260" t="s">
        <v>855</v>
      </c>
      <c r="B260" t="s">
        <v>856</v>
      </c>
      <c r="C260" t="s">
        <v>857</v>
      </c>
    </row>
    <row r="261" spans="1:3" x14ac:dyDescent="0.25">
      <c r="A261" t="s">
        <v>853</v>
      </c>
      <c r="B261" t="s">
        <v>1151</v>
      </c>
      <c r="C261" t="s">
        <v>854</v>
      </c>
    </row>
    <row r="262" spans="1:3" x14ac:dyDescent="0.25">
      <c r="A262" t="s">
        <v>855</v>
      </c>
      <c r="B262" t="s">
        <v>856</v>
      </c>
      <c r="C262" t="s">
        <v>857</v>
      </c>
    </row>
    <row r="263" spans="1:3" x14ac:dyDescent="0.25">
      <c r="A263" t="s">
        <v>853</v>
      </c>
      <c r="B263" t="s">
        <v>1150</v>
      </c>
      <c r="C263" t="s">
        <v>854</v>
      </c>
    </row>
    <row r="264" spans="1:3" x14ac:dyDescent="0.25">
      <c r="A264" t="s">
        <v>853</v>
      </c>
      <c r="B264" t="s">
        <v>1190</v>
      </c>
      <c r="C264" t="s">
        <v>854</v>
      </c>
    </row>
    <row r="265" spans="1:3" x14ac:dyDescent="0.25">
      <c r="A265" t="s">
        <v>855</v>
      </c>
      <c r="B265" t="s">
        <v>856</v>
      </c>
      <c r="C265" t="s">
        <v>857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85B6D78076B9043BD2D2B47BEB91846" ma:contentTypeVersion="1" ma:contentTypeDescription="Create a new document." ma:contentTypeScope="" ma:versionID="3236a37efc138a8c943d4169ba4dd7cc">
  <xsd:schema xmlns:xsd="http://www.w3.org/2001/XMLSchema" xmlns:xs="http://www.w3.org/2001/XMLSchema" xmlns:p="http://schemas.microsoft.com/office/2006/metadata/properties" xmlns:ns2="3bfed654-ec4c-486b-bf1a-f40e0513c08d" targetNamespace="http://schemas.microsoft.com/office/2006/metadata/properties" ma:root="true" ma:fieldsID="daffc42ef18d33740a617edf71ca8d41" ns2:_="">
    <xsd:import namespace="3bfed654-ec4c-486b-bf1a-f40e0513c08d"/>
    <xsd:element name="properties">
      <xsd:complexType>
        <xsd:sequence>
          <xsd:element name="documentManagement">
            <xsd:complexType>
              <xsd:all>
                <xsd:element ref="ns2:Category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fed654-ec4c-486b-bf1a-f40e0513c08d" elementFormDefault="qualified">
    <xsd:import namespace="http://schemas.microsoft.com/office/2006/documentManagement/types"/>
    <xsd:import namespace="http://schemas.microsoft.com/office/infopath/2007/PartnerControls"/>
    <xsd:element name="Category" ma:index="8" ma:displayName="Category" ma:default="Template" ma:format="Dropdown" ma:internalName="Category">
      <xsd:simpleType>
        <xsd:restriction base="dms:Choice">
          <xsd:enumeration value="Template"/>
          <xsd:enumeration value="Supporting Information"/>
          <xsd:enumeration value="Reference Materials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3bfed654-ec4c-486b-bf1a-f40e0513c08d">Template</Category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5D3C0F7-094C-4AB1-A313-F50004DA9A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bfed654-ec4c-486b-bf1a-f40e0513c0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EE2786-041D-4694-BBE7-C94550A09646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3bfed654-ec4c-486b-bf1a-f40e0513c08d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8E730A7-3729-4650-99D7-6FDED3DE135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Input &amp; Assumptions</vt:lpstr>
      <vt:lpstr>HFM Acct - OCF Activity</vt:lpstr>
      <vt:lpstr>BNS Profit Centers</vt:lpstr>
      <vt:lpstr>GL Acct - Clearing</vt:lpstr>
      <vt:lpstr>Cost Centers</vt:lpstr>
      <vt:lpstr>OCF Activity Template</vt:lpstr>
      <vt:lpstr>All_Accounts</vt:lpstr>
      <vt:lpstr>All_Accounts_Pivot</vt:lpstr>
      <vt:lpstr>Pre-Close BNS Income</vt:lpstr>
      <vt:lpstr>Pre-Close AMF Pivot</vt:lpstr>
      <vt:lpstr>Pre-Close 0417 - AMF - 201502</vt:lpstr>
      <vt:lpstr>0417 - AMF - 201502</vt:lpstr>
      <vt:lpstr>Modded_AMF_Pivot_Accounts</vt:lpstr>
      <vt:lpstr>Modded AMF Pivot</vt:lpstr>
      <vt:lpstr>AMF Table - Modded</vt:lpstr>
      <vt:lpstr>0417 - AMF - 201503</vt:lpstr>
      <vt:lpstr>admin_BNS_profit_center_flag</vt:lpstr>
      <vt:lpstr>admin_Current_Month_AMF_Tab</vt:lpstr>
      <vt:lpstr>admin_Pre_Close_AMF_Date</vt:lpstr>
      <vt:lpstr>admin_Pre_Close_AMF_Tab</vt:lpstr>
      <vt:lpstr>admin_template_version</vt:lpstr>
      <vt:lpstr>admin_tmp_formula_local</vt:lpstr>
      <vt:lpstr>ERP_list</vt:lpstr>
      <vt:lpstr>input_BNS_profit_center_flag</vt:lpstr>
      <vt:lpstr>input_Contra_BNS_PC</vt:lpstr>
      <vt:lpstr>input_DTDF_Acct</vt:lpstr>
      <vt:lpstr>input_DTDF_PC</vt:lpstr>
      <vt:lpstr>input_ERP_name</vt:lpstr>
      <vt:lpstr>input_SAP_Document_Date</vt:lpstr>
      <vt:lpstr>input_SAP_Posting_Date</vt:lpstr>
    </vt:vector>
  </TitlesOfParts>
  <Company>PricewaterhouseCoopers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Corey J. Gallon</dc:creator>
  <cp:lastModifiedBy>Corey J. Gallon</cp:lastModifiedBy>
  <dcterms:created xsi:type="dcterms:W3CDTF">2015-04-22T21:47:09Z</dcterms:created>
  <dcterms:modified xsi:type="dcterms:W3CDTF">2015-08-14T16:40:40Z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0x010100085B6D78076B9043BD2D2B47BEB91846</vt:lpwstr>
  </property>
  <property fmtid="{D5CDD505-2E9C-101B-9397-08002B2CF9AE}" pid="3" name="SV_QUERY_LIST_4F35BF76-6C0D-4D9B-82B2-816C12CF3733">
    <vt:lpwstr>empty_477D106A-C0D6-4607-AEBD-E2C9D60EA279</vt:lpwstr>
  </property>
</Properties>
</file>