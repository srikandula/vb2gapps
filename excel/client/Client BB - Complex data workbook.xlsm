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ustomProperty1.bin" ContentType="application/vnd.openxmlformats-officedocument.spreadsheetml.customProperty"/>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agottesman001\Documents\Projects\1 - PG&amp;E\1 - Unknowns Macro\v25\"/>
    </mc:Choice>
  </mc:AlternateContent>
  <bookViews>
    <workbookView xWindow="75" yWindow="-60" windowWidth="15480" windowHeight="11640" tabRatio="782"/>
  </bookViews>
  <sheets>
    <sheet name="Pipe Data" sheetId="1" r:id="rId1"/>
    <sheet name="MAOP Report" sheetId="19" r:id="rId2"/>
    <sheet name="Issues-Errors" sheetId="24" r:id="rId3"/>
    <sheet name="Tools" sheetId="13" r:id="rId4"/>
    <sheet name="CheckList" sheetId="15" r:id="rId5"/>
    <sheet name="Column Definitions" sheetId="8" r:id="rId6"/>
    <sheet name="Instructions" sheetId="10" r:id="rId7"/>
    <sheet name="Changes" sheetId="9" r:id="rId8"/>
    <sheet name="FVE Changes" sheetId="20" r:id="rId9"/>
    <sheet name="Logic" sheetId="23" r:id="rId10"/>
    <sheet name="Selections" sheetId="6" r:id="rId11"/>
    <sheet name="FVE Validation" sheetId="16" r:id="rId12"/>
    <sheet name="FVE Table" sheetId="17" r:id="rId13"/>
    <sheet name="Resolution Doc" sheetId="14" r:id="rId14"/>
  </sheets>
  <functionGroups builtInGroupCount="18"/>
  <externalReferences>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0" hidden="1">'Pipe Data'!$A$2:$FC$42</definedName>
    <definedName name="a">[1]Selections!$A$384:$A$406</definedName>
    <definedName name="Ansi" localSheetId="12">[2]Selections!$A$137:$A$159</definedName>
    <definedName name="Ansi" localSheetId="11">[3]Selections!$A$147:$A$169</definedName>
    <definedName name="Ansi" localSheetId="2">[4]Selections!$A$153:$A$176</definedName>
    <definedName name="Ansi" localSheetId="9">[5]Selections!$A$384:$A$406</definedName>
    <definedName name="Ansi" localSheetId="1">[6]Selections!$A$384:$A$406</definedName>
    <definedName name="Ansi">Selections!$A$153:$A$176</definedName>
    <definedName name="Ansi1">Selections!$B$153:$B$178</definedName>
    <definedName name="Ansi2">Selections!$A$154:$B$178</definedName>
    <definedName name="AnyOD1">Selections!$A$829:$A$1295</definedName>
    <definedName name="AnyOD2">Selections!$B$830:$B$5689</definedName>
    <definedName name="Appurtenance">Selections!$A$537:$A$544</definedName>
    <definedName name="AppurtenanceType">Selections!$A$537:$A$544</definedName>
    <definedName name="AppurtenceType" localSheetId="9">[5]Selections!$A$754:$A$763</definedName>
    <definedName name="AppurtenceType" localSheetId="1">[6]Selections!$A$754:$A$763</definedName>
    <definedName name="AppurtenceType">[7]Selections!$A$754:$A$763</definedName>
    <definedName name="AssetType" localSheetId="8">[2]Selections!#REF!</definedName>
    <definedName name="AssetType" localSheetId="9">[8]Selections!#REF!</definedName>
    <definedName name="AssetType" localSheetId="1">[2]Selections!#REF!</definedName>
    <definedName name="AssetType">[2]Selections!#REF!</definedName>
    <definedName name="BendRadius">Selections!$A$760:$A$765</definedName>
    <definedName name="BendRadius_Field">Selections!$A$767:$A$787</definedName>
    <definedName name="BendRadius2">Selections!$A$767:$A$787</definedName>
    <definedName name="BendType" localSheetId="8">[2]Selections!#REF!</definedName>
    <definedName name="BendType" localSheetId="9">[5]Selections!$A$553:$A$558</definedName>
    <definedName name="BendType" localSheetId="1">[6]Selections!$A$553:$A$558</definedName>
    <definedName name="BendType">[2]Selections!#REF!</definedName>
    <definedName name="BendType_Field" localSheetId="8">[2]Selections!#REF!</definedName>
    <definedName name="BendType_Field" localSheetId="9">[5]Selections!$A$567:$A$572</definedName>
    <definedName name="BendType_Field" localSheetId="1">[6]Selections!$A$567:$A$572</definedName>
    <definedName name="BendType_Field">[2]Selections!#REF!</definedName>
    <definedName name="BranchStatus" localSheetId="8">[9]Instructions!#REF!</definedName>
    <definedName name="BranchStatus" localSheetId="12">[2]Instructions!$A$134:$A$136</definedName>
    <definedName name="BranchStatus" localSheetId="11">[3]Instructions!#REF!</definedName>
    <definedName name="BranchStatus" localSheetId="9">[8]Instructions!$A$134:$A$136</definedName>
    <definedName name="BranchStatus" localSheetId="1">[2]Instructions!$A$134:$A$136</definedName>
    <definedName name="BranchStatus">[9]Instructions!#REF!</definedName>
    <definedName name="BranchType" localSheetId="12">[10]Selections!$A$600:$A$605</definedName>
    <definedName name="BranchType" localSheetId="11">[11]Selections!$A$771:$A$776</definedName>
    <definedName name="BranchType" localSheetId="2">[4]Selections!$A$790:$A$795</definedName>
    <definedName name="BranchType" localSheetId="9">[12]Selections!$A$600:$A$605</definedName>
    <definedName name="BranchType" localSheetId="1">[10]Selections!$A$600:$A$605</definedName>
    <definedName name="BranchType">Selections!$A$790:$A$795</definedName>
    <definedName name="Cap" comment="Type for Cap">Selections!$A$466:$A$467</definedName>
    <definedName name="CasingInsulateType" localSheetId="12">[2]Selections!$A$472:$A$475</definedName>
    <definedName name="CasingInsulateType" localSheetId="11">[3]Selections!$A$521:$A$524</definedName>
    <definedName name="CasingInsulateType" localSheetId="2">[4]Selections!$A$565:$A$568</definedName>
    <definedName name="CasingInsulateType" localSheetId="9">[5]Selections!$A$781:$A$784</definedName>
    <definedName name="CasingInsulateType" localSheetId="1">[6]Selections!$A$781:$A$784</definedName>
    <definedName name="CasingInsulateType">Selections!$A$565:$A$568</definedName>
    <definedName name="CasingSealType" localSheetId="12">[2]Selections!$A$477:$A$480</definedName>
    <definedName name="CasingSealType" localSheetId="11">[3]Selections!$A$526:$A$529</definedName>
    <definedName name="CasingSealType" localSheetId="2">[4]Selections!$A$570:$A$573</definedName>
    <definedName name="CasingSealType" localSheetId="9">[5]Selections!$A$786:$A$789</definedName>
    <definedName name="CasingSealType" localSheetId="1">[6]Selections!$A$786:$A$789</definedName>
    <definedName name="CasingSealType">Selections!$A$570:$A$573</definedName>
    <definedName name="CasingType" localSheetId="12">[2]Selections!$A$459:$A$470</definedName>
    <definedName name="CasingType" localSheetId="11">[3]Selections!$A$508:$A$519</definedName>
    <definedName name="CasingType" localSheetId="2">[4]Selections!$A$552:$A$563</definedName>
    <definedName name="CasingType" localSheetId="9">[5]Selections!$A$771:$A$779</definedName>
    <definedName name="CasingType" localSheetId="1">[6]Selections!$A$771:$A$779</definedName>
    <definedName name="CasingType">Selections!$A$552:$A$563</definedName>
    <definedName name="CategoryPFLIssues" localSheetId="12">[10]Instructions!$A$171:$A$175</definedName>
    <definedName name="CategoryPFLIssues" localSheetId="11">[11]Instructions!$A$170:$A$174</definedName>
    <definedName name="CategoryPFLIssues" localSheetId="2">[4]Instructions!$A$173:$A$177</definedName>
    <definedName name="CategoryPFLIssues" localSheetId="9">[8]Instructions!$A$145:$A$170</definedName>
    <definedName name="CategoryPFLIssues" localSheetId="1">[10]Instructions!$A$171:$A$175</definedName>
    <definedName name="CategoryPFLIssues">Instructions!$A$173:$A$177</definedName>
    <definedName name="CauseType" localSheetId="9">[8]Selections!$A$497:$A$501</definedName>
    <definedName name="CauseType">Selections!$A$725:$A$729</definedName>
    <definedName name="Check1" localSheetId="4">CheckList!$A$8</definedName>
    <definedName name="Class" localSheetId="8">[2]Selections!#REF!</definedName>
    <definedName name="Class" localSheetId="9">[8]Selections!#REF!</definedName>
    <definedName name="Class" localSheetId="1">[2]Selections!#REF!</definedName>
    <definedName name="Class">[2]Selections!#REF!</definedName>
    <definedName name="Class1" localSheetId="8">[2]Selections!#REF!</definedName>
    <definedName name="Class1" localSheetId="9">[8]Selections!#REF!</definedName>
    <definedName name="Class1" localSheetId="1">[2]Selections!#REF!</definedName>
    <definedName name="Class1">[2]Selections!#REF!</definedName>
    <definedName name="Class2">Selections!$B$7:$B$19</definedName>
    <definedName name="ClassChange" localSheetId="8">[2]Selections!#REF!</definedName>
    <definedName name="ClassChange" localSheetId="9">[8]Selections!#REF!</definedName>
    <definedName name="ClassChange" localSheetId="1">[2]Selections!#REF!</definedName>
    <definedName name="ClassChange">[2]Selections!#REF!</definedName>
    <definedName name="ClassGrand" localSheetId="8">[2]Selections!#REF!</definedName>
    <definedName name="ClassGrand" localSheetId="9">[8]Selections!#REF!</definedName>
    <definedName name="ClassGrand" localSheetId="1">[2]Selections!#REF!</definedName>
    <definedName name="ClassGrand">[2]Selections!#REF!</definedName>
    <definedName name="ClassGrand1" localSheetId="8">[2]Selections!#REF!</definedName>
    <definedName name="ClassGrand1" localSheetId="9">[8]Selections!#REF!</definedName>
    <definedName name="ClassGrand1" localSheetId="1">[2]Selections!#REF!</definedName>
    <definedName name="ClassGrand1">[2]Selections!#REF!</definedName>
    <definedName name="ClassGrand2" localSheetId="8">[2]Selections!#REF!</definedName>
    <definedName name="ClassGrand2" localSheetId="9">[8]Selections!#REF!</definedName>
    <definedName name="ClassGrand2" localSheetId="1">[2]Selections!#REF!</definedName>
    <definedName name="ClassGrand2">[2]Selections!#REF!</definedName>
    <definedName name="Classification">'[13]Classifications-Severity Guide'!$B$10:$B$25</definedName>
    <definedName name="ClassLocation" localSheetId="12">[2]Selections!$A$7:$A$11</definedName>
    <definedName name="ClassLocation" localSheetId="11">[3]Selections!$A$7:$A$19</definedName>
    <definedName name="ClassLocation" localSheetId="2">[4]Selections!$A$7:$A$19</definedName>
    <definedName name="ClassLocation" localSheetId="9">[8]Selections!$A$7:$A$11</definedName>
    <definedName name="ClassLocation" localSheetId="1">[2]Selections!$A$7:$A$11</definedName>
    <definedName name="ClassLocation">Selections!$A$7:$A$19</definedName>
    <definedName name="ClassLocation_FVE" localSheetId="12">'[9]FVE Validation'!$H$4:$H$16</definedName>
    <definedName name="ClassLocation_FVE" localSheetId="9">'[14]FVE Validation'!$H$4:$H$16</definedName>
    <definedName name="ClassLocation_FVE" localSheetId="1">'[9]FVE Validation'!$H$4:$H$16</definedName>
    <definedName name="ClassLocation_FVE">INDIRECT(ADDRESS(4,8,1,1,"FVE Validation")&amp;":"&amp;ADDRESS(COUNTA('FVE Validation'!$H:$H)+3,8,1,1))</definedName>
    <definedName name="ClassLocationNoBlank_FVE" localSheetId="9">INDIRECT(ADDRESS(4,8,1,1,"FVE Validation")&amp;":"&amp;ADDRESS(COUNTA('[15]FVE Validation'!$H:$H)+2,8,1,1))</definedName>
    <definedName name="ClassLocationNoBlank_FVE">INDIRECT(ADDRESS(4,8,1,1,"FVE Validation")&amp;":"&amp;ADDRESS(COUNTA('FVE Validation'!$H:$H)+2,8,1,1))</definedName>
    <definedName name="CoatingType" localSheetId="12">[2]Selections!$A$63:$A$79</definedName>
    <definedName name="CoatingType" localSheetId="11">[3]Selections!$A$72:$A$89</definedName>
    <definedName name="CoatingType" localSheetId="2">[4]Selections!$A$77:$A$94</definedName>
    <definedName name="CoatingType" localSheetId="9">[5]Selections!$A$172:$A$188</definedName>
    <definedName name="CoatingType" localSheetId="1">[6]Selections!$A$172:$A$188</definedName>
    <definedName name="CoatingType">Selections!$A$77:$A$94</definedName>
    <definedName name="Code10" localSheetId="8">[2]Selections!#REF!</definedName>
    <definedName name="Code10" localSheetId="9">[8]Selections!#REF!</definedName>
    <definedName name="Code10" localSheetId="1">[2]Selections!#REF!</definedName>
    <definedName name="Code10">[2]Selections!#REF!</definedName>
    <definedName name="Code6" localSheetId="8">[2]Selections!#REF!</definedName>
    <definedName name="Code6" localSheetId="9">[8]Selections!#REF!</definedName>
    <definedName name="Code6" localSheetId="1">[2]Selections!#REF!</definedName>
    <definedName name="Code6">[2]Selections!#REF!</definedName>
    <definedName name="Code7" localSheetId="8">[2]Selections!#REF!</definedName>
    <definedName name="Code7" localSheetId="9">[8]Selections!#REF!</definedName>
    <definedName name="Code7" localSheetId="1">[2]Selections!#REF!</definedName>
    <definedName name="Code7">[2]Selections!#REF!</definedName>
    <definedName name="CompanyName" localSheetId="8">[2]Selections!#REF!</definedName>
    <definedName name="CompanyName" localSheetId="9">[8]Selections!#REF!</definedName>
    <definedName name="CompanyName" localSheetId="1">[2]Selections!#REF!</definedName>
    <definedName name="CompanyName">[2]Selections!#REF!</definedName>
    <definedName name="ComponentFeature_FVE" localSheetId="9">INDIRECT(ADDRESS(3,23,1,1,"FVE Validation")&amp;":"&amp;ADDRESS(COUNTA('[15]FVE Validation'!$W:$W)+2,23,1,1))</definedName>
    <definedName name="ComponentFeature_FVE">INDIRECT(ADDRESS(3,23,1,1,"FVE Validation")&amp;":"&amp;ADDRESS(COUNTA('FVE Validation'!$W:$W)+2,23,1,1))</definedName>
    <definedName name="ComponentFeatureType_FVE" localSheetId="9">INDIRECT(ADDRESS(3,24,1,1,"FVE Validation")&amp;":"&amp;ADDRESS(COUNTA('[15]FVE Validation'!$X:$X)+2,24,1,1))</definedName>
    <definedName name="ComponentFeatureType_FVE">INDIRECT(ADDRESS(3,24,1,1,"FVE Validation")&amp;":"&amp;ADDRESS(COUNTA('FVE Validation'!$X:$X)+2,24,1,1))</definedName>
    <definedName name="Convert_or_Uprate" localSheetId="8">[2]Selections!#REF!</definedName>
    <definedName name="Convert_or_Uprate" localSheetId="9">[8]Selections!#REF!</definedName>
    <definedName name="Convert_or_Uprate">[2]Selections!#REF!</definedName>
    <definedName name="DefectType" localSheetId="9">[8]Selections!$A$490:$A$494</definedName>
    <definedName name="DefectType">Selections!$A$718:$A$722</definedName>
    <definedName name="Definition">'[13]Classifications-Severity Guide'!$B$10:$B$25</definedName>
    <definedName name="DesignFactor_FVE" localSheetId="12">'[9]FVE Validation'!$J$4:$J$9</definedName>
    <definedName name="DesignFactor_FVE" localSheetId="9">'[14]FVE Validation'!$J$4:$J$9</definedName>
    <definedName name="DesignFactor_FVE" localSheetId="1">'[9]FVE Validation'!$J$4:$J$9</definedName>
    <definedName name="DesignFactor_FVE">INDIRECT(ADDRESS(4,10,1,1,"FVE Validation")&amp;":"&amp;ADDRESS(COUNTA('FVE Validation'!$J:$J)+2,10,1,1))</definedName>
    <definedName name="DrillHole" localSheetId="9">[5]Selections!$A$540:$A$551</definedName>
    <definedName name="DrillHole" localSheetId="1">[6]Selections!$A$540:$A$551</definedName>
    <definedName name="DrillHole">Selections!$A$402:$A$413</definedName>
    <definedName name="DropDownClas">'[16]Classifications-Severity Guide'!$A$10:$A$24</definedName>
    <definedName name="Edit" localSheetId="8">[2]Selections!#REF!</definedName>
    <definedName name="Edit" localSheetId="9">[5]Selections!$A$791:$A$793</definedName>
    <definedName name="Edit" localSheetId="1">[6]Selections!$A$791:$A$793</definedName>
    <definedName name="Edit">[2]Selections!#REF!</definedName>
    <definedName name="Effort">Selections!$A$732:$A$734</definedName>
    <definedName name="EndConnect" localSheetId="12">[2]Selections!$A$415:$A$420</definedName>
    <definedName name="EndConnect" localSheetId="11">[3]Selections!$A$447:$A$456</definedName>
    <definedName name="EndConnect" localSheetId="2">[4]Selections!$A$486:$A$497</definedName>
    <definedName name="EndConnect" localSheetId="9">[5]Selections!$A$607:$A$612</definedName>
    <definedName name="EndConnect" localSheetId="1">[6]Selections!$A$607:$A$612</definedName>
    <definedName name="EndConnect">Selections!$A$486:$A$497</definedName>
    <definedName name="Error_Feature">Instructions!$A$216:$A$222</definedName>
    <definedName name="Error_Not_Technical">Instructions!$A$196:$A$212</definedName>
    <definedName name="Error_Other">Instructions!$A$244:$A$245</definedName>
    <definedName name="Error_Value">Instructions!$A$226:$A$238</definedName>
    <definedName name="EventType" localSheetId="12">[2]Selections!$A$180:$A$194</definedName>
    <definedName name="EventType" localSheetId="11">[3]Selections!$A$192:$A$208</definedName>
    <definedName name="EventType" localSheetId="2">[4]Selections!$A$218:$A$235</definedName>
    <definedName name="EventType" localSheetId="9">[5]Selections!$A$425:$A$436</definedName>
    <definedName name="EventType" localSheetId="1">[6]Selections!$A$425:$A$436</definedName>
    <definedName name="EventType">Selections!$A$218:$A$235</definedName>
    <definedName name="FarmTapRegSet" comment="Farm Tap Regulators 1 or 2 services ">Selections!$A$583:$A$600</definedName>
    <definedName name="featureTypeRelative">OFFSET(INDIRECT(ADDRESS(ROW(),COLUMN())),0,-120,1,1)</definedName>
    <definedName name="FERNCategory">[17]Selections!$A$757:$A$764</definedName>
    <definedName name="Field_Notes_Type" localSheetId="8">[2]Selections!#REF!</definedName>
    <definedName name="Field_Notes_Type" localSheetId="9">[5]Selections!$B$636:$B$752</definedName>
    <definedName name="Field_Notes_Type" localSheetId="1">[6]Selections!$B$636:$B$752</definedName>
    <definedName name="Field_Notes_Type">[2]Selections!#REF!</definedName>
    <definedName name="FieldBend">Selections!$A$435:$A$440</definedName>
    <definedName name="fittingDynamic" localSheetId="12">OFFSET(INDIRECT(ADDRESS(MATCH(fittingRatingRelative,FittingRating_FVE,0)+2,13,1,TRUE,"FVE Validation")),0,0,COUNTIF(FittingRating_FVE,"="&amp;fittingRatingRelative),1)</definedName>
    <definedName name="fittingDynamic" localSheetId="11">OFFSET(INDIRECT(ADDRESS(MATCH(fittingRatingRelative,FittingRating_FVE,0)+2,13,1,TRUE,"FVE Validation")),0,0,COUNTIF(FittingRating_FVE,"="&amp;fittingRatingRelative),1)</definedName>
    <definedName name="fittingDynamic" localSheetId="9">OFFSET(INDIRECT(ADDRESS(MATCH(fittingRatingRelative,FittingRating_FVE,0)+2,13,1,TRUE,"FVE Validation")),0,0,COUNTIF(FittingRating_FVE,"="&amp;fittingRatingRelative),1)</definedName>
    <definedName name="fittingDynamic" localSheetId="1">OFFSET(INDIRECT(ADDRESS(MATCH(fittingRatingRelative,FittingRating_FVE,0)+2,13,1,TRUE,"FVE Validation")),0,0,COUNTIF(FittingRating_FVE,"="&amp;fittingRatingRelative),1)</definedName>
    <definedName name="fittingDynamic">IF(ISERROR(MATCH(fittingRatingRelative,FittingRating_FVE,0)),fittingRatingRelative,OFFSET(INDIRECT(ADDRESS(MATCH(fittingRatingRelative,FittingRating_FVE,0)+2,13,1,TRUE,"FVE Validation")),0,0,COUNTIF(FittingRating_FVE,"="&amp;fittingRatingRelative),1))</definedName>
    <definedName name="FittingMAOP_FVE" localSheetId="12">'[9]FVE Validation'!$I$4:$I$46</definedName>
    <definedName name="FittingMAOP_FVE" localSheetId="9">'[14]FVE Validation'!$I$4:$I$40</definedName>
    <definedName name="FittingMAOP_FVE" localSheetId="1">'[9]FVE Validation'!$I$4:$I$46</definedName>
    <definedName name="FittingMAOP_FVE">INDIRECT(ADDRESS(3,13,1,1,"FVE Validation")&amp;":"&amp;ADDRESS(COUNTA('FVE Validation'!$M:$M),13,1,1))</definedName>
    <definedName name="FittingRating_FVE" localSheetId="12">'[9]FVE Validation'!$G$4:$G$65</definedName>
    <definedName name="FittingRating_FVE" localSheetId="9">'[14]FVE Validation'!$G$4:$G$58</definedName>
    <definedName name="FittingRating_FVE" localSheetId="1">'[9]FVE Validation'!$G$4:$G$65</definedName>
    <definedName name="FittingRating_FVE">INDIRECT(ADDRESS(3,12,1,1,"FVE Validation")&amp;":"&amp;ADDRESS(COUNTA('FVE Validation'!$L:$L),12,1,1))</definedName>
    <definedName name="fittingRatingRelative">OFFSET(INDIRECT(ADDRESS(ROW(),COLUMN())),0,-10,1,1)</definedName>
    <definedName name="Flange">Selections!$A$447:$A$455</definedName>
    <definedName name="FlangeType" localSheetId="9">[5]Selections!$A$579:$A$586</definedName>
    <definedName name="FlangeType" localSheetId="1">[6]Selections!$A$579:$A$586</definedName>
    <definedName name="FlangeType">Selections!$A$447:$A$455</definedName>
    <definedName name="FRMAOP_table" localSheetId="12">ADDRESS(3,12,1,1,"FVE Validation")&amp;":"&amp;ADDRESS(COUNTA('[18]FVE Validation'!$L:$L),13,1,1)</definedName>
    <definedName name="FRMAOP_table" localSheetId="9">ADDRESS(3,12,1,1,"FVE Validation")&amp;":"&amp;ADDRESS(COUNTA('[19]FVE Validation'!$L:$L),13,1,1)</definedName>
    <definedName name="FRMAOP_table" localSheetId="1">ADDRESS(3,12,1,1,"FVE Validation")&amp;":"&amp;ADDRESS(COUNTA('[18]FVE Validation'!$L:$L),13,1,1)</definedName>
    <definedName name="FRMAOP_table">ADDRESS(3,12,1,1,"FVE Validation")&amp;":"&amp;ADDRESS(COUNTA('FVE Validation'!$L:$L),13,1,1)</definedName>
    <definedName name="FTR_table" localSheetId="12">ADDRESS(3,18,1,1,"FVE Validation")&amp;":"&amp;ADDRESS(COUNTA('[18]FVE Validation'!$R:$R)+1,19,1,1)</definedName>
    <definedName name="FTR_table" localSheetId="9">ADDRESS(3,18,1,1,"FVE Validation")&amp;":"&amp;ADDRESS(COUNTA('[19]FVE Validation'!$R:$R)+1,19,1,1)</definedName>
    <definedName name="FTR_table" localSheetId="1">ADDRESS(3,18,1,1,"FVE Validation")&amp;":"&amp;ADDRESS(COUNTA('[18]FVE Validation'!$R:$R)+1,19,1,1)</definedName>
    <definedName name="FTR_table">ADDRESS(3,18,1,1,"FVE Validation")&amp;":"&amp;ADDRESS(COUNTA('FVE Validation'!$R:$R)+1,19,1,1)</definedName>
    <definedName name="GasLiquid" localSheetId="8">[2]Selections!#REF!</definedName>
    <definedName name="GasLiquid" localSheetId="9">[8]Selections!#REF!</definedName>
    <definedName name="GasLiquid" localSheetId="1">[2]Selections!#REF!</definedName>
    <definedName name="GasLiquid">[2]Selections!#REF!</definedName>
    <definedName name="Grade1" localSheetId="8">[2]Selections!#REF!</definedName>
    <definedName name="Grade1" localSheetId="9">[8]Selections!#REF!</definedName>
    <definedName name="Grade1" localSheetId="1">[2]Selections!#REF!</definedName>
    <definedName name="Grade1">[2]Selections!#REF!</definedName>
    <definedName name="HotCold" localSheetId="12">[2]Selections!$A$332:$A$334</definedName>
    <definedName name="HotCold" localSheetId="11">[3]Selections!$A$359:$A$361</definedName>
    <definedName name="HotCold" localSheetId="2">[4]Selections!$A$398:$A$400</definedName>
    <definedName name="HotCold" localSheetId="9">[5]Selections!$A$536:$A$538</definedName>
    <definedName name="HotCold" localSheetId="1">[6]Selections!$A$536:$A$538</definedName>
    <definedName name="HotCold">Selections!$A$398:$A$400</definedName>
    <definedName name="HPR_FVE" localSheetId="12">'[18]FVE Validation'!$R$3:$R$20</definedName>
    <definedName name="HPR_FVE" localSheetId="9">'[19]FVE Validation'!$R$3:$R$20</definedName>
    <definedName name="HPR_FVE" localSheetId="1">'[18]FVE Validation'!$R$3:$R$20</definedName>
    <definedName name="HPR_FVE">INDIRECT(ADDRESS(3,18,1,1,"FVE Validation")&amp;":"&amp;ADDRESS(COUNTA('FVE Validation'!$R:$R),18,1,1))</definedName>
    <definedName name="HPRdynamic" localSheetId="12">OFFSET(INDIRECT(ADDRESS(MATCH(featureTypeRelative,'FVE Table'!HPR_FVE,0)+2,18,1,TRUE,"FVE Validation")),0,0,COUNTIF('FVE Table'!HPR_FVE,"="&amp;featureTypeRelative),1)</definedName>
    <definedName name="HPRdynamic" localSheetId="9">OFFSET(INDIRECT(ADDRESS(MATCH(featureTypeRelative,Logic!HPR_FVE,0)+2,18,1,TRUE,"FVE Validation")),0,0,COUNTIF(Logic!HPR_FVE,"="&amp;featureTypeRelative),1)</definedName>
    <definedName name="HPRdynamic" localSheetId="1">OFFSET(INDIRECT(ADDRESS(MATCH(featureTypeRelative,'MAOP Report'!HPR_FVE,0)+2,18,1,TRUE,"FVE Validation")),0,0,COUNTIF('MAOP Report'!HPR_FVE,"="&amp;featureTypeRelative),1)</definedName>
    <definedName name="HPRdynamic">IF(ISERROR(MATCH(featureTypeRelative,HPR_FVE,0)),featureTypeRelative,OFFSET(INDIRECT(ADDRESS(MATCH(featureTypeRelative,HPR_FVE,0)+2,18,1,TRUE,"FVE Validation")),0,1,COUNTIF(HPR_FVE,"="&amp;featureTypeRelative),1))</definedName>
    <definedName name="Information">Instructions!$A$182:$A$192</definedName>
    <definedName name="IssueStatus" localSheetId="8">[2]Selections!#REF!</definedName>
    <definedName name="IssueStatus" localSheetId="9">'[16]Classifications-Severity Guide'!$A$27:$A$30</definedName>
    <definedName name="IssueStatus" localSheetId="1">'[16]Classifications-Severity Guide'!$A$27:$A$30</definedName>
    <definedName name="IssueStatus">[2]Selections!#REF!</definedName>
    <definedName name="Jurisdiction" localSheetId="8">[2]Selections!#REF!</definedName>
    <definedName name="Jurisdiction" localSheetId="9">[8]Selections!#REF!</definedName>
    <definedName name="Jurisdiction" localSheetId="1">[2]Selections!#REF!</definedName>
    <definedName name="Jurisdiction">[2]Selections!#REF!</definedName>
    <definedName name="LegacyFactor" localSheetId="8">[2]Selections!#REF!</definedName>
    <definedName name="LegacyFactor" localSheetId="9">[8]Selections!#REF!</definedName>
    <definedName name="LegacyFactor" localSheetId="1">[2]Selections!#REF!</definedName>
    <definedName name="LegacyFactor">[2]Selections!#REF!</definedName>
    <definedName name="LookMethod">Selections!$A$2:$B$5</definedName>
    <definedName name="LookMethod4">Selections!$A$2:$B$5</definedName>
    <definedName name="LowHydro" localSheetId="8">[2]Selections!#REF!</definedName>
    <definedName name="LowHydro" localSheetId="9">[8]Selections!#REF!</definedName>
    <definedName name="LowHydro" localSheetId="1">[2]Selections!#REF!</definedName>
    <definedName name="LowHydro">[2]Selections!#REF!</definedName>
    <definedName name="LowTestCall">Selections!$A$236:$B$253</definedName>
    <definedName name="LSFactor_FVE" localSheetId="12">'[9]FVE Validation'!$E$4:$E$7</definedName>
    <definedName name="LSFactor_FVE" localSheetId="9">'[14]FVE Validation'!$E$4:$E$7</definedName>
    <definedName name="LSFactor_FVE" localSheetId="1">'[9]FVE Validation'!$E$4:$E$7</definedName>
    <definedName name="LSFactor_FVE">INDIRECT(ADDRESS(4,5,1,1,"FVE Validation")&amp;":"&amp;ADDRESS(COUNTA('FVE Validation'!$E:$E)+3,5,1,1))</definedName>
    <definedName name="Material" localSheetId="8">[2]Selections!#REF!</definedName>
    <definedName name="Material" localSheetId="11">[2]Selections!#REF!</definedName>
    <definedName name="Material" localSheetId="9">[8]Selections!#REF!</definedName>
    <definedName name="Material" localSheetId="1">[2]Selections!#REF!</definedName>
    <definedName name="Material">[2]Selections!#REF!</definedName>
    <definedName name="Material1" localSheetId="8">[2]Selections!#REF!</definedName>
    <definedName name="Material1" localSheetId="9">[8]Selections!#REF!</definedName>
    <definedName name="Material1" localSheetId="1">[2]Selections!#REF!</definedName>
    <definedName name="Material1">[2]Selections!#REF!</definedName>
    <definedName name="MaterialCall" localSheetId="8">[2]Selections!#REF!</definedName>
    <definedName name="MaterialCall" localSheetId="9">[8]Selections!#REF!</definedName>
    <definedName name="MaterialCall" localSheetId="1">[2]Selections!#REF!</definedName>
    <definedName name="MaterialCall">[2]Selections!#REF!</definedName>
    <definedName name="MaterialType" localSheetId="12">[2]Selections!$A$299:$A$314</definedName>
    <definedName name="MaterialType" localSheetId="11">[3]Selections!$A$324:$A$341</definedName>
    <definedName name="MaterialType" localSheetId="2">[4]Selections!$A$363:$A$380</definedName>
    <definedName name="MaterialType" localSheetId="9">[5]Selections!$A$509:$A$524</definedName>
    <definedName name="MaterialType" localSheetId="1">[6]Selections!$A$509:$A$524</definedName>
    <definedName name="MaterialType">Selections!$A$363:$A$380</definedName>
    <definedName name="MaxWorkingPressure_high">'FVE Validation'!$AA$4</definedName>
    <definedName name="MaxWorkingPressure_low">'FVE Validation'!$AA$3</definedName>
    <definedName name="Meter" localSheetId="9">[5]Selections!$A$416:$A$423</definedName>
    <definedName name="Meter" localSheetId="1">[6]Selections!$A$416:$A$423</definedName>
    <definedName name="Meter">Selections!$A$189:$A$198</definedName>
    <definedName name="Mfg" comment="Manufacturer" localSheetId="12">[9]Selections!$A$552:$A$593</definedName>
    <definedName name="Mfg" comment="Manufacturer" localSheetId="11">[3]Selections!$A$552:$A$593</definedName>
    <definedName name="Mfg" comment="Manufacturer" localSheetId="2">[4]Selections!$A$602:$A$716</definedName>
    <definedName name="Mfg" comment="Manufacturer" localSheetId="9">[14]Selections!$A$552:$A$593</definedName>
    <definedName name="Mfg" comment="Manufacturer" localSheetId="1">[9]Selections!$A$552:$A$593</definedName>
    <definedName name="Mfg" comment="Manufacturer">Selections!$A$602:$A$716</definedName>
    <definedName name="MfgBend">Selections!$A$415:$A$422</definedName>
    <definedName name="modelDynamic" localSheetId="12">OFFSET(INDIRECT(ADDRESS(MATCH(modelRelative,'FVE Table'!SMMS_FVE,0)+2,16,1,TRUE,"FVE Validation")),0,0,COUNTIF('FVE Table'!SMMS_FVE,"="&amp;modelRelative),1)</definedName>
    <definedName name="modelDynamic" localSheetId="9">OFFSET(INDIRECT(ADDRESS(MATCH(modelRelative,Logic!SMMS_FVE,0)+2,16,1,TRUE,"FVE Validation")),0,0,COUNTIF(Logic!SMMS_FVE,"="&amp;modelRelative),1)</definedName>
    <definedName name="modelDynamic" localSheetId="1">OFFSET(INDIRECT(ADDRESS(MATCH(modelRelative,'MAOP Report'!SMMS_FVE,0)+2,16,1,TRUE,"FVE Validation")),0,0,COUNTIF('MAOP Report'!SMMS_FVE,"="&amp;modelRelative),1)</definedName>
    <definedName name="modelDynamic">IF(ISERROR(MATCH(modelRelative,SMMS_FVE,0)),modelRelative,OFFSET(INDIRECT(ADDRESS(MATCH(modelRelative,SMMS_FVE,0)+2,16,1,TRUE,"FVE Validation")),0,0,COUNTIF(SMMS_FVE,"="&amp;modelRelative),1))</definedName>
    <definedName name="modelRelative">OFFSET(INDIRECT(ADDRESS(ROW(),COLUMN())),0,-102,1,1)</definedName>
    <definedName name="MOPCC">Selections!$B$20:$B$55</definedName>
    <definedName name="OD_FVE" localSheetId="12">'[18]FVE Validation'!$C$4:$C$30</definedName>
    <definedName name="OD_FVE" localSheetId="9">'[19]FVE Validation'!$C$4:$C$30</definedName>
    <definedName name="OD_FVE" localSheetId="1">'[18]FVE Validation'!$C$4:$C$30</definedName>
    <definedName name="OD_FVE">'FVE Validation'!$C$4:$C$30</definedName>
    <definedName name="ODlong_FVE" localSheetId="12">INDIRECT(ADDRESS(4,4,1,1,"FVE Validation")&amp;":"&amp;ADDRESS(COUNTA('[18]FVE Validation'!$D:$D)+2,4,1,1))</definedName>
    <definedName name="ODlong_FVE" localSheetId="9">INDIRECT(ADDRESS(4,4,1,1,"FVE Validation")&amp;":"&amp;ADDRESS(COUNTA('[19]FVE Validation'!$D:$D)+2,4,1,1))</definedName>
    <definedName name="ODlong_FVE" localSheetId="1">INDIRECT(ADDRESS(4,4,1,1,"FVE Validation")&amp;":"&amp;ADDRESS(COUNTA('[18]FVE Validation'!$D:$D)+2,4,1,1))</definedName>
    <definedName name="ODlong_FVE">INDIRECT(ADDRESS(4,4,1,1,"FVE Validation")&amp;":"&amp;ADDRESS(COUNTA('FVE Validation'!$D:$D)+2,4,1,1))</definedName>
    <definedName name="ODshort_FVE" localSheetId="12">'[9]FVE Validation'!$C$4:$C$30</definedName>
    <definedName name="ODshort_FVE" localSheetId="9">'[14]FVE Validation'!$C$4:$C$30</definedName>
    <definedName name="ODshort_FVE" localSheetId="1">'[9]FVE Validation'!$C$4:$C$30</definedName>
    <definedName name="ODshort_FVE">INDIRECT(ADDRESS(4,3,1,1,"FVE Validation")&amp;":"&amp;ADDRESS(COUNTA('FVE Validation'!$C:$C)+3,3,1,1))</definedName>
    <definedName name="OrganizationList" localSheetId="12">[10]Selections!$A$547:$A$554</definedName>
    <definedName name="OrganizationList" localSheetId="11">[11]Selections!$A$718:$A$725</definedName>
    <definedName name="OrganizationList" localSheetId="2">[4]Selections!$A$737:$A$744</definedName>
    <definedName name="OrganizationList" localSheetId="9">[12]Selections!$A$547:$A$554</definedName>
    <definedName name="OrganizationList" localSheetId="1">[10]Selections!$A$547:$A$554</definedName>
    <definedName name="OrganizationList">Selections!$A$737:$A$744</definedName>
    <definedName name="OrgAssignedList" localSheetId="12">[10]Selections!$A$557:$A$567</definedName>
    <definedName name="OrgAssignedList" localSheetId="11">[11]Selections!$A$728:$A$738</definedName>
    <definedName name="OrgAssignedList" localSheetId="2">[4]Selections!$A$747:$A$757</definedName>
    <definedName name="OrgAssignedList" localSheetId="9">[12]Selections!$A$557:$A$567</definedName>
    <definedName name="OrgAssignedList" localSheetId="1">[10]Selections!$A$557:$A$567</definedName>
    <definedName name="OrgAssignedList">Selections!$A$747:$A$757</definedName>
    <definedName name="Orientation" localSheetId="12">[2]Selections!$A$357:$A$366</definedName>
    <definedName name="Orientation" localSheetId="11">[3]Selections!$A$385:$A$394</definedName>
    <definedName name="Orientation" localSheetId="2">[4]Selections!$A$424:$A$433</definedName>
    <definedName name="Orientation" localSheetId="9">[5]Selections!$A$560:$A$565</definedName>
    <definedName name="Orientation" localSheetId="1">[6]Selections!$A$560:$A$565</definedName>
    <definedName name="Orientation">Selections!$A$424:$A$433</definedName>
    <definedName name="OrificeSkidMntGasWell" comment="Skid Mounted Gas Well selection">Selections!$A$200:$A$216</definedName>
    <definedName name="Other">Selections!$A$469:$A$484</definedName>
    <definedName name="OutsideDiameter" localSheetId="12">[2]Selections!$A$13:$A$38</definedName>
    <definedName name="OutsideDiameter" localSheetId="11">[3]Selections!$A$21:$A$46</definedName>
    <definedName name="OutsideDiameter" localSheetId="2">[4]Selections!$A$21:$A$48</definedName>
    <definedName name="OutsideDiameter" localSheetId="9">[5]Selections!$A$59:$A$84</definedName>
    <definedName name="OutsideDiameter" localSheetId="1">[6]Selections!$A$59:$A$84</definedName>
    <definedName name="OutsideDiameter">Selections!$A$21:$A$48</definedName>
    <definedName name="PCF">Selections!$A$457:$A$464</definedName>
    <definedName name="PCFType" localSheetId="8">[2]Selections!#REF!</definedName>
    <definedName name="PCFType" localSheetId="9">[5]Selections!$A$588:$A$605</definedName>
    <definedName name="PCFType" localSheetId="1">[6]Selections!$A$588:$A$605</definedName>
    <definedName name="PCFType">[2]Selections!#REF!</definedName>
    <definedName name="PercentXray" comment="Percentage of welds x-ray examined" localSheetId="12">[10]Selections!$A$608:$A$617</definedName>
    <definedName name="PercentXray" comment="Percentage of welds x-ray examined" localSheetId="11">[3]Selections!$A$675:$A$685</definedName>
    <definedName name="PercentXray" comment="Percentage of welds x-ray examined" localSheetId="2">[4]Selections!$A$798:$A$808</definedName>
    <definedName name="PercentXray" comment="Percentage of welds x-ray examined" localSheetId="9">[12]Selections!$A$608:$A$617</definedName>
    <definedName name="PercentXray" comment="Percentage of welds x-ray examined" localSheetId="1">[10]Selections!$A$608:$A$617</definedName>
    <definedName name="PercentXray" comment="Percentage of welds x-ray examined">Selections!$A$798:$A$808</definedName>
    <definedName name="PigTrap">Selections!$A$546:$A$550</definedName>
    <definedName name="PigTrapType" localSheetId="9">[5]Selections!$A$765:$A$769</definedName>
    <definedName name="PigTrapType" localSheetId="1">[6]Selections!$A$765:$A$769</definedName>
    <definedName name="PigTrapType">Selections!$A$546:$A$550</definedName>
    <definedName name="Pipe">Selections!$A$575:$A$580</definedName>
    <definedName name="Pipe_Specs" localSheetId="8">[2]Selections!#REF!</definedName>
    <definedName name="Pipe_Specs" localSheetId="9">[8]Selections!#REF!</definedName>
    <definedName name="Pipe_Specs" localSheetId="1">[2]Selections!#REF!</definedName>
    <definedName name="Pipe_Specs">[2]Selections!#REF!</definedName>
    <definedName name="PipeSchedule" localSheetId="8">[2]Selections!#REF!</definedName>
    <definedName name="PipeSchedule" localSheetId="9">[8]Selections!#REF!</definedName>
    <definedName name="PipeSchedule" localSheetId="1">[2]Selections!#REF!</definedName>
    <definedName name="PipeSchedule">[2]Selections!#REF!</definedName>
    <definedName name="PipeSpec" localSheetId="9">[5]Selections!$B$438:$B$484</definedName>
    <definedName name="PipeSpec" localSheetId="1">[6]Selections!$B$438:$B$484</definedName>
    <definedName name="PipeSpec">Selections!$A$237:$A$311</definedName>
    <definedName name="PipeTestType" localSheetId="12">[2]Selections!$A$433:$A$436</definedName>
    <definedName name="PipeTestType" localSheetId="11">[3]Selections!$A$481:$A$485</definedName>
    <definedName name="PipeTestType" localSheetId="2">[4]Selections!$A$525:$A$529</definedName>
    <definedName name="PipeTestType" localSheetId="9">[5]Selections!$A$625:$A$628</definedName>
    <definedName name="PipeTestType" localSheetId="1">[6]Selections!$A$625:$A$628</definedName>
    <definedName name="PipeTestType">Selections!$A$525:$A$529</definedName>
    <definedName name="Platform" localSheetId="8">[2]Selections!#REF!</definedName>
    <definedName name="Platform" localSheetId="9">[8]Selections!#REF!</definedName>
    <definedName name="Platform" localSheetId="1">[2]Selections!#REF!</definedName>
    <definedName name="Platform">[2]Selections!#REF!</definedName>
    <definedName name="PLType" localSheetId="8">[2]Selections!#REF!</definedName>
    <definedName name="PLType" localSheetId="9">[8]Selections!#REF!</definedName>
    <definedName name="PLType" localSheetId="1">[2]Selections!#REF!</definedName>
    <definedName name="PLType">[2]Selections!#REF!</definedName>
    <definedName name="PLType2" localSheetId="8">[2]Selections!#REF!</definedName>
    <definedName name="PLType2" localSheetId="9">[8]Selections!#REF!</definedName>
    <definedName name="PLType2" localSheetId="1">[2]Selections!#REF!</definedName>
    <definedName name="PLType2">[2]Selections!#REF!</definedName>
    <definedName name="PLType3" localSheetId="8">[2]Selections!#REF!</definedName>
    <definedName name="PLType3" localSheetId="9">[8]Selections!#REF!</definedName>
    <definedName name="PLType3" localSheetId="1">[2]Selections!#REF!</definedName>
    <definedName name="PLType3">[2]Selections!#REF!</definedName>
    <definedName name="_xlnm.Print_Area" localSheetId="4">CheckList!$A$7:$D$54</definedName>
    <definedName name="_xlnm.Print_Area" localSheetId="5">'Column Definitions'!$A$1:$F$125</definedName>
    <definedName name="_xlnm.Print_Area" localSheetId="6">Instructions!$A$1:$I$166</definedName>
    <definedName name="_xlnm.Print_Area" localSheetId="2">'Issues-Errors'!$A$1:$N$23</definedName>
    <definedName name="_xlnm.Print_Area" localSheetId="0">'Pipe Data'!$E$1:$CK$3</definedName>
    <definedName name="_xlnm.Print_Titles" localSheetId="5">'Column Definitions'!$1:$1</definedName>
    <definedName name="_xlnm.Print_Titles" localSheetId="1">'MAOP Report'!$1:$9</definedName>
    <definedName name="_xlnm.Print_Titles" localSheetId="0">'Pipe Data'!$G:$G,'Pipe Data'!$1:$2</definedName>
    <definedName name="ProcessSteps" localSheetId="12">[10]Instructions!$A$245:$A$251</definedName>
    <definedName name="ProcessSteps" localSheetId="11">[11]Instructions!$A$248:$A$254</definedName>
    <definedName name="ProcessSteps" localSheetId="2">[4]Instructions!$A$251:$A$257</definedName>
    <definedName name="ProcessSteps" localSheetId="9">[12]Instructions!$A$245:$A$251</definedName>
    <definedName name="ProcessSteps" localSheetId="1">[10]Instructions!$A$245:$A$251</definedName>
    <definedName name="ProcessSteps">Instructions!$A$251:$A$257</definedName>
    <definedName name="Product1" localSheetId="8">[2]Selections!#REF!</definedName>
    <definedName name="Product1" localSheetId="9">[8]Selections!#REF!</definedName>
    <definedName name="Product1" localSheetId="1">[2]Selections!#REF!</definedName>
    <definedName name="Product1">[2]Selections!#REF!</definedName>
    <definedName name="Product2" localSheetId="8">[2]Selections!#REF!</definedName>
    <definedName name="Product2" localSheetId="9">[8]Selections!#REF!</definedName>
    <definedName name="Product2" localSheetId="1">[2]Selections!#REF!</definedName>
    <definedName name="Product2">[2]Selections!#REF!</definedName>
    <definedName name="Product3" localSheetId="8">[2]Selections!#REF!</definedName>
    <definedName name="Product3" localSheetId="9">[8]Selections!#REF!</definedName>
    <definedName name="Product3" localSheetId="1">[2]Selections!#REF!</definedName>
    <definedName name="Product3">[2]Selections!#REF!</definedName>
    <definedName name="Product4" localSheetId="8">[2]Selections!#REF!</definedName>
    <definedName name="Product4" localSheetId="9">[8]Selections!#REF!</definedName>
    <definedName name="Product4" localSheetId="1">[2]Selections!#REF!</definedName>
    <definedName name="Product4">[2]Selections!#REF!</definedName>
    <definedName name="Product5" localSheetId="8">[2]Selections!#REF!</definedName>
    <definedName name="Product5" localSheetId="9">[8]Selections!#REF!</definedName>
    <definedName name="Product5">[2]Selections!#REF!</definedName>
    <definedName name="Product6" localSheetId="8">[2]Selections!#REF!</definedName>
    <definedName name="Product6" localSheetId="9">[8]Selections!#REF!</definedName>
    <definedName name="Product6">[2]Selections!#REF!</definedName>
    <definedName name="PurchaseDate3" localSheetId="8">#REF!</definedName>
    <definedName name="PurchaseDate3" localSheetId="11">#REF!</definedName>
    <definedName name="PurchaseDate3" localSheetId="9">#REF!</definedName>
    <definedName name="PurchaseDate3" localSheetId="1">#REF!</definedName>
    <definedName name="PurchaseDate3">#REF!</definedName>
    <definedName name="QualityCode" localSheetId="12">[2]Instructions!$A$113:$A$118</definedName>
    <definedName name="QualityCode" localSheetId="11">[3]Instructions!$A$130:$A$135</definedName>
    <definedName name="QualityCode" localSheetId="2">[4]Instructions!$A$133:$A$139</definedName>
    <definedName name="QualityCode" localSheetId="9">[8]Instructions!$A$113:$A$118</definedName>
    <definedName name="QualityCode" localSheetId="1">[2]Instructions!$A$113:$A$118</definedName>
    <definedName name="QualityCode">Instructions!$A$133:$A$139</definedName>
    <definedName name="QualityCodeSTPR" localSheetId="12">[2]Instructions!$A$121:$A$131</definedName>
    <definedName name="QualityCodeSTPR" localSheetId="11">[3]Instructions!$A$138:$A$148</definedName>
    <definedName name="QualityCodeSTPR" localSheetId="2">[4]Instructions!$A$142:$A$154</definedName>
    <definedName name="QualityCodeSTPR" localSheetId="9">[8]Instructions!$A$121:$A$131</definedName>
    <definedName name="QualityCodeSTPR" localSheetId="1">[2]Instructions!$A$121:$A$131</definedName>
    <definedName name="QualityCodeSTPR">Instructions!$A$142:$A$154</definedName>
    <definedName name="RecordOneTwo" localSheetId="8">[2]Selections!#REF!</definedName>
    <definedName name="RecordOneTwo" localSheetId="9">[8]Selections!#REF!</definedName>
    <definedName name="RecordOneTwo" localSheetId="1">[2]Selections!#REF!</definedName>
    <definedName name="RecordOneTwo">[2]Selections!#REF!</definedName>
    <definedName name="Reducer" localSheetId="9">[5]Selections!$A$296:$A$301</definedName>
    <definedName name="Reducer" localSheetId="1">[6]Selections!$A$296:$A$301</definedName>
    <definedName name="Reducer">Selections!$A$119:$A$125</definedName>
    <definedName name="Regulator" comment="Regulator Types">Selections!$A$499:$A$511</definedName>
    <definedName name="ReliefValve">Selections!$A$513:$A$523</definedName>
    <definedName name="ReliefValveTypes" localSheetId="9">[5]Selections!$A$614:$A$623</definedName>
    <definedName name="ReliefValveTypes" localSheetId="1">[6]Selections!$A$614:$A$623</definedName>
    <definedName name="ReliefValveTypes">Selections!$A$513:$A$523</definedName>
    <definedName name="RemoveFromMAOPReport_FVE" localSheetId="12">'[9]FVE Validation'!$K$4:$K$6</definedName>
    <definedName name="RemoveFromMAOPReport_FVE" localSheetId="9">'[14]FVE Validation'!$K$4:$K$6</definedName>
    <definedName name="RemoveFromMAOPReport_FVE" localSheetId="1">'[9]FVE Validation'!$K$4:$K$6</definedName>
    <definedName name="RemoveFromMAOPReport_FVE">INDIRECT(ADDRESS(4,11,1,1,"FVE Validation")&amp;":"&amp;ADDRESS(COUNTA('FVE Validation'!$K:$K)+3,11,1,1))</definedName>
    <definedName name="RoadCall" localSheetId="8">[2]Selections!#REF!</definedName>
    <definedName name="RoadCall" localSheetId="9">[8]Selections!#REF!</definedName>
    <definedName name="RoadCall" localSheetId="1">[2]Selections!#REF!</definedName>
    <definedName name="RoadCall">[2]Selections!#REF!</definedName>
    <definedName name="Roads" localSheetId="8">[2]Selections!#REF!</definedName>
    <definedName name="Roads" localSheetId="9">[8]Selections!#REF!</definedName>
    <definedName name="Roads" localSheetId="1">[2]Selections!#REF!</definedName>
    <definedName name="Roads">[2]Selections!#REF!</definedName>
    <definedName name="Roads1" localSheetId="8">[2]Selections!#REF!</definedName>
    <definedName name="Roads1" localSheetId="9">[8]Selections!#REF!</definedName>
    <definedName name="Roads1" localSheetId="1">[2]Selections!#REF!</definedName>
    <definedName name="Roads1">[2]Selections!#REF!</definedName>
    <definedName name="Roads2" localSheetId="8">[2]Selections!#REF!</definedName>
    <definedName name="Roads2" localSheetId="9">[8]Selections!#REF!</definedName>
    <definedName name="Roads2" localSheetId="1">[2]Selections!#REF!</definedName>
    <definedName name="Roads2">[2]Selections!#REF!</definedName>
    <definedName name="Roads3" localSheetId="8">[2]Selections!#REF!</definedName>
    <definedName name="Roads3" localSheetId="9">[8]Selections!#REF!</definedName>
    <definedName name="Roads3" localSheetId="1">[2]Selections!#REF!</definedName>
    <definedName name="Roads3">[2]Selections!#REF!</definedName>
    <definedName name="Schedulea" localSheetId="8">[2]Selections!#REF!</definedName>
    <definedName name="Schedulea" localSheetId="9">[8]Selections!#REF!</definedName>
    <definedName name="Schedulea">[2]Selections!#REF!</definedName>
    <definedName name="Scheduleb" localSheetId="8">[2]Selections!#REF!</definedName>
    <definedName name="Scheduleb" localSheetId="9">[8]Selections!#REF!</definedName>
    <definedName name="Scheduleb">[2]Selections!#REF!</definedName>
    <definedName name="Seam1">Selections!$B$57:$B$75</definedName>
    <definedName name="Seam2" localSheetId="8">[2]Selections!#REF!</definedName>
    <definedName name="Seam2" localSheetId="9">[8]Selections!#REF!</definedName>
    <definedName name="Seam2" localSheetId="1">[2]Selections!#REF!</definedName>
    <definedName name="Seam2">[2]Selections!#REF!</definedName>
    <definedName name="SeamType" localSheetId="12">[2]Selections!$A$47:$A$61</definedName>
    <definedName name="SeamType" localSheetId="11">[3]Selections!$A$55:$A$70</definedName>
    <definedName name="SeamType" localSheetId="2">[4]Selections!$A$57:$A$75</definedName>
    <definedName name="SeamType" localSheetId="9">[5]Selections!$A$158:$A$170</definedName>
    <definedName name="SeamType" localSheetId="1">[6]Selections!$A$158:$A$170</definedName>
    <definedName name="SeamType">Selections!$A$57:$A$75</definedName>
    <definedName name="SeamType_FVE" localSheetId="12">'[9]FVE Validation'!$F$4:$F$26</definedName>
    <definedName name="SeamType_FVE" localSheetId="9">'[14]FVE Validation'!$F$4:$F$25</definedName>
    <definedName name="SeamType_FVE" localSheetId="1">'[9]FVE Validation'!$F$4:$F$26</definedName>
    <definedName name="SeamType_FVE">INDIRECT(ADDRESS(4,6,1,1,"FVE Validation")&amp;":"&amp;ADDRESS(COUNTA('FVE Validation'!$F:$F)+3,6,1,1))</definedName>
    <definedName name="Severity">'[16]Classifications-Severity Guide'!$A$3:$A$6</definedName>
    <definedName name="Sleeve">Selections!$A$96:$A$104</definedName>
    <definedName name="SleeveSpec" localSheetId="9">[5]Selections!$A$200:$A$212</definedName>
    <definedName name="SleeveSpec" localSheetId="1">[6]Selections!$A$200:$A$212</definedName>
    <definedName name="SleeveSpec">Selections!$A$313:$A$334</definedName>
    <definedName name="SleeveType" localSheetId="9">[5]Selections!$A$190:$A$198</definedName>
    <definedName name="SleeveType" localSheetId="1">[6]Selections!$A$190:$A$198</definedName>
    <definedName name="SleeveType">Selections!$A$96:$A$104</definedName>
    <definedName name="SMMS_FVE" localSheetId="12">INDIRECT(ADDRESS(3,15,1,1,"FVE Validation")&amp;":"&amp;ADDRESS(COUNTA('[18]FVE Validation'!$O:$O),15,1,1))</definedName>
    <definedName name="SMMS_FVE" localSheetId="9">INDIRECT(ADDRESS(3,15,1,1,"FVE Validation")&amp;":"&amp;ADDRESS(COUNTA('[19]FVE Validation'!$O:$O),15,1,1))</definedName>
    <definedName name="SMMS_FVE" localSheetId="1">INDIRECT(ADDRESS(3,15,1,1,"FVE Validation")&amp;":"&amp;ADDRESS(COUNTA('[18]FVE Validation'!$O:$O),15,1,1))</definedName>
    <definedName name="SMMS_FVE">INDIRECT(ADDRESS(3,15,1,1,"FVE Validation")&amp;":"&amp;ADDRESS(COUNTA('FVE Validation'!$O:$O),15,1,1))</definedName>
    <definedName name="SMMS_table" localSheetId="12">ADDRESS(3,15,1,1,"FVE Validation")&amp;":"&amp;ADDRESS(COUNTA('[18]FVE Validation'!$O:$O),16,1,1)</definedName>
    <definedName name="SMMS_table" localSheetId="9">ADDRESS(3,15,1,1,"FVE Validation")&amp;":"&amp;ADDRESS(COUNTA('[19]FVE Validation'!$O:$O),16,1,1)</definedName>
    <definedName name="SMMS_table" localSheetId="1">ADDRESS(3,15,1,1,"FVE Validation")&amp;":"&amp;ADDRESS(COUNTA('[18]FVE Validation'!$O:$O),16,1,1)</definedName>
    <definedName name="SMMS_table">ADDRESS(3,15,1,1,"FVE Validation")&amp;":"&amp;ADDRESS(COUNTA('FVE Validation'!$O:$O),16,1,1)</definedName>
    <definedName name="SMYS" localSheetId="12">[2]Selections!$A$275:$A$297</definedName>
    <definedName name="SMYS" localSheetId="11">[3]Selections!$A$297:$A$322</definedName>
    <definedName name="SMYS" localSheetId="2">[4]Selections!$A$336:$A$361</definedName>
    <definedName name="SMYS" localSheetId="9">[5]Selections!$A$486:$A$507</definedName>
    <definedName name="SMYS" localSheetId="1">[6]Selections!$A$486:$A$507</definedName>
    <definedName name="SMYS">Selections!$A$336:$A$361</definedName>
    <definedName name="SMYS_FVE" localSheetId="12">'[9]FVE Validation'!$B$4:$B$30</definedName>
    <definedName name="SMYS_FVE" localSheetId="9">'[14]FVE Validation'!$B$4:$B$30</definedName>
    <definedName name="SMYS_FVE" localSheetId="1">'[9]FVE Validation'!$B$4:$B$30</definedName>
    <definedName name="SMYS_FVE">INDIRECT(ADDRESS(4,2,1,1,"FVE Validation")&amp;":"&amp;ADDRESS(COUNTA('FVE Validation'!$B:$B)+3,2,1,1))</definedName>
    <definedName name="Station" localSheetId="8">[2]Selections!#REF!</definedName>
    <definedName name="Station" localSheetId="11">[2]Selections!#REF!</definedName>
    <definedName name="Station" localSheetId="9">[8]Selections!#REF!</definedName>
    <definedName name="Station" localSheetId="1">[2]Selections!#REF!</definedName>
    <definedName name="Station">[2]Selections!#REF!</definedName>
    <definedName name="Supervisor" comment="Supervisor of STPR " localSheetId="12">[11]Selections!$A$791:$A$807</definedName>
    <definedName name="Supervisor" comment="Supervisor of STPR " localSheetId="11">[11]Selections!$A$791:$A$807</definedName>
    <definedName name="Supervisor" comment="Supervisor of STPR " localSheetId="2">[4]Selections!$A$810:$A$826</definedName>
    <definedName name="Supervisor" comment="Supervisor of STPR " localSheetId="9">[20]Selections!$A$791:$A$807</definedName>
    <definedName name="Supervisor" comment="Supervisor of STPR " localSheetId="1">[11]Selections!$A$791:$A$807</definedName>
    <definedName name="Supervisor" comment="Supervisor of STPR ">Selections!$A$810:$A$826</definedName>
    <definedName name="Tap">Selections!$A$382:$A$396</definedName>
    <definedName name="TapType" localSheetId="9">[5]Selections!$A$526:$A$534</definedName>
    <definedName name="TapType" localSheetId="1">[6]Selections!$A$526:$A$534</definedName>
    <definedName name="TapType">Selections!$A$382:$A$396</definedName>
    <definedName name="Tee">Selections!$A$179:$A$186</definedName>
    <definedName name="Teetype" localSheetId="9">[5]Selections!$A$408:$A$412</definedName>
    <definedName name="Teetype" localSheetId="1">[6]Selections!$A$408:$A$412</definedName>
    <definedName name="Teetype">Selections!$A$179:$A$186</definedName>
    <definedName name="Test" localSheetId="8">#REF!</definedName>
    <definedName name="Test" localSheetId="11">#REF!</definedName>
    <definedName name="Test" localSheetId="9">#REF!</definedName>
    <definedName name="Test" localSheetId="1">#REF!</definedName>
    <definedName name="Test">#REF!</definedName>
    <definedName name="TestMedium" localSheetId="12">[2]Selections!$A$438:$A$442</definedName>
    <definedName name="TestMedium" localSheetId="11">[3]Selections!$A$487:$A$491</definedName>
    <definedName name="TestMedium" localSheetId="2">[4]Selections!$A$531:$A$535</definedName>
    <definedName name="TestMedium" localSheetId="9">[5]Selections!$A$630:$A$634</definedName>
    <definedName name="TestMedium" localSheetId="1">[6]Selections!$A$630:$A$634</definedName>
    <definedName name="TestMedium">Selections!$A$531:$A$535</definedName>
    <definedName name="TypeCode" localSheetId="8">[2]Selections!#REF!</definedName>
    <definedName name="TypeCode" localSheetId="9">[8]Selections!#REF!</definedName>
    <definedName name="TypeCode" localSheetId="1">[2]Selections!#REF!</definedName>
    <definedName name="TypeCode">[2]Selections!#REF!</definedName>
    <definedName name="TypeFactor" localSheetId="8">[2]Selections!#REF!</definedName>
    <definedName name="TypeFactor" localSheetId="9">[8]Selections!#REF!</definedName>
    <definedName name="TypeFactor" localSheetId="1">[2]Selections!#REF!</definedName>
    <definedName name="TypeFactor">[2]Selections!#REF!</definedName>
    <definedName name="Valve">Selections!$A$106:$A$113</definedName>
    <definedName name="Valve_Type" localSheetId="8">[2]Selections!#REF!</definedName>
    <definedName name="Valve_Type" localSheetId="9">[8]Selections!#REF!</definedName>
    <definedName name="Valve_Type" localSheetId="1">[2]Selections!#REF!</definedName>
    <definedName name="Valve_Type">[2]Selections!#REF!</definedName>
    <definedName name="ValveOperatorType" localSheetId="12">[2]Selections!$A$375:$A$378</definedName>
    <definedName name="ValveOperatorType" localSheetId="11">[3]Selections!$A$403:$A$406</definedName>
    <definedName name="ValveOperatorType" localSheetId="2">[4]Selections!$A$442:$A$445</definedName>
    <definedName name="ValveOperatorType" localSheetId="9">[5]Selections!$A$574:$A$577</definedName>
    <definedName name="ValveOperatorType" localSheetId="1">[6]Selections!$A$574:$A$577</definedName>
    <definedName name="ValveOperatorType">Selections!$A$442:$A$445</definedName>
    <definedName name="YesNo" localSheetId="12">[2]Selections!$A$3:$A$4</definedName>
    <definedName name="YesNo" localSheetId="11">[3]Selections!$A$3:$A$4</definedName>
    <definedName name="YesNo" localSheetId="2">[4]Selections!$A$3:$A$4</definedName>
    <definedName name="YesNo" localSheetId="9">[5]Selections!$A$5:$A$6</definedName>
    <definedName name="YesNo" localSheetId="1">[6]Selections!$A$5:$A$6</definedName>
    <definedName name="YesNo">Selections!$A$3:$A$4</definedName>
    <definedName name="YesNo2">Selections!$A$4:$A$5</definedName>
    <definedName name="YesNoUnknown" localSheetId="12">[2]Selections!$A$3:$A$5</definedName>
    <definedName name="YesNoUnknown" localSheetId="11">[3]Selections!$A$3:$A$5</definedName>
    <definedName name="YesNoUnknown" localSheetId="2">[4]Selections!$A$3:$A$5</definedName>
    <definedName name="YesNoUnknown" localSheetId="9">[5]Selections!$A$5:$A$7</definedName>
    <definedName name="YesNoUnknown" localSheetId="1">[6]Selections!$A$5:$A$7</definedName>
    <definedName name="YesNoUnknown">Selections!$A$3:$A$5</definedName>
  </definedNames>
  <calcPr calcId="152511"/>
</workbook>
</file>

<file path=xl/calcChain.xml><?xml version="1.0" encoding="utf-8"?>
<calcChain xmlns="http://schemas.openxmlformats.org/spreadsheetml/2006/main">
  <c r="B42" i="1" l="1"/>
  <c r="A42" i="1"/>
  <c r="B41" i="1"/>
  <c r="A41" i="1"/>
  <c r="B40" i="1"/>
  <c r="A40" i="1"/>
  <c r="B39" i="1"/>
  <c r="A39" i="1"/>
  <c r="B38" i="1"/>
  <c r="A38" i="1"/>
  <c r="B37" i="1"/>
  <c r="A37" i="1"/>
  <c r="B36" i="1"/>
  <c r="A36" i="1"/>
  <c r="B35" i="1"/>
  <c r="A35" i="1"/>
  <c r="B34" i="1"/>
  <c r="A34" i="1"/>
  <c r="B33" i="1"/>
  <c r="A33" i="1"/>
  <c r="B32" i="1"/>
  <c r="A32" i="1"/>
  <c r="B31" i="1"/>
  <c r="A31" i="1"/>
  <c r="B30" i="1"/>
  <c r="A30" i="1"/>
  <c r="B29" i="1"/>
  <c r="A29" i="1"/>
  <c r="B28" i="1"/>
  <c r="A28" i="1"/>
  <c r="B27" i="1"/>
  <c r="A27" i="1"/>
  <c r="B26" i="1"/>
  <c r="A26" i="1"/>
  <c r="B25" i="1"/>
  <c r="A25" i="1"/>
  <c r="B24" i="1"/>
  <c r="A24" i="1"/>
  <c r="B23" i="1"/>
  <c r="A23" i="1"/>
  <c r="B22" i="1"/>
  <c r="A22" i="1"/>
  <c r="B21" i="1"/>
  <c r="A21" i="1"/>
  <c r="B20" i="1"/>
  <c r="A20" i="1"/>
  <c r="B19" i="1"/>
  <c r="A19" i="1"/>
  <c r="B18" i="1"/>
  <c r="A18" i="1"/>
  <c r="B17" i="1"/>
  <c r="A17" i="1"/>
  <c r="B16" i="1"/>
  <c r="A16" i="1"/>
  <c r="B15" i="1"/>
  <c r="A15" i="1"/>
  <c r="B14" i="1"/>
  <c r="A14" i="1"/>
  <c r="B13" i="1"/>
  <c r="A13" i="1"/>
  <c r="B12" i="1"/>
  <c r="A12" i="1"/>
  <c r="B11" i="1"/>
  <c r="A11" i="1"/>
  <c r="B10" i="1"/>
  <c r="A10" i="1"/>
  <c r="B9" i="1"/>
  <c r="A9" i="1"/>
  <c r="B8" i="1"/>
  <c r="A8" i="1"/>
  <c r="B7" i="1"/>
  <c r="A7" i="1"/>
  <c r="B6" i="1"/>
  <c r="A6" i="1"/>
  <c r="B5" i="1"/>
  <c r="A5" i="1"/>
  <c r="B4" i="1"/>
  <c r="A4" i="1"/>
  <c r="B3" i="1"/>
  <c r="X49" i="19" l="1"/>
  <c r="P49" i="19"/>
  <c r="N49" i="19"/>
  <c r="L49" i="19"/>
  <c r="J49" i="19"/>
  <c r="H49" i="19"/>
  <c r="B49" i="19"/>
  <c r="A49" i="19"/>
  <c r="X48" i="19"/>
  <c r="P48" i="19"/>
  <c r="N48" i="19"/>
  <c r="L48" i="19"/>
  <c r="J48" i="19"/>
  <c r="H48" i="19"/>
  <c r="B48" i="19"/>
  <c r="A48" i="19"/>
  <c r="X47" i="19"/>
  <c r="P47" i="19"/>
  <c r="N47" i="19"/>
  <c r="L47" i="19"/>
  <c r="J47" i="19"/>
  <c r="H47" i="19"/>
  <c r="B47" i="19"/>
  <c r="A47" i="19"/>
  <c r="X46" i="19"/>
  <c r="P46" i="19"/>
  <c r="N46" i="19"/>
  <c r="L46" i="19"/>
  <c r="J46" i="19"/>
  <c r="H46" i="19"/>
  <c r="B46" i="19"/>
  <c r="A46" i="19"/>
  <c r="X45" i="19"/>
  <c r="P45" i="19"/>
  <c r="N45" i="19"/>
  <c r="L45" i="19"/>
  <c r="K45" i="19"/>
  <c r="J45" i="19"/>
  <c r="H45" i="19"/>
  <c r="B45" i="19"/>
  <c r="A45" i="19"/>
  <c r="X44" i="19"/>
  <c r="P44" i="19"/>
  <c r="N44" i="19"/>
  <c r="L44" i="19"/>
  <c r="J44" i="19"/>
  <c r="H44" i="19"/>
  <c r="B44" i="19"/>
  <c r="A44" i="19"/>
  <c r="X43" i="19"/>
  <c r="P43" i="19"/>
  <c r="N43" i="19"/>
  <c r="L43" i="19"/>
  <c r="K43" i="19"/>
  <c r="J43" i="19"/>
  <c r="H43" i="19"/>
  <c r="B43" i="19"/>
  <c r="A43" i="19"/>
  <c r="X42" i="19"/>
  <c r="P42" i="19"/>
  <c r="N42" i="19"/>
  <c r="L42" i="19"/>
  <c r="J42" i="19"/>
  <c r="H42" i="19"/>
  <c r="B42" i="19"/>
  <c r="A42" i="19"/>
  <c r="X41" i="19"/>
  <c r="P41" i="19"/>
  <c r="N41" i="19"/>
  <c r="L41" i="19"/>
  <c r="K41" i="19"/>
  <c r="J41" i="19"/>
  <c r="H41" i="19"/>
  <c r="B41" i="19"/>
  <c r="A41" i="19"/>
  <c r="X40" i="19"/>
  <c r="P40" i="19"/>
  <c r="N40" i="19"/>
  <c r="L40" i="19"/>
  <c r="K40" i="19"/>
  <c r="J40" i="19"/>
  <c r="H40" i="19"/>
  <c r="B40" i="19"/>
  <c r="A40" i="19"/>
  <c r="X39" i="19"/>
  <c r="P39" i="19"/>
  <c r="N39" i="19"/>
  <c r="L39" i="19"/>
  <c r="J39" i="19"/>
  <c r="H39" i="19"/>
  <c r="B39" i="19"/>
  <c r="A39" i="19"/>
  <c r="X38" i="19"/>
  <c r="P38" i="19"/>
  <c r="N38" i="19"/>
  <c r="L38" i="19"/>
  <c r="J38" i="19"/>
  <c r="H38" i="19"/>
  <c r="B38" i="19"/>
  <c r="A38" i="19"/>
  <c r="X37" i="19"/>
  <c r="P37" i="19"/>
  <c r="N37" i="19"/>
  <c r="L37" i="19"/>
  <c r="J37" i="19"/>
  <c r="H37" i="19"/>
  <c r="C37" i="19"/>
  <c r="B37" i="19"/>
  <c r="A37" i="19"/>
  <c r="X36" i="19"/>
  <c r="P36" i="19"/>
  <c r="N36" i="19"/>
  <c r="L36" i="19"/>
  <c r="K36" i="19"/>
  <c r="J36" i="19"/>
  <c r="H36" i="19"/>
  <c r="B36" i="19"/>
  <c r="A36" i="19"/>
  <c r="X35" i="19"/>
  <c r="P35" i="19"/>
  <c r="N35" i="19"/>
  <c r="L35" i="19"/>
  <c r="J35" i="19"/>
  <c r="H35" i="19"/>
  <c r="B35" i="19"/>
  <c r="A35" i="19"/>
  <c r="X34" i="19"/>
  <c r="P34" i="19"/>
  <c r="N34" i="19"/>
  <c r="L34" i="19"/>
  <c r="J34" i="19"/>
  <c r="H34" i="19"/>
  <c r="B34" i="19"/>
  <c r="A34" i="19"/>
  <c r="X33" i="19"/>
  <c r="P33" i="19"/>
  <c r="N33" i="19"/>
  <c r="L33" i="19"/>
  <c r="J33" i="19"/>
  <c r="H33" i="19"/>
  <c r="B33" i="19"/>
  <c r="A33" i="19"/>
  <c r="X32" i="19"/>
  <c r="P32" i="19"/>
  <c r="N32" i="19"/>
  <c r="L32" i="19"/>
  <c r="J32" i="19"/>
  <c r="H32" i="19"/>
  <c r="B32" i="19"/>
  <c r="A32" i="19"/>
  <c r="X31" i="19"/>
  <c r="P31" i="19"/>
  <c r="N31" i="19"/>
  <c r="L31" i="19"/>
  <c r="J31" i="19"/>
  <c r="H31" i="19"/>
  <c r="B31" i="19"/>
  <c r="A31" i="19"/>
  <c r="X30" i="19"/>
  <c r="P30" i="19"/>
  <c r="N30" i="19"/>
  <c r="L30" i="19"/>
  <c r="K30" i="19"/>
  <c r="J30" i="19"/>
  <c r="H30" i="19"/>
  <c r="B30" i="19"/>
  <c r="A30" i="19"/>
  <c r="X29" i="19"/>
  <c r="P29" i="19"/>
  <c r="N29" i="19"/>
  <c r="L29" i="19"/>
  <c r="J29" i="19"/>
  <c r="H29" i="19"/>
  <c r="B29" i="19"/>
  <c r="A29" i="19"/>
  <c r="X28" i="19"/>
  <c r="P28" i="19"/>
  <c r="N28" i="19"/>
  <c r="L28" i="19"/>
  <c r="K28" i="19"/>
  <c r="J28" i="19"/>
  <c r="H28" i="19"/>
  <c r="B28" i="19"/>
  <c r="A28" i="19"/>
  <c r="X27" i="19"/>
  <c r="P27" i="19"/>
  <c r="N27" i="19"/>
  <c r="L27" i="19"/>
  <c r="J27" i="19"/>
  <c r="H27" i="19"/>
  <c r="B27" i="19"/>
  <c r="A27" i="19"/>
  <c r="X26" i="19"/>
  <c r="P26" i="19"/>
  <c r="N26" i="19"/>
  <c r="L26" i="19"/>
  <c r="J26" i="19"/>
  <c r="H26" i="19"/>
  <c r="B26" i="19"/>
  <c r="A26" i="19"/>
  <c r="X25" i="19"/>
  <c r="P25" i="19"/>
  <c r="O25" i="19"/>
  <c r="N25" i="19"/>
  <c r="L25" i="19"/>
  <c r="K25" i="19"/>
  <c r="J25" i="19"/>
  <c r="H25" i="19"/>
  <c r="B25" i="19"/>
  <c r="A25" i="19"/>
  <c r="X24" i="19"/>
  <c r="P24" i="19"/>
  <c r="O24" i="19"/>
  <c r="N24" i="19"/>
  <c r="L24" i="19"/>
  <c r="K24" i="19"/>
  <c r="J24" i="19"/>
  <c r="H24" i="19"/>
  <c r="B24" i="19"/>
  <c r="A24" i="19"/>
  <c r="X23" i="19"/>
  <c r="P23" i="19"/>
  <c r="N23" i="19"/>
  <c r="L23" i="19"/>
  <c r="K23" i="19"/>
  <c r="J23" i="19"/>
  <c r="H23" i="19"/>
  <c r="B23" i="19"/>
  <c r="A23" i="19"/>
  <c r="X22" i="19"/>
  <c r="P22" i="19"/>
  <c r="N22" i="19"/>
  <c r="L22" i="19"/>
  <c r="J22" i="19"/>
  <c r="H22" i="19"/>
  <c r="B22" i="19"/>
  <c r="A22" i="19"/>
  <c r="X21" i="19"/>
  <c r="P21" i="19"/>
  <c r="N21" i="19"/>
  <c r="L21" i="19"/>
  <c r="J21" i="19"/>
  <c r="H21" i="19"/>
  <c r="B21" i="19"/>
  <c r="A21" i="19"/>
  <c r="X20" i="19"/>
  <c r="P20" i="19"/>
  <c r="N20" i="19"/>
  <c r="L20" i="19"/>
  <c r="J20" i="19"/>
  <c r="H20" i="19"/>
  <c r="B20" i="19"/>
  <c r="A20" i="19"/>
  <c r="X19" i="19"/>
  <c r="P19" i="19"/>
  <c r="N19" i="19"/>
  <c r="L19" i="19"/>
  <c r="J19" i="19"/>
  <c r="H19" i="19"/>
  <c r="B19" i="19"/>
  <c r="A19" i="19"/>
  <c r="X18" i="19"/>
  <c r="P18" i="19"/>
  <c r="N18" i="19"/>
  <c r="L18" i="19"/>
  <c r="J18" i="19"/>
  <c r="H18" i="19"/>
  <c r="B18" i="19"/>
  <c r="A18" i="19"/>
  <c r="X17" i="19"/>
  <c r="P17" i="19"/>
  <c r="N17" i="19"/>
  <c r="L17" i="19"/>
  <c r="J17" i="19"/>
  <c r="H17" i="19"/>
  <c r="B17" i="19"/>
  <c r="A17" i="19"/>
  <c r="X16" i="19"/>
  <c r="P16" i="19"/>
  <c r="N16" i="19"/>
  <c r="M16" i="19"/>
  <c r="L16" i="19"/>
  <c r="J16" i="19"/>
  <c r="H16" i="19"/>
  <c r="B16" i="19"/>
  <c r="A16" i="19"/>
  <c r="X15" i="19"/>
  <c r="P15" i="19"/>
  <c r="N15" i="19"/>
  <c r="L15" i="19"/>
  <c r="J15" i="19"/>
  <c r="H15" i="19"/>
  <c r="B15" i="19"/>
  <c r="A15" i="19"/>
  <c r="X14" i="19"/>
  <c r="P14" i="19"/>
  <c r="N14" i="19"/>
  <c r="L14" i="19"/>
  <c r="J14" i="19"/>
  <c r="H14" i="19"/>
  <c r="B14" i="19"/>
  <c r="A14" i="19"/>
  <c r="X13" i="19"/>
  <c r="P13" i="19"/>
  <c r="N13" i="19"/>
  <c r="L13" i="19"/>
  <c r="J13" i="19"/>
  <c r="H13" i="19"/>
  <c r="B13" i="19"/>
  <c r="A13" i="19"/>
  <c r="X12" i="19"/>
  <c r="P12" i="19"/>
  <c r="N12" i="19"/>
  <c r="L12" i="19"/>
  <c r="J12" i="19"/>
  <c r="H12" i="19"/>
  <c r="B12" i="19"/>
  <c r="A12" i="19"/>
  <c r="X11" i="19"/>
  <c r="P11" i="19"/>
  <c r="N11" i="19"/>
  <c r="L11" i="19"/>
  <c r="J11" i="19"/>
  <c r="H11" i="19"/>
  <c r="B11" i="19"/>
  <c r="A11" i="19"/>
  <c r="EK42" i="1"/>
  <c r="W49" i="19" s="1"/>
  <c r="EE42" i="1"/>
  <c r="ED42" i="1"/>
  <c r="EC42" i="1"/>
  <c r="T49" i="19" s="1"/>
  <c r="EA42" i="1"/>
  <c r="U49" i="19" s="1"/>
  <c r="DZ42" i="1"/>
  <c r="F49" i="19" s="1"/>
  <c r="DS42" i="1"/>
  <c r="Y49" i="19" s="1"/>
  <c r="DI42" i="1"/>
  <c r="DE42" i="1"/>
  <c r="DC42" i="1"/>
  <c r="CY42" i="1"/>
  <c r="CX42" i="1"/>
  <c r="E49" i="19" s="1"/>
  <c r="EK41" i="1"/>
  <c r="W48" i="19" s="1"/>
  <c r="EE41" i="1"/>
  <c r="ED41" i="1"/>
  <c r="EC41" i="1"/>
  <c r="T48" i="19" s="1"/>
  <c r="EA41" i="1"/>
  <c r="U48" i="19" s="1"/>
  <c r="DZ41" i="1"/>
  <c r="F48" i="19" s="1"/>
  <c r="DS41" i="1"/>
  <c r="Y48" i="19" s="1"/>
  <c r="DE41" i="1"/>
  <c r="DC41" i="1"/>
  <c r="CY41" i="1"/>
  <c r="CX41" i="1"/>
  <c r="DO41" i="1" s="1"/>
  <c r="DY41" i="1" s="1"/>
  <c r="EK40" i="1"/>
  <c r="W47" i="19" s="1"/>
  <c r="EE40" i="1"/>
  <c r="ED40" i="1"/>
  <c r="EC40" i="1"/>
  <c r="T47" i="19" s="1"/>
  <c r="EA40" i="1"/>
  <c r="U47" i="19" s="1"/>
  <c r="DZ40" i="1"/>
  <c r="F47" i="19" s="1"/>
  <c r="DS40" i="1"/>
  <c r="Y47" i="19" s="1"/>
  <c r="DE40" i="1"/>
  <c r="DC40" i="1"/>
  <c r="CY40" i="1"/>
  <c r="CX40" i="1"/>
  <c r="DI40" i="1" s="1"/>
  <c r="EK39" i="1"/>
  <c r="W46" i="19" s="1"/>
  <c r="EE39" i="1"/>
  <c r="ED39" i="1"/>
  <c r="EC39" i="1"/>
  <c r="T46" i="19" s="1"/>
  <c r="EA39" i="1"/>
  <c r="U46" i="19" s="1"/>
  <c r="DZ39" i="1"/>
  <c r="F46" i="19" s="1"/>
  <c r="DS39" i="1"/>
  <c r="Y46" i="19" s="1"/>
  <c r="DE39" i="1"/>
  <c r="DC39" i="1"/>
  <c r="CY39" i="1"/>
  <c r="CX39" i="1"/>
  <c r="DO39" i="1" s="1"/>
  <c r="EK38" i="1"/>
  <c r="W45" i="19" s="1"/>
  <c r="EE38" i="1"/>
  <c r="ED38" i="1"/>
  <c r="EC38" i="1"/>
  <c r="T45" i="19" s="1"/>
  <c r="EA38" i="1"/>
  <c r="U45" i="19" s="1"/>
  <c r="DZ38" i="1"/>
  <c r="F45" i="19" s="1"/>
  <c r="DS38" i="1"/>
  <c r="Y45" i="19" s="1"/>
  <c r="DE38" i="1"/>
  <c r="CY38" i="1"/>
  <c r="CX38" i="1"/>
  <c r="EK37" i="1"/>
  <c r="W44" i="19" s="1"/>
  <c r="EE37" i="1"/>
  <c r="ED37" i="1"/>
  <c r="EC37" i="1"/>
  <c r="T44" i="19" s="1"/>
  <c r="EA37" i="1"/>
  <c r="U44" i="19" s="1"/>
  <c r="DZ37" i="1"/>
  <c r="F44" i="19" s="1"/>
  <c r="DS37" i="1"/>
  <c r="Y44" i="19" s="1"/>
  <c r="DE37" i="1"/>
  <c r="DC37" i="1"/>
  <c r="CY37" i="1"/>
  <c r="CX37" i="1"/>
  <c r="DI37" i="1" s="1"/>
  <c r="EK36" i="1"/>
  <c r="W43" i="19" s="1"/>
  <c r="EE36" i="1"/>
  <c r="ED36" i="1"/>
  <c r="EC36" i="1"/>
  <c r="T43" i="19" s="1"/>
  <c r="EA36" i="1"/>
  <c r="U43" i="19" s="1"/>
  <c r="DZ36" i="1"/>
  <c r="F43" i="19" s="1"/>
  <c r="DS36" i="1"/>
  <c r="Y43" i="19" s="1"/>
  <c r="DE36" i="1"/>
  <c r="CY36" i="1"/>
  <c r="CX36" i="1"/>
  <c r="DI36" i="1" s="1"/>
  <c r="EK35" i="1"/>
  <c r="W42" i="19" s="1"/>
  <c r="EE35" i="1"/>
  <c r="ED35" i="1"/>
  <c r="EC35" i="1"/>
  <c r="T42" i="19" s="1"/>
  <c r="EA35" i="1"/>
  <c r="U42" i="19" s="1"/>
  <c r="DZ35" i="1"/>
  <c r="F42" i="19" s="1"/>
  <c r="DS35" i="1"/>
  <c r="Y42" i="19" s="1"/>
  <c r="DE35" i="1"/>
  <c r="DC35" i="1"/>
  <c r="CY35" i="1"/>
  <c r="CX35" i="1"/>
  <c r="DO35" i="1" s="1"/>
  <c r="DY35" i="1" s="1"/>
  <c r="EK34" i="1"/>
  <c r="W41" i="19" s="1"/>
  <c r="EE34" i="1"/>
  <c r="ED34" i="1"/>
  <c r="EC34" i="1"/>
  <c r="T41" i="19" s="1"/>
  <c r="EA34" i="1"/>
  <c r="U41" i="19" s="1"/>
  <c r="DZ34" i="1"/>
  <c r="F41" i="19" s="1"/>
  <c r="DS34" i="1"/>
  <c r="Y41" i="19" s="1"/>
  <c r="DE34" i="1"/>
  <c r="CY34" i="1"/>
  <c r="CX34" i="1"/>
  <c r="DK34" i="1" s="1"/>
  <c r="EK33" i="1"/>
  <c r="W40" i="19" s="1"/>
  <c r="EE33" i="1"/>
  <c r="ED33" i="1"/>
  <c r="EC33" i="1"/>
  <c r="T40" i="19" s="1"/>
  <c r="EA33" i="1"/>
  <c r="U40" i="19" s="1"/>
  <c r="DZ33" i="1"/>
  <c r="F40" i="19" s="1"/>
  <c r="DS33" i="1"/>
  <c r="Y40" i="19" s="1"/>
  <c r="DE33" i="1"/>
  <c r="CY33" i="1"/>
  <c r="CX33" i="1"/>
  <c r="DK33" i="1" s="1"/>
  <c r="DM33" i="1" s="1"/>
  <c r="EK32" i="1"/>
  <c r="W39" i="19" s="1"/>
  <c r="EE32" i="1"/>
  <c r="ED32" i="1"/>
  <c r="EC32" i="1"/>
  <c r="T39" i="19" s="1"/>
  <c r="EA32" i="1"/>
  <c r="U39" i="19" s="1"/>
  <c r="DZ32" i="1"/>
  <c r="F39" i="19" s="1"/>
  <c r="DS32" i="1"/>
  <c r="Y39" i="19" s="1"/>
  <c r="DE32" i="1"/>
  <c r="DC32" i="1"/>
  <c r="CY32" i="1"/>
  <c r="CX32" i="1"/>
  <c r="DK32" i="1" s="1"/>
  <c r="EK31" i="1"/>
  <c r="W38" i="19" s="1"/>
  <c r="EE31" i="1"/>
  <c r="ED31" i="1"/>
  <c r="EC31" i="1"/>
  <c r="T38" i="19" s="1"/>
  <c r="EA31" i="1"/>
  <c r="U38" i="19" s="1"/>
  <c r="DZ31" i="1"/>
  <c r="F38" i="19" s="1"/>
  <c r="DS31" i="1"/>
  <c r="Y38" i="19" s="1"/>
  <c r="DE31" i="1"/>
  <c r="DC31" i="1"/>
  <c r="CY31" i="1"/>
  <c r="CX31" i="1"/>
  <c r="DO31" i="1" s="1"/>
  <c r="DY31" i="1" s="1"/>
  <c r="ER30" i="1"/>
  <c r="EK30" i="1"/>
  <c r="W37" i="19" s="1"/>
  <c r="EE30" i="1"/>
  <c r="ED30" i="1"/>
  <c r="EC30" i="1"/>
  <c r="T37" i="19" s="1"/>
  <c r="EA30" i="1"/>
  <c r="DZ30" i="1"/>
  <c r="F37" i="19" s="1"/>
  <c r="DS30" i="1"/>
  <c r="Y37" i="19" s="1"/>
  <c r="DE30" i="1"/>
  <c r="DC30" i="1"/>
  <c r="CY30" i="1"/>
  <c r="CX30" i="1"/>
  <c r="DI30" i="1" s="1"/>
  <c r="EK29" i="1"/>
  <c r="W36" i="19" s="1"/>
  <c r="EE29" i="1"/>
  <c r="ED29" i="1"/>
  <c r="EC29" i="1"/>
  <c r="T36" i="19" s="1"/>
  <c r="EA29" i="1"/>
  <c r="DZ29" i="1"/>
  <c r="F36" i="19" s="1"/>
  <c r="DS29" i="1"/>
  <c r="Y36" i="19" s="1"/>
  <c r="DI29" i="1"/>
  <c r="DE29" i="1"/>
  <c r="DC29" i="1"/>
  <c r="CY29" i="1"/>
  <c r="CX29" i="1"/>
  <c r="EK28" i="1"/>
  <c r="W35" i="19" s="1"/>
  <c r="EE28" i="1"/>
  <c r="ED28" i="1"/>
  <c r="EC28" i="1"/>
  <c r="T35" i="19" s="1"/>
  <c r="EA28" i="1"/>
  <c r="U35" i="19" s="1"/>
  <c r="DZ28" i="1"/>
  <c r="F35" i="19" s="1"/>
  <c r="DS28" i="1"/>
  <c r="Y35" i="19" s="1"/>
  <c r="DE28" i="1"/>
  <c r="DC28" i="1"/>
  <c r="CY28" i="1"/>
  <c r="CX28" i="1"/>
  <c r="EK27" i="1"/>
  <c r="W34" i="19" s="1"/>
  <c r="EE27" i="1"/>
  <c r="ED27" i="1"/>
  <c r="EC27" i="1"/>
  <c r="T34" i="19" s="1"/>
  <c r="EA27" i="1"/>
  <c r="U34" i="19" s="1"/>
  <c r="DZ27" i="1"/>
  <c r="F34" i="19" s="1"/>
  <c r="DS27" i="1"/>
  <c r="Y34" i="19" s="1"/>
  <c r="DE27" i="1"/>
  <c r="DC27" i="1"/>
  <c r="CY27" i="1"/>
  <c r="CX27" i="1"/>
  <c r="DO27" i="1" s="1"/>
  <c r="DY27" i="1" s="1"/>
  <c r="EK26" i="1"/>
  <c r="W33" i="19" s="1"/>
  <c r="EE26" i="1"/>
  <c r="ED26" i="1"/>
  <c r="EC26" i="1"/>
  <c r="T33" i="19" s="1"/>
  <c r="EA26" i="1"/>
  <c r="U33" i="19" s="1"/>
  <c r="DZ26" i="1"/>
  <c r="F33" i="19" s="1"/>
  <c r="DS26" i="1"/>
  <c r="Y33" i="19" s="1"/>
  <c r="DE26" i="1"/>
  <c r="DC26" i="1"/>
  <c r="CY26" i="1"/>
  <c r="CX26" i="1"/>
  <c r="EK25" i="1"/>
  <c r="W32" i="19" s="1"/>
  <c r="EE25" i="1"/>
  <c r="ED25" i="1"/>
  <c r="EC25" i="1"/>
  <c r="T32" i="19" s="1"/>
  <c r="EA25" i="1"/>
  <c r="U32" i="19" s="1"/>
  <c r="DZ25" i="1"/>
  <c r="F32" i="19" s="1"/>
  <c r="DS25" i="1"/>
  <c r="Y32" i="19" s="1"/>
  <c r="DE25" i="1"/>
  <c r="DC25" i="1"/>
  <c r="CY25" i="1"/>
  <c r="CX25" i="1"/>
  <c r="DO25" i="1" s="1"/>
  <c r="DY25" i="1" s="1"/>
  <c r="EK24" i="1"/>
  <c r="W31" i="19" s="1"/>
  <c r="EE24" i="1"/>
  <c r="ED24" i="1"/>
  <c r="EC24" i="1"/>
  <c r="T31" i="19" s="1"/>
  <c r="EA24" i="1"/>
  <c r="U31" i="19" s="1"/>
  <c r="DZ24" i="1"/>
  <c r="F31" i="19" s="1"/>
  <c r="DS24" i="1"/>
  <c r="Y31" i="19" s="1"/>
  <c r="DE24" i="1"/>
  <c r="DC24" i="1"/>
  <c r="CY24" i="1"/>
  <c r="CX24" i="1"/>
  <c r="EK23" i="1"/>
  <c r="W30" i="19" s="1"/>
  <c r="EE23" i="1"/>
  <c r="ED23" i="1"/>
  <c r="EC23" i="1"/>
  <c r="T30" i="19" s="1"/>
  <c r="EA23" i="1"/>
  <c r="U30" i="19" s="1"/>
  <c r="DZ23" i="1"/>
  <c r="F30" i="19" s="1"/>
  <c r="DS23" i="1"/>
  <c r="Y30" i="19" s="1"/>
  <c r="DE23" i="1"/>
  <c r="CY23" i="1"/>
  <c r="CX23" i="1"/>
  <c r="DI23" i="1" s="1"/>
  <c r="EK22" i="1"/>
  <c r="W29" i="19" s="1"/>
  <c r="EE22" i="1"/>
  <c r="ED22" i="1"/>
  <c r="EC22" i="1"/>
  <c r="T29" i="19" s="1"/>
  <c r="EA22" i="1"/>
  <c r="U29" i="19" s="1"/>
  <c r="DZ22" i="1"/>
  <c r="F29" i="19" s="1"/>
  <c r="DS22" i="1"/>
  <c r="Y29" i="19" s="1"/>
  <c r="DE22" i="1"/>
  <c r="DC22" i="1"/>
  <c r="CY22" i="1"/>
  <c r="CX22" i="1"/>
  <c r="DI22" i="1" s="1"/>
  <c r="EK21" i="1"/>
  <c r="W28" i="19" s="1"/>
  <c r="EE21" i="1"/>
  <c r="ED21" i="1"/>
  <c r="EC21" i="1"/>
  <c r="T28" i="19" s="1"/>
  <c r="EA21" i="1"/>
  <c r="U28" i="19" s="1"/>
  <c r="DZ21" i="1"/>
  <c r="F28" i="19" s="1"/>
  <c r="DS21" i="1"/>
  <c r="Y28" i="19" s="1"/>
  <c r="DE21" i="1"/>
  <c r="CY21" i="1"/>
  <c r="CX21" i="1"/>
  <c r="EK20" i="1"/>
  <c r="W27" i="19" s="1"/>
  <c r="EE20" i="1"/>
  <c r="ED20" i="1"/>
  <c r="EC20" i="1"/>
  <c r="T27" i="19" s="1"/>
  <c r="EA20" i="1"/>
  <c r="DZ20" i="1"/>
  <c r="F27" i="19" s="1"/>
  <c r="DS20" i="1"/>
  <c r="Y27" i="19" s="1"/>
  <c r="DE20" i="1"/>
  <c r="DC20" i="1"/>
  <c r="CY20" i="1"/>
  <c r="CX20" i="1"/>
  <c r="EK19" i="1"/>
  <c r="W26" i="19" s="1"/>
  <c r="EE19" i="1"/>
  <c r="ED19" i="1"/>
  <c r="EC19" i="1"/>
  <c r="T26" i="19" s="1"/>
  <c r="EA19" i="1"/>
  <c r="U26" i="19" s="1"/>
  <c r="DZ19" i="1"/>
  <c r="F26" i="19" s="1"/>
  <c r="DS19" i="1"/>
  <c r="Y26" i="19" s="1"/>
  <c r="DE19" i="1"/>
  <c r="DC19" i="1"/>
  <c r="CY19" i="1"/>
  <c r="CX19" i="1"/>
  <c r="DI19" i="1" s="1"/>
  <c r="EK18" i="1"/>
  <c r="W25" i="19" s="1"/>
  <c r="EE18" i="1"/>
  <c r="ED18" i="1"/>
  <c r="EC18" i="1"/>
  <c r="T25" i="19" s="1"/>
  <c r="EA18" i="1"/>
  <c r="DZ18" i="1"/>
  <c r="F25" i="19" s="1"/>
  <c r="DS18" i="1"/>
  <c r="Y25" i="19" s="1"/>
  <c r="DE18" i="1"/>
  <c r="DC18" i="1"/>
  <c r="CY18" i="1"/>
  <c r="CX18" i="1"/>
  <c r="EK17" i="1"/>
  <c r="W24" i="19" s="1"/>
  <c r="EE17" i="1"/>
  <c r="ED17" i="1"/>
  <c r="EC17" i="1"/>
  <c r="T24" i="19" s="1"/>
  <c r="EA17" i="1"/>
  <c r="U24" i="19" s="1"/>
  <c r="DZ17" i="1"/>
  <c r="F24" i="19" s="1"/>
  <c r="DS17" i="1"/>
  <c r="Y24" i="19" s="1"/>
  <c r="DE17" i="1"/>
  <c r="DC17" i="1"/>
  <c r="CY17" i="1"/>
  <c r="CX17" i="1"/>
  <c r="DI17" i="1" s="1"/>
  <c r="EK16" i="1"/>
  <c r="W23" i="19" s="1"/>
  <c r="EE16" i="1"/>
  <c r="ED16" i="1"/>
  <c r="EC16" i="1"/>
  <c r="T23" i="19" s="1"/>
  <c r="EA16" i="1"/>
  <c r="DZ16" i="1"/>
  <c r="F23" i="19" s="1"/>
  <c r="DS16" i="1"/>
  <c r="Y23" i="19" s="1"/>
  <c r="DE16" i="1"/>
  <c r="CY16" i="1"/>
  <c r="CX16" i="1"/>
  <c r="DI16" i="1" s="1"/>
  <c r="EK15" i="1"/>
  <c r="W22" i="19" s="1"/>
  <c r="EE15" i="1"/>
  <c r="ED15" i="1"/>
  <c r="EC15" i="1"/>
  <c r="T22" i="19" s="1"/>
  <c r="EA15" i="1"/>
  <c r="DZ15" i="1"/>
  <c r="F22" i="19" s="1"/>
  <c r="DS15" i="1"/>
  <c r="Y22" i="19" s="1"/>
  <c r="DI15" i="1"/>
  <c r="DE15" i="1"/>
  <c r="DC15" i="1"/>
  <c r="CY15" i="1"/>
  <c r="CX15" i="1"/>
  <c r="E22" i="19" s="1"/>
  <c r="EK14" i="1"/>
  <c r="W21" i="19" s="1"/>
  <c r="EE14" i="1"/>
  <c r="ED14" i="1"/>
  <c r="EC14" i="1"/>
  <c r="T21" i="19" s="1"/>
  <c r="EA14" i="1"/>
  <c r="DZ14" i="1"/>
  <c r="F21" i="19" s="1"/>
  <c r="DS14" i="1"/>
  <c r="Y21" i="19" s="1"/>
  <c r="DE14" i="1"/>
  <c r="DC14" i="1"/>
  <c r="CY14" i="1"/>
  <c r="CX14" i="1"/>
  <c r="EK13" i="1"/>
  <c r="W20" i="19" s="1"/>
  <c r="EE13" i="1"/>
  <c r="ED13" i="1"/>
  <c r="EC13" i="1"/>
  <c r="T20" i="19" s="1"/>
  <c r="EA13" i="1"/>
  <c r="U20" i="19" s="1"/>
  <c r="DZ13" i="1"/>
  <c r="F20" i="19" s="1"/>
  <c r="DS13" i="1"/>
  <c r="Y20" i="19" s="1"/>
  <c r="DE13" i="1"/>
  <c r="DC13" i="1"/>
  <c r="CY13" i="1"/>
  <c r="CX13" i="1"/>
  <c r="DI13" i="1" s="1"/>
  <c r="EK12" i="1"/>
  <c r="W19" i="19" s="1"/>
  <c r="EE12" i="1"/>
  <c r="ED12" i="1"/>
  <c r="EC12" i="1"/>
  <c r="T19" i="19" s="1"/>
  <c r="EA12" i="1"/>
  <c r="DZ12" i="1"/>
  <c r="F19" i="19" s="1"/>
  <c r="DS12" i="1"/>
  <c r="Y19" i="19" s="1"/>
  <c r="DE12" i="1"/>
  <c r="DC12" i="1"/>
  <c r="CY12" i="1"/>
  <c r="CX12" i="1"/>
  <c r="EK11" i="1"/>
  <c r="W18" i="19" s="1"/>
  <c r="EE11" i="1"/>
  <c r="ED11" i="1"/>
  <c r="EC11" i="1"/>
  <c r="T18" i="19" s="1"/>
  <c r="EA11" i="1"/>
  <c r="U18" i="19" s="1"/>
  <c r="DZ11" i="1"/>
  <c r="F18" i="19" s="1"/>
  <c r="DS11" i="1"/>
  <c r="Y18" i="19" s="1"/>
  <c r="DI11" i="1"/>
  <c r="DE11" i="1"/>
  <c r="DC11" i="1"/>
  <c r="CY11" i="1"/>
  <c r="CX11" i="1"/>
  <c r="E18" i="19" s="1"/>
  <c r="EK10" i="1"/>
  <c r="W17" i="19" s="1"/>
  <c r="EE10" i="1"/>
  <c r="ED10" i="1"/>
  <c r="EC10" i="1"/>
  <c r="T17" i="19" s="1"/>
  <c r="EA10" i="1"/>
  <c r="U17" i="19" s="1"/>
  <c r="DZ10" i="1"/>
  <c r="F17" i="19" s="1"/>
  <c r="DS10" i="1"/>
  <c r="Y17" i="19" s="1"/>
  <c r="DE10" i="1"/>
  <c r="DC10" i="1"/>
  <c r="CY10" i="1"/>
  <c r="CX10" i="1"/>
  <c r="DI10" i="1" s="1"/>
  <c r="EK9" i="1"/>
  <c r="W16" i="19" s="1"/>
  <c r="EE9" i="1"/>
  <c r="ED9" i="1"/>
  <c r="EC9" i="1"/>
  <c r="T16" i="19" s="1"/>
  <c r="EA9" i="1"/>
  <c r="U16" i="19" s="1"/>
  <c r="DZ9" i="1"/>
  <c r="F16" i="19" s="1"/>
  <c r="DS9" i="1"/>
  <c r="Y16" i="19" s="1"/>
  <c r="DE9" i="1"/>
  <c r="DC9" i="1"/>
  <c r="CY9" i="1"/>
  <c r="CX9" i="1"/>
  <c r="DI9" i="1" s="1"/>
  <c r="EK8" i="1"/>
  <c r="W15" i="19" s="1"/>
  <c r="EE8" i="1"/>
  <c r="ED8" i="1"/>
  <c r="EC8" i="1"/>
  <c r="T15" i="19" s="1"/>
  <c r="EA8" i="1"/>
  <c r="U15" i="19" s="1"/>
  <c r="DZ8" i="1"/>
  <c r="F15" i="19" s="1"/>
  <c r="DS8" i="1"/>
  <c r="Y15" i="19" s="1"/>
  <c r="DE8" i="1"/>
  <c r="DC8" i="1"/>
  <c r="CY8" i="1"/>
  <c r="CX8" i="1"/>
  <c r="EK7" i="1"/>
  <c r="W14" i="19" s="1"/>
  <c r="EE7" i="1"/>
  <c r="ED7" i="1"/>
  <c r="EC7" i="1"/>
  <c r="T14" i="19" s="1"/>
  <c r="EA7" i="1"/>
  <c r="DZ7" i="1"/>
  <c r="F14" i="19" s="1"/>
  <c r="DS7" i="1"/>
  <c r="Y14" i="19" s="1"/>
  <c r="DE7" i="1"/>
  <c r="DC7" i="1"/>
  <c r="CY7" i="1"/>
  <c r="CX7" i="1"/>
  <c r="Q14" i="19" s="1"/>
  <c r="EK6" i="1"/>
  <c r="W13" i="19" s="1"/>
  <c r="EE6" i="1"/>
  <c r="ED6" i="1"/>
  <c r="EC6" i="1"/>
  <c r="T13" i="19" s="1"/>
  <c r="EA6" i="1"/>
  <c r="DZ6" i="1"/>
  <c r="F13" i="19" s="1"/>
  <c r="DS6" i="1"/>
  <c r="Y13" i="19" s="1"/>
  <c r="DI6" i="1"/>
  <c r="DE6" i="1"/>
  <c r="DC6" i="1"/>
  <c r="CY6" i="1"/>
  <c r="CX6" i="1"/>
  <c r="CZ6" i="1" s="1"/>
  <c r="K13" i="19" s="1"/>
  <c r="EK5" i="1"/>
  <c r="W12" i="19" s="1"/>
  <c r="EE5" i="1"/>
  <c r="ED5" i="1"/>
  <c r="EC5" i="1"/>
  <c r="T12" i="19" s="1"/>
  <c r="EA5" i="1"/>
  <c r="U12" i="19" s="1"/>
  <c r="DZ5" i="1"/>
  <c r="F12" i="19" s="1"/>
  <c r="DS5" i="1"/>
  <c r="Y12" i="19" s="1"/>
  <c r="DE5" i="1"/>
  <c r="DC5" i="1"/>
  <c r="CY5" i="1"/>
  <c r="CX5" i="1"/>
  <c r="EK4" i="1"/>
  <c r="W11" i="19" s="1"/>
  <c r="EE4" i="1"/>
  <c r="ED4" i="1"/>
  <c r="EC4" i="1"/>
  <c r="T11" i="19" s="1"/>
  <c r="EA4" i="1"/>
  <c r="DZ4" i="1"/>
  <c r="F11" i="19" s="1"/>
  <c r="DS4" i="1"/>
  <c r="Y11" i="19" s="1"/>
  <c r="DE4" i="1"/>
  <c r="DC4" i="1"/>
  <c r="CY4" i="1"/>
  <c r="CX4" i="1"/>
  <c r="DI4" i="1" s="1"/>
  <c r="CV42" i="1"/>
  <c r="CU42" i="1"/>
  <c r="CT42" i="1"/>
  <c r="CS42" i="1"/>
  <c r="CR42" i="1"/>
  <c r="CV41" i="1"/>
  <c r="CU41" i="1"/>
  <c r="CT41" i="1"/>
  <c r="CS41" i="1"/>
  <c r="CR41" i="1"/>
  <c r="CW40" i="1"/>
  <c r="CV40" i="1"/>
  <c r="CU40" i="1"/>
  <c r="CT40" i="1"/>
  <c r="CS40" i="1"/>
  <c r="CR40" i="1"/>
  <c r="CV39" i="1"/>
  <c r="CU39" i="1"/>
  <c r="CT39" i="1"/>
  <c r="CS39" i="1"/>
  <c r="CR39" i="1"/>
  <c r="CV38" i="1"/>
  <c r="CU38" i="1"/>
  <c r="CT38" i="1"/>
  <c r="CS38" i="1"/>
  <c r="CR38" i="1"/>
  <c r="CV37" i="1"/>
  <c r="CU37" i="1"/>
  <c r="CT37" i="1"/>
  <c r="CS37" i="1"/>
  <c r="CR37" i="1"/>
  <c r="CV36" i="1"/>
  <c r="CU36" i="1"/>
  <c r="CT36" i="1"/>
  <c r="CS36" i="1"/>
  <c r="CR36" i="1"/>
  <c r="CV35" i="1"/>
  <c r="CU35" i="1"/>
  <c r="CT35" i="1"/>
  <c r="CS35" i="1"/>
  <c r="CR35" i="1"/>
  <c r="CV34" i="1"/>
  <c r="CU34" i="1"/>
  <c r="CT34" i="1"/>
  <c r="CS34" i="1"/>
  <c r="CR34" i="1"/>
  <c r="CV33" i="1"/>
  <c r="CU33" i="1"/>
  <c r="CT33" i="1"/>
  <c r="CS33" i="1"/>
  <c r="CR33" i="1"/>
  <c r="CV32" i="1"/>
  <c r="CU32" i="1"/>
  <c r="CT32" i="1"/>
  <c r="CS32" i="1"/>
  <c r="CR32" i="1"/>
  <c r="CW31" i="1"/>
  <c r="CV31" i="1"/>
  <c r="CU31" i="1"/>
  <c r="CT31" i="1"/>
  <c r="CS31" i="1"/>
  <c r="CR31" i="1"/>
  <c r="CV30" i="1"/>
  <c r="CU30" i="1"/>
  <c r="CT30" i="1"/>
  <c r="CS30" i="1"/>
  <c r="CR30" i="1"/>
  <c r="CV29" i="1"/>
  <c r="CU29" i="1"/>
  <c r="CT29" i="1"/>
  <c r="CS29" i="1"/>
  <c r="CR29" i="1"/>
  <c r="CV28" i="1"/>
  <c r="CU28" i="1"/>
  <c r="CT28" i="1"/>
  <c r="CS28" i="1"/>
  <c r="CR28" i="1"/>
  <c r="CV27" i="1"/>
  <c r="CU27" i="1"/>
  <c r="CT27" i="1"/>
  <c r="CS27" i="1"/>
  <c r="CR27" i="1"/>
  <c r="CV26" i="1"/>
  <c r="CU26" i="1"/>
  <c r="CT26" i="1"/>
  <c r="CS26" i="1"/>
  <c r="CR26" i="1"/>
  <c r="CV25" i="1"/>
  <c r="CU25" i="1"/>
  <c r="CT25" i="1"/>
  <c r="CS25" i="1"/>
  <c r="CR25" i="1"/>
  <c r="CV24" i="1"/>
  <c r="CU24" i="1"/>
  <c r="CT24" i="1"/>
  <c r="CS24" i="1"/>
  <c r="CR24" i="1"/>
  <c r="CV23" i="1"/>
  <c r="CU23" i="1"/>
  <c r="CT23" i="1"/>
  <c r="CS23" i="1"/>
  <c r="CR23" i="1"/>
  <c r="CV22" i="1"/>
  <c r="CU22" i="1"/>
  <c r="CT22" i="1"/>
  <c r="CS22" i="1"/>
  <c r="CR22" i="1"/>
  <c r="CV21" i="1"/>
  <c r="CU21" i="1"/>
  <c r="CT21" i="1"/>
  <c r="CS21" i="1"/>
  <c r="CR21" i="1"/>
  <c r="CV20" i="1"/>
  <c r="CU20" i="1"/>
  <c r="CT20" i="1"/>
  <c r="CS20" i="1"/>
  <c r="CR20" i="1"/>
  <c r="CV19" i="1"/>
  <c r="CU19" i="1"/>
  <c r="CT19" i="1"/>
  <c r="CS19" i="1"/>
  <c r="CR19" i="1"/>
  <c r="CV18" i="1"/>
  <c r="CU18" i="1"/>
  <c r="CT18" i="1"/>
  <c r="CS18" i="1"/>
  <c r="CR18" i="1"/>
  <c r="CV17" i="1"/>
  <c r="CU17" i="1"/>
  <c r="CT17" i="1"/>
  <c r="CS17" i="1"/>
  <c r="CR17" i="1"/>
  <c r="CV16" i="1"/>
  <c r="CU16" i="1"/>
  <c r="CT16" i="1"/>
  <c r="CS16" i="1"/>
  <c r="CR16" i="1"/>
  <c r="CV15" i="1"/>
  <c r="CU15" i="1"/>
  <c r="CT15" i="1"/>
  <c r="CS15" i="1"/>
  <c r="CR15" i="1"/>
  <c r="CV14" i="1"/>
  <c r="CU14" i="1"/>
  <c r="CT14" i="1"/>
  <c r="CS14" i="1"/>
  <c r="CR14" i="1"/>
  <c r="CW13" i="1"/>
  <c r="CV13" i="1"/>
  <c r="CU13" i="1"/>
  <c r="CT13" i="1"/>
  <c r="CS13" i="1"/>
  <c r="CR13" i="1"/>
  <c r="CV12" i="1"/>
  <c r="CU12" i="1"/>
  <c r="CT12" i="1"/>
  <c r="CS12" i="1"/>
  <c r="CR12" i="1"/>
  <c r="CV11" i="1"/>
  <c r="CU11" i="1"/>
  <c r="CT11" i="1"/>
  <c r="CS11" i="1"/>
  <c r="CR11" i="1"/>
  <c r="CV10" i="1"/>
  <c r="CU10" i="1"/>
  <c r="CT10" i="1"/>
  <c r="CS10" i="1"/>
  <c r="CR10" i="1"/>
  <c r="CV9" i="1"/>
  <c r="CU9" i="1"/>
  <c r="CT9" i="1"/>
  <c r="CS9" i="1"/>
  <c r="CR9" i="1"/>
  <c r="CV8" i="1"/>
  <c r="CU8" i="1"/>
  <c r="CT8" i="1"/>
  <c r="CS8" i="1"/>
  <c r="CR8" i="1"/>
  <c r="CV7" i="1"/>
  <c r="CU7" i="1"/>
  <c r="CT7" i="1"/>
  <c r="CS7" i="1"/>
  <c r="CR7" i="1"/>
  <c r="CV6" i="1"/>
  <c r="CU6" i="1"/>
  <c r="CT6" i="1"/>
  <c r="CS6" i="1"/>
  <c r="CR6" i="1"/>
  <c r="CW5" i="1"/>
  <c r="CV5" i="1"/>
  <c r="CU5" i="1"/>
  <c r="CT5" i="1"/>
  <c r="CS5" i="1"/>
  <c r="CR5" i="1"/>
  <c r="CW4" i="1"/>
  <c r="CV4" i="1"/>
  <c r="CU4" i="1"/>
  <c r="CT4" i="1"/>
  <c r="CS4" i="1"/>
  <c r="CR4" i="1"/>
  <c r="A3" i="1"/>
  <c r="ER8" i="1" s="1"/>
  <c r="E39" i="19" l="1"/>
  <c r="D11" i="19"/>
  <c r="EB8" i="1"/>
  <c r="EF8" i="1"/>
  <c r="DO7" i="1"/>
  <c r="DY7" i="1" s="1"/>
  <c r="EG7" i="1" s="1"/>
  <c r="EH7" i="1" s="1"/>
  <c r="EB11" i="1"/>
  <c r="EF11" i="1"/>
  <c r="EB13" i="1"/>
  <c r="EF13" i="1"/>
  <c r="DO22" i="1"/>
  <c r="C14" i="19"/>
  <c r="EB9" i="1"/>
  <c r="EF9" i="1"/>
  <c r="EB21" i="1"/>
  <c r="DO30" i="1"/>
  <c r="DY30" i="1" s="1"/>
  <c r="DT30" i="1" s="1"/>
  <c r="M14" i="19"/>
  <c r="DO6" i="1"/>
  <c r="ER6" i="1"/>
  <c r="EB10" i="1"/>
  <c r="EF10" i="1"/>
  <c r="EB17" i="1"/>
  <c r="EF17" i="1"/>
  <c r="EB19" i="1"/>
  <c r="EF19" i="1"/>
  <c r="DK22" i="1"/>
  <c r="DH23" i="1"/>
  <c r="DH36" i="1"/>
  <c r="DK42" i="1"/>
  <c r="DM42" i="1" s="1"/>
  <c r="Q49" i="19" s="1"/>
  <c r="D12" i="19"/>
  <c r="DK4" i="1"/>
  <c r="DM4" i="1" s="1"/>
  <c r="Q11" i="19" s="1"/>
  <c r="DK30" i="1"/>
  <c r="DM30" i="1" s="1"/>
  <c r="Q37" i="19" s="1"/>
  <c r="DK6" i="1"/>
  <c r="DM6" i="1" s="1"/>
  <c r="Q13" i="19" s="1"/>
  <c r="DK40" i="1"/>
  <c r="CW7" i="1"/>
  <c r="CW11" i="1"/>
  <c r="CW14" i="1"/>
  <c r="CW18" i="1"/>
  <c r="CW22" i="1"/>
  <c r="CW26" i="1"/>
  <c r="CW30" i="1"/>
  <c r="CW33" i="1"/>
  <c r="CW37" i="1"/>
  <c r="ER5" i="1"/>
  <c r="DK7" i="1"/>
  <c r="DM7" i="1" s="1"/>
  <c r="EF21" i="1"/>
  <c r="DO23" i="1"/>
  <c r="DY23" i="1" s="1"/>
  <c r="DR23" i="1" s="1"/>
  <c r="DO36" i="1"/>
  <c r="DY36" i="1" s="1"/>
  <c r="DR36" i="1" s="1"/>
  <c r="DK37" i="1"/>
  <c r="DM37" i="1" s="1"/>
  <c r="Q44" i="19" s="1"/>
  <c r="DO42" i="1"/>
  <c r="M49" i="19" s="1"/>
  <c r="D13" i="19"/>
  <c r="E37" i="19"/>
  <c r="E43" i="19"/>
  <c r="E47" i="19"/>
  <c r="DM34" i="1"/>
  <c r="Q41" i="19" s="1"/>
  <c r="O41" i="19"/>
  <c r="E15" i="19"/>
  <c r="DK8" i="1"/>
  <c r="DH8" i="1"/>
  <c r="DI5" i="1"/>
  <c r="E12" i="19"/>
  <c r="DK5" i="1"/>
  <c r="DH5" i="1"/>
  <c r="DY6" i="1"/>
  <c r="DT6" i="1" s="1"/>
  <c r="M13" i="19"/>
  <c r="DI21" i="1"/>
  <c r="E28" i="19"/>
  <c r="DI24" i="1"/>
  <c r="E31" i="19"/>
  <c r="DK24" i="1"/>
  <c r="DH24" i="1"/>
  <c r="DI28" i="1"/>
  <c r="E35" i="19"/>
  <c r="DK28" i="1"/>
  <c r="DH28" i="1"/>
  <c r="DI38" i="1"/>
  <c r="DH38" i="1"/>
  <c r="DO38" i="1"/>
  <c r="DY39" i="1"/>
  <c r="DR39" i="1" s="1"/>
  <c r="M46" i="19"/>
  <c r="M32" i="19"/>
  <c r="M34" i="19"/>
  <c r="M38" i="19"/>
  <c r="CW9" i="1"/>
  <c r="CW16" i="1"/>
  <c r="CW20" i="1"/>
  <c r="CW24" i="1"/>
  <c r="CW28" i="1"/>
  <c r="CW35" i="1"/>
  <c r="CW39" i="1"/>
  <c r="CW42" i="1"/>
  <c r="DO5" i="1"/>
  <c r="O14" i="19"/>
  <c r="EF7" i="1"/>
  <c r="U14" i="19"/>
  <c r="EF12" i="1"/>
  <c r="EB12" i="1"/>
  <c r="U19" i="19"/>
  <c r="U21" i="19"/>
  <c r="EF14" i="1"/>
  <c r="EB14" i="1"/>
  <c r="U22" i="19"/>
  <c r="EF15" i="1"/>
  <c r="EB15" i="1"/>
  <c r="DI18" i="1"/>
  <c r="E25" i="19"/>
  <c r="DI20" i="1"/>
  <c r="E27" i="19"/>
  <c r="DO24" i="1"/>
  <c r="DI25" i="1"/>
  <c r="E32" i="19"/>
  <c r="DK25" i="1"/>
  <c r="DH25" i="1"/>
  <c r="DO28" i="1"/>
  <c r="DO29" i="1"/>
  <c r="E36" i="19"/>
  <c r="DH29" i="1"/>
  <c r="DI31" i="1"/>
  <c r="DV31" i="1" s="1"/>
  <c r="EN31" i="1" s="1"/>
  <c r="E38" i="19"/>
  <c r="DK31" i="1"/>
  <c r="EI31" i="1" s="1"/>
  <c r="EJ31" i="1" s="1"/>
  <c r="R38" i="19" s="1"/>
  <c r="DH31" i="1"/>
  <c r="DI35" i="1"/>
  <c r="DV35" i="1" s="1"/>
  <c r="EN35" i="1" s="1"/>
  <c r="E42" i="19"/>
  <c r="DK35" i="1"/>
  <c r="DH35" i="1"/>
  <c r="DM40" i="1"/>
  <c r="Q47" i="19" s="1"/>
  <c r="O47" i="19"/>
  <c r="DI41" i="1"/>
  <c r="DV41" i="1" s="1"/>
  <c r="EN41" i="1" s="1"/>
  <c r="E48" i="19"/>
  <c r="DK41" i="1"/>
  <c r="DH41" i="1"/>
  <c r="O40" i="19"/>
  <c r="O44" i="19"/>
  <c r="M48" i="19"/>
  <c r="DI26" i="1"/>
  <c r="E33" i="19"/>
  <c r="DK26" i="1"/>
  <c r="DH26" i="1"/>
  <c r="EF29" i="1"/>
  <c r="U36" i="19"/>
  <c r="DI34" i="1"/>
  <c r="DO34" i="1"/>
  <c r="DH34" i="1"/>
  <c r="D37" i="19"/>
  <c r="EF4" i="1"/>
  <c r="U11" i="19"/>
  <c r="DO8" i="1"/>
  <c r="M15" i="19" s="1"/>
  <c r="DI12" i="1"/>
  <c r="E19" i="19"/>
  <c r="DI14" i="1"/>
  <c r="E21" i="19"/>
  <c r="EF16" i="1"/>
  <c r="EB16" i="1"/>
  <c r="U23" i="19"/>
  <c r="U25" i="19"/>
  <c r="EF18" i="1"/>
  <c r="EB18" i="1"/>
  <c r="EB20" i="1"/>
  <c r="U27" i="19"/>
  <c r="DO26" i="1"/>
  <c r="DI27" i="1"/>
  <c r="DV27" i="1" s="1"/>
  <c r="EN27" i="1" s="1"/>
  <c r="E34" i="19"/>
  <c r="DK27" i="1"/>
  <c r="DH27" i="1"/>
  <c r="DK29" i="1"/>
  <c r="EF30" i="1"/>
  <c r="DM32" i="1"/>
  <c r="Q39" i="19" s="1"/>
  <c r="O39" i="19"/>
  <c r="DI33" i="1"/>
  <c r="DH33" i="1"/>
  <c r="E40" i="19"/>
  <c r="DO33" i="1"/>
  <c r="M43" i="19"/>
  <c r="DK38" i="1"/>
  <c r="DI39" i="1"/>
  <c r="E46" i="19"/>
  <c r="DK39" i="1"/>
  <c r="DH39" i="1"/>
  <c r="U37" i="19"/>
  <c r="Q40" i="19"/>
  <c r="E41" i="19"/>
  <c r="M42" i="19"/>
  <c r="E45" i="19"/>
  <c r="DH4" i="1"/>
  <c r="EF6" i="1"/>
  <c r="U13" i="19"/>
  <c r="ER7" i="1"/>
  <c r="EF20" i="1"/>
  <c r="DK23" i="1"/>
  <c r="DH32" i="1"/>
  <c r="DH37" i="1"/>
  <c r="DH40" i="1"/>
  <c r="C11" i="19"/>
  <c r="C12" i="19"/>
  <c r="C13" i="19"/>
  <c r="D14" i="19"/>
  <c r="E16" i="19"/>
  <c r="E20" i="19"/>
  <c r="E24" i="19"/>
  <c r="E26" i="19"/>
  <c r="E30" i="19"/>
  <c r="E44" i="19"/>
  <c r="C15" i="19"/>
  <c r="DO4" i="1"/>
  <c r="ER4" i="1"/>
  <c r="DH6" i="1"/>
  <c r="DI7" i="1"/>
  <c r="E14" i="19"/>
  <c r="DH7" i="1"/>
  <c r="DH22" i="1"/>
  <c r="DH30" i="1"/>
  <c r="EF31" i="1"/>
  <c r="DO32" i="1"/>
  <c r="M39" i="19" s="1"/>
  <c r="DK36" i="1"/>
  <c r="DO37" i="1"/>
  <c r="DO40" i="1"/>
  <c r="DY42" i="1"/>
  <c r="DT42" i="1" s="1"/>
  <c r="DH42" i="1"/>
  <c r="E11" i="19"/>
  <c r="E13" i="19"/>
  <c r="E17" i="19"/>
  <c r="E23" i="19"/>
  <c r="E29" i="19"/>
  <c r="CZ4" i="1"/>
  <c r="K11" i="19" s="1"/>
  <c r="EB4" i="1"/>
  <c r="CZ5" i="1"/>
  <c r="K12" i="19" s="1"/>
  <c r="EB5" i="1"/>
  <c r="EF5" i="1"/>
  <c r="EB6" i="1"/>
  <c r="CZ7" i="1"/>
  <c r="EB7" i="1"/>
  <c r="CZ8" i="1"/>
  <c r="K15" i="19" s="1"/>
  <c r="DI8" i="1"/>
  <c r="DV25" i="1"/>
  <c r="EN25" i="1" s="1"/>
  <c r="DT25" i="1"/>
  <c r="DR25" i="1"/>
  <c r="DT27" i="1"/>
  <c r="DR27" i="1"/>
  <c r="DK9" i="1"/>
  <c r="DH9" i="1"/>
  <c r="CZ9" i="1"/>
  <c r="K16" i="19" s="1"/>
  <c r="DO10" i="1"/>
  <c r="DK10" i="1"/>
  <c r="DH10" i="1"/>
  <c r="CZ10" i="1"/>
  <c r="K17" i="19" s="1"/>
  <c r="DO11" i="1"/>
  <c r="DK11" i="1"/>
  <c r="DH11" i="1"/>
  <c r="CZ11" i="1"/>
  <c r="K18" i="19" s="1"/>
  <c r="DO12" i="1"/>
  <c r="DK12" i="1"/>
  <c r="DH12" i="1"/>
  <c r="CZ12" i="1"/>
  <c r="K19" i="19" s="1"/>
  <c r="DO13" i="1"/>
  <c r="M20" i="19" s="1"/>
  <c r="DK13" i="1"/>
  <c r="DH13" i="1"/>
  <c r="CZ13" i="1"/>
  <c r="K20" i="19" s="1"/>
  <c r="DO14" i="1"/>
  <c r="DK14" i="1"/>
  <c r="DH14" i="1"/>
  <c r="CZ14" i="1"/>
  <c r="K21" i="19" s="1"/>
  <c r="DO15" i="1"/>
  <c r="DK15" i="1"/>
  <c r="DH15" i="1"/>
  <c r="CZ15" i="1"/>
  <c r="K22" i="19" s="1"/>
  <c r="DH16" i="1"/>
  <c r="DK16" i="1"/>
  <c r="DO16" i="1"/>
  <c r="M23" i="19" s="1"/>
  <c r="DH17" i="1"/>
  <c r="DM17" i="1"/>
  <c r="Q24" i="19" s="1"/>
  <c r="DO17" i="1"/>
  <c r="M24" i="19" s="1"/>
  <c r="DH18" i="1"/>
  <c r="DM18" i="1"/>
  <c r="Q25" i="19" s="1"/>
  <c r="DO18" i="1"/>
  <c r="M25" i="19" s="1"/>
  <c r="DH19" i="1"/>
  <c r="DK19" i="1"/>
  <c r="DO19" i="1"/>
  <c r="M26" i="19" s="1"/>
  <c r="DH20" i="1"/>
  <c r="DK20" i="1"/>
  <c r="DO20" i="1"/>
  <c r="M27" i="19" s="1"/>
  <c r="DH21" i="1"/>
  <c r="DK21" i="1"/>
  <c r="DO21" i="1"/>
  <c r="M28" i="19" s="1"/>
  <c r="EF22" i="1"/>
  <c r="EB22" i="1"/>
  <c r="EF23" i="1"/>
  <c r="EB23" i="1"/>
  <c r="EF24" i="1"/>
  <c r="EB24" i="1"/>
  <c r="EF25" i="1"/>
  <c r="EB25" i="1"/>
  <c r="EF26" i="1"/>
  <c r="EB26" i="1"/>
  <c r="EF27" i="1"/>
  <c r="EB27" i="1"/>
  <c r="EF28" i="1"/>
  <c r="EB28" i="1"/>
  <c r="CZ19" i="1"/>
  <c r="K26" i="19" s="1"/>
  <c r="CZ20" i="1"/>
  <c r="K27" i="19" s="1"/>
  <c r="EQ31" i="1"/>
  <c r="EM31" i="1"/>
  <c r="DT31" i="1"/>
  <c r="DR31" i="1"/>
  <c r="DU31" i="1"/>
  <c r="DT35" i="1"/>
  <c r="DR35" i="1"/>
  <c r="EG31" i="1"/>
  <c r="EH31" i="1" s="1"/>
  <c r="CZ22" i="1"/>
  <c r="CZ24" i="1"/>
  <c r="CZ25" i="1"/>
  <c r="CZ26" i="1"/>
  <c r="CZ27" i="1"/>
  <c r="CZ28" i="1"/>
  <c r="EB29" i="1"/>
  <c r="CZ30" i="1"/>
  <c r="EB30" i="1"/>
  <c r="CZ31" i="1"/>
  <c r="K38" i="19" s="1"/>
  <c r="EB31" i="1"/>
  <c r="CZ32" i="1"/>
  <c r="DI32" i="1"/>
  <c r="EF32" i="1"/>
  <c r="EB32" i="1"/>
  <c r="EF33" i="1"/>
  <c r="EB33" i="1"/>
  <c r="EF34" i="1"/>
  <c r="EB34" i="1"/>
  <c r="EF35" i="1"/>
  <c r="EB35" i="1"/>
  <c r="EF36" i="1"/>
  <c r="EB36" i="1"/>
  <c r="CZ35" i="1"/>
  <c r="EF37" i="1"/>
  <c r="EB37" i="1"/>
  <c r="EF38" i="1"/>
  <c r="EB38" i="1"/>
  <c r="EF39" i="1"/>
  <c r="EB39" i="1"/>
  <c r="EF40" i="1"/>
  <c r="EB40" i="1"/>
  <c r="DT41" i="1"/>
  <c r="DR41" i="1"/>
  <c r="CZ37" i="1"/>
  <c r="CZ39" i="1"/>
  <c r="CZ40" i="1"/>
  <c r="CZ41" i="1"/>
  <c r="K48" i="19" s="1"/>
  <c r="EB41" i="1"/>
  <c r="EF41" i="1"/>
  <c r="CZ42" i="1"/>
  <c r="K49" i="19" s="1"/>
  <c r="EB42" i="1"/>
  <c r="EF42" i="1"/>
  <c r="CW6" i="1"/>
  <c r="CW8" i="1"/>
  <c r="CW10" i="1"/>
  <c r="CW12" i="1"/>
  <c r="CW15" i="1"/>
  <c r="CW17" i="1"/>
  <c r="CW19" i="1"/>
  <c r="CW21" i="1"/>
  <c r="CW23" i="1"/>
  <c r="CW25" i="1"/>
  <c r="CW27" i="1"/>
  <c r="CW29" i="1"/>
  <c r="CW32" i="1"/>
  <c r="CW34" i="1"/>
  <c r="CW36" i="1"/>
  <c r="CW38" i="1"/>
  <c r="CW41" i="1"/>
  <c r="DY9" i="1"/>
  <c r="DT7" i="1" l="1"/>
  <c r="DR7" i="1"/>
  <c r="DV7" i="1"/>
  <c r="EN7" i="1" s="1"/>
  <c r="EG25" i="1"/>
  <c r="EH25" i="1" s="1"/>
  <c r="DY8" i="1"/>
  <c r="EG8" i="1" s="1"/>
  <c r="EH8" i="1" s="1"/>
  <c r="O37" i="19"/>
  <c r="DR42" i="1"/>
  <c r="EG42" i="1"/>
  <c r="DR30" i="1"/>
  <c r="DV30" i="1"/>
  <c r="EN30" i="1" s="1"/>
  <c r="EM6" i="1"/>
  <c r="DY13" i="1"/>
  <c r="DR13" i="1" s="1"/>
  <c r="EG35" i="1"/>
  <c r="DT36" i="1"/>
  <c r="EG6" i="1"/>
  <c r="EH6" i="1" s="1"/>
  <c r="DT23" i="1"/>
  <c r="DY22" i="1"/>
  <c r="M29" i="19"/>
  <c r="M30" i="19"/>
  <c r="EG36" i="1"/>
  <c r="DV39" i="1"/>
  <c r="EN39" i="1" s="1"/>
  <c r="DV36" i="1"/>
  <c r="EN36" i="1" s="1"/>
  <c r="DV23" i="1"/>
  <c r="EN23" i="1" s="1"/>
  <c r="O49" i="19"/>
  <c r="O13" i="19"/>
  <c r="DU6" i="1"/>
  <c r="DM22" i="1"/>
  <c r="Q29" i="19" s="1"/>
  <c r="O29" i="19"/>
  <c r="O11" i="19"/>
  <c r="DT39" i="1"/>
  <c r="EG30" i="1"/>
  <c r="EG27" i="1"/>
  <c r="EH27" i="1" s="1"/>
  <c r="EG23" i="1"/>
  <c r="EH23" i="1" s="1"/>
  <c r="DY21" i="1"/>
  <c r="DR21" i="1" s="1"/>
  <c r="DY20" i="1"/>
  <c r="EG20" i="1" s="1"/>
  <c r="EH20" i="1" s="1"/>
  <c r="DY19" i="1"/>
  <c r="EG19" i="1" s="1"/>
  <c r="EH19" i="1" s="1"/>
  <c r="DY18" i="1"/>
  <c r="EG18" i="1" s="1"/>
  <c r="EH18" i="1" s="1"/>
  <c r="DY17" i="1"/>
  <c r="EG17" i="1" s="1"/>
  <c r="EH17" i="1" s="1"/>
  <c r="DY16" i="1"/>
  <c r="EG16" i="1" s="1"/>
  <c r="EH16" i="1" s="1"/>
  <c r="EI7" i="1"/>
  <c r="EJ7" i="1" s="1"/>
  <c r="EI6" i="1"/>
  <c r="EJ6" i="1" s="1"/>
  <c r="M37" i="19"/>
  <c r="K32" i="19"/>
  <c r="K44" i="19"/>
  <c r="DY12" i="1"/>
  <c r="DR12" i="1" s="1"/>
  <c r="M19" i="19"/>
  <c r="DY10" i="1"/>
  <c r="DT10" i="1" s="1"/>
  <c r="M17" i="19"/>
  <c r="DM38" i="1"/>
  <c r="Q45" i="19" s="1"/>
  <c r="O45" i="19"/>
  <c r="DY29" i="1"/>
  <c r="M36" i="19"/>
  <c r="DY5" i="1"/>
  <c r="M12" i="19"/>
  <c r="K47" i="19"/>
  <c r="EM7" i="1"/>
  <c r="K14" i="19"/>
  <c r="DM39" i="1"/>
  <c r="Q46" i="19" s="1"/>
  <c r="O46" i="19"/>
  <c r="DM41" i="1"/>
  <c r="Q48" i="19" s="1"/>
  <c r="O48" i="19"/>
  <c r="DY28" i="1"/>
  <c r="EG28" i="1" s="1"/>
  <c r="M35" i="19"/>
  <c r="K46" i="19"/>
  <c r="EG39" i="1"/>
  <c r="K42" i="19"/>
  <c r="K34" i="19"/>
  <c r="DM21" i="1"/>
  <c r="Q28" i="19" s="1"/>
  <c r="O28" i="19"/>
  <c r="DM20" i="1"/>
  <c r="Q27" i="19" s="1"/>
  <c r="O27" i="19"/>
  <c r="DM19" i="1"/>
  <c r="Q26" i="19" s="1"/>
  <c r="O26" i="19"/>
  <c r="DM16" i="1"/>
  <c r="Q23" i="19" s="1"/>
  <c r="O23" i="19"/>
  <c r="DM15" i="1"/>
  <c r="Q22" i="19" s="1"/>
  <c r="O22" i="19"/>
  <c r="DM14" i="1"/>
  <c r="Q21" i="19" s="1"/>
  <c r="O21" i="19"/>
  <c r="DM13" i="1"/>
  <c r="Q20" i="19" s="1"/>
  <c r="O20" i="19"/>
  <c r="DR6" i="1"/>
  <c r="DY40" i="1"/>
  <c r="M47" i="19"/>
  <c r="DY4" i="1"/>
  <c r="M11" i="19"/>
  <c r="DY32" i="1"/>
  <c r="DM27" i="1"/>
  <c r="Q34" i="19" s="1"/>
  <c r="O34" i="19"/>
  <c r="C38" i="19"/>
  <c r="ER31" i="1"/>
  <c r="DM26" i="1"/>
  <c r="Q33" i="19" s="1"/>
  <c r="O33" i="19"/>
  <c r="DY24" i="1"/>
  <c r="M31" i="19"/>
  <c r="DY38" i="1"/>
  <c r="M45" i="19"/>
  <c r="DM8" i="1"/>
  <c r="Q15" i="19" s="1"/>
  <c r="O15" i="19"/>
  <c r="DY11" i="1"/>
  <c r="EI11" i="1" s="1"/>
  <c r="EJ11" i="1" s="1"/>
  <c r="M18" i="19"/>
  <c r="DM36" i="1"/>
  <c r="O43" i="19"/>
  <c r="D15" i="19"/>
  <c r="DM29" i="1"/>
  <c r="Q36" i="19" s="1"/>
  <c r="O36" i="19"/>
  <c r="K35" i="19"/>
  <c r="K31" i="19"/>
  <c r="DY26" i="1"/>
  <c r="M33" i="19"/>
  <c r="DY34" i="1"/>
  <c r="EG34" i="1" s="1"/>
  <c r="M41" i="19"/>
  <c r="EG41" i="1"/>
  <c r="K39" i="19"/>
  <c r="EM30" i="1"/>
  <c r="K37" i="19"/>
  <c r="K33" i="19"/>
  <c r="K29" i="19"/>
  <c r="DY15" i="1"/>
  <c r="DR15" i="1" s="1"/>
  <c r="M22" i="19"/>
  <c r="DY14" i="1"/>
  <c r="DV14" i="1" s="1"/>
  <c r="EN14" i="1" s="1"/>
  <c r="M21" i="19"/>
  <c r="DM12" i="1"/>
  <c r="Q19" i="19" s="1"/>
  <c r="O19" i="19"/>
  <c r="DM11" i="1"/>
  <c r="Q18" i="19" s="1"/>
  <c r="O18" i="19"/>
  <c r="DM10" i="1"/>
  <c r="Q17" i="19" s="1"/>
  <c r="O17" i="19"/>
  <c r="DM9" i="1"/>
  <c r="Q16" i="19" s="1"/>
  <c r="O16" i="19"/>
  <c r="DY37" i="1"/>
  <c r="M44" i="19"/>
  <c r="DM23" i="1"/>
  <c r="O30" i="19"/>
  <c r="DY33" i="1"/>
  <c r="M40" i="19"/>
  <c r="DM35" i="1"/>
  <c r="Q42" i="19" s="1"/>
  <c r="O42" i="19"/>
  <c r="DM31" i="1"/>
  <c r="Q38" i="19" s="1"/>
  <c r="O38" i="19"/>
  <c r="DM25" i="1"/>
  <c r="Q32" i="19" s="1"/>
  <c r="O32" i="19"/>
  <c r="DM28" i="1"/>
  <c r="Q35" i="19" s="1"/>
  <c r="O35" i="19"/>
  <c r="DM24" i="1"/>
  <c r="Q31" i="19" s="1"/>
  <c r="O31" i="19"/>
  <c r="DM5" i="1"/>
  <c r="Q12" i="19" s="1"/>
  <c r="O12" i="19"/>
  <c r="AB38" i="19"/>
  <c r="V38" i="19"/>
  <c r="AC38" i="19"/>
  <c r="S38" i="19"/>
  <c r="AA38" i="19"/>
  <c r="DU42" i="1"/>
  <c r="DV42" i="1"/>
  <c r="EN42" i="1" s="1"/>
  <c r="EI9" i="1"/>
  <c r="EJ9" i="1" s="1"/>
  <c r="EM42" i="1"/>
  <c r="EO31" i="1"/>
  <c r="EP31" i="1"/>
  <c r="DU30" i="1"/>
  <c r="DV6" i="1"/>
  <c r="EN6" i="1" s="1"/>
  <c r="DX31" i="1"/>
  <c r="DW31" i="1"/>
  <c r="EM9" i="1"/>
  <c r="DV9" i="1"/>
  <c r="EN9" i="1" s="1"/>
  <c r="DT9" i="1"/>
  <c r="DU9" i="1" s="1"/>
  <c r="DR9" i="1"/>
  <c r="EG9" i="1"/>
  <c r="EH9" i="1" s="1"/>
  <c r="DU7" i="1"/>
  <c r="EI8" i="1" l="1"/>
  <c r="EJ8" i="1" s="1"/>
  <c r="DT8" i="1"/>
  <c r="DU8" i="1" s="1"/>
  <c r="DV8" i="1"/>
  <c r="EN8" i="1" s="1"/>
  <c r="EI30" i="1"/>
  <c r="EJ30" i="1" s="1"/>
  <c r="DU23" i="1"/>
  <c r="DW23" i="1" s="1"/>
  <c r="DR8" i="1"/>
  <c r="DV17" i="1"/>
  <c r="EN17" i="1" s="1"/>
  <c r="EM13" i="1"/>
  <c r="DV19" i="1"/>
  <c r="EN19" i="1" s="1"/>
  <c r="EM19" i="1"/>
  <c r="EI19" i="1"/>
  <c r="EJ19" i="1" s="1"/>
  <c r="DV10" i="1"/>
  <c r="EN10" i="1" s="1"/>
  <c r="DT20" i="1"/>
  <c r="DU20" i="1" s="1"/>
  <c r="DT13" i="1"/>
  <c r="DU13" i="1" s="1"/>
  <c r="EG13" i="1"/>
  <c r="EH13" i="1" s="1"/>
  <c r="DV13" i="1"/>
  <c r="EN13" i="1" s="1"/>
  <c r="DT16" i="1"/>
  <c r="DU16" i="1" s="1"/>
  <c r="EI10" i="1"/>
  <c r="EJ10" i="1" s="1"/>
  <c r="EI13" i="1"/>
  <c r="EJ13" i="1" s="1"/>
  <c r="EI18" i="1"/>
  <c r="EJ18" i="1" s="1"/>
  <c r="DT18" i="1"/>
  <c r="DU18" i="1" s="1"/>
  <c r="EG12" i="1"/>
  <c r="EH12" i="1" s="1"/>
  <c r="DV21" i="1"/>
  <c r="EN21" i="1" s="1"/>
  <c r="DT14" i="1"/>
  <c r="DU14" i="1" s="1"/>
  <c r="DX14" i="1" s="1"/>
  <c r="EG21" i="1"/>
  <c r="EH21" i="1" s="1"/>
  <c r="EI12" i="1"/>
  <c r="EJ12" i="1" s="1"/>
  <c r="DR11" i="1"/>
  <c r="DT12" i="1"/>
  <c r="DU12" i="1" s="1"/>
  <c r="DV18" i="1"/>
  <c r="EN18" i="1" s="1"/>
  <c r="EM11" i="1"/>
  <c r="DT17" i="1"/>
  <c r="DU17" i="1" s="1"/>
  <c r="DX17" i="1" s="1"/>
  <c r="EM18" i="1"/>
  <c r="DT21" i="1"/>
  <c r="DU21" i="1" s="1"/>
  <c r="DU35" i="1"/>
  <c r="DX35" i="1" s="1"/>
  <c r="DT15" i="1"/>
  <c r="DU15" i="1" s="1"/>
  <c r="DV12" i="1"/>
  <c r="EN12" i="1" s="1"/>
  <c r="EM26" i="1"/>
  <c r="DR19" i="1"/>
  <c r="EM27" i="1"/>
  <c r="EI27" i="1" s="1"/>
  <c r="EJ27" i="1" s="1"/>
  <c r="DU10" i="1"/>
  <c r="DV22" i="1"/>
  <c r="EN22" i="1" s="1"/>
  <c r="DT22" i="1"/>
  <c r="DU22" i="1" s="1"/>
  <c r="DR22" i="1"/>
  <c r="DT19" i="1"/>
  <c r="DU19" i="1" s="1"/>
  <c r="DU41" i="1"/>
  <c r="DX41" i="1" s="1"/>
  <c r="EM8" i="1"/>
  <c r="EG22" i="1"/>
  <c r="EH22" i="1" s="1"/>
  <c r="DV16" i="1"/>
  <c r="EN16" i="1" s="1"/>
  <c r="DV20" i="1"/>
  <c r="EN20" i="1" s="1"/>
  <c r="EG10" i="1"/>
  <c r="EH10" i="1" s="1"/>
  <c r="EM10" i="1"/>
  <c r="EI16" i="1"/>
  <c r="EJ16" i="1" s="1"/>
  <c r="EM16" i="1"/>
  <c r="EM17" i="1"/>
  <c r="EM20" i="1"/>
  <c r="EM21" i="1"/>
  <c r="DR10" i="1"/>
  <c r="EG26" i="1"/>
  <c r="EH26" i="1" s="1"/>
  <c r="DU27" i="1"/>
  <c r="DX27" i="1" s="1"/>
  <c r="EI17" i="1"/>
  <c r="EJ17" i="1" s="1"/>
  <c r="DR16" i="1"/>
  <c r="DR17" i="1"/>
  <c r="DR18" i="1"/>
  <c r="DR20" i="1"/>
  <c r="DU39" i="1"/>
  <c r="DW39" i="1" s="1"/>
  <c r="EG15" i="1"/>
  <c r="EH15" i="1" s="1"/>
  <c r="EM22" i="1"/>
  <c r="EG14" i="1"/>
  <c r="EH14" i="1" s="1"/>
  <c r="EM14" i="1"/>
  <c r="DR33" i="1"/>
  <c r="DT33" i="1"/>
  <c r="DU33" i="1" s="1"/>
  <c r="DV33" i="1"/>
  <c r="EN33" i="1" s="1"/>
  <c r="EM33" i="1"/>
  <c r="DR37" i="1"/>
  <c r="EG37" i="1"/>
  <c r="DV37" i="1"/>
  <c r="EN37" i="1" s="1"/>
  <c r="DT37" i="1"/>
  <c r="DU37" i="1" s="1"/>
  <c r="EM28" i="1"/>
  <c r="EM36" i="1"/>
  <c r="EI36" i="1" s="1"/>
  <c r="EJ36" i="1" s="1"/>
  <c r="Q43" i="19"/>
  <c r="DT24" i="1"/>
  <c r="DU24" i="1" s="1"/>
  <c r="DV24" i="1"/>
  <c r="EN24" i="1" s="1"/>
  <c r="DR24" i="1"/>
  <c r="EG32" i="1"/>
  <c r="DT32" i="1"/>
  <c r="DU32" i="1" s="1"/>
  <c r="DR32" i="1"/>
  <c r="DV40" i="1"/>
  <c r="EN40" i="1" s="1"/>
  <c r="DR40" i="1"/>
  <c r="DT40" i="1"/>
  <c r="DU40" i="1" s="1"/>
  <c r="EI40" i="1"/>
  <c r="EJ40" i="1" s="1"/>
  <c r="EG24" i="1"/>
  <c r="EH24" i="1" s="1"/>
  <c r="EM39" i="1"/>
  <c r="EI39" i="1" s="1"/>
  <c r="EJ39" i="1" s="1"/>
  <c r="EG11" i="1"/>
  <c r="EH11" i="1" s="1"/>
  <c r="EM41" i="1"/>
  <c r="EI41" i="1" s="1"/>
  <c r="EJ41" i="1" s="1"/>
  <c r="DR14" i="1"/>
  <c r="EI15" i="1"/>
  <c r="EJ15" i="1" s="1"/>
  <c r="EM15" i="1"/>
  <c r="EM32" i="1"/>
  <c r="DV34" i="1"/>
  <c r="EN34" i="1" s="1"/>
  <c r="EM34" i="1"/>
  <c r="DT34" i="1"/>
  <c r="DU34" i="1" s="1"/>
  <c r="DR34" i="1"/>
  <c r="EG33" i="1"/>
  <c r="C16" i="19"/>
  <c r="ER9" i="1"/>
  <c r="D38" i="19"/>
  <c r="EM35" i="1"/>
  <c r="EI35" i="1" s="1"/>
  <c r="EJ35" i="1" s="1"/>
  <c r="DU5" i="1"/>
  <c r="DT5" i="1"/>
  <c r="EM5" i="1"/>
  <c r="EQ5" i="1"/>
  <c r="DR5" i="1"/>
  <c r="EG5" i="1"/>
  <c r="EH5" i="1" s="1"/>
  <c r="EI5" i="1"/>
  <c r="EJ5" i="1" s="1"/>
  <c r="DV5" i="1"/>
  <c r="EN5" i="1" s="1"/>
  <c r="EM37" i="1"/>
  <c r="Q30" i="19"/>
  <c r="EM23" i="1"/>
  <c r="EI23" i="1" s="1"/>
  <c r="EJ23" i="1" s="1"/>
  <c r="EM24" i="1"/>
  <c r="D16" i="19"/>
  <c r="EM38" i="1"/>
  <c r="DT38" i="1"/>
  <c r="DU38" i="1" s="1"/>
  <c r="DV38" i="1"/>
  <c r="EN38" i="1" s="1"/>
  <c r="DR38" i="1"/>
  <c r="EM4" i="1"/>
  <c r="DU4" i="1"/>
  <c r="EI4" i="1"/>
  <c r="EJ4" i="1" s="1"/>
  <c r="EQ4" i="1"/>
  <c r="DR4" i="1"/>
  <c r="DV4" i="1"/>
  <c r="EN4" i="1" s="1"/>
  <c r="EG4" i="1"/>
  <c r="EH4" i="1" s="1"/>
  <c r="DT4" i="1"/>
  <c r="DR28" i="1"/>
  <c r="DV28" i="1"/>
  <c r="EN28" i="1" s="1"/>
  <c r="DT28" i="1"/>
  <c r="DU28" i="1" s="1"/>
  <c r="EG38" i="1"/>
  <c r="DT11" i="1"/>
  <c r="DV11" i="1" s="1"/>
  <c r="EN11" i="1" s="1"/>
  <c r="DU36" i="1"/>
  <c r="DW36" i="1" s="1"/>
  <c r="DU25" i="1"/>
  <c r="DW25" i="1" s="1"/>
  <c r="EI14" i="1"/>
  <c r="EJ14" i="1" s="1"/>
  <c r="EM12" i="1"/>
  <c r="DR26" i="1"/>
  <c r="DT26" i="1"/>
  <c r="DU26" i="1" s="1"/>
  <c r="DV26" i="1"/>
  <c r="EN26" i="1" s="1"/>
  <c r="DV32" i="1"/>
  <c r="EN32" i="1" s="1"/>
  <c r="EM40" i="1"/>
  <c r="EM29" i="1"/>
  <c r="EG29" i="1"/>
  <c r="DT29" i="1"/>
  <c r="DR29" i="1"/>
  <c r="EG40" i="1"/>
  <c r="EH40" i="1" s="1"/>
  <c r="EM25" i="1"/>
  <c r="EI25" i="1" s="1"/>
  <c r="EJ25" i="1" s="1"/>
  <c r="DW42" i="1"/>
  <c r="I49" i="19" s="1"/>
  <c r="Z38" i="19"/>
  <c r="I38" i="19"/>
  <c r="G38" i="19"/>
  <c r="EH42" i="1"/>
  <c r="EI42" i="1"/>
  <c r="EJ42" i="1" s="1"/>
  <c r="DX42" i="1"/>
  <c r="DW9" i="1"/>
  <c r="DX9" i="1"/>
  <c r="EP9" i="1" s="1"/>
  <c r="DW7" i="1"/>
  <c r="DX7" i="1"/>
  <c r="R14" i="19" s="1"/>
  <c r="DX30" i="1"/>
  <c r="DW30" i="1"/>
  <c r="DW6" i="1"/>
  <c r="DX6" i="1"/>
  <c r="R13" i="19" s="1"/>
  <c r="DW19" i="1" l="1"/>
  <c r="Z26" i="19" s="1"/>
  <c r="DW8" i="1"/>
  <c r="Z15" i="19" s="1"/>
  <c r="DW10" i="1"/>
  <c r="G17" i="19" s="1"/>
  <c r="R37" i="19"/>
  <c r="S37" i="19" s="1"/>
  <c r="DX23" i="1"/>
  <c r="R30" i="19" s="1"/>
  <c r="S30" i="19" s="1"/>
  <c r="DW13" i="1"/>
  <c r="G20" i="19" s="1"/>
  <c r="DW35" i="1"/>
  <c r="Z42" i="19" s="1"/>
  <c r="DW41" i="1"/>
  <c r="I48" i="19" s="1"/>
  <c r="EI22" i="1"/>
  <c r="EJ22" i="1" s="1"/>
  <c r="EI21" i="1"/>
  <c r="EJ21" i="1" s="1"/>
  <c r="DW21" i="1"/>
  <c r="G28" i="19" s="1"/>
  <c r="DW20" i="1"/>
  <c r="G27" i="19" s="1"/>
  <c r="R48" i="19"/>
  <c r="S48" i="19" s="1"/>
  <c r="EI20" i="1"/>
  <c r="EJ20" i="1" s="1"/>
  <c r="DX25" i="1"/>
  <c r="EP25" i="1" s="1"/>
  <c r="DX21" i="1"/>
  <c r="DW18" i="1"/>
  <c r="Z25" i="19" s="1"/>
  <c r="DX19" i="1"/>
  <c r="EO19" i="1" s="1"/>
  <c r="DX18" i="1"/>
  <c r="EP18" i="1" s="1"/>
  <c r="DW27" i="1"/>
  <c r="I34" i="19" s="1"/>
  <c r="DW17" i="1"/>
  <c r="I24" i="19" s="1"/>
  <c r="EI26" i="1"/>
  <c r="EJ26" i="1" s="1"/>
  <c r="DX13" i="1"/>
  <c r="EP13" i="1" s="1"/>
  <c r="Z48" i="19"/>
  <c r="DW32" i="1"/>
  <c r="I39" i="19" s="1"/>
  <c r="DW14" i="1"/>
  <c r="Z21" i="19" s="1"/>
  <c r="DX39" i="1"/>
  <c r="R46" i="19" s="1"/>
  <c r="S46" i="19" s="1"/>
  <c r="DW26" i="1"/>
  <c r="I33" i="19" s="1"/>
  <c r="DV15" i="1"/>
  <c r="EN15" i="1" s="1"/>
  <c r="DX8" i="1"/>
  <c r="R15" i="19" s="1"/>
  <c r="V15" i="19" s="1"/>
  <c r="AC15" i="19" s="1"/>
  <c r="DX22" i="1"/>
  <c r="DW22" i="1"/>
  <c r="Z29" i="19" s="1"/>
  <c r="DX12" i="1"/>
  <c r="EO12" i="1" s="1"/>
  <c r="EI24" i="1"/>
  <c r="EJ24" i="1" s="1"/>
  <c r="EI34" i="1"/>
  <c r="EJ34" i="1" s="1"/>
  <c r="R34" i="19"/>
  <c r="S34" i="19" s="1"/>
  <c r="DW12" i="1"/>
  <c r="G19" i="19" s="1"/>
  <c r="DX33" i="1"/>
  <c r="DX24" i="1"/>
  <c r="DX26" i="1"/>
  <c r="DX38" i="1"/>
  <c r="DW16" i="1"/>
  <c r="Z23" i="19" s="1"/>
  <c r="DX16" i="1"/>
  <c r="EP16" i="1" s="1"/>
  <c r="DX10" i="1"/>
  <c r="R17" i="19" s="1"/>
  <c r="EI38" i="1"/>
  <c r="EJ38" i="1" s="1"/>
  <c r="R45" i="19" s="1"/>
  <c r="S45" i="19" s="1"/>
  <c r="DW37" i="1"/>
  <c r="Z44" i="19" s="1"/>
  <c r="DX28" i="1"/>
  <c r="DW40" i="1"/>
  <c r="G47" i="19" s="1"/>
  <c r="EO17" i="1"/>
  <c r="EQ17" i="1" s="1"/>
  <c r="EI28" i="1"/>
  <c r="EJ28" i="1" s="1"/>
  <c r="DX36" i="1"/>
  <c r="R43" i="19" s="1"/>
  <c r="S43" i="19" s="1"/>
  <c r="DW38" i="1"/>
  <c r="I45" i="19" s="1"/>
  <c r="DX32" i="1"/>
  <c r="DX20" i="1"/>
  <c r="EI32" i="1"/>
  <c r="EJ32" i="1" s="1"/>
  <c r="EI33" i="1"/>
  <c r="EJ33" i="1" s="1"/>
  <c r="DW33" i="1"/>
  <c r="G40" i="19" s="1"/>
  <c r="DW28" i="1"/>
  <c r="I35" i="19" s="1"/>
  <c r="DX37" i="1"/>
  <c r="EO14" i="1"/>
  <c r="DV29" i="1"/>
  <c r="EN29" i="1" s="1"/>
  <c r="EI29" i="1" s="1"/>
  <c r="EJ29" i="1" s="1"/>
  <c r="DU29" i="1"/>
  <c r="R12" i="19"/>
  <c r="EP5" i="1"/>
  <c r="EO5" i="1"/>
  <c r="DW4" i="1"/>
  <c r="DX4" i="1"/>
  <c r="DX40" i="1"/>
  <c r="R47" i="19" s="1"/>
  <c r="AB47" i="19" s="1"/>
  <c r="DW34" i="1"/>
  <c r="I41" i="19" s="1"/>
  <c r="DW24" i="1"/>
  <c r="G31" i="19" s="1"/>
  <c r="DU11" i="1"/>
  <c r="DW11" i="1" s="1"/>
  <c r="ER32" i="1"/>
  <c r="C39" i="19"/>
  <c r="DX34" i="1"/>
  <c r="R42" i="19"/>
  <c r="S42" i="19" s="1"/>
  <c r="R11" i="19"/>
  <c r="EP4" i="1"/>
  <c r="EO4" i="1"/>
  <c r="C17" i="19"/>
  <c r="ER10" i="1"/>
  <c r="EI37" i="1"/>
  <c r="EJ37" i="1" s="1"/>
  <c r="DW5" i="1"/>
  <c r="DX5" i="1"/>
  <c r="G49" i="19"/>
  <c r="Z49" i="19"/>
  <c r="R49" i="19"/>
  <c r="S49" i="19" s="1"/>
  <c r="V13" i="19"/>
  <c r="AB13" i="19" s="1"/>
  <c r="S13" i="19"/>
  <c r="I37" i="19"/>
  <c r="G37" i="19"/>
  <c r="Z37" i="19"/>
  <c r="I14" i="19"/>
  <c r="G14" i="19"/>
  <c r="Z14" i="19"/>
  <c r="AA14" i="19" s="1"/>
  <c r="EQ9" i="1"/>
  <c r="I16" i="19"/>
  <c r="G16" i="19"/>
  <c r="Z16" i="19"/>
  <c r="R16" i="19"/>
  <c r="R21" i="19"/>
  <c r="R24" i="19"/>
  <c r="Z46" i="19"/>
  <c r="I46" i="19"/>
  <c r="G46" i="19"/>
  <c r="Z32" i="19"/>
  <c r="I32" i="19"/>
  <c r="G32" i="19"/>
  <c r="I43" i="19"/>
  <c r="G43" i="19"/>
  <c r="Z43" i="19"/>
  <c r="I30" i="19"/>
  <c r="G30" i="19"/>
  <c r="Z30" i="19"/>
  <c r="Z13" i="19"/>
  <c r="AA13" i="19" s="1"/>
  <c r="I13" i="19"/>
  <c r="G13" i="19"/>
  <c r="S14" i="19"/>
  <c r="V14" i="19"/>
  <c r="AC14" i="19" s="1"/>
  <c r="EP14" i="1"/>
  <c r="EO42" i="1"/>
  <c r="EQ42" i="1" s="1"/>
  <c r="EP42" i="1"/>
  <c r="EO9" i="1"/>
  <c r="EH36" i="1"/>
  <c r="EH30" i="1"/>
  <c r="EP17" i="1"/>
  <c r="EP27" i="1"/>
  <c r="EO27" i="1"/>
  <c r="EH39" i="1"/>
  <c r="EO6" i="1"/>
  <c r="EQ6" i="1" s="1"/>
  <c r="EP6" i="1"/>
  <c r="EP7" i="1"/>
  <c r="EO7" i="1"/>
  <c r="EQ7" i="1" s="1"/>
  <c r="G26" i="19" l="1"/>
  <c r="I26" i="19"/>
  <c r="EQ19" i="1"/>
  <c r="AA37" i="19"/>
  <c r="I17" i="19"/>
  <c r="G48" i="19"/>
  <c r="G15" i="19"/>
  <c r="EH35" i="1"/>
  <c r="EO35" i="1" s="1"/>
  <c r="EQ35" i="1" s="1"/>
  <c r="Z17" i="19"/>
  <c r="AA17" i="19" s="1"/>
  <c r="Z24" i="19"/>
  <c r="AA24" i="19" s="1"/>
  <c r="EO23" i="1"/>
  <c r="EQ23" i="1" s="1"/>
  <c r="G39" i="19"/>
  <c r="I15" i="19"/>
  <c r="G25" i="19"/>
  <c r="EP23" i="1"/>
  <c r="Z20" i="19"/>
  <c r="I20" i="19"/>
  <c r="EQ13" i="1"/>
  <c r="V37" i="19"/>
  <c r="AC37" i="19" s="1"/>
  <c r="I25" i="19"/>
  <c r="I28" i="19"/>
  <c r="G42" i="19"/>
  <c r="EO25" i="1"/>
  <c r="EQ25" i="1" s="1"/>
  <c r="EO18" i="1"/>
  <c r="EQ18" i="1" s="1"/>
  <c r="R25" i="19"/>
  <c r="AA25" i="19" s="1"/>
  <c r="I42" i="19"/>
  <c r="EP21" i="1"/>
  <c r="Z33" i="19"/>
  <c r="V34" i="19"/>
  <c r="AB34" i="19" s="1"/>
  <c r="EH41" i="1"/>
  <c r="V48" i="19" s="1"/>
  <c r="AC48" i="19" s="1"/>
  <c r="I27" i="19"/>
  <c r="EH32" i="1"/>
  <c r="EO32" i="1" s="1"/>
  <c r="EQ32" i="1" s="1"/>
  <c r="G24" i="19"/>
  <c r="EO21" i="1"/>
  <c r="EQ21" i="1" s="1"/>
  <c r="EP19" i="1"/>
  <c r="R26" i="19"/>
  <c r="V26" i="19" s="1"/>
  <c r="AC26" i="19" s="1"/>
  <c r="Z39" i="19"/>
  <c r="AA48" i="19"/>
  <c r="R27" i="19"/>
  <c r="V27" i="19" s="1"/>
  <c r="AB27" i="19" s="1"/>
  <c r="EO24" i="1"/>
  <c r="EQ24" i="1" s="1"/>
  <c r="R29" i="19"/>
  <c r="V29" i="19" s="1"/>
  <c r="AB29" i="19" s="1"/>
  <c r="EP8" i="1"/>
  <c r="EO13" i="1"/>
  <c r="AA15" i="19"/>
  <c r="G21" i="19"/>
  <c r="Z28" i="19"/>
  <c r="R32" i="19"/>
  <c r="S32" i="19" s="1"/>
  <c r="Z27" i="19"/>
  <c r="EO8" i="1"/>
  <c r="EQ8" i="1" s="1"/>
  <c r="R28" i="19"/>
  <c r="S28" i="19" s="1"/>
  <c r="EP12" i="1"/>
  <c r="EO26" i="1"/>
  <c r="EQ26" i="1" s="1"/>
  <c r="Z34" i="19"/>
  <c r="AA34" i="19" s="1"/>
  <c r="G34" i="19"/>
  <c r="EO22" i="1"/>
  <c r="EQ22" i="1" s="1"/>
  <c r="EQ27" i="1"/>
  <c r="S29" i="19"/>
  <c r="EP20" i="1"/>
  <c r="V46" i="19"/>
  <c r="AB46" i="19" s="1"/>
  <c r="I40" i="19"/>
  <c r="I21" i="19"/>
  <c r="Z31" i="19"/>
  <c r="S15" i="19"/>
  <c r="EQ14" i="1"/>
  <c r="R40" i="19"/>
  <c r="S40" i="19" s="1"/>
  <c r="AA46" i="19"/>
  <c r="EO16" i="1"/>
  <c r="EQ16" i="1" s="1"/>
  <c r="G35" i="19"/>
  <c r="R20" i="19"/>
  <c r="S20" i="19" s="1"/>
  <c r="G23" i="19"/>
  <c r="R39" i="19"/>
  <c r="S39" i="19" s="1"/>
  <c r="DX15" i="1"/>
  <c r="R22" i="19" s="1"/>
  <c r="S22" i="19" s="1"/>
  <c r="DW15" i="1"/>
  <c r="I22" i="19" s="1"/>
  <c r="Z19" i="19"/>
  <c r="I19" i="19"/>
  <c r="S47" i="19"/>
  <c r="EQ12" i="1"/>
  <c r="R19" i="19"/>
  <c r="V19" i="19" s="1"/>
  <c r="AB19" i="19" s="1"/>
  <c r="G33" i="19"/>
  <c r="EP26" i="1"/>
  <c r="EO20" i="1"/>
  <c r="EQ20" i="1" s="1"/>
  <c r="R23" i="19"/>
  <c r="V23" i="19" s="1"/>
  <c r="AB23" i="19" s="1"/>
  <c r="I29" i="19"/>
  <c r="R33" i="19"/>
  <c r="R35" i="19"/>
  <c r="S35" i="19" s="1"/>
  <c r="EP24" i="1"/>
  <c r="G29" i="19"/>
  <c r="EP22" i="1"/>
  <c r="I31" i="19"/>
  <c r="R41" i="19"/>
  <c r="S41" i="19" s="1"/>
  <c r="EH38" i="1"/>
  <c r="V45" i="19" s="1"/>
  <c r="AC45" i="19" s="1"/>
  <c r="I23" i="19"/>
  <c r="G44" i="19"/>
  <c r="Z45" i="19"/>
  <c r="AA45" i="19" s="1"/>
  <c r="I44" i="19"/>
  <c r="G45" i="19"/>
  <c r="R31" i="19"/>
  <c r="EH37" i="1"/>
  <c r="EP37" i="1" s="1"/>
  <c r="Z41" i="19"/>
  <c r="EO10" i="1"/>
  <c r="EQ10" i="1" s="1"/>
  <c r="EP10" i="1"/>
  <c r="EH34" i="1"/>
  <c r="G41" i="19"/>
  <c r="I47" i="19"/>
  <c r="Z35" i="19"/>
  <c r="AA30" i="19"/>
  <c r="EQ40" i="1"/>
  <c r="AC47" i="19"/>
  <c r="EO40" i="1"/>
  <c r="DX11" i="1"/>
  <c r="R18" i="19" s="1"/>
  <c r="V18" i="19" s="1"/>
  <c r="EP40" i="1"/>
  <c r="Z47" i="19"/>
  <c r="V30" i="19"/>
  <c r="AC30" i="19" s="1"/>
  <c r="EH28" i="1"/>
  <c r="V43" i="19"/>
  <c r="AC43" i="19" s="1"/>
  <c r="AA43" i="19"/>
  <c r="AA47" i="19"/>
  <c r="D39" i="19"/>
  <c r="Z40" i="19"/>
  <c r="EH33" i="1"/>
  <c r="V49" i="19"/>
  <c r="AC49" i="19" s="1"/>
  <c r="V47" i="19"/>
  <c r="AB11" i="19"/>
  <c r="AA11" i="19"/>
  <c r="V11" i="19"/>
  <c r="AC11" i="19"/>
  <c r="S11" i="19"/>
  <c r="AB12" i="19"/>
  <c r="V12" i="19"/>
  <c r="AC12" i="19"/>
  <c r="S12" i="19"/>
  <c r="AA12" i="19"/>
  <c r="R44" i="19"/>
  <c r="S44" i="19" s="1"/>
  <c r="AA42" i="19"/>
  <c r="I12" i="19"/>
  <c r="Z12" i="19"/>
  <c r="G12" i="19"/>
  <c r="D17" i="19"/>
  <c r="Z11" i="19"/>
  <c r="G11" i="19"/>
  <c r="I11" i="19"/>
  <c r="DX29" i="1"/>
  <c r="R36" i="19" s="1"/>
  <c r="DW29" i="1"/>
  <c r="AA49" i="19"/>
  <c r="AB15" i="19"/>
  <c r="AC13" i="19"/>
  <c r="I18" i="19"/>
  <c r="G18" i="19"/>
  <c r="Z18" i="19"/>
  <c r="V17" i="19"/>
  <c r="AB17" i="19" s="1"/>
  <c r="S17" i="19"/>
  <c r="AB14" i="19"/>
  <c r="S24" i="19"/>
  <c r="V24" i="19"/>
  <c r="AC24" i="19" s="1"/>
  <c r="AC16" i="19"/>
  <c r="S16" i="19"/>
  <c r="AB16" i="19"/>
  <c r="V16" i="19"/>
  <c r="AA16" i="19"/>
  <c r="V21" i="19"/>
  <c r="AB21" i="19" s="1"/>
  <c r="S21" i="19"/>
  <c r="AA21" i="19"/>
  <c r="EP36" i="1"/>
  <c r="EO36" i="1"/>
  <c r="EQ36" i="1" s="1"/>
  <c r="EO30" i="1"/>
  <c r="EQ30" i="1" s="1"/>
  <c r="EP30" i="1"/>
  <c r="EP39" i="1"/>
  <c r="EO39" i="1"/>
  <c r="EQ39" i="1" s="1"/>
  <c r="EP35" i="1" l="1"/>
  <c r="V42" i="19"/>
  <c r="AB42" i="19" s="1"/>
  <c r="AB37" i="19"/>
  <c r="AC29" i="19"/>
  <c r="EP32" i="1"/>
  <c r="AA26" i="19"/>
  <c r="S25" i="19"/>
  <c r="Z22" i="19"/>
  <c r="AA22" i="19" s="1"/>
  <c r="V25" i="19"/>
  <c r="AB25" i="19" s="1"/>
  <c r="AC46" i="19"/>
  <c r="AA23" i="19"/>
  <c r="EO41" i="1"/>
  <c r="EQ41" i="1" s="1"/>
  <c r="EP41" i="1"/>
  <c r="S26" i="19"/>
  <c r="AA32" i="19"/>
  <c r="S27" i="19"/>
  <c r="V39" i="19"/>
  <c r="AC39" i="19" s="1"/>
  <c r="AB48" i="19"/>
  <c r="AA39" i="19"/>
  <c r="V32" i="19"/>
  <c r="AB32" i="19" s="1"/>
  <c r="AA27" i="19"/>
  <c r="AC34" i="19"/>
  <c r="V28" i="19"/>
  <c r="AC28" i="19" s="1"/>
  <c r="AA29" i="19"/>
  <c r="AA28" i="19"/>
  <c r="EO37" i="1"/>
  <c r="EQ37" i="1" s="1"/>
  <c r="V41" i="19"/>
  <c r="AC41" i="19" s="1"/>
  <c r="S19" i="19"/>
  <c r="AA20" i="19"/>
  <c r="AC20" i="19"/>
  <c r="V20" i="19"/>
  <c r="V22" i="19"/>
  <c r="AC22" i="19" s="1"/>
  <c r="V40" i="19"/>
  <c r="AC40" i="19" s="1"/>
  <c r="AA19" i="19"/>
  <c r="AB20" i="19"/>
  <c r="AA40" i="19"/>
  <c r="EP15" i="1"/>
  <c r="EO15" i="1"/>
  <c r="EQ15" i="1" s="1"/>
  <c r="G22" i="19"/>
  <c r="AA35" i="19"/>
  <c r="EP38" i="1"/>
  <c r="AB30" i="19"/>
  <c r="V35" i="19"/>
  <c r="EP34" i="1"/>
  <c r="EO38" i="1"/>
  <c r="EQ38" i="1" s="1"/>
  <c r="EP28" i="1"/>
  <c r="S23" i="19"/>
  <c r="AB43" i="19"/>
  <c r="AB49" i="19"/>
  <c r="AA41" i="19"/>
  <c r="S33" i="19"/>
  <c r="V33" i="19"/>
  <c r="AA33" i="19"/>
  <c r="V31" i="19"/>
  <c r="S31" i="19"/>
  <c r="AA31" i="19"/>
  <c r="AB45" i="19"/>
  <c r="AC42" i="19"/>
  <c r="V44" i="19"/>
  <c r="AB44" i="19" s="1"/>
  <c r="EO34" i="1"/>
  <c r="EQ34" i="1" s="1"/>
  <c r="AC18" i="19"/>
  <c r="AB18" i="19"/>
  <c r="S18" i="19"/>
  <c r="AA18" i="19"/>
  <c r="EO11" i="1"/>
  <c r="EQ11" i="1" s="1"/>
  <c r="EO28" i="1"/>
  <c r="EQ28" i="1" s="1"/>
  <c r="EP33" i="1"/>
  <c r="EP11" i="1"/>
  <c r="EO33" i="1"/>
  <c r="EQ33" i="1" s="1"/>
  <c r="S36" i="19"/>
  <c r="ER33" i="1"/>
  <c r="C40" i="19"/>
  <c r="Z36" i="19"/>
  <c r="AA36" i="19" s="1"/>
  <c r="I36" i="19"/>
  <c r="G36" i="19"/>
  <c r="EH29" i="1"/>
  <c r="V36" i="19" s="1"/>
  <c r="AA44" i="19"/>
  <c r="ER11" i="1"/>
  <c r="C18" i="19"/>
  <c r="AC23" i="19"/>
  <c r="AB24" i="19"/>
  <c r="AC19" i="19"/>
  <c r="AC27" i="19"/>
  <c r="AC21" i="19"/>
  <c r="AB26" i="19"/>
  <c r="AC17" i="19"/>
  <c r="K147" i="23"/>
  <c r="J147" i="23"/>
  <c r="I147" i="23"/>
  <c r="H147" i="23"/>
  <c r="G147" i="23"/>
  <c r="F147" i="23"/>
  <c r="E147" i="23"/>
  <c r="D147" i="23"/>
  <c r="C147" i="23"/>
  <c r="K144" i="23"/>
  <c r="J144" i="23"/>
  <c r="I144" i="23"/>
  <c r="H144" i="23"/>
  <c r="G144" i="23"/>
  <c r="F144" i="23"/>
  <c r="E144" i="23"/>
  <c r="D144" i="23"/>
  <c r="C144" i="23"/>
  <c r="K141" i="23"/>
  <c r="J141" i="23"/>
  <c r="I141" i="23"/>
  <c r="H141" i="23"/>
  <c r="G141" i="23"/>
  <c r="F141" i="23"/>
  <c r="E141" i="23"/>
  <c r="D141" i="23"/>
  <c r="C141" i="23"/>
  <c r="K138" i="23"/>
  <c r="J138" i="23"/>
  <c r="I138" i="23"/>
  <c r="H138" i="23"/>
  <c r="G138" i="23"/>
  <c r="F138" i="23"/>
  <c r="E138" i="23"/>
  <c r="D138" i="23"/>
  <c r="C138" i="23"/>
  <c r="K135" i="23"/>
  <c r="J135" i="23"/>
  <c r="I135" i="23"/>
  <c r="H135" i="23"/>
  <c r="G135" i="23"/>
  <c r="F135" i="23"/>
  <c r="E135" i="23"/>
  <c r="D135" i="23"/>
  <c r="C135" i="23"/>
  <c r="K131" i="23"/>
  <c r="J131" i="23"/>
  <c r="I131" i="23"/>
  <c r="H131" i="23"/>
  <c r="G131" i="23"/>
  <c r="F131" i="23"/>
  <c r="E131" i="23"/>
  <c r="D131" i="23"/>
  <c r="C131" i="23"/>
  <c r="K128" i="23"/>
  <c r="J128" i="23"/>
  <c r="I128" i="23"/>
  <c r="H128" i="23"/>
  <c r="G128" i="23"/>
  <c r="F128" i="23"/>
  <c r="E128" i="23"/>
  <c r="D128" i="23"/>
  <c r="C128" i="23"/>
  <c r="K125" i="23"/>
  <c r="J125" i="23"/>
  <c r="I125" i="23"/>
  <c r="H125" i="23"/>
  <c r="G125" i="23"/>
  <c r="F125" i="23"/>
  <c r="E125" i="23"/>
  <c r="D125" i="23"/>
  <c r="C125" i="23"/>
  <c r="K122" i="23"/>
  <c r="J122" i="23"/>
  <c r="I122" i="23"/>
  <c r="H122" i="23"/>
  <c r="G122" i="23"/>
  <c r="F122" i="23"/>
  <c r="E122" i="23"/>
  <c r="D122" i="23"/>
  <c r="C122" i="23"/>
  <c r="K119" i="23"/>
  <c r="J119" i="23"/>
  <c r="I119" i="23"/>
  <c r="H119" i="23"/>
  <c r="G119" i="23"/>
  <c r="F119" i="23"/>
  <c r="E119" i="23"/>
  <c r="D119" i="23"/>
  <c r="C119" i="23"/>
  <c r="K116" i="23"/>
  <c r="J116" i="23"/>
  <c r="I116" i="23"/>
  <c r="H116" i="23"/>
  <c r="G116" i="23"/>
  <c r="F116" i="23"/>
  <c r="E116" i="23"/>
  <c r="D116" i="23"/>
  <c r="C116" i="23"/>
  <c r="D109" i="23"/>
  <c r="C109" i="23"/>
  <c r="D106" i="23"/>
  <c r="C106" i="23"/>
  <c r="D103" i="23"/>
  <c r="C103" i="23"/>
  <c r="D100" i="23"/>
  <c r="C100" i="23"/>
  <c r="K63" i="23"/>
  <c r="J63" i="23"/>
  <c r="I63" i="23"/>
  <c r="H63" i="23"/>
  <c r="G63" i="23"/>
  <c r="F63" i="23"/>
  <c r="E63" i="23"/>
  <c r="D63" i="23"/>
  <c r="C63" i="23"/>
  <c r="K60" i="23"/>
  <c r="J60" i="23"/>
  <c r="I60" i="23"/>
  <c r="H60" i="23"/>
  <c r="G60" i="23"/>
  <c r="F60" i="23"/>
  <c r="E60" i="23"/>
  <c r="D60" i="23"/>
  <c r="C60" i="23"/>
  <c r="K56" i="23"/>
  <c r="J56" i="23"/>
  <c r="I56" i="23"/>
  <c r="H56" i="23"/>
  <c r="G56" i="23"/>
  <c r="F56" i="23"/>
  <c r="E56" i="23"/>
  <c r="D56" i="23"/>
  <c r="C56" i="23"/>
  <c r="K53" i="23"/>
  <c r="J53" i="23"/>
  <c r="I53" i="23"/>
  <c r="H53" i="23"/>
  <c r="G53" i="23"/>
  <c r="F53" i="23"/>
  <c r="E53" i="23"/>
  <c r="D53" i="23"/>
  <c r="C53" i="23"/>
  <c r="AB41" i="19" l="1"/>
  <c r="AC25" i="19"/>
  <c r="AB39" i="19"/>
  <c r="AB28" i="19"/>
  <c r="AC32" i="19"/>
  <c r="AB40" i="19"/>
  <c r="AB22" i="19"/>
  <c r="AC35" i="19"/>
  <c r="AB35" i="19"/>
  <c r="AC33" i="19"/>
  <c r="AB33" i="19"/>
  <c r="AC44" i="19"/>
  <c r="AC31" i="19"/>
  <c r="AB31" i="19"/>
  <c r="AC36" i="19"/>
  <c r="AB36" i="19"/>
  <c r="EP29" i="1"/>
  <c r="EO29" i="1"/>
  <c r="EQ29" i="1" s="1"/>
  <c r="D18" i="19"/>
  <c r="D40" i="19"/>
  <c r="X10" i="19"/>
  <c r="P10" i="19"/>
  <c r="N10" i="19"/>
  <c r="L10" i="19"/>
  <c r="J10" i="19"/>
  <c r="H10" i="19"/>
  <c r="B10" i="19"/>
  <c r="A10" i="19"/>
  <c r="C19" i="19" l="1"/>
  <c r="ER12" i="1"/>
  <c r="C41" i="19"/>
  <c r="ER34" i="1"/>
  <c r="D10" i="19"/>
  <c r="C10" i="19"/>
  <c r="EK3" i="1"/>
  <c r="W10" i="19" s="1"/>
  <c r="EE3" i="1"/>
  <c r="ED3" i="1"/>
  <c r="EC3" i="1"/>
  <c r="T10" i="19" s="1"/>
  <c r="EA3" i="1"/>
  <c r="DZ3" i="1"/>
  <c r="F10" i="19" s="1"/>
  <c r="DS3" i="1"/>
  <c r="Y10" i="19" s="1"/>
  <c r="DE3" i="1"/>
  <c r="DC3" i="1"/>
  <c r="CY3" i="1"/>
  <c r="CX3" i="1"/>
  <c r="CW3" i="1"/>
  <c r="CV3" i="1"/>
  <c r="CU3" i="1"/>
  <c r="CT3" i="1"/>
  <c r="CR3" i="1"/>
  <c r="ER3" i="1"/>
  <c r="D41" i="19" l="1"/>
  <c r="D19" i="19"/>
  <c r="DI3" i="1"/>
  <c r="DK3" i="1"/>
  <c r="DM3" i="1" s="1"/>
  <c r="DO3" i="1"/>
  <c r="M10" i="19" s="1"/>
  <c r="E10" i="19"/>
  <c r="EF3" i="1"/>
  <c r="U10" i="19"/>
  <c r="EB3" i="1"/>
  <c r="CZ3" i="1"/>
  <c r="K10" i="19" s="1"/>
  <c r="DH3" i="1"/>
  <c r="ER13" i="1" l="1"/>
  <c r="C20" i="19"/>
  <c r="C42" i="19"/>
  <c r="ER35" i="1"/>
  <c r="DY3" i="1"/>
  <c r="DT3" i="1" s="1"/>
  <c r="Q10" i="19"/>
  <c r="O10" i="19"/>
  <c r="D42" i="19" l="1"/>
  <c r="D20" i="19"/>
  <c r="EG3" i="1"/>
  <c r="EH3" i="1" s="1"/>
  <c r="EM3" i="1"/>
  <c r="EI3" i="1"/>
  <c r="EJ3" i="1" s="1"/>
  <c r="DR3" i="1"/>
  <c r="DV3" i="1"/>
  <c r="EN3" i="1" s="1"/>
  <c r="DU3" i="1"/>
  <c r="ER14" i="1" l="1"/>
  <c r="C21" i="19"/>
  <c r="C43" i="19"/>
  <c r="ER36" i="1"/>
  <c r="DX3" i="1"/>
  <c r="R10" i="19" s="1"/>
  <c r="V10" i="19" s="1"/>
  <c r="AB10" i="19" s="1"/>
  <c r="DW3" i="1"/>
  <c r="D43" i="19" l="1"/>
  <c r="D21" i="19"/>
  <c r="EQ3" i="1"/>
  <c r="G10" i="19"/>
  <c r="EO3" i="1"/>
  <c r="S10" i="19"/>
  <c r="EP3" i="1"/>
  <c r="AC10" i="19"/>
  <c r="I10" i="19"/>
  <c r="Z10" i="19"/>
  <c r="AA10" i="19" s="1"/>
  <c r="ER15" i="1" l="1"/>
  <c r="C22" i="19"/>
  <c r="ER37" i="1"/>
  <c r="C44" i="19"/>
  <c r="G11" i="17"/>
  <c r="A8" i="17"/>
  <c r="H16" i="16"/>
  <c r="D44" i="19" l="1"/>
  <c r="D22" i="19"/>
  <c r="D5" i="15"/>
  <c r="D4" i="15"/>
  <c r="D3" i="15"/>
  <c r="C23" i="19" l="1"/>
  <c r="ER16" i="1"/>
  <c r="C45" i="19"/>
  <c r="ER38" i="1"/>
  <c r="A19" i="6"/>
  <c r="D45" i="19" l="1"/>
  <c r="D23" i="19"/>
  <c r="CS3" i="1"/>
  <c r="N3" i="10"/>
  <c r="N4" i="10"/>
  <c r="N5" i="10"/>
  <c r="N6" i="10"/>
  <c r="K94" i="10"/>
  <c r="C4" i="13"/>
  <c r="C11" i="13"/>
  <c r="C24" i="19" l="1"/>
  <c r="ER17" i="1"/>
  <c r="C46" i="19"/>
  <c r="ER39" i="1"/>
  <c r="L46" i="10"/>
  <c r="D46" i="19" l="1"/>
  <c r="D24" i="19"/>
  <c r="ER18" i="1" l="1"/>
  <c r="C25" i="19"/>
  <c r="ER40" i="1"/>
  <c r="C47" i="19"/>
  <c r="D25" i="19" l="1"/>
  <c r="D47" i="19"/>
  <c r="ER19" i="1" l="1"/>
  <c r="C26" i="19"/>
  <c r="C48" i="19"/>
  <c r="ER41" i="1"/>
  <c r="D26" i="19" l="1"/>
  <c r="D48" i="19"/>
  <c r="C27" i="19" l="1"/>
  <c r="ER20" i="1"/>
  <c r="D49" i="19"/>
  <c r="C49" i="19"/>
  <c r="ER42" i="1"/>
  <c r="D27" i="19" l="1"/>
  <c r="C28" i="19" l="1"/>
  <c r="ER21" i="1"/>
  <c r="D28" i="19" l="1"/>
  <c r="C29" i="19" l="1"/>
  <c r="ER22" i="1"/>
  <c r="D29" i="19" l="1"/>
  <c r="ER23" i="1" l="1"/>
  <c r="C30" i="19"/>
  <c r="D30" i="19" l="1"/>
  <c r="C31" i="19" l="1"/>
  <c r="ER24" i="1"/>
  <c r="D31" i="19" l="1"/>
  <c r="ER25" i="1" l="1"/>
  <c r="C32" i="19"/>
  <c r="D32" i="19" l="1"/>
  <c r="ER26" i="1" l="1"/>
  <c r="C33" i="19"/>
  <c r="D33" i="19" l="1"/>
  <c r="ER27" i="1" l="1"/>
  <c r="C34" i="19"/>
  <c r="D34" i="19" l="1"/>
  <c r="C35" i="19" l="1"/>
  <c r="ER28" i="1"/>
  <c r="D35" i="19" l="1"/>
  <c r="D36" i="19" l="1"/>
  <c r="C36" i="19"/>
  <c r="ER29" i="1"/>
</calcChain>
</file>

<file path=xl/comments1.xml><?xml version="1.0" encoding="utf-8"?>
<comments xmlns="http://schemas.openxmlformats.org/spreadsheetml/2006/main">
  <authors>
    <author>dharrison</author>
    <author>dlhf</author>
    <author>Ragsdale, Michael (GTS)</author>
    <author>Harrison, David</author>
  </authors>
  <commentList>
    <comment ref="G1" authorId="0" shapeId="0">
      <text>
        <r>
          <rPr>
            <b/>
            <sz val="8"/>
            <color indexed="81"/>
            <rFont val="Tahoma"/>
            <family val="2"/>
          </rPr>
          <t>Place the Line number of this
PFL here</t>
        </r>
      </text>
    </comment>
    <comment ref="J1" authorId="1" shapeId="0">
      <text>
        <r>
          <rPr>
            <b/>
            <sz val="8"/>
            <color indexed="81"/>
            <rFont val="Tahoma"/>
            <family val="2"/>
          </rPr>
          <t>Enter mainline Line Number for a short here</t>
        </r>
      </text>
    </comment>
    <comment ref="L1" authorId="1" shapeId="0">
      <text>
        <r>
          <rPr>
            <b/>
            <sz val="8"/>
            <color indexed="81"/>
            <rFont val="Tahoma"/>
            <family val="2"/>
          </rPr>
          <t xml:space="preserve">Enter Mile Point for the Mainline connection of a short
</t>
        </r>
      </text>
    </comment>
    <comment ref="C2" authorId="2" shapeId="0">
      <text>
        <r>
          <rPr>
            <sz val="8"/>
            <color indexed="81"/>
            <rFont val="Tahoma"/>
            <family val="2"/>
          </rPr>
          <t xml:space="preserve">From Original PG&amp;E GIS system
</t>
        </r>
      </text>
    </comment>
    <comment ref="H2" authorId="0" shapeId="0">
      <text>
        <r>
          <rPr>
            <b/>
            <sz val="8"/>
            <color indexed="81"/>
            <rFont val="Tahoma"/>
            <family val="2"/>
          </rPr>
          <t>Pick this item before proceeding to the right.</t>
        </r>
      </text>
    </comment>
    <comment ref="I2" authorId="3" shapeId="0">
      <text>
        <r>
          <rPr>
            <b/>
            <sz val="8"/>
            <color indexed="81"/>
            <rFont val="Tahoma"/>
            <family val="2"/>
          </rPr>
          <t xml:space="preserve">Pick the type based on the value of Feature.  See column definitions for more detail.
</t>
        </r>
      </text>
    </comment>
    <comment ref="L2" authorId="3" shapeId="0">
      <text>
        <r>
          <rPr>
            <b/>
            <sz val="8"/>
            <color indexed="81"/>
            <rFont val="Tahoma"/>
            <family val="2"/>
          </rPr>
          <t>Must enter beginning and ending mile points.</t>
        </r>
      </text>
    </comment>
    <comment ref="M2" authorId="0" shapeId="0">
      <text>
        <r>
          <rPr>
            <b/>
            <sz val="8"/>
            <color indexed="81"/>
            <rFont val="Tahoma"/>
            <family val="2"/>
          </rPr>
          <t>Field stationing as shown on original drawings or transmission plats</t>
        </r>
      </text>
    </comment>
    <comment ref="N2" authorId="0" shapeId="0">
      <text>
        <r>
          <rPr>
            <b/>
            <sz val="8"/>
            <color indexed="81"/>
            <rFont val="Tahoma"/>
            <family val="2"/>
          </rPr>
          <t>Pipe or Field stationing as shown on original drawings or transmission plats</t>
        </r>
      </text>
    </comment>
    <comment ref="O2" authorId="2" shapeId="0">
      <text>
        <r>
          <rPr>
            <sz val="8"/>
            <color indexed="81"/>
            <rFont val="Tahoma"/>
            <family val="2"/>
          </rPr>
          <t>Should contain the tap size or mainline size depending on feature type.</t>
        </r>
      </text>
    </comment>
    <comment ref="V2" authorId="0" shapeId="0">
      <text>
        <r>
          <rPr>
            <b/>
            <sz val="8"/>
            <color indexed="81"/>
            <rFont val="Tahoma"/>
            <family val="2"/>
          </rPr>
          <t xml:space="preserve">prefer ANSI </t>
        </r>
      </text>
    </comment>
    <comment ref="W2" authorId="0" shapeId="0">
      <text>
        <r>
          <rPr>
            <b/>
            <sz val="8"/>
            <color indexed="81"/>
            <rFont val="Tahoma"/>
            <family val="2"/>
          </rPr>
          <t>In inches.  Length of sleeve.  Or largest dimension of collar.</t>
        </r>
      </text>
    </comment>
    <comment ref="X2" authorId="0" shapeId="0">
      <text>
        <r>
          <rPr>
            <b/>
            <sz val="8"/>
            <color indexed="81"/>
            <rFont val="Tahoma"/>
            <family val="2"/>
          </rPr>
          <t>In PSIG, particularly when different from ANSI rating.</t>
        </r>
      </text>
    </comment>
    <comment ref="AJ2" authorId="2" shapeId="0">
      <text>
        <r>
          <rPr>
            <sz val="8"/>
            <color indexed="81"/>
            <rFont val="Tahoma"/>
            <family val="2"/>
          </rPr>
          <t xml:space="preserve">Valves Only
</t>
        </r>
      </text>
    </comment>
    <comment ref="AS2" authorId="0" shapeId="0">
      <text>
        <r>
          <rPr>
            <b/>
            <sz val="8"/>
            <color indexed="81"/>
            <rFont val="Tahoma"/>
            <family val="2"/>
          </rPr>
          <t>Manufacturer Name</t>
        </r>
      </text>
    </comment>
    <comment ref="AT2" authorId="0" shapeId="0">
      <text>
        <r>
          <rPr>
            <b/>
            <sz val="8"/>
            <color indexed="81"/>
            <rFont val="Tahoma"/>
            <family val="2"/>
          </rPr>
          <t xml:space="preserve">01-2345 format only
Don't enter the dash.  
</t>
        </r>
      </text>
    </comment>
    <comment ref="AW2" authorId="3" shapeId="0">
      <text>
        <r>
          <rPr>
            <b/>
            <sz val="8"/>
            <color indexed="81"/>
            <rFont val="Tahoma"/>
            <family val="2"/>
          </rPr>
          <t>If we have records for the purchase of the material,  it is not purchased from other company.</t>
        </r>
      </text>
    </comment>
    <comment ref="AX2" authorId="3" shapeId="0">
      <text>
        <r>
          <rPr>
            <b/>
            <sz val="8"/>
            <color indexed="81"/>
            <rFont val="Tahoma"/>
            <family val="2"/>
          </rPr>
          <t>Was it designed and fabricated in a shop?   Such as a pressure vessel.</t>
        </r>
      </text>
    </comment>
    <comment ref="AY2" authorId="3" shapeId="0">
      <text>
        <r>
          <rPr>
            <b/>
            <sz val="8"/>
            <color indexed="81"/>
            <rFont val="Tahoma"/>
            <family val="2"/>
          </rPr>
          <t>Short pieces of pipe or assemblies of valves and fittings.  Usually tested above ground for 4 hours.</t>
        </r>
      </text>
    </comment>
  </commentList>
</comments>
</file>

<file path=xl/comments2.xml><?xml version="1.0" encoding="utf-8"?>
<comments xmlns="http://schemas.openxmlformats.org/spreadsheetml/2006/main">
  <authors>
    <author>dharrison</author>
    <author>Jerrod Meier</author>
    <author>A satisfied Microsoft Office user</author>
  </authors>
  <commentList>
    <comment ref="F1" authorId="0" shapeId="0">
      <text>
        <r>
          <rPr>
            <b/>
            <sz val="8"/>
            <color indexed="81"/>
            <rFont val="Tahoma"/>
            <family val="2"/>
          </rPr>
          <t>dharrison:</t>
        </r>
        <r>
          <rPr>
            <sz val="8"/>
            <color indexed="81"/>
            <rFont val="Tahoma"/>
            <family val="2"/>
          </rPr>
          <t xml:space="preserve">
Properties that are critical to identify in the PFL process.
</t>
        </r>
      </text>
    </comment>
    <comment ref="B20" authorId="1" shapeId="0">
      <text>
        <r>
          <rPr>
            <sz val="8"/>
            <color indexed="81"/>
            <rFont val="Tahoma"/>
            <family val="2"/>
          </rPr>
          <t xml:space="preserve">long seam of pipe: SMLS, DSAW, SSAW&lt; ERW, etc.  Use dropdown list
</t>
        </r>
      </text>
    </comment>
    <comment ref="B31" authorId="2" shapeId="0">
      <text>
        <r>
          <rPr>
            <sz val="8"/>
            <color indexed="81"/>
            <rFont val="Tahoma"/>
            <family val="2"/>
          </rPr>
          <t>Degrees of bend, whole number.</t>
        </r>
      </text>
    </comment>
  </commentList>
</comments>
</file>

<file path=xl/comments3.xml><?xml version="1.0" encoding="utf-8"?>
<comments xmlns="http://schemas.openxmlformats.org/spreadsheetml/2006/main">
  <authors>
    <author>Andrew Gottesman</author>
  </authors>
  <commentList>
    <comment ref="I15" authorId="0" shapeId="0">
      <text>
        <r>
          <rPr>
            <b/>
            <sz val="8"/>
            <color indexed="81"/>
            <rFont val="Tahoma"/>
            <family val="2"/>
          </rPr>
          <t>Andrew Gottesman:</t>
        </r>
        <r>
          <rPr>
            <sz val="8"/>
            <color indexed="81"/>
            <rFont val="Tahoma"/>
            <family val="2"/>
          </rPr>
          <t xml:space="preserve">
These are Values for 3.5 SMLS/ERW</t>
        </r>
      </text>
    </comment>
    <comment ref="I21" authorId="0" shapeId="0">
      <text>
        <r>
          <rPr>
            <b/>
            <sz val="8"/>
            <color indexed="81"/>
            <rFont val="Tahoma"/>
            <family val="2"/>
          </rPr>
          <t>Andrew Gottesman:</t>
        </r>
        <r>
          <rPr>
            <sz val="8"/>
            <color indexed="81"/>
            <rFont val="Tahoma"/>
            <family val="2"/>
          </rPr>
          <t xml:space="preserve">
These are Values for 3.5 SMLS/ERW</t>
        </r>
      </text>
    </comment>
  </commentList>
</comments>
</file>

<file path=xl/sharedStrings.xml><?xml version="1.0" encoding="utf-8"?>
<sst xmlns="http://schemas.openxmlformats.org/spreadsheetml/2006/main" count="4432" uniqueCount="2141">
  <si>
    <t>Type of trap</t>
  </si>
  <si>
    <t>Use the drop down to indicate the type of pig trap.</t>
  </si>
  <si>
    <t>Type of casing</t>
  </si>
  <si>
    <t>Vented or not</t>
  </si>
  <si>
    <t>Pick yes or no if this is a vented casing.</t>
  </si>
  <si>
    <t>Use the drop down to indicate if the type of casing, most casings are steel.</t>
  </si>
  <si>
    <t>Find this information on the construction drawings.</t>
  </si>
  <si>
    <t>End Seal Type</t>
  </si>
  <si>
    <t>Naming Convention for Files</t>
  </si>
  <si>
    <t>Changes for Version 13</t>
  </si>
  <si>
    <t>OrganizationList</t>
  </si>
  <si>
    <t>Gulf</t>
  </si>
  <si>
    <t>Mustang</t>
  </si>
  <si>
    <t>C&amp;C</t>
  </si>
  <si>
    <t>Harris</t>
  </si>
  <si>
    <t>URS</t>
  </si>
  <si>
    <t>G2</t>
  </si>
  <si>
    <t>EN</t>
  </si>
  <si>
    <t>ProcessSteps</t>
  </si>
  <si>
    <t>PFL Build</t>
  </si>
  <si>
    <t>Data Retrieval</t>
  </si>
  <si>
    <t>PFL Internal QC</t>
  </si>
  <si>
    <t>PFL Internal QC2</t>
  </si>
  <si>
    <t>Quality Control</t>
  </si>
  <si>
    <t>Field Validation</t>
  </si>
  <si>
    <t>MAOP Report</t>
  </si>
  <si>
    <t>This is the creation of the PFL and includes reviewing the data, creating the spreadsheet, self checking of the details and running the validation macros.</t>
  </si>
  <si>
    <t>OrgAssignedList</t>
  </si>
  <si>
    <t>This step involves the resolution of "unknown" values on a PFL and subsequent field validation work to verify the material that is installed in the field.</t>
  </si>
  <si>
    <t>Nice to Have</t>
  </si>
  <si>
    <t>Important</t>
  </si>
  <si>
    <t>Useful</t>
  </si>
  <si>
    <t>Drawing 2 Quality</t>
  </si>
  <si>
    <t>Cleaned and fixed text on Column Definitions page, added more detail</t>
  </si>
  <si>
    <t>Data Source Quality Tiers</t>
  </si>
  <si>
    <t>Represents early intent</t>
  </si>
  <si>
    <t>Represents direct but uncertified observation</t>
  </si>
  <si>
    <t>Q1</t>
  </si>
  <si>
    <t>For Pipe, Fittings, Welded components</t>
  </si>
  <si>
    <t>Q2</t>
  </si>
  <si>
    <t>Q3</t>
  </si>
  <si>
    <t>Q4</t>
  </si>
  <si>
    <t>Q5</t>
  </si>
  <si>
    <t>Q6</t>
  </si>
  <si>
    <t>Strength Test Information</t>
  </si>
  <si>
    <t>Pre-Fabricated Feature?</t>
  </si>
  <si>
    <t>Fabricated Assembly?</t>
  </si>
  <si>
    <t>Purchased from Other Company?</t>
  </si>
  <si>
    <t>Barred?</t>
  </si>
  <si>
    <t>FieldBend</t>
  </si>
  <si>
    <t>PCF</t>
  </si>
  <si>
    <t>Feature</t>
  </si>
  <si>
    <t>ClassLocation</t>
  </si>
  <si>
    <t>AppurtenanceType</t>
  </si>
  <si>
    <t>Made sub category for feature type; i.e. if "Feature" = "Sleeve" then Sleeve types become available in "Type".</t>
  </si>
  <si>
    <t>Reorganized columns.</t>
  </si>
  <si>
    <t>Changed data validation rules.</t>
  </si>
  <si>
    <t>Bend Data</t>
  </si>
  <si>
    <t>Changes for Version 19</t>
  </si>
  <si>
    <t>Added conditional formatting to grey out irrelevant fields based on feature type.</t>
  </si>
  <si>
    <t>Spec Rating data validation changes if Feature = "Sleeve".</t>
  </si>
  <si>
    <t>Purchase and Install Information</t>
  </si>
  <si>
    <t>Deleted unused or redundant columns.</t>
  </si>
  <si>
    <t>Designated STPR image reference columns.</t>
  </si>
  <si>
    <t>Combined many columns (for example: Line Number and Branch Line are merged; manufactured and field bend data for angles merged, etc.).</t>
  </si>
  <si>
    <t>STPR Reference Images [ECTS]</t>
  </si>
  <si>
    <t>Class Loc.</t>
  </si>
  <si>
    <t>Casing</t>
  </si>
  <si>
    <t>No Casing</t>
  </si>
  <si>
    <t>Reconditioned / Salvaged?</t>
  </si>
  <si>
    <t>GIS Pipe Segment ID</t>
  </si>
  <si>
    <t>Defect Type</t>
  </si>
  <si>
    <t>Cause Type</t>
  </si>
  <si>
    <t>Level of Effort to Correct</t>
  </si>
  <si>
    <t>Missed Feature</t>
  </si>
  <si>
    <t>Low</t>
  </si>
  <si>
    <t>Incorrect Feature</t>
  </si>
  <si>
    <t>Engineering Assessment</t>
  </si>
  <si>
    <t>Medium</t>
  </si>
  <si>
    <t>Incorrect Spec</t>
  </si>
  <si>
    <t>General Miscommunication</t>
  </si>
  <si>
    <t>High</t>
  </si>
  <si>
    <t>Missed Spec</t>
  </si>
  <si>
    <t>Primary Document Not Used</t>
  </si>
  <si>
    <t>Added QC Review tab</t>
  </si>
  <si>
    <t>Branch Line Number</t>
  </si>
  <si>
    <t>Version</t>
  </si>
  <si>
    <t>Mile Point</t>
  </si>
  <si>
    <t>Field Station</t>
  </si>
  <si>
    <t>Pipe Station</t>
  </si>
  <si>
    <t>Take-off Service Tee</t>
  </si>
  <si>
    <t>Connection Service Tee</t>
  </si>
  <si>
    <t>1.5 nominal</t>
  </si>
  <si>
    <t>1.25 nominal</t>
  </si>
  <si>
    <t>1.0 nominal</t>
  </si>
  <si>
    <t>.75 nominal</t>
  </si>
  <si>
    <t>.5 nominal</t>
  </si>
  <si>
    <t>Actual Size or Opening</t>
  </si>
  <si>
    <t>Branch Status</t>
  </si>
  <si>
    <t>ANSI- WOG Rating</t>
  </si>
  <si>
    <t>1.0 D (SR)</t>
  </si>
  <si>
    <t>1.5 D (LR)</t>
  </si>
  <si>
    <t>BendRadius</t>
  </si>
  <si>
    <t>3.0 D (3R)</t>
  </si>
  <si>
    <t>&gt; 3 D</t>
  </si>
  <si>
    <t>BendRadius2</t>
  </si>
  <si>
    <t>&gt;1500</t>
  </si>
  <si>
    <t>Straight Y</t>
  </si>
  <si>
    <t>Reducing Y</t>
  </si>
  <si>
    <t>Control Ball</t>
  </si>
  <si>
    <t>Check</t>
  </si>
  <si>
    <t>Feature Specs</t>
  </si>
  <si>
    <t>Valves</t>
  </si>
  <si>
    <t>Test Job Number</t>
  </si>
  <si>
    <t>Current MAOP</t>
  </si>
  <si>
    <t>SOMA</t>
  </si>
  <si>
    <t>Paint</t>
  </si>
  <si>
    <t>Coal Tar</t>
  </si>
  <si>
    <t>Job Number</t>
  </si>
  <si>
    <t>Clockspring</t>
  </si>
  <si>
    <t>Aqua Wrap</t>
  </si>
  <si>
    <t>Sleeve</t>
  </si>
  <si>
    <t>Combo</t>
  </si>
  <si>
    <t>N/A - Valve/Filter/Other</t>
  </si>
  <si>
    <t>Changed seam type drop down from Valve - N/A to N/A - Valve/Filter/Other</t>
  </si>
  <si>
    <t>In the main data tab, "Pipe Data":</t>
  </si>
  <si>
    <t>Type of Manufactured Bend</t>
  </si>
  <si>
    <t>Added details on the Instruction tab for the colors and process of creating Bubbles with Feature Numbers on the documents.</t>
  </si>
  <si>
    <t>Feature Detail Bubbles</t>
  </si>
  <si>
    <t>Annubar or other types of insertion meters</t>
  </si>
  <si>
    <t>Actual measured test pressure</t>
  </si>
  <si>
    <t>Type of test</t>
  </si>
  <si>
    <t>Discrepancy List for GIS</t>
  </si>
  <si>
    <t>AnyOD2</t>
  </si>
  <si>
    <t>AnyOD1</t>
  </si>
  <si>
    <t>This is the formal production version of the changes that started with Version 18.   This is a major revision to the product.</t>
  </si>
  <si>
    <t>Branch Type:</t>
  </si>
  <si>
    <t>Source Route:</t>
  </si>
  <si>
    <t>Unnamed Short:</t>
  </si>
  <si>
    <t>Due to these multiple purposes this spreadsheet is organized to include all the information needed</t>
  </si>
  <si>
    <t>for the various teams and internal customers.</t>
  </si>
  <si>
    <t>Added a Shorts and PFL Spreadsheet/Work book naming tools.</t>
  </si>
  <si>
    <t>Changed the naming convention for Unnamed Branch Shorts to more closely match the PFL Spreadsheet/work book name.</t>
  </si>
  <si>
    <t>Changed grayed out columns to allow ANSI rating to open for all meters</t>
  </si>
  <si>
    <t>standard cap for a pipe</t>
  </si>
  <si>
    <t>Changed Status values for Branch - use "Others" in most cases.</t>
  </si>
  <si>
    <t>Changed restrictions on the Actual size to allow up to 125 inches as the upper limit</t>
  </si>
  <si>
    <t>Added instructions on the Operating Map and Distribution Plat sheet columns, you need the OP Map if you use it for Current MAOP</t>
  </si>
  <si>
    <t>Added Instructions on flanges, Blind, Slip don't have length.   Lap joint comes with pipe section, slip is welded to a piece of pipe.  See Column Definitions.</t>
  </si>
  <si>
    <t>Naming Operating Maps and Diagrams or Distribution Plat sheets that are bubbled</t>
  </si>
  <si>
    <t>If you "bubble" distribution plat sheets or operating maps and diagrams, you must name the document with a unique name and it must be uploaded into the ECTS system.</t>
  </si>
  <si>
    <t>Thermowell</t>
  </si>
  <si>
    <t>Other</t>
  </si>
  <si>
    <t>Pipe</t>
  </si>
  <si>
    <t>Design Factor</t>
  </si>
  <si>
    <t>Seam Type</t>
  </si>
  <si>
    <t>Miter</t>
  </si>
  <si>
    <t>Forged</t>
  </si>
  <si>
    <t>Unknown</t>
  </si>
  <si>
    <t>Wrinkle</t>
  </si>
  <si>
    <t>Insertion</t>
  </si>
  <si>
    <t>Radius</t>
  </si>
  <si>
    <t>Coating Type</t>
  </si>
  <si>
    <t>Angle</t>
  </si>
  <si>
    <t>Tap Data</t>
  </si>
  <si>
    <t>ASTM A-515</t>
  </si>
  <si>
    <t>Over-all Feature Quality</t>
  </si>
  <si>
    <t>Added API 5L X-48, and KaisAloy variations to the pipe spec options</t>
  </si>
  <si>
    <t>Added additional explanation in Instructions concerning the PFL Issues tab and material codes.</t>
  </si>
  <si>
    <t>Column Definitions, added NEVER break up a fitting feature into multiple lengths.</t>
  </si>
  <si>
    <t>Added detail about how to start stationing in the middle of a pipeline on the instruction tab.</t>
  </si>
  <si>
    <t>Degree of bend, when estimating angles +/- 2 degree accuracy only</t>
  </si>
  <si>
    <t>Image Name 2</t>
  </si>
  <si>
    <t>Image Name 3</t>
  </si>
  <si>
    <t>Beg Station</t>
  </si>
  <si>
    <t>End Station</t>
  </si>
  <si>
    <t>DESC</t>
  </si>
  <si>
    <t>Material Type</t>
  </si>
  <si>
    <t>Name</t>
  </si>
  <si>
    <t>Operator Type</t>
  </si>
  <si>
    <t>Method</t>
  </si>
  <si>
    <t>End Connect</t>
  </si>
  <si>
    <t>Install Date</t>
  </si>
  <si>
    <t>Added Tri-Ten to the Pipe Spec drop down.</t>
  </si>
  <si>
    <t>Stationing</t>
  </si>
  <si>
    <t>Calculated value.</t>
  </si>
  <si>
    <t>Added sleeve spec option for Kaiser Alloy</t>
  </si>
  <si>
    <t>Added Instructions, if there is conflicting info, set to Unknown and add Comments to explain.</t>
  </si>
  <si>
    <t>Added notes, re-conditioned pipe must be Noted.</t>
  </si>
  <si>
    <t>Represents certified original witness observed, lacking required data.</t>
  </si>
  <si>
    <t>Q9</t>
  </si>
  <si>
    <t>Q10</t>
  </si>
  <si>
    <t>Represents lack of required data and uncertified observation</t>
  </si>
  <si>
    <t>Represents Manufacture Delivered to the job.</t>
  </si>
  <si>
    <t>Represents Manufacture Delivered and Certified for a particular job or project</t>
  </si>
  <si>
    <t>API 5L X-42</t>
  </si>
  <si>
    <t>Traceability</t>
  </si>
  <si>
    <t>Scope / Boundaries</t>
  </si>
  <si>
    <t>Procedure Not Followed</t>
  </si>
  <si>
    <t>Description of the Coating</t>
  </si>
  <si>
    <t>Feature Long Seam Type</t>
  </si>
  <si>
    <t>Purchasing document numbers or codes</t>
  </si>
  <si>
    <t>Minimum Wall Thickness</t>
  </si>
  <si>
    <t>Design Factor for Class Location specified on the left.</t>
  </si>
  <si>
    <t>Based on the Seam Type on the left or the Unknown resolution document.</t>
  </si>
  <si>
    <t>Removed field notes, and profiles data.</t>
  </si>
  <si>
    <t>Y-48</t>
  </si>
  <si>
    <t>ASTM A-106</t>
  </si>
  <si>
    <t>Added pipe spec for ASTM A-106,   Y-48</t>
  </si>
  <si>
    <t>Added more instructions around stationing and creating formulas for stationing.</t>
  </si>
  <si>
    <t>Added over-all feature quality column as a calculated column, no impact on PFL Build.</t>
  </si>
  <si>
    <t>Changed colors of the tabs, green for Pipe Data, red for Issues-Errors, only in Excel 2010</t>
  </si>
  <si>
    <t>Image Name 9</t>
  </si>
  <si>
    <t>Answer Yes if the material being placed in service was reconditioned or salvaged from another project.</t>
  </si>
  <si>
    <t>Repair Can</t>
  </si>
  <si>
    <t>Obtain the original install date from the original as-built drawings or from the re-coat or "upgrade" job as listed in GIS after confirming the upgrade job recoated the pipe.</t>
  </si>
  <si>
    <t>Reference only Columns</t>
  </si>
  <si>
    <t>Tee Type</t>
  </si>
  <si>
    <t>Straight Tee</t>
  </si>
  <si>
    <t>Reinforced Tee</t>
  </si>
  <si>
    <t>Image Name 1</t>
  </si>
  <si>
    <t>Added wall thickness on fittings must be taken at the end of the 4 to 1 taper toward the 30 degree welding angle.</t>
  </si>
  <si>
    <t>Added how to handle references to Gas Standards in the instructions, don't need to bubble sheet them.</t>
  </si>
  <si>
    <t>ASTM A-234 Grade A</t>
  </si>
  <si>
    <t>Added Grade A  and ASTM A-234 Grade A as a spec option</t>
  </si>
  <si>
    <t>Maybe 1.0</t>
  </si>
  <si>
    <t>Changed logic for graying out cells to gray the wall thickness for Slip on flanges, weld neck flanges and blind flanges.</t>
  </si>
  <si>
    <t>MFG</t>
  </si>
  <si>
    <t>Within the Column Definitions tab there are columns that indicate the importance of various pieces of data, these are to help guide you in determining how much time you spend looking for a particular piece of information.</t>
  </si>
  <si>
    <t>Changes for Version 11</t>
  </si>
  <si>
    <t>Added general information about data sources to Instructions Tab.</t>
  </si>
  <si>
    <t>Changes for Version 17</t>
  </si>
  <si>
    <t>Unknown &gt; 4 - Modern</t>
  </si>
  <si>
    <t>Getting Started</t>
  </si>
  <si>
    <t>Added pipe diameter 34.5</t>
  </si>
  <si>
    <t>Added Inner Liner as a reinforcement option.  This is for the Paltrem liner.</t>
  </si>
  <si>
    <t>Tri-Ten</t>
  </si>
  <si>
    <t>Trimmed size of Pipe Data to 500 rows. Replicate more rows as needed.</t>
  </si>
  <si>
    <t>Modified MFTR equations to only display if feature group is used.</t>
  </si>
  <si>
    <t>API 5L X-60</t>
  </si>
  <si>
    <t>API 5L X-65</t>
  </si>
  <si>
    <t>API 5L X-70</t>
  </si>
  <si>
    <t>Added pipe spec for API 5L X-52, X-46 and X-42, re-organized pipe spec drop down to group API 5L</t>
  </si>
  <si>
    <t>Added a new first column.  This will default a value of "A".  Column indicates if the row is Add Change or Delete</t>
  </si>
  <si>
    <t>Branch Connections and Taps</t>
  </si>
  <si>
    <t>Insertion Probe</t>
  </si>
  <si>
    <t>GR A</t>
  </si>
  <si>
    <t>GR B</t>
  </si>
  <si>
    <t>40,000 PSI</t>
  </si>
  <si>
    <t>Y-42</t>
  </si>
  <si>
    <t>Y-46</t>
  </si>
  <si>
    <t>Y-60</t>
  </si>
  <si>
    <t>Y-65</t>
  </si>
  <si>
    <t>Y-70</t>
  </si>
  <si>
    <t>Valve Full Port ?</t>
  </si>
  <si>
    <t>Reducer Type</t>
  </si>
  <si>
    <t>Conc.-Std</t>
  </si>
  <si>
    <t>Reducer Grade</t>
  </si>
  <si>
    <t>Flange Pressure Rating</t>
  </si>
  <si>
    <t>Top Tap</t>
  </si>
  <si>
    <t>PCF Pressure Rating</t>
  </si>
  <si>
    <t>Column Header</t>
  </si>
  <si>
    <t>A PFL spreadsheet should be given a meaningful file name using the following format.</t>
  </si>
  <si>
    <t>Radius of the bend, found in PLSS, Plats, As builts, etc.</t>
  </si>
  <si>
    <t>PFL unique identification number (row number)</t>
  </si>
  <si>
    <t>Wall Thickness in inches.</t>
  </si>
  <si>
    <t>YesNoUnknown</t>
  </si>
  <si>
    <t>Field Station - determined by plan and profile station points / transmission plats</t>
  </si>
  <si>
    <t>Is anything penetrating the pipe?</t>
  </si>
  <si>
    <t>Represents certified original witness observed, lacking charts.</t>
  </si>
  <si>
    <t>O.D. 2</t>
  </si>
  <si>
    <t>W.T. 1</t>
  </si>
  <si>
    <t>W.T. 2</t>
  </si>
  <si>
    <t>MAOP Specifications</t>
  </si>
  <si>
    <t>Field Bend</t>
  </si>
  <si>
    <t>Material Code</t>
  </si>
  <si>
    <t>Coating Desc.</t>
  </si>
  <si>
    <t>Coating Install Date</t>
  </si>
  <si>
    <t>Coating</t>
  </si>
  <si>
    <t>Specification / Rating</t>
  </si>
  <si>
    <t>Reference Document Images [ECTS]</t>
  </si>
  <si>
    <t>Image Name 10</t>
  </si>
  <si>
    <t>Image Name 11</t>
  </si>
  <si>
    <t>Image Name 12</t>
  </si>
  <si>
    <t>Image Name 13</t>
  </si>
  <si>
    <t>Image Name 14</t>
  </si>
  <si>
    <t>Over-Flow Image Columns</t>
  </si>
  <si>
    <r>
      <t xml:space="preserve">The </t>
    </r>
    <r>
      <rPr>
        <b/>
        <sz val="10"/>
        <rFont val="Arial"/>
        <family val="2"/>
      </rPr>
      <t xml:space="preserve">STPR Reference Images </t>
    </r>
    <r>
      <rPr>
        <sz val="10"/>
        <rFont val="Arial"/>
        <family val="2"/>
      </rPr>
      <t>are specifically for the Strength Test Pressure information and have a single Quality column to represent the over-all quality of the data for all STPR images.</t>
    </r>
  </si>
  <si>
    <t>These series of columns will be used for basic checking of the PFL before more sophisticated analysis of the design and test information.</t>
  </si>
  <si>
    <t>Cross</t>
  </si>
  <si>
    <t>Added Cross under the Feature Type = Tee</t>
  </si>
  <si>
    <t>Mfg Bend</t>
  </si>
  <si>
    <t>MfgBend</t>
  </si>
  <si>
    <t>Pre-fab Feature</t>
  </si>
  <si>
    <t>Added Branch column for tracking the Line Number of the tee or tap connection to a mainline.</t>
  </si>
  <si>
    <t>Added Lan Id tracking of the builder, checker and QC person.</t>
  </si>
  <si>
    <t>Added columns for purchasing installed pipelines, purchase of material date and pre-fab features.</t>
  </si>
  <si>
    <t>ILI or pigging teams - Drives line profile, angles and obstructions in the pipe.</t>
  </si>
  <si>
    <t>Spacing between elbows</t>
  </si>
  <si>
    <t>This will be calculated after the PFL is completed.</t>
  </si>
  <si>
    <t>Type of field bend</t>
  </si>
  <si>
    <t>Obtain from the as-built bill of material, Pipeline survey maps, GIS, or other sources of information</t>
  </si>
  <si>
    <t>Type of valve</t>
  </si>
  <si>
    <t>Found in GIS, Transmission Plats, or As-builts.</t>
  </si>
  <si>
    <t>Grade A</t>
  </si>
  <si>
    <t>Relief Valve</t>
  </si>
  <si>
    <t>Media</t>
  </si>
  <si>
    <t>Adj Test Pressure</t>
  </si>
  <si>
    <t>Supervisor</t>
  </si>
  <si>
    <t>Test Company</t>
  </si>
  <si>
    <t>Vented?</t>
  </si>
  <si>
    <t>Insulator Type</t>
  </si>
  <si>
    <t>Seal Type</t>
  </si>
  <si>
    <t>Purchase Doc #</t>
  </si>
  <si>
    <t>Reducing Tee</t>
  </si>
  <si>
    <t>Meter</t>
  </si>
  <si>
    <t>Turbine</t>
  </si>
  <si>
    <t>Sonic</t>
  </si>
  <si>
    <t>Micrometer</t>
  </si>
  <si>
    <t>Orifice</t>
  </si>
  <si>
    <t>Insertion Turbine</t>
  </si>
  <si>
    <t>Rotary</t>
  </si>
  <si>
    <t>Diaphragm</t>
  </si>
  <si>
    <t>EventType</t>
  </si>
  <si>
    <t>OutSideDiameter</t>
  </si>
  <si>
    <t>Component Pressure ANSI Rating = Ansi</t>
  </si>
  <si>
    <t>Yes or No value</t>
  </si>
  <si>
    <t>API 5L</t>
  </si>
  <si>
    <t>PipeSpec</t>
  </si>
  <si>
    <t>Unknown &gt; 4 inch</t>
  </si>
  <si>
    <t>SeamType</t>
  </si>
  <si>
    <t>CoatingType</t>
  </si>
  <si>
    <t>Mobilox</t>
  </si>
  <si>
    <t>Powercrete J</t>
  </si>
  <si>
    <t>Powercrete</t>
  </si>
  <si>
    <t>Wax Tape</t>
  </si>
  <si>
    <t>External Coating</t>
  </si>
  <si>
    <t>Find this data on purchase orders, EMMs or sometimes on the construction drawings.</t>
  </si>
  <si>
    <t>Maximum working pressure as defined by manufacturer</t>
  </si>
  <si>
    <t>Added Concrete Encasement to Appurtenance</t>
  </si>
  <si>
    <t>Valve</t>
  </si>
  <si>
    <t>Milepoint</t>
  </si>
  <si>
    <t>Type</t>
  </si>
  <si>
    <t>Length</t>
  </si>
  <si>
    <t>Orient</t>
  </si>
  <si>
    <t>Valve Type</t>
  </si>
  <si>
    <t>Drip-External</t>
  </si>
  <si>
    <t>Ball</t>
  </si>
  <si>
    <t>Drip-Internal</t>
  </si>
  <si>
    <t>Gate</t>
  </si>
  <si>
    <t>Plug</t>
  </si>
  <si>
    <t>Manufacturer of this feature</t>
  </si>
  <si>
    <t>1/4 nominal</t>
  </si>
  <si>
    <t>Figure or Model number of this feature.</t>
  </si>
  <si>
    <t>Feature Specifications</t>
  </si>
  <si>
    <t>Valve Data</t>
  </si>
  <si>
    <t>Sleeve Types</t>
  </si>
  <si>
    <t>Tap Types</t>
  </si>
  <si>
    <t>Flange Type</t>
  </si>
  <si>
    <t>Field Bend Type</t>
  </si>
  <si>
    <t>The date this feature was actually purchased from a supplier.</t>
  </si>
  <si>
    <t>Reconditioned or Salvaged</t>
  </si>
  <si>
    <t>PCF Type</t>
  </si>
  <si>
    <t>Other Type</t>
  </si>
  <si>
    <t>Type of pressure control fitting</t>
  </si>
  <si>
    <t>Vented</t>
  </si>
  <si>
    <t>Added to Column Definitions, you can assume long radius 1.5 R after 1980 if not in a station.</t>
  </si>
  <si>
    <t>Outstanding issues to be resolved in next version</t>
  </si>
  <si>
    <t>Casing Type and Material see redundant, need to research original purpose of these columns.</t>
  </si>
  <si>
    <t>No transmittal or engineer sign off on the transmittal.</t>
  </si>
  <si>
    <t>Mile points do not match between the directory name, the PFL name and the mile points listed in the PFL spreadsheet. Or do not cover the assigned mile points.</t>
  </si>
  <si>
    <t>PFL spreadsheet is not the current version.</t>
  </si>
  <si>
    <t>Beg Station and End Station are not filled out on every row in the left columns.</t>
  </si>
  <si>
    <t>The cell G1 of the PFL Spreadsheet for Line xxxxxx does not have a valid name.</t>
  </si>
  <si>
    <t>The Feature Number, Feature and the Type column must have values.</t>
  </si>
  <si>
    <t>If there is a strength test listed the STPR Quality column must have a value.</t>
  </si>
  <si>
    <t>The Current MAOP must be filled out for all rows.</t>
  </si>
  <si>
    <t>Check that the PFL spreadsheet file name meets the requirements detailed in the instructions tab of the PFL spreadsheet.</t>
  </si>
  <si>
    <t>Opt Map /Diagram Inaccurate</t>
  </si>
  <si>
    <t>Gas Std C-11, H-17656</t>
  </si>
  <si>
    <t>Connection Curb Valve Tee w/nut</t>
  </si>
  <si>
    <t>Take-off Curb Valve Tee w/ nut</t>
  </si>
  <si>
    <t>Gas Std A-43.1, 02-2814</t>
  </si>
  <si>
    <t>PFL Line Number</t>
  </si>
  <si>
    <t>Segment-Class</t>
  </si>
  <si>
    <t>Feature-Type</t>
  </si>
  <si>
    <t>Reference Images</t>
  </si>
  <si>
    <t>Job Number or Install Date</t>
  </si>
  <si>
    <t>Branch Name</t>
  </si>
  <si>
    <t>Lan Ids</t>
  </si>
  <si>
    <t>PFL Name</t>
  </si>
  <si>
    <t>Mainline for Short missing</t>
  </si>
  <si>
    <t>STPR &gt; 1970 missed</t>
  </si>
  <si>
    <t>Class Locations</t>
  </si>
  <si>
    <t>Failed to identify document</t>
  </si>
  <si>
    <t>Name of the supervisor</t>
  </si>
  <si>
    <t>Date of the Test</t>
  </si>
  <si>
    <t>From the Strength Test Pressure Report.</t>
  </si>
  <si>
    <t>Added 36,000 to possible SMYS values</t>
  </si>
  <si>
    <t>Grade B</t>
  </si>
  <si>
    <t>API 5L X-52</t>
  </si>
  <si>
    <t>API 5L X-46</t>
  </si>
  <si>
    <t>Dresser Mechanical</t>
  </si>
  <si>
    <t>Added Quality Code drop down list for all of the images and drawings.</t>
  </si>
  <si>
    <t>Changes formatting of Mainline size and columns CG and FA to number with 3 decimals</t>
  </si>
  <si>
    <t>STPR Quality</t>
  </si>
  <si>
    <t>STPR Quality of Documentation</t>
  </si>
  <si>
    <t>Added Data Source Quality tier definitions near the bottom of the Instructions Tab.</t>
  </si>
  <si>
    <t>Reference</t>
  </si>
  <si>
    <t>How to Complete</t>
  </si>
  <si>
    <t>Potential Source Documents</t>
  </si>
  <si>
    <t>Drawing Number 1</t>
  </si>
  <si>
    <t>Drawing 1 Quality</t>
  </si>
  <si>
    <t>Image Name 4</t>
  </si>
  <si>
    <t>Image Name 5</t>
  </si>
  <si>
    <t>Image Name 6</t>
  </si>
  <si>
    <t>Type of feature on this row.</t>
  </si>
  <si>
    <t>Begin Station for this feature</t>
  </si>
  <si>
    <t>End Station for this feature.</t>
  </si>
  <si>
    <t>Review as-builts for the installation date, or the facesheet or completion notice for the placed in operation or completion dates.</t>
  </si>
  <si>
    <t>Changes for Version 12</t>
  </si>
  <si>
    <t>Added Install Date in the pipe section to the Column Definitions tab</t>
  </si>
  <si>
    <t>Bolted Steel</t>
  </si>
  <si>
    <t>Corrugated Steel</t>
  </si>
  <si>
    <t>Steel Pipe</t>
  </si>
  <si>
    <t>Bolted</t>
  </si>
  <si>
    <t>Corrugated</t>
  </si>
  <si>
    <t>Nestable</t>
  </si>
  <si>
    <t>2 half soles fused or welded</t>
  </si>
  <si>
    <t>KaisAloy 50MV</t>
  </si>
  <si>
    <t>Added sleeve spec for ASTM A-212 Grade B</t>
  </si>
  <si>
    <t>Figure - Model #</t>
  </si>
  <si>
    <t>Added figure or model # column to the valve data.</t>
  </si>
  <si>
    <t>Figure or Model #</t>
  </si>
  <si>
    <t>Repair</t>
  </si>
  <si>
    <t>No construction drawings, transmission plats and the distribution plats and the surrounding jobs do not supply any information for job numbers or installed data, or other feature specifications.</t>
  </si>
  <si>
    <t>Categories added to the PFL Issues tab for tracking basic quality control issues for Checkers.  Descriptions are in the Instructions tab.</t>
  </si>
  <si>
    <t>WOG 720#</t>
  </si>
  <si>
    <t>WOG 800#</t>
  </si>
  <si>
    <t>WOG 960#</t>
  </si>
  <si>
    <t>WOG 1000#</t>
  </si>
  <si>
    <t>WOG 1440#</t>
  </si>
  <si>
    <t>WOG 1500#</t>
  </si>
  <si>
    <t>WOG 2160#</t>
  </si>
  <si>
    <t>WOG 2200#</t>
  </si>
  <si>
    <t>WOG 3000#</t>
  </si>
  <si>
    <t>Plastic</t>
  </si>
  <si>
    <t>SleeveTypes</t>
  </si>
  <si>
    <t>Half Sleeve</t>
  </si>
  <si>
    <t>Patch</t>
  </si>
  <si>
    <t>PVC</t>
  </si>
  <si>
    <t>Clay Tile</t>
  </si>
  <si>
    <t>Ductile Iron</t>
  </si>
  <si>
    <t>Poly</t>
  </si>
  <si>
    <t>Concrete</t>
  </si>
  <si>
    <t>Cast Iron</t>
  </si>
  <si>
    <t>Ribbed Polyethylene</t>
  </si>
  <si>
    <t>Conduit</t>
  </si>
  <si>
    <t>Transite</t>
  </si>
  <si>
    <t>Galvanized</t>
  </si>
  <si>
    <t>Fiber Optic</t>
  </si>
  <si>
    <t>Copper</t>
  </si>
  <si>
    <t>MaterialType</t>
  </si>
  <si>
    <t>TapType</t>
  </si>
  <si>
    <t>HotCold</t>
  </si>
  <si>
    <t>Hot</t>
  </si>
  <si>
    <t>Cold</t>
  </si>
  <si>
    <t>Image 1 Quality</t>
  </si>
  <si>
    <t>Image 2 Quality</t>
  </si>
  <si>
    <t>Image 3 Quality</t>
  </si>
  <si>
    <t>Rags and Tar</t>
  </si>
  <si>
    <t>Feature Number</t>
  </si>
  <si>
    <t>Insulating Joint</t>
  </si>
  <si>
    <t>Tap</t>
  </si>
  <si>
    <t>Tee</t>
  </si>
  <si>
    <t>API 5LX-X48</t>
  </si>
  <si>
    <t>Line Stopper</t>
  </si>
  <si>
    <t>Changes for Version 15</t>
  </si>
  <si>
    <t>Removed "FE" from the Line Stopper type in the PCF type drop down.</t>
  </si>
  <si>
    <t>Added additional tab to collect issues and problems that are not directly linked or applicable to the PFL features. Added brief Instructions for this tab.</t>
  </si>
  <si>
    <t>Video examination teams - NTSB and safety requirements.</t>
  </si>
  <si>
    <t>CPUC MAOP validation and justification requirements.</t>
  </si>
  <si>
    <t>Critical</t>
  </si>
  <si>
    <t>Property Ranking</t>
  </si>
  <si>
    <t>Required</t>
  </si>
  <si>
    <t>Definitions for the Column Definitions tab</t>
  </si>
  <si>
    <t>Sub-Category</t>
  </si>
  <si>
    <t>The full scope of the changes requires a review of the entire spreadsheet.    Read the changes in Version 19 for an over-view only.</t>
  </si>
  <si>
    <t>Changes for Version 20  - Major Release</t>
  </si>
  <si>
    <t>Category</t>
  </si>
  <si>
    <t>Minimum Wall&gt;&gt;&gt;&gt;</t>
  </si>
  <si>
    <t>Current</t>
  </si>
  <si>
    <t>BELOW  is incomplete</t>
  </si>
  <si>
    <t>See Guideline, "Validating Start and End Milepoints of a PFL Assignment.</t>
  </si>
  <si>
    <t>Material Codes</t>
  </si>
  <si>
    <t>Added Instructions that material code lists are available for 1940, 1967 and 1986.</t>
  </si>
  <si>
    <t>Modified Column Definitions descriptions for field bends, manufactured bends, PCF Fittings, Coatings, Strength Tests and taps.</t>
  </si>
  <si>
    <t>API 5L X-48</t>
  </si>
  <si>
    <t>API 5LS-X48</t>
  </si>
  <si>
    <t>KaisAloy 1</t>
  </si>
  <si>
    <t>KaisAloy</t>
  </si>
  <si>
    <t>Bending Machine</t>
  </si>
  <si>
    <t>Int Mandrel-Bending Machine</t>
  </si>
  <si>
    <t>Manual</t>
  </si>
  <si>
    <t>Gas Operator</t>
  </si>
  <si>
    <t>Electric Operator</t>
  </si>
  <si>
    <t>Added Collar as a type of reinforcement/sleeve</t>
  </si>
  <si>
    <t>Added Research Required as an option for reinforcement/sleeve Spec</t>
  </si>
  <si>
    <t>Filter/Strainer</t>
  </si>
  <si>
    <t>Added Filter/Strainer to miscellaneous fittings</t>
  </si>
  <si>
    <t>Duration of the test in hours</t>
  </si>
  <si>
    <t>Adjusted Test Pressure</t>
  </si>
  <si>
    <t>Medium used as for testing.</t>
  </si>
  <si>
    <t>The media or fluid used for testing the pipe, normally this is water, or nitrogen or natural gas.</t>
  </si>
  <si>
    <t>Design Packages and Bill of Materials Approved for construction</t>
  </si>
  <si>
    <t>Basic MAOP Calculations</t>
  </si>
  <si>
    <t>Separator</t>
  </si>
  <si>
    <t>Appurtenance</t>
  </si>
  <si>
    <t>Method of tap creation</t>
  </si>
  <si>
    <t>DrillHole</t>
  </si>
  <si>
    <t>SleeveSpec</t>
  </si>
  <si>
    <t>Specified that returned bubble sheets must be individual scans and can be grouped with compression into a single file.</t>
  </si>
  <si>
    <t>Specified that the mile point at the beginning and then end of a PFL must be listed in the Mile Point Reference column</t>
  </si>
  <si>
    <t>Added additional Drawing Image columns, modified descriptions to more clearly state what goes in the image file name columns.</t>
  </si>
  <si>
    <t>Revetment Material</t>
  </si>
  <si>
    <t>Launcher</t>
  </si>
  <si>
    <t>Receiver</t>
  </si>
  <si>
    <t>Pig Trap</t>
  </si>
  <si>
    <t>Scraper Trap</t>
  </si>
  <si>
    <t>PigTrapType</t>
  </si>
  <si>
    <t>CasingType</t>
  </si>
  <si>
    <t>CasingInsulateType</t>
  </si>
  <si>
    <t>Koenite</t>
  </si>
  <si>
    <t>Oxide Cm</t>
  </si>
  <si>
    <t>Trenton Fill Coat</t>
  </si>
  <si>
    <t>CasingSealType</t>
  </si>
  <si>
    <t>Link Seals</t>
  </si>
  <si>
    <t>Banded Rubber</t>
  </si>
  <si>
    <t>Natural Gas</t>
  </si>
  <si>
    <t>Pressure Rating</t>
  </si>
  <si>
    <t>TDW</t>
  </si>
  <si>
    <t>Bottom Tap</t>
  </si>
  <si>
    <t>Side Tap</t>
  </si>
  <si>
    <t>Sleeve SMYS</t>
  </si>
  <si>
    <t>ASTM A-516, Grade 70</t>
  </si>
  <si>
    <t>ASTM A-242</t>
  </si>
  <si>
    <t>ASTM A-572</t>
  </si>
  <si>
    <t>ASTM A-633</t>
  </si>
  <si>
    <t>Grade E</t>
  </si>
  <si>
    <t>Added Property Ranking to give you an idea of the importance of each column on the Column Definitions tab.</t>
  </si>
  <si>
    <t>Degrees</t>
  </si>
  <si>
    <t>R Factor</t>
  </si>
  <si>
    <t>Operating Map or Diagram drawing number</t>
  </si>
  <si>
    <t>The wall map and plat sheet numbers</t>
  </si>
  <si>
    <t>Branch</t>
  </si>
  <si>
    <t>Image 4 Quality</t>
  </si>
  <si>
    <t>Image Name 5 - STPR</t>
  </si>
  <si>
    <t>Image Name 6 - Front of Chart</t>
  </si>
  <si>
    <t>Image Name 7 - Back of Chart</t>
  </si>
  <si>
    <t>Image Name 8 - Deadweight Log</t>
  </si>
  <si>
    <t>Image Name 9 - STPR Sketch</t>
  </si>
  <si>
    <t>Pipe Span</t>
  </si>
  <si>
    <t>Pipe Liner</t>
  </si>
  <si>
    <t>An error that is observed in the software for tracking or entering PFL information.</t>
  </si>
  <si>
    <t>Software Bug</t>
  </si>
  <si>
    <t>Quality Code</t>
  </si>
  <si>
    <t>The quality code selected for an image is not correct.</t>
  </si>
  <si>
    <t>Incorrect input</t>
  </si>
  <si>
    <t>The feature was clearly available on the referenced documents but was not entered correctly in the PFL.</t>
  </si>
  <si>
    <t>STPR &lt;= 1970 missed</t>
  </si>
  <si>
    <t>An STPR for a job that was installed in 1970 or prior years was not included in the PFL.</t>
  </si>
  <si>
    <t>Missed Purchase Info</t>
  </si>
  <si>
    <t>Missed Coating Info</t>
  </si>
  <si>
    <t>Failed to identify correct coating information.</t>
  </si>
  <si>
    <t>You can identify potential mistakes on the existing documents or GIS using the PFL Issues tab.</t>
  </si>
  <si>
    <t>continuous welded pipe</t>
  </si>
  <si>
    <t>For a short the Mainline and the Mainline MP are indicated at the top of the PFL spreadsheet in Cells J1 and L1.</t>
  </si>
  <si>
    <t>Data Source Quality tiers for the image, rating system provided near the bottom of the Instructions Tab.</t>
  </si>
  <si>
    <t>Changes for Version 16</t>
  </si>
  <si>
    <t>E</t>
  </si>
  <si>
    <t>Internal Baffle</t>
  </si>
  <si>
    <t>Calculated</t>
  </si>
  <si>
    <t>Type of Manufactured Tee</t>
  </si>
  <si>
    <t>Branching Pipelines</t>
  </si>
  <si>
    <t>Tee Data</t>
  </si>
  <si>
    <t>Casing Data</t>
  </si>
  <si>
    <t>Barred</t>
  </si>
  <si>
    <t>Spacing</t>
  </si>
  <si>
    <t>Discrepancy List</t>
  </si>
  <si>
    <t>Yes</t>
  </si>
  <si>
    <t>No</t>
  </si>
  <si>
    <t>Left</t>
  </si>
  <si>
    <t>Right</t>
  </si>
  <si>
    <t>Sag</t>
  </si>
  <si>
    <t>Flange</t>
  </si>
  <si>
    <t>Reducer</t>
  </si>
  <si>
    <t>Conc.-Ven</t>
  </si>
  <si>
    <t>ECC-Std</t>
  </si>
  <si>
    <t>ECC-Ven</t>
  </si>
  <si>
    <t>Information</t>
  </si>
  <si>
    <t>Lack of Documentation</t>
  </si>
  <si>
    <t>GIS Segments Changed</t>
  </si>
  <si>
    <t>Defines the Feature or characteristics of this row of data.</t>
  </si>
  <si>
    <t>Conflicting Information</t>
  </si>
  <si>
    <t>Inaccurate material specs</t>
  </si>
  <si>
    <t>Modified beginning feature number to be an integer when it is multiplied by the mile point.</t>
  </si>
  <si>
    <t>unknown</t>
  </si>
  <si>
    <t>Added columns to the PFL Issues tab for Names of creator and resolver, date of resolution.</t>
  </si>
  <si>
    <t>Pipe Grade - As specified in as-builts</t>
  </si>
  <si>
    <t>Added additional comments in Column Definitions, for PCF, GWP/WOG, Job Numbers, Comments, Seam Type "Unknown &gt; 4 Modern".</t>
  </si>
  <si>
    <t>Added instructions to allow a Branch name of "In Station" on the Instructions tab</t>
  </si>
  <si>
    <t>Changed print output header and footer to print correct version number</t>
  </si>
  <si>
    <t>Changed Mainline of short cell to allow general input instead of just a numeric value.</t>
  </si>
  <si>
    <t>Changes for Version 18</t>
  </si>
  <si>
    <t>The type of tap</t>
  </si>
  <si>
    <t>Flanged End</t>
  </si>
  <si>
    <t>Screw End</t>
  </si>
  <si>
    <t>Weld by Flange End</t>
  </si>
  <si>
    <t>Weld by Screw End</t>
  </si>
  <si>
    <t>Stopple</t>
  </si>
  <si>
    <t>Cap</t>
  </si>
  <si>
    <t>Threaded Weldolet</t>
  </si>
  <si>
    <t>Pig Signal</t>
  </si>
  <si>
    <t>Pressure Transmitter</t>
  </si>
  <si>
    <t>Closure</t>
  </si>
  <si>
    <t>Collar</t>
  </si>
  <si>
    <t>ReliefValveTypes</t>
  </si>
  <si>
    <t>Ball Valve</t>
  </si>
  <si>
    <t>Gate Valve</t>
  </si>
  <si>
    <t>Control Valve</t>
  </si>
  <si>
    <t>Regulator Valve</t>
  </si>
  <si>
    <t>Block</t>
  </si>
  <si>
    <t>Check Valve</t>
  </si>
  <si>
    <t>Flex Flow Valve</t>
  </si>
  <si>
    <t>Blowdown Valve</t>
  </si>
  <si>
    <t>Butterfly Valve</t>
  </si>
  <si>
    <t>PipeTestType</t>
  </si>
  <si>
    <t>StrengthTest</t>
  </si>
  <si>
    <t>LeakTest</t>
  </si>
  <si>
    <t>PreTest</t>
  </si>
  <si>
    <t>Dynamic Test</t>
  </si>
  <si>
    <t>TestMedium</t>
  </si>
  <si>
    <t>Water</t>
  </si>
  <si>
    <t>Duration (hrs)</t>
  </si>
  <si>
    <t>Angle of bend</t>
  </si>
  <si>
    <t>Orientation of bend.</t>
  </si>
  <si>
    <t>Q11</t>
  </si>
  <si>
    <t>Represents certified original witness observed. Elevations unclear, assumed to follow standards.</t>
  </si>
  <si>
    <t>Added Instructions, Data Source Quality Tiers, Added a new Q3 for when elevations are lacking and all other data is available.</t>
  </si>
  <si>
    <t>Date</t>
  </si>
  <si>
    <t>Modified to capture the OD of the casing in the OD2 field if a pipe feature has a casing.</t>
  </si>
  <si>
    <t>Sleeve, patch or reinforcement type.</t>
  </si>
  <si>
    <t>Fixed the number formatting on the valve size column</t>
  </si>
  <si>
    <t>Items that appear to be safety hazards or non-conformance to existing code should be noted on the Issues Tab.</t>
  </si>
  <si>
    <t>Corrected spelling.</t>
  </si>
  <si>
    <t>ValveOperatorType</t>
  </si>
  <si>
    <t>FlangeType</t>
  </si>
  <si>
    <t>Blind</t>
  </si>
  <si>
    <t>Threaded</t>
  </si>
  <si>
    <t>Take-off Pin off-Valve Tee</t>
  </si>
  <si>
    <t>Connection Pin off-Valve Tee</t>
  </si>
  <si>
    <t>Bare</t>
  </si>
  <si>
    <t>Type A</t>
  </si>
  <si>
    <t>Tape</t>
  </si>
  <si>
    <t>Type B</t>
  </si>
  <si>
    <t>HAA</t>
  </si>
  <si>
    <t>PC</t>
  </si>
  <si>
    <t>XTRUPL</t>
  </si>
  <si>
    <t>FBE</t>
  </si>
  <si>
    <t>Changed sleeve OD calculation to be WT *2 + .250 +OD</t>
  </si>
  <si>
    <t>Lan Id PFL Builder</t>
  </si>
  <si>
    <t>Lan Id Build Checker</t>
  </si>
  <si>
    <t>Purchased from Other Company</t>
  </si>
  <si>
    <t>Purchase Date of Feature</t>
  </si>
  <si>
    <t>Drop down indicates if a valve is manually operated or has other powered controls for opening</t>
  </si>
  <si>
    <t>NTSB data requirements - Drives traceability and fittings</t>
  </si>
  <si>
    <t>Changed formatting on Tap Size and Valve Size to be 3 decimal places.</t>
  </si>
  <si>
    <t>Added instructions that branching PFLs should include the Tap fitting or initial valve, this is the same that should be specified on the mainline PFL.</t>
  </si>
  <si>
    <t>Socket Weld</t>
  </si>
  <si>
    <t>Insulating</t>
  </si>
  <si>
    <t>PCFType</t>
  </si>
  <si>
    <t>EndConnect</t>
  </si>
  <si>
    <t>This section represents pipe and other fittings as pipe in order to perform a complete MAOP analysis.</t>
  </si>
  <si>
    <t>Type of flange</t>
  </si>
  <si>
    <t>Notes Comments</t>
  </si>
  <si>
    <t>Type of Meter</t>
  </si>
  <si>
    <t>Pipeline Features List Process</t>
  </si>
  <si>
    <t>C</t>
  </si>
  <si>
    <t>D</t>
  </si>
  <si>
    <t>The Begin and End Station columns on the spreadsheet should be a continuous running stationing without any "change stations" or "equations"</t>
  </si>
  <si>
    <t>Design Factor for Class</t>
  </si>
  <si>
    <t>Minimum SMYS</t>
  </si>
  <si>
    <t>Minimum Joint Factor</t>
  </si>
  <si>
    <t>% SMYS at MAOP</t>
  </si>
  <si>
    <t>Maximum Allowable Operating Pressure Analysis (MAOP)</t>
  </si>
  <si>
    <t>ASTM A-633 Grade E</t>
  </si>
  <si>
    <t>Added detail to Instructions tab about short radius elbows and small angle miters.</t>
  </si>
  <si>
    <t>F</t>
  </si>
  <si>
    <t>Sub Types of a Feature</t>
  </si>
  <si>
    <t>Relief Valve Type</t>
  </si>
  <si>
    <t>Meter Type</t>
  </si>
  <si>
    <t>Reference Document Images (ELS-EDMS)</t>
  </si>
  <si>
    <t>Reference Document Images [ELS-EDMS]</t>
  </si>
  <si>
    <t>Reference Document Images (ECTS)</t>
  </si>
  <si>
    <t>The date of any prior strength test</t>
  </si>
  <si>
    <t>Gather from the Operating Diagrams or the drawing 086868 that is available in the Tools folder.</t>
  </si>
  <si>
    <t>This is the indicated test pressure of the prior test.</t>
  </si>
  <si>
    <t>Find the test pressure on the previous strength test pressure report and record it here.</t>
  </si>
  <si>
    <t>Appurtenance Type</t>
  </si>
  <si>
    <t>Pipe Types</t>
  </si>
  <si>
    <t>Pig Type</t>
  </si>
  <si>
    <t>Image Name 7</t>
  </si>
  <si>
    <t>Image Name 8</t>
  </si>
  <si>
    <t>Strength Test Pressure Rpt</t>
  </si>
  <si>
    <t>Reference Images (ECTS)</t>
  </si>
  <si>
    <t>The Minimum SMYS value, from the data on the left or Unknown resolution document.</t>
  </si>
  <si>
    <t>The Minimum Wall Thickness, from the data on the left or Unknown resolution document.</t>
  </si>
  <si>
    <t>The Minimum Joint Factor, from the data on the left or Unknown resolution document.</t>
  </si>
  <si>
    <t>Represents certified original witness observed, lacking charts and elevations.</t>
  </si>
  <si>
    <t>Added Save-a-valve as a tap type option</t>
  </si>
  <si>
    <t>Save-a-valve</t>
  </si>
  <si>
    <t>Changed standard PFL file name to eliminate the PFL at the beginning.</t>
  </si>
  <si>
    <t>Added to Long Seam Drop down "Unknown &gt;4 Modern", added Lap Joint as a flange option, added Sleeve Type = Repair option.</t>
  </si>
  <si>
    <t>ASTM A-234 Grade B</t>
  </si>
  <si>
    <t>ASTM A-234</t>
  </si>
  <si>
    <t>ASTM A-105 Grade B</t>
  </si>
  <si>
    <t>Added Pipe spec and Sleeve spec for A-234 alone, A-234 Grade A, A-234 Grade  and A-105 Grade B and ordered options.</t>
  </si>
  <si>
    <t>Added additional comments in Column Definitions for  Pipe Spec and Sleeve Spec.</t>
  </si>
  <si>
    <t>Single Submerged Arc Weld</t>
  </si>
  <si>
    <t>Double Submerged Arc Weld</t>
  </si>
  <si>
    <t>Electric Resistance Weld</t>
  </si>
  <si>
    <t>Electric Fusion Weld</t>
  </si>
  <si>
    <t>Expanded the descriptions of the Seam Type in the drop down to match GIS system</t>
  </si>
  <si>
    <t>Drawing Quality 1</t>
  </si>
  <si>
    <t>Drawing Number 2</t>
  </si>
  <si>
    <t>Drawing Quality 2</t>
  </si>
  <si>
    <t>Document Quality 1</t>
  </si>
  <si>
    <t>Devgrip</t>
  </si>
  <si>
    <t>Protal</t>
  </si>
  <si>
    <t>Connection</t>
  </si>
  <si>
    <t>Fabricated Assembly</t>
  </si>
  <si>
    <t>Test Date</t>
  </si>
  <si>
    <t>Test Pressure</t>
  </si>
  <si>
    <t>Description</t>
  </si>
  <si>
    <t>Factors</t>
  </si>
  <si>
    <t>Seamless</t>
  </si>
  <si>
    <t>Lap Weld</t>
  </si>
  <si>
    <t>Spiral Weld</t>
  </si>
  <si>
    <t>Furnace Butt Weld</t>
  </si>
  <si>
    <t>Polyethylene Pipe</t>
  </si>
  <si>
    <t>Unknown 4 inch or less</t>
  </si>
  <si>
    <t>SMYS</t>
  </si>
  <si>
    <t>A</t>
  </si>
  <si>
    <t>B</t>
  </si>
  <si>
    <t>ANSI 150 #</t>
  </si>
  <si>
    <t>ANSI 300 #</t>
  </si>
  <si>
    <t>ANSI 400 #</t>
  </si>
  <si>
    <t>ANSI 600 #</t>
  </si>
  <si>
    <t>ANSI 900 #</t>
  </si>
  <si>
    <t>ANSI 1500 #</t>
  </si>
  <si>
    <t>ANSI 2500#</t>
  </si>
  <si>
    <t>WOG 50#</t>
  </si>
  <si>
    <t>WOG 100#</t>
  </si>
  <si>
    <t>WOG 150#</t>
  </si>
  <si>
    <t>WOG 200#</t>
  </si>
  <si>
    <t>WOG 500#</t>
  </si>
  <si>
    <t>WOG 600#</t>
  </si>
  <si>
    <t>Changes for Version 22</t>
  </si>
  <si>
    <t>SMYS column is now filled in via look up in most cases.  You will need to over-write the formula in some cases.</t>
  </si>
  <si>
    <t>Represents witness of installation, from a secondary document source.</t>
  </si>
  <si>
    <t>Added Distribution and Transmission plats as a Q4 Data Source Quality Tier.</t>
  </si>
  <si>
    <t>Fixed header and footer and cleaned up some printing issues.</t>
  </si>
  <si>
    <t>Operating Map or Diagram</t>
  </si>
  <si>
    <t>Distribution Wall Map and Plat Sheet</t>
  </si>
  <si>
    <t>Reference Maps</t>
  </si>
  <si>
    <t>Added wall map and plat sheet column, added Operating Map and diagram column</t>
  </si>
  <si>
    <t>Added Kaiser Alloy MV50 to available pipe specifications</t>
  </si>
  <si>
    <t>O.D. 1</t>
  </si>
  <si>
    <t>Error_Not_Technical</t>
  </si>
  <si>
    <t>Error_Other</t>
  </si>
  <si>
    <t>Error_Feature</t>
  </si>
  <si>
    <t>Error_Value</t>
  </si>
  <si>
    <t>Issues-Errors Tab</t>
  </si>
  <si>
    <t>PLC</t>
  </si>
  <si>
    <t>Plastic coated steel</t>
  </si>
  <si>
    <t>Plastic coat</t>
  </si>
  <si>
    <t>Hot applied asphalt</t>
  </si>
  <si>
    <t>Just because it is ordered as bare pipe does not mean it is installed as bare pipe, almost always painted.</t>
  </si>
  <si>
    <t>Added PLC or plastic coated steel pipe as an option for coating.  Same as PC, but this is a common label on the distribution plat sheets.</t>
  </si>
  <si>
    <t>Added Cap as a Feature - This now removes the Cap from being under Other category.</t>
  </si>
  <si>
    <t>Changed Reducer to expose the Seam Type.</t>
  </si>
  <si>
    <t>Other issues not categorized above or by the error code numbers.</t>
  </si>
  <si>
    <t>No Signoff</t>
  </si>
  <si>
    <t>Maximum Allowable Operating Pressure of the current facility</t>
  </si>
  <si>
    <t>ANSI or WOG Pressure Rating</t>
  </si>
  <si>
    <t>The name or number of the valve or feature.</t>
  </si>
  <si>
    <t>Rolled Plate</t>
  </si>
  <si>
    <t>Right Sag</t>
  </si>
  <si>
    <t>Left Sag</t>
  </si>
  <si>
    <t>Right Over bend</t>
  </si>
  <si>
    <t>Left Over bend</t>
  </si>
  <si>
    <t>Design Packages, Approved for construction</t>
  </si>
  <si>
    <t>Represents Company Purchase or Witness of Installation</t>
  </si>
  <si>
    <t>For Strength Test Pressure Reports</t>
  </si>
  <si>
    <t>Represents certified original witness observed.</t>
  </si>
  <si>
    <t>Represents remote or obscure observation</t>
  </si>
  <si>
    <t>Q7</t>
  </si>
  <si>
    <t>Q8</t>
  </si>
  <si>
    <t>The type of valve</t>
  </si>
  <si>
    <t>Name of the test company</t>
  </si>
  <si>
    <t>Gather the file name from the electronic document.</t>
  </si>
  <si>
    <t>River Weight</t>
  </si>
  <si>
    <t>Pipe Support</t>
  </si>
  <si>
    <t>Pipe Strap</t>
  </si>
  <si>
    <t>Pipe Clamp</t>
  </si>
  <si>
    <t>Reinforcement material</t>
  </si>
  <si>
    <t>Obtain from the as-built bill of material, material requisition, material contract, material specification, material inspection report</t>
  </si>
  <si>
    <t>rating_value</t>
  </si>
  <si>
    <t>API 5L-A25</t>
  </si>
  <si>
    <t>API 5L-A</t>
  </si>
  <si>
    <t>API 5L-B</t>
  </si>
  <si>
    <t>API 5LS-A</t>
  </si>
  <si>
    <t>API 5LS-B</t>
  </si>
  <si>
    <t>API 5LS-X42</t>
  </si>
  <si>
    <t>API 5LS-X46</t>
  </si>
  <si>
    <t>API 5LS-X52</t>
  </si>
  <si>
    <t>API 5LS-X56</t>
  </si>
  <si>
    <t>API 5LS-X60</t>
  </si>
  <si>
    <t>API 5LS-X65</t>
  </si>
  <si>
    <t>API 5LS-X70(Tent.)</t>
  </si>
  <si>
    <t>API 5LX-X42</t>
  </si>
  <si>
    <t>API 5LX-X46</t>
  </si>
  <si>
    <t>API 5LX-X52</t>
  </si>
  <si>
    <t>API 5LX-X56</t>
  </si>
  <si>
    <t>API 5LX-X60</t>
  </si>
  <si>
    <t>API 5LX-X65</t>
  </si>
  <si>
    <t>API 5LX-X70(Tent.)</t>
  </si>
  <si>
    <t>Requires Research</t>
  </si>
  <si>
    <t>ASTM A-623</t>
  </si>
  <si>
    <t>ASTM A-516</t>
  </si>
  <si>
    <t>Same as DSAW if mfg Consolidated Western, A671, 672 are DSAW, A134, 139 may not be DSAW</t>
  </si>
  <si>
    <t>Added Pipe Type of "In road", this is almost equivalent to "no casing" however it is for catching road crossings in Class 1 and 2 areas. Also In station</t>
  </si>
  <si>
    <t>Incorrect Assessment</t>
  </si>
  <si>
    <t>Scope/Boundaries Misinterpreted</t>
  </si>
  <si>
    <t>Not Traceable</t>
  </si>
  <si>
    <t>Failed to identify feature</t>
  </si>
  <si>
    <t>The feature was available on the reviewed and referenced drawings, however, it was not identified on the PFL.</t>
  </si>
  <si>
    <t>Failed to identify and reference the correct documents for a particular feature or series of features.</t>
  </si>
  <si>
    <t>Incorrect Interpretation</t>
  </si>
  <si>
    <t>The Current MAOP is not correct.</t>
  </si>
  <si>
    <t>Added material A-515, A-516, A-623, API 5LX Gr B to the choices.</t>
  </si>
  <si>
    <t>Cap Type</t>
  </si>
  <si>
    <t>Pipe or Other</t>
  </si>
  <si>
    <t>Find in as-built drawings and bill of materials.</t>
  </si>
  <si>
    <t>Quality Calculation</t>
  </si>
  <si>
    <t>Branch Status codes have changed, see row 151 and later on the Instructions Tab</t>
  </si>
  <si>
    <t>API 5LX-B</t>
  </si>
  <si>
    <t>API 5LX-A</t>
  </si>
  <si>
    <t>BranchType</t>
  </si>
  <si>
    <t>DREG</t>
  </si>
  <si>
    <t>DCUST</t>
  </si>
  <si>
    <t>STUB</t>
  </si>
  <si>
    <t>DRIP</t>
  </si>
  <si>
    <t>BD</t>
  </si>
  <si>
    <t>GCUST</t>
  </si>
  <si>
    <t>PFL Image Name</t>
  </si>
  <si>
    <t>File Image Name</t>
  </si>
  <si>
    <t>Match %:</t>
  </si>
  <si>
    <t>Validation Macro</t>
  </si>
  <si>
    <t>Naming Tool</t>
  </si>
  <si>
    <t>Image Checker</t>
  </si>
  <si>
    <t>Time:</t>
  </si>
  <si>
    <t>Day:</t>
  </si>
  <si>
    <t>Month:</t>
  </si>
  <si>
    <t>Year:</t>
  </si>
  <si>
    <t>Current Date and Time for Formulas</t>
  </si>
  <si>
    <t>Pipe length in feet, to one decimal or 0.1 feet maximum accuracy</t>
  </si>
  <si>
    <t>740 psi for newest</t>
  </si>
  <si>
    <t>minimum can be greater</t>
  </si>
  <si>
    <t>ASTM A-105</t>
  </si>
  <si>
    <t>API 5L X 65</t>
  </si>
  <si>
    <t>API 5L X 70</t>
  </si>
  <si>
    <t>Shell Test Pressure</t>
  </si>
  <si>
    <t>Max Working Pressure</t>
  </si>
  <si>
    <t>Valve ANSI Rating</t>
  </si>
  <si>
    <t>Take-off</t>
  </si>
  <si>
    <t>ASTM A-212 Grade B</t>
  </si>
  <si>
    <t>Pipe Encased</t>
  </si>
  <si>
    <t>Concrete Encased</t>
  </si>
  <si>
    <t>Plastic Encased</t>
  </si>
  <si>
    <t>Other Encased</t>
  </si>
  <si>
    <t>Pipe Bridge</t>
  </si>
  <si>
    <t>Pressure Prior Test</t>
  </si>
  <si>
    <t>Date Prior Test</t>
  </si>
  <si>
    <t>Added formula to calculate the mid point of the single point events that have related pipe events with length, such as valves, elbows, tees and reducers.</t>
  </si>
  <si>
    <t>Document Quality 2</t>
  </si>
  <si>
    <t>Added note that a Job Number event should not have a feature number.</t>
  </si>
  <si>
    <t>Type of valve operator</t>
  </si>
  <si>
    <t>Added additional set of columns for image name and quality to the left side of the double red line.</t>
  </si>
  <si>
    <t>Corrected an Install Date label for Job Number event.</t>
  </si>
  <si>
    <t>Changes for Version 9</t>
  </si>
  <si>
    <t>Added additional columns and detail to the Column Definitions tab.</t>
  </si>
  <si>
    <t>Changes for version 10</t>
  </si>
  <si>
    <t>Added this change log tab and Version 9 and 10 info</t>
  </si>
  <si>
    <t>Added the Instructions tab and began populating it with information</t>
  </si>
  <si>
    <t>Background</t>
  </si>
  <si>
    <t>GIS system requirements</t>
  </si>
  <si>
    <t>Hydrostatic testing teams - Drives need for test information, line configuration and profile.</t>
  </si>
  <si>
    <t>Class Loc</t>
  </si>
  <si>
    <t>Given a Feature, this defines a sub-category that details more information about that particular Feature.</t>
  </si>
  <si>
    <t>Size of the feature in inches.</t>
  </si>
  <si>
    <t>Specification or Rating</t>
  </si>
  <si>
    <t>The specification or rating of the pipe or fitting or other gas containing device.</t>
  </si>
  <si>
    <t>ANSI - WOG Rating</t>
  </si>
  <si>
    <t>Added more instructions and details about stationing and the station reference columns.</t>
  </si>
  <si>
    <t>Bell Bell Chill Ring</t>
  </si>
  <si>
    <t>Reducing</t>
  </si>
  <si>
    <t>Orientation</t>
  </si>
  <si>
    <t>Over Bend</t>
  </si>
  <si>
    <t>cleaned up printing, MFTR columns and number of rows.</t>
  </si>
  <si>
    <t>Bridge Pipe Clamp</t>
  </si>
  <si>
    <t>Research Required</t>
  </si>
  <si>
    <t>Added Internal Only reducers - These are not pressure carrying, but only inside the pipe</t>
  </si>
  <si>
    <t>Job number that did the test</t>
  </si>
  <si>
    <t>Added Job Number column to the hydrostatic test event</t>
  </si>
  <si>
    <t>Y-52</t>
  </si>
  <si>
    <t>Joint Factor</t>
  </si>
  <si>
    <t>Nitrogen</t>
  </si>
  <si>
    <t>Cleaned up information on Column Definitions tab related to valves.</t>
  </si>
  <si>
    <t>General Layout</t>
  </si>
  <si>
    <t>Changes for Version 14</t>
  </si>
  <si>
    <t>Added Column Definitions about venturi reducers that are inside a piece of pipe.</t>
  </si>
  <si>
    <t>Internal Only</t>
  </si>
  <si>
    <t>Gather from the detailed construction drawings.</t>
  </si>
  <si>
    <t>Match Status</t>
  </si>
  <si>
    <t>Regulator</t>
  </si>
  <si>
    <t>RegulatorTypes</t>
  </si>
  <si>
    <t>Mooney</t>
  </si>
  <si>
    <t>Flex Flow</t>
  </si>
  <si>
    <t>Boot Type</t>
  </si>
  <si>
    <t>Regulator Type</t>
  </si>
  <si>
    <t>The type of small regulator</t>
  </si>
  <si>
    <t>Nice to have</t>
  </si>
  <si>
    <t>Added Regulator as a feature - Including various Type options and associated column definitions</t>
  </si>
  <si>
    <t>Added Tools tab, that includes buttons for Macros that check Values and File associations.   The macros will work with Excel 2010 and may have problems with earlier versions</t>
  </si>
  <si>
    <t>Changed instructions to clarify the OD1 is the main carrier pipe for a weldolet and the Actual Size is the Branch connection size for the weldolet or threadolet.</t>
  </si>
  <si>
    <t>Current MAOP (psig)</t>
  </si>
  <si>
    <t>Lap Joint</t>
  </si>
  <si>
    <t>Weld Neck</t>
  </si>
  <si>
    <t>Slip On</t>
  </si>
  <si>
    <t>API 5LX-X57</t>
  </si>
  <si>
    <t>Top Row</t>
  </si>
  <si>
    <t>Where the first part of the name is the Line Number, then underscore, followed by the Mile Points involved in the PFL, then underscore, followed by the day, alpha month, and year that the file was last modified. The mile points should reflect the actual starting and ending milepoints, which may be different from the starting and ending mile points that are assigned. The value after the underscore R is the mainline line number if this line branches off another line. This will normally only be used for Shorts.</t>
  </si>
  <si>
    <t>Remember that original as-built construction drawings are the best source of alignment and fitting placement information. With Transmission Plats and Division Plats lower value. If there are conflicting values between similar documents then set the value to Unknown and add Comments.</t>
  </si>
  <si>
    <t>These source documents for purchase orders, back to mill tests should be identified in the image columns and associated with the various features. Additionally there is a quality column associated with each image that indicates the quality of the information source for pipe or fitting specifications, not the quality of the image itself.</t>
  </si>
  <si>
    <t>It is required to identify features with the correct bubbles and colors on the original drawings. However, the pipe specifications may be contained on additional documents. These additional documents that detail the specifications or strength test pressure data should be identified in the drawing and image columns of the PFL spreadsheet. If these documents are complicated, it is recommended that you use the same color bubble technique on copies of these material specification or strength test pressure report source documents.</t>
  </si>
  <si>
    <t>In other words, you are working down the transmission plat recording values in the Field Station column, then a new job is listed with a "change station" and new stationing, then just start this new stationing in the Pipe Station column. Then switch back to the Field Station column on the next "change station". Switch back and forth in the Reference Columns as needed to show the "change stations" on the single transmission plat sheet or if you can switch to a construction as-built drawing.</t>
  </si>
  <si>
    <t>Throughout the various features the Purchase Doc # should be filled out whenever it is found. This will help us to trace the material back to original documents.</t>
  </si>
  <si>
    <t>The next set of columns have a "green" background and must be used for reference information. They are here to help with the development of the PFL. You can trace the distances in the Field Station column, then you find another intercepting job, you can create a change station and switch to Pipe stationing. The column labels are guides only, use the different columns to help you document the distances and lengths of the features. Develop the basic length of pipe sections from this stationing information.</t>
  </si>
  <si>
    <t>The length of the manufactured bend must be calculated to find the length of the feature, (elbow). If the job includes short and long radius elbows and you can't determine where they were specifically installed, then choose the conservative answer and show all of the elbows as short radius.</t>
  </si>
  <si>
    <t>The Coating columns should be filled out for all features if available. You can utilize GIS data to help determine these values.</t>
  </si>
  <si>
    <t>A Meter Event can have a length for an Orifice meter or other device that takes up space in the main line. If the meter does not take up space in the main line, such as an insertion turbine meter, then this event is a single point Feature or event.</t>
  </si>
  <si>
    <t>The Strength Test Feature must be completed if there is a Strength Test on a line. You should repeat the Strength Test Information on every row of data for which it applies.</t>
  </si>
  <si>
    <t>In most situations a tie-in sleeve is not pressure tested and you should not show Strength Test Pressure Information for this Feature. It is possible a tie-in sleeve was tested on a later hydro static test.</t>
  </si>
  <si>
    <t>Tools Tab - Validation</t>
  </si>
  <si>
    <t>Search for this value in the documents that you are utilizing to establish the other features, but you don't need to search all of the documents for this value. If this value is in your documents and you don't find it, it will result in a QC failure.</t>
  </si>
  <si>
    <t>This column should be used by the PFL Builder to record stationing in order to determine the correct Beg Station and End Station. Normally we would expect to see at least one of the 4 columns in this block of columns to be utilized.</t>
  </si>
  <si>
    <t>Test report with charts signed and dated. Test supervisor Name, pressure, medium, duration, elevations.</t>
  </si>
  <si>
    <t>Represents certified original witness observed. Elevations unclear.</t>
  </si>
  <si>
    <t>Strength Test Pressure Report with no charts or dead weight log, With Test Supervisor name, pressure, medium, duration, and elevations.</t>
  </si>
  <si>
    <t>Strength Test Pressure Report with no charts or dead weight log, With Test Supervisor name, pressure, medium, duration, and NO elevations.</t>
  </si>
  <si>
    <t>Copy of Test Report with Dead Weight Log or Charts. With Supervisor name, Missing test duration, test pressure, or test medium.</t>
  </si>
  <si>
    <t>This is the major error category if a feature is missed on the PFL or features are included that should not be on the PFL. Another way to think about it, should a row of data be deleted or added? If the answer is yes, then it is this error category.</t>
  </si>
  <si>
    <t>If you feel you need to add something but it does not fit in one of the other major categories use this option. This also includes software bugs or errors.</t>
  </si>
  <si>
    <t>Conflicting information between documents of equivalent quality. For example the STPR shows X-42 and the as-built construction drawing is corrected to Grade B.</t>
  </si>
  <si>
    <t>We have information on material specifications, that we feel is inaccurate, such as 30" seamless pipe. The data may be clearly shown on the drawings or documents, but based on experience we don't believe this information is correct.</t>
  </si>
  <si>
    <t>An error that is not technical in nature. Failure to input required information correctly and follow established procedures.</t>
  </si>
  <si>
    <t>Job number or the install date do not have values. The Job Number should be set to Unknown but not blank.</t>
  </si>
  <si>
    <t>Missed or incorrect feature on the PFL. A row of data is not correct or is missing.</t>
  </si>
  <si>
    <t>Failed to correctly identify additional job numbers and their associated features that were applicable to the assigned PFL. Such as missing a later job that eliminated some of the features on this PFL.</t>
  </si>
  <si>
    <t>An STPR for a job installed after 1970 was missed. If a section of the PFL is for a pipeline constructed after 1970 and strength test pressure reports are not identified, the Checker must review the GIS spreadsheet to obtain the “Test Job”, “Upgrade Job” and the “Install Job” and search the ECTS system for any STPRs</t>
  </si>
  <si>
    <t>This is the second internal QC check within the PFL Build group. This step maybe skipped depending on the details of your Internal QC process.</t>
  </si>
  <si>
    <t>This step involves the creation and review of the MAOP Report. This report lists the detailed information and gives a resulting MAOP.</t>
  </si>
  <si>
    <t>This spreadsheet tries to serve multiple masters. There are at least 6 customers for this data.</t>
  </si>
  <si>
    <t>A single line section or PFL should go on a single PFL spreadsheet. Even shorts should have their own PFL spreadsheet.</t>
  </si>
  <si>
    <t>The naming convention for the Route of an Unnamed Shorts is modified slightly as of 11/1/2011. These unnamed shorts will move the "mainline" route from before the unique number to after the unique number and use a leading _R. This will be more consistent with the name of the Unnamed Short PFL spreadsheet file.</t>
  </si>
  <si>
    <t>U_DREG_201110191423_R101 will be the new format. The mainline 101 is moved to the end of the name.</t>
  </si>
  <si>
    <t>The Primary source of pipeline alignment information is from as-built construction drawings. Most modern jobs have "Plan and Profile" type drawings that detail the depth of the pipe line and the plan or overhead view of the pipeline. These drawings may contain as-built material lists. If there are no as-built construction drawings available, non- as-built drawings can be used to determine the placement of features and some materials, but the lack of as-built information must be indicated by the Quality Codes associated with the image names and in the Notes and Comments. Older construction jobs may have many different types of construction drawings. You must review all of the drawings to determine the best source of information.</t>
  </si>
  <si>
    <t>The individual features should be identified on a copy of the original documents by using the color Orange to point at the feature and a circle or bubble containing the Feature Number that matches up to the spreadsheet Feature Number. If you have comments related to the feature or that might help the next person reviewing the data, these comments should be written in Green color.</t>
  </si>
  <si>
    <t>Begin and End stationing should always reflect the actual length of the pipe or fittings. The field stationing on construction drawings will probably not match up exactly to the values that we need on the PFL. The field stationing in most cases will match up to approximately to the center of fittings.</t>
  </si>
  <si>
    <t>Don't use Excel Comments for an individual cell if you expect anyone else to read the comments. These type of comments should only be used as notes to yourself. Real comments should go in the Notes Comments column.</t>
  </si>
  <si>
    <t>If there are conflicts between the Material Code and the written description next to the material code on Material Requisitions or Purchase orders, the Material Code should be considered the most accurate. The warehouse supply systems will work off the material code and will usually not pay attention to an incorrect description. If there are conflicts between the Material Code and the written description next to the material code on construction drawings, then utilize the description as the most accurate data. On construction drawings the person creating the drawings is more likely to correct the description than the material code numbers.</t>
  </si>
  <si>
    <t>The spreadsheet has 7 tabs. The Pipe Data contains all of the important data. The Issues-Errors tab is for writing about problems with the PFL. The QC Review tab is used by the Quality Control group to record problems and errors on the PFL. The Column Definitions tab gives more detailed information about individual columns. This Instructions Tab describes the over-all spreadsheet. The Changes tab lists the changes by each version. The Selections tab should not be edited, but it supplies the data for the drop down lists.</t>
  </si>
  <si>
    <t>When you create a PFL for a mainline you should identify the Branch connections by placing the name in the "Branch Line Number" column. See Guideline for more detail about naming these Branch connections if they don't have names in the GIS system.</t>
  </si>
  <si>
    <t>The first 2 columns for Beg and End Station are calculated from a formula. The next set of columns are very important, they make up the basis of the PFL. These columns and the PFL spreadsheet are arranged linearly from beginning to the end of a pipeline section. The Pipe Segment, Class, Job Number and Install Date should be gathered if possible from the various sources. The pipe segment number will allow us to compare the information and help track changes in the old and new systems. The class locations are currently being reviewed and will be updated sometime in 2011 The Feature Number, Feature, Type and Length columns must be filled out for every feature on the PFL spreadsheet. The Notes / Comments column should be used as needed for additional info.</t>
  </si>
  <si>
    <t>Input the angles of the elbow if they are available. The Orientation of the elbow is important for ILI work.</t>
  </si>
  <si>
    <t>It is very important to identify large angle miter bends. Many drawings are based on original survey lines and show 1 or 2 degree changes in the pipe. These are usually not noticeable in the pipeline and are questionable if they are actually miters or just differences in the survey alignment. All miters greater than 2 degrees should be identified on the features list.</t>
  </si>
  <si>
    <t>The Branch columns are important to track and make sure that we have documented all portions of the piping system. The Branch line numbers and the Status of the branch lines are recorded here.</t>
  </si>
  <si>
    <t>To the right of the Naming Tool is the Validation Macro, that contains a button titled "Launch Validation Checker". Clicking this button will pop up a small floating window and make the Pipe Data tab active. Clicking the "Validate Data" button on the floating window will cause the system to validate most of the data on the Pipe Data tab. This tool will highlight in green the Feature Number when there is an error on that row of the spreadsheet. It will then outline in red, the cell on that row that contains invalid data. Clicking the Undo Validation Markups button will remove all the Green Highlighting and Red Border changes created by this macro.</t>
  </si>
  <si>
    <t>Original Charts only, signed and dated. Test supervisor name, pressure, medium, duration, elevations</t>
  </si>
  <si>
    <t>Branch connections to a pipeline may be another mainline pipeline or they may be a Branch Short. Branch pipelines may begin at one mainline pipeline and end at another mainline pipeline. In other words, they are frequently associated with more than one mainline. See Guideline - Mainline and Short PFLs for more information.</t>
  </si>
  <si>
    <t>The most important example is if you find information in the job documentation that indicates the pipeline component does not comply with code or is a safety hazard. This should be noted on the Issues-Errors Tab.</t>
  </si>
  <si>
    <t>This is an error that is not technical in nature. Such as images names not matching the supplied images, failure to enter information in required columns, failure to enter Lan Id of the PFL Builder or Internal QC. These errors do not evaluate the value of the column, just whether the column has a value or not. If the value of an error is not correct, then it should fall under the major category "Error-Value".</t>
  </si>
  <si>
    <t>Informational data related to this PFL. This is not an error, but may help others understand the PFL.</t>
  </si>
  <si>
    <t>Review the PFL spreadsheet, under the column headings, “Reference Document Images ”. Review each image name that is listed in these columns and verify that this images has been included in the PFL package and are now located in the same directory as the PFL spreadsheet. The image names should match except for the “b-“ at the beginning of the image file name. Ensure that ever cell that has an image name has a corresponding Image Quality value.</t>
  </si>
  <si>
    <t>Review the PFL spreadsheet, filter it by the “Type” column for all “Tap” and “Tee” values. Then review the major column heading, “Branch”. For all rows with this filter there must be a value in this column. Some values may be “Connection” but there must be a value.</t>
  </si>
  <si>
    <t>Failed to identify the boundaries and pipeline covered by the PFL assignment. Or failure to identify previously completed PFLs by the same organization and correctly match up the boundaries.</t>
  </si>
  <si>
    <t>Failed to identify the boundaries and pipeline covered by the PFL assignment. Or failure to identify previously completed PFLs by the same organization and correctly match up the boundaries. PFLs should not over-lap.</t>
  </si>
  <si>
    <t>For example, U_DREG_101_201110191423 is the old format for the name of the branch short.</t>
  </si>
  <si>
    <t>GIS Pipe Segment Id, Class Location do not have values. GIS Pipe Segment Id can occasionally be blank.</t>
  </si>
  <si>
    <t>GIS Pipe Segment Id, Class Location are not correct. GIS Pipe Segment Id can legitimately be blank.</t>
  </si>
  <si>
    <t>There are 3 reference columns for mile point, field station and pipe station. The Mile Point column must be filled in for the beginning and end of a PFL. We expect the Field and Pipe stations to be used to record the stations on the specific drawings or jobs. Don't worry about the title of the column. If a transmission plat sheet has a series of stations and then changes stations to another job and all of this is listed on the transmission plat sheet, you should just switch the station column within the set of Reference columns</t>
  </si>
  <si>
    <t>The entire spreadsheet is now arranged with only one Feature or event on a row. The Features have been changed to accommodate this situation. Now the Pipe Feature has Types that indicate if the pipe is inside casing, lined or free span, etc. These changes require the pipe Feature to be broken at the beginning and end of each Type change.</t>
  </si>
  <si>
    <t>The "MAOP Specifications" columns are critical for the MAOP calculations. The "Feature Specs" columns represent important information associated with individual features. These series of columns must be filled out for every row of data based on the cells that are "uncovered" or turned white after you pick the Feature and the Type. See the Column Definitions Tab for more information on the individual columns of data.</t>
  </si>
  <si>
    <t>Radius (SR=1, LR=1.5, 3R=3, 5R=5 etc.)</t>
  </si>
  <si>
    <t>Total Length (ft.)</t>
  </si>
  <si>
    <t>The Purchase and Install Information columns collect information about the trail of purchase documents and other information about their creation. See the Column Definitions Tab for more detailed information.</t>
  </si>
  <si>
    <r>
      <t xml:space="preserve">The </t>
    </r>
    <r>
      <rPr>
        <b/>
        <sz val="10"/>
        <rFont val="Arial"/>
        <family val="2"/>
      </rPr>
      <t xml:space="preserve">Discrepancy </t>
    </r>
    <r>
      <rPr>
        <sz val="10"/>
        <rFont val="Arial"/>
        <family val="2"/>
      </rPr>
      <t>List tracks inaccuracy issues related to the GIS system.</t>
    </r>
  </si>
  <si>
    <t>Below these items on the Tools tab is the Image Checker tool. Clicking on the "Run Image Check" button will cause the system to list all of the images listed in the PFL on the tab and list the images available in the folder you have selected. It will then try to match them up and display how many images in the PFL match to images in the folder. The "Clear Image Check" will clear all the image data from the tab and allow you to re-run the tool.</t>
  </si>
  <si>
    <t>If the Branch is not named and is branching off within a station it should be given the generic name "In Station". Later we will analyze the MAOP of each station as a whole and will work these "In Station" pipes at that time.</t>
  </si>
  <si>
    <t>Failure to properly identify the correct value or specification for material or a feature on the PFL. The information to determine this value was available, but it was missed. The sub-categories for this major error type are further broken down into "Gray" area or MAOP Specification information type of errors, STPR errors and Image Quality errors. See details below..</t>
  </si>
  <si>
    <t>Class locations have changed to a new set and/or the class locations are listed with different classes for several portions of an old segment number. In this case, you may not be able to figure out exactly the location of the new segments. Or you feel this value is not correct based on job documentation or current aerial photographs.</t>
  </si>
  <si>
    <t>Failed to correctly interpret the drawings and identify an entire feature.</t>
  </si>
  <si>
    <t>Failed to assess or interpret the data available on the reference documents. For example the type of PCF was not correct or the seam type is not correct. Describe the specific columns that are not correct in the "Description of Issue" column.</t>
  </si>
  <si>
    <t>The value, property or specification was clearly available on the referenced documents but was not entered correctly in the PFL in the Gray columns. Describe the specific columns missed in the description.</t>
  </si>
  <si>
    <t>If this information is clearly and easily available on the documents you review then record it. For example the Profile data, you can record this from the profiles, but only do it once or twice per sheet or at shallow spots. Use field notes only if road crossings and other items are clearly and easily available. Appurtenances should be added when they are pipe supports or concrete weights on the pipeline.</t>
  </si>
  <si>
    <t>On the PFL spreadsheet the top row contains some data that must be filled in by the PFL Builder. The cell A1 contains the version number of the PFL spreadsheet. You should not need to alter this value. Input the route or line represented by this PFL into cell G1. If this line is directly connected to another line (such as a short attached to a mainline) you should enter the Mainline number in cell J1. If the "short" is connected to more than one mainline this should be the mainline that is closest to milepoint zero or the lowest stationing number. Enter the mile point at which this short connects to the Mainline in cell L1. These values will help us trace down the information in the GIS system.</t>
  </si>
  <si>
    <t>Radius (ft.)</t>
  </si>
  <si>
    <t>The absolute distance in feet from the starting point of this line to the end of this feature. This is a required value for all rows. Format is 00+00.0. Use pipe stationing if available.</t>
  </si>
  <si>
    <t>These are notes and comments that are loaded into the system for each of the events listed above. It is important to note discrepancies in data in the comments, if one document calls out 42,000 SMYS and another says 48,000 SMYS the SMYS value should be the low value with a note in the comments about where the 48,000 value was found. You can note potential roped bends, gas standards and additional reference documents.</t>
  </si>
  <si>
    <t>Feature milepoint, determined by stationing/GIS. Must be listed at the beginning of the PFL, beginning of assigned MP range if different from the beginning of the PFL, end of the assigned MP range, end of the PFL and in any location where it is explicitly called out (such as a valve).</t>
  </si>
  <si>
    <t>Most complete field stationing comes from the Transmission Plat Sheets, or from modern as-built plan and profile construction drawings. We want to record this information, but it should be helping you to determine the value for the Length column. If field stationing is on the transmission plat sheet with accurate pipe information you must input the field stationing to this column. In other words, you must use this column if you have valid Field Stationing data.</t>
  </si>
  <si>
    <t>Pipe stationing is rarely available on construction drawings, but input it here if possible. Or you can use this column if you have multiple sets of field stationing and need an additional column to help keep track. For example if the field stationing changes on you, switch back and forth with "Change Stations" between this column and the Field Station column.</t>
  </si>
  <si>
    <t>Size of the feature for this row. This is the major or most important outside diameter.</t>
  </si>
  <si>
    <t>Capture the manufacturer figure or model number for the valve, relief valve or meter if it is available. This will often determine many of the valve or meter characteristics.</t>
  </si>
  <si>
    <t>Identify if there are bars across the branch side of the Tee. These bars keep the pig from getting stuck at the location of the Tee.</t>
  </si>
  <si>
    <t>Construction drawings may indicate if it was hot or cold installation. Typically if the main was in operation before the tap was installed it would be installed "hot".</t>
  </si>
  <si>
    <t>Operating maps and diagrams may indicate valve operators. Or the as-built construction drawings.</t>
  </si>
  <si>
    <t>Use the drop down to indicate the type of end seal between the casing and the carrier pipe. Most modern seals are "link seals".</t>
  </si>
  <si>
    <t>This information may be obtained from invoices and material requisitions. If Invoices are not available, you can use the earliest deliver date shown on the material requisitions. If this product involves a series of shipments, the earliest date should be used.</t>
  </si>
  <si>
    <t>Document Number 1</t>
  </si>
  <si>
    <t>This is a numbered drawing that is associated with the feature on this row of the spreadsheet. This drawing number will be available in the ELS Engineering Library System, (EDMS).</t>
  </si>
  <si>
    <t>Document Number 2</t>
  </si>
  <si>
    <t>This is a numbered drawing that is associated with the item in the Pipe Event columns. This drawing number will be available in the ELS Engineering Library System, (EDMS).</t>
  </si>
  <si>
    <t>Enter the Wall Map number to designate just a wall map or the Wall Map and Plat sheet combination number to designate a distribution plat sheet. This should be just the number with no extension. It can not be one of your bubbled images. If you bubble a plat sheet, it must have a unique name and be loaded into ECTS as a specific image. See Instructions tab for the naming convention.</t>
  </si>
  <si>
    <t>Gather from the testing job and should be on the strength test pressure report. Use the alternate job numbers (Local Estimate) numbers on the facesheet to help trace down the STPRs.</t>
  </si>
  <si>
    <t>The date the pressure test achieved full pressure. This is the start of the test.</t>
  </si>
  <si>
    <t>Determine the Maximum Allowable Operating Pressure. Be careful where regulation is involved. There is likely more than one MAOP for the line.</t>
  </si>
  <si>
    <t>This value will be calculated based on the class location and related information. You do not need to fill in this value.</t>
  </si>
  <si>
    <t>This value will be calculated based on the class location and related information. You do not need to fill in this value. You should evaluate this value and if it is Red color you should double check that your specifications are correct.</t>
  </si>
  <si>
    <t>Internal Baffles, Dresser Couplings, reinforcing pads/collars, insulated fittings and a variety of other fittings.</t>
  </si>
  <si>
    <t>Calculated value after PFL completion. See GS&amp;S B20</t>
  </si>
  <si>
    <t>The absolute distance in feet from the starting point of this line to the beginning of this feature. This is a required value for all rows. Format is 00+00.0 This should be pipe stationing where it is available, if Pipe Stationing is not available use horizontal stationing.</t>
  </si>
  <si>
    <t>Derived by reviewing and calculating the length of each feature. Use the Milepoint, Field Station and Pipe Station columns to help calculate these values. Some features will be of zero length for purposes of this PFL spreadsheet.</t>
  </si>
  <si>
    <t>Derived by reviewing and calculating the length of each feature. Use the Milepoint, Field Station and Pipe Station to help calculate these values. NEVER break up a fitting into 2 lengths or features in order to identify a tap or other feature in the middle of the fitting. Just create the tap as the next feature and make the stationing correct.</t>
  </si>
  <si>
    <t>Find this information on the face sheet of the installing job. Do not include the prefix for the job number. GM 85737 should be entered as just 85737. Watch out for alternate job numbers, typically Local Estimate numbers that are located on the facesheet and can link to other important drawings.</t>
  </si>
  <si>
    <t>This Type gives more detailed information about the Feature. See the Column Definitions of the various Types based on the Feature, below the double red lines lower on this Column Definitions Tab.</t>
  </si>
  <si>
    <t>Use to help orient yourself to the pipeline and keep your position. Some key locations will have set mile points and these should be recorded, (Such as MLV 20.3). This value is effectively a label, for your reference. Over time as changes are made to the pipeline, mile points recorded for specific valves or other features are not accurate. The initial mile point that you enter into this column is used to calculate the Beg Station and the beginning Feature number for this PFL. This will help when we re-combine all of the PFLs for a line.</t>
  </si>
  <si>
    <t>The Mile Points can be obtained from Operating Maps and Diagrams, with lesser accuracy from Station Drawings and Transmission Plat Sheets. Mile points are normally not accurate enough for actually calculating the footage, but they might be the only information available.</t>
  </si>
  <si>
    <t>Pipe Station - Stationing based on actual length of pipe installed (includes changes in elevation). This is not a strict definition.</t>
  </si>
  <si>
    <t>The actual size or opening of the feature on this row. This value is always measured in inches.</t>
  </si>
  <si>
    <t>Maximum working pressure is usually defined by the ANSI rating, however on occasion it can be greater. Leave this blank if it is not specifically stated. This may be specified on WOG or GWP related fittings.</t>
  </si>
  <si>
    <t>May be listed in detailed valve specifications. Or on Pre-Fabricated component drawings. Don't spend time hunting down this info. Can leave blank if "unknown"</t>
  </si>
  <si>
    <t>Use construction drawings. Some casings show an angle, this is possible, but not likely. Be suspicious of this type of casing and add a Note - Comment about the angle.</t>
  </si>
  <si>
    <t>Find this information on the construction drawings. The annular space in some casings have been filled with special material in an effort to prevent corrosion and the related leaks. Watch for Work Orders that might detail this work.</t>
  </si>
  <si>
    <t>If available gather from As-built drawings and construction detail drawings. Single Wrap, Double Wrap or DW does not mean it was tape wrapped. Usually this refers to hot applied asphalt (HAA), but it should be unknown if it is not clear. After 1980 most pipe is Polyken tape wrapped until the late 1990s, and now most pipe is factory coated with Fusion Bonded Epoxy.</t>
  </si>
  <si>
    <t>Installation date of the current coating on the pipe. With a re-coat job, this may be different than the original installation date of the pipe.</t>
  </si>
  <si>
    <t>Fabricated Assembly that is assembled in the field. May contain pre-fabricated features or components.</t>
  </si>
  <si>
    <t>Use this for patches and related re-enforcement on the pipe line in addition to sleeves. A Type A sleeve does not contain gas pressure. Try to define a sleeve as Type A or B and don't use the "Repair" type if possible. If you can't tell if it is Type A or B, and you know it is a repair sleeve then you can use Repair type.</t>
  </si>
  <si>
    <t>Indicate if the tee is straight or reducing to the branch size or reinforced tee. Most Tees will be reducing Tees.</t>
  </si>
  <si>
    <t>This is the type of flange, most commonly this is a weld flange, but can be a blind flange or other variations. A pipe that is capped off with a blind flange is really two flanges, one for the welded on flange and another for the blind flange itself. Flanges will normally be mated to another flange of some kind. The flanged end of a valve is just part of the valve, but it is typically attached to a weld neck flange.</t>
  </si>
  <si>
    <t>In far right calculated cells joint factor for Bridges in Class 1 at 0.6 and road crossings in the Pipe, etc. in the gray columns</t>
  </si>
  <si>
    <t>Default the Seam Type to N/A for valves, etc.….for MAOP calculator, fills in a value when the cell is gray, no PFL build impact</t>
  </si>
  <si>
    <t>Changed the Mfg. Bend to open OD2 if is  reducing elbow.   And fix WT1 for cap.</t>
  </si>
  <si>
    <t>Significant revisions to the PFL Issues tab, renamed it Issues-Errors tab, created a hierarchy of error categories and sub categories.</t>
  </si>
  <si>
    <t>Added instructions on naming D-plats and op maps that are bubbled, See Instructions tab starting on row 43.</t>
  </si>
  <si>
    <t>Added Insertion Probe to the meter type selection.  This can be an Annular or other types of inserted probe type meters.</t>
  </si>
  <si>
    <t>Added Pipe Types "Casing", "No Casing", "Pipe Encased"; Defaults to "No Casing"</t>
  </si>
  <si>
    <t>Added sleeve type = Repair as an option.  We need to identify Repair sleeves vs. Tie-in sleeves.</t>
  </si>
  <si>
    <t>Improved descriptions on the Column Definitions tab for the Test Pressure and Adj. Test Pressure</t>
  </si>
  <si>
    <t>Modified the Column Definition descriptions for Drawings and Images.  More clearly defined when to use Drawing vs. Image columns.</t>
  </si>
  <si>
    <t>Modified Explanations for Column Definitions of Appurtenance and PCF-Misc.</t>
  </si>
  <si>
    <t>Added Internal Baffle and Dresser Mechanical as a PCF - Misc. Fitting type</t>
  </si>
  <si>
    <t>Union</t>
  </si>
  <si>
    <t>Weld End - Submerged Arc</t>
  </si>
  <si>
    <t>Changes for Version 23</t>
  </si>
  <si>
    <t>Add options to the End Connection for pipes in order to record the type of girth weld</t>
  </si>
  <si>
    <t>Add options to the Material Type for pipes in order to record the type of girth joint for pipe.  Bell Bell Chill ring, etc.</t>
  </si>
  <si>
    <t>Axial Flow</t>
  </si>
  <si>
    <t>Changed ASTM A515, added 32000 as a SMYS option</t>
  </si>
  <si>
    <t>Spring</t>
  </si>
  <si>
    <t>Modified the End Connect column to open up for Regulators, to identify screw end or flang end.</t>
  </si>
  <si>
    <t>Added Regulator    Type = Spring</t>
  </si>
  <si>
    <t>Weld End - Oxy/Acetylene</t>
  </si>
  <si>
    <t>Weld End - Unknown</t>
  </si>
  <si>
    <t>Weld End - Arc Stick</t>
  </si>
  <si>
    <t>Weld End - MIG/GMAW</t>
  </si>
  <si>
    <t>The end connection is normally weld end, but can be flange end or other variations.  For pipe this option is used to identify the Girth Weld if possible using Weld - Arc, Weld - Oxy/Actyl, Weld - Submerged Arc, Weld - MIG/GMAW.    For weld end flange the end connect value should be Weld by Flange. A blind flange should be flange.</t>
  </si>
  <si>
    <t>ASTM A-7</t>
  </si>
  <si>
    <t>Added ASTM A-7 specification</t>
  </si>
  <si>
    <t>Obtain from the as-built bill of material, material requisition, material contract, material specification, material inspection report, radiographic inspection, inspection using A-11. You must have original supporting documentation.   If the pipe seam is designated as "continuous weld" it is equivalent to "Furnace Butt Weld".    Use "Furnace Butt Weld" in the PFL.</t>
  </si>
  <si>
    <t>Steel Bell Spigot</t>
  </si>
  <si>
    <t>Normally this is steel.   With pipe use this to specify the type of ends on the pipe or mfg bends such as Bell Bell Chill Ring or Bell Spigot Ends.   Can be other if new products are introduced.</t>
  </si>
  <si>
    <t>Percent X-ray</t>
  </si>
  <si>
    <t>Percent   X-ray</t>
  </si>
  <si>
    <t>10 percent</t>
  </si>
  <si>
    <t>15 percent</t>
  </si>
  <si>
    <t>20 percent</t>
  </si>
  <si>
    <t>30 percent</t>
  </si>
  <si>
    <t>40 percent</t>
  </si>
  <si>
    <t>50 percent</t>
  </si>
  <si>
    <t>80 percent</t>
  </si>
  <si>
    <t>100 percent</t>
  </si>
  <si>
    <t>X-ray</t>
  </si>
  <si>
    <t>Obtain from the as-built bill of material, material requisition, material contract, material specification, material inspection report.   Venturi reducers are used extensively on Line 300 before and after reduced port plug valves.</t>
  </si>
  <si>
    <t>Resolution Document for PFL not Built</t>
  </si>
  <si>
    <t>Route Information</t>
  </si>
  <si>
    <t>Route Number</t>
  </si>
  <si>
    <t>Segment Numbers</t>
  </si>
  <si>
    <t>Mile Point 1</t>
  </si>
  <si>
    <t>Mile Point 2</t>
  </si>
  <si>
    <t>GIS Footage</t>
  </si>
  <si>
    <t>Pipe Diameter</t>
  </si>
  <si>
    <t>Year Installed</t>
  </si>
  <si>
    <t>Reason for not building PFL (check one)</t>
  </si>
  <si>
    <t>Line is distribution</t>
  </si>
  <si>
    <t>Line does not exist</t>
  </si>
  <si>
    <t>Line has new name</t>
  </si>
  <si>
    <t>Image References</t>
  </si>
  <si>
    <t>Description/Additional Notes</t>
  </si>
  <si>
    <t>Signature Block</t>
  </si>
  <si>
    <t>Lan ID</t>
  </si>
  <si>
    <t>Signature</t>
  </si>
  <si>
    <t>Reviewed by</t>
  </si>
  <si>
    <t>Other Id</t>
  </si>
  <si>
    <t>Added Spiral Weld pre 1967 with the 0.8 joint factor.</t>
  </si>
  <si>
    <t>Improved the Column Definitions instructions for "Purchased from Other Company" and "Reconditioned/Salvaged".</t>
  </si>
  <si>
    <t>Slam shut</t>
  </si>
  <si>
    <t>Fire Fuse - Slam Shut</t>
  </si>
  <si>
    <t>Added Fire fuse slam shut and slam shut to Regulator options</t>
  </si>
  <si>
    <t>Outside Diameter</t>
  </si>
  <si>
    <t>Outside Diameter of the pipe</t>
  </si>
  <si>
    <t>Do not spend a lot of time chasing the coating type.   Preferred information is from the as-built job, H form or form 4410.    The face sheet or index page of job drawings often includes the criteria for pipeline coating of field work.   Current jobs give 3 options in decreasing order of desire.   With Protal the current preferred choice.</t>
  </si>
  <si>
    <t>HPR Set</t>
  </si>
  <si>
    <t>Added HPR Set as a regulator option.  This represents not a single regulator but a Set including pipe and other fittings.</t>
  </si>
  <si>
    <t>Added Orifice Skid Mnt - Gas Well as a meter option, this is for a skid mounted orifice meter per the gas standards used for gas wells.</t>
  </si>
  <si>
    <t>5  percent</t>
  </si>
  <si>
    <t>0 percent</t>
  </si>
  <si>
    <t>Some drawings will show Internal Baffles, these are important to identify in the PFL for pigging purposes. There is a drop down value for Internal Baffles. If collars or "reinforcing pads" are drawn around pipes you can assume there is a collar and include it in the PFL, however be sure to write in the Notes that this is not specifically called out in the material list. A weldolet should show up on both the mainline and the branching short because it is attempting to reinforce both of these features.  Weldolet or sockolets used for inaccessible drip locations, should be included on the mainline, along with the bushing called out as a Feature = Other, Type=Collar, then a 0.1 length of pipe and the Mueller Tee.</t>
  </si>
  <si>
    <t>This information should be on the As-built drawings or may be found on the regulator data sheets. See the tools folder for the way to look up and find the regulator data sheets in ECTS.  Try to identify the orifice size for the regulator and include it in the "actual size/opening" column.    The plat sheet or the valve maintenance record will usually list the name of the regulator station.  This name should be entered in the "Name" column for all regulators and monitors in the set.</t>
  </si>
  <si>
    <t>Find in the as-built construction drawings or maintenance records.   The name of the Regulator Station should be listed in the "name" column for the Relief Valve.</t>
  </si>
  <si>
    <t>The operating map or diagram should have a specific drawing number on it. It is not required on every row. Only required where helpful to the PFL data or where you are gathering the Current MAOP from an operating map or diagram.</t>
  </si>
  <si>
    <t>This should be the commonly used name or number for the Valve, such as MLV 234.3 or K-345, or other name. Should be consistent with maintenance records. Various other features, may also have specific names, such as Pig Launchers, Relief Valves, etc.    Note that valves within a station should be unique, such as V-1, V-2, V-A, V-B, but will not be unique across different stations.  You can use these simple valve names on the PFL.   However, the official maintenance valve name for larger stations is often a combination of the mainline valve name and the local number.    In this case V-A, becomes V-234.2-A, where 234.2 is the mainline valve number and the A following the dash designates the particular valve within the station.</t>
  </si>
  <si>
    <t>Mfg</t>
  </si>
  <si>
    <t>Kaiser</t>
  </si>
  <si>
    <t>Consolidated Western</t>
  </si>
  <si>
    <t>Mueller</t>
  </si>
  <si>
    <t>National Tube</t>
  </si>
  <si>
    <t>TD Williamson</t>
  </si>
  <si>
    <t>US Steel</t>
  </si>
  <si>
    <t>Added a drop down to Mfg column that still allows you to type in your own value.</t>
  </si>
  <si>
    <t>Berg Steel Pipe</t>
  </si>
  <si>
    <t>Brooks Products</t>
  </si>
  <si>
    <t>California Steel Ind.</t>
  </si>
  <si>
    <t>Cameron</t>
  </si>
  <si>
    <t>Carlon</t>
  </si>
  <si>
    <t>Continental</t>
  </si>
  <si>
    <t>Dressor</t>
  </si>
  <si>
    <t>Dressor Rand</t>
  </si>
  <si>
    <t>Dura Bond</t>
  </si>
  <si>
    <t>Fisher</t>
  </si>
  <si>
    <t>American</t>
  </si>
  <si>
    <t>Grove</t>
  </si>
  <si>
    <t>Herning Underground</t>
  </si>
  <si>
    <t>Ingersoll Rand</t>
  </si>
  <si>
    <t>Innogaz</t>
  </si>
  <si>
    <t>Kerotest</t>
  </si>
  <si>
    <t>La Barge Pipe</t>
  </si>
  <si>
    <t>Nordstrom</t>
  </si>
  <si>
    <t>Northwest Pipe</t>
  </si>
  <si>
    <t>Perfection</t>
  </si>
  <si>
    <t>Romet Limited</t>
  </si>
  <si>
    <t>PW Pipe Co</t>
  </si>
  <si>
    <t>Tubular Steel</t>
  </si>
  <si>
    <t>Pacific Pipe Co</t>
  </si>
  <si>
    <t>Ridgeline Pipe</t>
  </si>
  <si>
    <t>Taylor Forge</t>
  </si>
  <si>
    <t>Tube Turn</t>
  </si>
  <si>
    <t>Tri-Pacific Supply</t>
  </si>
  <si>
    <t>Tube Forgings</t>
  </si>
  <si>
    <t>Cooper Cameron</t>
  </si>
  <si>
    <t>-Type Over Me-</t>
  </si>
  <si>
    <t>Added additional image columns just before the Basic MAOP Calculations, these are over-flow image name columns for use by any groups.</t>
  </si>
  <si>
    <t>Image 11</t>
  </si>
  <si>
    <t>Image 12</t>
  </si>
  <si>
    <t>Image 13</t>
  </si>
  <si>
    <t>Image 14</t>
  </si>
  <si>
    <t>Obtain from the as-built bill of material, material requisition, material contract, material specification, material inspection report. A blind flange and a slip on flange would not have a length. The lap joint flange comes as a package with a piece of pipe and a flange, in the PFL this is one row of data with length that includes the pipe portion. The piece of pipe has the wall thickness, grade and diameter that we want recorded in the PFL.  In the case of a slip on flange, there is a piece of pipe that is recorded in the PFL with length on one row and then a slip on flange that is welded to it that has no length and is listed in a PFL on the next row.</t>
  </si>
  <si>
    <t>Mfg Bend Type</t>
  </si>
  <si>
    <t>added Column Definition information for Wrinkle bends.</t>
  </si>
  <si>
    <t>The percentage of welds inspected with radiography or mag particle on the project.</t>
  </si>
  <si>
    <t>Added explanation of the Percent X-ray column that was previously added.</t>
  </si>
  <si>
    <t>Spiral Weld post 1966</t>
  </si>
  <si>
    <t>Changed the Spiral Weld options, to Spiral Weld post 1966, and Spiral Weld (which is for prior to 1967) per Tom Ford email request</t>
  </si>
  <si>
    <t>Uprate</t>
  </si>
  <si>
    <t>Uprate added to list of test types.  Will need more work to sort out what data goes in which columns.</t>
  </si>
  <si>
    <t>1 in Station</t>
  </si>
  <si>
    <t>2 in Station</t>
  </si>
  <si>
    <t>3 in Station</t>
  </si>
  <si>
    <t>2 in Hard Road Crossing</t>
  </si>
  <si>
    <t>3 in Hard Road Crossing</t>
  </si>
  <si>
    <t>1 in Public Road Crossing</t>
  </si>
  <si>
    <t>1 in Hard Road Parallel</t>
  </si>
  <si>
    <t>1 on Bridge</t>
  </si>
  <si>
    <t>Modified the Class drop down to include In Public Road, In Hard Road, In Station and On Bridge options. And removed some of these options from the pipe type.</t>
  </si>
  <si>
    <t>Has duration, pressure, medium. No supervisor name</t>
  </si>
  <si>
    <t>Other variations of missing, pressures, medium, duration, elevation, dates, charts, pipe specifications, etc.</t>
  </si>
  <si>
    <t>Modiifed Q9 STPR rating such that it contains 3 field, but is missing the supervisor name.   (Charts are not required)</t>
  </si>
  <si>
    <t>The type of meter, an orifice meter, ultra sonic, insertion turbine meter are common in the piping system. Turbine, orifice and rotary meters are common at the ends of lines for metering large customers.   The Orifice Skid Mnt - Gas Well option is an assembly of various features in the form of a skid mounted meter set up for gas wells, (such as J-45)</t>
  </si>
  <si>
    <t>Inlet Pressure (psi)</t>
  </si>
  <si>
    <t>Install date later than</t>
  </si>
  <si>
    <t>151-400</t>
  </si>
  <si>
    <t>401-500</t>
  </si>
  <si>
    <t>501-700</t>
  </si>
  <si>
    <t>701-800</t>
  </si>
  <si>
    <t>801-900</t>
  </si>
  <si>
    <t>901-1000</t>
  </si>
  <si>
    <t>Farm Tap Regulator</t>
  </si>
  <si>
    <t>Find the detailed information in the maintenance records or the original construction drawings.   The gas well skid mounted meter is usually shown in the construction drawings and is often installed by the gas well owner.</t>
  </si>
  <si>
    <t>Find the year of the installation on the service order or as-built drawings.  Use the installation year of the mainline if the service year is not available.  The pressure should be found using drawing 086868 or operating diagrams.  If you have more than one cut in pressure, enter multiple rows with the feature type of Farm Tap Reg, with the appropriate Type for the individual pressure cuts.</t>
  </si>
  <si>
    <t>From the Strength Test Pressure Report or the uprate procedure.</t>
  </si>
  <si>
    <t>The minimum actual indicated and measured test pressure in PSIG. On many Strength Test Pressure Reports this is the Minimum Indicated Test Pressure.   For an uprate this is the maximum pressure reached during the stepped uprate procedure.</t>
  </si>
  <si>
    <t>From the Strength Test Pressure Report.   For an uprate procedure and test this is the date the maximum pressure was reached.</t>
  </si>
  <si>
    <t>Design Factor casing</t>
  </si>
  <si>
    <t>Obtain from the as-built bill of material, material requisition, material contract, material specification, material inspection report. Can leave blank if "unknown".   If using H-forms or measured wall thickness, you must calculate the average of 4 points measured around the same area of the pipe, than pick the next lower commercial wall thickness.   The selected wall thickness can not be less than 1.14 times the smallest wall thickness measurement for 20 inch and larger or 1.11 times for smaller than 20 inch pipe.</t>
  </si>
  <si>
    <t>Add new Feature=Farm Tap Reg, with new types</t>
  </si>
  <si>
    <t>Steel by Plastic Transition</t>
  </si>
  <si>
    <t>A Take-off is a location where gas is drawn out of the system, such as a customer service or reg station. A Connection is where very little gas is removed, such as a gauge tap.   Sav-a-valves are small nipples welded on the pipe that can be used with a Mueller machine for tapping the pipe without releasing gas.  TD Williamson fittings of the same type should be called sav-a-valves.</t>
  </si>
  <si>
    <t>The type of tap can usually be determined from the construction drawings, face sheet/detail sheet or material lists.   There are regulator service tees, pin-off valve tees and curb valve tees.</t>
  </si>
  <si>
    <t>Capture the manufacturer of this feature if it can be identified. This will not be available for many features.  Newer 2011 jobs should have mill tests that are traceable to manufacturer names.</t>
  </si>
  <si>
    <t>Changes for Version 24</t>
  </si>
  <si>
    <t>small regulator to supply farm</t>
  </si>
  <si>
    <t>You must enter the drawing number from the drop down list that matches to the appropriate standard drawing for Farm Taps.  Refer to the chart lower on this page that is labeled as Farm Tap Regulator.  Look up the year of your installation in column D and the pressure along row 135.   If the corresponding cell is blank use the closest value.  The Farm Tap regulator begins at the first tee or shutoff entering the regulator and the last tee or shutoff leaving the regulator.  The shutoff may be a valve or a valve tee.</t>
  </si>
  <si>
    <t>Serial, Heat or Lot Number</t>
  </si>
  <si>
    <t>KaisAloy 50 MV or CV</t>
  </si>
  <si>
    <t>works for either MV or CV versions</t>
  </si>
  <si>
    <t>Weldolet or variations</t>
  </si>
  <si>
    <t>Changed drop down from Weldolet to "Weldolet or Variations"</t>
  </si>
  <si>
    <t>Changed KaisAloy 50MV to "KaisAloy 50 MV or CV"</t>
  </si>
  <si>
    <t>Changed the label on column Z from Serial Number to Serial, Heat or Lot Number.   Use this column for Heat Numbers and Lot Numbers.</t>
  </si>
  <si>
    <t>MSS F70</t>
  </si>
  <si>
    <t>MSS F65</t>
  </si>
  <si>
    <t>MSS F60</t>
  </si>
  <si>
    <t>MSS F56</t>
  </si>
  <si>
    <t>MSS F52</t>
  </si>
  <si>
    <t>MSS F50</t>
  </si>
  <si>
    <t>MSS F48</t>
  </si>
  <si>
    <t>MSS F46</t>
  </si>
  <si>
    <t>MSS F42</t>
  </si>
  <si>
    <t>MSS F36</t>
  </si>
  <si>
    <t>MSS specified material uses grades with F60 as 60,000 for example.  Added MSS F36 to MSS F70 specification drop down.</t>
  </si>
  <si>
    <t>Dollinger</t>
  </si>
  <si>
    <t>filters</t>
  </si>
  <si>
    <t>Consler</t>
  </si>
  <si>
    <t>FilterFab</t>
  </si>
  <si>
    <t>Safeco</t>
  </si>
  <si>
    <t>Added new manufacturers to the selection Dollinger, etc.</t>
  </si>
  <si>
    <t>Curb Valve Tee w/ nut-Mueller</t>
  </si>
  <si>
    <t>Added curb valve tee with Nut to Feature = Valve for GSS Std installation</t>
  </si>
  <si>
    <t>Gary Collins</t>
  </si>
  <si>
    <t>Phil Ornelas</t>
  </si>
  <si>
    <t>Joel Mannie</t>
  </si>
  <si>
    <t>Clem Holst</t>
  </si>
  <si>
    <t>Tom Copriviza</t>
  </si>
  <si>
    <t>Lisa Moreno</t>
  </si>
  <si>
    <t>Shane Doong</t>
  </si>
  <si>
    <t>Jason Bruni</t>
  </si>
  <si>
    <t>Pat Wilhoit</t>
  </si>
  <si>
    <t>Joey Mathews</t>
  </si>
  <si>
    <t>Mike Hernandez</t>
  </si>
  <si>
    <t>Perry Johnson</t>
  </si>
  <si>
    <t>Tom Van Boxtel</t>
  </si>
  <si>
    <t>Timothy Mcknight</t>
  </si>
  <si>
    <t>Randy Mclain</t>
  </si>
  <si>
    <t>Added drop down of common supervisor names for STPR supervisor column</t>
  </si>
  <si>
    <t>Enter the name of the person that supervised the strength test. If you can't read the name take your best guess at the spelling.  There is a drop down to help with common names or go to a blank row and type in the name.</t>
  </si>
  <si>
    <t>A&amp;G</t>
  </si>
  <si>
    <t>A.J. Glesener Co, Inc.</t>
  </si>
  <si>
    <t>A.O.Smith Corp.</t>
  </si>
  <si>
    <t>AGCO</t>
  </si>
  <si>
    <t>Allied Supply</t>
  </si>
  <si>
    <t>American Straight Pattern</t>
  </si>
  <si>
    <t>Apollo</t>
  </si>
  <si>
    <t>Anderson Greenwood</t>
  </si>
  <si>
    <t>Bonny Forge</t>
  </si>
  <si>
    <t>C.S. James</t>
  </si>
  <si>
    <t>California Corrugated Culvert</t>
  </si>
  <si>
    <t>Caltrol</t>
  </si>
  <si>
    <t>Capital Machine &amp; Welding</t>
  </si>
  <si>
    <t>Chapman</t>
  </si>
  <si>
    <t>Chas. S. James Company</t>
  </si>
  <si>
    <t>Columbia Steel Co</t>
  </si>
  <si>
    <t>Connersville</t>
  </si>
  <si>
    <t>Crane</t>
  </si>
  <si>
    <t>CSI</t>
  </si>
  <si>
    <t>Daniel Orifice Fitting Co</t>
  </si>
  <si>
    <t>Dynamic Products</t>
  </si>
  <si>
    <t>ElectroStop</t>
  </si>
  <si>
    <t>Emco</t>
  </si>
  <si>
    <t>Farwest Corrosion</t>
  </si>
  <si>
    <t>Elster America Meter</t>
  </si>
  <si>
    <t>Gilmore Steel</t>
  </si>
  <si>
    <t>Grinnell Company</t>
  </si>
  <si>
    <t>Huber Yale</t>
  </si>
  <si>
    <t>Independent Iron Works</t>
  </si>
  <si>
    <t>Instromet</t>
  </si>
  <si>
    <t>ITT Grinnell Corp</t>
  </si>
  <si>
    <t>Key Pipe and Supply</t>
  </si>
  <si>
    <t>Ladish</t>
  </si>
  <si>
    <t>Link Seal</t>
  </si>
  <si>
    <t>Maloney</t>
  </si>
  <si>
    <t>Marpac</t>
  </si>
  <si>
    <t>Merco Nordstrom</t>
  </si>
  <si>
    <t>Mercor</t>
  </si>
  <si>
    <t>Multiturn</t>
  </si>
  <si>
    <t>Napa Pipe</t>
  </si>
  <si>
    <t>Orbit</t>
  </si>
  <si>
    <t>PBV</t>
  </si>
  <si>
    <t>Powell</t>
  </si>
  <si>
    <t>Ziefle</t>
  </si>
  <si>
    <t>Reliance</t>
  </si>
  <si>
    <t>RMC</t>
  </si>
  <si>
    <t>Robinson</t>
  </si>
  <si>
    <t>Rockwell</t>
  </si>
  <si>
    <t>Roots</t>
  </si>
  <si>
    <t>Rosemount</t>
  </si>
  <si>
    <t>Security Valve Corp</t>
  </si>
  <si>
    <t>Siemens</t>
  </si>
  <si>
    <t>Singer</t>
  </si>
  <si>
    <t>Southwest Welding &amp; Manufacture</t>
  </si>
  <si>
    <t>Tay Holbrook</t>
  </si>
  <si>
    <t>TK Valves</t>
  </si>
  <si>
    <t>Tom Wheatley</t>
  </si>
  <si>
    <t>Unibolt</t>
  </si>
  <si>
    <t>USA, Inc</t>
  </si>
  <si>
    <t>USS</t>
  </si>
  <si>
    <t>Van Stone</t>
  </si>
  <si>
    <t>Venturi</t>
  </si>
  <si>
    <t>Walworth</t>
  </si>
  <si>
    <t>WE Energy</t>
  </si>
  <si>
    <t>Western Pipe &amp; Steel</t>
  </si>
  <si>
    <t>Western Piping &amp; Engr</t>
  </si>
  <si>
    <t>WKM</t>
  </si>
  <si>
    <t>US Poly</t>
  </si>
  <si>
    <t>Youngstown</t>
  </si>
  <si>
    <t>Yuba City Steel</t>
  </si>
  <si>
    <t>Changed Unknown on fitting ratings to 0 instead of n/a</t>
  </si>
  <si>
    <r>
      <t xml:space="preserve">Receipt / Delivery Tags with clear dates, job number and/or locations.  </t>
    </r>
    <r>
      <rPr>
        <sz val="10"/>
        <color rgb="FFFF0000"/>
        <rFont val="Arial"/>
        <family val="2"/>
      </rPr>
      <t>The specifications may be on another document, but this document proves delivery.</t>
    </r>
  </si>
  <si>
    <r>
      <t xml:space="preserve">Purchase Orders, As-built Drawings, As-built Strength Test Pressure Reports, As-built Bill of Materials or Bill of Material with Purchase Order numbers listed.  </t>
    </r>
    <r>
      <rPr>
        <sz val="10"/>
        <color rgb="FFFF0000"/>
        <rFont val="Arial"/>
        <family val="2"/>
      </rPr>
      <t>Material requisitions that are signed or dated as received.</t>
    </r>
  </si>
  <si>
    <t>Changed definitions of Q1, Q2 and Q3 for fittings and pipes to clarify signed and dated material requisitions.</t>
  </si>
  <si>
    <t>Gas Service Records that are utilized and were not found in ECTS should get a standard name such as:</t>
  </si>
  <si>
    <t>JobNumber_GasServRec_ServiceRecordNumber_Address</t>
  </si>
  <si>
    <t>JobNumber_GasServRec_Address  or ServiceRecordNumber_GasServRec_Address</t>
  </si>
  <si>
    <t>Use the address instead of the timestamp, to make the name more useful.   If you have both a job number and a gas service record number.</t>
  </si>
  <si>
    <t>Changed Tap with type Connection and Take-off to expose the Seam Type, this is for pipes that are tapped off mainlines.</t>
  </si>
  <si>
    <t>Gas Wells</t>
  </si>
  <si>
    <t>Added Instructions tab section on where to start or end a PFL around a gas well.</t>
  </si>
  <si>
    <t>WOG 6000#</t>
  </si>
  <si>
    <t>rating column</t>
  </si>
  <si>
    <t>These components usually are identified by special drawings that specifically detail their fabrication and welding. Normally these components would be heat treated and tested by the manufacturer. We should try to find documentation of testing reports. Often historical drawings of this type are marked with a WOG rating.  Each appropriate feature on the PFL should have this marked column marked as "yes".</t>
  </si>
  <si>
    <t>A Pre-fabricated feature built in a shop that contains more than girth welds connecting standard pipeline components.</t>
  </si>
  <si>
    <t>Indicate with yes or no or unknown if this is a Fabricated Assembly. Fabricated assemblies are mainline valve assemblies, river crossing headers or other sets of features with close together girth welds and pipes going in multiple directions.   Fabricated assemblies or shorts sections of pipe may be tested for only 4 hours instead of the normal 8 hours.  These 4 hour tests are an indication of a fabricated assembly, but just because they tested it for 4 hours does not mean it is automatically a fabricated assembly.  You must review the information independent of the strength test information.</t>
  </si>
  <si>
    <t>Spring Type</t>
  </si>
  <si>
    <t>Added a Type = "spring type" for relief valves</t>
  </si>
  <si>
    <t>&lt;300</t>
  </si>
  <si>
    <t>2*</t>
  </si>
  <si>
    <t>10**</t>
  </si>
  <si>
    <t>12***</t>
  </si>
  <si>
    <t>*See also 281462 (CS7) (same configuration, different design outlet MAOP -- check job documentation).</t>
  </si>
  <si>
    <t>**Also use 283205 (CS4) when there are 3 stages (see below).</t>
  </si>
  <si>
    <t>***Also use 283473 (H11) when there are 3 stages (see below).</t>
  </si>
  <si>
    <t>Stages</t>
  </si>
  <si>
    <t>Primary</t>
  </si>
  <si>
    <t>Secondary</t>
  </si>
  <si>
    <t>Final</t>
  </si>
  <si>
    <t>Regulation #</t>
  </si>
  <si>
    <t>281337* (CS6)</t>
  </si>
  <si>
    <t>281421 (CS5)</t>
  </si>
  <si>
    <t>282760 (CS7)</t>
  </si>
  <si>
    <t>282482 (CS3)</t>
  </si>
  <si>
    <t>282484 (CS4)</t>
  </si>
  <si>
    <t>282737 (CS5)</t>
  </si>
  <si>
    <t>282738 (CS4)</t>
  </si>
  <si>
    <t>282793 (CS3)</t>
  </si>
  <si>
    <t>283204 (CS5)</t>
  </si>
  <si>
    <t>283203 (CS3)</t>
  </si>
  <si>
    <t>283205** (CS4)</t>
  </si>
  <si>
    <t>283475 (H10)</t>
  </si>
  <si>
    <t>283458 (H12)</t>
  </si>
  <si>
    <t>283473*** (H11)</t>
  </si>
  <si>
    <t>Missing Downstream Fire Valve</t>
  </si>
  <si>
    <t>Missing regulation run block valve</t>
  </si>
  <si>
    <t>Missing Upstream fire valve</t>
  </si>
  <si>
    <t>Added more sub-category options under the Information category on Issues-Errors tab.  These allow you to specify missing fire valves, etc.</t>
  </si>
  <si>
    <t>0 psig</t>
  </si>
  <si>
    <t>added 40 inch pipe to drop down options</t>
  </si>
  <si>
    <t>changed maximum duration on tests to 90 hours</t>
  </si>
  <si>
    <t>Normally this will be a Pipe Cap. Which is just a standard weld on cap for the end of the line. Other may be used if it doesn't fit this definition.  Such as a "uni-bolt" type of cap or other standard type of cap.   Other - Closure is another option if it is very unusual.</t>
  </si>
  <si>
    <t>FarmTapRegSet</t>
  </si>
  <si>
    <t>Steel</t>
  </si>
  <si>
    <t>AO Smith</t>
  </si>
  <si>
    <t>API</t>
  </si>
  <si>
    <t>Cor-Ten</t>
  </si>
  <si>
    <t>minimal documentation shows 50,000, use 42,000 to be conservative until we find more info.</t>
  </si>
  <si>
    <t>Notes / Comments</t>
  </si>
  <si>
    <t>Minimum Wall</t>
  </si>
  <si>
    <t>Line:</t>
  </si>
  <si>
    <t>Milepoint 1:</t>
  </si>
  <si>
    <t>Milepoint 2:</t>
  </si>
  <si>
    <t>Source Route 1:</t>
  </si>
  <si>
    <t>Source Route 2:</t>
  </si>
  <si>
    <t>Workbook Filename:</t>
  </si>
  <si>
    <t>Basic Data</t>
  </si>
  <si>
    <t>As-built job number that the feature was installed under. Historically this would be a GM number, but can be a wide variety of other numbers, such as WO, PSRS, SP, etc.</t>
  </si>
  <si>
    <t>General notes and comments related to the features identified on the row.</t>
  </si>
  <si>
    <t>The field station is filled in where it is available from source documents. This is used to help calculate the Beg and End Station. If you have a "change station" or "equation" just use this column to the point of the change and then switch to the Pipe Station column for the new stationing.</t>
  </si>
  <si>
    <t>Pipe stations might be available on plan and profile drawings. Use care to avoid confusing the horizontal versus pipe stationing. However, use this column to help work with the stationing shown on Transmission Plats or construction drawings.</t>
  </si>
  <si>
    <t>Obtain from the as-built bill of material, material requisition, material contract, material specification, material inspection report. If the drawings used for the pipe specification information are not as-built, you must indicate on the notes that information is NOT as-built.</t>
  </si>
  <si>
    <t>Obtain from drawing details, bill of materials or from gas standards at the time of the installation.</t>
  </si>
  <si>
    <t>If this is a Tap it is the actual size of the drill hole in inches for the tap if known. For a Valve the size of the valve opening in inches. If this is a full port valve it should be the same value as the pipeline outside diameter (if you have the actual diameter of the inside of the full port valve you can use that value, but don't hunt for it) or if it is a reduced port valve then put the smallest dimension of the valve opening. If Relief Valve this should be the opening size used for calculation of capacity in inches. If it is a Sleeve, this is the length of the sleeve in inches. For a collar this is the largest outside dimension of the collar or reinforcing pad, usually something like 12" in diameter.   For a regulator this is the Orifice size of the regulator if it is available.</t>
  </si>
  <si>
    <t>Serial, Heat or Lot number of this feature.</t>
  </si>
  <si>
    <t>Type of end connection</t>
  </si>
  <si>
    <t>Obtain this information from the construction drawings, or bill of materials.</t>
  </si>
  <si>
    <t>Find this information on the as-built construction drawings or statements on the drawings about the bend orientation.</t>
  </si>
  <si>
    <t>Are there scraper bars in the Tee?</t>
  </si>
  <si>
    <t>Max allowable test pressure of valve in open position.</t>
  </si>
  <si>
    <t>This is the type of insulator installed between the carrier pipe and the casing pipe.</t>
  </si>
  <si>
    <t>Describe additional coating characteristics, such as second coats of different material, concrete coating, milar or rock guard.</t>
  </si>
  <si>
    <t>Obtain from the as-built bill of material, material requisition, material contract, material specification, material inspection report and haul tags.</t>
  </si>
  <si>
    <t>This information comes from source documents, drawings and the existing GIS system. The best source of information is the existing GIS system. This value is not always correct on source documents. Particularly around branches and interconnections between lines. If it is sav-a-valve or a gauge tap or pressure sensing line adjacent to valves and is not identified on GIS the Branch Line Numbers is "Connection" and is not uniquely identified. If it is a take-off or is not identified in GIS then use the standard naming convention.</t>
  </si>
  <si>
    <t>The percentage of required welds that are x-rayed in the field.   This number is only for the required welds, which should be listed on the X-ray Summary document.   Can be taken from lists of x-ray results if the summary is not available.  If the x-ray detail sheets are present and no X-ray summary sheet, you can estimate the portion of welds that were inspected and enter it on the PFL.</t>
  </si>
  <si>
    <t>Image 10</t>
  </si>
  <si>
    <t>Image name 10.  This is an over-flow image name column for use when the image name does not fit in the other columns.  This column does not have a quality code, preference is to use the other columns first.</t>
  </si>
  <si>
    <t>Image name 11.  This is an over-flow image name column for use when the image name does not fit in the other columns.  This column does not have a quality code, preference is to use the other columns first.</t>
  </si>
  <si>
    <t>Image name 12.  This is an over-flow image name column for use when the image name does not fit in the other columns.  This column does not have a quality code, preference is to use the other columns first.</t>
  </si>
  <si>
    <t>Image name 13.  This is an over-flow image name column for use when the image name does not fit in the other columns.  This column does not have a quality code, preference is to use the other columns first.</t>
  </si>
  <si>
    <t>Image name 14.  This is an over-flow image name column for use when the image name does not fit in the other columns.  This column does not have a quality code, preference is to use the other columns first.</t>
  </si>
  <si>
    <t>Feature Types</t>
  </si>
  <si>
    <t>Most Pipe sections are the default value (No Casing) and do not have a casing.  For sections of pipe in a Casing or other features, you must break the pipe features at the beginning and ending of the casing or any other Pipe Type identified on this line, even if the pipe is the same beyond the casing or Pipe Type.</t>
  </si>
  <si>
    <t>The type of bend may be available from the construction drawings. If you are unsure if it is a field bend or a miter, then assume it is a miter as the worst case.    Line 300 and other pipelines contain wrinkle bends, these should be identified in the PFL.</t>
  </si>
  <si>
    <t>Type of reducer</t>
  </si>
  <si>
    <t>The type of relief valve, use drop down to pick the applicable valve type.</t>
  </si>
  <si>
    <t>This is a farm tap regulator supplying 1 or 2 adjoining residential or small commercial customers.</t>
  </si>
  <si>
    <t>The Appurtenance is something attached to; or around the pipe. Pipe hangers, straps, pipe supports and related items.</t>
  </si>
  <si>
    <t>Gather from the detailed construction drawings. Revetment material (such as a pile of rocks) is used to protect slopes and facilities from erosion by natural forces.</t>
  </si>
  <si>
    <t>Operating maps and diagrams are schematic drawings of the system. The Operating Maps indicate the over-all milepoint labels on a line and the general layout between stations. The Operating Diagrams indicate the layout within a station. The Operating Maps can be useful to get an over-all feel for the pipeline. You can not use the Mile Points listed to actually measure distances. The Mile Points are just labels and are no longer accurate mile points. Most official Stations will have a corresponding "Station" drawing. This drawing is usually a specific drawing number and many revisions may have been made to the drawings. You should always verify you have the latest "Station" drawing.</t>
  </si>
  <si>
    <t>The pipe specification information can often be gathered from bill of materials or directly from the drawings. This is good information and can be used if there is no other source of specification information, but you must try to find collaborating information in the original source documents. This means you must attempt to find material requisitions, purchase orders, mill tests and related information that specifically creates a trail of information back to a manufacturer's source document that details the specifications for the pipe or fittings.</t>
  </si>
  <si>
    <t>An important part of the pipeline features process is the documentation of the specific features on a copy of the original source documents. This is done in order to allow a Data Checker or QC/QA person to verify the basic data is correct and follow the logic of the PFL builder.</t>
  </si>
  <si>
    <t>After the PFL is built, a second person or group must review the PFL for correctness. This group should use a Yellow color to check off each feature that is verified. If there are errors, the errors should be detailed with Red color pencil or writing. After the errors are corrected they should be crossed out or if necessary they can be erased if it helps with the clarity on the drawings.</t>
  </si>
  <si>
    <t>When the scanned bubble sheets are returned they can be large images. The should be scanned individually and then grouped in a compressed file. Do not scan all the bubble sheets into a single large file for a PFL.</t>
  </si>
  <si>
    <t>Document Type:</t>
  </si>
  <si>
    <t>Distribution Plat sheets and Operating maps are the last choice and the lowest quality documents to "Bubble", however if you have no other data source they can be used.</t>
  </si>
  <si>
    <t>Drawing / Doc #:</t>
  </si>
  <si>
    <t>Image Reference Name:</t>
  </si>
  <si>
    <t>Due to regulatory constraints we are forced to do PFLs in a series of small sections that do not include all of a pipeline. This creates problems because of the Begin and End Stations and the length of each feature. Version 20 and greater of the spreadsheet is set up to calculate the Begin and End station from the Length. The Begin station should be the Mile Point times 5280 and the Feature Id should be Mile Point times 100. This will work for the initial PFL creation, but eventually we will be going back to "fill in the gaps" in the PFL for a given pipeline. Ultimately we must end up with the entire pipeline with a single continuous Begin and End Stationing. Some of the work to create an unbroken Begin and End station may be done in the GIS system, however, there may be cases where it must be done on the spreadsheet.</t>
  </si>
  <si>
    <t>Material codes can be used to establish material specifications, however in all cases, if you use a Material Code to establish a specification it should be noted in the comments column. A small number of material codes exist for the 1940's and a complete list is available for 1967 and 1986. Material codes historically are retired and are not redefined for other material. Consequently if you have clearly as-built information that indicates specific material codes, you can use the 1967 material code list for construction dates from 1957 to 1977 and the 1986 material code list from 1977 to 1995. After 1995 use the current material codes. The 1940 codes can be used for jobs constructed between 1940 and 1957 however collaborating evidence should be located to help justify the specification.</t>
  </si>
  <si>
    <t>One purpose of the PFL process is to establish the MAOP of a given pipeline. This analysis will utilize the information gathered in the PFL Process, but will be done separately. The Current MAOP column will be used to capture the MAOP from the operating diagrams or from drawing 086868.</t>
  </si>
  <si>
    <t>If you can't find information about a pipe or fitting wall thickness, grade or seam type you should mark it as "unknown" specification. If the fitting clearly is marked as coming from a particular manufacturer, but there are no specifications available in the job file, you should mark the feature as "needs research".</t>
  </si>
  <si>
    <t>When you start a PFL in the middle of the pipeline, you should attempt to back up the pipeline enough to find a main line valve or clear angle point from which to start calculating the Stationing. If you can not find a valve nearby, then you can utilize a clearly defined intersection. Starting at a particular distance off the property line of the intersection and documenting this in your notes on the PFL. The actual footage that you start using can be roughly calculated by using the Mile Points. For example if you are starting approximately at Mile Point 12.1, then start your stations at 12.1 * 5280 = 63888</t>
  </si>
  <si>
    <t>It is also critical that you maintain the Feature Number column correctly to ensure the features are kept in order. You can go back and insert features as necessary using decimals for the feature number. If you are skipping sections on a PFL you can make the future stationing easier if you estimate there are 100 features per mile of pipe. Leaving gaps in the feature numbers is fine.</t>
  </si>
  <si>
    <t>If you are working the branching line that comes off the Tap, you will start the Branch as Pipe just after the Tap or Service Tee. The name of the PFL for the Branch Short should include the Mainline at the top of the PFL and in the file name for the short PFL spreadsheet.</t>
  </si>
  <si>
    <t>This version of the PFL spreadsheet, version 19 or higher represents a different approach to handling the data. Now the Feature column (column H) must be selected before filling in other columns to the right. After the Feature is selected the next column Type (column I) must be selected. These two selections cause some of the columns to the right to change from gray to white. Indicating the information required for that particular feature.</t>
  </si>
  <si>
    <t>With this Version 20 and higher of the spreadsheet a sleeve is now a zero length feature. The Length column will have a zero value. The actual OD of the sleeve is listed in the OD1 column and the actual wall thickness is listed in the WT1 column. The actual length of the sleeve is captured in the "Actual Size or Opening" column.</t>
  </si>
  <si>
    <t>Bend Data columns must be filled in for manufactured bends and field bends.</t>
  </si>
  <si>
    <t>See the tool to the right for one solution for calculating the arc length of the elbow. If you calculate the bend using this tool, you do not need to note it in the comments.  (This tool will calculate a shorter length than is normally practical for manufacturing.  Consequently most actual bends are longer.)</t>
  </si>
  <si>
    <t>The Field Bend is actually a bent piece of line pipe. Due to the difficulties in determining exactly where a field bend begins and ends a field bend will remain a single point zero length Feature or event. A field miter or a field bend using a bending machine are both single point events. The pipe associated with the bending machine will already be absorbed in the pipe events.</t>
  </si>
  <si>
    <t>The Tee Data, Tap Data, Valves, Casing Data series of columns collect information specific to these types of Features.</t>
  </si>
  <si>
    <t>Basic MAOP Calculations columns represent very basic calculations and do not fully evaluate the MAOP or design of the feature.</t>
  </si>
  <si>
    <t>The "Design Factor" column and all other columns with a gray header are calculated fields and do not need to be entered during the PFL creation process.</t>
  </si>
  <si>
    <t>On the Tools tab in the upper left hand corner there is a file and branching short naming tool. You can enter the data on the various lines and the tool will display the name you should be using at the bottom of the block of data.</t>
  </si>
  <si>
    <t>If the Validation Checker outlines the “length” field on the spreadsheet, the problem may be an invalid entry in the length field such as an alpha character or this may indicate that the formulas or numbers displayed for the begin and end station columns are not correct. You should review both the length column and the begin and end stationing columns for potential problems.</t>
  </si>
  <si>
    <t>This column must have a value.</t>
  </si>
  <si>
    <t>This column should have a value because it is critical for the calculations. You must search all of the documents for this property value. If there is no other information and you find information that indicates a specific manufacturer or other information that might lead to a answer for this property then set the value to "Research Required". If you can not find any indication of a specification for this value then set it to "Unknown".</t>
  </si>
  <si>
    <t>You should look through all of the documents in an attempt to find this value. If there is no other information and you find information that indicates a specific manufacturer or other information that might lead to a answer for this property then set the value to "Research Required". If you can not find any indication of a specification for this value then set it to "Unknown".</t>
  </si>
  <si>
    <t>Test report with charts signed and dated. Test supervisor Name, pressure, medium, duration, NO elevations and this is water tested. If it is gas tested the elevations are not material to the test and you can give it a Q2.</t>
  </si>
  <si>
    <t>Original Charts only, signed and dated. Test supervisor name, pressure, medium, duration, NO indication of elevations.</t>
  </si>
  <si>
    <t>If the Branch is not named, is 1 inch or less, serving as a pressure tap with little or no gas flow it should be given the generic name "Connection".</t>
  </si>
  <si>
    <t>The Issues-Errors tab is for collecting issues, problems or comments about the PFL that don't clearly fit into the PFL feature list. For example, if you have a document that appears to be correct, but you believe that it may be incorrect you can explain it on this tab. Another example, is on QC related items. The QC team can explain an issue on this tab and the issue will remain with the spreadsheet and the resolution of the issue.</t>
  </si>
  <si>
    <t>The Issues-Errors tab should be used to document jobs that you believe have important information that you can not locate. This means only jobs where you can find no job information at all. If you can find job information but it is not what you want this is not worthy of the PFL Issues tab.</t>
  </si>
  <si>
    <t>Error Identification</t>
  </si>
  <si>
    <t>Category PFL Issues</t>
  </si>
  <si>
    <t>The Operating Map or Diagram is not corrected and up to date, based on reviewing construction drawings or other sources of information.</t>
  </si>
  <si>
    <t>The regulator or metering station is missing the downstream (Lower pressure or downstream flow) valve that is outside of any vaults.</t>
  </si>
  <si>
    <t>There should be a valve to shutoff each regulation run, which includes a regulator and the over pressure protection device.  Typically this would be the last valve in a series of vaults.</t>
  </si>
  <si>
    <t>The regulator, meter or other type of station is missing the upstream fire valve.  This should be a valve that is at least 25 feet away from the station itself on the high pressure or inlet side.</t>
  </si>
  <si>
    <t>Under the major column heading, “Reference Maps” there should be values in these columns labeled, “Operating Map or Diagram” and “Distribution Wall Map and Plat Sheet”.</t>
  </si>
  <si>
    <t>Missed job</t>
  </si>
  <si>
    <t>The listed feature is not traceable to a source document.</t>
  </si>
  <si>
    <t>An error in the value, property or specification of part of a feature or row on the PFL spreadsheet</t>
  </si>
  <si>
    <t>Identified a feature but failed to identify and reference the correct documents for the values or properties of this feature in the Gray columns. Typically this would be a document such as an invoice, mill test or other supporting document with values and specification information.</t>
  </si>
  <si>
    <t>The listed value, property or specification of a feature is not traceable to a referenced source document.</t>
  </si>
  <si>
    <t>Failed to identify values and data in the Purchase and Install Information series of columns.</t>
  </si>
  <si>
    <t>Job number or the install date are not correct.</t>
  </si>
  <si>
    <t>This is the first Internal QC check that is not performed with the involvement of the PFL Builder and is within the PFL Build group.</t>
  </si>
  <si>
    <t>This is the Quality Control step that is performed outside of the PFL Build group. Usually within a dedicated Quality Control organization.</t>
  </si>
  <si>
    <t>Added WOG6000# to the drop down for</t>
  </si>
  <si>
    <t>Changed the Feature = Tap to open the WT column, to capture wall thickness for side taps.</t>
  </si>
  <si>
    <t>Added categories and descriptions toward the bottom of the Instructions tab.</t>
  </si>
  <si>
    <t>The Unnamed Branch Short name is now the U_ShortType_UniqueNumber_R mainline route</t>
  </si>
  <si>
    <t>Updated various Instructions and Column Definitions to be consistent with the branch short naming conventions.  Added naming tool to the Tools tab.</t>
  </si>
  <si>
    <t>Modified the "Basic MAOP Calculation" columns (CV) on the far right to more accurately calculate basic stress.</t>
  </si>
  <si>
    <t>Rows were the Column CV is colored red should be reviewed to ensure the data is correct on that row..</t>
  </si>
  <si>
    <t>Changes for Version 21</t>
  </si>
  <si>
    <t>Change the Manu Bend to MFG Bend, change the column header MFTR to MFG,</t>
  </si>
  <si>
    <t>Added seam type = sleeve in the pipe event.</t>
  </si>
  <si>
    <t>Added options for Casing Type drop down and added explanation for casing Column Definitions</t>
  </si>
  <si>
    <t>Added to Column Definitions, the WT columns may be left blank if the values are "unknown".</t>
  </si>
  <si>
    <t>PSI</t>
  </si>
  <si>
    <t>Build</t>
  </si>
  <si>
    <t>QC</t>
  </si>
  <si>
    <t>Initial Scope Review</t>
  </si>
  <si>
    <t>PFL References</t>
  </si>
  <si>
    <t>Spreadsheet Integrity</t>
  </si>
  <si>
    <t>Removed trailing spaces and round-off errors on various tabs</t>
  </si>
  <si>
    <t>This category is used to note if there were any RFIs associated with this PFL. The notes should describe the question and the response. If the RFI was not returned or did not satisfy the request, the resolution should not be present. If the RFI response adequately addressed the inquiry, a resolution should be noted.</t>
  </si>
  <si>
    <t>Added "RFI" sub-category to the Information Category of the Issues-Errors tab</t>
  </si>
  <si>
    <t>Added "Feature Range or Job Number" column in the Issues-Errors tab</t>
  </si>
  <si>
    <t>Build Status Bar:</t>
  </si>
  <si>
    <r>
      <t xml:space="preserve">JOB AID: </t>
    </r>
    <r>
      <rPr>
        <b/>
        <sz val="14"/>
        <rFont val="Arial"/>
        <family val="2"/>
      </rPr>
      <t>PFL Build / QC Checklist*</t>
    </r>
  </si>
  <si>
    <r>
      <t xml:space="preserve">*Note that it is </t>
    </r>
    <r>
      <rPr>
        <b/>
        <sz val="8"/>
        <rFont val="Arial"/>
        <family val="2"/>
      </rPr>
      <t xml:space="preserve">NOT </t>
    </r>
    <r>
      <rPr>
        <sz val="8"/>
        <rFont val="Arial"/>
        <family val="2"/>
      </rPr>
      <t>mandatory to complete this form.</t>
    </r>
  </si>
  <si>
    <t>PFL Spreadsheet for line:</t>
  </si>
  <si>
    <t>Mainline:</t>
  </si>
  <si>
    <t>Mainline MP:</t>
  </si>
  <si>
    <t>100% Check Status Bar:</t>
  </si>
  <si>
    <t>QC Status Bar:</t>
  </si>
  <si>
    <t>Fixed various formatting</t>
  </si>
  <si>
    <t>The test pressure adjusted to the pressure at the maximum elevation (i.e. the lowest pressure) of the pipe being tested, based on the indicated test pressure and the elevation change. If this is not indicated on the Strength Test Pressure Report it can be left blank. Usually labeled as the Min Test Pressure at the Max Elevation</t>
  </si>
  <si>
    <t>From the Strength Test Pressure Report or the uprate procedure.  This is indicated pressure, not adjusted for elevations.</t>
  </si>
  <si>
    <t>Added Column Definition info for adjust test pressure and test pressure.</t>
  </si>
  <si>
    <r>
      <t xml:space="preserve">Mill Test Reports, factory test reports.   </t>
    </r>
    <r>
      <rPr>
        <sz val="10"/>
        <color rgb="FFFF0000"/>
        <rFont val="Arial"/>
        <family val="2"/>
      </rPr>
      <t>These are most important for the Yield Strength of the metal.   Wall thickness and OD should match to as-built information.  Must have proof of delivery.</t>
    </r>
  </si>
  <si>
    <t>H-10P</t>
  </si>
  <si>
    <t>H-10F</t>
  </si>
  <si>
    <t>399 Fisher</t>
  </si>
  <si>
    <t>627 Fisher</t>
  </si>
  <si>
    <t>added Fisher regulators  399,  627 to regulator options</t>
  </si>
  <si>
    <t>if blank ANSI Rating, then the Chk Rating is correctly set</t>
  </si>
  <si>
    <t>RFI - Request for Info</t>
  </si>
  <si>
    <t>Updated Data Validation Macro on the Tools tab</t>
  </si>
  <si>
    <t>Updated Image Check Macro on the Tools tab</t>
  </si>
  <si>
    <t>Added Checklist tab, to assist PFL Builders in checking their PFL.</t>
  </si>
  <si>
    <t>H10F</t>
  </si>
  <si>
    <r>
      <t xml:space="preserve">Material Requisitions, Bill of Materials with Engineers Material Memo (EMM) listed.  </t>
    </r>
    <r>
      <rPr>
        <sz val="10"/>
        <color rgb="FFFF0000"/>
        <rFont val="Arial"/>
        <family val="2"/>
      </rPr>
      <t>Or EMMs by themselves</t>
    </r>
    <r>
      <rPr>
        <sz val="10"/>
        <rFont val="Arial"/>
        <family val="2"/>
      </rPr>
      <t>.</t>
    </r>
  </si>
  <si>
    <r>
      <t xml:space="preserve">Represents early intent.  </t>
    </r>
    <r>
      <rPr>
        <sz val="10"/>
        <color rgb="FFFF0000"/>
        <rFont val="Arial"/>
        <family val="2"/>
      </rPr>
      <t>This is what the engineer or designer wanted</t>
    </r>
    <r>
      <rPr>
        <sz val="10"/>
        <rFont val="Arial"/>
        <family val="2"/>
      </rPr>
      <t xml:space="preserve">. </t>
    </r>
  </si>
  <si>
    <t>Added 30.5 diameter pipe option, and associated 0.95 joint factor</t>
  </si>
  <si>
    <t>Special 0.95</t>
  </si>
  <si>
    <t>Used for some station piping</t>
  </si>
  <si>
    <t>Special 0.90</t>
  </si>
  <si>
    <t>Special 0.85</t>
  </si>
  <si>
    <t>This data may be found on transfer requisitions and related haul tags in most cases. The word salvaged does not mean it is re-conditioned, it might be salvaged for scrap. Wrought iron is usually used to designate scrap. If there are costs reports for re-conditioning or shipment tags to a pipe wrapping plant then the pipe was probably re-conditioned.   Pipe that has been removed in one location, moved to another location and re-installed is reused pipe and this column should have a "yes".   Pipe that is lowered in place is Re-used pipe if you don't know the original installing job.   If you know the original installing job, then you can use the original install job as the job number and add comments about the job number that lowered this pipe and do not mark the pipe as Reused.</t>
  </si>
  <si>
    <t>Added chart in instructions for wall thickness of 2 inch or less socket and threaded fittings</t>
  </si>
  <si>
    <t>Size (inches) - Socket weld and Threaded fittings</t>
  </si>
  <si>
    <t>Forged Thread - Wall Thickness (inch)</t>
  </si>
  <si>
    <t>Socket Weld WT</t>
  </si>
  <si>
    <t>Small diameter socket weld and forged threaded fittings are manufactured to ANSI B-16.11 and do not follow the same requirements as butt welded fittings.   These nominal 2 inches or less in diameter fittings have wall thickness defined by ASME standards.   See the table to the right for the correct wall thickness.   These fittings are listed in Gas Standard B-10 through B-12 be sure you are looking at the threaded forged and socket weld fittings (B-21), other fittings are also referenced in these standards.</t>
  </si>
  <si>
    <t>Do not use this for Transmission Plat sheets. They normally have drawing numbers and would go into the Drawing columns. Not required on every row, only where plat or wall map exist and where they are useful to the PFL. The format of the number should be 3208-A07 or if it is just a wall map 3208.</t>
  </si>
  <si>
    <t>3654C05</t>
  </si>
  <si>
    <t>Added validation macro to check for Unknown &gt; 4 - Modern that is used with dates &lt; 1960 and &lt; 28 inch pipe.</t>
  </si>
  <si>
    <t>Clarified in column definitions that Seam types &gt; 4 inch modern can be used for bends.</t>
  </si>
  <si>
    <t>Current Class Location - As listed in the current version of GIS.</t>
  </si>
  <si>
    <t>Cleaned up the wording of the Class Location modifiers in the Column Definitions</t>
  </si>
  <si>
    <t>This is a numeric sequence of numbers that gives the order of the data along the line. After the PFL is completed, the Begin and End Station should give the same sort order. This is a required value for all rows. Write the feature number on all bubble sheets associated with that row of data.   If you make modifications and must skip whole numbers, make a note on the drawing or the Issues/Errors tab.</t>
  </si>
  <si>
    <t>The installation date of this pipe or fitting. The actual installation date is best, but often not available. The next best date is the date the pipe was pressurized or placed into service, (in operation). If this is not clear, then use the completion date of the last STPR on the project, next option is to use the job completion date.  Next best estimate the date from any other date in the job file.   If you have no indicate of the installed date, but you know the year, use January 1 of the year installed.</t>
  </si>
  <si>
    <t>Flangeless Flat End</t>
  </si>
  <si>
    <t>Added Flangeless Flat End as an option for End Connect</t>
  </si>
  <si>
    <t>Add A-53 as a spec option</t>
  </si>
  <si>
    <t>ASTM A-53</t>
  </si>
  <si>
    <t>The distribution plat should  be named with the Plat Sheet Number_Dist-Plat_YYYYMMDDHHMM, for example: 3654C05_Dist-Plat_201111141034.pdf</t>
  </si>
  <si>
    <t>For Operating Maps or Diagrams that are bubbled, they should be named with the job number_Operating-Map_drawing or document number. For example: 98015_Operating-Map_086554</t>
  </si>
  <si>
    <t>Dist-Plat</t>
  </si>
  <si>
    <t>changed the naming convention for bubbled Dist-Plat, Operating-Map, Operating-Diagram to be consistent with document management systems.</t>
  </si>
  <si>
    <t>101_MP0.0-12.34_10Apr2011_R300_X145</t>
  </si>
  <si>
    <t>Modified instructions text to be consistent with the Tools naming convention for files.  4 digit years instead of 2 digit years.</t>
  </si>
  <si>
    <t>Image Linker</t>
  </si>
  <si>
    <t>Link to Current Version</t>
  </si>
  <si>
    <r>
      <t>Check Out:</t>
    </r>
    <r>
      <rPr>
        <sz val="10"/>
        <rFont val="Calibri"/>
        <family val="2"/>
      </rPr>
      <t xml:space="preserve"> Check out and open PFL in SharePoint and using the Properties feature in Excel, enter your name and change status accordingly.</t>
    </r>
  </si>
  <si>
    <r>
      <t>Major Issues:</t>
    </r>
    <r>
      <rPr>
        <sz val="10"/>
        <rFont val="Calibri"/>
        <family val="2"/>
      </rPr>
      <t xml:space="preserve"> Using the separate </t>
    </r>
    <r>
      <rPr>
        <i/>
        <sz val="10"/>
        <rFont val="Calibri"/>
        <family val="2"/>
      </rPr>
      <t>Builder Final Quality Checklist</t>
    </r>
    <r>
      <rPr>
        <sz val="10"/>
        <rFont val="Calibri"/>
        <family val="2"/>
      </rPr>
      <t xml:space="preserve"> as a guide, review the entire PFL to determine if there are any major issues, e.g., missing job numbers from GIS or missing STPRs &amp; specs on recent jobs. [1]</t>
    </r>
  </si>
  <si>
    <r>
      <t>Return for Revision:</t>
    </r>
    <r>
      <rPr>
        <sz val="10"/>
        <rFont val="Calibri"/>
        <family val="2"/>
      </rPr>
      <t xml:space="preserve"> If the PFL should be returned to the builder for revision follow Note [2] instructions.</t>
    </r>
  </si>
  <si>
    <r>
      <t>GIS Segments:</t>
    </r>
    <r>
      <rPr>
        <sz val="10"/>
        <rFont val="Calibri"/>
        <family val="2"/>
      </rPr>
      <t xml:space="preserve"> Scope of PFL includes all GIS Segments for the route, and start and end MPs are based on GIS.</t>
    </r>
  </si>
  <si>
    <r>
      <t>Feature Numbers:</t>
    </r>
    <r>
      <rPr>
        <sz val="10"/>
        <rFont val="Calibri"/>
        <family val="2"/>
      </rPr>
      <t xml:space="preserve"> Feature numbers are sequential (gaps okay), and if not starting at MP 0, are based on 100 features per mile.</t>
    </r>
  </si>
  <si>
    <r>
      <t>Tie in Notes:</t>
    </r>
    <r>
      <rPr>
        <sz val="10"/>
        <rFont val="Calibri"/>
        <family val="2"/>
      </rPr>
      <t xml:space="preserve"> Brief tie-in descriptive note for first and last PFL feature, as applicable. [3]</t>
    </r>
  </si>
  <si>
    <r>
      <t>Class Locations:</t>
    </r>
    <r>
      <rPr>
        <sz val="10"/>
        <rFont val="Calibri"/>
        <family val="2"/>
      </rPr>
      <t xml:space="preserve"> (from GIS) including properly identifying in station, road or bridge configurations.</t>
    </r>
  </si>
  <si>
    <r>
      <t>Start and End Point Locations:</t>
    </r>
    <r>
      <rPr>
        <sz val="10"/>
        <rFont val="Calibri"/>
        <family val="2"/>
      </rPr>
      <t xml:space="preserve"> When end points are not obvious, GIS segment lengths can be used to establish their location.  (Identify significant GIS segment length errors in the </t>
    </r>
    <r>
      <rPr>
        <i/>
        <sz val="10"/>
        <rFont val="Calibri"/>
        <family val="2"/>
      </rPr>
      <t>Issues-Errors</t>
    </r>
    <r>
      <rPr>
        <sz val="10"/>
        <rFont val="Calibri"/>
        <family val="2"/>
      </rPr>
      <t xml:space="preserve"> tab.)</t>
    </r>
  </si>
  <si>
    <r>
      <t>TPlats:</t>
    </r>
    <r>
      <rPr>
        <sz val="10"/>
        <rFont val="Calibri"/>
        <family val="2"/>
      </rPr>
      <t xml:space="preserve"> TPlat index sheets (ELS DWG 385100) are reviewed for applicability and any available TPlats are reviewed and incorporated when they provide unique information.</t>
    </r>
  </si>
  <si>
    <r>
      <t>DPlats:</t>
    </r>
    <r>
      <rPr>
        <sz val="10"/>
        <color rgb="FFFF0000"/>
        <rFont val="Calibri"/>
        <family val="2"/>
      </rPr>
      <t xml:space="preserve"> </t>
    </r>
    <r>
      <rPr>
        <sz val="10"/>
        <rFont val="Calibri"/>
        <family val="2"/>
      </rPr>
      <t>DPlats, when available, are reviewed for job numbers, taps and overall pipeline configuration.</t>
    </r>
  </si>
  <si>
    <r>
      <t>OP Maps:</t>
    </r>
    <r>
      <rPr>
        <sz val="10"/>
        <rFont val="Calibri"/>
        <family val="2"/>
      </rPr>
      <t xml:space="preserve"> OP Maps or Diagrams are reviewed and incorporated when they provide useful information.</t>
    </r>
  </si>
  <si>
    <r>
      <t>Legibility:</t>
    </r>
    <r>
      <rPr>
        <sz val="10"/>
        <rFont val="Calibri"/>
        <family val="2"/>
      </rPr>
      <t xml:space="preserve"> Documents to be bubbled are legible or from the best legible source. [4]</t>
    </r>
  </si>
  <si>
    <r>
      <t>Bubbling:</t>
    </r>
    <r>
      <rPr>
        <sz val="10"/>
        <rFont val="Calibri"/>
        <family val="2"/>
      </rPr>
      <t xml:space="preserve"> Bubbled documents include at least one orange bubble with feature or range of features anywhere on the document and also include route and filename in green in the lower right corner.  Documents larger than 8 1/2” x 11” also include the feature or feature range in the lower right corner, in orange. [5]</t>
    </r>
  </si>
  <si>
    <r>
      <t>Best Version:</t>
    </r>
    <r>
      <rPr>
        <sz val="10"/>
        <rFont val="Calibri"/>
        <family val="2"/>
      </rPr>
      <t xml:space="preserve"> The latest version of drawings and BOMs from ECTS and ELS/EDMS are used, unless earlier versions provide unique as-built data.</t>
    </r>
  </si>
  <si>
    <r>
      <t>ELS Format:</t>
    </r>
    <r>
      <rPr>
        <sz val="10"/>
        <rFont val="Calibri"/>
        <family val="2"/>
      </rPr>
      <t xml:space="preserve"> ELS/EDMS filenames include sheet number when applicable without extensions (e.g., 123456s7).</t>
    </r>
  </si>
  <si>
    <r>
      <t>ECTS Format:</t>
    </r>
    <r>
      <rPr>
        <sz val="10"/>
        <rFont val="Calibri"/>
        <family val="2"/>
      </rPr>
      <t xml:space="preserve"> Documents with created filenames are already in ECTS or use the appropriate naming convention, such as bubbled DPlats, OP Maps or Diagrams.</t>
    </r>
  </si>
  <si>
    <r>
      <t>OP Map Format:</t>
    </r>
    <r>
      <rPr>
        <sz val="10"/>
        <rFont val="Calibri"/>
        <family val="2"/>
      </rPr>
      <t xml:space="preserve"> OP Map or Diagram drawing numbers include sheet number when applicable (e.g., 123456‑7).  District Regulator OP Diagrams without 6 or 7 digit drawing numbers use filename (w/o ext.).</t>
    </r>
  </si>
  <si>
    <r>
      <t>DPlat Format:</t>
    </r>
    <r>
      <rPr>
        <sz val="10"/>
        <rFont val="Calibri"/>
        <family val="2"/>
      </rPr>
      <t xml:space="preserve"> DPlat numbers (e.g., 3208-A07) or Wall Map numbers (e.g., 3208) are correctly formatted.</t>
    </r>
  </si>
  <si>
    <r>
      <t>Concise Notes:</t>
    </r>
    <r>
      <rPr>
        <sz val="10"/>
        <rFont val="Calibri"/>
        <family val="2"/>
      </rPr>
      <t xml:space="preserve"> Descriptions in the </t>
    </r>
    <r>
      <rPr>
        <i/>
        <sz val="10"/>
        <rFont val="Calibri"/>
        <family val="2"/>
      </rPr>
      <t>Notes / Comments</t>
    </r>
    <r>
      <rPr>
        <sz val="10"/>
        <rFont val="Calibri"/>
        <family val="2"/>
      </rPr>
      <t xml:space="preserve"> column, when included, are concise and provide unique information about the features that are not captured elsewhere in the PFL. </t>
    </r>
  </si>
  <si>
    <r>
      <t xml:space="preserve">Required Notes: </t>
    </r>
    <r>
      <rPr>
        <sz val="10"/>
        <rFont val="Calibri"/>
        <family val="2"/>
      </rPr>
      <t xml:space="preserve">Descriptions in the </t>
    </r>
    <r>
      <rPr>
        <i/>
        <sz val="10"/>
        <rFont val="Calibri"/>
        <family val="2"/>
      </rPr>
      <t>Notes / Comments</t>
    </r>
    <r>
      <rPr>
        <sz val="10"/>
        <rFont val="Calibri"/>
        <family val="2"/>
      </rPr>
      <t xml:space="preserve"> column identify if engineering assessments are made, the feature length is scaled or if material specs are obtained from non-obvious sources, such as STPR and material code.</t>
    </r>
  </si>
  <si>
    <r>
      <t>Job History:</t>
    </r>
    <r>
      <rPr>
        <sz val="10"/>
        <rFont val="Calibri"/>
        <family val="2"/>
      </rPr>
      <t xml:space="preserve"> The most recent job numbers are used and each job checked for as-built documents.  One exception is when a newer job lowers a pipeline; the job number that installed the pipeline should be used.</t>
    </r>
  </si>
  <si>
    <r>
      <t xml:space="preserve">STPRs: </t>
    </r>
    <r>
      <rPr>
        <sz val="10"/>
        <rFont val="Calibri"/>
        <family val="2"/>
      </rPr>
      <t>Available STPRs for each job and any uprate jobs were found and incorporated. [6]</t>
    </r>
  </si>
  <si>
    <r>
      <t xml:space="preserve">GSRs &amp; VMRs: </t>
    </r>
    <r>
      <rPr>
        <sz val="10"/>
        <rFont val="Calibri"/>
        <family val="2"/>
      </rPr>
      <t>Available documents from the GSR Database and T&amp;R Log were found and incorporated. [7]</t>
    </r>
  </si>
  <si>
    <r>
      <t xml:space="preserve">Best Q Documents: </t>
    </r>
    <r>
      <rPr>
        <sz val="10"/>
        <rFont val="Calibri"/>
        <family val="2"/>
      </rPr>
      <t>Highest quality documents are used for material specifications (e.g., transport tags, mill test reports, signed delivery receipts, etc.).</t>
    </r>
  </si>
  <si>
    <r>
      <t>MAOP:</t>
    </r>
    <r>
      <rPr>
        <sz val="10"/>
        <rFont val="Calibri"/>
        <family val="2"/>
      </rPr>
      <t xml:space="preserve"> Current MAOP value is obtained from drawing 086868 (Rev 21) or from the OP Maps or Diagrams. [8]</t>
    </r>
  </si>
  <si>
    <r>
      <t xml:space="preserve">References: </t>
    </r>
    <r>
      <rPr>
        <sz val="10"/>
        <rFont val="Calibri"/>
        <family val="2"/>
      </rPr>
      <t>Entered data in each row are fully supported by bubbled documents identified in the same row.</t>
    </r>
  </si>
  <si>
    <r>
      <t xml:space="preserve">Highlighting: </t>
    </r>
    <r>
      <rPr>
        <sz val="10"/>
        <rFont val="Calibri"/>
        <family val="2"/>
      </rPr>
      <t>Cells are highlighted yellow for unknown data if the cell can only take numerical input.  This is only necessary in the conditional formatting area (gray area).</t>
    </r>
  </si>
  <si>
    <r>
      <t xml:space="preserve">Branch Lines: </t>
    </r>
    <r>
      <rPr>
        <sz val="10"/>
        <rFont val="Calibri"/>
        <family val="2"/>
      </rPr>
      <t xml:space="preserve">Tees, taps and branching PCFs include branch names or indicate </t>
    </r>
    <r>
      <rPr>
        <i/>
        <sz val="10"/>
        <rFont val="Calibri"/>
        <family val="2"/>
      </rPr>
      <t>Connection</t>
    </r>
    <r>
      <rPr>
        <sz val="10"/>
        <rFont val="Calibri"/>
        <family val="2"/>
      </rPr>
      <t xml:space="preserve"> or </t>
    </r>
    <r>
      <rPr>
        <i/>
        <sz val="10"/>
        <rFont val="Calibri"/>
        <family val="2"/>
      </rPr>
      <t>In Station</t>
    </r>
    <r>
      <rPr>
        <sz val="10"/>
        <rFont val="Calibri"/>
        <family val="2"/>
      </rPr>
      <t xml:space="preserve"> in the </t>
    </r>
    <r>
      <rPr>
        <i/>
        <sz val="10"/>
        <rFont val="Calibri"/>
        <family val="2"/>
      </rPr>
      <t>Branch Line Number</t>
    </r>
    <r>
      <rPr>
        <sz val="10"/>
        <rFont val="Calibri"/>
        <family val="2"/>
      </rPr>
      <t xml:space="preserve"> column.  Also, created branch names for any unnamed shorts are properly formatted.</t>
    </r>
  </si>
  <si>
    <r>
      <t>Assessments:</t>
    </r>
    <r>
      <rPr>
        <sz val="10"/>
        <rFont val="Calibri"/>
        <family val="2"/>
      </rPr>
      <t xml:space="preserve"> Engineering assessments made during build are described and supported by sound reasoning or justification.  </t>
    </r>
  </si>
  <si>
    <r>
      <t xml:space="preserve">Safety: </t>
    </r>
    <r>
      <rPr>
        <sz val="10"/>
        <rFont val="Calibri"/>
        <family val="2"/>
      </rPr>
      <t>Potentially unsafe conditions or regulation code compliance issues are identified.</t>
    </r>
  </si>
  <si>
    <r>
      <t>GIS Errors:</t>
    </r>
    <r>
      <rPr>
        <sz val="10"/>
        <rFont val="Calibri"/>
        <family val="2"/>
      </rPr>
      <t xml:space="preserve"> Significant GIS errors are identified.</t>
    </r>
  </si>
  <si>
    <r>
      <t>Issues Assigned:</t>
    </r>
    <r>
      <rPr>
        <sz val="10"/>
        <rFont val="Calibri"/>
        <family val="2"/>
      </rPr>
      <t xml:space="preserve"> Issues are assigned to the appropriate organization.</t>
    </r>
  </si>
  <si>
    <r>
      <t xml:space="preserve">Builder Feedback: </t>
    </r>
    <r>
      <rPr>
        <sz val="10"/>
        <rFont val="Calibri"/>
        <family val="2"/>
      </rPr>
      <t>Errors and general feedback are discussed with the builder, or for external builders are clearly documented and assigned to the builder.  Be clear and factual with all comments and feedback.</t>
    </r>
  </si>
  <si>
    <r>
      <t xml:space="preserve">New Issues: </t>
    </r>
    <r>
      <rPr>
        <sz val="10"/>
        <rFont val="Calibri"/>
        <family val="2"/>
      </rPr>
      <t xml:space="preserve">Add any new issues or discrepancies found, and identify any material specs based on Q4 or worse documents.  </t>
    </r>
  </si>
  <si>
    <r>
      <t>External Links:</t>
    </r>
    <r>
      <rPr>
        <sz val="10"/>
        <rFont val="Calibri"/>
        <family val="2"/>
      </rPr>
      <t xml:space="preserve"> Check for and eliminate any external links in the spreadsheet.  Information in the lower right corner of the File tab will indicate if there are external links.</t>
    </r>
  </si>
  <si>
    <r>
      <t>Stationing:</t>
    </r>
    <r>
      <rPr>
        <sz val="10"/>
        <rFont val="Calibri"/>
        <family val="2"/>
      </rPr>
      <t xml:space="preserve"> Check consistency of stationing equations and correct by replicating down from an upper row, as required.</t>
    </r>
  </si>
  <si>
    <r>
      <t>MAOP Calculations:</t>
    </r>
    <r>
      <rPr>
        <sz val="10"/>
        <rFont val="Calibri"/>
        <family val="2"/>
      </rPr>
      <t xml:space="preserve"> Check that the </t>
    </r>
    <r>
      <rPr>
        <i/>
        <sz val="10"/>
        <rFont val="Calibri"/>
        <family val="2"/>
      </rPr>
      <t>Basic MAOP Calculations</t>
    </r>
    <r>
      <rPr>
        <sz val="10"/>
        <rFont val="Calibri"/>
        <family val="2"/>
      </rPr>
      <t xml:space="preserve"> fields have equations for each feature row.  If any results are in red, revisit the feature’s class designation and MAOP critical data (gray area) for accuracy.</t>
    </r>
  </si>
  <si>
    <r>
      <t>Delete Unused Rows:</t>
    </r>
    <r>
      <rPr>
        <sz val="10"/>
        <rFont val="Calibri"/>
        <family val="2"/>
      </rPr>
      <t xml:space="preserve"> Delete unused rows after the last feature.</t>
    </r>
  </si>
  <si>
    <r>
      <t xml:space="preserve">Validation Macro: </t>
    </r>
    <r>
      <rPr>
        <sz val="10"/>
        <rFont val="Calibri"/>
        <family val="2"/>
      </rPr>
      <t>Prior to PFL submittal, perform a final Validation macro check and review all red boxes and confirm that yellow highlighting is used properly.  Save the file without clearing the validation formatting.</t>
    </r>
  </si>
  <si>
    <t xml:space="preserve">PFL Closeout </t>
  </si>
  <si>
    <r>
      <t xml:space="preserve">Reassemble Folder: </t>
    </r>
    <r>
      <rPr>
        <sz val="10"/>
        <rFont val="Calibri"/>
        <family val="2"/>
      </rPr>
      <t>Organize hard copies and confirm bubbled documents are saved and properly named in the appropriate U:\PFL folder.  With the exception of DPlats, OP Maps and Diagrams, unbubbled versions of documents with created names that are not in ECTS must also be saved in the PFL folder (for ECTS upload).</t>
    </r>
  </si>
  <si>
    <r>
      <t>Check In:</t>
    </r>
    <r>
      <rPr>
        <sz val="10"/>
        <rFont val="Calibri"/>
        <family val="2"/>
      </rPr>
      <t xml:space="preserve"> Change the SharePoint status accordingly, check in the PFL and hand in the hard copy folder.</t>
    </r>
  </si>
  <si>
    <t>Notes:</t>
  </si>
  <si>
    <t>[1]</t>
  </si>
  <si>
    <r>
      <t xml:space="preserve">A PFL must cover every feature and segment within the boundaries of the assignment, regardless of whether or not another PFL contains that feature or segment.  A PFL for contiguous GIS segments must not contain any gaps or skipped features.  The </t>
    </r>
    <r>
      <rPr>
        <i/>
        <sz val="10"/>
        <rFont val="Calibri"/>
        <family val="2"/>
      </rPr>
      <t>Builder Final Quality Checklist</t>
    </r>
    <r>
      <rPr>
        <sz val="10"/>
        <rFont val="Calibri"/>
        <family val="2"/>
      </rPr>
      <t xml:space="preserve"> doesn’t get checked-off but should be performed in its entirety.  Refer to the QC Continued Education slides for examples of its use.</t>
    </r>
  </si>
  <si>
    <t>[2]</t>
  </si>
  <si>
    <r>
      <t xml:space="preserve">At any point during the Checking or QC review, if the PFL should be returned for revision, (1) confirm the reasons with your Team Lead, (2) identify all major issues and explain necessary corrections in the </t>
    </r>
    <r>
      <rPr>
        <i/>
        <sz val="10"/>
        <rFont val="Calibri"/>
        <family val="2"/>
      </rPr>
      <t>Issues-Errors</t>
    </r>
    <r>
      <rPr>
        <sz val="10"/>
        <rFont val="Calibri"/>
        <family val="2"/>
      </rPr>
      <t xml:space="preserve"> tab, and (3) change the status to </t>
    </r>
    <r>
      <rPr>
        <i/>
        <sz val="10"/>
        <rFont val="Calibri"/>
        <family val="2"/>
      </rPr>
      <t>Returned for Revision</t>
    </r>
    <r>
      <rPr>
        <sz val="10"/>
        <rFont val="Calibri"/>
        <family val="2"/>
      </rPr>
      <t xml:space="preserve">, check in the PFL and return the folder to the builder, or if in QC, hand in the PFL folder to Alex.  </t>
    </r>
  </si>
  <si>
    <t>[3]</t>
  </si>
  <si>
    <r>
      <t xml:space="preserve">When reviewing adjacent PFLs include a comment to help tie the PFLs together, such as </t>
    </r>
    <r>
      <rPr>
        <i/>
        <sz val="10"/>
        <rFont val="Calibri"/>
        <family val="2"/>
      </rPr>
      <t>this feature lines up with feature x of PFL y</t>
    </r>
    <r>
      <rPr>
        <sz val="10"/>
        <rFont val="Calibri"/>
        <family val="2"/>
      </rPr>
      <t xml:space="preserve"> (where x and y are the applicable feature number and PFL name).  If an issue/error is noticed in an adjacent PFL, email a brief description of the issue/error to Alex Hudgins (A1HW).</t>
    </r>
  </si>
  <si>
    <t>[4]</t>
  </si>
  <si>
    <t xml:space="preserve">If the original image is dark, faint or has excessive edge space, consider using common photo editing software to improve contrast and color, or to crop out edge space.  Be sure to use high res images in ECTS.  </t>
  </si>
  <si>
    <t>[5]</t>
  </si>
  <si>
    <r>
      <t xml:space="preserve">All bubbles, notes and footer annotations shall have sufficient thickness and contrast to be clearly visible when plotted or viewed at reduced resolution.  Refer to guideline AKM-MAOP-402G </t>
    </r>
    <r>
      <rPr>
        <i/>
        <sz val="10"/>
        <rFont val="Calibri"/>
        <family val="2"/>
      </rPr>
      <t>Electronic Bubble Sheet Editing</t>
    </r>
    <r>
      <rPr>
        <sz val="10"/>
        <rFont val="Calibri"/>
        <family val="2"/>
      </rPr>
      <t xml:space="preserve"> for specific details.</t>
    </r>
  </si>
  <si>
    <t>[6]</t>
  </si>
  <si>
    <t>STPR searches should include a review of the newer hydrotest logs (see U:\Admin Shared\Tools\4 Reference Material [Reference]).  If STPRs were not found for jobs installed after 1980, check historic research requests and submit a request if none found.</t>
  </si>
  <si>
    <t>[7]</t>
  </si>
  <si>
    <r>
      <t>The GSR Database and T&amp;R Log (for VMRs and Reg Data Sheets) can be accessed from</t>
    </r>
    <r>
      <rPr>
        <sz val="11"/>
        <rFont val="Calibri"/>
        <family val="2"/>
      </rPr>
      <t xml:space="preserve"> </t>
    </r>
    <r>
      <rPr>
        <sz val="10"/>
        <rFont val="Calibri"/>
        <family val="2"/>
      </rPr>
      <t xml:space="preserve">U:\Admin Shared\Tools\3 Data Sources [Data] or the PFL Builders website.  </t>
    </r>
  </si>
  <si>
    <t>[8]</t>
  </si>
  <si>
    <t>Drawing 086868 is the preferred source for current MAOP, followed by formally issued OP Maps and Diagrams, then the latest DREG OP Diagram.  The issued OP Maps and Diagrams have 6 or 7 digit drawing numbers and are found using the GIS Tool Bar buttons.  STPRs, or other job related construction documents are not valid for current MAOP.</t>
  </si>
  <si>
    <t>The Feature is determined by examining the original construction drawings, Transmission Plat Sheets, Distribution Plat Sheets or the existing GIS system. (Existing GIS can only be used as a reference, not a source of data.)</t>
  </si>
  <si>
    <t>This is part of the definition of a feature and is determined by examining the original construction drawings, Transmission Plat Sheets, Distribution Plat Sheets or the existing GIS system.</t>
  </si>
  <si>
    <t>Gather the drawing number from document utilized to make up the PFL and the associated drawing image name. The file name should be the Drawing Number then "s" then the sheet number of the drawing. This drawing file name should be recorded. Other image file names are used in ELS for some files. Use the actual drawing number as the name.</t>
  </si>
  <si>
    <t>Based on minimal wall thickness values.   This does not adjust for the installation time.</t>
  </si>
  <si>
    <t>If Unknown currently set to 24,000,  Minimum federal standards.</t>
  </si>
  <si>
    <t>GIS Pipe Segment Id</t>
  </si>
  <si>
    <t>Pipe Segment - As listed in Gas View 2.0 (GIS).</t>
  </si>
  <si>
    <t>Use Gas View 2.0. If there is a change in the class location across a pipe feature, break the feature into 2 features to accommodate the class change.  This is broken down further into In Station, In Public Road Crossing, In Hard Road Parallel and In Hard Road Crossing.    "In Station" is defined in the AKM-MAOP-412G Guideline - Stations and Regulator Station PFLs.   "In Hard Road Crossing" is a crossing of a  hard surfaced roadway, "In Public Road Crossing" is any crossing of dirt or improved street that is used by the Public.   "In Hard Road Parallel" is any parallel encroachment parallel to a road way.    Road way limits are not easy to define, you can estimate the Road way by assuming it is 10 feet in both directions beyond the edge of the hard surfaced road way.  This is used to make aerial photograph examination easier.    If the pipe is Class 1 and parallel to a road, then crosses another road and is still parallel to a road, it is not "Public Road Crossing".  It is still just parallel.  The Class 1 on Bridge compensates for the reduced design factor for a pipe on a bridge.  This is any type of bridge structure.</t>
  </si>
  <si>
    <t>The class location should be gathered from GasView 2.0.      If it is a Class 1 or 2 or 3 area you must consider if the pipe is, In Station, In Hard Road or In Public Road.  A private dirt or gravel road is not significant. You should review GIS for roadways, particularly if the gray column CW is over 50% SMYS. A pipe line that is within a paved area or parallel up to 10 ft. outside of the paved area should be considered "In Public Road Parallel". In Station is pipe that is within a station fence line, or within 3 ft or 10 pipe diameters of a regulating or metering station.  A pipeline that goes relatively straight through a station and contains no regulation or other special equipment, just a valve and taps or tees, is not part of the "Station" and does not get this designation.   See AKM-MAOP-412G Guideline - Station and Regulator Station PFLs for more detailed description.   If in doubt call it "In Station".   A mainline valve is any valve that could block the flow on a numbered line.</t>
  </si>
  <si>
    <t>Created by the PFL builder, can be set to different sequence numbers in order to combine spreadsheets when multiple users are working on the same PFL line or route. For the initial build do not use decimal numbers, but after the initial build you can use decimal numbers to avoid re-numbering many bubble sheets.   Attempt to only use single decimals when you add rows.   You can have gaps in feature numbers, just make a note that there is a gap.</t>
  </si>
  <si>
    <t>The feature on this particular row of data. Defines the characteristics and attributes of the data on this row. This value is required for all rows in this section.</t>
  </si>
  <si>
    <t>Some features will be of zero length for purposes of this PFL spreadsheet and this column. Such as Taps, Type A Sleeves, PCFs, Appurtenances, some Flanges and some Other items.   Use the calculator on approximately row 90 of the instructions tab to calculate the length of manufactured bends.    Note that some of these features the length is recorded in the Actual Size column.</t>
  </si>
  <si>
    <t xml:space="preserve">Pipe length in feet, to one decimal or 1/10 of a foot accuracy. Filling in this value will cause the Beg and End Station to re-calculate. May need to copy out the values and manipulate this column and the Beg and End Station columns to consolidate spreadsheets.   You can think of this as the length of "gas containing" portion of the feature.  </t>
  </si>
  <si>
    <t>The diameter in inches of the mainline pipe or fitting for these stations. If this row contains a tap, this is the size of the tap such as 1" Mueller service tee. If it contains a pipe Tee this is the main line size of the Tee, if this is a Reducer you should attempt to keep this OD 1 matching with the pipe above this row and OD 2 the size of the row below, for a Sleeve this is the actual outside diameter of the sleeve. For Sleeves the available drop down list is incremented by 0.01 inch or only 2 decimal places, always round up. If the actual outside diameter of the sleeve is 30.624 use 30.63 (The length of the sleeve will go in column "Actual Size or Opening" column.). For a collar this is the OD of the mainline pipe.   For a Weldolet this is the OD of the pipe that is being re-enforced.  This means if it is a weldolet on a mainline it is the mainline OD, on a branch connection it is the OD of the branching tap.  Treat weldolet, sockolet, threadolet and related fitting the same way.</t>
  </si>
  <si>
    <t>The size can be found on the original source documents for a construction job. As-built constructions drawings are the best source, with Transmission Plat Sheets and Distribution Plat Sheets available to cross check but generally of lower quality (Q4).  The outside diameter of the sleeve is a minimum of the sleeve wall thickness times 2, plus .250 plus the outside diameter of the pipe. (WT * 2)+.250+OD = OD of sleeve. It may be larger if it is a repair sleeve for welds. The OD of a blind flange should the nominal diameter of the blind flange which is normally the outside diameter of the associated flange connection and the pipe diameter.</t>
  </si>
  <si>
    <t>Wall thickness of the pipe, or fitting between the Beg and End station. Leave blank and color the background yellow if this value is unknown. For a sleeve this must be the actual wall thickness of the Sleeve. For a collar this is the wall thickness of the collar or reinforcing pad.     If a pipe tap this the wall thickness of the pipe of the tap, if it is a service tee you can leave the wall thickness blank.  For a weldolet this is the wall thickness of the pipe that is being reinforced.   See notes on W.T. 2.</t>
  </si>
  <si>
    <t>For a Tee the outside diameter of the branch. If the main line transitions from the main line to the branch. This dimension is the smaller branch size. If a Reducer this should typically match the OD of the pipe on the row below this row.  If this is a pipe with casing this is the approximate OD of the casing pipe.</t>
  </si>
  <si>
    <t>Obtain from the as-built bill of material, material requisition, material contract, material specification, material inspection report.  This is the actual O.D. of the pipe or fitting.  Some prefabricated pipe components might have larger actual outside diameters then expected with machined tapers to match up to the pipe.</t>
  </si>
  <si>
    <t>The wall thickness in inches of the branch connection. This wall thickness must be taken at the end of the 4 to 1 taper toward the 30 degree welding angle. You should note in the comments the amount of taper such as 4 to 1, if known.   For a Pipe with Casing this is the wall thickness of the casing pipe if it is known.</t>
  </si>
  <si>
    <t>The grade or specified minimum yield strength (SMYS) of the pipe or fitting.  If the pipe is API 5L or 5LX and Grade B after 1931, then minimum SMYS =35000. Tri-Ten=50,000, Kaisaloy 1=46,000, Kaisaloy MV50=50,000 unless otherwise specified. A formula will populate this in many cases, but you may have to over-write the formula to enter the correct value.</t>
  </si>
  <si>
    <t>Obtain from the as-built bill of material, material requisition, material contract, material specification, material inspection report, H form or equivalent field inspection report. You must have supporting original documentation. Formulas based on the Specification or Rating column will automatically fill in a value if possible. However you must over-write the formula if necessary to record a different documented SMYS value. If you change or copy data the formula will not always work. Always check the SMYS value.</t>
  </si>
  <si>
    <t>The ANSI or WOG pressure rating of the fitting if known and available. The ANSI rating is the best, it has a national standard behind it. Use it if it is available.   You may use the WOG ratings even if the document actually lists GWP ratings.  Just make a note in the comments column that it is really a GWP rating.</t>
  </si>
  <si>
    <t>The full port or reduced port maybe listed on the drawings or you may have to look it up from a manufacturer's configuration number if one is listed for the valve. We must trace down this information for a valve and determine if it is reduced port or not.    Catalogs of manufacturer valve data are available in the U drive Tools\ folder. For a Weldolet this is the size of the branch connection out of the weldolet, sockolet or threadolet.    It is important to determine if the valve is reduced port or not for ILI purposes.  The actual value or size of the reduced port valve is less important than just identifying that it is a reduced port valve.</t>
  </si>
  <si>
    <t>Find the name on the operating maps, operating diagrams as the first priority.   Second priority is to capture the number from the distribution plat sheets.    In Regulator stations a regulator, monitor or relief valve should get the name of the regulator station.   Typically this might be a name such as H-45 and can be found on the distribution plat sheets or maintenance records.   This same value would be used for regulator, monitor and relief.    In larger stations that have operating diagrams the operating diagram will usually contain a specific valve number for the "regulating valves", and this value should be used for the "name" in the PFL.  For customer sets use the customer address or if available use the customer name as the name for all regulators and meters in the customer set.</t>
  </si>
  <si>
    <t xml:space="preserve">A valve, meter, relief valve or other specific product may have a serial number.   Pipe joints will usually have a heat number or a pipe number.   Other types of fittings will have a heat number or may have a lot number or manufacturing batch number.   You should use the most detailed number, the serial number or Pipe number is the most detailed and identifies an individual item.  If you have a pipe number, you should still record the heat number in the comments column.   If you don't have a pipe number or serial number then use the Heat number or Lot number associated with the feature. </t>
  </si>
  <si>
    <t xml:space="preserve">Found in Maintenance Records, As-builts construction records such as weld maps and drawings.   The heat number will come from the pipe joint and will be traceable to the Mill Test reports.   The internal stencils found in large diameter pipe are the most accurate information.  Lots numbers may be on the transport tags, invoices, or stamped or marked on the actual parts.    Pictures of the pipe stencils can be valuable source of information due to inaccuracy of manually copying data.   Note that frequently these type of numbers of zeros and O's or other letter and number combinations that appear very similar.   </t>
  </si>
  <si>
    <t>The angle of the bend as cut by the welder. Collect this information if it is available. Angles should be roughly estimated if possible. It is important for pigging operations to identify if the bend is 5 degrees or 40 degrees. The exact degree value is less important. If you calculate an angle from a drawing you must state so in the Notes and Comments.  You do not need to record any angles less than 2 degrees except for wrinkle bends of any angle.</t>
  </si>
  <si>
    <t>Find this information on the as-built construction drawings or other details. Miters of less than 3 degrees are still done in the field today and meet code. Elbows can not be segmented to such small angles. Overbends and sag can be done naturally with the flex of the pipe, gradual horizontal bends are much less likely and probably use elbows.   Wrinkle bends have additional restrictions and must always be captured on the PFL.</t>
  </si>
  <si>
    <t>Orientation of bend in the direction o the PFL is built, which is usually in perspective of an ILI tool (PIG). This should give the ILI team some idea of what to expect for the direction of the bend. A combo is an elbow that is that has both vertical and horizontal components.</t>
  </si>
  <si>
    <t>If the tap was installed cold the pipe was not pressurized, if it was installed hot the pipe was pressurized. If a tap has a reinforcing pad on the pipe, you should create both a Tap and a Collar or Sleeve feature at the same location with zero length for both. Just create them one row after another.</t>
  </si>
  <si>
    <t>Yes or no if something is inserted inside the pipe.  This is important to identify for ILI purposes.</t>
  </si>
  <si>
    <t>From construction drawings and STPR sketches. Some drips do not penetrate inside the pipe and others definitely penetrate the pipe.   We need to identify anything that might damage or stop and ILI tool.</t>
  </si>
  <si>
    <t xml:space="preserve">The shell test pressure is important for doing hydrostatic tests. Pressure in PSIG.   This may be higher than ANSI ratings. </t>
  </si>
  <si>
    <t>From construction drawings or transmission plat sheets or distribution plat sheets or aerial or street view photos.</t>
  </si>
  <si>
    <t>Use drop down of potential coating types.  In the future GIS system, coatings have their own Beg Station and End Station, for this input we will just assume this stationing is the same as the pipe. Break the pipe into more pieces if the coating changes. HAA is hot applied asphalt and is very common on older pipes.  In the current construction the main pipeline is usually coated with Protal or another epoxy coating and transitions to HAA or other wraps are coated with wax tape.  In this situation use Protal as the coating type and ignore that transitions may have wax tape.</t>
  </si>
  <si>
    <t>The material code is frequently listed on material requisitions. If it is show on a material requisition the standard description of the material code is probably correct, if the material code is listed on a drawing the description on the drawing is usually more accurate than the material code itself.         This cell is formatted to include the dash.   When you enter the material code just enter the numbers and don't enter the dash.</t>
  </si>
  <si>
    <t>Obtain from the as-built bill of material, material requisition, material contract, material specification, material inspection report. Often cost reports will list material codes, but not under a clear heading. Look for material codes as 6 digits in a row that begin with 01 or 02. They may be preceded by an M or other information.
Material codes may be used to identify other specifications by referring to a Material Code List. There are Code lists from 1940, 1952, 1967, 1986 and 2010. These should be used only if they are dated within 10 years of the documented material code. If the code is from a project after 1995, the modern code list from 2010 should be referenced.</t>
  </si>
  <si>
    <t>Fill in the Purchase Order number, EMM number,or related document that links the installed feature to original factory information and specifications. If there is more than one type of document add additional information into the notes column.</t>
  </si>
  <si>
    <t>The purchase order or EMM number may be listed on the bill of materials. Or the job file may contain the purchase orders or material requisitions. There may be additional, contract specifications if it is a big job.   In 2011 and later jobs purchase order numbers typically begin with 2500 or 3500.   These are generated from the SAP system.</t>
  </si>
  <si>
    <t>Obtain this information from invoices, contracts and material requisitions.   The manufacturing date on the Mill Tests may be a close approximation of the purchase date and can be used if there is no other documentation.</t>
  </si>
  <si>
    <t>Enter Yes if this feature is part of a pre-fabricated feature. This is a gas containing feature that falls under paragraph 49CFR192.153. It is a prefabricated component or section of pipe that is fabricated in a shop and meets the requirements of the ASME Boiler and Pressure Vessel Code.   Shop fabricated tees are an example of components that may fall into this category if they are built to ASME standards.</t>
  </si>
  <si>
    <t>Gather the drawing number from document utilized to make up the PFL and the associated drawing image name. The file name should be the Drawing Number then "s" then the sheet number of the drawing. This drawing file name should be recorded without the extension.</t>
  </si>
  <si>
    <t>See the Instructions Tab, hear row 131 for information about how to select this value.</t>
  </si>
  <si>
    <t>Gather the file name from the electronic document. The original file name should be written on the lower right hand corner of the first page of the bubble document.</t>
  </si>
  <si>
    <t>See the Instructions Tab, near row 131 for information about how to pick this value.</t>
  </si>
  <si>
    <t>Second instance of an image name. This will normally be from the ECTS system.</t>
  </si>
  <si>
    <t>Third instance of an image name. This will normally be from the ECTS system.</t>
  </si>
  <si>
    <t>Enter the Operating Map or Diagram applicable to this row of data using the drawing number a dash and then the sheet number if applicable. Some drawings will not have a sheet number. This is not required on every line, just where the data is useful.  When an operating diagram of a regulator station is used, enter it for all applicable features in the regulator set.  This cannot be one of your bubbled drawings. If you must bubble an Operating Map or Diagram, then the resulting bubble sheet must be uploaded to ECTS as a unique document. See the instructions tab for the naming convention.</t>
  </si>
  <si>
    <t xml:space="preserve">First instance of an image name. This will normally be from the ECTS system.  If you need to upload images that you find outside of ECTS use a standard naming convention as detailed in Guidelines and Instructions Tab.  </t>
  </si>
  <si>
    <t>Use the drop down to indicate if this is a strength test, leak test, pre-test, dynamic test, other or Uprate.</t>
  </si>
  <si>
    <t>This is the job number that did the test. Usually this is the installing job, but it can be different on uprate and other types of work.  It is very important and a code requirement that the most recent test is the only currently valid strength test.</t>
  </si>
  <si>
    <t>The duration of the strength test in hours. Only to one decimal point. It is important if the test was longer than 1 hour, 4 hours or 8 hours.  If this is a stepped uprate, include the total number of hours over which the line was undergoing the uprate procedure.</t>
  </si>
  <si>
    <t>From the Strength Test Pressure Report. If there are significant elevation changes, the hydrotest plan and sketches may be used to gather this value.    This should be the pressure experienced by the pipeline, the actual test pressure could be lower than this value.</t>
  </si>
  <si>
    <t>Determine the approximate date of any prior strength tests. The most recent strength test is the current test, even if it is tested at a lower pressure than previous tests.   A test is not a strength test unless it is equal or greater than the MAOP of the pipeline at the time of the test.</t>
  </si>
  <si>
    <t xml:space="preserve">Gather the file name from the electronic document. The electronic name of the document should be in the lower right corner of the first page.   </t>
  </si>
  <si>
    <t>5th instance of an image name. This will normally be from the ECTS system.</t>
  </si>
  <si>
    <t>6th instance of an image name. This will normally be from the ECTS system.</t>
  </si>
  <si>
    <t>7th instance of an image name. This will normally be from the ECTS system.</t>
  </si>
  <si>
    <t>8th instance of an image name. This will normally be from the ECTS system.</t>
  </si>
  <si>
    <t>9th instance of an image name. This will normally be from the ECTS system.</t>
  </si>
  <si>
    <t>See the Instructions Tab, near row 140 for information about how to pick this value.</t>
  </si>
  <si>
    <t>This information should come from the X-ray Summary document type.   As of 2012, this is document 75-53, "nondestructive testing of welds on facilities designed to operating at 20% or more of SMYS - Job Summary".  If no summary is available, include 2 - 3 x-ray detail sheets and add a note such as, "many x-ray detail sheets available, estimated % x-ray".</t>
  </si>
  <si>
    <t>Gather the file name from the electronic document. The original file name should be identified on the lower right hand corner of bubble sheets.</t>
  </si>
  <si>
    <t>The options are No Casing (default value), Casing, Pipe Bridge, Pipe Span, Pipe Liner and Pipe Encased.</t>
  </si>
  <si>
    <t>Obtain from the as-built constructions drawings, material requisitions and shipping tags.. Concrete or other encasement that is directly applied to the pipe may be shown on invoices and material requisitions. In a pipe bridge there are frequently sections that are an "open span", but this is still a pipe bridge if there are cables and other supports for the pipe such as the pipe bridges across the Colorado River for Line 300A and B. A pipe span is usually found when the pipe is going through areas of small steep canyons.</t>
  </si>
  <si>
    <t>If the Pipe is installed inside of a casing use Pipe Type= Casing, Use Pipe Bridge if the pipe is on a special pipe bridge with additional supports for the pipe, use Pipe Span if the pipe is an open span with no special supports, (it is still an open span even if it has one or two pipe supports along the edges of the open span, Use Pipe Liner if the pipe is lined with a special liner material such as the Paltram liner on Line 109, use Pipe Encased if pipe is concrete encased or some other solid material is directly on the pipe coating. This could be encased in other special materials for protection.</t>
  </si>
  <si>
    <t>Obtain from the as-built bill of material, material requisition, material contract, material specification, material inspection report. Use the Actual Size or Opening to indicate the length of patches or sleeves. Add Comments for the odd variations. Any kind of a leak repair must be a pressure containing sleeve.</t>
  </si>
  <si>
    <t>Obtain from the as-built bill of material, material requisition, material contract, material specification, material inspection report.  There are bends that look like "expansion" joints with smooth folds in the metal, that were purchased and installed at angle points.  These should be identified on the PFL as "wrinkle" bends.   These are common on Lines 105, 108 and others of this era.</t>
  </si>
  <si>
    <t>This is the type of bend, it may be a miter bend or a long radius field bend. These are single point events for a single location on the pipeline.  You should pick one location approximately in the middle along the arc of the bend as the location of the angle point.   You must capture on the PFL all "wrinkle" bends if they are called out specifically called out on the drawings.</t>
  </si>
  <si>
    <t>Type of valve such as Gate, Ball, Plug, Check, etc.</t>
  </si>
  <si>
    <t>The type of reducer, most common is a concentric standard reducer. Venturi reducers are very long. Eccentric reducers are rare. Internal reducers are inside of a pipe and are not pressure carrying reducers, an Internal Reducer is zero length.  In the PFL you can place the venturi reducer at one end, usually next to the valve.</t>
  </si>
  <si>
    <t>Obtain from the construction drawings, division plat sheets and as-built bill of material. See mapping symbols for how to read what type from the Distribution Plat Sheets or other drawings. If there is no other information you can assume there is a 90 degree elbow on a bottom tap. If construction records indicate a TDW (TD Williamson) PCF and the distribution plat sheet identifies the PCF without the "TDW" written next to it, identify this discrepancy in the Issues-Errors tab.   A PCA is a piece of pipe with a PCF fitting pre-installed on it. They were usually used for hot taps to existing pipes. You should document the pipe and the PCF as separate features.</t>
  </si>
  <si>
    <t>Include Internal Baffles and Dresser Couplings in this category. Add Notes and Comments for these odd fittings. If a Dresser is encased in a steel sleeve we must try to identify and document the sleeve separately from the Dresser. If it is encased in concrete add the concrete as an Appurtenance. DC on drawings can mean Dresser Coupling. Repair Cans are used as a "can" or "bottle" to enclose a damaged tee, weld or valve on a pipe line. Collars are placed around smaller diameter pipes coming off large diameter pipes for reinforcement, they would frequently be called "reinforcing pads".     Filter/Separators/Strainers are prefabricated pieces with their own pressure ratings and do not need to be broken down into parts for the PFL.   Taps located on the filter or separator do not need to be identified on the PFL.</t>
  </si>
  <si>
    <t>The options available include Mooney (a particular brand), Flex Flow (a Grove boot type), Boot (use for other boot types), Diaphragm , spring (typical small regulator),  Fisher, other  or Unknown.   A Fire Fuse slam shut is a device that when heated will cause a flapper type valve to close on a pipe cutting of the flow.   Most use gas pressure to trigger then, but some use a "fire fuse" or heat to trigger then closing of the valve.    An "HPR Set" represents a regulator and the surrounding pipe for a hi to hi or HPR style regulator where we do not know anything about the set except that it exists and the approximate size.   This should be indicated as a "pre-fabricated feature" in the appropriate column.</t>
  </si>
  <si>
    <t>Added Cor-Ten as a sleeve spec option</t>
  </si>
  <si>
    <t>1956_3inch_CS8040</t>
  </si>
  <si>
    <t>1956_4inch_CS8040</t>
  </si>
  <si>
    <t>1961_3inch_CS8040</t>
  </si>
  <si>
    <t>1961_4inch_CS8040</t>
  </si>
  <si>
    <t>1967_3inch_J-42.1</t>
  </si>
  <si>
    <t>1967_4inch_J-42.1</t>
  </si>
  <si>
    <t>1979_2inch_J-43</t>
  </si>
  <si>
    <t>1979_3inch_J-43</t>
  </si>
  <si>
    <t>1979_4inch_J-43</t>
  </si>
  <si>
    <t>1979_6inch_J-43</t>
  </si>
  <si>
    <t>1989_2inch_J-45</t>
  </si>
  <si>
    <t>1989_3inch_J-45</t>
  </si>
  <si>
    <t>1989_4inch_J-45</t>
  </si>
  <si>
    <t>1989_6inch_J-45</t>
  </si>
  <si>
    <t>2008_3inch_J-45</t>
  </si>
  <si>
    <t>2008_4inch_J-45</t>
  </si>
  <si>
    <t>2008_6inch_J-45</t>
  </si>
  <si>
    <t>OrificeSkidMntGasWell</t>
  </si>
  <si>
    <t>Meter - OrificeSkidMntGasWell</t>
  </si>
  <si>
    <t>Added drop down selection in the Model # column if Orifice Skid Mnt is selected for a feature.</t>
  </si>
  <si>
    <t>Minimum of 25000, can be higher</t>
  </si>
  <si>
    <t>33000 minimum, 38000 high</t>
  </si>
  <si>
    <t>after 1940 is 35000, can be as high as 40000 on special orders or earlier years.</t>
  </si>
  <si>
    <t>smallest</t>
  </si>
  <si>
    <t>Modified the minimum wall thickness values used in the gray columns to match the PRUPF</t>
  </si>
  <si>
    <t>Class Location</t>
  </si>
  <si>
    <t>Calculated DP</t>
  </si>
  <si>
    <t>Fitting Strength</t>
  </si>
  <si>
    <t>Pipe Pressure Test Information</t>
  </si>
  <si>
    <t>192.611 Pressures</t>
  </si>
  <si>
    <t>MAOP</t>
  </si>
  <si>
    <t>% SMYS
@ MAOP of R</t>
  </si>
  <si>
    <t>Supported Component Info</t>
  </si>
  <si>
    <t>Digs</t>
  </si>
  <si>
    <t>Removal</t>
  </si>
  <si>
    <t>Comments</t>
  </si>
  <si>
    <t>FVE Images</t>
  </si>
  <si>
    <t>Component</t>
  </si>
  <si>
    <t>Prior Purchase</t>
  </si>
  <si>
    <t>Suggested - SMYS</t>
  </si>
  <si>
    <t>SMYS Rat'le</t>
  </si>
  <si>
    <t>WT 1</t>
  </si>
  <si>
    <t>Suggested - WT 1</t>
  </si>
  <si>
    <t>WT 2</t>
  </si>
  <si>
    <t>Suggested - WT 2</t>
  </si>
  <si>
    <t>WT Rat'le</t>
  </si>
  <si>
    <t>OD 1</t>
  </si>
  <si>
    <t>OD 2</t>
  </si>
  <si>
    <t>OD Rat'le</t>
  </si>
  <si>
    <t>Suggested - Seam Type</t>
  </si>
  <si>
    <t>LS Factor</t>
  </si>
  <si>
    <t>LSF Rat'le</t>
  </si>
  <si>
    <t>Fitting Rating</t>
  </si>
  <si>
    <t>ANSI Rat'le</t>
  </si>
  <si>
    <t>Installed CL</t>
  </si>
  <si>
    <t>Installed CL Design Factor</t>
  </si>
  <si>
    <t>Today's CL</t>
  </si>
  <si>
    <t>Today's CL Design Factor</t>
  </si>
  <si>
    <t>@1</t>
  </si>
  <si>
    <t>@2</t>
  </si>
  <si>
    <t>Min DP Location</t>
  </si>
  <si>
    <t>DP</t>
  </si>
  <si>
    <t>Fitting MAOP</t>
  </si>
  <si>
    <t>Converted Date for Table Search</t>
  </si>
  <si>
    <t>Test Duration</t>
  </si>
  <si>
    <t>Strength Test Factor</t>
  </si>
  <si>
    <t>STPR Supported  MAOP</t>
  </si>
  <si>
    <t>Maximum Allowable Pressure</t>
  </si>
  <si>
    <t>Code Compliant Allowable Pressure</t>
  </si>
  <si>
    <t>MAOP of R</t>
  </si>
  <si>
    <t>Is the MAOP of R a Pressure Reduction?</t>
  </si>
  <si>
    <t>Supported Component MAOP</t>
  </si>
  <si>
    <t>MAOP Limited By</t>
  </si>
  <si>
    <t>%SMYS</t>
  </si>
  <si>
    <t>Approx. MP</t>
  </si>
  <si>
    <t>Tier 1</t>
  </si>
  <si>
    <t>Tier 2</t>
  </si>
  <si>
    <t>Remove From MAOP Report "R" or "D"</t>
  </si>
  <si>
    <t>Suggestion Macro Comments</t>
  </si>
  <si>
    <t>FVE Comments</t>
  </si>
  <si>
    <t>Confidence Level</t>
  </si>
  <si>
    <t>Image 1</t>
  </si>
  <si>
    <t>Image 2</t>
  </si>
  <si>
    <t>Image 3</t>
  </si>
  <si>
    <t>Image 4</t>
  </si>
  <si>
    <t>fitting rating/MAOP</t>
  </si>
  <si>
    <t>Skid Mounted Meter Sets/GWP</t>
  </si>
  <si>
    <t>Farm Tap/GWP</t>
  </si>
  <si>
    <t>ODshort</t>
  </si>
  <si>
    <t>ODlong</t>
  </si>
  <si>
    <t>Skid Mounted Meter Sets</t>
  </si>
  <si>
    <t>GWP</t>
  </si>
  <si>
    <t>ANSI 125 #</t>
  </si>
  <si>
    <t>R</t>
  </si>
  <si>
    <t>ANSI 250 #</t>
  </si>
  <si>
    <t>N/A</t>
  </si>
  <si>
    <t>ASA 125 #</t>
  </si>
  <si>
    <t>ASA 150 #</t>
  </si>
  <si>
    <t>ASA 250 #</t>
  </si>
  <si>
    <t>Single Submerged Arc Weld/AO Smith</t>
  </si>
  <si>
    <t>ASA 300 #</t>
  </si>
  <si>
    <t>ASA 400 #</t>
  </si>
  <si>
    <t>ASA 600 #</t>
  </si>
  <si>
    <t>ASA 900 #</t>
  </si>
  <si>
    <t>Spiral Weld/Lap Weld</t>
  </si>
  <si>
    <t>ASA 1500 #</t>
  </si>
  <si>
    <t>ASA 2500#</t>
  </si>
  <si>
    <t>Class 125</t>
  </si>
  <si>
    <t>Series 15</t>
  </si>
  <si>
    <t>Series 30</t>
  </si>
  <si>
    <t>Seamless/Electric Resistance Weld</t>
  </si>
  <si>
    <t>Series 40</t>
  </si>
  <si>
    <t>Seamless/Electric Resistance Weld/Double Submerged Arc Weld</t>
  </si>
  <si>
    <t>Series 60</t>
  </si>
  <si>
    <t>Seamless/Double Submerged Arc Weld</t>
  </si>
  <si>
    <t>WOG 125#</t>
  </si>
  <si>
    <t>WOG 175#</t>
  </si>
  <si>
    <t>WOG 230#</t>
  </si>
  <si>
    <t>WOG 250#</t>
  </si>
  <si>
    <t>WOG 275#</t>
  </si>
  <si>
    <t>WOG 300#</t>
  </si>
  <si>
    <t>WOG 400#</t>
  </si>
  <si>
    <t>WOG 575#</t>
  </si>
  <si>
    <t>WOG 740#</t>
  </si>
  <si>
    <t>WOG 900#</t>
  </si>
  <si>
    <t>WOG 920#</t>
  </si>
  <si>
    <t>WOG 1200#</t>
  </si>
  <si>
    <t>WOG 1290#</t>
  </si>
  <si>
    <t>WOG 1480#</t>
  </si>
  <si>
    <t>WOG 1800#</t>
  </si>
  <si>
    <t>WOG 2000#</t>
  </si>
  <si>
    <t>WOG 2500#</t>
  </si>
  <si>
    <t>WOG 3600#</t>
  </si>
  <si>
    <t>WOG 4500#</t>
  </si>
  <si>
    <t>WOG 5000#</t>
  </si>
  <si>
    <t>WOG 10000#</t>
  </si>
  <si>
    <t>Prior 7/1/1961</t>
  </si>
  <si>
    <t>Prior 2/11/1969</t>
  </si>
  <si>
    <t>2/11/1969 Forward</t>
  </si>
  <si>
    <t>cl</t>
  </si>
  <si>
    <t>date</t>
  </si>
  <si>
    <t>(MAOP) FVE Team's Unknown Assumptions Macro</t>
  </si>
  <si>
    <t xml:space="preserve"> </t>
  </si>
  <si>
    <t>2A2</t>
  </si>
  <si>
    <t>Main Line Size</t>
  </si>
  <si>
    <t>Purchase Date:</t>
  </si>
  <si>
    <t>Enter Pipe Size:</t>
  </si>
  <si>
    <t>Enter Seam Type:</t>
  </si>
  <si>
    <t>Calculate Yield IS:</t>
  </si>
  <si>
    <t>error</t>
  </si>
  <si>
    <t>*For 3" &amp; 4" Unkown Seam, use Seamless/Electric Resistance Weld Data</t>
  </si>
  <si>
    <t>2B3</t>
  </si>
  <si>
    <t>SeamlessW</t>
  </si>
  <si>
    <t>This is for instances where 4" SMLS with 0.156 Wall</t>
  </si>
  <si>
    <t>2B4-2</t>
  </si>
  <si>
    <t>2B4-Unknown Diameter 1</t>
  </si>
  <si>
    <t>Nominal Pipe Size (inches)</t>
  </si>
  <si>
    <t>2B4-3</t>
  </si>
  <si>
    <t>2B4-4</t>
  </si>
  <si>
    <t>3-2</t>
  </si>
  <si>
    <t>Dia (in)</t>
  </si>
  <si>
    <t>Seam</t>
  </si>
  <si>
    <t>Diameter:</t>
  </si>
  <si>
    <t>Logic:</t>
  </si>
  <si>
    <t>Wall Thickness</t>
  </si>
  <si>
    <t>4B</t>
  </si>
  <si>
    <t>Manually Coded</t>
  </si>
  <si>
    <t>Not being Used with New 1963 Logic!</t>
  </si>
  <si>
    <t>Use Post 1963 Logic</t>
  </si>
  <si>
    <t>5B</t>
  </si>
  <si>
    <t>Diameter (inches)</t>
  </si>
  <si>
    <t>Fitting Logic (Post 1963)</t>
  </si>
  <si>
    <t>Fitting SMYS (Unknown Date)</t>
  </si>
  <si>
    <t>Diameter (actual)</t>
  </si>
  <si>
    <t>Unk Install Date WT</t>
  </si>
  <si>
    <t>1/1/1880</t>
  </si>
  <si>
    <t>Diameter</t>
  </si>
  <si>
    <t>sLogic(seam)</t>
  </si>
  <si>
    <t>result</t>
  </si>
  <si>
    <t>Fitting SMYS (1st Choice)</t>
  </si>
  <si>
    <t>1st choice WT</t>
  </si>
  <si>
    <t>Fitting SMYS (2nd Choice)</t>
  </si>
  <si>
    <t>2nd choice Std WT</t>
  </si>
  <si>
    <t>Fitting SMYS (3rd Choice)</t>
  </si>
  <si>
    <t>3rd choice EH WT</t>
  </si>
  <si>
    <t>MAOP Validation Report</t>
  </si>
  <si>
    <t>Confidential</t>
  </si>
  <si>
    <t>Provided to CPSD pursuant to Public Utilities Code section 583</t>
  </si>
  <si>
    <t>MAOP Report Details:</t>
  </si>
  <si>
    <t>Report Date:</t>
  </si>
  <si>
    <t>PFL #</t>
  </si>
  <si>
    <t>Historic MP</t>
  </si>
  <si>
    <t>Begin Measure</t>
  </si>
  <si>
    <t>End Measure</t>
  </si>
  <si>
    <t>OD</t>
  </si>
  <si>
    <t>WT</t>
  </si>
  <si>
    <t>Joint Efficiency Factor</t>
  </si>
  <si>
    <t>MAOP per Design</t>
  </si>
  <si>
    <t>Test Year</t>
  </si>
  <si>
    <t>MAOP per Test</t>
  </si>
  <si>
    <t>MAOP per R</t>
  </si>
  <si>
    <t>Class</t>
  </si>
  <si>
    <t>% SMYS per R</t>
  </si>
  <si>
    <t>Operating in Class</t>
  </si>
  <si>
    <t>MAOP Limit Factor</t>
  </si>
  <si>
    <t>Component MAOP</t>
  </si>
  <si>
    <t>Farm Tap</t>
  </si>
  <si>
    <t>ERROR</t>
  </si>
  <si>
    <t>Obtain from the as-built construction drawings and consideration of strength test pressure reports.  Typically this will be valve assemblies or multiple branching connections that are fabricated on site, tested and drained, then cut into the existing pipeline.  Often fabricated assemblies are tested above ground or before being placed in the final position.  Mainline valves and associated branch connections within 5 pipe diameters upstream and downstream are part of the fabricated assembly.  Hot tap assemblies, screwed or flanged connections are not fabricated assemblies.       A series of just elbows or bends does not make a fabricated assembly.   A single smaller diameter line branching off a larger diameter line and not associated with a mainline valve is not a fabricated assembly.</t>
  </si>
  <si>
    <t>2A2-1</t>
  </si>
  <si>
    <t>2A2-2</t>
  </si>
  <si>
    <t>`</t>
  </si>
  <si>
    <t>Change as of 10/18/2012</t>
  </si>
  <si>
    <t>Component - Feature</t>
  </si>
  <si>
    <t>Component - Feature Type</t>
  </si>
  <si>
    <r>
      <t xml:space="preserve">Valid Test for </t>
    </r>
    <r>
      <rPr>
        <sz val="8"/>
        <rFont val="Calibri"/>
        <family val="2"/>
      </rPr>
      <t xml:space="preserve">≥ </t>
    </r>
    <r>
      <rPr>
        <sz val="8"/>
        <rFont val="Arial"/>
        <family val="2"/>
      </rPr>
      <t>30% SMYS?</t>
    </r>
  </si>
  <si>
    <t xml:space="preserve">AO Smith </t>
  </si>
  <si>
    <t>WOG 2120#</t>
  </si>
  <si>
    <t>Max Working Pressure Range</t>
  </si>
  <si>
    <t>low:</t>
  </si>
  <si>
    <t>high:</t>
  </si>
  <si>
    <t>December 12, 2012</t>
  </si>
  <si>
    <t>Change</t>
  </si>
  <si>
    <t>Column</t>
  </si>
  <si>
    <t>CX1</t>
  </si>
  <si>
    <t>Captured change number.</t>
  </si>
  <si>
    <t>If ANSI-WOG rating is missing (column X) and feature is skid-mounted meter set or farm tap, returns ERROR.</t>
  </si>
  <si>
    <t>Removed fitting rating = "" from fitting MAOP calculation.</t>
  </si>
  <si>
    <t>Tab</t>
  </si>
  <si>
    <t>Pipe Data</t>
  </si>
  <si>
    <t>If OD = Unknown, cell fill is yellow.</t>
  </si>
  <si>
    <t>If fitting rating = ERROR, cell fill is yellow.</t>
  </si>
  <si>
    <t>CY1</t>
  </si>
  <si>
    <t>Captured Calculator version to this cell.</t>
  </si>
  <si>
    <t>Changes for Calculator Version 24  as of 2013</t>
  </si>
  <si>
    <r>
      <t xml:space="preserve">If Feature = other and component </t>
    </r>
    <r>
      <rPr>
        <sz val="10"/>
        <rFont val="Calibri"/>
        <family val="2"/>
      </rPr>
      <t>≠</t>
    </r>
    <r>
      <rPr>
        <sz val="10"/>
        <rFont val="Arial"/>
        <family val="2"/>
      </rPr>
      <t xml:space="preserve"> sleeve, then returns N/A.  This allows FVE to change the component to sleeve when feature = other and have seam type return Unknown.</t>
    </r>
  </si>
  <si>
    <t>If Feature = other and component ≠ sleeve, then returns N/A.  This allows FVE to change the component to sleeve when feature = other and have LS factor return 1.0.</t>
  </si>
  <si>
    <t>If component = reducer or tee and OD 2 is blank on the Build side, returns ERROR.</t>
  </si>
  <si>
    <t>If OD 2 = ERROR then OD = ERROR and turns cell fill yellow.</t>
  </si>
  <si>
    <t>WOG 700#</t>
  </si>
  <si>
    <t>WOG 4000#</t>
  </si>
  <si>
    <r>
      <t xml:space="preserve">Inspection Reports, Distribution and Transmission Plat Sheets, Operating Maps and Diagrams, </t>
    </r>
    <r>
      <rPr>
        <sz val="10"/>
        <color rgb="FFFF0000"/>
        <rFont val="Arial"/>
        <family val="2"/>
      </rPr>
      <t>"typical" drawings of standard materials and installations of these materials.  You can utilize material lists from "typical" drawings if they are clearly referenced on the original as-built drawing.</t>
    </r>
  </si>
  <si>
    <t xml:space="preserve">Project Close out reports, construction cost reports. </t>
  </si>
  <si>
    <t>Represents witness of installation, from a tertiary document source.</t>
  </si>
  <si>
    <r>
      <rPr>
        <b/>
        <sz val="10"/>
        <rFont val="Arial"/>
        <family val="2"/>
      </rPr>
      <t>Uprate criteria</t>
    </r>
    <r>
      <rPr>
        <sz val="10"/>
        <rFont val="Arial"/>
        <family val="2"/>
      </rPr>
      <t xml:space="preserve"> are described below.   An uprate is an incremental increase in pressure that does not strength test the pipe to 1.25 or 1.5 times the MAOP.</t>
    </r>
  </si>
  <si>
    <t xml:space="preserve">Strength test pressure report with dead weight log and charts, test supervisor name, pressure, medium, duration, elevations, signed and dated.   </t>
  </si>
  <si>
    <t>All investigations of pipe to be uprated documents.  An uprate procedure that is signed and documented that all steps have been followed.   Record of all tests conducted on the line, (charts), including leak surveys with leak log.</t>
  </si>
  <si>
    <t>All investigations of pipe to be uprated documents.  An uprate procedure that is signed and documented that all steps have been followed.   Record of all tests conducted on the line, including leak surveys, no leak log.</t>
  </si>
  <si>
    <t>All investigations of pipe to be uprated documents.  An uprate procedure that is signed and documented that all steps have been followed including leak survey.   Record of all tests conducted on the line, no leak survey sheets or leak log.</t>
  </si>
  <si>
    <t>All investigations of pipe to be uprated documents.  An uprate procedure that is signed and documented that all steps have been followed.   Record of all tests conducted on the line.  Lacking leak survey sign off and documents..</t>
  </si>
  <si>
    <t>An uprate procedure that is signed and documented that all steps of been followed and indicates investigations have been completed.   Record of all tests conducted on the line, (charts).</t>
  </si>
  <si>
    <r>
      <t xml:space="preserve">An </t>
    </r>
    <r>
      <rPr>
        <b/>
        <sz val="10"/>
        <rFont val="Arial"/>
        <family val="2"/>
      </rPr>
      <t>uprate procedure cover sheet</t>
    </r>
    <r>
      <rPr>
        <sz val="10"/>
        <rFont val="Arial"/>
        <family val="2"/>
      </rPr>
      <t xml:space="preserve"> that indicates all steps have been followed and indicates investigations have been completed.   Record of all tests conducted on the line.</t>
    </r>
  </si>
  <si>
    <t>An uprate procedure with sign off, does not indicate investigations have been completed.  Has record of all tests conducted on the line, (charts and logs).</t>
  </si>
  <si>
    <r>
      <t xml:space="preserve">An </t>
    </r>
    <r>
      <rPr>
        <b/>
        <sz val="10"/>
        <rFont val="Arial"/>
        <family val="2"/>
      </rPr>
      <t>uprate procedure cover sheet</t>
    </r>
    <r>
      <rPr>
        <sz val="10"/>
        <rFont val="Arial"/>
        <family val="2"/>
      </rPr>
      <t xml:space="preserve"> and does not indicate investigations have been completed.  Has record of all tests conducted on the line.</t>
    </r>
  </si>
  <si>
    <t>Documentation of test duration, pressure, medium and the supervisor name, but post dated more than 1 year after the actual test date.  (some exceptions might be allowed depending on job details)</t>
  </si>
  <si>
    <t>Represents potential affidavit of required data and uncertified observation</t>
  </si>
  <si>
    <t>An uprate procedure.  Lacking records of all tests conducted on the line, (charts and logs)</t>
  </si>
  <si>
    <t>Documentation on a chart, log or test form of the test fluid and the test pressure.</t>
  </si>
  <si>
    <t>Represents direct minimum records but uncertified observation</t>
  </si>
  <si>
    <t>An uprate procedure and investigation documentation that lacks records of all tests conducted on the line.  No charts or logs.</t>
  </si>
  <si>
    <t>Q12</t>
  </si>
  <si>
    <t>An uprate procedure that is not as-built.   No signature of completion or job supervisors.  Has record of all tests conducted on the line.</t>
  </si>
  <si>
    <t>Q13</t>
  </si>
  <si>
    <t>An uprate procedure that is not as-built.   No signature of completion or job supervisors.  No records of tests conducted on the line.</t>
  </si>
  <si>
    <t>Version: v25 Modified</t>
  </si>
  <si>
    <t>FVE Validation</t>
  </si>
  <si>
    <t>Added WOG 700# and WOG 4000# to Fitting Rating drop down</t>
  </si>
  <si>
    <t>v25 Update</t>
  </si>
  <si>
    <t>Various</t>
  </si>
  <si>
    <t>Joshua added updates for v25 Quality Codes</t>
  </si>
  <si>
    <t>5</t>
  </si>
  <si>
    <t>Line begins at Tee before Sectionalized Valve B-19, MP 0.93 on Mainline 1202-12. Intersection of Clovis Avenue &amp; Shaw AvenueBOM #8; ANSI B-16.5; Gas STD B-43; std bore &amp; raised face</t>
  </si>
  <si>
    <t>MAOP16506938.jpg</t>
  </si>
  <si>
    <t>MAOP16506908.jpg</t>
  </si>
  <si>
    <t>FRA12</t>
  </si>
  <si>
    <t>3805-I03</t>
  </si>
  <si>
    <t>MAOP16506826.jpg</t>
  </si>
  <si>
    <t>MAOP16506828.jpg</t>
  </si>
  <si>
    <t>MAOP16506829.jpg</t>
  </si>
  <si>
    <t>MAOP16506827.jpg</t>
  </si>
  <si>
    <t>WXO0</t>
  </si>
  <si>
    <t>RUB8</t>
  </si>
  <si>
    <t>TBD</t>
  </si>
  <si>
    <t>MAOP16506723.jpg</t>
  </si>
  <si>
    <t>MAOP16506722.jpg</t>
  </si>
  <si>
    <t>801</t>
  </si>
  <si>
    <t>BOM #5; RMC#4249 series 30</t>
  </si>
  <si>
    <t>B-19-2</t>
  </si>
  <si>
    <t>4249</t>
  </si>
  <si>
    <t>MAOP08809970.jpg</t>
  </si>
  <si>
    <t>MAOP08810072.jpg</t>
  </si>
  <si>
    <t>BOM #8; ANSI B-16.5; Gas STD B-43; std bore &amp; raised face</t>
  </si>
  <si>
    <t/>
  </si>
  <si>
    <t xml:space="preserve">BOM #10; 1987 Material Codes; </t>
  </si>
  <si>
    <t>Included</t>
  </si>
  <si>
    <t>BOM #11</t>
  </si>
  <si>
    <t>BOM #14</t>
  </si>
  <si>
    <t>2" save-a-valve per cold tap configuration (no reinforcement)</t>
  </si>
  <si>
    <t>MAOP16306519.jpg</t>
  </si>
  <si>
    <t>MAOP16306540.jpg</t>
  </si>
  <si>
    <t>DF3347</t>
  </si>
  <si>
    <t>BOM #23; Vault, Forni, 6'x10'x7'</t>
  </si>
  <si>
    <t>BOM #12-1987 Material Codes</t>
  </si>
  <si>
    <t>MAOP16506728.jpg</t>
  </si>
  <si>
    <t>Pipe wall thickness taken from railroad crossing application - MAOP16506771</t>
  </si>
  <si>
    <t>Bored Casing; End seals &amp; vents SP A-71, Test Leads SP A-71; Extended casing under GM 4678504</t>
  </si>
  <si>
    <t>MAOP16506771.jpg</t>
  </si>
  <si>
    <t>Extend 16" casing to reach proposed Railroad R/W total 23' casing; Gas STD A-71; (MC 01-0159)</t>
  </si>
  <si>
    <t>MAOP16306512.jpg</t>
  </si>
  <si>
    <t>MAOP16306545.jpg</t>
  </si>
  <si>
    <t>MAOP16306546.jpg</t>
  </si>
  <si>
    <t>MAOP16306536.jpg</t>
  </si>
  <si>
    <t>MAOP16306513.jpg</t>
  </si>
  <si>
    <t>MAOP16306537.jpg</t>
  </si>
  <si>
    <t>Kyle K. Cummings</t>
  </si>
  <si>
    <t>Removed 12"x6" Reducer &amp; tie in 12" pipe</t>
  </si>
  <si>
    <t>Length scaled from As-Built; Pipe is from DeCoto Pipe Yard</t>
  </si>
  <si>
    <t>P.O. 622602</t>
  </si>
  <si>
    <t>MAOP15317896.jpg</t>
  </si>
  <si>
    <t>MAOP15317897.jpg</t>
  </si>
  <si>
    <t>3805-I04</t>
  </si>
  <si>
    <t>Evan Rahrer</t>
  </si>
  <si>
    <t>MAOP15317928.jpg</t>
  </si>
  <si>
    <t>MAOP15317877.jpg</t>
  </si>
  <si>
    <t>MAOP15317878.jpg</t>
  </si>
  <si>
    <t>MAOP15317936.jpg</t>
  </si>
  <si>
    <t>MAOP15140348.jpg</t>
  </si>
  <si>
    <t>MAOP15317937.jpg</t>
  </si>
  <si>
    <t>Section of installed main gradually roped 2' for new alignment around Sunnyside Ave.; Length scaled from As-Built; Pipe is from DeCoto Pipe Yard</t>
  </si>
  <si>
    <t>MAOP15317898.jpg</t>
  </si>
  <si>
    <t>MAOP15317899.jpg</t>
  </si>
  <si>
    <t>2 pups ± 100' west Stanford Avenue</t>
  </si>
  <si>
    <t>3805-I05</t>
  </si>
  <si>
    <t>MAOP16306514.jpg</t>
  </si>
  <si>
    <t>MAOP16306544.jpg</t>
  </si>
  <si>
    <t>MAOP16306543.jpg</t>
  </si>
  <si>
    <t>MAOP16306515.jpg</t>
  </si>
  <si>
    <t>U_STUB_201212270912_RDREG4496</t>
  </si>
  <si>
    <t>802</t>
  </si>
  <si>
    <t>Gas STD F-31,; Traffic casing/ cover per Gas STD K41.1</t>
  </si>
  <si>
    <t>V-1</t>
  </si>
  <si>
    <t>M1-1L7</t>
  </si>
  <si>
    <t>BOM #13;</t>
  </si>
  <si>
    <t>BOM #25 - 1987 Material Codes; DREG4496 ends at 1st Tee entereing into Clovis &amp; Shaw Sectionalizing Valve and Reg Station which was relocated to about 83' before Standford Ave.</t>
  </si>
  <si>
    <t>IN STATION</t>
  </si>
  <si>
    <t>Line Number</t>
  </si>
  <si>
    <t>Approx Mile Point</t>
  </si>
  <si>
    <t>Feature Range or Job Number</t>
  </si>
  <si>
    <t>Issue Created by Name - Lan id</t>
  </si>
  <si>
    <t>Created by Organization</t>
  </si>
  <si>
    <t>Identified by Process Step</t>
  </si>
  <si>
    <t>Assigned to Organization</t>
  </si>
  <si>
    <t>Description of Issue</t>
  </si>
  <si>
    <t>Resolved by Name - Lan Id</t>
  </si>
  <si>
    <t>Resolved Date</t>
  </si>
  <si>
    <t>Resolution of Issue</t>
  </si>
  <si>
    <t>17-35</t>
  </si>
  <si>
    <t>HRD</t>
  </si>
  <si>
    <t xml:space="preserve">SMYS was calculated by PRUPF Logic. </t>
  </si>
  <si>
    <t xml:space="preserve">SMYS was calculated by PRUPF Logic. W.T. 1 was calculated by PRUPF Logic. </t>
  </si>
  <si>
    <t xml:space="preserve">SEAM was calculated by PRUPF Logic. SMYS was calculated by PRUPF Logic. </t>
  </si>
  <si>
    <t xml:space="preserve">|1| FEATURE IS MARKED AS RECONDITIONED / SALVAGED. </t>
  </si>
  <si>
    <t>Problems |1|</t>
  </si>
  <si>
    <t>Per Drawing MAOP16306519.pdf, tap is 2" Save-A-Valve, minimum rating is 250#.</t>
  </si>
  <si>
    <t>example.xlsm</t>
  </si>
  <si>
    <t>Example</t>
  </si>
  <si>
    <t>Responsible example LAN ID</t>
  </si>
  <si>
    <t>Lan Id example QC</t>
  </si>
  <si>
    <t>example</t>
  </si>
  <si>
    <t xml:space="preserve">Resolve Issues: Review, confirm and try to resolve all issues.  Resolved issues are documented in the far right column, and any unresolved issues are assigned to the next process organization (example QC or example Field Verify).  Do not delete issues, and use red or red bold font to distinguish changes made to existing issues or resolutions.  </t>
  </si>
  <si>
    <t>This is the pipe segment id from the example GIS system. It is used for tracking and comparison between the two systems. If there is more than one segment number for your feature, create multiple features to reflect each segment change. You should list segment numbers in every row with the exception, that if the feature does not exist in the current GIS system leave the segment number blank.</t>
  </si>
  <si>
    <t>Available from the example Gas view GIS system. You may be assigned segments within a pipeline, but these segments are based on data from January 2011. If the GIS system has more up to date segment numbers these updated segment numbers should be listed in the PFL. With a comment in the Issues-Errors tab about the changed segments. Some segments numbers have a "C" at the end, this designates a casing segment in the GIS system and does not represent the actual pipe. The pipe segment number which is what we should be using will not have a "C" at the end.</t>
  </si>
  <si>
    <t>example Job Number</t>
  </si>
  <si>
    <t>You should note unusual specifications in the Comments column. For example if a fabricated tee or drip has a GWP or WOG rating this should be noted in the comments. Any indication of reconditioned or re-installed pipe should be noted in the comments and the document should be emailed to example PFL Build Manager and Chief Engineer.</t>
  </si>
  <si>
    <t>Obtain from the as-built bill of material, material requisition, material contract, material specification, material inspection report, H form or equivalent field inspection report. You must have supporting original documentation. Can leave blank if "Unknown". "E.H." usually refers to Extra Heavy wall thickness fittings. "Std" is standard wall thickness fittings.   "Std" wall is equivalent to Sch 40 pipe up to 10" and "EH" is equivalent to Sch 80 pipe up to 8".  The current wall thickness for Std and EH can be applied to all pipe used at example.    See W.T. 2 for more details.   See Instructions near cell J98 for wall thickness of 2 inch and smaller socket and threaded fittings.</t>
  </si>
  <si>
    <t xml:space="preserve">The long seam may be available in as-built or manufacturer documents. If this is not clear or there is conflicting information this should be left blank and the background colored yellow. CAUTION example's current standards would allow welded or DSAW fittings above 20". It is not unusual to have large diameter DSAW fittings. The seam type= "Unknown &gt; 4 - Modern" should be used if the value is Unknown and installed after 1959, or installed anytime and greater then 26" diameter pipe.  This same logic can be applied to bends. Use "Sleeve" if the feature is a gas containing sleeve.  </t>
  </si>
  <si>
    <t>This column contains a drop down of the common specifications for pipe, such as API 5LX and the associated grade. At the bottom of the drop down are more general options.  Start from the top and review the list to ensure you pick the value that is most accurate.   If the pipe is "re-conditioned" you must indicate this in the "Re-conditioned or Salvaged" column and you must send the document indicating re-conditioning to the example Chief Engineer. On multi-grade pipe use the lowest value for SMYS. ASTM-234 can be a variety of grades if it is not Grade A or B, pick ASTM-234 and the correct SMYS value.</t>
  </si>
  <si>
    <t>The radius of the bend, most purchased by example are 1.5 LR, but this must be verified with the job documents. You can assume the bend is long radius of the material was purchased after 1980 and is not in a station. Field Bends may list Radius values and these should be recorded in this column if they are available. Use the closest radius in the dropdown for the field bends.</t>
  </si>
  <si>
    <t>Found in Maintenance records, spec sheets, as builts or mostly likely factory test reports.   example has cases where factory tests were done higher than ANSI standards.   Leave blank and color the background yellow if this value is unknown.</t>
  </si>
  <si>
    <t>The example Material code for this feature.</t>
  </si>
  <si>
    <t>Enter yes if this pipeline was purchased from another company.   If there are as-built drawings with example symbols and drawing information, or material requisitions for the material on example forms, than the pipeline section was not purchased from another company and you should enter "no".    If you have no indication of example supplying material to this job and no indication of it being purchased from another company, then enter "unknown".</t>
  </si>
  <si>
    <t>Job facesheets or related documentation in the job file are the most likely place to find this information.   For example, CCG on transmission plat sheets is an indication that the pipeline was purchased from Coast Counties Gas company.   Purchase orders, and materials requisitions indicate that example did not purchase this pipeline.</t>
  </si>
  <si>
    <t>Indicate yes, if the material placed in service was salvaged, reconditioned or reused.  If the material removed from this job was clearly sent for reconditioning this should be noted in the Issues-Errors tab. In either case you should send an email to the example Chief Engineer or PFL Build Manager with the image if you see any re-conditioned or reused material.  If there are mfg invoices in the job file for the features installed, then you know the features are not reconditioned or reused.   You should put "no" in this column.  If you have material shipped from a Decoto pipe yard or another example pipe yard you need to input "unknown" unless you have other documents.</t>
  </si>
  <si>
    <t>If example crews did the testing then enter example. Else use the name of the company that performed the pressure testing.</t>
  </si>
  <si>
    <t>This identifies the BRANCH line within the example system. This is only required on rows for feature type Tap, Tee, or branching PCFs. (The Line number for this PFL is listed once at the very top of the first page.) If there is not a GIS name, then use the standard naming convention by using the naming Tool on the Tools tab.  See Guidelines or Instructiosn tab for more details.</t>
  </si>
  <si>
    <t>Responsible example Lan Id</t>
  </si>
  <si>
    <t>example network id</t>
  </si>
  <si>
    <t>Write in the example network Id for the person that built this feature of the PFL.</t>
  </si>
  <si>
    <t>Write in the example network Id for the person that Checked this feature of the PFL.</t>
  </si>
  <si>
    <t>Write in the example network Id for the example QC person that reviewed this feature of the PFL.</t>
  </si>
  <si>
    <t>Enter Yes if there is a discrepancy between this line item and the example GIS system. You should detail major differences in the Issues-Errors tab.</t>
  </si>
  <si>
    <t>Review the existing example GIS system and note any major differences.</t>
  </si>
  <si>
    <t>The type of bend for this feature. In most cases if it is a manufactured bend it will be a forged elbow or bend. example crews traditionally install elbows that are cut to various degrees. If you don't know if a bend is manufactured or field, use manufactured bend to detail the information.   You should capture on the PFL all bends 2 degrees or greater.   Except you should capture all "Wrinkle" bends that are called out on the drawings as wrinkle bends regardless of angle.</t>
  </si>
  <si>
    <t>Used for pressure control fittings. These are very common on all 12 inch and smaller lines. Mueller is the most common manufacturer at example and uses the term "line stopper", TDW is another manufacturer and uses the word "stopple". These fittings are equivalent, but it is important to know the type of fitting if it is specified, due to the differences in machines for utilizing these fittings.</t>
  </si>
  <si>
    <t>There are formal documents that talk about the Pipeline Features List creation process. However, it can be summarized as a process of working a pipeline foot by foot to identify all possible features that touch or impact the natural gas. Within example this normally involves checking and verifying you have all the possible information from several sources for each foot of the pipeline. These general sources of information are:</t>
  </si>
  <si>
    <t>Most of example's major pipelines were installed between 1930 and 1960. The most commonly used base map for these lines are "Transmission Plat Sheets". These are numbered drawings, that started from the original right of way documents and detail the pipeline usually with field stationing. However, these drawings were no longer updated after the early 1980s. They often contain good information from the older lines, but are not current and they are not as-builts. They are a secondary source of information. These maps are frequently used as the "base" for numbering pipeline features because they tend to be more complete, but remember they are a secondary source of information.</t>
  </si>
  <si>
    <t>The current mapping of all example gas facilities is carried on "Division Plat Sheets", these drawings document the basic location of all pipelines, associated job numbers, distance from property lines and services off the main lines. They contain little additional information to document pipe specifications or individual features. They are a tertiary information source. Typically they have numbering in the corner such as 3456-H8, this number represents Wall Map 3456 and Plat H8. If you don't have construction drawings or transmission plats you can scale and estimate features from the division plat sheets, but this is a last resort if you have no other options.</t>
  </si>
  <si>
    <t>The current GIS system at example must be used as a reference to identify the pipe segments. We expect to eliminate the pipe segments eventually, but for now we feel they will be necessary to match up information. The GIS system can also be used to help identify job numbers along the pipeline. The system has 3 sets of jobs numbers that must be reviewed. The Installing Job number, the Test Job number and the Upgrade Job Number. You must review all of these jobs to ensure you are picking up the correct strength test pressure reports, coating and related information. The GIS system should not be relied on for pipe specification and strength test pressure report information. We must identify an actual document that contains this pipe specification information. This does not limit the job numbers that you might need for a PFL. Additional job numbers may be found from any of the documents in the job files.</t>
  </si>
  <si>
    <t>Strength test pressure reports have been gathered through a recent project at example. These reports contains pipe specification information and test data that must be recorded in the Pipeline Features List. There are many variations and differences in the Strength Test information. The pipe specification information should be verified against original source documents if possible. The quality of the Strength Test Pressure information is now identified in a single column.</t>
  </si>
  <si>
    <t>During this process of using the Orange color to mark bubbles on the paper drawings, you are creating what we call "bubble" sheets. These will eventually go with the completed PFL spreadsheet to example's system. When you "bubble" an image with the orange bubbles and the numbers, this becomes a "Bubble" sheet and must be scanned. The file image name should be "b-" plus the original file name. This allows us to quickly identify the images that are bubbled, but still allows us to search and find images names based on the original name. The "b-" does not go in the PFL spreadsheet.</t>
  </si>
  <si>
    <t>example's QC process will then review the PFL again for various quality control metrics. If the colors and process described above are followed correctly it will reduce the questions and issues from example's QC process.</t>
  </si>
  <si>
    <t>If a job references a current example Gas Standard such as C-14 or similar, you do not need to bubble sheet this standard and include it in your returning documents. Just write into the comments, "Per Gas Standard C-14"</t>
  </si>
  <si>
    <t>In this situation you can change the spreadsheet, to eliminate the formula for stationing if necessary, however you must be very careful to ensure that all of the associated features, such as pipe feature and the associated valve feature are assigned the correct stationing. Any of these formulas that you create to calculate values, must be eliminated before the PFL spreadsheet product is returned to example</t>
  </si>
  <si>
    <t>example may utilize historical standards to justify the properties of a pipe or fitting, but the PFL process does not need to find or utilize these historical standards.</t>
  </si>
  <si>
    <t>To start or end a PFL at a Gas Well you should identify the change in custody of the pipe line from example to the gas well owner.  Start the PFL On the example side of the boundary.   If you cannot tell where this boundary is located, then you should start immediately after the first separator or meter.   If there is no meter or separator visible then start at the first valve downstream of the well head.</t>
  </si>
  <si>
    <t>Due to the cut up nature of these PFLs, we must be very careful about the starting location of the PFL and its relationship to the physical attributes and the existing example GIS system. On many PFLs you will not be able to establish the real Beg Station based on the pipeline because you will be starting the PFL in the middle of the pipeline. You can not depend on mile points for actual footages.</t>
  </si>
  <si>
    <t>The Reference Document Image series of columns are used to provide images representing documentation of the specific properties for the Events on that row. Drawing Number is specifically used to specific images that are drawing number from the example Engineering Library. The other image names should be available from the file names of the images files reviewed for this PFL build and are from the ECTS system.</t>
  </si>
  <si>
    <t>The Responsible example Lan Id series of columns are used to track the people responsible for this PFL.</t>
  </si>
  <si>
    <t>Branch Shorts – These are branch connections that begin with the following designations, BD, DCUST, DREG, DF, DFDS, DRIP, GCUST, STA, STUB, and X based on the example GIS system.</t>
  </si>
  <si>
    <t>All named branches in GIS, all Tees, take-off type Taps, Connection type Taps not near mainline valves, Blowdown Taps and branching PCFs that are identified in the PFL, must have a related Branch name. If in doubt give it a name. The Branch name should be obtained from the example GIS system if possible. If there is not a name in the GIS system, you should give it a name with the following convention: U_DREG_201110191423_R101</t>
  </si>
  <si>
    <t>The Issues-Errors tab is for logging all errors that are found in the second level Internal QC checks during PFL build and example QC errors at a minimum. Other errors can also be identified here as needed. The identification of errors can be complex and inconsistent. The level of errors identified below attempts to identify major blocks of errors as opposed to a very precise definition of every error. The precise definition of the error should be included in the "Description of Issue" column on the Issues-Errors tab. Within a block of error sub-categories, if the error could be identified by more than one selection choose the highest or top most error in the list.</t>
  </si>
  <si>
    <t>This category is for general information from anyone that works on the PFL. Some examples of information that might go here are: 1) you have a job number on a distribution plat sheet that seems to be the right job number for your job, but no one can find the data associated with this job number. 2) You see that GIS has an obvious geographical error. You should also mark "yes" in the discrepancy column. 3) There is conflicting information on the job that is not resolved by image quality codes or notes in the PFL. 4) An RFI was sent to example.</t>
  </si>
  <si>
    <t>example GIS Issue</t>
  </si>
  <si>
    <t>Identify problems with existing example GIS data with this option. This can include geographical and data problems with GIS. Only major issues need to be identified in the Issues-Errors tab.</t>
  </si>
  <si>
    <t>GIS segments have changes or are different. This can occur when the example assigned segments do not match up to the current segments in the GIS system.</t>
  </si>
  <si>
    <t>For each value that is not unknown, in the “Branch” column, verify that the “Branch” or "short" is on the Transmittal and either supplied with a corresponding PFL or indicates the reason for not supplying the "short" PFL. As of Aug 2011 the only valid reason for not supplying the short is “completed per example”.</t>
  </si>
  <si>
    <t>Under the major column heading, “Responsibility example Lan Id”, verify that the “Lan Id PFL Builder” and the “Lan Id Build Checker” have values in every active row</t>
  </si>
  <si>
    <t>This step occurs before the PFL Build and retrieves all the data from example field offices. If there is absolutely nothing to build a PFL, problems might be returned to this step from later in the process steps..</t>
  </si>
  <si>
    <t>Added Tri-Ten as a specification option for sleeves and other fittings.  This was a type of steel commonly used at example.</t>
  </si>
  <si>
    <t>example Build</t>
  </si>
  <si>
    <t>example QC</t>
  </si>
  <si>
    <t>example Field Verify</t>
  </si>
  <si>
    <t>example MAOP Rpt</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</si>
</sst>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43" formatCode="_(* #,##0.00_);_(* \(#,##0.00\);_(* &quot;-&quot;??_);_(@_)"/>
    <numFmt numFmtId="164" formatCode="0.000"/>
    <numFmt numFmtId="165" formatCode="0.0000"/>
    <numFmt numFmtId="166" formatCode="0.0"/>
    <numFmt numFmtId="167" formatCode="#,##0\ \p\s\i\g"/>
    <numFmt numFmtId="168" formatCode="#,##0;[Red]#,##0"/>
    <numFmt numFmtId="169" formatCode="#,##0.00;[Red]#,##0.00"/>
    <numFmt numFmtId="170" formatCode="0_);[Red]\(0\)"/>
    <numFmt numFmtId="171" formatCode="0\+00"/>
    <numFmt numFmtId="172" formatCode="#,##0\ \p\s\i\g;[Red]\(#,##0\)\ \p\s\i\g"/>
    <numFmt numFmtId="173" formatCode="#,##0.0000_);[Red]\(#,##0.0000\)"/>
    <numFmt numFmtId="174" formatCode="0.00\°"/>
    <numFmt numFmtId="175" formatCode="0\+00.0"/>
    <numFmt numFmtId="176" formatCode="0\ &quot;psi&quot;"/>
    <numFmt numFmtId="177" formatCode="0.0%"/>
    <numFmt numFmtId="178" formatCode="00&quot;-&quot;0000"/>
    <numFmt numFmtId="179" formatCode=";;;"/>
    <numFmt numFmtId="180" formatCode="m/d/yyyy;@"/>
    <numFmt numFmtId="181" formatCode="[$-409]mmmm\ d\,\ yyyy;@"/>
    <numFmt numFmtId="182" formatCode="m/d/yy;@"/>
    <numFmt numFmtId="183" formatCode="#,##0.000"/>
    <numFmt numFmtId="184" formatCode="mm/dd/yy"/>
  </numFmts>
  <fonts count="76" x14ac:knownFonts="1">
    <font>
      <sz val="10"/>
      <name val="Arial"/>
    </font>
    <font>
      <sz val="11"/>
      <color theme="1"/>
      <name val="Calibri"/>
      <family val="2"/>
      <scheme val="minor"/>
    </font>
    <font>
      <sz val="10"/>
      <name val="Arial"/>
      <family val="2"/>
    </font>
    <font>
      <sz val="8"/>
      <name val="Arial"/>
      <family val="2"/>
    </font>
    <font>
      <sz val="8"/>
      <color indexed="81"/>
      <name val="Tahoma"/>
      <family val="2"/>
    </font>
    <font>
      <b/>
      <sz val="10"/>
      <name val="Arial"/>
      <family val="2"/>
    </font>
    <font>
      <sz val="10"/>
      <name val="Arial"/>
      <family val="2"/>
    </font>
    <font>
      <b/>
      <sz val="8"/>
      <color indexed="81"/>
      <name val="Tahoma"/>
      <family val="2"/>
    </font>
    <font>
      <sz val="10"/>
      <color indexed="10"/>
      <name val="Arial"/>
      <family val="2"/>
    </font>
    <font>
      <sz val="10"/>
      <color indexed="8"/>
      <name val="Arial"/>
      <family val="2"/>
    </font>
    <font>
      <b/>
      <sz val="14"/>
      <name val="Arial"/>
      <family val="2"/>
    </font>
    <font>
      <b/>
      <sz val="12"/>
      <name val="Arial"/>
      <family val="2"/>
    </font>
    <font>
      <i/>
      <sz val="10"/>
      <name val="Arial"/>
      <family val="2"/>
    </font>
    <font>
      <i/>
      <sz val="10"/>
      <color indexed="8"/>
      <name val="Arial"/>
      <family val="2"/>
    </font>
    <font>
      <sz val="10"/>
      <name val="Arial"/>
      <family val="2"/>
    </font>
    <font>
      <sz val="14"/>
      <color indexed="8"/>
      <name val="Calibri"/>
      <family val="2"/>
    </font>
    <font>
      <b/>
      <sz val="14"/>
      <color indexed="8"/>
      <name val="Calibri"/>
      <family val="2"/>
    </font>
    <font>
      <b/>
      <sz val="8"/>
      <name val="Arial"/>
      <family val="2"/>
    </font>
    <font>
      <b/>
      <sz val="11"/>
      <color indexed="8"/>
      <name val="Calibri"/>
      <family val="2"/>
    </font>
    <font>
      <sz val="14"/>
      <color indexed="8"/>
      <name val="Calibri"/>
      <family val="2"/>
    </font>
    <font>
      <sz val="10"/>
      <color indexed="9"/>
      <name val="Arial"/>
      <family val="2"/>
    </font>
    <font>
      <sz val="11"/>
      <color indexed="9"/>
      <name val="Calibri"/>
      <family val="2"/>
    </font>
    <font>
      <sz val="8"/>
      <color indexed="9"/>
      <name val="Arial"/>
      <family val="2"/>
    </font>
    <font>
      <sz val="10"/>
      <color theme="1"/>
      <name val="Arial"/>
      <family val="2"/>
    </font>
    <font>
      <b/>
      <sz val="10"/>
      <color rgb="FF000000"/>
      <name val="Arial"/>
      <family val="2"/>
    </font>
    <font>
      <sz val="10"/>
      <color rgb="FF000000"/>
      <name val="Arial"/>
      <family val="2"/>
    </font>
    <font>
      <sz val="16"/>
      <color theme="1"/>
      <name val="Arial"/>
      <family val="2"/>
    </font>
    <font>
      <b/>
      <sz val="14"/>
      <color theme="1"/>
      <name val="Arial"/>
      <family val="2"/>
    </font>
    <font>
      <b/>
      <sz val="10"/>
      <color theme="1"/>
      <name val="Arial"/>
      <family val="2"/>
    </font>
    <font>
      <sz val="16"/>
      <name val="Arial"/>
      <family val="2"/>
    </font>
    <font>
      <sz val="10"/>
      <color rgb="FFFF0000"/>
      <name val="Arial"/>
      <family val="2"/>
    </font>
    <font>
      <sz val="10"/>
      <color rgb="FF010000"/>
      <name val="Arial"/>
      <family val="2"/>
    </font>
    <font>
      <b/>
      <sz val="11"/>
      <name val="Calibri"/>
      <family val="2"/>
    </font>
    <font>
      <b/>
      <sz val="12"/>
      <name val="Calibri"/>
      <family val="2"/>
    </font>
    <font>
      <sz val="6"/>
      <color indexed="9"/>
      <name val="Calibri"/>
      <family val="2"/>
    </font>
    <font>
      <b/>
      <sz val="10"/>
      <color rgb="FFFF0000"/>
      <name val="Calibri"/>
      <family val="2"/>
    </font>
    <font>
      <sz val="10"/>
      <name val="Calibri"/>
      <family val="2"/>
    </font>
    <font>
      <i/>
      <sz val="10"/>
      <name val="Calibri"/>
      <family val="2"/>
    </font>
    <font>
      <u/>
      <sz val="10"/>
      <color theme="10"/>
      <name val="Arial"/>
      <family val="2"/>
    </font>
    <font>
      <b/>
      <sz val="14"/>
      <name val="Arial Black"/>
      <family val="2"/>
    </font>
    <font>
      <sz val="11"/>
      <name val="Calibri"/>
      <family val="2"/>
    </font>
    <font>
      <sz val="10"/>
      <color rgb="FFFF0000"/>
      <name val="Calibri"/>
      <family val="2"/>
    </font>
    <font>
      <b/>
      <sz val="10"/>
      <color rgb="FFFF0000"/>
      <name val="Arial"/>
      <family val="2"/>
    </font>
    <font>
      <sz val="8"/>
      <color rgb="FF000000"/>
      <name val="Arial"/>
      <family val="2"/>
    </font>
    <font>
      <sz val="8"/>
      <color rgb="FFFF0000"/>
      <name val="Arial"/>
      <family val="2"/>
    </font>
    <font>
      <sz val="11"/>
      <name val="Calibri"/>
      <family val="2"/>
      <scheme val="minor"/>
    </font>
    <font>
      <b/>
      <sz val="11"/>
      <color rgb="FF007AD6"/>
      <name val="Arial"/>
      <family val="2"/>
    </font>
    <font>
      <sz val="11"/>
      <color indexed="8"/>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0"/>
      <color indexed="9"/>
      <name val="Arial"/>
      <family val="2"/>
    </font>
    <font>
      <sz val="11"/>
      <name val="Times New Roman"/>
      <family val="1"/>
    </font>
    <font>
      <b/>
      <sz val="11"/>
      <name val="Times New Roman"/>
      <family val="1"/>
    </font>
    <font>
      <b/>
      <i/>
      <sz val="11"/>
      <name val="Times New Roman"/>
      <family val="1"/>
    </font>
    <font>
      <b/>
      <sz val="11"/>
      <name val="Arial"/>
      <family val="2"/>
    </font>
    <font>
      <sz val="11"/>
      <name val="Arial"/>
      <family val="2"/>
    </font>
    <font>
      <sz val="11"/>
      <color indexed="10"/>
      <name val="Arial"/>
      <family val="2"/>
    </font>
    <font>
      <b/>
      <sz val="11"/>
      <color indexed="10"/>
      <name val="Arial"/>
      <family val="2"/>
    </font>
    <font>
      <vertAlign val="superscript"/>
      <sz val="10"/>
      <name val="Arial"/>
      <family val="2"/>
    </font>
    <font>
      <b/>
      <sz val="10"/>
      <color rgb="FF339933"/>
      <name val="Arial"/>
      <family val="2"/>
    </font>
    <font>
      <sz val="8"/>
      <name val="Calibri"/>
      <family val="2"/>
    </font>
    <font>
      <sz val="8"/>
      <color rgb="FF0000FF"/>
      <name val="Arial"/>
      <family val="2"/>
    </font>
    <font>
      <b/>
      <sz val="8"/>
      <color rgb="FF0000FF"/>
      <name val="Arial"/>
      <family val="2"/>
    </font>
    <font>
      <sz val="8"/>
      <color rgb="FF7030A0"/>
      <name val="Arial"/>
      <family val="2"/>
    </font>
    <font>
      <u/>
      <sz val="8"/>
      <color rgb="FF000000"/>
      <name val="Arial"/>
      <family val="2"/>
    </font>
  </fonts>
  <fills count="61">
    <fill>
      <patternFill patternType="none"/>
    </fill>
    <fill>
      <patternFill patternType="gray125"/>
    </fill>
    <fill>
      <patternFill patternType="solid">
        <fgColor indexed="40"/>
        <bgColor indexed="64"/>
      </patternFill>
    </fill>
    <fill>
      <patternFill patternType="solid">
        <fgColor indexed="45"/>
        <bgColor indexed="64"/>
      </patternFill>
    </fill>
    <fill>
      <patternFill patternType="solid">
        <fgColor indexed="42"/>
        <bgColor indexed="64"/>
      </patternFill>
    </fill>
    <fill>
      <patternFill patternType="solid">
        <fgColor indexed="26"/>
        <bgColor indexed="64"/>
      </patternFill>
    </fill>
    <fill>
      <patternFill patternType="solid">
        <fgColor indexed="23"/>
        <bgColor indexed="64"/>
      </patternFill>
    </fill>
    <fill>
      <patternFill patternType="solid">
        <fgColor indexed="44"/>
        <bgColor indexed="64"/>
      </patternFill>
    </fill>
    <fill>
      <patternFill patternType="solid">
        <fgColor indexed="15"/>
        <bgColor indexed="64"/>
      </patternFill>
    </fill>
    <fill>
      <patternFill patternType="solid">
        <fgColor indexed="11"/>
        <bgColor indexed="64"/>
      </patternFill>
    </fill>
    <fill>
      <patternFill patternType="solid">
        <fgColor indexed="43"/>
        <bgColor indexed="64"/>
      </patternFill>
    </fill>
    <fill>
      <patternFill patternType="solid">
        <fgColor indexed="47"/>
        <bgColor indexed="64"/>
      </patternFill>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55"/>
        <bgColor indexed="64"/>
      </patternFill>
    </fill>
    <fill>
      <patternFill patternType="solid">
        <fgColor indexed="9"/>
        <bgColor indexed="64"/>
      </patternFill>
    </fill>
    <fill>
      <patternFill patternType="solid">
        <fgColor indexed="8"/>
        <bgColor indexed="64"/>
      </patternFill>
    </fill>
    <fill>
      <patternFill patternType="solid">
        <fgColor rgb="FFFFFFFF"/>
        <bgColor indexed="64"/>
      </patternFill>
    </fill>
    <fill>
      <patternFill patternType="solid">
        <fgColor theme="0" tint="-0.14999847407452621"/>
        <bgColor indexed="64"/>
      </patternFill>
    </fill>
    <fill>
      <patternFill patternType="solid">
        <fgColor rgb="FF99FF66"/>
        <bgColor indexed="64"/>
      </patternFill>
    </fill>
    <fill>
      <patternFill patternType="solid">
        <fgColor theme="3" tint="0.59999389629810485"/>
        <bgColor indexed="64"/>
      </patternFill>
    </fill>
    <fill>
      <patternFill patternType="solid">
        <fgColor rgb="FF00FFFF"/>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rgb="FF0070C0"/>
        <bgColor indexed="64"/>
      </patternFill>
    </fill>
    <fill>
      <patternFill patternType="solid">
        <fgColor rgb="FFFF0000"/>
        <bgColor indexed="64"/>
      </patternFill>
    </fill>
    <fill>
      <patternFill patternType="solid">
        <fgColor rgb="FF00B0F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1"/>
        <bgColor indexed="64"/>
      </patternFill>
    </fill>
    <fill>
      <patternFill patternType="solid">
        <fgColor rgb="FFEAF1DD"/>
        <bgColor indexed="64"/>
      </patternFill>
    </fill>
    <fill>
      <patternFill patternType="solid">
        <fgColor rgb="FF7030A0"/>
        <bgColor indexed="64"/>
      </patternFill>
    </fill>
    <fill>
      <patternFill patternType="solid">
        <fgColor rgb="FF92D050"/>
        <bgColor rgb="FF000000"/>
      </patternFill>
    </fill>
    <fill>
      <patternFill patternType="solid">
        <fgColor rgb="FFFABF8F"/>
        <bgColor rgb="FF000000"/>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indexed="51"/>
        <bgColor indexed="64"/>
      </patternFill>
    </fill>
    <fill>
      <patternFill patternType="solid">
        <fgColor indexed="27"/>
        <bgColor indexed="64"/>
      </patternFill>
    </fill>
    <fill>
      <patternFill patternType="solid">
        <fgColor indexed="29"/>
        <bgColor indexed="64"/>
      </patternFill>
    </fill>
    <fill>
      <patternFill patternType="lightDown"/>
    </fill>
    <fill>
      <patternFill patternType="solid">
        <fgColor indexed="10"/>
        <bgColor indexed="64"/>
      </patternFill>
    </fill>
    <fill>
      <patternFill patternType="solid">
        <fgColor theme="9" tint="-0.249977111117893"/>
        <bgColor indexed="64"/>
      </patternFill>
    </fill>
  </fills>
  <borders count="108">
    <border>
      <left/>
      <right/>
      <top/>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ck">
        <color indexed="64"/>
      </bottom>
      <diagonal/>
    </border>
    <border>
      <left style="medium">
        <color indexed="64"/>
      </left>
      <right/>
      <top/>
      <bottom/>
      <diagonal/>
    </border>
    <border>
      <left style="thin">
        <color indexed="64"/>
      </left>
      <right style="medium">
        <color indexed="64"/>
      </right>
      <top style="thin">
        <color indexed="64"/>
      </top>
      <bottom style="thick">
        <color indexed="64"/>
      </bottom>
      <diagonal/>
    </border>
    <border>
      <left style="medium">
        <color indexed="64"/>
      </left>
      <right/>
      <top style="thick">
        <color indexed="64"/>
      </top>
      <bottom/>
      <diagonal/>
    </border>
    <border>
      <left style="thin">
        <color indexed="64"/>
      </left>
      <right style="medium">
        <color indexed="64"/>
      </right>
      <top/>
      <bottom style="thin">
        <color indexed="64"/>
      </bottom>
      <diagonal/>
    </border>
    <border>
      <left style="medium">
        <color indexed="64"/>
      </left>
      <right/>
      <top/>
      <bottom style="thick">
        <color indexed="64"/>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style="thin">
        <color indexed="64"/>
      </right>
      <top style="thin">
        <color indexed="64"/>
      </top>
      <bottom style="thick">
        <color indexed="64"/>
      </bottom>
      <diagonal/>
    </border>
    <border>
      <left style="medium">
        <color indexed="64"/>
      </left>
      <right style="thin">
        <color indexed="64"/>
      </right>
      <top style="thick">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16"/>
      </left>
      <right style="thin">
        <color indexed="16"/>
      </right>
      <top style="thick">
        <color indexed="16"/>
      </top>
      <bottom style="thick">
        <color indexed="16"/>
      </bottom>
      <diagonal/>
    </border>
    <border>
      <left style="thin">
        <color indexed="64"/>
      </left>
      <right style="medium">
        <color indexed="64"/>
      </right>
      <top style="thick">
        <color indexed="64"/>
      </top>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ck">
        <color indexed="16"/>
      </top>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diagonal/>
    </border>
    <border>
      <left style="thin">
        <color indexed="64"/>
      </left>
      <right/>
      <top style="thin">
        <color indexed="64"/>
      </top>
      <bottom style="thick">
        <color indexed="64"/>
      </bottom>
      <diagonal/>
    </border>
    <border>
      <left style="thin">
        <color indexed="64"/>
      </left>
      <right/>
      <top style="thick">
        <color indexed="64"/>
      </top>
      <bottom style="thin">
        <color indexed="64"/>
      </bottom>
      <diagonal/>
    </border>
    <border>
      <left/>
      <right style="thin">
        <color indexed="64"/>
      </right>
      <top style="thin">
        <color indexed="64"/>
      </top>
      <bottom/>
      <diagonal/>
    </border>
    <border>
      <left/>
      <right style="thick">
        <color indexed="64"/>
      </right>
      <top/>
      <bottom/>
      <diagonal/>
    </border>
    <border>
      <left/>
      <right style="thin">
        <color indexed="64"/>
      </right>
      <top style="thin">
        <color indexed="64"/>
      </top>
      <bottom style="thin">
        <color indexed="64"/>
      </bottom>
      <diagonal/>
    </border>
    <border>
      <left/>
      <right style="medium">
        <color indexed="64"/>
      </right>
      <top/>
      <bottom/>
      <diagonal/>
    </border>
    <border>
      <left/>
      <right style="thin">
        <color indexed="64"/>
      </right>
      <top style="medium">
        <color indexed="64"/>
      </top>
      <bottom style="thick">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ck">
        <color indexed="64"/>
      </top>
      <bottom/>
      <diagonal/>
    </border>
    <border>
      <left style="medium">
        <color indexed="64"/>
      </left>
      <right style="thin">
        <color indexed="64"/>
      </right>
      <top/>
      <bottom style="thick">
        <color indexed="64"/>
      </bottom>
      <diagonal/>
    </border>
    <border>
      <left style="thin">
        <color indexed="64"/>
      </left>
      <right style="thin">
        <color indexed="64"/>
      </right>
      <top style="thick">
        <color indexed="64"/>
      </top>
      <bottom/>
      <diagonal/>
    </border>
    <border>
      <left style="thin">
        <color indexed="64"/>
      </left>
      <right style="thin">
        <color indexed="64"/>
      </right>
      <top style="medium">
        <color auto="1"/>
      </top>
      <bottom style="thin">
        <color indexed="64"/>
      </bottom>
      <diagonal/>
    </border>
    <border>
      <left style="medium">
        <color indexed="64"/>
      </left>
      <right/>
      <top style="medium">
        <color indexed="64"/>
      </top>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right/>
      <top style="medium">
        <color indexed="64"/>
      </top>
      <bottom style="thin">
        <color indexed="64"/>
      </bottom>
      <diagonal/>
    </border>
    <border>
      <left/>
      <right/>
      <top/>
      <bottom style="medium">
        <color indexed="56"/>
      </bottom>
      <diagonal/>
    </border>
    <border>
      <left style="thick">
        <color indexed="10"/>
      </left>
      <right style="thick">
        <color indexed="10"/>
      </right>
      <top style="thick">
        <color indexed="10"/>
      </top>
      <bottom style="thick">
        <color indexed="10"/>
      </bottom>
      <diagonal/>
    </border>
    <border>
      <left style="thick">
        <color indexed="10"/>
      </left>
      <right style="thick">
        <color indexed="10"/>
      </right>
      <top style="thick">
        <color indexed="10"/>
      </top>
      <bottom/>
      <diagonal/>
    </border>
  </borders>
  <cellStyleXfs count="63">
    <xf numFmtId="0" fontId="0" fillId="0" borderId="0" applyBorder="0"/>
    <xf numFmtId="0" fontId="23" fillId="0" borderId="0"/>
    <xf numFmtId="0" fontId="2" fillId="0" borderId="0" applyBorder="0"/>
    <xf numFmtId="38" fontId="2" fillId="0" borderId="0">
      <alignment horizontal="center" vertical="center" wrapText="1"/>
    </xf>
    <xf numFmtId="0" fontId="38" fillId="0" borderId="0" applyNumberFormat="0" applyFill="0" applyBorder="0" applyAlignment="0" applyProtection="0"/>
    <xf numFmtId="0" fontId="2" fillId="0" borderId="0"/>
    <xf numFmtId="0" fontId="47" fillId="39" borderId="0" applyNumberFormat="0" applyBorder="0" applyAlignment="0" applyProtection="0"/>
    <xf numFmtId="0" fontId="47" fillId="40" borderId="0" applyNumberFormat="0" applyBorder="0" applyAlignment="0" applyProtection="0"/>
    <xf numFmtId="0" fontId="47" fillId="41" borderId="0" applyNumberFormat="0" applyBorder="0" applyAlignment="0" applyProtection="0"/>
    <xf numFmtId="0" fontId="47" fillId="42" borderId="0" applyNumberFormat="0" applyBorder="0" applyAlignment="0" applyProtection="0"/>
    <xf numFmtId="0" fontId="47" fillId="43" borderId="0" applyNumberFormat="0" applyBorder="0" applyAlignment="0" applyProtection="0"/>
    <xf numFmtId="0" fontId="47" fillId="41" borderId="0" applyNumberFormat="0" applyBorder="0" applyAlignment="0" applyProtection="0"/>
    <xf numFmtId="0" fontId="47" fillId="43" borderId="0" applyNumberFormat="0" applyBorder="0" applyAlignment="0" applyProtection="0"/>
    <xf numFmtId="0" fontId="47" fillId="40" borderId="0" applyNumberFormat="0" applyBorder="0" applyAlignment="0" applyProtection="0"/>
    <xf numFmtId="0" fontId="47" fillId="44" borderId="0" applyNumberFormat="0" applyBorder="0" applyAlignment="0" applyProtection="0"/>
    <xf numFmtId="0" fontId="47" fillId="45" borderId="0" applyNumberFormat="0" applyBorder="0" applyAlignment="0" applyProtection="0"/>
    <xf numFmtId="0" fontId="47" fillId="43" borderId="0" applyNumberFormat="0" applyBorder="0" applyAlignment="0" applyProtection="0"/>
    <xf numFmtId="0" fontId="47" fillId="41" borderId="0" applyNumberFormat="0" applyBorder="0" applyAlignment="0" applyProtection="0"/>
    <xf numFmtId="0" fontId="21" fillId="43" borderId="0" applyNumberFormat="0" applyBorder="0" applyAlignment="0" applyProtection="0"/>
    <xf numFmtId="0" fontId="21" fillId="46" borderId="0" applyNumberFormat="0" applyBorder="0" applyAlignment="0" applyProtection="0"/>
    <xf numFmtId="0" fontId="21" fillId="47" borderId="0" applyNumberFormat="0" applyBorder="0" applyAlignment="0" applyProtection="0"/>
    <xf numFmtId="0" fontId="21" fillId="45" borderId="0" applyNumberFormat="0" applyBorder="0" applyAlignment="0" applyProtection="0"/>
    <xf numFmtId="0" fontId="21" fillId="43" borderId="0" applyNumberFormat="0" applyBorder="0" applyAlignment="0" applyProtection="0"/>
    <xf numFmtId="0" fontId="21" fillId="40" borderId="0" applyNumberFormat="0" applyBorder="0" applyAlignment="0" applyProtection="0"/>
    <xf numFmtId="0" fontId="21" fillId="48" borderId="0" applyNumberFormat="0" applyBorder="0" applyAlignment="0" applyProtection="0"/>
    <xf numFmtId="0" fontId="21" fillId="46" borderId="0" applyNumberFormat="0" applyBorder="0" applyAlignment="0" applyProtection="0"/>
    <xf numFmtId="0" fontId="21" fillId="47"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1" borderId="0" applyNumberFormat="0" applyBorder="0" applyAlignment="0" applyProtection="0"/>
    <xf numFmtId="0" fontId="48" fillId="52" borderId="0" applyNumberFormat="0" applyBorder="0" applyAlignment="0" applyProtection="0"/>
    <xf numFmtId="0" fontId="49" fillId="53" borderId="1" applyNumberFormat="0" applyAlignment="0" applyProtection="0"/>
    <xf numFmtId="0" fontId="50" fillId="54" borderId="96" applyNumberFormat="0" applyAlignment="0" applyProtection="0"/>
    <xf numFmtId="43" fontId="47" fillId="0" borderId="0" applyFont="0" applyFill="0" applyBorder="0" applyAlignment="0" applyProtection="0"/>
    <xf numFmtId="0" fontId="51" fillId="0" borderId="0" applyNumberFormat="0" applyFill="0" applyBorder="0" applyAlignment="0" applyProtection="0"/>
    <xf numFmtId="0" fontId="52" fillId="43" borderId="0" applyNumberFormat="0" applyBorder="0" applyAlignment="0" applyProtection="0"/>
    <xf numFmtId="0" fontId="53" fillId="0" borderId="97" applyNumberFormat="0" applyFill="0" applyAlignment="0" applyProtection="0"/>
    <xf numFmtId="0" fontId="54" fillId="0" borderId="98" applyNumberFormat="0" applyFill="0" applyAlignment="0" applyProtection="0"/>
    <xf numFmtId="0" fontId="55" fillId="0" borderId="99" applyNumberFormat="0" applyFill="0" applyAlignment="0" applyProtection="0"/>
    <xf numFmtId="0" fontId="55" fillId="0" borderId="0" applyNumberFormat="0" applyFill="0" applyBorder="0" applyAlignment="0" applyProtection="0"/>
    <xf numFmtId="0" fontId="56" fillId="44" borderId="1" applyNumberFormat="0" applyAlignment="0" applyProtection="0"/>
    <xf numFmtId="0" fontId="57" fillId="0" borderId="100" applyNumberFormat="0" applyFill="0" applyAlignment="0" applyProtection="0"/>
    <xf numFmtId="0" fontId="58" fillId="44" borderId="0" applyNumberFormat="0" applyBorder="0" applyAlignment="0" applyProtection="0"/>
    <xf numFmtId="181" fontId="47" fillId="0" borderId="0"/>
    <xf numFmtId="181" fontId="9" fillId="0" borderId="0"/>
    <xf numFmtId="181" fontId="47" fillId="0" borderId="0"/>
    <xf numFmtId="0" fontId="1" fillId="0" borderId="0"/>
    <xf numFmtId="181" fontId="9" fillId="0" borderId="0"/>
    <xf numFmtId="181" fontId="9" fillId="0" borderId="0"/>
    <xf numFmtId="181" fontId="9" fillId="0" borderId="0"/>
    <xf numFmtId="181" fontId="2" fillId="0" borderId="0"/>
    <xf numFmtId="181" fontId="2" fillId="0" borderId="0"/>
    <xf numFmtId="181" fontId="47" fillId="0" borderId="0"/>
    <xf numFmtId="181" fontId="47" fillId="0" borderId="0"/>
    <xf numFmtId="181" fontId="47" fillId="0" borderId="0"/>
    <xf numFmtId="0" fontId="2" fillId="0" borderId="0" applyBorder="0"/>
    <xf numFmtId="0" fontId="2" fillId="41" borderId="101" applyNumberFormat="0" applyFont="0" applyAlignment="0" applyProtection="0"/>
    <xf numFmtId="181" fontId="2" fillId="41" borderId="101" applyNumberFormat="0" applyFont="0" applyAlignment="0" applyProtection="0"/>
    <xf numFmtId="0" fontId="59" fillId="53" borderId="102" applyNumberFormat="0" applyAlignment="0" applyProtection="0"/>
    <xf numFmtId="9" fontId="2" fillId="0" borderId="0" applyFont="0" applyFill="0" applyBorder="0" applyAlignment="0" applyProtection="0"/>
    <xf numFmtId="0" fontId="60" fillId="0" borderId="0" applyNumberFormat="0" applyFill="0" applyBorder="0" applyAlignment="0" applyProtection="0"/>
    <xf numFmtId="0" fontId="18" fillId="0" borderId="103" applyNumberFormat="0" applyFill="0" applyAlignment="0" applyProtection="0"/>
    <xf numFmtId="0" fontId="57" fillId="0" borderId="0" applyNumberFormat="0" applyFill="0" applyBorder="0" applyAlignment="0" applyProtection="0"/>
  </cellStyleXfs>
  <cellXfs count="1054">
    <xf numFmtId="0" fontId="0" fillId="0" borderId="0" xfId="0"/>
    <xf numFmtId="0" fontId="0" fillId="0" borderId="0" xfId="0" applyBorder="1"/>
    <xf numFmtId="38" fontId="2" fillId="0" borderId="2" xfId="3" applyBorder="1">
      <alignment horizontal="center" vertical="center" wrapText="1"/>
    </xf>
    <xf numFmtId="38" fontId="6" fillId="0" borderId="2" xfId="3" applyFont="1" applyFill="1" applyBorder="1" applyAlignment="1" applyProtection="1">
      <alignment horizontal="left" vertical="center" indent="1"/>
      <protection locked="0" hidden="1"/>
    </xf>
    <xf numFmtId="40" fontId="6" fillId="0" borderId="2" xfId="3" applyNumberFormat="1" applyFont="1" applyFill="1" applyBorder="1" applyAlignment="1" applyProtection="1">
      <alignment horizontal="left" vertical="center" indent="1"/>
      <protection locked="0" hidden="1"/>
    </xf>
    <xf numFmtId="168" fontId="6" fillId="0" borderId="2" xfId="3" applyNumberFormat="1" applyFont="1" applyFill="1" applyBorder="1" applyAlignment="1" applyProtection="1">
      <alignment horizontal="left" vertical="center" indent="1"/>
      <protection locked="0" hidden="1"/>
    </xf>
    <xf numFmtId="167" fontId="6" fillId="0" borderId="2" xfId="3" applyNumberFormat="1" applyFont="1" applyFill="1" applyBorder="1" applyAlignment="1" applyProtection="1">
      <alignment horizontal="left" vertical="center" indent="1"/>
      <protection locked="0" hidden="1"/>
    </xf>
    <xf numFmtId="169" fontId="6" fillId="0" borderId="2" xfId="3" applyNumberFormat="1" applyFont="1" applyFill="1" applyBorder="1" applyAlignment="1" applyProtection="1">
      <alignment horizontal="left" vertical="center" indent="1"/>
      <protection locked="0" hidden="1"/>
    </xf>
    <xf numFmtId="38" fontId="2" fillId="0" borderId="2" xfId="3" applyFill="1" applyBorder="1" applyAlignment="1">
      <alignment horizontal="left" vertical="center" wrapText="1" indent="1"/>
    </xf>
    <xf numFmtId="38" fontId="2" fillId="0" borderId="0" xfId="3" applyBorder="1">
      <alignment horizontal="center" vertical="center" wrapText="1"/>
    </xf>
    <xf numFmtId="167" fontId="8" fillId="0" borderId="2" xfId="3" applyNumberFormat="1" applyFont="1" applyFill="1" applyBorder="1" applyAlignment="1" applyProtection="1">
      <alignment horizontal="left" vertical="center" indent="1"/>
      <protection locked="0" hidden="1"/>
    </xf>
    <xf numFmtId="40" fontId="9" fillId="0" borderId="2" xfId="3" applyNumberFormat="1" applyFont="1" applyFill="1" applyBorder="1" applyAlignment="1" applyProtection="1">
      <alignment horizontal="left" vertical="center" indent="1"/>
      <protection locked="0" hidden="1"/>
    </xf>
    <xf numFmtId="38" fontId="2" fillId="0" borderId="2" xfId="3" applyFill="1" applyBorder="1">
      <alignment horizontal="center" vertical="center" wrapText="1"/>
    </xf>
    <xf numFmtId="38" fontId="2" fillId="0" borderId="2" xfId="3" applyFont="1" applyFill="1" applyBorder="1" applyAlignment="1">
      <alignment horizontal="left" vertical="center" wrapText="1" indent="1"/>
    </xf>
    <xf numFmtId="49" fontId="2" fillId="0" borderId="2" xfId="0" applyNumberFormat="1" applyFont="1" applyBorder="1" applyAlignment="1">
      <alignment horizontal="left" wrapText="1"/>
    </xf>
    <xf numFmtId="0" fontId="2" fillId="0" borderId="2" xfId="0" applyFont="1" applyBorder="1" applyAlignment="1">
      <alignment horizontal="left" wrapText="1"/>
    </xf>
    <xf numFmtId="0" fontId="0" fillId="0" borderId="0" xfId="0" applyBorder="1" applyAlignment="1">
      <alignment wrapText="1"/>
    </xf>
    <xf numFmtId="0" fontId="0" fillId="0" borderId="3" xfId="0" applyBorder="1"/>
    <xf numFmtId="0" fontId="0" fillId="0" borderId="4" xfId="0" applyBorder="1"/>
    <xf numFmtId="0" fontId="0" fillId="0" borderId="2" xfId="0" applyBorder="1" applyAlignment="1">
      <alignment wrapText="1"/>
    </xf>
    <xf numFmtId="0" fontId="0" fillId="0" borderId="5" xfId="0" applyBorder="1" applyAlignment="1">
      <alignment wrapText="1"/>
    </xf>
    <xf numFmtId="0" fontId="0" fillId="0" borderId="0" xfId="0" applyAlignment="1">
      <alignment wrapText="1"/>
    </xf>
    <xf numFmtId="0" fontId="5" fillId="0" borderId="0" xfId="0" applyFont="1"/>
    <xf numFmtId="0" fontId="5" fillId="0" borderId="0" xfId="0" applyFont="1" applyAlignment="1">
      <alignment wrapText="1"/>
    </xf>
    <xf numFmtId="0" fontId="0" fillId="2" borderId="6" xfId="0" applyFill="1" applyBorder="1"/>
    <xf numFmtId="0" fontId="0" fillId="2" borderId="7" xfId="0" applyFill="1" applyBorder="1"/>
    <xf numFmtId="0" fontId="0" fillId="0" borderId="8" xfId="0" applyBorder="1"/>
    <xf numFmtId="0" fontId="0" fillId="0" borderId="10" xfId="0" applyBorder="1"/>
    <xf numFmtId="0" fontId="15" fillId="2" borderId="11" xfId="0" applyFont="1" applyFill="1" applyBorder="1"/>
    <xf numFmtId="0" fontId="0" fillId="0" borderId="0" xfId="0" applyAlignment="1">
      <alignment horizontal="right" vertical="center"/>
    </xf>
    <xf numFmtId="0" fontId="5" fillId="0" borderId="0" xfId="0" applyFont="1" applyAlignment="1">
      <alignment vertical="center"/>
    </xf>
    <xf numFmtId="0" fontId="0" fillId="0" borderId="0" xfId="0" applyAlignment="1"/>
    <xf numFmtId="0" fontId="0" fillId="0" borderId="0" xfId="0" applyAlignment="1">
      <alignment horizontal="center" vertical="top" wrapText="1"/>
    </xf>
    <xf numFmtId="0" fontId="0" fillId="3" borderId="2" xfId="0" applyFill="1" applyBorder="1" applyAlignment="1">
      <alignment horizontal="center" vertical="center" wrapText="1"/>
    </xf>
    <xf numFmtId="0" fontId="0" fillId="0" borderId="2" xfId="0" applyBorder="1" applyAlignment="1">
      <alignment horizontal="center" vertical="center" wrapText="1"/>
    </xf>
    <xf numFmtId="0" fontId="0" fillId="0" borderId="12" xfId="0" applyBorder="1" applyAlignment="1">
      <alignment wrapText="1"/>
    </xf>
    <xf numFmtId="0" fontId="0" fillId="0" borderId="13" xfId="0" applyBorder="1" applyAlignment="1">
      <alignment wrapText="1"/>
    </xf>
    <xf numFmtId="0" fontId="0" fillId="0" borderId="0" xfId="0" applyAlignment="1">
      <alignment horizontal="right" vertical="center" wrapText="1"/>
    </xf>
    <xf numFmtId="166" fontId="16" fillId="0" borderId="14" xfId="0" applyNumberFormat="1" applyFont="1" applyBorder="1"/>
    <xf numFmtId="0" fontId="0" fillId="0" borderId="15" xfId="0" applyBorder="1" applyAlignment="1">
      <alignment wrapText="1"/>
    </xf>
    <xf numFmtId="0" fontId="0" fillId="0" borderId="16" xfId="0" applyBorder="1" applyAlignment="1">
      <alignment wrapText="1"/>
    </xf>
    <xf numFmtId="0" fontId="0" fillId="3" borderId="8" xfId="0" applyFill="1" applyBorder="1" applyAlignment="1">
      <alignment horizontal="center" vertical="center"/>
    </xf>
    <xf numFmtId="0" fontId="0" fillId="3" borderId="17" xfId="0" applyFill="1" applyBorder="1" applyAlignment="1">
      <alignment horizontal="center" vertical="center"/>
    </xf>
    <xf numFmtId="0" fontId="0" fillId="0" borderId="18" xfId="0" applyBorder="1" applyAlignment="1">
      <alignment wrapText="1"/>
    </xf>
    <xf numFmtId="0" fontId="0" fillId="0" borderId="19" xfId="0" applyBorder="1" applyAlignment="1">
      <alignment horizontal="center" vertical="center"/>
    </xf>
    <xf numFmtId="0" fontId="0" fillId="0" borderId="8" xfId="0" applyBorder="1" applyAlignment="1">
      <alignment horizontal="center" vertical="center"/>
    </xf>
    <xf numFmtId="0" fontId="0" fillId="0" borderId="17" xfId="0" applyBorder="1" applyAlignment="1">
      <alignment horizontal="center" vertical="center"/>
    </xf>
    <xf numFmtId="0" fontId="0" fillId="3" borderId="19" xfId="0" applyFill="1" applyBorder="1" applyAlignment="1">
      <alignment horizontal="center" vertical="center"/>
    </xf>
    <xf numFmtId="0" fontId="0" fillId="0" borderId="20" xfId="0" applyBorder="1" applyAlignment="1">
      <alignment wrapText="1"/>
    </xf>
    <xf numFmtId="0" fontId="0" fillId="0" borderId="21" xfId="0" applyBorder="1" applyAlignment="1">
      <alignment horizontal="center" wrapText="1"/>
    </xf>
    <xf numFmtId="0" fontId="0" fillId="0" borderId="21" xfId="0" applyBorder="1" applyAlignment="1">
      <alignment wrapText="1"/>
    </xf>
    <xf numFmtId="0" fontId="0" fillId="0" borderId="22" xfId="0" applyBorder="1" applyAlignment="1">
      <alignment horizontal="center" vertical="center"/>
    </xf>
    <xf numFmtId="0" fontId="0" fillId="0" borderId="23" xfId="0" applyBorder="1" applyAlignment="1">
      <alignment horizontal="center" vertical="center"/>
    </xf>
    <xf numFmtId="0" fontId="5" fillId="0" borderId="24" xfId="0" applyFont="1" applyBorder="1" applyAlignment="1">
      <alignment wrapText="1"/>
    </xf>
    <xf numFmtId="0" fontId="5" fillId="0" borderId="25" xfId="0" applyFont="1" applyBorder="1" applyAlignment="1">
      <alignment horizontal="left"/>
    </xf>
    <xf numFmtId="0" fontId="5" fillId="0" borderId="26" xfId="0" applyFont="1" applyBorder="1" applyAlignment="1">
      <alignment horizontal="left" wrapText="1"/>
    </xf>
    <xf numFmtId="0" fontId="5" fillId="0" borderId="25" xfId="0" applyFont="1" applyBorder="1" applyAlignment="1">
      <alignment wrapText="1"/>
    </xf>
    <xf numFmtId="0" fontId="5" fillId="0" borderId="27" xfId="0" applyFont="1" applyBorder="1" applyAlignment="1">
      <alignment wrapText="1"/>
    </xf>
    <xf numFmtId="0" fontId="5" fillId="0" borderId="4" xfId="0" applyFont="1" applyBorder="1"/>
    <xf numFmtId="0" fontId="14" fillId="0" borderId="0" xfId="0" applyFont="1"/>
    <xf numFmtId="167" fontId="12" fillId="0" borderId="2" xfId="3" applyNumberFormat="1" applyFont="1" applyFill="1" applyBorder="1" applyAlignment="1" applyProtection="1">
      <alignment horizontal="left" vertical="center" indent="1"/>
      <protection locked="0" hidden="1"/>
    </xf>
    <xf numFmtId="0" fontId="0" fillId="0" borderId="1" xfId="0" applyBorder="1" applyAlignment="1">
      <alignment horizontal="right" vertical="center"/>
    </xf>
    <xf numFmtId="0" fontId="0" fillId="5" borderId="1" xfId="0" applyFill="1" applyBorder="1" applyAlignment="1">
      <alignment horizontal="right" vertical="center"/>
    </xf>
    <xf numFmtId="0" fontId="0" fillId="0" borderId="30" xfId="0" applyBorder="1" applyAlignment="1">
      <alignment wrapText="1"/>
    </xf>
    <xf numFmtId="0" fontId="2" fillId="0" borderId="30" xfId="0" applyFont="1" applyBorder="1" applyAlignment="1">
      <alignment horizontal="left" wrapText="1"/>
    </xf>
    <xf numFmtId="0" fontId="0" fillId="0" borderId="31" xfId="0" applyBorder="1" applyAlignment="1">
      <alignment horizontal="center" vertical="center"/>
    </xf>
    <xf numFmtId="38" fontId="13" fillId="0" borderId="2" xfId="3" applyFont="1" applyFill="1" applyBorder="1" applyAlignment="1" applyProtection="1">
      <alignment horizontal="left" vertical="center" wrapText="1" indent="1"/>
      <protection locked="0" hidden="1"/>
    </xf>
    <xf numFmtId="38" fontId="12" fillId="0" borderId="2" xfId="3" applyFont="1" applyFill="1" applyBorder="1" applyAlignment="1" applyProtection="1">
      <alignment horizontal="left" vertical="center" wrapText="1"/>
      <protection locked="0" hidden="1"/>
    </xf>
    <xf numFmtId="0" fontId="0" fillId="0" borderId="2" xfId="0" quotePrefix="1" applyNumberFormat="1" applyBorder="1"/>
    <xf numFmtId="38" fontId="2" fillId="0" borderId="2" xfId="3" applyFont="1" applyFill="1" applyBorder="1" applyAlignment="1">
      <alignment horizontal="left" vertical="center" wrapText="1"/>
    </xf>
    <xf numFmtId="38" fontId="2" fillId="0" borderId="2" xfId="3" applyFont="1" applyFill="1" applyBorder="1" applyAlignment="1" applyProtection="1">
      <alignment horizontal="left" vertical="center" indent="1"/>
      <protection locked="0" hidden="1"/>
    </xf>
    <xf numFmtId="0" fontId="0" fillId="0" borderId="2" xfId="0" quotePrefix="1" applyNumberFormat="1" applyBorder="1" applyAlignment="1">
      <alignment horizontal="center" vertical="center"/>
    </xf>
    <xf numFmtId="0" fontId="0" fillId="0" borderId="2" xfId="0" quotePrefix="1" applyNumberFormat="1" applyFill="1" applyBorder="1" applyAlignment="1">
      <alignment horizontal="center" vertical="center"/>
    </xf>
    <xf numFmtId="0" fontId="6" fillId="0" borderId="2" xfId="3" applyNumberFormat="1" applyFont="1" applyFill="1" applyBorder="1" applyAlignment="1" applyProtection="1">
      <alignment horizontal="center" vertical="center"/>
      <protection locked="0" hidden="1"/>
    </xf>
    <xf numFmtId="0" fontId="0" fillId="0" borderId="2" xfId="0" applyNumberFormat="1" applyFill="1" applyBorder="1" applyAlignment="1">
      <alignment horizontal="center" vertical="center"/>
    </xf>
    <xf numFmtId="3" fontId="6" fillId="0" borderId="2" xfId="3" applyNumberFormat="1" applyFont="1" applyFill="1" applyBorder="1" applyAlignment="1" applyProtection="1">
      <alignment horizontal="center" vertical="center"/>
      <protection locked="0" hidden="1"/>
    </xf>
    <xf numFmtId="38" fontId="2" fillId="0" borderId="2" xfId="3" applyFont="1" applyBorder="1" applyAlignment="1">
      <alignment horizontal="left" vertical="center" wrapText="1"/>
    </xf>
    <xf numFmtId="38" fontId="11" fillId="0" borderId="2" xfId="3" applyFont="1" applyFill="1" applyBorder="1" applyAlignment="1" applyProtection="1">
      <alignment horizontal="center" vertical="center"/>
      <protection hidden="1"/>
    </xf>
    <xf numFmtId="38" fontId="10" fillId="0" borderId="2" xfId="3" applyFont="1" applyFill="1" applyBorder="1" applyAlignment="1" applyProtection="1">
      <alignment horizontal="left" vertical="center"/>
      <protection hidden="1"/>
    </xf>
    <xf numFmtId="38" fontId="5" fillId="4" borderId="2" xfId="3" applyFont="1" applyFill="1" applyBorder="1" applyAlignment="1">
      <alignment horizontal="left" vertical="center" wrapText="1"/>
    </xf>
    <xf numFmtId="0" fontId="2" fillId="0" borderId="2" xfId="3" applyNumberFormat="1" applyFont="1" applyFill="1" applyBorder="1" applyAlignment="1">
      <alignment horizontal="left" vertical="center" wrapText="1"/>
    </xf>
    <xf numFmtId="0" fontId="5" fillId="4" borderId="2" xfId="0" applyNumberFormat="1" applyFont="1" applyFill="1" applyBorder="1" applyAlignment="1">
      <alignment horizontal="left"/>
    </xf>
    <xf numFmtId="38" fontId="2" fillId="4" borderId="2" xfId="3" applyFont="1" applyFill="1" applyBorder="1" applyAlignment="1">
      <alignment horizontal="left" vertical="center" wrapText="1"/>
    </xf>
    <xf numFmtId="38" fontId="5" fillId="4" borderId="2" xfId="3" applyFont="1" applyFill="1" applyBorder="1" applyAlignment="1" applyProtection="1">
      <alignment horizontal="left" vertical="center"/>
      <protection locked="0" hidden="1"/>
    </xf>
    <xf numFmtId="38" fontId="2" fillId="0" borderId="2" xfId="3" applyFont="1" applyFill="1" applyBorder="1" applyAlignment="1" applyProtection="1">
      <alignment horizontal="left" vertical="center" wrapText="1" indent="1"/>
      <protection locked="0" hidden="1"/>
    </xf>
    <xf numFmtId="2" fontId="2" fillId="0" borderId="2" xfId="3" applyNumberFormat="1" applyFont="1" applyFill="1" applyBorder="1" applyAlignment="1" applyProtection="1">
      <alignment horizontal="left" vertical="center" wrapText="1" indent="1"/>
      <protection locked="0" hidden="1"/>
    </xf>
    <xf numFmtId="164" fontId="2" fillId="0" borderId="2" xfId="3" applyNumberFormat="1" applyFont="1" applyFill="1" applyBorder="1" applyAlignment="1" applyProtection="1">
      <alignment horizontal="left" vertical="center" wrapText="1" indent="1"/>
      <protection locked="0" hidden="1"/>
    </xf>
    <xf numFmtId="166" fontId="2" fillId="0" borderId="2" xfId="3" applyNumberFormat="1" applyFont="1" applyFill="1" applyBorder="1" applyAlignment="1" applyProtection="1">
      <alignment horizontal="left" vertical="center" wrapText="1" indent="1"/>
      <protection locked="0" hidden="1"/>
    </xf>
    <xf numFmtId="0" fontId="2" fillId="0" borderId="2" xfId="3" applyNumberFormat="1" applyFont="1" applyFill="1" applyBorder="1" applyAlignment="1" applyProtection="1">
      <alignment horizontal="left" vertical="center" wrapText="1" indent="1"/>
      <protection locked="0" hidden="1"/>
    </xf>
    <xf numFmtId="0" fontId="2" fillId="0" borderId="2" xfId="0" quotePrefix="1" applyNumberFormat="1" applyFont="1" applyBorder="1" applyAlignment="1">
      <alignment horizontal="left"/>
    </xf>
    <xf numFmtId="172" fontId="5" fillId="4" borderId="2" xfId="3" applyNumberFormat="1" applyFont="1" applyFill="1" applyBorder="1" applyAlignment="1" applyProtection="1">
      <alignment horizontal="left" vertical="center" wrapText="1"/>
      <protection locked="0" hidden="1"/>
    </xf>
    <xf numFmtId="172" fontId="2" fillId="0" borderId="2" xfId="3" applyNumberFormat="1" applyFont="1" applyFill="1" applyBorder="1" applyAlignment="1" applyProtection="1">
      <alignment horizontal="left" vertical="center" wrapText="1" indent="1"/>
      <protection locked="0" hidden="1"/>
    </xf>
    <xf numFmtId="0" fontId="2" fillId="0" borderId="2" xfId="0" applyNumberFormat="1" applyFont="1" applyBorder="1" applyAlignment="1">
      <alignment horizontal="left"/>
    </xf>
    <xf numFmtId="0" fontId="2" fillId="4" borderId="2" xfId="0" applyNumberFormat="1" applyFont="1" applyFill="1" applyBorder="1" applyAlignment="1">
      <alignment horizontal="left"/>
    </xf>
    <xf numFmtId="0" fontId="2" fillId="0" borderId="2" xfId="0" quotePrefix="1" applyNumberFormat="1" applyFont="1" applyBorder="1" applyAlignment="1">
      <alignment horizontal="left" vertical="center"/>
    </xf>
    <xf numFmtId="0" fontId="2" fillId="0" borderId="2" xfId="0" applyNumberFormat="1" applyFont="1" applyBorder="1" applyAlignment="1">
      <alignment horizontal="left" vertical="center"/>
    </xf>
    <xf numFmtId="0" fontId="2" fillId="0" borderId="2" xfId="3" applyNumberFormat="1" applyFont="1" applyFill="1" applyBorder="1" applyAlignment="1" applyProtection="1">
      <alignment horizontal="left" vertical="center" wrapText="1"/>
      <protection locked="0" hidden="1"/>
    </xf>
    <xf numFmtId="164" fontId="2" fillId="0" borderId="2" xfId="3" applyNumberFormat="1" applyFont="1" applyFill="1" applyBorder="1" applyAlignment="1">
      <alignment horizontal="left" vertical="center" wrapText="1"/>
    </xf>
    <xf numFmtId="170" fontId="2" fillId="0" borderId="2" xfId="3" applyNumberFormat="1" applyFont="1" applyFill="1" applyBorder="1" applyAlignment="1">
      <alignment horizontal="left" vertical="center" wrapText="1"/>
    </xf>
    <xf numFmtId="0" fontId="2" fillId="0" borderId="0" xfId="0" applyFont="1"/>
    <xf numFmtId="164" fontId="2" fillId="0" borderId="7" xfId="3" applyNumberFormat="1" applyFont="1" applyFill="1" applyBorder="1" applyAlignment="1" applyProtection="1">
      <alignment horizontal="left" vertical="center" wrapText="1" indent="1"/>
      <protection locked="0" hidden="1"/>
    </xf>
    <xf numFmtId="167" fontId="2" fillId="0" borderId="2" xfId="3" applyNumberFormat="1" applyFont="1" applyFill="1" applyBorder="1" applyAlignment="1" applyProtection="1">
      <alignment horizontal="left" vertical="center" indent="1"/>
      <protection locked="0" hidden="1"/>
    </xf>
    <xf numFmtId="2" fontId="2" fillId="0" borderId="7" xfId="3" applyNumberFormat="1" applyFont="1" applyFill="1" applyBorder="1" applyAlignment="1" applyProtection="1">
      <alignment horizontal="left" vertical="center" wrapText="1" indent="1"/>
      <protection locked="0" hidden="1"/>
    </xf>
    <xf numFmtId="38" fontId="2" fillId="0" borderId="0" xfId="3" applyFont="1" applyBorder="1">
      <alignment horizontal="center" vertical="center" wrapText="1"/>
    </xf>
    <xf numFmtId="173" fontId="2" fillId="0" borderId="0" xfId="3" applyNumberFormat="1" applyBorder="1">
      <alignment horizontal="center" vertical="center" wrapText="1"/>
    </xf>
    <xf numFmtId="38" fontId="2" fillId="0" borderId="0" xfId="3" applyFont="1" applyBorder="1" applyAlignment="1">
      <alignment horizontal="left" vertical="center" wrapText="1"/>
    </xf>
    <xf numFmtId="38" fontId="2" fillId="0" borderId="0" xfId="3" applyFont="1" applyFill="1" applyBorder="1" applyAlignment="1">
      <alignment horizontal="left" vertical="center" wrapText="1"/>
    </xf>
    <xf numFmtId="0" fontId="0" fillId="3" borderId="22" xfId="0" applyFill="1" applyBorder="1" applyAlignment="1">
      <alignment horizontal="center" vertical="center"/>
    </xf>
    <xf numFmtId="0" fontId="0" fillId="0" borderId="7" xfId="0" applyBorder="1" applyAlignment="1">
      <alignment wrapText="1"/>
    </xf>
    <xf numFmtId="0" fontId="0" fillId="3" borderId="2" xfId="0" applyFill="1" applyBorder="1" applyAlignment="1">
      <alignment horizontal="center" vertical="center"/>
    </xf>
    <xf numFmtId="0" fontId="0" fillId="0" borderId="2" xfId="0" applyBorder="1"/>
    <xf numFmtId="0" fontId="0" fillId="0" borderId="32" xfId="0" applyBorder="1" applyAlignment="1">
      <alignment wrapText="1"/>
    </xf>
    <xf numFmtId="0" fontId="0" fillId="0" borderId="33" xfId="0" applyBorder="1"/>
    <xf numFmtId="0" fontId="0" fillId="0" borderId="34" xfId="0" applyBorder="1" applyAlignment="1">
      <alignment horizontal="center" wrapText="1"/>
    </xf>
    <xf numFmtId="0" fontId="0" fillId="3" borderId="15" xfId="0" applyFill="1" applyBorder="1" applyAlignment="1">
      <alignment horizontal="center" vertical="center"/>
    </xf>
    <xf numFmtId="0" fontId="0" fillId="0" borderId="35" xfId="0" applyBorder="1" applyAlignment="1">
      <alignment wrapText="1"/>
    </xf>
    <xf numFmtId="0" fontId="0" fillId="3" borderId="31" xfId="0" applyFill="1" applyBorder="1" applyAlignment="1">
      <alignment horizontal="center" vertical="center"/>
    </xf>
    <xf numFmtId="49" fontId="2" fillId="0" borderId="30" xfId="0" applyNumberFormat="1" applyFont="1" applyFill="1" applyBorder="1" applyAlignment="1">
      <alignment horizontal="center" vertical="center" wrapText="1"/>
    </xf>
    <xf numFmtId="165" fontId="2" fillId="0" borderId="36" xfId="0" applyNumberFormat="1" applyFont="1" applyBorder="1" applyAlignment="1">
      <alignment horizontal="center" vertical="center" wrapText="1"/>
    </xf>
    <xf numFmtId="165" fontId="2" fillId="0" borderId="37" xfId="0" applyNumberFormat="1" applyFont="1" applyFill="1" applyBorder="1" applyAlignment="1">
      <alignment horizontal="center" vertical="center" wrapText="1"/>
    </xf>
    <xf numFmtId="0" fontId="2" fillId="0" borderId="37" xfId="0" applyFont="1" applyFill="1" applyBorder="1" applyAlignment="1">
      <alignment horizontal="center" vertical="center" wrapText="1"/>
    </xf>
    <xf numFmtId="164" fontId="2" fillId="0" borderId="36" xfId="0" applyNumberFormat="1" applyFont="1" applyBorder="1" applyAlignment="1">
      <alignment horizontal="center" vertical="center" wrapText="1"/>
    </xf>
    <xf numFmtId="171" fontId="2" fillId="0" borderId="37" xfId="0" applyNumberFormat="1" applyFont="1" applyFill="1" applyBorder="1" applyAlignment="1">
      <alignment horizontal="center" vertical="center" wrapText="1"/>
    </xf>
    <xf numFmtId="171" fontId="2" fillId="0" borderId="38" xfId="0" applyNumberFormat="1" applyFont="1" applyFill="1" applyBorder="1" applyAlignment="1">
      <alignment horizontal="center" vertical="center" wrapText="1"/>
    </xf>
    <xf numFmtId="0" fontId="0" fillId="0" borderId="12" xfId="0" applyBorder="1" applyAlignment="1">
      <alignment horizontal="center" vertical="center" wrapText="1"/>
    </xf>
    <xf numFmtId="0" fontId="2" fillId="0" borderId="2" xfId="0" applyNumberFormat="1" applyFont="1" applyBorder="1" applyAlignment="1">
      <alignment horizontal="left" wrapText="1"/>
    </xf>
    <xf numFmtId="0" fontId="0" fillId="0" borderId="34" xfId="0" applyBorder="1" applyAlignment="1">
      <alignment wrapText="1"/>
    </xf>
    <xf numFmtId="0" fontId="0" fillId="0" borderId="40" xfId="0" applyBorder="1" applyAlignment="1">
      <alignment wrapText="1"/>
    </xf>
    <xf numFmtId="0" fontId="0" fillId="0" borderId="13" xfId="0" applyBorder="1"/>
    <xf numFmtId="0" fontId="0" fillId="0" borderId="41" xfId="0" applyBorder="1" applyAlignment="1">
      <alignment wrapText="1"/>
    </xf>
    <xf numFmtId="0" fontId="0" fillId="0" borderId="41" xfId="0" applyBorder="1" applyAlignment="1">
      <alignment horizontal="center" vertical="center"/>
    </xf>
    <xf numFmtId="0" fontId="0" fillId="0" borderId="0" xfId="0" applyBorder="1" applyAlignment="1">
      <alignment horizontal="center" vertical="center"/>
    </xf>
    <xf numFmtId="0" fontId="2" fillId="0" borderId="12" xfId="0" applyFont="1" applyBorder="1" applyAlignment="1">
      <alignment horizontal="left" wrapText="1"/>
    </xf>
    <xf numFmtId="49" fontId="2" fillId="0" borderId="5" xfId="0" applyNumberFormat="1" applyFont="1" applyFill="1" applyBorder="1" applyAlignment="1">
      <alignment horizontal="left" vertical="center" wrapText="1"/>
    </xf>
    <xf numFmtId="2" fontId="2" fillId="0" borderId="9" xfId="3" applyNumberFormat="1" applyFont="1" applyFill="1" applyBorder="1" applyAlignment="1" applyProtection="1">
      <alignment horizontal="left" vertical="center" wrapText="1" indent="1"/>
      <protection locked="0" hidden="1"/>
    </xf>
    <xf numFmtId="40" fontId="2" fillId="0" borderId="0" xfId="3" applyNumberFormat="1" applyBorder="1">
      <alignment horizontal="center" vertical="center" wrapText="1"/>
    </xf>
    <xf numFmtId="38" fontId="2" fillId="4" borderId="0" xfId="3" applyFont="1" applyFill="1" applyBorder="1">
      <alignment horizontal="center" vertical="center" wrapText="1"/>
    </xf>
    <xf numFmtId="14" fontId="2" fillId="0" borderId="0" xfId="3" applyNumberFormat="1" applyFont="1" applyBorder="1">
      <alignment horizontal="center" vertical="center" wrapText="1"/>
    </xf>
    <xf numFmtId="14" fontId="2" fillId="0" borderId="0" xfId="3" applyNumberFormat="1" applyBorder="1">
      <alignment horizontal="center" vertical="center" wrapText="1"/>
    </xf>
    <xf numFmtId="165" fontId="2" fillId="0" borderId="0" xfId="3" applyNumberFormat="1" applyBorder="1">
      <alignment horizontal="center" vertical="center" wrapText="1"/>
    </xf>
    <xf numFmtId="38" fontId="2" fillId="0" borderId="0" xfId="3" applyFont="1" applyBorder="1" applyAlignment="1">
      <alignment horizontal="center" vertical="center"/>
    </xf>
    <xf numFmtId="49" fontId="6" fillId="7" borderId="2" xfId="0" applyNumberFormat="1" applyFont="1" applyFill="1" applyBorder="1" applyAlignment="1">
      <alignment horizontal="left" vertical="center" wrapText="1"/>
    </xf>
    <xf numFmtId="49" fontId="6" fillId="7" borderId="12" xfId="0" applyNumberFormat="1" applyFont="1" applyFill="1" applyBorder="1" applyAlignment="1">
      <alignment horizontal="left" vertical="center" wrapText="1"/>
    </xf>
    <xf numFmtId="1" fontId="6" fillId="7" borderId="2" xfId="0" applyNumberFormat="1" applyFont="1" applyFill="1" applyBorder="1" applyAlignment="1">
      <alignment horizontal="left" vertical="center" wrapText="1"/>
    </xf>
    <xf numFmtId="49" fontId="6" fillId="7" borderId="5" xfId="0" applyNumberFormat="1" applyFont="1" applyFill="1" applyBorder="1" applyAlignment="1">
      <alignment horizontal="left" vertical="center" wrapText="1"/>
    </xf>
    <xf numFmtId="2" fontId="6" fillId="7" borderId="15" xfId="0" applyNumberFormat="1" applyFont="1" applyFill="1" applyBorder="1" applyAlignment="1">
      <alignment horizontal="left" vertical="center" wrapText="1"/>
    </xf>
    <xf numFmtId="171" fontId="6" fillId="4" borderId="2" xfId="0" applyNumberFormat="1" applyFont="1" applyFill="1" applyBorder="1" applyAlignment="1">
      <alignment horizontal="left" vertical="center" wrapText="1"/>
    </xf>
    <xf numFmtId="171" fontId="6" fillId="4" borderId="12" xfId="0" applyNumberFormat="1" applyFont="1" applyFill="1" applyBorder="1" applyAlignment="1">
      <alignment horizontal="left" vertical="center" wrapText="1"/>
    </xf>
    <xf numFmtId="49" fontId="6" fillId="7" borderId="30" xfId="0" applyNumberFormat="1" applyFont="1" applyFill="1" applyBorder="1" applyAlignment="1">
      <alignment horizontal="left" vertical="center" wrapText="1"/>
    </xf>
    <xf numFmtId="165" fontId="6" fillId="7" borderId="13" xfId="0" applyNumberFormat="1" applyFont="1" applyFill="1" applyBorder="1" applyAlignment="1">
      <alignment horizontal="left" vertical="center" wrapText="1"/>
    </xf>
    <xf numFmtId="165" fontId="6" fillId="7" borderId="2" xfId="0" applyNumberFormat="1" applyFont="1" applyFill="1" applyBorder="1" applyAlignment="1">
      <alignment horizontal="left" vertical="center" wrapText="1"/>
    </xf>
    <xf numFmtId="0" fontId="6" fillId="7" borderId="12" xfId="0" applyFont="1" applyFill="1" applyBorder="1" applyAlignment="1">
      <alignment horizontal="left" vertical="center" wrapText="1"/>
    </xf>
    <xf numFmtId="0" fontId="6" fillId="7" borderId="30" xfId="0" applyFont="1" applyFill="1" applyBorder="1" applyAlignment="1">
      <alignment horizontal="left" vertical="center" wrapText="1"/>
    </xf>
    <xf numFmtId="0" fontId="6" fillId="7" borderId="2" xfId="0" applyFont="1" applyFill="1" applyBorder="1" applyAlignment="1">
      <alignment horizontal="left" vertical="center" wrapText="1"/>
    </xf>
    <xf numFmtId="49" fontId="6" fillId="7" borderId="15" xfId="0" applyNumberFormat="1" applyFont="1" applyFill="1" applyBorder="1" applyAlignment="1">
      <alignment horizontal="left" vertical="center" wrapText="1"/>
    </xf>
    <xf numFmtId="174" fontId="6" fillId="7" borderId="13" xfId="0" applyNumberFormat="1" applyFont="1" applyFill="1" applyBorder="1" applyAlignment="1">
      <alignment horizontal="left" vertical="center" wrapText="1"/>
    </xf>
    <xf numFmtId="165" fontId="6" fillId="7" borderId="15" xfId="0" applyNumberFormat="1" applyFont="1" applyFill="1" applyBorder="1" applyAlignment="1">
      <alignment horizontal="left" vertical="center" wrapText="1"/>
    </xf>
    <xf numFmtId="0" fontId="6" fillId="7" borderId="15" xfId="0" applyFont="1" applyFill="1" applyBorder="1" applyAlignment="1">
      <alignment horizontal="left" vertical="center" wrapText="1"/>
    </xf>
    <xf numFmtId="1" fontId="6" fillId="7" borderId="30" xfId="0" applyNumberFormat="1" applyFont="1" applyFill="1" applyBorder="1" applyAlignment="1">
      <alignment horizontal="left" vertical="center" wrapText="1"/>
    </xf>
    <xf numFmtId="172" fontId="6" fillId="7" borderId="30" xfId="0" applyNumberFormat="1" applyFont="1" applyFill="1" applyBorder="1" applyAlignment="1">
      <alignment horizontal="left" vertical="center" wrapText="1"/>
    </xf>
    <xf numFmtId="1" fontId="6" fillId="7" borderId="15" xfId="0" applyNumberFormat="1" applyFont="1" applyFill="1" applyBorder="1" applyAlignment="1">
      <alignment horizontal="left" vertical="center" wrapText="1"/>
    </xf>
    <xf numFmtId="0" fontId="6" fillId="7" borderId="2" xfId="0" applyFont="1" applyFill="1" applyBorder="1" applyAlignment="1">
      <alignment horizontal="left" wrapText="1"/>
    </xf>
    <xf numFmtId="1" fontId="6" fillId="4" borderId="13" xfId="0" applyNumberFormat="1" applyFont="1" applyFill="1" applyBorder="1" applyAlignment="1">
      <alignment horizontal="left" vertical="center" wrapText="1"/>
    </xf>
    <xf numFmtId="1" fontId="6" fillId="4" borderId="12" xfId="0" applyNumberFormat="1" applyFont="1" applyFill="1" applyBorder="1" applyAlignment="1">
      <alignment horizontal="left" vertical="center" wrapText="1"/>
    </xf>
    <xf numFmtId="1" fontId="6" fillId="4" borderId="5" xfId="0" applyNumberFormat="1" applyFont="1" applyFill="1" applyBorder="1" applyAlignment="1">
      <alignment horizontal="left" vertical="center" wrapText="1"/>
    </xf>
    <xf numFmtId="1" fontId="6" fillId="8" borderId="2" xfId="0" applyNumberFormat="1" applyFont="1" applyFill="1" applyBorder="1" applyAlignment="1">
      <alignment horizontal="left" vertical="center" wrapText="1"/>
    </xf>
    <xf numFmtId="1" fontId="6" fillId="8" borderId="15" xfId="0" applyNumberFormat="1" applyFont="1" applyFill="1" applyBorder="1" applyAlignment="1">
      <alignment horizontal="left" vertical="center" wrapText="1"/>
    </xf>
    <xf numFmtId="1" fontId="6" fillId="8" borderId="30" xfId="0" applyNumberFormat="1" applyFont="1" applyFill="1" applyBorder="1" applyAlignment="1">
      <alignment horizontal="left" vertical="center" wrapText="1"/>
    </xf>
    <xf numFmtId="0" fontId="6" fillId="9" borderId="30" xfId="0" applyFont="1" applyFill="1" applyBorder="1" applyAlignment="1">
      <alignment horizontal="left"/>
    </xf>
    <xf numFmtId="0" fontId="6" fillId="9" borderId="2" xfId="0" applyFont="1" applyFill="1" applyBorder="1" applyAlignment="1">
      <alignment horizontal="left"/>
    </xf>
    <xf numFmtId="0" fontId="6" fillId="9" borderId="12" xfId="0" applyFont="1" applyFill="1" applyBorder="1" applyAlignment="1">
      <alignment horizontal="left"/>
    </xf>
    <xf numFmtId="49" fontId="6" fillId="10" borderId="5" xfId="0" applyNumberFormat="1" applyFont="1" applyFill="1" applyBorder="1" applyAlignment="1">
      <alignment horizontal="left" vertical="center" wrapText="1"/>
    </xf>
    <xf numFmtId="49" fontId="6" fillId="11" borderId="30" xfId="0" applyNumberFormat="1" applyFont="1" applyFill="1" applyBorder="1" applyAlignment="1">
      <alignment horizontal="left" vertical="center" wrapText="1"/>
    </xf>
    <xf numFmtId="49" fontId="6" fillId="11" borderId="2" xfId="0" applyNumberFormat="1" applyFont="1" applyFill="1" applyBorder="1" applyAlignment="1">
      <alignment horizontal="left" vertical="center" wrapText="1"/>
    </xf>
    <xf numFmtId="2" fontId="6" fillId="0" borderId="0" xfId="0" applyNumberFormat="1" applyFont="1" applyFill="1" applyBorder="1" applyAlignment="1">
      <alignment horizontal="left" vertical="center" wrapText="1"/>
    </xf>
    <xf numFmtId="0" fontId="5" fillId="0" borderId="41" xfId="0" applyFont="1" applyFill="1" applyBorder="1" applyAlignment="1">
      <alignment horizontal="left" vertical="center" wrapText="1"/>
    </xf>
    <xf numFmtId="172" fontId="6" fillId="7" borderId="2" xfId="0" applyNumberFormat="1" applyFont="1" applyFill="1" applyBorder="1" applyAlignment="1">
      <alignment horizontal="left" vertical="center" wrapText="1"/>
    </xf>
    <xf numFmtId="0" fontId="6" fillId="0" borderId="2" xfId="0" applyFont="1" applyBorder="1" applyAlignment="1">
      <alignment horizontal="left"/>
    </xf>
    <xf numFmtId="165" fontId="6" fillId="12" borderId="15" xfId="0" applyNumberFormat="1" applyFont="1" applyFill="1" applyBorder="1" applyAlignment="1">
      <alignment horizontal="left" vertical="center" wrapText="1"/>
    </xf>
    <xf numFmtId="0" fontId="6" fillId="7" borderId="2" xfId="0" applyFont="1" applyFill="1" applyBorder="1" applyAlignment="1">
      <alignment horizontal="center" vertical="center" wrapText="1"/>
    </xf>
    <xf numFmtId="164" fontId="6" fillId="4" borderId="13" xfId="0" applyNumberFormat="1" applyFont="1" applyFill="1" applyBorder="1" applyAlignment="1">
      <alignment horizontal="left" vertical="center" wrapText="1"/>
    </xf>
    <xf numFmtId="0" fontId="0" fillId="0" borderId="13" xfId="0" applyBorder="1" applyAlignment="1">
      <alignment horizontal="center" vertical="center" wrapText="1"/>
    </xf>
    <xf numFmtId="1" fontId="6" fillId="7" borderId="13" xfId="0" applyNumberFormat="1" applyFont="1" applyFill="1" applyBorder="1" applyAlignment="1">
      <alignment horizontal="left" vertical="center" wrapText="1"/>
    </xf>
    <xf numFmtId="0" fontId="0" fillId="0" borderId="0" xfId="0" applyBorder="1" applyAlignment="1">
      <alignment horizontal="right" vertical="center"/>
    </xf>
    <xf numFmtId="0" fontId="0" fillId="0" borderId="0" xfId="0" applyBorder="1" applyAlignment="1"/>
    <xf numFmtId="38" fontId="2" fillId="0" borderId="2" xfId="3" applyFont="1" applyFill="1" applyBorder="1">
      <alignment horizontal="center" vertical="center" wrapText="1"/>
    </xf>
    <xf numFmtId="0" fontId="0" fillId="0" borderId="42" xfId="0" applyBorder="1" applyAlignment="1">
      <alignment horizontal="center" vertical="center"/>
    </xf>
    <xf numFmtId="0" fontId="0" fillId="0" borderId="8" xfId="0" applyFill="1" applyBorder="1" applyAlignment="1">
      <alignment horizontal="center" vertical="center"/>
    </xf>
    <xf numFmtId="0" fontId="2" fillId="0" borderId="2" xfId="0" applyFont="1" applyBorder="1" applyAlignment="1">
      <alignment horizontal="center" vertical="center" wrapText="1"/>
    </xf>
    <xf numFmtId="38" fontId="2" fillId="0" borderId="2" xfId="3" applyFont="1" applyFill="1" applyBorder="1" applyAlignment="1">
      <alignment vertical="center" wrapText="1"/>
    </xf>
    <xf numFmtId="38" fontId="2" fillId="0" borderId="2" xfId="3" applyFont="1" applyFill="1" applyBorder="1" applyAlignment="1">
      <alignment horizontal="center" vertical="center"/>
    </xf>
    <xf numFmtId="38" fontId="2" fillId="0" borderId="0" xfId="3" applyFont="1" applyBorder="1" applyAlignment="1">
      <alignment horizontal="left" vertical="center"/>
    </xf>
    <xf numFmtId="0" fontId="3" fillId="0" borderId="0" xfId="0" applyFont="1" applyAlignment="1">
      <alignment horizontal="left" vertical="top" wrapText="1"/>
    </xf>
    <xf numFmtId="0" fontId="0" fillId="0" borderId="43" xfId="0" applyBorder="1" applyAlignment="1">
      <alignment horizontal="left"/>
    </xf>
    <xf numFmtId="49" fontId="2" fillId="0" borderId="22" xfId="0" applyNumberFormat="1" applyFont="1" applyBorder="1" applyAlignment="1">
      <alignment horizontal="left"/>
    </xf>
    <xf numFmtId="0" fontId="0" fillId="0" borderId="0" xfId="0" applyFill="1" applyBorder="1"/>
    <xf numFmtId="0" fontId="2" fillId="0" borderId="0" xfId="0" applyFont="1" applyFill="1" applyBorder="1"/>
    <xf numFmtId="0" fontId="0" fillId="0" borderId="0" xfId="0" applyFill="1" applyBorder="1" applyAlignment="1">
      <alignment horizontal="left"/>
    </xf>
    <xf numFmtId="0" fontId="5" fillId="0" borderId="0" xfId="0" applyFont="1" applyFill="1" applyBorder="1"/>
    <xf numFmtId="0" fontId="5" fillId="0" borderId="0" xfId="0" applyFont="1" applyFill="1" applyBorder="1" applyAlignment="1">
      <alignment horizontal="left"/>
    </xf>
    <xf numFmtId="0" fontId="2" fillId="0" borderId="0" xfId="0" applyFont="1" applyFill="1" applyBorder="1" applyAlignment="1">
      <alignment horizontal="left"/>
    </xf>
    <xf numFmtId="49" fontId="0" fillId="0" borderId="0" xfId="0" applyNumberFormat="1" applyFill="1" applyBorder="1" applyAlignment="1">
      <alignment horizontal="left"/>
    </xf>
    <xf numFmtId="49" fontId="2" fillId="0" borderId="0" xfId="0" applyNumberFormat="1" applyFont="1" applyFill="1" applyBorder="1" applyAlignment="1">
      <alignment horizontal="left"/>
    </xf>
    <xf numFmtId="0" fontId="5" fillId="14" borderId="27" xfId="0" applyFont="1" applyFill="1" applyBorder="1" applyAlignment="1">
      <alignment horizontal="left"/>
    </xf>
    <xf numFmtId="0" fontId="0" fillId="0" borderId="0" xfId="0" applyFill="1"/>
    <xf numFmtId="0" fontId="5" fillId="0" borderId="0" xfId="0" applyFont="1" applyFill="1" applyBorder="1" applyAlignment="1"/>
    <xf numFmtId="0" fontId="0" fillId="0" borderId="0" xfId="0" applyFill="1" applyBorder="1" applyAlignment="1"/>
    <xf numFmtId="0" fontId="0" fillId="0" borderId="3" xfId="0" applyBorder="1" applyAlignment="1"/>
    <xf numFmtId="0" fontId="0" fillId="0" borderId="3" xfId="0" applyBorder="1" applyAlignment="1">
      <alignment wrapText="1"/>
    </xf>
    <xf numFmtId="0" fontId="0" fillId="0" borderId="0" xfId="0" applyBorder="1" applyAlignment="1">
      <alignment horizontal="left" vertical="center"/>
    </xf>
    <xf numFmtId="0" fontId="5" fillId="4" borderId="0" xfId="0" applyFont="1" applyFill="1" applyAlignment="1">
      <alignment wrapText="1"/>
    </xf>
    <xf numFmtId="38" fontId="5" fillId="4" borderId="46" xfId="3" applyFont="1" applyFill="1" applyBorder="1" applyAlignment="1">
      <alignment horizontal="left" vertical="center" wrapText="1"/>
    </xf>
    <xf numFmtId="0" fontId="0" fillId="0" borderId="0" xfId="0" applyFill="1" applyBorder="1" applyAlignment="1">
      <alignment horizontal="right" vertical="center"/>
    </xf>
    <xf numFmtId="0" fontId="5" fillId="0" borderId="0" xfId="0" applyFont="1" applyFill="1" applyBorder="1" applyAlignment="1">
      <alignment horizontal="right" vertical="center"/>
    </xf>
    <xf numFmtId="0" fontId="0" fillId="0" borderId="47" xfId="0" applyBorder="1" applyAlignment="1"/>
    <xf numFmtId="0" fontId="0" fillId="0" borderId="0" xfId="0" applyFont="1" applyFill="1" applyBorder="1" applyAlignment="1">
      <alignment wrapText="1"/>
    </xf>
    <xf numFmtId="38" fontId="2" fillId="0" borderId="47" xfId="3" applyFont="1" applyFill="1" applyBorder="1" applyAlignment="1">
      <alignment horizontal="left" vertical="center" wrapText="1"/>
    </xf>
    <xf numFmtId="0" fontId="0" fillId="0" borderId="47" xfId="0" applyBorder="1" applyAlignment="1">
      <alignment horizontal="left" vertical="center"/>
    </xf>
    <xf numFmtId="0" fontId="0" fillId="0" borderId="2" xfId="0" applyFill="1" applyBorder="1" applyAlignment="1">
      <alignment wrapText="1"/>
    </xf>
    <xf numFmtId="0" fontId="5" fillId="0" borderId="0" xfId="0" applyFont="1" applyAlignment="1">
      <alignment horizontal="right" vertical="top" wrapText="1"/>
    </xf>
    <xf numFmtId="0" fontId="2" fillId="0" borderId="0" xfId="0" applyFont="1" applyFill="1"/>
    <xf numFmtId="38" fontId="2" fillId="0" borderId="2" xfId="3" applyFill="1" applyBorder="1" applyAlignment="1">
      <alignment horizontal="left" vertical="center"/>
    </xf>
    <xf numFmtId="0" fontId="0" fillId="0" borderId="29" xfId="0" applyFill="1" applyBorder="1" applyAlignment="1">
      <alignment wrapText="1"/>
    </xf>
    <xf numFmtId="0" fontId="2" fillId="0" borderId="29" xfId="0" applyFont="1" applyFill="1" applyBorder="1" applyAlignment="1"/>
    <xf numFmtId="0" fontId="0" fillId="0" borderId="29" xfId="0" applyFill="1" applyBorder="1" applyAlignment="1"/>
    <xf numFmtId="0" fontId="0" fillId="0" borderId="47" xfId="0" applyBorder="1"/>
    <xf numFmtId="0" fontId="0" fillId="0" borderId="48" xfId="0" applyBorder="1"/>
    <xf numFmtId="0" fontId="2" fillId="0" borderId="48" xfId="0" applyFont="1" applyBorder="1" applyAlignment="1">
      <alignment wrapText="1"/>
    </xf>
    <xf numFmtId="0" fontId="2" fillId="0" borderId="13" xfId="0" applyFont="1" applyBorder="1" applyAlignment="1">
      <alignment wrapText="1"/>
    </xf>
    <xf numFmtId="0" fontId="2" fillId="0" borderId="2" xfId="0" applyFont="1" applyBorder="1" applyAlignment="1">
      <alignment wrapText="1"/>
    </xf>
    <xf numFmtId="0" fontId="2" fillId="7" borderId="2" xfId="0" applyFont="1" applyFill="1" applyBorder="1" applyAlignment="1">
      <alignment horizontal="left" vertical="center" wrapText="1"/>
    </xf>
    <xf numFmtId="0" fontId="2" fillId="15" borderId="6" xfId="0" applyFont="1" applyFill="1" applyBorder="1"/>
    <xf numFmtId="0" fontId="0" fillId="15" borderId="43" xfId="0" applyFill="1" applyBorder="1" applyAlignment="1">
      <alignment horizontal="left"/>
    </xf>
    <xf numFmtId="0" fontId="2" fillId="15" borderId="7" xfId="0" applyFont="1" applyFill="1" applyBorder="1"/>
    <xf numFmtId="0" fontId="0" fillId="15" borderId="8" xfId="0" applyFill="1" applyBorder="1" applyAlignment="1">
      <alignment horizontal="left"/>
    </xf>
    <xf numFmtId="0" fontId="2" fillId="15" borderId="9" xfId="0" applyFont="1" applyFill="1" applyBorder="1"/>
    <xf numFmtId="0" fontId="0" fillId="15" borderId="10" xfId="0" applyFill="1" applyBorder="1" applyAlignment="1">
      <alignment horizontal="left"/>
    </xf>
    <xf numFmtId="1" fontId="0" fillId="0" borderId="43" xfId="0" applyNumberFormat="1" applyBorder="1"/>
    <xf numFmtId="2" fontId="2" fillId="16" borderId="15" xfId="0" applyNumberFormat="1" applyFont="1" applyFill="1" applyBorder="1" applyAlignment="1">
      <alignment horizontal="center" vertical="center" wrapText="1"/>
    </xf>
    <xf numFmtId="0" fontId="2" fillId="0" borderId="30" xfId="0" applyFont="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37" xfId="0" applyNumberFormat="1" applyFont="1" applyFill="1" applyBorder="1" applyAlignment="1">
      <alignment horizontal="center" vertical="center" wrapText="1"/>
    </xf>
    <xf numFmtId="49" fontId="2" fillId="0" borderId="38" xfId="0" applyNumberFormat="1" applyFont="1" applyFill="1" applyBorder="1" applyAlignment="1">
      <alignment horizontal="center" vertical="center" wrapText="1"/>
    </xf>
    <xf numFmtId="1" fontId="2" fillId="0" borderId="36" xfId="0" applyNumberFormat="1" applyFont="1" applyBorder="1" applyAlignment="1">
      <alignment horizontal="center" vertical="center" wrapText="1"/>
    </xf>
    <xf numFmtId="49" fontId="2" fillId="0" borderId="37" xfId="0" applyNumberFormat="1" applyFont="1" applyBorder="1" applyAlignment="1">
      <alignment horizontal="center" vertical="center" wrapText="1"/>
    </xf>
    <xf numFmtId="49" fontId="2" fillId="0" borderId="54" xfId="0" applyNumberFormat="1" applyFont="1" applyBorder="1" applyAlignment="1">
      <alignment horizontal="center" vertical="center" wrapText="1"/>
    </xf>
    <xf numFmtId="1" fontId="2" fillId="0" borderId="37" xfId="0" applyNumberFormat="1" applyFont="1" applyFill="1" applyBorder="1" applyAlignment="1">
      <alignment horizontal="center" vertical="center" wrapText="1"/>
    </xf>
    <xf numFmtId="165" fontId="2" fillId="0" borderId="37" xfId="0" applyNumberFormat="1" applyFont="1" applyBorder="1" applyAlignment="1">
      <alignment horizontal="center" vertical="center" wrapText="1"/>
    </xf>
    <xf numFmtId="172" fontId="2" fillId="0" borderId="38" xfId="0" applyNumberFormat="1" applyFont="1" applyFill="1" applyBorder="1" applyAlignment="1">
      <alignment horizontal="center" vertical="center" wrapText="1"/>
    </xf>
    <xf numFmtId="1" fontId="2" fillId="0" borderId="30"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165" fontId="2" fillId="0" borderId="2"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49" fontId="2" fillId="0" borderId="15" xfId="0" applyNumberFormat="1" applyFont="1" applyFill="1" applyBorder="1" applyAlignment="1">
      <alignment horizontal="center" vertical="center" wrapText="1"/>
    </xf>
    <xf numFmtId="174" fontId="2" fillId="0" borderId="13" xfId="0" applyNumberFormat="1" applyFont="1" applyFill="1" applyBorder="1" applyAlignment="1">
      <alignment horizontal="center" vertical="center" wrapText="1"/>
    </xf>
    <xf numFmtId="0" fontId="2" fillId="0" borderId="2" xfId="0" applyFont="1" applyFill="1" applyBorder="1" applyAlignment="1">
      <alignment horizontal="center" vertical="center" wrapText="1"/>
    </xf>
    <xf numFmtId="165" fontId="2" fillId="0" borderId="15" xfId="0" applyNumberFormat="1" applyFont="1" applyFill="1" applyBorder="1" applyAlignment="1">
      <alignment horizontal="center" vertical="center" wrapText="1"/>
    </xf>
    <xf numFmtId="1" fontId="2" fillId="0" borderId="55" xfId="0" applyNumberFormat="1" applyFont="1" applyFill="1" applyBorder="1" applyAlignment="1">
      <alignment horizontal="center" vertical="center" wrapText="1"/>
    </xf>
    <xf numFmtId="49" fontId="2" fillId="0" borderId="12" xfId="0" applyNumberFormat="1" applyFont="1" applyFill="1" applyBorder="1" applyAlignment="1">
      <alignment horizontal="center" vertical="center" wrapText="1"/>
    </xf>
    <xf numFmtId="172" fontId="2" fillId="0" borderId="30" xfId="0" applyNumberFormat="1" applyFont="1" applyFill="1" applyBorder="1" applyAlignment="1">
      <alignment horizontal="center" vertical="center" wrapText="1"/>
    </xf>
    <xf numFmtId="172" fontId="2" fillId="0" borderId="15" xfId="0" applyNumberFormat="1" applyFont="1" applyFill="1" applyBorder="1" applyAlignment="1">
      <alignment horizontal="center" vertical="center" wrapText="1"/>
    </xf>
    <xf numFmtId="1" fontId="2" fillId="0" borderId="30" xfId="0" applyNumberFormat="1" applyFont="1" applyBorder="1" applyAlignment="1">
      <alignment horizontal="center" vertical="center" wrapText="1"/>
    </xf>
    <xf numFmtId="1" fontId="2" fillId="0" borderId="2" xfId="0" applyNumberFormat="1" applyFont="1" applyBorder="1" applyAlignment="1">
      <alignment horizontal="center" vertical="center" wrapText="1"/>
    </xf>
    <xf numFmtId="1" fontId="2" fillId="0" borderId="15" xfId="0" applyNumberFormat="1" applyFont="1" applyBorder="1" applyAlignment="1">
      <alignment horizontal="center" vertical="center" wrapText="1"/>
    </xf>
    <xf numFmtId="49" fontId="2" fillId="0" borderId="56" xfId="0" applyNumberFormat="1" applyFont="1" applyBorder="1" applyAlignment="1">
      <alignment horizontal="center" vertical="center" wrapText="1"/>
    </xf>
    <xf numFmtId="49" fontId="2" fillId="0" borderId="55" xfId="0" applyNumberFormat="1" applyFont="1" applyBorder="1" applyAlignment="1">
      <alignment horizontal="center" vertical="center" wrapText="1"/>
    </xf>
    <xf numFmtId="49" fontId="2" fillId="0" borderId="30" xfId="0" applyNumberFormat="1" applyFont="1" applyBorder="1" applyAlignment="1">
      <alignment horizontal="center" vertical="center" wrapText="1"/>
    </xf>
    <xf numFmtId="1" fontId="2" fillId="0" borderId="15" xfId="0" applyNumberFormat="1" applyFont="1" applyFill="1" applyBorder="1" applyAlignment="1">
      <alignment horizontal="center" vertical="center" wrapText="1"/>
    </xf>
    <xf numFmtId="0" fontId="0" fillId="0" borderId="15" xfId="0" applyBorder="1" applyAlignment="1">
      <alignment horizontal="center" vertical="center" wrapText="1"/>
    </xf>
    <xf numFmtId="0" fontId="2" fillId="0" borderId="12" xfId="0" applyFont="1" applyBorder="1" applyAlignment="1">
      <alignment horizontal="center" vertical="center" wrapText="1"/>
    </xf>
    <xf numFmtId="0" fontId="2" fillId="0" borderId="15" xfId="0" applyFont="1" applyBorder="1" applyAlignment="1">
      <alignment horizontal="center" vertical="center" wrapText="1"/>
    </xf>
    <xf numFmtId="49" fontId="2" fillId="0" borderId="54" xfId="0" applyNumberFormat="1" applyFont="1" applyFill="1" applyBorder="1" applyAlignment="1">
      <alignment horizontal="center" vertical="center" wrapText="1"/>
    </xf>
    <xf numFmtId="2" fontId="2" fillId="0" borderId="30" xfId="0" applyNumberFormat="1" applyFont="1" applyFill="1" applyBorder="1" applyAlignment="1">
      <alignment horizontal="center" vertical="center" wrapText="1"/>
    </xf>
    <xf numFmtId="2" fontId="2" fillId="0" borderId="2" xfId="0" applyNumberFormat="1" applyFont="1" applyFill="1" applyBorder="1" applyAlignment="1">
      <alignment horizontal="center" vertical="center" wrapText="1"/>
    </xf>
    <xf numFmtId="2" fontId="2" fillId="0" borderId="0" xfId="0" applyNumberFormat="1" applyFont="1" applyFill="1" applyBorder="1" applyAlignment="1">
      <alignment horizontal="center" vertical="center" wrapText="1"/>
    </xf>
    <xf numFmtId="0" fontId="2" fillId="0" borderId="41" xfId="0" applyFont="1" applyBorder="1" applyAlignment="1">
      <alignment horizontal="center" vertical="center" wrapText="1"/>
    </xf>
    <xf numFmtId="172" fontId="2" fillId="0" borderId="2" xfId="0" applyNumberFormat="1" applyFont="1" applyFill="1" applyBorder="1" applyAlignment="1">
      <alignment horizontal="center" vertical="center" wrapText="1"/>
    </xf>
    <xf numFmtId="165" fontId="2" fillId="0" borderId="55" xfId="0" applyNumberFormat="1" applyFont="1" applyFill="1" applyBorder="1" applyAlignment="1">
      <alignment horizontal="center" vertical="center" wrapText="1"/>
    </xf>
    <xf numFmtId="1" fontId="6" fillId="0" borderId="2" xfId="3" applyNumberFormat="1" applyFont="1" applyFill="1" applyBorder="1" applyAlignment="1" applyProtection="1">
      <alignment horizontal="left" vertical="center" indent="1"/>
      <protection locked="0" hidden="1"/>
    </xf>
    <xf numFmtId="1" fontId="2" fillId="0" borderId="2" xfId="3" applyNumberFormat="1" applyFill="1" applyBorder="1">
      <alignment horizontal="center" vertical="center" wrapText="1"/>
    </xf>
    <xf numFmtId="1" fontId="6" fillId="0" borderId="2" xfId="3" applyNumberFormat="1" applyFont="1" applyFill="1" applyBorder="1" applyAlignment="1" applyProtection="1">
      <alignment horizontal="center" vertical="center"/>
      <protection locked="0" hidden="1"/>
    </xf>
    <xf numFmtId="0" fontId="2" fillId="0" borderId="15" xfId="0" applyFont="1" applyBorder="1" applyAlignment="1">
      <alignment wrapText="1"/>
    </xf>
    <xf numFmtId="0" fontId="2" fillId="0" borderId="30" xfId="0" applyFont="1" applyBorder="1" applyAlignment="1">
      <alignment wrapText="1"/>
    </xf>
    <xf numFmtId="0" fontId="5" fillId="0" borderId="0" xfId="0" applyFont="1" applyAlignment="1">
      <alignment horizontal="left" vertical="center" wrapText="1"/>
    </xf>
    <xf numFmtId="0" fontId="24" fillId="0" borderId="0" xfId="0" applyFont="1" applyAlignment="1">
      <alignment vertical="center"/>
    </xf>
    <xf numFmtId="0" fontId="2" fillId="0" borderId="0" xfId="0" applyFont="1" applyAlignment="1">
      <alignment horizontal="right" vertical="center"/>
    </xf>
    <xf numFmtId="0" fontId="2" fillId="0" borderId="0" xfId="0" applyFont="1" applyAlignment="1">
      <alignment wrapText="1"/>
    </xf>
    <xf numFmtId="0" fontId="5" fillId="4" borderId="2" xfId="0" applyFont="1" applyFill="1" applyBorder="1" applyAlignment="1">
      <alignment wrapText="1"/>
    </xf>
    <xf numFmtId="38" fontId="2" fillId="0" borderId="13" xfId="3" applyFont="1" applyFill="1" applyBorder="1" applyAlignment="1">
      <alignment horizontal="left" vertical="center" wrapText="1"/>
    </xf>
    <xf numFmtId="49" fontId="2" fillId="7" borderId="2" xfId="0" applyNumberFormat="1" applyFont="1" applyFill="1" applyBorder="1" applyAlignment="1">
      <alignment horizontal="left" vertical="center" wrapText="1"/>
    </xf>
    <xf numFmtId="0" fontId="2" fillId="0" borderId="13" xfId="0" applyFont="1" applyBorder="1" applyAlignment="1">
      <alignment horizontal="center" vertical="center" wrapText="1"/>
    </xf>
    <xf numFmtId="0" fontId="2" fillId="0" borderId="2" xfId="0" applyFont="1" applyBorder="1" applyAlignment="1">
      <alignment wrapText="1"/>
    </xf>
    <xf numFmtId="38" fontId="2" fillId="0" borderId="2" xfId="3" applyFont="1" applyFill="1" applyBorder="1" applyAlignment="1">
      <alignment horizontal="left" vertical="center" wrapText="1"/>
    </xf>
    <xf numFmtId="38" fontId="2" fillId="0" borderId="2" xfId="3" applyFont="1" applyFill="1" applyBorder="1" applyAlignment="1">
      <alignment horizontal="left" vertical="center" wrapText="1"/>
    </xf>
    <xf numFmtId="0" fontId="2" fillId="0" borderId="2" xfId="3" applyNumberFormat="1" applyFont="1" applyFill="1" applyBorder="1" applyAlignment="1" applyProtection="1">
      <alignment horizontal="center" vertical="center"/>
      <protection locked="0" hidden="1"/>
    </xf>
    <xf numFmtId="38" fontId="2" fillId="0" borderId="2" xfId="3" applyFont="1" applyFill="1" applyBorder="1" applyAlignment="1">
      <alignment horizontal="left" vertical="center" wrapText="1"/>
    </xf>
    <xf numFmtId="38" fontId="2" fillId="0" borderId="2" xfId="3" applyFont="1" applyFill="1" applyBorder="1" applyAlignment="1">
      <alignment horizontal="left" vertical="center" wrapText="1"/>
    </xf>
    <xf numFmtId="0" fontId="2" fillId="0" borderId="2" xfId="0" applyFont="1" applyBorder="1" applyAlignment="1">
      <alignment wrapText="1"/>
    </xf>
    <xf numFmtId="0" fontId="2" fillId="0" borderId="2" xfId="0" applyFont="1" applyBorder="1" applyAlignment="1">
      <alignment wrapText="1"/>
    </xf>
    <xf numFmtId="38" fontId="2" fillId="20" borderId="2" xfId="3" applyFont="1" applyFill="1" applyBorder="1" applyAlignment="1">
      <alignment horizontal="left" vertical="center" wrapText="1"/>
    </xf>
    <xf numFmtId="0" fontId="2" fillId="0" borderId="2" xfId="0" applyFont="1" applyBorder="1" applyAlignment="1">
      <alignment wrapText="1"/>
    </xf>
    <xf numFmtId="0" fontId="0" fillId="0" borderId="13" xfId="0" applyBorder="1" applyAlignment="1">
      <alignment horizontal="center" vertical="center" wrapText="1"/>
    </xf>
    <xf numFmtId="0" fontId="0" fillId="0" borderId="0" xfId="0" applyAlignment="1">
      <alignment vertical="center"/>
    </xf>
    <xf numFmtId="0" fontId="0" fillId="0" borderId="57" xfId="0" applyBorder="1" applyAlignment="1">
      <alignment vertical="center"/>
    </xf>
    <xf numFmtId="0" fontId="0" fillId="0" borderId="59" xfId="0" applyBorder="1" applyAlignment="1">
      <alignment vertical="center"/>
    </xf>
    <xf numFmtId="0" fontId="0" fillId="0" borderId="64" xfId="0" applyBorder="1" applyAlignment="1">
      <alignment vertical="center"/>
    </xf>
    <xf numFmtId="0" fontId="0" fillId="0" borderId="65" xfId="0" applyBorder="1" applyAlignment="1">
      <alignment vertical="center"/>
    </xf>
    <xf numFmtId="0" fontId="0" fillId="0" borderId="37" xfId="0" applyBorder="1" applyAlignment="1">
      <alignment vertical="center"/>
    </xf>
    <xf numFmtId="0" fontId="0" fillId="0" borderId="54" xfId="0" applyBorder="1" applyAlignment="1">
      <alignment vertical="center"/>
    </xf>
    <xf numFmtId="0" fontId="0" fillId="0" borderId="12" xfId="0" applyBorder="1" applyAlignment="1">
      <alignment horizontal="center" vertical="center"/>
    </xf>
    <xf numFmtId="0" fontId="0" fillId="0" borderId="13" xfId="0" applyBorder="1" applyAlignment="1">
      <alignment vertical="center"/>
    </xf>
    <xf numFmtId="0" fontId="0" fillId="0" borderId="2" xfId="0" applyBorder="1" applyAlignment="1">
      <alignment horizontal="center" vertical="center"/>
    </xf>
    <xf numFmtId="0" fontId="0" fillId="0" borderId="12" xfId="0" applyBorder="1" applyAlignment="1">
      <alignment vertical="center" wrapText="1"/>
    </xf>
    <xf numFmtId="0" fontId="0" fillId="0" borderId="13" xfId="0" applyBorder="1" applyAlignment="1">
      <alignment vertical="center" wrapText="1"/>
    </xf>
    <xf numFmtId="0" fontId="0" fillId="0" borderId="5" xfId="0" applyBorder="1" applyAlignment="1">
      <alignment vertical="center" wrapText="1"/>
    </xf>
    <xf numFmtId="0" fontId="2" fillId="0" borderId="2" xfId="0" applyFont="1" applyBorder="1" applyAlignment="1">
      <alignment wrapText="1"/>
    </xf>
    <xf numFmtId="38" fontId="2" fillId="0" borderId="2" xfId="3" applyFont="1" applyFill="1" applyBorder="1" applyAlignment="1">
      <alignment horizontal="left" vertical="center" wrapText="1"/>
    </xf>
    <xf numFmtId="0" fontId="2" fillId="0" borderId="0" xfId="0" applyFont="1" applyAlignment="1">
      <alignment wrapText="1"/>
    </xf>
    <xf numFmtId="38" fontId="2" fillId="0" borderId="2" xfId="3" applyFont="1" applyFill="1" applyBorder="1" applyAlignment="1">
      <alignment horizontal="left" vertical="center" wrapText="1"/>
    </xf>
    <xf numFmtId="0" fontId="2" fillId="2" borderId="9" xfId="0" applyFont="1" applyFill="1" applyBorder="1"/>
    <xf numFmtId="38" fontId="2" fillId="0" borderId="2" xfId="3" applyFont="1" applyFill="1" applyBorder="1" applyAlignment="1">
      <alignment horizontal="left" vertical="center" wrapText="1"/>
    </xf>
    <xf numFmtId="0" fontId="2" fillId="0" borderId="2" xfId="0" applyFont="1" applyBorder="1" applyAlignment="1">
      <alignment wrapText="1"/>
    </xf>
    <xf numFmtId="0" fontId="0" fillId="0" borderId="2" xfId="0" applyBorder="1" applyAlignment="1">
      <alignment wrapText="1"/>
    </xf>
    <xf numFmtId="0" fontId="2" fillId="0" borderId="12" xfId="0" applyFont="1" applyBorder="1" applyAlignment="1">
      <alignment wrapText="1"/>
    </xf>
    <xf numFmtId="38" fontId="2" fillId="0" borderId="2" xfId="3" applyFont="1" applyFill="1" applyBorder="1" applyAlignment="1">
      <alignment horizontal="left" vertical="center" wrapText="1"/>
    </xf>
    <xf numFmtId="38" fontId="2" fillId="0" borderId="2" xfId="3" applyFont="1" applyFill="1" applyBorder="1" applyAlignment="1">
      <alignment horizontal="left" vertical="center" wrapText="1"/>
    </xf>
    <xf numFmtId="0" fontId="0" fillId="0" borderId="2" xfId="0" applyBorder="1" applyAlignment="1">
      <alignment wrapText="1"/>
    </xf>
    <xf numFmtId="0" fontId="2" fillId="0" borderId="2" xfId="0" applyFont="1" applyBorder="1" applyAlignment="1">
      <alignment wrapText="1"/>
    </xf>
    <xf numFmtId="38" fontId="2" fillId="0" borderId="2" xfId="3" quotePrefix="1" applyFont="1" applyFill="1" applyBorder="1" applyAlignment="1">
      <alignment horizontal="left" vertical="center" wrapText="1"/>
    </xf>
    <xf numFmtId="0" fontId="2" fillId="0" borderId="2" xfId="0" applyFont="1" applyBorder="1" applyAlignment="1">
      <alignment wrapText="1"/>
    </xf>
    <xf numFmtId="1" fontId="2" fillId="8" borderId="2" xfId="0" applyNumberFormat="1" applyFont="1" applyFill="1" applyBorder="1" applyAlignment="1">
      <alignment horizontal="left" vertical="center" wrapText="1"/>
    </xf>
    <xf numFmtId="0" fontId="2" fillId="0" borderId="2" xfId="0" applyFont="1" applyBorder="1" applyAlignment="1">
      <alignment wrapText="1"/>
    </xf>
    <xf numFmtId="49" fontId="6" fillId="22" borderId="2" xfId="0" applyNumberFormat="1" applyFont="1" applyFill="1" applyBorder="1" applyAlignment="1">
      <alignment horizontal="left" vertical="center" wrapText="1"/>
    </xf>
    <xf numFmtId="0" fontId="2" fillId="22" borderId="15" xfId="0" applyFont="1" applyFill="1" applyBorder="1" applyAlignment="1">
      <alignment horizontal="left" vertical="center" wrapText="1"/>
    </xf>
    <xf numFmtId="38" fontId="2" fillId="0" borderId="2" xfId="3" applyFont="1" applyFill="1" applyBorder="1" applyAlignment="1">
      <alignment horizontal="left" vertical="center" wrapText="1"/>
    </xf>
    <xf numFmtId="0" fontId="2" fillId="0" borderId="2" xfId="0" applyFont="1" applyBorder="1" applyAlignment="1">
      <alignment wrapText="1"/>
    </xf>
    <xf numFmtId="0" fontId="2" fillId="0" borderId="8" xfId="0" applyFont="1" applyBorder="1" applyAlignment="1">
      <alignment horizontal="center" vertical="center"/>
    </xf>
    <xf numFmtId="14" fontId="28" fillId="21" borderId="72" xfId="0" applyNumberFormat="1" applyFont="1" applyFill="1" applyBorder="1" applyAlignment="1">
      <alignment horizontal="center" vertical="top" wrapText="1"/>
    </xf>
    <xf numFmtId="0" fontId="0" fillId="0" borderId="0" xfId="0" applyAlignment="1">
      <alignment horizontal="left"/>
    </xf>
    <xf numFmtId="0" fontId="29" fillId="24" borderId="0" xfId="0" applyFont="1" applyFill="1" applyBorder="1" applyAlignment="1">
      <alignment wrapText="1"/>
    </xf>
    <xf numFmtId="0" fontId="2" fillId="0" borderId="2" xfId="0" applyFont="1" applyBorder="1" applyAlignment="1">
      <alignment wrapText="1"/>
    </xf>
    <xf numFmtId="38" fontId="2" fillId="0" borderId="2" xfId="3" applyFont="1" applyFill="1" applyBorder="1" applyAlignment="1">
      <alignment horizontal="left" vertical="center" wrapText="1"/>
    </xf>
    <xf numFmtId="0" fontId="2" fillId="0" borderId="2" xfId="0" applyFont="1" applyBorder="1" applyAlignment="1">
      <alignment wrapText="1"/>
    </xf>
    <xf numFmtId="0" fontId="2" fillId="0" borderId="2" xfId="0" applyFont="1" applyBorder="1" applyAlignment="1">
      <alignment wrapText="1"/>
    </xf>
    <xf numFmtId="0" fontId="9" fillId="0" borderId="2" xfId="3" applyNumberFormat="1" applyFont="1" applyFill="1" applyBorder="1" applyAlignment="1" applyProtection="1">
      <alignment horizontal="left" vertical="center" wrapText="1" indent="1"/>
      <protection locked="0" hidden="1"/>
    </xf>
    <xf numFmtId="0" fontId="2" fillId="0" borderId="2" xfId="0" applyFont="1" applyBorder="1" applyAlignment="1">
      <alignment wrapText="1"/>
    </xf>
    <xf numFmtId="0" fontId="2" fillId="0" borderId="2" xfId="0" applyFont="1" applyBorder="1" applyAlignment="1">
      <alignment wrapText="1"/>
    </xf>
    <xf numFmtId="38" fontId="2" fillId="0" borderId="2" xfId="3" applyFont="1" applyFill="1" applyBorder="1" applyAlignment="1">
      <alignment horizontal="left" vertical="center" wrapText="1"/>
    </xf>
    <xf numFmtId="38" fontId="2" fillId="0" borderId="2" xfId="3" applyFont="1" applyFill="1" applyBorder="1" applyAlignment="1">
      <alignment horizontal="left" vertical="center" wrapText="1"/>
    </xf>
    <xf numFmtId="38" fontId="2" fillId="0" borderId="0" xfId="3" applyBorder="1" applyAlignment="1">
      <alignment horizontal="left" vertical="center"/>
    </xf>
    <xf numFmtId="0" fontId="2" fillId="0" borderId="2" xfId="0" applyFont="1" applyBorder="1" applyAlignment="1">
      <alignment wrapText="1"/>
    </xf>
    <xf numFmtId="38" fontId="2" fillId="25" borderId="0" xfId="3" applyFont="1" applyFill="1" applyBorder="1" applyAlignment="1">
      <alignment horizontal="left" vertical="center" wrapText="1"/>
    </xf>
    <xf numFmtId="0" fontId="2" fillId="0" borderId="0" xfId="0" quotePrefix="1" applyFont="1"/>
    <xf numFmtId="38" fontId="2" fillId="0" borderId="2" xfId="3" applyFont="1" applyFill="1" applyBorder="1" applyAlignment="1">
      <alignment horizontal="left" vertical="center" wrapText="1"/>
    </xf>
    <xf numFmtId="0" fontId="2" fillId="0" borderId="2" xfId="0" applyFont="1" applyBorder="1" applyAlignment="1">
      <alignment wrapText="1"/>
    </xf>
    <xf numFmtId="0" fontId="0" fillId="0" borderId="0" xfId="0" applyAlignment="1">
      <alignment wrapText="1"/>
    </xf>
    <xf numFmtId="0" fontId="2" fillId="0" borderId="2" xfId="0" applyFont="1" applyBorder="1" applyAlignment="1">
      <alignment wrapText="1"/>
    </xf>
    <xf numFmtId="0" fontId="2" fillId="0" borderId="2" xfId="0" applyFont="1" applyBorder="1" applyAlignment="1">
      <alignment wrapText="1"/>
    </xf>
    <xf numFmtId="38" fontId="2" fillId="0" borderId="2" xfId="3" applyFont="1" applyFill="1" applyBorder="1" applyAlignment="1">
      <alignment horizontal="left" vertical="center" wrapText="1"/>
    </xf>
    <xf numFmtId="38" fontId="2" fillId="0" borderId="2" xfId="3" applyFont="1" applyFill="1" applyBorder="1" applyAlignment="1">
      <alignment horizontal="left" vertical="center" wrapText="1"/>
    </xf>
    <xf numFmtId="0" fontId="28" fillId="21" borderId="66" xfId="0" applyFont="1" applyFill="1" applyBorder="1" applyAlignment="1">
      <alignment horizontal="center" vertical="center" wrapText="1"/>
    </xf>
    <xf numFmtId="0" fontId="28" fillId="21" borderId="67" xfId="0" applyFont="1" applyFill="1" applyBorder="1" applyAlignment="1">
      <alignment horizontal="center" vertical="center" wrapText="1"/>
    </xf>
    <xf numFmtId="0" fontId="28" fillId="21" borderId="68" xfId="0" applyFont="1" applyFill="1" applyBorder="1" applyAlignment="1">
      <alignment horizontal="center" vertical="center" wrapText="1"/>
    </xf>
    <xf numFmtId="0" fontId="28" fillId="21" borderId="69" xfId="0" applyFont="1" applyFill="1" applyBorder="1" applyAlignment="1">
      <alignment horizontal="center" vertical="center" wrapText="1"/>
    </xf>
    <xf numFmtId="0" fontId="28" fillId="21" borderId="70" xfId="0" applyFont="1" applyFill="1" applyBorder="1" applyAlignment="1">
      <alignment horizontal="center" vertical="center" wrapText="1"/>
    </xf>
    <xf numFmtId="0" fontId="28" fillId="21" borderId="71" xfId="0" applyFont="1" applyFill="1" applyBorder="1" applyAlignment="1">
      <alignment horizontal="center" vertical="center" wrapText="1"/>
    </xf>
    <xf numFmtId="0" fontId="0" fillId="23" borderId="0" xfId="0" applyFill="1" applyBorder="1" applyAlignment="1">
      <alignment horizontal="center" vertical="center" wrapText="1"/>
    </xf>
    <xf numFmtId="0" fontId="0" fillId="23" borderId="64" xfId="0" applyFill="1" applyBorder="1" applyAlignment="1">
      <alignment horizontal="center" vertical="center" wrapText="1"/>
    </xf>
    <xf numFmtId="0" fontId="0" fillId="23" borderId="47" xfId="0" applyFill="1" applyBorder="1" applyAlignment="1">
      <alignment horizontal="center" vertical="center" wrapText="1"/>
    </xf>
    <xf numFmtId="0" fontId="0" fillId="23" borderId="65" xfId="0" applyFill="1" applyBorder="1" applyAlignment="1">
      <alignment horizontal="center" vertical="center" wrapText="1"/>
    </xf>
    <xf numFmtId="0" fontId="0" fillId="23" borderId="57" xfId="0" applyFill="1" applyBorder="1" applyAlignment="1">
      <alignment horizontal="center" vertical="center" wrapText="1"/>
    </xf>
    <xf numFmtId="0" fontId="0" fillId="0" borderId="29" xfId="0" applyBorder="1"/>
    <xf numFmtId="0" fontId="0" fillId="27" borderId="66" xfId="0" applyFill="1" applyBorder="1" applyAlignment="1">
      <alignment horizontal="center" vertical="center"/>
    </xf>
    <xf numFmtId="0" fontId="0" fillId="27" borderId="78" xfId="0" applyFill="1" applyBorder="1" applyAlignment="1">
      <alignment horizontal="center" vertical="center"/>
    </xf>
    <xf numFmtId="0" fontId="28" fillId="27" borderId="75" xfId="0" applyFont="1" applyFill="1" applyBorder="1" applyAlignment="1">
      <alignment horizontal="center" vertical="center"/>
    </xf>
    <xf numFmtId="0" fontId="28" fillId="27" borderId="82" xfId="0" applyFont="1" applyFill="1" applyBorder="1" applyAlignment="1">
      <alignment horizontal="center" vertical="center"/>
    </xf>
    <xf numFmtId="0" fontId="28" fillId="27" borderId="72" xfId="0" applyFont="1" applyFill="1" applyBorder="1" applyAlignment="1">
      <alignment horizontal="center" vertical="center"/>
    </xf>
    <xf numFmtId="0" fontId="28" fillId="27" borderId="84" xfId="0" applyFont="1" applyFill="1" applyBorder="1" applyAlignment="1">
      <alignment horizontal="center" vertical="center"/>
    </xf>
    <xf numFmtId="38" fontId="2" fillId="0" borderId="2" xfId="3" quotePrefix="1" applyFont="1" applyFill="1" applyBorder="1" applyAlignment="1" applyProtection="1">
      <alignment horizontal="left" vertical="center" wrapText="1" indent="1"/>
      <protection locked="0" hidden="1"/>
    </xf>
    <xf numFmtId="3" fontId="2" fillId="0" borderId="2" xfId="0" quotePrefix="1" applyNumberFormat="1" applyFont="1" applyFill="1" applyBorder="1" applyAlignment="1">
      <alignment horizontal="center" vertical="center"/>
    </xf>
    <xf numFmtId="0" fontId="32" fillId="29" borderId="88" xfId="2" applyFont="1" applyFill="1" applyBorder="1" applyAlignment="1" applyProtection="1">
      <alignment horizontal="center" vertical="center" wrapText="1"/>
    </xf>
    <xf numFmtId="0" fontId="32" fillId="25" borderId="50" xfId="2" applyFont="1" applyFill="1" applyBorder="1" applyAlignment="1" applyProtection="1">
      <alignment horizontal="center" vertical="center" wrapText="1"/>
    </xf>
    <xf numFmtId="0" fontId="32" fillId="30" borderId="52" xfId="2" applyFont="1" applyFill="1" applyBorder="1" applyAlignment="1" applyProtection="1">
      <alignment horizontal="center" vertical="center" wrapText="1"/>
    </xf>
    <xf numFmtId="0" fontId="2" fillId="0" borderId="0" xfId="0" applyFont="1" applyBorder="1" applyAlignment="1">
      <alignment vertical="top" wrapText="1"/>
    </xf>
    <xf numFmtId="38" fontId="2" fillId="0" borderId="37" xfId="3" applyFont="1" applyFill="1" applyBorder="1" applyAlignment="1">
      <alignment horizontal="left" vertical="center" wrapText="1"/>
    </xf>
    <xf numFmtId="0" fontId="5" fillId="18" borderId="0" xfId="0" applyNumberFormat="1" applyFont="1" applyFill="1" applyBorder="1" applyAlignment="1" applyProtection="1">
      <alignment vertical="center"/>
      <protection locked="0"/>
    </xf>
    <xf numFmtId="0" fontId="5" fillId="18" borderId="0" xfId="0" applyNumberFormat="1" applyFont="1" applyFill="1" applyBorder="1" applyAlignment="1" applyProtection="1">
      <alignment horizontal="center" vertical="center"/>
      <protection locked="0"/>
    </xf>
    <xf numFmtId="0" fontId="5" fillId="18" borderId="33"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center" vertical="center"/>
      <protection locked="0"/>
    </xf>
    <xf numFmtId="175" fontId="3" fillId="0" borderId="2" xfId="0" applyNumberFormat="1" applyFont="1" applyFill="1" applyBorder="1" applyAlignment="1" applyProtection="1">
      <alignment horizontal="center" vertical="center"/>
      <protection locked="0"/>
    </xf>
    <xf numFmtId="49" fontId="3" fillId="0" borderId="2" xfId="0" applyNumberFormat="1" applyFont="1" applyFill="1" applyBorder="1" applyAlignment="1" applyProtection="1">
      <alignment horizontal="center" vertical="center"/>
      <protection locked="0"/>
    </xf>
    <xf numFmtId="1" fontId="3" fillId="0" borderId="2" xfId="0" applyNumberFormat="1" applyFont="1" applyFill="1" applyBorder="1" applyAlignment="1" applyProtection="1">
      <alignment horizontal="center" vertical="center"/>
      <protection locked="0"/>
    </xf>
    <xf numFmtId="14" fontId="3" fillId="0" borderId="2" xfId="0" applyNumberFormat="1" applyFont="1" applyFill="1" applyBorder="1" applyAlignment="1" applyProtection="1">
      <alignment horizontal="center" vertical="center"/>
      <protection locked="0"/>
    </xf>
    <xf numFmtId="166" fontId="3" fillId="18" borderId="2" xfId="0" applyNumberFormat="1" applyFont="1" applyFill="1" applyBorder="1" applyAlignment="1" applyProtection="1">
      <alignment horizontal="center" vertical="center"/>
      <protection locked="0"/>
    </xf>
    <xf numFmtId="0" fontId="3" fillId="0" borderId="2" xfId="0" applyNumberFormat="1" applyFont="1" applyFill="1" applyBorder="1" applyAlignment="1" applyProtection="1">
      <alignment horizontal="center" vertical="center" shrinkToFit="1"/>
      <protection locked="0"/>
    </xf>
    <xf numFmtId="0" fontId="3" fillId="0" borderId="2" xfId="0" applyNumberFormat="1" applyFont="1" applyFill="1" applyBorder="1" applyAlignment="1" applyProtection="1">
      <alignment horizontal="center" vertical="center"/>
      <protection locked="0"/>
    </xf>
    <xf numFmtId="166" fontId="3" fillId="0" borderId="2" xfId="0" applyNumberFormat="1" applyFont="1" applyFill="1" applyBorder="1" applyAlignment="1" applyProtection="1">
      <alignment horizontal="center" vertical="center"/>
      <protection locked="0"/>
    </xf>
    <xf numFmtId="165" fontId="3" fillId="0"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3" fontId="3" fillId="0" borderId="2" xfId="0" applyNumberFormat="1" applyFont="1" applyFill="1" applyBorder="1" applyAlignment="1" applyProtection="1">
      <alignment horizontal="center" vertical="center"/>
      <protection locked="0"/>
    </xf>
    <xf numFmtId="176" fontId="3" fillId="0" borderId="2" xfId="0" applyNumberFormat="1" applyFont="1" applyFill="1" applyBorder="1" applyAlignment="1" applyProtection="1">
      <alignment horizontal="center" vertical="center"/>
      <protection locked="0"/>
    </xf>
    <xf numFmtId="49" fontId="3" fillId="6" borderId="2" xfId="0" applyNumberFormat="1" applyFont="1" applyFill="1" applyBorder="1" applyAlignment="1" applyProtection="1">
      <alignment horizontal="center" vertical="center" wrapText="1"/>
      <protection locked="0"/>
    </xf>
    <xf numFmtId="15" fontId="3" fillId="6" borderId="2" xfId="0" applyNumberFormat="1" applyFont="1" applyFill="1" applyBorder="1" applyAlignment="1" applyProtection="1">
      <alignment horizontal="center" vertical="center"/>
      <protection locked="0"/>
    </xf>
    <xf numFmtId="0" fontId="3" fillId="0" borderId="2" xfId="0" applyFont="1" applyFill="1" applyBorder="1" applyAlignment="1" applyProtection="1">
      <alignment horizontal="center" vertical="center"/>
      <protection locked="0"/>
    </xf>
    <xf numFmtId="49" fontId="3" fillId="0" borderId="2" xfId="0" applyNumberFormat="1" applyFont="1" applyFill="1" applyBorder="1" applyAlignment="1" applyProtection="1">
      <alignment horizontal="center" vertical="center" wrapText="1"/>
      <protection locked="0"/>
    </xf>
    <xf numFmtId="178" fontId="3" fillId="0" borderId="2" xfId="0" applyNumberFormat="1" applyFont="1" applyFill="1" applyBorder="1" applyAlignment="1" applyProtection="1">
      <alignment horizontal="center" vertical="center"/>
      <protection locked="0"/>
    </xf>
    <xf numFmtId="174" fontId="3" fillId="0" borderId="2" xfId="0" applyNumberFormat="1" applyFont="1" applyFill="1" applyBorder="1" applyAlignment="1" applyProtection="1">
      <alignment horizontal="center" vertical="center"/>
      <protection locked="0"/>
    </xf>
    <xf numFmtId="0" fontId="3" fillId="0" borderId="2" xfId="0" applyNumberFormat="1" applyFont="1" applyFill="1" applyBorder="1" applyAlignment="1" applyProtection="1">
      <alignment horizontal="center" vertical="center" wrapText="1"/>
      <protection locked="0"/>
    </xf>
    <xf numFmtId="167" fontId="3" fillId="0" borderId="2" xfId="0" applyNumberFormat="1" applyFont="1" applyFill="1" applyBorder="1" applyAlignment="1" applyProtection="1">
      <alignment horizontal="center" vertical="center"/>
      <protection locked="0"/>
    </xf>
    <xf numFmtId="0" fontId="3" fillId="0" borderId="2" xfId="0" applyFont="1" applyFill="1" applyBorder="1" applyAlignment="1" applyProtection="1">
      <alignment horizontal="center" vertical="center" wrapText="1"/>
      <protection locked="0"/>
    </xf>
    <xf numFmtId="177" fontId="3" fillId="0" borderId="2" xfId="0" applyNumberFormat="1" applyFont="1" applyFill="1" applyBorder="1" applyAlignment="1" applyProtection="1">
      <alignment horizontal="center" vertical="center"/>
      <protection locked="0"/>
    </xf>
    <xf numFmtId="0" fontId="3" fillId="0" borderId="0" xfId="0" applyFont="1" applyFill="1" applyBorder="1" applyAlignment="1" applyProtection="1">
      <alignment vertical="center"/>
      <protection locked="0"/>
    </xf>
    <xf numFmtId="1" fontId="3" fillId="0" borderId="2" xfId="0" applyNumberFormat="1" applyFont="1" applyFill="1" applyBorder="1" applyAlignment="1" applyProtection="1">
      <alignment horizontal="center" vertical="center" wrapText="1"/>
      <protection locked="0"/>
    </xf>
    <xf numFmtId="15" fontId="3" fillId="0" borderId="2" xfId="0" applyNumberFormat="1" applyFont="1" applyFill="1" applyBorder="1" applyAlignment="1" applyProtection="1">
      <alignment horizontal="center" vertical="center"/>
      <protection locked="0"/>
    </xf>
    <xf numFmtId="14" fontId="3" fillId="0" borderId="2" xfId="0" applyNumberFormat="1" applyFont="1" applyFill="1" applyBorder="1" applyAlignment="1" applyProtection="1">
      <alignment vertical="center"/>
      <protection locked="0"/>
    </xf>
    <xf numFmtId="0" fontId="3" fillId="0" borderId="2" xfId="0" applyFont="1" applyFill="1" applyBorder="1" applyAlignment="1" applyProtection="1">
      <alignment vertical="center"/>
      <protection locked="0"/>
    </xf>
    <xf numFmtId="49" fontId="3" fillId="0" borderId="2" xfId="0" applyNumberFormat="1" applyFont="1" applyFill="1" applyBorder="1" applyAlignment="1" applyProtection="1">
      <alignment vertical="center"/>
      <protection locked="0"/>
    </xf>
    <xf numFmtId="0" fontId="3" fillId="0" borderId="2" xfId="0" applyNumberFormat="1" applyFont="1" applyFill="1" applyBorder="1" applyAlignment="1" applyProtection="1">
      <alignment vertical="center"/>
      <protection locked="0"/>
    </xf>
    <xf numFmtId="177" fontId="3" fillId="0" borderId="2" xfId="0" applyNumberFormat="1" applyFont="1" applyFill="1" applyBorder="1" applyAlignment="1" applyProtection="1">
      <alignment vertical="center"/>
      <protection locked="0"/>
    </xf>
    <xf numFmtId="0" fontId="2" fillId="0" borderId="0" xfId="0" applyNumberFormat="1" applyFont="1" applyBorder="1" applyAlignment="1" applyProtection="1">
      <alignment vertical="center"/>
    </xf>
    <xf numFmtId="175" fontId="3" fillId="7" borderId="12" xfId="0" applyNumberFormat="1" applyFont="1" applyFill="1" applyBorder="1" applyAlignment="1" applyProtection="1">
      <alignment horizontal="center" vertical="center" wrapText="1"/>
    </xf>
    <xf numFmtId="49" fontId="3" fillId="7" borderId="12" xfId="0" applyNumberFormat="1" applyFont="1" applyFill="1" applyBorder="1" applyAlignment="1" applyProtection="1">
      <alignment horizontal="center" vertical="center" wrapText="1"/>
    </xf>
    <xf numFmtId="1" fontId="3" fillId="7" borderId="12" xfId="0" applyNumberFormat="1" applyFont="1" applyFill="1" applyBorder="1" applyAlignment="1" applyProtection="1">
      <alignment horizontal="center" vertical="center" wrapText="1"/>
    </xf>
    <xf numFmtId="14" fontId="3" fillId="7" borderId="12" xfId="0" applyNumberFormat="1" applyFont="1" applyFill="1" applyBorder="1" applyAlignment="1" applyProtection="1">
      <alignment horizontal="center" vertical="center" wrapText="1"/>
    </xf>
    <xf numFmtId="0" fontId="3" fillId="7" borderId="12" xfId="0" applyNumberFormat="1" applyFont="1" applyFill="1" applyBorder="1" applyAlignment="1" applyProtection="1">
      <alignment horizontal="center" vertical="center" shrinkToFit="1"/>
    </xf>
    <xf numFmtId="0" fontId="3" fillId="7" borderId="12" xfId="0" applyNumberFormat="1" applyFont="1" applyFill="1" applyBorder="1" applyAlignment="1" applyProtection="1">
      <alignment horizontal="center" vertical="center" wrapText="1"/>
    </xf>
    <xf numFmtId="166" fontId="3" fillId="7" borderId="12" xfId="0" applyNumberFormat="1" applyFont="1" applyFill="1" applyBorder="1" applyAlignment="1" applyProtection="1">
      <alignment horizontal="center" vertical="center" wrapText="1"/>
    </xf>
    <xf numFmtId="165" fontId="3" fillId="4" borderId="12" xfId="0" applyNumberFormat="1" applyFont="1" applyFill="1" applyBorder="1" applyAlignment="1" applyProtection="1">
      <alignment horizontal="center" vertical="center" wrapText="1"/>
    </xf>
    <xf numFmtId="175" fontId="3" fillId="4" borderId="12" xfId="0" applyNumberFormat="1" applyFont="1" applyFill="1" applyBorder="1" applyAlignment="1" applyProtection="1">
      <alignment horizontal="center" vertical="center" wrapText="1"/>
    </xf>
    <xf numFmtId="164" fontId="3" fillId="7" borderId="12" xfId="0" applyNumberFormat="1" applyFont="1" applyFill="1" applyBorder="1" applyAlignment="1" applyProtection="1">
      <alignment horizontal="center" vertical="center" wrapText="1"/>
    </xf>
    <xf numFmtId="165" fontId="3" fillId="7" borderId="12" xfId="0" applyNumberFormat="1" applyFont="1" applyFill="1" applyBorder="1" applyAlignment="1" applyProtection="1">
      <alignment horizontal="center" vertical="center" wrapText="1"/>
    </xf>
    <xf numFmtId="3" fontId="3" fillId="7" borderId="12" xfId="0" applyNumberFormat="1" applyFont="1" applyFill="1" applyBorder="1" applyAlignment="1" applyProtection="1">
      <alignment horizontal="center" vertical="center" wrapText="1"/>
    </xf>
    <xf numFmtId="176" fontId="3" fillId="7" borderId="12" xfId="0" applyNumberFormat="1" applyFont="1" applyFill="1" applyBorder="1" applyAlignment="1" applyProtection="1">
      <alignment horizontal="center" vertical="center" wrapText="1"/>
    </xf>
    <xf numFmtId="49" fontId="3" fillId="4" borderId="12" xfId="0" applyNumberFormat="1" applyFont="1" applyFill="1" applyBorder="1" applyAlignment="1" applyProtection="1">
      <alignment horizontal="center" vertical="center" wrapText="1"/>
    </xf>
    <xf numFmtId="0" fontId="3" fillId="4" borderId="12" xfId="0" applyNumberFormat="1" applyFont="1" applyFill="1" applyBorder="1" applyAlignment="1" applyProtection="1">
      <alignment horizontal="center" vertical="center" wrapText="1"/>
    </xf>
    <xf numFmtId="49" fontId="3" fillId="13" borderId="12" xfId="0" applyNumberFormat="1" applyFont="1" applyFill="1" applyBorder="1" applyAlignment="1" applyProtection="1">
      <alignment horizontal="center" vertical="center" wrapText="1"/>
    </xf>
    <xf numFmtId="0" fontId="3" fillId="13" borderId="12" xfId="0" applyNumberFormat="1" applyFont="1" applyFill="1" applyBorder="1" applyAlignment="1" applyProtection="1">
      <alignment horizontal="center" vertical="center" wrapText="1"/>
    </xf>
    <xf numFmtId="0" fontId="3" fillId="13" borderId="12" xfId="0" applyFont="1" applyFill="1" applyBorder="1" applyAlignment="1" applyProtection="1">
      <alignment horizontal="center" vertical="center" wrapText="1"/>
    </xf>
    <xf numFmtId="0" fontId="3" fillId="9" borderId="12" xfId="0" applyFont="1" applyFill="1" applyBorder="1" applyAlignment="1" applyProtection="1">
      <alignment horizontal="center" vertical="center" wrapText="1"/>
    </xf>
    <xf numFmtId="0" fontId="3" fillId="12" borderId="12" xfId="0" applyFont="1" applyFill="1" applyBorder="1" applyAlignment="1" applyProtection="1">
      <alignment horizontal="center" vertical="center" wrapText="1"/>
    </xf>
    <xf numFmtId="177" fontId="3" fillId="12" borderId="12" xfId="0" applyNumberFormat="1" applyFont="1" applyFill="1" applyBorder="1" applyAlignment="1" applyProtection="1">
      <alignment horizontal="center" vertical="center" wrapText="1"/>
    </xf>
    <xf numFmtId="0" fontId="5" fillId="0" borderId="57" xfId="0" applyNumberFormat="1" applyFont="1" applyFill="1" applyBorder="1" applyAlignment="1" applyProtection="1">
      <alignment horizontal="center" vertical="center"/>
    </xf>
    <xf numFmtId="0" fontId="20" fillId="0" borderId="0" xfId="0" applyFont="1" applyProtection="1">
      <protection locked="0"/>
    </xf>
    <xf numFmtId="0" fontId="0" fillId="0" borderId="0" xfId="0" applyProtection="1">
      <protection locked="0"/>
    </xf>
    <xf numFmtId="0" fontId="2" fillId="0" borderId="49" xfId="0" applyFont="1" applyBorder="1" applyAlignment="1" applyProtection="1">
      <alignment horizontal="left"/>
      <protection locked="0"/>
    </xf>
    <xf numFmtId="0" fontId="2" fillId="0" borderId="0" xfId="0" applyFont="1" applyProtection="1">
      <protection locked="0"/>
    </xf>
    <xf numFmtId="0" fontId="2" fillId="0" borderId="44" xfId="0" applyFont="1" applyBorder="1" applyAlignment="1" applyProtection="1">
      <alignment horizontal="left"/>
      <protection locked="0"/>
    </xf>
    <xf numFmtId="0" fontId="20" fillId="0" borderId="0" xfId="0" applyFont="1" applyFill="1" applyBorder="1" applyProtection="1">
      <protection locked="0"/>
    </xf>
    <xf numFmtId="0" fontId="22" fillId="0" borderId="0" xfId="0" applyFont="1" applyAlignment="1" applyProtection="1">
      <alignment horizontal="left" vertical="top"/>
      <protection locked="0"/>
    </xf>
    <xf numFmtId="2" fontId="0" fillId="0" borderId="44" xfId="0" applyNumberFormat="1" applyBorder="1" applyAlignment="1" applyProtection="1">
      <alignment horizontal="left"/>
      <protection locked="0"/>
    </xf>
    <xf numFmtId="0" fontId="2" fillId="0" borderId="45" xfId="0" applyFont="1" applyBorder="1" applyAlignment="1" applyProtection="1">
      <alignment horizontal="left"/>
      <protection locked="0"/>
    </xf>
    <xf numFmtId="0" fontId="20" fillId="0" borderId="0" xfId="0" applyFont="1" applyBorder="1" applyProtection="1">
      <protection locked="0"/>
    </xf>
    <xf numFmtId="0" fontId="0" fillId="0" borderId="0" xfId="0" applyBorder="1" applyProtection="1">
      <protection locked="0"/>
    </xf>
    <xf numFmtId="0" fontId="0" fillId="0" borderId="0" xfId="0" applyFill="1" applyProtection="1">
      <protection locked="0"/>
    </xf>
    <xf numFmtId="10" fontId="19" fillId="26" borderId="13" xfId="1" applyNumberFormat="1" applyFont="1" applyFill="1" applyBorder="1" applyProtection="1">
      <protection locked="0"/>
    </xf>
    <xf numFmtId="49" fontId="31" fillId="0" borderId="0" xfId="1" applyNumberFormat="1" applyFont="1" applyAlignment="1" applyProtection="1">
      <alignment horizontal="left"/>
      <protection locked="0"/>
    </xf>
    <xf numFmtId="49" fontId="20" fillId="0" borderId="0" xfId="1" applyNumberFormat="1" applyFont="1" applyProtection="1">
      <protection locked="0"/>
    </xf>
    <xf numFmtId="49" fontId="23" fillId="0" borderId="0" xfId="1" applyNumberFormat="1" applyAlignment="1" applyProtection="1">
      <alignment horizontal="left"/>
      <protection locked="0"/>
    </xf>
    <xf numFmtId="49" fontId="0" fillId="0" borderId="0" xfId="0" applyNumberFormat="1" applyAlignment="1" applyProtection="1">
      <alignment horizontal="left"/>
      <protection locked="0"/>
    </xf>
    <xf numFmtId="0" fontId="18" fillId="0" borderId="0" xfId="1" applyFont="1" applyProtection="1">
      <protection locked="0"/>
    </xf>
    <xf numFmtId="0" fontId="23" fillId="0" borderId="0" xfId="1" applyProtection="1">
      <protection locked="0"/>
    </xf>
    <xf numFmtId="49" fontId="20" fillId="0" borderId="0" xfId="0" applyNumberFormat="1" applyFont="1" applyProtection="1">
      <protection locked="0"/>
    </xf>
    <xf numFmtId="0" fontId="0" fillId="25" borderId="33" xfId="0" applyFill="1" applyBorder="1" applyProtection="1"/>
    <xf numFmtId="0" fontId="20" fillId="25" borderId="33" xfId="0" applyFont="1" applyFill="1" applyBorder="1" applyProtection="1"/>
    <xf numFmtId="0" fontId="2" fillId="25" borderId="57" xfId="0" applyFont="1" applyFill="1" applyBorder="1" applyAlignment="1" applyProtection="1">
      <alignment horizontal="right"/>
    </xf>
    <xf numFmtId="0" fontId="0" fillId="25" borderId="0" xfId="0" applyFill="1" applyBorder="1" applyProtection="1"/>
    <xf numFmtId="0" fontId="20" fillId="25" borderId="0" xfId="0" applyFont="1" applyFill="1" applyBorder="1" applyProtection="1"/>
    <xf numFmtId="0" fontId="0" fillId="25" borderId="64" xfId="0" applyFill="1" applyBorder="1" applyProtection="1"/>
    <xf numFmtId="0" fontId="0" fillId="25" borderId="47" xfId="0" applyFill="1" applyBorder="1" applyProtection="1"/>
    <xf numFmtId="0" fontId="20" fillId="25" borderId="47" xfId="0" applyFont="1" applyFill="1" applyBorder="1" applyProtection="1"/>
    <xf numFmtId="0" fontId="2" fillId="25" borderId="65" xfId="0" quotePrefix="1" applyFont="1" applyFill="1" applyBorder="1" applyAlignment="1" applyProtection="1">
      <alignment horizontal="right"/>
    </xf>
    <xf numFmtId="0" fontId="20" fillId="0" borderId="46" xfId="1" applyFont="1" applyBorder="1" applyProtection="1"/>
    <xf numFmtId="0" fontId="21" fillId="0" borderId="46" xfId="1" applyFont="1" applyBorder="1" applyProtection="1"/>
    <xf numFmtId="0" fontId="0" fillId="25" borderId="54" xfId="0" applyFill="1" applyBorder="1" applyProtection="1"/>
    <xf numFmtId="0" fontId="18" fillId="26" borderId="12" xfId="1" applyFont="1" applyFill="1" applyBorder="1" applyAlignment="1" applyProtection="1">
      <alignment horizontal="center"/>
    </xf>
    <xf numFmtId="0" fontId="0" fillId="25" borderId="36" xfId="0" applyFill="1" applyBorder="1" applyProtection="1"/>
    <xf numFmtId="0" fontId="0" fillId="19" borderId="54" xfId="0" applyFill="1" applyBorder="1" applyProtection="1"/>
    <xf numFmtId="0" fontId="5" fillId="0" borderId="11" xfId="0" applyFont="1" applyFill="1" applyBorder="1" applyAlignment="1" applyProtection="1"/>
    <xf numFmtId="0" fontId="5" fillId="32" borderId="50" xfId="0" applyFont="1" applyFill="1" applyBorder="1" applyAlignment="1" applyProtection="1">
      <alignment horizontal="left"/>
    </xf>
    <xf numFmtId="0" fontId="20" fillId="19" borderId="64" xfId="0" applyFont="1" applyFill="1" applyBorder="1" applyProtection="1"/>
    <xf numFmtId="0" fontId="0" fillId="19" borderId="36" xfId="0" applyFill="1" applyBorder="1" applyProtection="1"/>
    <xf numFmtId="0" fontId="0" fillId="19" borderId="47" xfId="0" applyFill="1" applyBorder="1" applyProtection="1"/>
    <xf numFmtId="0" fontId="20" fillId="19" borderId="65" xfId="0" applyFont="1" applyFill="1" applyBorder="1" applyProtection="1"/>
    <xf numFmtId="0" fontId="2" fillId="0" borderId="6" xfId="0" applyFont="1" applyFill="1" applyBorder="1" applyAlignment="1" applyProtection="1"/>
    <xf numFmtId="0" fontId="2" fillId="0" borderId="9" xfId="0" applyFont="1" applyFill="1" applyBorder="1" applyAlignment="1" applyProtection="1"/>
    <xf numFmtId="0" fontId="0" fillId="19" borderId="0" xfId="0" applyFill="1" applyBorder="1" applyProtection="1"/>
    <xf numFmtId="0" fontId="2" fillId="0" borderId="7" xfId="0" applyFont="1" applyFill="1" applyBorder="1" applyAlignment="1" applyProtection="1"/>
    <xf numFmtId="14" fontId="2" fillId="0" borderId="7" xfId="0" applyNumberFormat="1" applyFont="1" applyFill="1" applyBorder="1" applyAlignment="1" applyProtection="1"/>
    <xf numFmtId="0" fontId="11" fillId="31" borderId="12" xfId="0" applyFont="1" applyFill="1" applyBorder="1" applyAlignment="1" applyProtection="1">
      <alignment horizontal="center"/>
    </xf>
    <xf numFmtId="0" fontId="2" fillId="31" borderId="5" xfId="0" applyFont="1" applyFill="1" applyBorder="1" applyProtection="1"/>
    <xf numFmtId="0" fontId="0" fillId="31" borderId="5" xfId="0" applyFill="1" applyBorder="1" applyProtection="1"/>
    <xf numFmtId="0" fontId="3" fillId="31" borderId="5" xfId="0" applyFont="1" applyFill="1" applyBorder="1" applyAlignment="1" applyProtection="1">
      <alignment horizontal="left" vertical="top"/>
    </xf>
    <xf numFmtId="0" fontId="3" fillId="31" borderId="13" xfId="0" applyFont="1" applyFill="1" applyBorder="1" applyAlignment="1" applyProtection="1">
      <alignment horizontal="left" vertical="top"/>
    </xf>
    <xf numFmtId="0" fontId="18" fillId="0" borderId="37" xfId="1" applyFont="1" applyBorder="1" applyAlignment="1" applyProtection="1">
      <alignment horizontal="center"/>
    </xf>
    <xf numFmtId="0" fontId="18" fillId="0" borderId="59" xfId="1" applyFont="1" applyBorder="1" applyAlignment="1" applyProtection="1">
      <alignment horizontal="center"/>
    </xf>
    <xf numFmtId="49" fontId="0" fillId="0" borderId="0" xfId="0" applyNumberFormat="1" applyAlignment="1" applyProtection="1">
      <alignment horizontal="center"/>
      <protection locked="0"/>
    </xf>
    <xf numFmtId="175" fontId="5" fillId="0" borderId="2" xfId="2" applyNumberFormat="1" applyFont="1" applyFill="1" applyBorder="1" applyAlignment="1" applyProtection="1">
      <alignment horizontal="center"/>
    </xf>
    <xf numFmtId="49" fontId="2" fillId="0" borderId="0" xfId="2" applyNumberFormat="1" applyFont="1" applyFill="1" applyBorder="1" applyAlignment="1" applyProtection="1">
      <alignment horizontal="center"/>
      <protection locked="0"/>
    </xf>
    <xf numFmtId="0" fontId="5" fillId="18" borderId="0" xfId="0" applyNumberFormat="1" applyFont="1" applyFill="1" applyBorder="1" applyAlignment="1" applyProtection="1">
      <alignment horizontal="right" vertical="center"/>
      <protection locked="0"/>
    </xf>
    <xf numFmtId="0" fontId="5" fillId="0" borderId="33" xfId="0" applyNumberFormat="1" applyFont="1" applyFill="1" applyBorder="1" applyAlignment="1" applyProtection="1">
      <alignment horizontal="center" vertical="center"/>
      <protection locked="0"/>
    </xf>
    <xf numFmtId="0" fontId="5" fillId="0" borderId="57" xfId="0" applyNumberFormat="1"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wrapText="1"/>
    </xf>
    <xf numFmtId="179" fontId="34" fillId="0" borderId="78" xfId="2" applyNumberFormat="1" applyFont="1" applyBorder="1" applyAlignment="1" applyProtection="1">
      <alignment horizontal="center" vertical="center" wrapText="1"/>
      <protection locked="0"/>
    </xf>
    <xf numFmtId="179" fontId="34" fillId="0" borderId="89" xfId="2" applyNumberFormat="1" applyFont="1" applyBorder="1" applyAlignment="1" applyProtection="1">
      <alignment horizontal="center" vertical="center" wrapText="1"/>
      <protection locked="0"/>
    </xf>
    <xf numFmtId="179" fontId="34" fillId="19" borderId="78" xfId="2" applyNumberFormat="1" applyFont="1" applyFill="1" applyBorder="1" applyAlignment="1" applyProtection="1">
      <alignment horizontal="center" vertical="center" wrapText="1"/>
      <protection locked="0"/>
    </xf>
    <xf numFmtId="179" fontId="34" fillId="19" borderId="90" xfId="2" applyNumberFormat="1" applyFont="1" applyFill="1" applyBorder="1" applyAlignment="1" applyProtection="1">
      <alignment horizontal="center" vertical="center" wrapText="1"/>
      <protection locked="0"/>
    </xf>
    <xf numFmtId="179" fontId="34" fillId="19" borderId="29" xfId="2" applyNumberFormat="1" applyFont="1" applyFill="1" applyBorder="1" applyAlignment="1" applyProtection="1">
      <alignment horizontal="center" vertical="center" wrapText="1"/>
      <protection locked="0"/>
    </xf>
    <xf numFmtId="179" fontId="34" fillId="0" borderId="78" xfId="2" applyNumberFormat="1" applyFont="1" applyFill="1" applyBorder="1" applyAlignment="1" applyProtection="1">
      <alignment horizontal="center" vertical="center" wrapText="1"/>
      <protection locked="0"/>
    </xf>
    <xf numFmtId="179" fontId="34" fillId="0" borderId="89" xfId="2" applyNumberFormat="1" applyFont="1" applyFill="1" applyBorder="1" applyAlignment="1" applyProtection="1">
      <alignment horizontal="center" vertical="center" wrapText="1"/>
      <protection locked="0"/>
    </xf>
    <xf numFmtId="0" fontId="2" fillId="33" borderId="72" xfId="2" applyFont="1" applyFill="1" applyBorder="1" applyAlignment="1" applyProtection="1"/>
    <xf numFmtId="0" fontId="2" fillId="33" borderId="84" xfId="2" applyFont="1" applyFill="1" applyBorder="1" applyAlignment="1" applyProtection="1"/>
    <xf numFmtId="0" fontId="2" fillId="26" borderId="0" xfId="2" applyFill="1" applyProtection="1">
      <protection locked="0"/>
    </xf>
    <xf numFmtId="0" fontId="5" fillId="26" borderId="0" xfId="2" applyFont="1" applyFill="1" applyAlignment="1" applyProtection="1">
      <alignment vertical="center"/>
    </xf>
    <xf numFmtId="0" fontId="5" fillId="26" borderId="0" xfId="2" applyFont="1" applyFill="1" applyAlignment="1" applyProtection="1">
      <alignment horizontal="right" vertical="center"/>
    </xf>
    <xf numFmtId="0" fontId="3" fillId="0" borderId="0" xfId="2" applyFont="1" applyAlignment="1" applyProtection="1">
      <alignment horizontal="right"/>
    </xf>
    <xf numFmtId="0" fontId="2" fillId="26" borderId="0" xfId="2" applyFill="1" applyProtection="1"/>
    <xf numFmtId="0" fontId="2" fillId="33" borderId="82" xfId="0" applyNumberFormat="1" applyFont="1" applyFill="1" applyBorder="1" applyAlignment="1" applyProtection="1"/>
    <xf numFmtId="0" fontId="2" fillId="0" borderId="0" xfId="2" applyProtection="1"/>
    <xf numFmtId="0" fontId="2" fillId="0" borderId="2" xfId="0" applyFont="1" applyBorder="1" applyAlignment="1">
      <alignment wrapText="1"/>
    </xf>
    <xf numFmtId="38" fontId="2" fillId="0" borderId="2" xfId="3" applyFont="1" applyFill="1" applyBorder="1" applyAlignment="1">
      <alignment horizontal="left" vertical="center" wrapText="1"/>
    </xf>
    <xf numFmtId="0" fontId="40" fillId="35" borderId="88" xfId="0" applyFont="1" applyFill="1" applyBorder="1" applyAlignment="1">
      <alignment horizontal="center" vertical="center" wrapText="1"/>
    </xf>
    <xf numFmtId="0" fontId="40" fillId="35" borderId="50" xfId="0" applyFont="1" applyFill="1" applyBorder="1" applyAlignment="1">
      <alignment horizontal="center" vertical="center" wrapText="1"/>
    </xf>
    <xf numFmtId="0" fontId="40" fillId="0" borderId="90" xfId="0" applyFont="1" applyBorder="1" applyAlignment="1">
      <alignment horizontal="center" vertical="center" wrapText="1"/>
    </xf>
    <xf numFmtId="2" fontId="40" fillId="0" borderId="78" xfId="0" applyNumberFormat="1" applyFont="1" applyBorder="1" applyAlignment="1">
      <alignment horizontal="center" vertical="center" wrapText="1"/>
    </xf>
    <xf numFmtId="0" fontId="2" fillId="0" borderId="2" xfId="0" applyFont="1" applyBorder="1" applyAlignment="1">
      <alignment wrapText="1"/>
    </xf>
    <xf numFmtId="0" fontId="2" fillId="0" borderId="2" xfId="0" applyFont="1" applyBorder="1" applyAlignment="1">
      <alignment wrapText="1"/>
    </xf>
    <xf numFmtId="38" fontId="2" fillId="0" borderId="2" xfId="3" applyFont="1" applyFill="1" applyBorder="1" applyAlignment="1">
      <alignment horizontal="left" vertical="center" wrapText="1"/>
    </xf>
    <xf numFmtId="0" fontId="2" fillId="0" borderId="0" xfId="0" applyFont="1" applyAlignment="1"/>
    <xf numFmtId="0" fontId="0" fillId="0" borderId="2" xfId="0" applyBorder="1" applyAlignment="1">
      <alignment wrapText="1"/>
    </xf>
    <xf numFmtId="0" fontId="2" fillId="0" borderId="2" xfId="0" applyFont="1" applyBorder="1" applyAlignment="1">
      <alignment wrapText="1"/>
    </xf>
    <xf numFmtId="49" fontId="0" fillId="36" borderId="5" xfId="0" applyNumberFormat="1" applyFill="1" applyBorder="1" applyAlignment="1" applyProtection="1">
      <alignment horizontal="left"/>
      <protection locked="0"/>
    </xf>
    <xf numFmtId="0" fontId="0" fillId="36" borderId="5" xfId="0" applyFill="1" applyBorder="1" applyProtection="1">
      <protection locked="0"/>
    </xf>
    <xf numFmtId="0" fontId="0" fillId="36" borderId="13" xfId="0" applyFill="1" applyBorder="1" applyProtection="1">
      <protection locked="0"/>
    </xf>
    <xf numFmtId="0" fontId="11" fillId="36" borderId="12" xfId="0" applyFont="1" applyFill="1" applyBorder="1" applyAlignment="1" applyProtection="1">
      <alignment horizontal="center"/>
      <protection locked="0"/>
    </xf>
    <xf numFmtId="49" fontId="3" fillId="10" borderId="12" xfId="0" applyNumberFormat="1" applyFont="1" applyFill="1" applyBorder="1" applyAlignment="1" applyProtection="1">
      <alignment horizontal="center" vertical="center" wrapText="1"/>
    </xf>
    <xf numFmtId="49" fontId="3" fillId="8" borderId="12" xfId="0" applyNumberFormat="1" applyFont="1" applyFill="1" applyBorder="1" applyAlignment="1" applyProtection="1">
      <alignment horizontal="center" vertical="center" wrapText="1"/>
    </xf>
    <xf numFmtId="0" fontId="40" fillId="26" borderId="0" xfId="0" applyFont="1" applyFill="1" applyAlignment="1">
      <alignment vertical="top"/>
    </xf>
    <xf numFmtId="0" fontId="32" fillId="26" borderId="0" xfId="0" applyFont="1" applyFill="1" applyAlignment="1">
      <alignment vertical="center" wrapText="1"/>
    </xf>
    <xf numFmtId="0" fontId="36" fillId="26" borderId="0" xfId="0" applyFont="1" applyFill="1" applyAlignment="1">
      <alignment vertical="center" wrapText="1"/>
    </xf>
    <xf numFmtId="0" fontId="36" fillId="26" borderId="0" xfId="0" applyFont="1" applyFill="1" applyAlignment="1">
      <alignment horizontal="right" vertical="top"/>
    </xf>
    <xf numFmtId="0" fontId="35" fillId="0" borderId="80" xfId="0" applyFont="1" applyBorder="1" applyAlignment="1">
      <alignment horizontal="left" vertical="center" wrapText="1" indent="1"/>
    </xf>
    <xf numFmtId="0" fontId="35" fillId="0" borderId="72" xfId="0" applyFont="1" applyBorder="1" applyAlignment="1">
      <alignment horizontal="left" vertical="center" wrapText="1" indent="1"/>
    </xf>
    <xf numFmtId="0" fontId="33" fillId="19" borderId="88" xfId="0" applyFont="1" applyFill="1" applyBorder="1" applyAlignment="1">
      <alignment vertical="center" wrapText="1"/>
    </xf>
    <xf numFmtId="0" fontId="35" fillId="0" borderId="74" xfId="0" applyFont="1" applyBorder="1" applyAlignment="1">
      <alignment horizontal="left" vertical="center" wrapText="1" indent="1"/>
    </xf>
    <xf numFmtId="0" fontId="35" fillId="0" borderId="84" xfId="0" applyFont="1" applyBorder="1" applyAlignment="1">
      <alignment horizontal="left" vertical="center" wrapText="1" indent="1"/>
    </xf>
    <xf numFmtId="0" fontId="0" fillId="0" borderId="91" xfId="0" applyBorder="1" applyAlignment="1">
      <alignment wrapText="1"/>
    </xf>
    <xf numFmtId="0" fontId="0" fillId="0" borderId="92" xfId="0" applyBorder="1" applyAlignment="1">
      <alignment wrapText="1"/>
    </xf>
    <xf numFmtId="0" fontId="0" fillId="0" borderId="93" xfId="0" applyBorder="1" applyAlignment="1">
      <alignment wrapText="1"/>
    </xf>
    <xf numFmtId="0" fontId="0" fillId="0" borderId="93" xfId="0" applyBorder="1" applyAlignment="1">
      <alignment horizontal="center" wrapText="1"/>
    </xf>
    <xf numFmtId="0" fontId="0" fillId="0" borderId="5" xfId="0" applyBorder="1" applyAlignment="1">
      <alignment horizontal="center" wrapText="1"/>
    </xf>
    <xf numFmtId="49" fontId="2" fillId="0" borderId="12" xfId="0" applyNumberFormat="1" applyFont="1" applyBorder="1" applyAlignment="1">
      <alignment horizontal="center" vertical="center" wrapText="1"/>
    </xf>
    <xf numFmtId="0" fontId="0" fillId="0" borderId="73" xfId="0" applyBorder="1" applyAlignment="1">
      <alignment wrapText="1"/>
    </xf>
    <xf numFmtId="0" fontId="6" fillId="0" borderId="94" xfId="0" applyFont="1" applyBorder="1" applyAlignment="1">
      <alignment horizontal="left"/>
    </xf>
    <xf numFmtId="0" fontId="2" fillId="0" borderId="69" xfId="0" applyFont="1" applyBorder="1" applyAlignment="1">
      <alignment horizontal="center" vertical="center" wrapText="1"/>
    </xf>
    <xf numFmtId="0" fontId="0" fillId="0" borderId="73" xfId="0" applyBorder="1" applyAlignment="1">
      <alignment horizontal="center" vertical="center"/>
    </xf>
    <xf numFmtId="0" fontId="0" fillId="0" borderId="73" xfId="0" applyBorder="1"/>
    <xf numFmtId="1" fontId="6" fillId="8" borderId="12" xfId="0" applyNumberFormat="1" applyFont="1" applyFill="1" applyBorder="1" applyAlignment="1">
      <alignment horizontal="left" vertical="center" wrapText="1"/>
    </xf>
    <xf numFmtId="1" fontId="2" fillId="0" borderId="38" xfId="0" applyNumberFormat="1" applyFont="1" applyFill="1" applyBorder="1" applyAlignment="1">
      <alignment horizontal="center" vertical="center" wrapText="1"/>
    </xf>
    <xf numFmtId="0" fontId="0" fillId="0" borderId="95" xfId="0" applyBorder="1" applyAlignment="1">
      <alignment wrapText="1"/>
    </xf>
    <xf numFmtId="1" fontId="6" fillId="8" borderId="69" xfId="0" applyNumberFormat="1" applyFont="1" applyFill="1" applyBorder="1" applyAlignment="1">
      <alignment horizontal="left" vertical="center" wrapText="1"/>
    </xf>
    <xf numFmtId="1" fontId="2" fillId="0" borderId="70" xfId="0" applyNumberFormat="1" applyFont="1" applyFill="1" applyBorder="1" applyAlignment="1">
      <alignment horizontal="center" vertical="center" wrapText="1"/>
    </xf>
    <xf numFmtId="0" fontId="2" fillId="0" borderId="69" xfId="0" applyFont="1" applyBorder="1" applyAlignment="1">
      <alignment wrapText="1"/>
    </xf>
    <xf numFmtId="0" fontId="0" fillId="0" borderId="71" xfId="0" applyBorder="1" applyAlignment="1">
      <alignment horizontal="center" vertical="center"/>
    </xf>
    <xf numFmtId="38" fontId="2" fillId="0" borderId="2" xfId="3" applyFont="1" applyFill="1" applyBorder="1" applyAlignment="1">
      <alignment horizontal="left" vertical="center" wrapText="1"/>
    </xf>
    <xf numFmtId="0" fontId="2" fillId="0" borderId="2" xfId="0" quotePrefix="1" applyNumberFormat="1" applyFont="1" applyBorder="1" applyAlignment="1">
      <alignment horizontal="center" vertical="center"/>
    </xf>
    <xf numFmtId="38" fontId="2" fillId="0" borderId="2" xfId="3" applyFont="1" applyFill="1" applyBorder="1" applyAlignment="1">
      <alignment horizontal="left" vertical="center"/>
    </xf>
    <xf numFmtId="0" fontId="3" fillId="37" borderId="2" xfId="0" applyFont="1" applyFill="1" applyBorder="1" applyAlignment="1">
      <alignment horizontal="center" vertical="center" wrapText="1"/>
    </xf>
    <xf numFmtId="175" fontId="17" fillId="38" borderId="2" xfId="0" applyNumberFormat="1" applyFont="1" applyFill="1" applyBorder="1" applyAlignment="1">
      <alignment horizontal="center" vertical="center" wrapText="1"/>
    </xf>
    <xf numFmtId="49" fontId="3" fillId="37" borderId="2" xfId="0" applyNumberFormat="1" applyFont="1" applyFill="1" applyBorder="1" applyAlignment="1">
      <alignment horizontal="center" vertical="center" wrapText="1"/>
    </xf>
    <xf numFmtId="1" fontId="43" fillId="0" borderId="2" xfId="0" applyNumberFormat="1" applyFont="1" applyFill="1" applyBorder="1" applyAlignment="1">
      <alignment horizontal="center"/>
    </xf>
    <xf numFmtId="1" fontId="3" fillId="0" borderId="2" xfId="0" applyNumberFormat="1" applyFont="1" applyFill="1" applyBorder="1" applyAlignment="1">
      <alignment horizontal="center"/>
    </xf>
    <xf numFmtId="3" fontId="3" fillId="0" borderId="2" xfId="0" applyNumberFormat="1" applyFont="1" applyFill="1" applyBorder="1" applyAlignment="1">
      <alignment horizontal="center"/>
    </xf>
    <xf numFmtId="165" fontId="43" fillId="0" borderId="2" xfId="0" applyNumberFormat="1" applyFont="1" applyFill="1" applyBorder="1" applyAlignment="1">
      <alignment horizontal="center"/>
    </xf>
    <xf numFmtId="165" fontId="3" fillId="0" borderId="2" xfId="0" applyNumberFormat="1" applyFont="1" applyFill="1" applyBorder="1" applyAlignment="1">
      <alignment horizontal="center"/>
    </xf>
    <xf numFmtId="164" fontId="3" fillId="0" borderId="2" xfId="0" applyNumberFormat="1" applyFont="1" applyFill="1" applyBorder="1" applyAlignment="1">
      <alignment horizontal="center"/>
    </xf>
    <xf numFmtId="2" fontId="3" fillId="0" borderId="2" xfId="0" applyNumberFormat="1" applyFont="1" applyFill="1" applyBorder="1" applyAlignment="1">
      <alignment horizontal="center" wrapText="1"/>
    </xf>
    <xf numFmtId="166" fontId="3" fillId="0" borderId="2" xfId="0" applyNumberFormat="1" applyFont="1" applyFill="1" applyBorder="1" applyAlignment="1">
      <alignment horizontal="center"/>
    </xf>
    <xf numFmtId="2" fontId="3" fillId="0" borderId="2" xfId="0" applyNumberFormat="1" applyFont="1" applyFill="1" applyBorder="1" applyAlignment="1">
      <alignment horizontal="center"/>
    </xf>
    <xf numFmtId="180" fontId="3" fillId="0" borderId="2" xfId="0" applyNumberFormat="1" applyFont="1" applyFill="1" applyBorder="1" applyAlignment="1">
      <alignment horizontal="center"/>
    </xf>
    <xf numFmtId="166" fontId="43" fillId="0" borderId="2" xfId="0" applyNumberFormat="1" applyFont="1" applyFill="1" applyBorder="1" applyAlignment="1">
      <alignment horizontal="center"/>
    </xf>
    <xf numFmtId="0" fontId="3" fillId="0" borderId="2" xfId="0" applyFont="1" applyFill="1" applyBorder="1" applyAlignment="1">
      <alignment horizontal="center"/>
    </xf>
    <xf numFmtId="167" fontId="3" fillId="0" borderId="2" xfId="0" applyNumberFormat="1" applyFont="1" applyFill="1" applyBorder="1" applyAlignment="1">
      <alignment horizontal="center"/>
    </xf>
    <xf numFmtId="177" fontId="3" fillId="0" borderId="2" xfId="0" applyNumberFormat="1" applyFont="1" applyFill="1" applyBorder="1" applyAlignment="1">
      <alignment horizontal="center"/>
    </xf>
    <xf numFmtId="0" fontId="44" fillId="0" borderId="2" xfId="0" applyFont="1" applyFill="1" applyBorder="1" applyAlignment="1">
      <alignment horizontal="center" wrapText="1"/>
    </xf>
    <xf numFmtId="0" fontId="44" fillId="0" borderId="2" xfId="0" applyFont="1" applyFill="1" applyBorder="1" applyAlignment="1">
      <alignment horizontal="center"/>
    </xf>
    <xf numFmtId="49" fontId="44" fillId="0" borderId="2" xfId="0" applyNumberFormat="1" applyFont="1" applyFill="1" applyBorder="1" applyAlignment="1">
      <alignment horizontal="center"/>
    </xf>
    <xf numFmtId="0" fontId="2" fillId="0" borderId="0" xfId="2"/>
    <xf numFmtId="0" fontId="23" fillId="0" borderId="0" xfId="2" applyFont="1" applyFill="1"/>
    <xf numFmtId="0" fontId="2" fillId="0" borderId="0" xfId="2" applyFont="1"/>
    <xf numFmtId="0" fontId="45" fillId="0" borderId="0" xfId="2" applyFont="1"/>
    <xf numFmtId="0" fontId="1" fillId="0" borderId="0" xfId="2" applyFont="1"/>
    <xf numFmtId="0" fontId="46" fillId="0" borderId="0" xfId="2" applyFont="1" applyAlignment="1">
      <alignment vertical="center"/>
    </xf>
    <xf numFmtId="14" fontId="2" fillId="0" borderId="0" xfId="2" applyNumberFormat="1"/>
    <xf numFmtId="38" fontId="9" fillId="0" borderId="2" xfId="3" applyFont="1" applyFill="1" applyBorder="1" applyAlignment="1" applyProtection="1">
      <alignment horizontal="left" vertical="center" wrapText="1" indent="1"/>
      <protection locked="0" hidden="1"/>
    </xf>
    <xf numFmtId="0" fontId="2" fillId="0" borderId="0" xfId="2" applyAlignment="1">
      <alignment wrapText="1"/>
    </xf>
    <xf numFmtId="38" fontId="2" fillId="0" borderId="5" xfId="3" applyFont="1" applyFill="1" applyBorder="1" applyAlignment="1" applyProtection="1">
      <alignment horizontal="left" vertical="center" indent="1"/>
      <protection locked="0" hidden="1"/>
    </xf>
    <xf numFmtId="0" fontId="2" fillId="24" borderId="0" xfId="2" applyFill="1"/>
    <xf numFmtId="3" fontId="2" fillId="0" borderId="2" xfId="5" applyNumberFormat="1" applyFont="1" applyFill="1" applyBorder="1" applyAlignment="1">
      <alignment horizontal="center" vertical="center" wrapText="1"/>
    </xf>
    <xf numFmtId="38" fontId="2" fillId="0" borderId="5" xfId="3" applyFont="1" applyFill="1" applyBorder="1" applyAlignment="1" applyProtection="1">
      <alignment horizontal="left" vertical="center" wrapText="1" indent="1"/>
      <protection locked="0" hidden="1"/>
    </xf>
    <xf numFmtId="0" fontId="5" fillId="0" borderId="0" xfId="2" applyFont="1" applyAlignment="1">
      <alignment horizontal="center"/>
    </xf>
    <xf numFmtId="14" fontId="2" fillId="0" borderId="0" xfId="2" applyNumberFormat="1" applyFont="1"/>
    <xf numFmtId="1" fontId="2" fillId="0" borderId="0" xfId="2" applyNumberFormat="1" applyAlignment="1">
      <alignment horizontal="center"/>
    </xf>
    <xf numFmtId="0" fontId="2" fillId="0" borderId="0" xfId="2" applyAlignment="1">
      <alignment horizontal="center"/>
    </xf>
    <xf numFmtId="0" fontId="2" fillId="0" borderId="0" xfId="2" applyFont="1" applyAlignment="1">
      <alignment horizontal="center"/>
    </xf>
    <xf numFmtId="0" fontId="62" fillId="16" borderId="0" xfId="2" applyFont="1" applyFill="1" applyAlignment="1">
      <alignment vertical="top"/>
    </xf>
    <xf numFmtId="0" fontId="62" fillId="16" borderId="0" xfId="2" applyFont="1" applyFill="1"/>
    <xf numFmtId="0" fontId="62" fillId="16" borderId="104" xfId="2" applyFont="1" applyFill="1" applyBorder="1" applyAlignment="1">
      <alignment vertical="top"/>
    </xf>
    <xf numFmtId="0" fontId="63" fillId="16" borderId="0" xfId="2" applyFont="1" applyFill="1" applyAlignment="1">
      <alignment vertical="top"/>
    </xf>
    <xf numFmtId="0" fontId="64" fillId="16" borderId="0" xfId="2" applyFont="1" applyFill="1" applyAlignment="1">
      <alignment vertical="top"/>
    </xf>
    <xf numFmtId="49" fontId="63" fillId="16" borderId="0" xfId="2" applyNumberFormat="1" applyFont="1" applyFill="1" applyAlignment="1">
      <alignment vertical="top"/>
    </xf>
    <xf numFmtId="0" fontId="63" fillId="16" borderId="0" xfId="2" applyFont="1" applyFill="1" applyAlignment="1">
      <alignment horizontal="right" vertical="top"/>
    </xf>
    <xf numFmtId="0" fontId="62" fillId="16" borderId="87" xfId="2" applyFont="1" applyFill="1" applyBorder="1" applyAlignment="1">
      <alignment vertical="top"/>
    </xf>
    <xf numFmtId="0" fontId="62" fillId="0" borderId="0" xfId="2" applyFont="1" applyAlignment="1">
      <alignment vertical="top"/>
    </xf>
    <xf numFmtId="0" fontId="62" fillId="0" borderId="0" xfId="2" applyFont="1"/>
    <xf numFmtId="0" fontId="65" fillId="10" borderId="2" xfId="5" applyFont="1" applyFill="1" applyBorder="1" applyAlignment="1">
      <alignment horizontal="centerContinuous" vertical="center"/>
    </xf>
    <xf numFmtId="0" fontId="65" fillId="10" borderId="2" xfId="5" applyFont="1" applyFill="1" applyBorder="1" applyAlignment="1">
      <alignment horizontal="centerContinuous"/>
    </xf>
    <xf numFmtId="0" fontId="66" fillId="0" borderId="0" xfId="2" applyFont="1"/>
    <xf numFmtId="0" fontId="65" fillId="0" borderId="2" xfId="5" applyFont="1" applyFill="1" applyBorder="1" applyAlignment="1">
      <alignment horizontal="center" vertical="center" wrapText="1"/>
    </xf>
    <xf numFmtId="14" fontId="65" fillId="0" borderId="2" xfId="5" applyNumberFormat="1" applyFont="1" applyFill="1" applyBorder="1" applyAlignment="1">
      <alignment horizontal="center" vertical="center" wrapText="1"/>
    </xf>
    <xf numFmtId="0" fontId="65" fillId="0" borderId="2" xfId="5" applyFont="1" applyFill="1" applyBorder="1" applyAlignment="1">
      <alignment horizontal="left" vertical="center" wrapText="1"/>
    </xf>
    <xf numFmtId="14" fontId="66" fillId="0" borderId="2" xfId="5" applyNumberFormat="1" applyFont="1" applyFill="1" applyBorder="1" applyAlignment="1">
      <alignment horizontal="right" vertical="center"/>
    </xf>
    <xf numFmtId="14" fontId="65" fillId="55" borderId="2" xfId="5" applyNumberFormat="1" applyFont="1" applyFill="1" applyBorder="1" applyAlignment="1">
      <alignment horizontal="center" vertical="center" wrapText="1"/>
    </xf>
    <xf numFmtId="164" fontId="66" fillId="11" borderId="2" xfId="2" applyNumberFormat="1" applyFont="1" applyFill="1" applyBorder="1" applyAlignment="1">
      <alignment horizontal="center" vertical="center"/>
    </xf>
    <xf numFmtId="0" fontId="66" fillId="11" borderId="2" xfId="5" applyFont="1" applyFill="1" applyBorder="1" applyAlignment="1">
      <alignment horizontal="center" vertical="center" wrapText="1"/>
    </xf>
    <xf numFmtId="3" fontId="66" fillId="11" borderId="2" xfId="5" applyNumberFormat="1" applyFont="1" applyFill="1" applyBorder="1" applyAlignment="1">
      <alignment horizontal="center" vertical="center" wrapText="1"/>
    </xf>
    <xf numFmtId="3" fontId="66" fillId="2" borderId="2" xfId="5" applyNumberFormat="1" applyFont="1" applyFill="1" applyBorder="1" applyAlignment="1">
      <alignment horizontal="center" vertical="center" wrapText="1"/>
    </xf>
    <xf numFmtId="3" fontId="65" fillId="7" borderId="2" xfId="5" applyNumberFormat="1" applyFont="1" applyFill="1" applyBorder="1" applyAlignment="1">
      <alignment horizontal="right" vertical="center"/>
    </xf>
    <xf numFmtId="0" fontId="65" fillId="0" borderId="0" xfId="5" applyFont="1" applyFill="1" applyBorder="1" applyAlignment="1">
      <alignment horizontal="right" vertical="center" wrapText="1"/>
    </xf>
    <xf numFmtId="0" fontId="66" fillId="0" borderId="2" xfId="5" applyFont="1" applyFill="1" applyBorder="1" applyAlignment="1">
      <alignment horizontal="center" vertical="center" wrapText="1"/>
    </xf>
    <xf numFmtId="3" fontId="66" fillId="0" borderId="2" xfId="5" applyNumberFormat="1" applyFont="1" applyFill="1" applyBorder="1" applyAlignment="1">
      <alignment horizontal="center" vertical="center" wrapText="1"/>
    </xf>
    <xf numFmtId="0" fontId="66" fillId="56" borderId="2" xfId="5" applyFont="1" applyFill="1" applyBorder="1" applyAlignment="1">
      <alignment horizontal="centerContinuous" vertical="center"/>
    </xf>
    <xf numFmtId="0" fontId="66" fillId="0" borderId="0" xfId="2" applyFont="1" applyBorder="1" applyAlignment="1">
      <alignment horizontal="center" vertical="center"/>
    </xf>
    <xf numFmtId="38" fontId="66" fillId="0" borderId="2" xfId="3" applyFont="1" applyFill="1" applyBorder="1" applyAlignment="1" applyProtection="1">
      <alignment horizontal="left" vertical="center" indent="1"/>
      <protection locked="0" hidden="1"/>
    </xf>
    <xf numFmtId="3" fontId="66" fillId="57" borderId="2" xfId="5" applyNumberFormat="1" applyFont="1" applyFill="1" applyBorder="1" applyAlignment="1">
      <alignment horizontal="center" vertical="center" wrapText="1"/>
    </xf>
    <xf numFmtId="0" fontId="65" fillId="5" borderId="2" xfId="2" applyFont="1" applyFill="1" applyBorder="1"/>
    <xf numFmtId="0" fontId="66" fillId="5" borderId="2" xfId="2" applyFont="1" applyFill="1" applyBorder="1"/>
    <xf numFmtId="0" fontId="66" fillId="0" borderId="0" xfId="2" applyFont="1" applyBorder="1"/>
    <xf numFmtId="0" fontId="62" fillId="0" borderId="0" xfId="2" applyFont="1" applyBorder="1"/>
    <xf numFmtId="0" fontId="66" fillId="0" borderId="0" xfId="5" applyFont="1" applyFill="1" applyBorder="1" applyAlignment="1">
      <alignment horizontal="centerContinuous"/>
    </xf>
    <xf numFmtId="0" fontId="66" fillId="0" borderId="0" xfId="2" applyFont="1" applyAlignment="1">
      <alignment horizontal="left"/>
    </xf>
    <xf numFmtId="0" fontId="66" fillId="0" borderId="0" xfId="2" applyFont="1" applyFill="1"/>
    <xf numFmtId="38" fontId="66" fillId="0" borderId="0" xfId="3" applyFont="1" applyFill="1" applyBorder="1" applyAlignment="1" applyProtection="1">
      <alignment horizontal="left" vertical="center" indent="1"/>
      <protection locked="0" hidden="1"/>
    </xf>
    <xf numFmtId="0" fontId="66" fillId="0" borderId="2" xfId="5" applyFont="1" applyFill="1" applyBorder="1" applyAlignment="1">
      <alignment horizontal="right" vertical="center"/>
    </xf>
    <xf numFmtId="14" fontId="66" fillId="0" borderId="0" xfId="5" applyNumberFormat="1" applyFont="1" applyFill="1" applyBorder="1" applyAlignment="1">
      <alignment horizontal="left" vertical="center"/>
    </xf>
    <xf numFmtId="0" fontId="65" fillId="0" borderId="0" xfId="2" applyFont="1" applyFill="1"/>
    <xf numFmtId="14" fontId="66" fillId="0" borderId="0" xfId="5" applyNumberFormat="1" applyFont="1" applyFill="1" applyBorder="1" applyAlignment="1">
      <alignment horizontal="right" vertical="center"/>
    </xf>
    <xf numFmtId="0" fontId="66" fillId="0" borderId="2" xfId="5" applyFont="1" applyBorder="1" applyAlignment="1">
      <alignment horizontal="center" vertical="center" wrapText="1"/>
    </xf>
    <xf numFmtId="0" fontId="66" fillId="30" borderId="2" xfId="5" applyFont="1" applyFill="1" applyBorder="1" applyAlignment="1">
      <alignment horizontal="center" vertical="center" wrapText="1"/>
    </xf>
    <xf numFmtId="3" fontId="66" fillId="30" borderId="2" xfId="5" applyNumberFormat="1" applyFont="1" applyFill="1" applyBorder="1" applyAlignment="1">
      <alignment horizontal="center" vertical="center" wrapText="1"/>
    </xf>
    <xf numFmtId="0" fontId="66" fillId="0" borderId="2" xfId="2" applyFont="1" applyBorder="1"/>
    <xf numFmtId="14" fontId="65" fillId="0" borderId="2" xfId="5" applyNumberFormat="1" applyFont="1" applyFill="1" applyBorder="1" applyAlignment="1">
      <alignment horizontal="left" vertical="center" wrapText="1"/>
    </xf>
    <xf numFmtId="0" fontId="66" fillId="56" borderId="2" xfId="5" applyFont="1" applyFill="1" applyBorder="1" applyAlignment="1">
      <alignment horizontal="left" vertical="center"/>
    </xf>
    <xf numFmtId="0" fontId="66" fillId="0" borderId="0" xfId="2" applyFont="1" applyFill="1" applyAlignment="1">
      <alignment horizontal="center" vertical="center"/>
    </xf>
    <xf numFmtId="0" fontId="65" fillId="0" borderId="2" xfId="2" applyFont="1" applyFill="1" applyBorder="1" applyAlignment="1">
      <alignment horizontal="center" vertical="center" wrapText="1"/>
    </xf>
    <xf numFmtId="14" fontId="65" fillId="0" borderId="2" xfId="2" quotePrefix="1" applyNumberFormat="1" applyFont="1" applyFill="1" applyBorder="1" applyAlignment="1">
      <alignment horizontal="center" vertical="center" wrapText="1"/>
    </xf>
    <xf numFmtId="14" fontId="65" fillId="0" borderId="2" xfId="2" applyNumberFormat="1" applyFont="1" applyFill="1" applyBorder="1" applyAlignment="1">
      <alignment horizontal="center" vertical="center" wrapText="1"/>
    </xf>
    <xf numFmtId="0" fontId="66" fillId="0" borderId="2" xfId="2" applyFont="1" applyFill="1" applyBorder="1" applyAlignment="1">
      <alignment horizontal="center" vertical="center" wrapText="1"/>
    </xf>
    <xf numFmtId="3" fontId="66" fillId="0" borderId="2" xfId="2" applyNumberFormat="1" applyFont="1" applyFill="1" applyBorder="1" applyAlignment="1">
      <alignment horizontal="center" vertical="center" wrapText="1"/>
    </xf>
    <xf numFmtId="0" fontId="66" fillId="0" borderId="2" xfId="2" quotePrefix="1" applyFont="1" applyFill="1" applyBorder="1" applyAlignment="1">
      <alignment horizontal="center" vertical="center" wrapText="1"/>
    </xf>
    <xf numFmtId="0" fontId="66" fillId="0" borderId="2" xfId="5" quotePrefix="1" applyFont="1" applyFill="1" applyBorder="1" applyAlignment="1">
      <alignment horizontal="center" vertical="center" wrapText="1"/>
    </xf>
    <xf numFmtId="0" fontId="65" fillId="0" borderId="0" xfId="5" applyFont="1" applyFill="1" applyBorder="1" applyAlignment="1">
      <alignment horizontal="left" vertical="center" wrapText="1"/>
    </xf>
    <xf numFmtId="0" fontId="65" fillId="0" borderId="0" xfId="2" applyFont="1"/>
    <xf numFmtId="0" fontId="65" fillId="0" borderId="12" xfId="5" applyFont="1" applyFill="1" applyBorder="1" applyAlignment="1">
      <alignment horizontal="center" vertical="center" wrapText="1"/>
    </xf>
    <xf numFmtId="14" fontId="65" fillId="0" borderId="12" xfId="5" applyNumberFormat="1" applyFont="1" applyFill="1" applyBorder="1" applyAlignment="1">
      <alignment horizontal="center" vertical="center" wrapText="1"/>
    </xf>
    <xf numFmtId="0" fontId="65" fillId="0" borderId="0" xfId="2" applyFont="1" applyAlignment="1">
      <alignment horizontal="left"/>
    </xf>
    <xf numFmtId="182" fontId="66" fillId="0" borderId="2" xfId="55" applyNumberFormat="1" applyFont="1" applyFill="1" applyBorder="1" applyAlignment="1">
      <alignment horizontal="center" vertical="center"/>
    </xf>
    <xf numFmtId="0" fontId="67" fillId="0" borderId="2" xfId="5" applyFont="1" applyFill="1" applyBorder="1" applyAlignment="1">
      <alignment horizontal="center" vertical="center" wrapText="1"/>
    </xf>
    <xf numFmtId="3" fontId="67" fillId="0" borderId="2" xfId="5" applyNumberFormat="1" applyFont="1" applyFill="1" applyBorder="1" applyAlignment="1">
      <alignment horizontal="center" vertical="center" wrapText="1"/>
    </xf>
    <xf numFmtId="49" fontId="65" fillId="10" borderId="2" xfId="5" applyNumberFormat="1" applyFont="1" applyFill="1" applyBorder="1" applyAlignment="1">
      <alignment horizontal="centerContinuous" vertical="center"/>
    </xf>
    <xf numFmtId="0" fontId="66" fillId="0" borderId="0" xfId="5" applyFont="1"/>
    <xf numFmtId="0" fontId="65" fillId="58" borderId="54" xfId="5" applyFont="1" applyFill="1" applyBorder="1" applyAlignment="1">
      <alignment horizontal="center" vertical="center"/>
    </xf>
    <xf numFmtId="0" fontId="66" fillId="58" borderId="0" xfId="5" applyFont="1" applyFill="1" applyBorder="1"/>
    <xf numFmtId="14" fontId="65" fillId="0" borderId="13" xfId="5" applyNumberFormat="1" applyFont="1" applyBorder="1" applyAlignment="1">
      <alignment horizontal="center" vertical="center" wrapText="1"/>
    </xf>
    <xf numFmtId="14" fontId="68" fillId="0" borderId="13" xfId="5" applyNumberFormat="1" applyFont="1" applyBorder="1" applyAlignment="1">
      <alignment horizontal="center" vertical="center" wrapText="1"/>
    </xf>
    <xf numFmtId="0" fontId="65" fillId="0" borderId="2" xfId="5" applyFont="1" applyFill="1" applyBorder="1" applyAlignment="1">
      <alignment horizontal="right" vertical="center"/>
    </xf>
    <xf numFmtId="0" fontId="65" fillId="0" borderId="12" xfId="5" applyFont="1" applyBorder="1" applyAlignment="1">
      <alignment horizontal="center" vertical="center"/>
    </xf>
    <xf numFmtId="14" fontId="68" fillId="0" borderId="12" xfId="5" applyNumberFormat="1" applyFont="1" applyBorder="1" applyAlignment="1">
      <alignment horizontal="center" vertical="center" wrapText="1"/>
    </xf>
    <xf numFmtId="14" fontId="65" fillId="0" borderId="12" xfId="5" applyNumberFormat="1" applyFont="1" applyBorder="1" applyAlignment="1">
      <alignment horizontal="center" vertical="center" wrapText="1"/>
    </xf>
    <xf numFmtId="0" fontId="65" fillId="0" borderId="12" xfId="5" applyFont="1" applyBorder="1" applyAlignment="1">
      <alignment horizontal="center" vertical="center" wrapText="1"/>
    </xf>
    <xf numFmtId="0" fontId="66" fillId="0" borderId="2" xfId="5" applyFont="1" applyBorder="1" applyAlignment="1">
      <alignment horizontal="center" vertical="center"/>
    </xf>
    <xf numFmtId="164" fontId="66" fillId="11" borderId="2" xfId="2" applyNumberFormat="1" applyFont="1" applyFill="1" applyBorder="1" applyAlignment="1">
      <alignment horizontal="center"/>
    </xf>
    <xf numFmtId="0" fontId="66" fillId="0" borderId="2" xfId="2" applyFont="1" applyBorder="1" applyAlignment="1">
      <alignment horizontal="center" vertical="center"/>
    </xf>
    <xf numFmtId="0" fontId="66" fillId="59" borderId="2" xfId="5" applyFont="1" applyFill="1" applyBorder="1" applyAlignment="1">
      <alignment horizontal="center" vertical="center" wrapText="1"/>
    </xf>
    <xf numFmtId="0" fontId="65" fillId="0" borderId="2" xfId="5" applyFont="1" applyFill="1" applyBorder="1" applyAlignment="1">
      <alignment horizontal="right" vertical="center" wrapText="1"/>
    </xf>
    <xf numFmtId="183" fontId="65" fillId="7" borderId="2" xfId="5" applyNumberFormat="1" applyFont="1" applyFill="1" applyBorder="1" applyAlignment="1">
      <alignment horizontal="right" vertical="center"/>
    </xf>
    <xf numFmtId="0" fontId="66" fillId="0" borderId="2" xfId="5" quotePrefix="1" applyFont="1" applyFill="1" applyBorder="1" applyAlignment="1">
      <alignment horizontal="centerContinuous" vertical="center"/>
    </xf>
    <xf numFmtId="0" fontId="66" fillId="0" borderId="2" xfId="5" quotePrefix="1" applyFont="1" applyBorder="1" applyAlignment="1">
      <alignment horizontal="centerContinuous" vertical="center"/>
    </xf>
    <xf numFmtId="14" fontId="66" fillId="0" borderId="0" xfId="5" applyNumberFormat="1" applyFont="1" applyFill="1" applyBorder="1" applyAlignment="1">
      <alignment vertical="center"/>
    </xf>
    <xf numFmtId="0" fontId="66" fillId="0" borderId="0" xfId="5" applyFont="1" applyFill="1" applyBorder="1" applyAlignment="1">
      <alignment vertical="center"/>
    </xf>
    <xf numFmtId="0" fontId="66" fillId="0" borderId="0" xfId="5" quotePrefix="1" applyFont="1" applyFill="1" applyBorder="1" applyAlignment="1">
      <alignment vertical="center"/>
    </xf>
    <xf numFmtId="0" fontId="66" fillId="0" borderId="2" xfId="5" quotePrefix="1" applyFont="1" applyBorder="1" applyAlignment="1">
      <alignment horizontal="center" vertical="center"/>
    </xf>
    <xf numFmtId="0" fontId="66" fillId="0" borderId="2" xfId="5" applyFont="1" applyBorder="1" applyAlignment="1">
      <alignment horizontal="centerContinuous" vertical="center"/>
    </xf>
    <xf numFmtId="164" fontId="66" fillId="0" borderId="2" xfId="5" quotePrefix="1" applyNumberFormat="1" applyFont="1" applyFill="1" applyBorder="1" applyAlignment="1">
      <alignment horizontal="centerContinuous" vertical="center"/>
    </xf>
    <xf numFmtId="0" fontId="66" fillId="0" borderId="2" xfId="5" quotePrefix="1" applyFont="1" applyFill="1" applyBorder="1" applyAlignment="1">
      <alignment horizontal="center" vertical="center"/>
    </xf>
    <xf numFmtId="0" fontId="66" fillId="0" borderId="2" xfId="5" applyFont="1" applyFill="1" applyBorder="1" applyAlignment="1">
      <alignment horizontal="centerContinuous" vertical="center"/>
    </xf>
    <xf numFmtId="164" fontId="66" fillId="0" borderId="2" xfId="5" quotePrefix="1" applyNumberFormat="1" applyFont="1" applyBorder="1" applyAlignment="1">
      <alignment horizontal="centerContinuous" vertical="center"/>
    </xf>
    <xf numFmtId="0" fontId="65" fillId="0" borderId="0" xfId="5" applyFont="1" applyFill="1" applyBorder="1" applyAlignment="1">
      <alignment horizontal="right" vertical="center"/>
    </xf>
    <xf numFmtId="0" fontId="66" fillId="0" borderId="0" xfId="5" applyFont="1" applyFill="1" applyBorder="1" applyAlignment="1">
      <alignment horizontal="center" vertical="center" wrapText="1"/>
    </xf>
    <xf numFmtId="0" fontId="66" fillId="0" borderId="0" xfId="5" applyFont="1" applyBorder="1" applyAlignment="1">
      <alignment horizontal="center" vertical="center" wrapText="1"/>
    </xf>
    <xf numFmtId="0" fontId="65" fillId="0" borderId="0" xfId="5" applyFont="1" applyFill="1" applyBorder="1" applyAlignment="1">
      <alignment vertical="center"/>
    </xf>
    <xf numFmtId="0" fontId="65" fillId="55" borderId="0" xfId="2" applyFont="1" applyFill="1" applyBorder="1" applyAlignment="1">
      <alignment horizontal="center" vertical="center"/>
    </xf>
    <xf numFmtId="0" fontId="62" fillId="5" borderId="2" xfId="2" applyFont="1" applyFill="1" applyBorder="1" applyAlignment="1">
      <alignment vertical="top"/>
    </xf>
    <xf numFmtId="0" fontId="62" fillId="5" borderId="2" xfId="2" applyFont="1" applyFill="1" applyBorder="1"/>
    <xf numFmtId="0" fontId="65" fillId="0" borderId="0" xfId="2" applyFont="1" applyFill="1" applyBorder="1" applyAlignment="1">
      <alignment horizontal="center" vertical="center"/>
    </xf>
    <xf numFmtId="0" fontId="66" fillId="0" borderId="2" xfId="2" applyFont="1" applyBorder="1" applyAlignment="1">
      <alignment horizontal="center"/>
    </xf>
    <xf numFmtId="0" fontId="66" fillId="0" borderId="2" xfId="2" applyFont="1" applyBorder="1" applyAlignment="1">
      <alignment horizontal="center" wrapText="1"/>
    </xf>
    <xf numFmtId="0" fontId="65" fillId="0" borderId="2" xfId="5" applyFont="1" applyFill="1" applyBorder="1" applyAlignment="1">
      <alignment horizontal="left" vertical="center"/>
    </xf>
    <xf numFmtId="0" fontId="66" fillId="0" borderId="0" xfId="2" applyFont="1" applyBorder="1" applyAlignment="1">
      <alignment horizontal="center" vertical="center" wrapText="1"/>
    </xf>
    <xf numFmtId="0" fontId="65" fillId="12" borderId="2" xfId="2" applyFont="1" applyFill="1" applyBorder="1" applyAlignment="1">
      <alignment horizontal="center" vertical="center" wrapText="1"/>
    </xf>
    <xf numFmtId="0" fontId="65" fillId="0" borderId="2" xfId="2" applyFont="1" applyBorder="1"/>
    <xf numFmtId="14" fontId="65" fillId="0" borderId="2" xfId="2" applyNumberFormat="1" applyFont="1" applyBorder="1"/>
    <xf numFmtId="164" fontId="66" fillId="0" borderId="2" xfId="2" applyNumberFormat="1" applyFont="1" applyBorder="1" applyAlignment="1">
      <alignment horizontal="center"/>
    </xf>
    <xf numFmtId="164" fontId="66" fillId="0" borderId="2" xfId="2" applyNumberFormat="1" applyFont="1" applyBorder="1" applyAlignment="1">
      <alignment horizontal="center" wrapText="1"/>
    </xf>
    <xf numFmtId="0" fontId="11" fillId="0" borderId="0" xfId="2" applyFont="1"/>
    <xf numFmtId="0" fontId="3" fillId="0" borderId="0" xfId="2" applyFont="1" applyAlignment="1">
      <alignment horizontal="center"/>
    </xf>
    <xf numFmtId="14" fontId="3" fillId="0" borderId="0" xfId="2" applyNumberFormat="1" applyFont="1" applyAlignment="1">
      <alignment horizontal="center"/>
    </xf>
    <xf numFmtId="0" fontId="17" fillId="0" borderId="105" xfId="2" applyFont="1" applyBorder="1" applyAlignment="1">
      <alignment horizontal="center" vertical="center" wrapText="1"/>
    </xf>
    <xf numFmtId="0" fontId="3" fillId="0" borderId="0" xfId="2" quotePrefix="1" applyFont="1" applyAlignment="1">
      <alignment horizontal="center"/>
    </xf>
    <xf numFmtId="2" fontId="3" fillId="0" borderId="0" xfId="2" quotePrefix="1" applyNumberFormat="1" applyFont="1" applyAlignment="1">
      <alignment horizontal="center"/>
    </xf>
    <xf numFmtId="175" fontId="3" fillId="0" borderId="0" xfId="2" applyNumberFormat="1" applyFont="1" applyAlignment="1">
      <alignment horizontal="center"/>
    </xf>
    <xf numFmtId="1" fontId="3" fillId="0" borderId="0" xfId="2" applyNumberFormat="1" applyFont="1" applyAlignment="1">
      <alignment horizontal="center"/>
    </xf>
    <xf numFmtId="164" fontId="3" fillId="0" borderId="0" xfId="2" applyNumberFormat="1" applyFont="1" applyAlignment="1">
      <alignment horizontal="center"/>
    </xf>
    <xf numFmtId="1" fontId="69" fillId="0" borderId="0" xfId="2" applyNumberFormat="1" applyFont="1" applyAlignment="1">
      <alignment horizontal="center"/>
    </xf>
    <xf numFmtId="165" fontId="3" fillId="0" borderId="0" xfId="2" applyNumberFormat="1" applyFont="1" applyAlignment="1">
      <alignment horizontal="center"/>
    </xf>
    <xf numFmtId="2" fontId="3" fillId="0" borderId="0" xfId="2" applyNumberFormat="1" applyFont="1" applyAlignment="1">
      <alignment horizontal="center"/>
    </xf>
    <xf numFmtId="166" fontId="3" fillId="0" borderId="0" xfId="2" applyNumberFormat="1" applyFont="1" applyAlignment="1">
      <alignment horizontal="center"/>
    </xf>
    <xf numFmtId="0" fontId="69" fillId="0" borderId="0" xfId="2" applyFont="1" applyAlignment="1">
      <alignment horizontal="center"/>
    </xf>
    <xf numFmtId="177" fontId="3" fillId="0" borderId="0" xfId="2" applyNumberFormat="1" applyFont="1" applyAlignment="1">
      <alignment horizontal="center"/>
    </xf>
    <xf numFmtId="0" fontId="65" fillId="60" borderId="2" xfId="5" applyFont="1" applyFill="1" applyBorder="1" applyAlignment="1">
      <alignment horizontal="centerContinuous" vertical="center"/>
    </xf>
    <xf numFmtId="0" fontId="65" fillId="60" borderId="2" xfId="5" applyFont="1" applyFill="1" applyBorder="1" applyAlignment="1">
      <alignment horizontal="centerContinuous"/>
    </xf>
    <xf numFmtId="0" fontId="65" fillId="29" borderId="2" xfId="5" applyFont="1" applyFill="1" applyBorder="1" applyAlignment="1">
      <alignment horizontal="centerContinuous" vertical="center"/>
    </xf>
    <xf numFmtId="0" fontId="65" fillId="29" borderId="2" xfId="5" applyFont="1" applyFill="1" applyBorder="1" applyAlignment="1">
      <alignment horizontal="centerContinuous"/>
    </xf>
    <xf numFmtId="0" fontId="66" fillId="29" borderId="2" xfId="5" applyFont="1" applyFill="1" applyBorder="1" applyAlignment="1">
      <alignment horizontal="center" vertical="center" wrapText="1"/>
    </xf>
    <xf numFmtId="0" fontId="66" fillId="30" borderId="2" xfId="5" applyFont="1" applyFill="1" applyBorder="1" applyAlignment="1">
      <alignment horizontal="left" vertical="center"/>
    </xf>
    <xf numFmtId="0" fontId="66" fillId="29" borderId="2" xfId="5" applyFont="1" applyFill="1" applyBorder="1" applyAlignment="1">
      <alignment vertical="center"/>
    </xf>
    <xf numFmtId="0" fontId="65" fillId="29" borderId="46" xfId="2" applyFont="1" applyFill="1" applyBorder="1" applyAlignment="1">
      <alignment vertical="center" wrapText="1"/>
    </xf>
    <xf numFmtId="0" fontId="66" fillId="29" borderId="46" xfId="2" applyFont="1" applyFill="1" applyBorder="1" applyAlignment="1">
      <alignment wrapText="1"/>
    </xf>
    <xf numFmtId="0" fontId="66" fillId="29" borderId="59" xfId="2" applyFont="1" applyFill="1" applyBorder="1" applyAlignment="1">
      <alignment wrapText="1"/>
    </xf>
    <xf numFmtId="14" fontId="66" fillId="0" borderId="2" xfId="2" applyNumberFormat="1" applyFont="1" applyBorder="1"/>
    <xf numFmtId="0" fontId="66" fillId="29" borderId="2" xfId="5" applyFont="1" applyFill="1" applyBorder="1" applyAlignment="1">
      <alignment horizontal="centerContinuous" vertical="center"/>
    </xf>
    <xf numFmtId="0" fontId="66" fillId="29" borderId="2" xfId="5" applyFont="1" applyFill="1" applyBorder="1" applyAlignment="1">
      <alignment horizontal="centerContinuous"/>
    </xf>
    <xf numFmtId="3" fontId="66" fillId="30" borderId="2" xfId="5" applyNumberFormat="1" applyFont="1" applyFill="1" applyBorder="1" applyAlignment="1">
      <alignment horizontal="center" vertical="center"/>
    </xf>
    <xf numFmtId="0" fontId="66" fillId="32" borderId="2" xfId="5" quotePrefix="1" applyFont="1" applyFill="1" applyBorder="1" applyAlignment="1">
      <alignment horizontal="centerContinuous" vertical="center"/>
    </xf>
    <xf numFmtId="0" fontId="65" fillId="28" borderId="2" xfId="2" applyFont="1" applyFill="1" applyBorder="1" applyAlignment="1">
      <alignment horizontal="center" wrapText="1"/>
    </xf>
    <xf numFmtId="14" fontId="65" fillId="28" borderId="2" xfId="2" applyNumberFormat="1" applyFont="1" applyFill="1" applyBorder="1" applyAlignment="1">
      <alignment horizontal="center" wrapText="1"/>
    </xf>
    <xf numFmtId="0" fontId="65" fillId="28" borderId="2" xfId="2" applyFont="1" applyFill="1" applyBorder="1" applyAlignment="1">
      <alignment wrapText="1"/>
    </xf>
    <xf numFmtId="3" fontId="66" fillId="28" borderId="2" xfId="2" applyNumberFormat="1" applyFont="1" applyFill="1" applyBorder="1" applyAlignment="1">
      <alignment horizontal="center" wrapText="1"/>
    </xf>
    <xf numFmtId="0" fontId="66" fillId="28" borderId="2" xfId="2" applyFont="1" applyFill="1" applyBorder="1" applyAlignment="1">
      <alignment horizontal="center"/>
    </xf>
    <xf numFmtId="0" fontId="66" fillId="28" borderId="2" xfId="2" applyFont="1" applyFill="1" applyBorder="1" applyAlignment="1">
      <alignment horizontal="center" wrapText="1"/>
    </xf>
    <xf numFmtId="0" fontId="65" fillId="28" borderId="2" xfId="2" applyFont="1" applyFill="1" applyBorder="1" applyAlignment="1">
      <alignment horizontal="center" vertical="center" wrapText="1"/>
    </xf>
    <xf numFmtId="0" fontId="66" fillId="28" borderId="2" xfId="2" applyFont="1" applyFill="1" applyBorder="1"/>
    <xf numFmtId="14" fontId="65" fillId="28" borderId="2" xfId="2" applyNumberFormat="1" applyFont="1" applyFill="1" applyBorder="1" applyAlignment="1">
      <alignment horizontal="center" vertical="center" wrapText="1"/>
    </xf>
    <xf numFmtId="0" fontId="66" fillId="28" borderId="2" xfId="2" applyFont="1" applyFill="1" applyBorder="1" applyAlignment="1">
      <alignment horizontal="center" vertical="center" wrapText="1"/>
    </xf>
    <xf numFmtId="0" fontId="66" fillId="28" borderId="2" xfId="5" applyFont="1" applyFill="1" applyBorder="1" applyAlignment="1">
      <alignment horizontal="center" vertical="center" wrapText="1"/>
    </xf>
    <xf numFmtId="38" fontId="2" fillId="0" borderId="2" xfId="3" applyFont="1" applyFill="1" applyBorder="1" applyAlignment="1">
      <alignment horizontal="left" vertical="center" wrapText="1"/>
    </xf>
    <xf numFmtId="49" fontId="42" fillId="0" borderId="2" xfId="0" applyNumberFormat="1" applyFont="1" applyFill="1" applyBorder="1" applyAlignment="1">
      <alignment horizontal="center" vertical="center" wrapText="1"/>
    </xf>
    <xf numFmtId="49" fontId="42" fillId="0" borderId="2" xfId="0" applyNumberFormat="1" applyFont="1" applyFill="1" applyBorder="1" applyAlignment="1">
      <alignment horizontal="center" vertical="center"/>
    </xf>
    <xf numFmtId="0" fontId="5" fillId="0" borderId="2" xfId="0" applyNumberFormat="1" applyFont="1" applyFill="1" applyBorder="1" applyAlignment="1" applyProtection="1">
      <alignment horizontal="center" vertical="center"/>
      <protection locked="0"/>
    </xf>
    <xf numFmtId="2" fontId="3" fillId="37" borderId="2" xfId="0" applyNumberFormat="1" applyFont="1" applyFill="1" applyBorder="1" applyAlignment="1">
      <alignment horizontal="center" vertical="center" wrapText="1"/>
    </xf>
    <xf numFmtId="2" fontId="44" fillId="0" borderId="2" xfId="0" quotePrefix="1" applyNumberFormat="1" applyFont="1" applyFill="1" applyBorder="1" applyAlignment="1">
      <alignment horizontal="center"/>
    </xf>
    <xf numFmtId="0" fontId="3" fillId="0" borderId="2" xfId="0" applyFont="1" applyFill="1" applyBorder="1" applyAlignment="1" applyProtection="1">
      <alignment vertical="center" wrapText="1"/>
      <protection locked="0"/>
    </xf>
    <xf numFmtId="0" fontId="5" fillId="18" borderId="0" xfId="0" applyNumberFormat="1" applyFont="1" applyFill="1" applyBorder="1" applyAlignment="1" applyProtection="1">
      <alignment horizontal="right" vertical="center" wrapText="1"/>
      <protection locked="0"/>
    </xf>
    <xf numFmtId="165" fontId="44" fillId="0" borderId="2" xfId="0" applyNumberFormat="1" applyFont="1" applyFill="1" applyBorder="1" applyAlignment="1">
      <alignment horizontal="center"/>
    </xf>
    <xf numFmtId="164" fontId="2" fillId="0" borderId="0" xfId="2" applyNumberFormat="1"/>
    <xf numFmtId="164" fontId="2" fillId="0" borderId="0" xfId="2" applyNumberFormat="1" applyFont="1"/>
    <xf numFmtId="164" fontId="2" fillId="0" borderId="9" xfId="3" applyNumberFormat="1" applyFont="1" applyFill="1" applyBorder="1" applyAlignment="1" applyProtection="1">
      <alignment horizontal="left" vertical="center" wrapText="1" indent="1"/>
      <protection locked="0" hidden="1"/>
    </xf>
    <xf numFmtId="49" fontId="5" fillId="0" borderId="2" xfId="0" applyNumberFormat="1" applyFont="1" applyFill="1" applyBorder="1" applyAlignment="1">
      <alignment horizontal="center" vertical="center"/>
    </xf>
    <xf numFmtId="0" fontId="0" fillId="0" borderId="0" xfId="0" applyAlignment="1">
      <alignment wrapText="1"/>
    </xf>
    <xf numFmtId="0" fontId="0" fillId="0" borderId="2" xfId="0" applyBorder="1" applyAlignment="1">
      <alignment wrapText="1"/>
    </xf>
    <xf numFmtId="0" fontId="2" fillId="0" borderId="2" xfId="0" applyFont="1" applyBorder="1" applyAlignment="1">
      <alignment wrapText="1"/>
    </xf>
    <xf numFmtId="0" fontId="0" fillId="0" borderId="0" xfId="0" applyAlignment="1">
      <alignment horizontal="center"/>
    </xf>
    <xf numFmtId="0" fontId="2" fillId="0" borderId="2" xfId="0" applyFont="1" applyBorder="1" applyAlignment="1">
      <alignment horizontal="center"/>
    </xf>
    <xf numFmtId="0" fontId="0" fillId="0" borderId="2" xfId="0" applyBorder="1" applyAlignment="1">
      <alignment horizontal="center"/>
    </xf>
    <xf numFmtId="14" fontId="2" fillId="0" borderId="2" xfId="0" applyNumberFormat="1" applyFont="1" applyBorder="1" applyAlignment="1">
      <alignment wrapText="1"/>
    </xf>
    <xf numFmtId="14" fontId="0" fillId="0" borderId="2" xfId="0" applyNumberFormat="1" applyBorder="1"/>
    <xf numFmtId="0" fontId="0" fillId="24" borderId="2" xfId="0" applyFill="1" applyBorder="1" applyAlignment="1">
      <alignment horizontal="center"/>
    </xf>
    <xf numFmtId="0" fontId="2" fillId="24" borderId="2" xfId="0" applyFont="1" applyFill="1" applyBorder="1" applyAlignment="1">
      <alignment horizontal="center"/>
    </xf>
    <xf numFmtId="0" fontId="0" fillId="24" borderId="2" xfId="0" applyFill="1" applyBorder="1" applyAlignment="1">
      <alignment wrapText="1"/>
    </xf>
    <xf numFmtId="14" fontId="0" fillId="24" borderId="2" xfId="0" applyNumberFormat="1" applyFill="1" applyBorder="1"/>
    <xf numFmtId="0" fontId="0" fillId="24" borderId="2" xfId="0" applyFill="1" applyBorder="1"/>
    <xf numFmtId="0" fontId="2" fillId="23" borderId="2" xfId="0" applyFont="1" applyFill="1" applyBorder="1" applyAlignment="1">
      <alignment horizontal="center"/>
    </xf>
    <xf numFmtId="0" fontId="2" fillId="23" borderId="2" xfId="0" applyFont="1" applyFill="1" applyBorder="1" applyAlignment="1">
      <alignment horizontal="center" wrapText="1"/>
    </xf>
    <xf numFmtId="0" fontId="2" fillId="0" borderId="2" xfId="0" applyFont="1" applyBorder="1" applyAlignment="1">
      <alignment wrapText="1"/>
    </xf>
    <xf numFmtId="0" fontId="0" fillId="0" borderId="0" xfId="0" applyAlignment="1">
      <alignment wrapText="1"/>
    </xf>
    <xf numFmtId="0" fontId="0" fillId="0" borderId="0" xfId="0" applyAlignment="1"/>
    <xf numFmtId="0" fontId="2" fillId="0" borderId="2" xfId="0" applyFont="1" applyBorder="1" applyAlignment="1">
      <alignment wrapText="1"/>
    </xf>
    <xf numFmtId="0" fontId="30" fillId="0" borderId="1" xfId="0" applyFont="1" applyFill="1" applyBorder="1" applyAlignment="1">
      <alignment horizontal="right" vertical="center"/>
    </xf>
    <xf numFmtId="0" fontId="2" fillId="5" borderId="1" xfId="0" applyFont="1" applyFill="1" applyBorder="1" applyAlignment="1">
      <alignment horizontal="right" vertical="center"/>
    </xf>
    <xf numFmtId="0" fontId="30" fillId="5" borderId="1" xfId="0" applyFont="1" applyFill="1" applyBorder="1" applyAlignment="1">
      <alignment horizontal="right" vertical="center"/>
    </xf>
    <xf numFmtId="0" fontId="5" fillId="0" borderId="0" xfId="0" applyNumberFormat="1" applyFont="1" applyFill="1" applyBorder="1" applyAlignment="1" applyProtection="1">
      <alignment horizontal="center" vertical="center"/>
    </xf>
    <xf numFmtId="0" fontId="5" fillId="12" borderId="12" xfId="0" applyNumberFormat="1" applyFont="1" applyFill="1" applyBorder="1" applyAlignment="1" applyProtection="1">
      <alignment horizontal="center" vertical="center"/>
    </xf>
    <xf numFmtId="0" fontId="5" fillId="0" borderId="12" xfId="0" applyNumberFormat="1" applyFont="1" applyFill="1" applyBorder="1" applyAlignment="1" applyProtection="1">
      <alignment horizontal="center" vertical="center"/>
    </xf>
    <xf numFmtId="0" fontId="2" fillId="18" borderId="0" xfId="0" applyNumberFormat="1" applyFont="1" applyFill="1" applyBorder="1" applyAlignment="1" applyProtection="1">
      <alignment vertical="center" shrinkToFit="1"/>
      <protection locked="0"/>
    </xf>
    <xf numFmtId="0" fontId="5" fillId="34" borderId="0" xfId="0" applyNumberFormat="1" applyFont="1" applyFill="1" applyBorder="1" applyAlignment="1" applyProtection="1">
      <alignment horizontal="center" vertical="center"/>
    </xf>
    <xf numFmtId="0" fontId="5" fillId="34" borderId="36" xfId="0" applyNumberFormat="1" applyFont="1" applyFill="1" applyBorder="1" applyAlignment="1" applyProtection="1">
      <alignment horizontal="center" vertical="center"/>
    </xf>
    <xf numFmtId="176" fontId="3" fillId="0" borderId="12" xfId="0" applyNumberFormat="1" applyFont="1" applyFill="1" applyBorder="1" applyAlignment="1" applyProtection="1">
      <alignment horizontal="center" vertical="center"/>
      <protection locked="0"/>
    </xf>
    <xf numFmtId="166" fontId="3" fillId="9" borderId="2" xfId="0" applyNumberFormat="1" applyFont="1" applyFill="1" applyBorder="1" applyAlignment="1" applyProtection="1">
      <alignment horizontal="center" vertical="center"/>
      <protection locked="0"/>
    </xf>
    <xf numFmtId="164" fontId="3" fillId="24" borderId="2" xfId="0" applyNumberFormat="1" applyFont="1" applyFill="1" applyBorder="1" applyAlignment="1" applyProtection="1">
      <alignment horizontal="center" vertical="center"/>
      <protection locked="0"/>
    </xf>
    <xf numFmtId="166" fontId="3" fillId="0" borderId="37" xfId="0" applyNumberFormat="1" applyFont="1" applyFill="1" applyBorder="1" applyAlignment="1" applyProtection="1">
      <alignment horizontal="center" vertical="center"/>
      <protection locked="0"/>
    </xf>
    <xf numFmtId="176" fontId="3" fillId="24" borderId="106" xfId="0" applyNumberFormat="1" applyFont="1" applyFill="1" applyBorder="1" applyAlignment="1" applyProtection="1">
      <alignment horizontal="center" vertical="center"/>
      <protection locked="0"/>
    </xf>
    <xf numFmtId="49" fontId="3" fillId="0" borderId="59" xfId="0" applyNumberFormat="1" applyFont="1" applyFill="1" applyBorder="1" applyAlignment="1" applyProtection="1">
      <alignment horizontal="center" vertical="center"/>
      <protection locked="0"/>
    </xf>
    <xf numFmtId="176" fontId="3" fillId="0" borderId="13" xfId="0" applyNumberFormat="1" applyFont="1" applyFill="1" applyBorder="1" applyAlignment="1" applyProtection="1">
      <alignment horizontal="center" vertical="center"/>
      <protection locked="0"/>
    </xf>
    <xf numFmtId="164" fontId="3" fillId="0" borderId="12" xfId="0" applyNumberFormat="1" applyFont="1" applyFill="1" applyBorder="1" applyAlignment="1" applyProtection="1">
      <alignment horizontal="center" vertical="center"/>
      <protection locked="0"/>
    </xf>
    <xf numFmtId="164" fontId="3" fillId="0" borderId="37" xfId="0" applyNumberFormat="1" applyFont="1" applyFill="1" applyBorder="1" applyAlignment="1" applyProtection="1">
      <alignment horizontal="center" vertical="center"/>
      <protection locked="0"/>
    </xf>
    <xf numFmtId="164" fontId="3" fillId="24" borderId="106" xfId="0" applyNumberFormat="1" applyFont="1" applyFill="1" applyBorder="1" applyAlignment="1" applyProtection="1">
      <alignment horizontal="center" vertical="center"/>
      <protection locked="0"/>
    </xf>
    <xf numFmtId="164" fontId="3" fillId="0" borderId="59" xfId="0" applyNumberFormat="1" applyFont="1" applyFill="1" applyBorder="1" applyAlignment="1" applyProtection="1">
      <alignment horizontal="center" vertical="center"/>
      <protection locked="0"/>
    </xf>
    <xf numFmtId="164" fontId="3" fillId="0" borderId="13" xfId="0" applyNumberFormat="1" applyFont="1" applyFill="1" applyBorder="1" applyAlignment="1" applyProtection="1">
      <alignment horizontal="center" vertical="center"/>
      <protection locked="0"/>
    </xf>
    <xf numFmtId="167" fontId="3" fillId="24"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4" borderId="107" xfId="0" applyNumberFormat="1" applyFont="1" applyFill="1" applyBorder="1" applyAlignment="1" applyProtection="1">
      <alignment horizontal="center" vertical="center"/>
      <protection locked="0"/>
    </xf>
    <xf numFmtId="0" fontId="2" fillId="12" borderId="12" xfId="0" applyNumberFormat="1" applyFont="1" applyFill="1" applyBorder="1" applyAlignment="1" applyProtection="1">
      <alignment horizontal="center" vertical="center" wrapText="1"/>
    </xf>
    <xf numFmtId="184" fontId="5" fillId="4" borderId="28" xfId="2" applyNumberFormat="1" applyFont="1" applyFill="1" applyBorder="1" applyAlignment="1" applyProtection="1">
      <alignment horizontal="center" vertical="center" wrapText="1"/>
    </xf>
    <xf numFmtId="0" fontId="5" fillId="4" borderId="28" xfId="2" applyNumberFormat="1" applyFont="1" applyFill="1" applyBorder="1" applyAlignment="1" applyProtection="1">
      <alignment horizontal="center" vertical="center" wrapText="1"/>
    </xf>
    <xf numFmtId="2" fontId="5" fillId="4" borderId="28" xfId="2" applyNumberFormat="1" applyFont="1" applyFill="1" applyBorder="1" applyAlignment="1" applyProtection="1">
      <alignment horizontal="center" vertical="center" wrapText="1"/>
    </xf>
    <xf numFmtId="0" fontId="5" fillId="4" borderId="28" xfId="2" applyFont="1" applyFill="1" applyBorder="1" applyAlignment="1" applyProtection="1">
      <alignment horizontal="center" vertical="center" wrapText="1"/>
    </xf>
    <xf numFmtId="175" fontId="5" fillId="4" borderId="28" xfId="2" applyNumberFormat="1" applyFont="1" applyFill="1" applyBorder="1" applyAlignment="1" applyProtection="1">
      <alignment horizontal="center" vertical="center" wrapText="1"/>
    </xf>
    <xf numFmtId="0" fontId="5" fillId="4" borderId="28" xfId="2" applyFont="1" applyFill="1" applyBorder="1" applyAlignment="1" applyProtection="1">
      <alignment vertical="center" wrapText="1"/>
    </xf>
    <xf numFmtId="0" fontId="5" fillId="13" borderId="28" xfId="2" applyFont="1" applyFill="1" applyBorder="1" applyAlignment="1" applyProtection="1">
      <alignment horizontal="center" vertical="center" wrapText="1"/>
    </xf>
    <xf numFmtId="184" fontId="5" fillId="13" borderId="28" xfId="2" applyNumberFormat="1" applyFont="1" applyFill="1" applyBorder="1" applyAlignment="1" applyProtection="1">
      <alignment horizontal="center" vertical="center" wrapText="1"/>
    </xf>
    <xf numFmtId="0" fontId="5" fillId="13" borderId="28" xfId="2" applyFont="1" applyFill="1" applyBorder="1" applyAlignment="1" applyProtection="1">
      <alignment vertical="center" wrapText="1"/>
    </xf>
    <xf numFmtId="0" fontId="5" fillId="0" borderId="29" xfId="2" applyFont="1" applyBorder="1" applyAlignment="1" applyProtection="1">
      <alignment vertical="center" wrapText="1"/>
    </xf>
    <xf numFmtId="184" fontId="2" fillId="0" borderId="13" xfId="2" applyNumberFormat="1" applyBorder="1" applyAlignment="1" applyProtection="1">
      <alignment horizontal="center" vertical="top" wrapText="1"/>
      <protection locked="0"/>
    </xf>
    <xf numFmtId="0" fontId="2" fillId="0" borderId="13" xfId="2" applyNumberFormat="1" applyFont="1" applyBorder="1" applyAlignment="1" applyProtection="1">
      <alignment horizontal="center" vertical="top" wrapText="1"/>
      <protection locked="0"/>
    </xf>
    <xf numFmtId="2" fontId="2" fillId="0" borderId="13" xfId="2" applyNumberFormat="1" applyBorder="1" applyAlignment="1" applyProtection="1">
      <alignment horizontal="center" vertical="top" wrapText="1"/>
      <protection locked="0"/>
    </xf>
    <xf numFmtId="0" fontId="2" fillId="0" borderId="13" xfId="2" applyFont="1" applyBorder="1" applyAlignment="1" applyProtection="1">
      <alignment horizontal="center" vertical="top" wrapText="1"/>
      <protection locked="0"/>
    </xf>
    <xf numFmtId="0" fontId="2" fillId="0" borderId="13" xfId="2" applyBorder="1" applyAlignment="1" applyProtection="1">
      <alignment horizontal="center" vertical="top" wrapText="1"/>
      <protection locked="0"/>
    </xf>
    <xf numFmtId="175" fontId="2" fillId="0" borderId="13" xfId="2" applyNumberFormat="1" applyBorder="1" applyAlignment="1" applyProtection="1">
      <alignment horizontal="center" vertical="top" wrapText="1"/>
      <protection locked="0"/>
    </xf>
    <xf numFmtId="0" fontId="2" fillId="0" borderId="13" xfId="2" applyFont="1" applyBorder="1" applyAlignment="1" applyProtection="1">
      <alignment vertical="top" wrapText="1"/>
      <protection locked="0"/>
    </xf>
    <xf numFmtId="0" fontId="2" fillId="0" borderId="13" xfId="2" applyBorder="1" applyAlignment="1" applyProtection="1">
      <alignment vertical="top" wrapText="1"/>
      <protection locked="0"/>
    </xf>
    <xf numFmtId="0" fontId="2" fillId="0" borderId="0" xfId="2" applyAlignment="1" applyProtection="1">
      <alignment vertical="top" wrapText="1"/>
      <protection locked="0"/>
    </xf>
    <xf numFmtId="175" fontId="2" fillId="0" borderId="2" xfId="2" applyNumberFormat="1" applyBorder="1" applyAlignment="1" applyProtection="1">
      <alignment horizontal="center" vertical="top" wrapText="1"/>
      <protection locked="0"/>
    </xf>
    <xf numFmtId="0" fontId="2" fillId="0" borderId="2" xfId="2" applyFont="1" applyBorder="1" applyAlignment="1" applyProtection="1">
      <alignment vertical="top" wrapText="1"/>
      <protection locked="0"/>
    </xf>
    <xf numFmtId="0" fontId="2" fillId="0" borderId="2" xfId="2" applyBorder="1" applyAlignment="1" applyProtection="1">
      <alignment horizontal="center" vertical="top" wrapText="1"/>
      <protection locked="0"/>
    </xf>
    <xf numFmtId="184" fontId="2" fillId="0" borderId="2" xfId="2" applyNumberFormat="1" applyBorder="1" applyAlignment="1" applyProtection="1">
      <alignment horizontal="center" vertical="top" wrapText="1"/>
      <protection locked="0"/>
    </xf>
    <xf numFmtId="0" fontId="2" fillId="0" borderId="2" xfId="2" applyBorder="1" applyAlignment="1" applyProtection="1">
      <alignment vertical="top" wrapText="1"/>
      <protection locked="0"/>
    </xf>
    <xf numFmtId="0" fontId="2" fillId="0" borderId="2" xfId="2" applyNumberFormat="1" applyBorder="1" applyAlignment="1" applyProtection="1">
      <alignment horizontal="center" vertical="top" wrapText="1"/>
      <protection locked="0"/>
    </xf>
    <xf numFmtId="2" fontId="2" fillId="0" borderId="2" xfId="2" applyNumberFormat="1" applyBorder="1" applyAlignment="1" applyProtection="1">
      <alignment horizontal="center" vertical="top" wrapText="1"/>
      <protection locked="0"/>
    </xf>
    <xf numFmtId="184" fontId="2" fillId="0" borderId="0" xfId="2" applyNumberFormat="1" applyAlignment="1" applyProtection="1">
      <alignment horizontal="center" wrapText="1"/>
      <protection locked="0"/>
    </xf>
    <xf numFmtId="0" fontId="2" fillId="0" borderId="0" xfId="2" applyNumberFormat="1" applyAlignment="1" applyProtection="1">
      <alignment horizontal="center" wrapText="1"/>
      <protection locked="0"/>
    </xf>
    <xf numFmtId="2" fontId="2" fillId="0" borderId="0" xfId="2" applyNumberFormat="1" applyAlignment="1" applyProtection="1">
      <alignment horizontal="center" wrapText="1"/>
      <protection locked="0"/>
    </xf>
    <xf numFmtId="0" fontId="2" fillId="0" borderId="0" xfId="2" applyAlignment="1" applyProtection="1">
      <alignment horizontal="center" wrapText="1"/>
      <protection locked="0"/>
    </xf>
    <xf numFmtId="175" fontId="2" fillId="0" borderId="0" xfId="2" applyNumberFormat="1" applyAlignment="1" applyProtection="1">
      <alignment horizontal="center" wrapText="1"/>
      <protection locked="0"/>
    </xf>
    <xf numFmtId="175" fontId="2" fillId="0" borderId="0" xfId="2" applyNumberFormat="1" applyBorder="1" applyAlignment="1" applyProtection="1">
      <alignment horizontal="center" vertical="top" wrapText="1"/>
      <protection locked="0"/>
    </xf>
    <xf numFmtId="0" fontId="2" fillId="0" borderId="0" xfId="2" applyAlignment="1" applyProtection="1">
      <alignment wrapText="1"/>
      <protection locked="0"/>
    </xf>
    <xf numFmtId="3" fontId="73" fillId="0" borderId="2" xfId="0" applyNumberFormat="1" applyFont="1" applyFill="1" applyBorder="1" applyAlignment="1">
      <alignment horizontal="center"/>
    </xf>
    <xf numFmtId="1" fontId="73" fillId="0" borderId="2" xfId="0" applyNumberFormat="1" applyFont="1" applyFill="1" applyBorder="1" applyAlignment="1">
      <alignment horizontal="center"/>
    </xf>
    <xf numFmtId="0" fontId="73" fillId="0" borderId="2" xfId="0" applyFont="1" applyFill="1" applyBorder="1" applyAlignment="1">
      <alignment horizontal="center"/>
    </xf>
    <xf numFmtId="2" fontId="73" fillId="0" borderId="2" xfId="0" quotePrefix="1" applyNumberFormat="1" applyFont="1" applyFill="1" applyBorder="1" applyAlignment="1">
      <alignment horizontal="center"/>
    </xf>
    <xf numFmtId="2" fontId="72" fillId="0" borderId="2" xfId="0" applyNumberFormat="1" applyFont="1" applyFill="1" applyBorder="1" applyAlignment="1">
      <alignment horizontal="center" wrapText="1"/>
    </xf>
    <xf numFmtId="165" fontId="73" fillId="0" borderId="2" xfId="0" applyNumberFormat="1" applyFont="1" applyFill="1" applyBorder="1" applyAlignment="1">
      <alignment horizontal="center"/>
    </xf>
    <xf numFmtId="2" fontId="73" fillId="0" borderId="2" xfId="0" applyNumberFormat="1" applyFont="1" applyFill="1" applyBorder="1" applyAlignment="1">
      <alignment horizontal="center" wrapText="1"/>
    </xf>
    <xf numFmtId="167" fontId="74" fillId="0" borderId="2" xfId="0" applyNumberFormat="1" applyFont="1" applyFill="1" applyBorder="1" applyAlignment="1">
      <alignment horizontal="center" wrapText="1"/>
    </xf>
    <xf numFmtId="49" fontId="75" fillId="0" borderId="2" xfId="4" applyNumberFormat="1" applyFont="1" applyFill="1" applyBorder="1" applyAlignment="1" applyProtection="1">
      <alignment horizontal="center" vertical="center"/>
      <protection locked="0"/>
    </xf>
    <xf numFmtId="1" fontId="44" fillId="0" borderId="2" xfId="0" applyNumberFormat="1" applyFont="1" applyFill="1" applyBorder="1" applyAlignment="1">
      <alignment horizontal="center"/>
    </xf>
    <xf numFmtId="49" fontId="42" fillId="0" borderId="37" xfId="0" applyNumberFormat="1" applyFont="1" applyFill="1" applyBorder="1" applyAlignment="1">
      <alignment horizontal="center" vertical="center"/>
    </xf>
    <xf numFmtId="49" fontId="42" fillId="0" borderId="46" xfId="0" applyNumberFormat="1" applyFont="1" applyFill="1" applyBorder="1" applyAlignment="1">
      <alignment horizontal="center" vertical="center"/>
    </xf>
    <xf numFmtId="49" fontId="42" fillId="0" borderId="59" xfId="0" applyNumberFormat="1" applyFont="1" applyFill="1" applyBorder="1" applyAlignment="1">
      <alignment horizontal="center" vertical="center"/>
    </xf>
    <xf numFmtId="49" fontId="42" fillId="0" borderId="2" xfId="0" applyNumberFormat="1" applyFont="1" applyFill="1" applyBorder="1" applyAlignment="1">
      <alignment horizontal="center" vertical="center" wrapText="1"/>
    </xf>
    <xf numFmtId="49" fontId="42" fillId="0" borderId="2" xfId="0" applyNumberFormat="1" applyFont="1" applyFill="1" applyBorder="1" applyAlignment="1">
      <alignment horizontal="center" vertical="center"/>
    </xf>
    <xf numFmtId="0" fontId="5" fillId="34" borderId="38" xfId="0" applyNumberFormat="1" applyFont="1" applyFill="1" applyBorder="1" applyAlignment="1" applyProtection="1">
      <alignment horizontal="center" vertical="center"/>
    </xf>
    <xf numFmtId="0" fontId="5" fillId="34" borderId="33" xfId="0" applyNumberFormat="1" applyFont="1" applyFill="1" applyBorder="1" applyAlignment="1" applyProtection="1">
      <alignment horizontal="center" vertical="center"/>
    </xf>
    <xf numFmtId="0" fontId="5" fillId="34" borderId="57" xfId="0" applyNumberFormat="1" applyFont="1" applyFill="1" applyBorder="1" applyAlignment="1" applyProtection="1">
      <alignment horizontal="center" vertical="center"/>
    </xf>
    <xf numFmtId="0" fontId="5" fillId="12" borderId="12" xfId="0" applyNumberFormat="1" applyFont="1" applyFill="1" applyBorder="1" applyAlignment="1" applyProtection="1">
      <alignment horizontal="center" vertical="center"/>
    </xf>
    <xf numFmtId="0" fontId="17" fillId="34" borderId="54" xfId="0" applyNumberFormat="1" applyFont="1" applyFill="1" applyBorder="1" applyAlignment="1" applyProtection="1">
      <alignment horizontal="center" vertical="center"/>
    </xf>
    <xf numFmtId="0" fontId="5" fillId="34" borderId="0" xfId="0" applyNumberFormat="1" applyFont="1" applyFill="1" applyBorder="1" applyAlignment="1" applyProtection="1">
      <alignment horizontal="center" vertical="center"/>
    </xf>
    <xf numFmtId="0" fontId="5" fillId="0" borderId="12" xfId="0" applyNumberFormat="1" applyFont="1" applyFill="1" applyBorder="1" applyAlignment="1" applyProtection="1">
      <alignment horizontal="center" vertical="center"/>
    </xf>
    <xf numFmtId="0" fontId="2" fillId="0" borderId="12"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horizontal="center" vertical="center"/>
    </xf>
    <xf numFmtId="0" fontId="11" fillId="0" borderId="0" xfId="0" applyNumberFormat="1" applyFont="1" applyBorder="1" applyAlignment="1" applyProtection="1">
      <alignment horizontal="right" vertical="center"/>
    </xf>
    <xf numFmtId="0" fontId="2" fillId="0" borderId="0" xfId="0" applyNumberFormat="1" applyFont="1" applyBorder="1" applyAlignment="1" applyProtection="1">
      <alignment vertical="center"/>
    </xf>
    <xf numFmtId="0" fontId="5" fillId="17" borderId="54" xfId="0" applyNumberFormat="1" applyFont="1" applyFill="1" applyBorder="1" applyAlignment="1" applyProtection="1">
      <alignment horizontal="center" vertical="center"/>
    </xf>
    <xf numFmtId="0" fontId="5" fillId="17" borderId="0" xfId="0" applyNumberFormat="1" applyFont="1" applyFill="1" applyBorder="1" applyAlignment="1" applyProtection="1">
      <alignment horizontal="center" vertical="center"/>
    </xf>
    <xf numFmtId="0" fontId="5" fillId="17" borderId="58" xfId="0" applyNumberFormat="1" applyFont="1" applyFill="1" applyBorder="1" applyAlignment="1" applyProtection="1">
      <alignment horizontal="center" vertical="center"/>
    </xf>
    <xf numFmtId="0" fontId="17" fillId="0" borderId="105" xfId="2" applyFont="1" applyBorder="1" applyAlignment="1">
      <alignment horizontal="center" vertical="center" wrapText="1"/>
    </xf>
    <xf numFmtId="0" fontId="5" fillId="0" borderId="0" xfId="2" applyFont="1" applyAlignment="1">
      <alignment horizontal="center"/>
    </xf>
    <xf numFmtId="0" fontId="11" fillId="19" borderId="38" xfId="0" applyFont="1" applyFill="1" applyBorder="1" applyAlignment="1" applyProtection="1">
      <alignment horizontal="center"/>
    </xf>
    <xf numFmtId="0" fontId="11" fillId="19" borderId="33" xfId="0" applyFont="1" applyFill="1" applyBorder="1" applyAlignment="1" applyProtection="1">
      <alignment horizontal="center"/>
    </xf>
    <xf numFmtId="0" fontId="11" fillId="19" borderId="57" xfId="0" applyFont="1" applyFill="1" applyBorder="1" applyAlignment="1" applyProtection="1">
      <alignment horizontal="center"/>
    </xf>
    <xf numFmtId="0" fontId="11" fillId="25" borderId="38" xfId="0" applyFont="1" applyFill="1" applyBorder="1" applyAlignment="1" applyProtection="1">
      <alignment horizontal="center"/>
    </xf>
    <xf numFmtId="0" fontId="11" fillId="25" borderId="33" xfId="0" applyFont="1" applyFill="1" applyBorder="1" applyAlignment="1" applyProtection="1">
      <alignment horizontal="center"/>
    </xf>
    <xf numFmtId="0" fontId="39" fillId="32" borderId="53" xfId="2" applyFont="1" applyFill="1" applyBorder="1" applyAlignment="1" applyProtection="1">
      <alignment horizontal="center" vertical="center"/>
    </xf>
    <xf numFmtId="0" fontId="39" fillId="32" borderId="52" xfId="2" applyFont="1" applyFill="1" applyBorder="1" applyAlignment="1" applyProtection="1">
      <alignment horizontal="center" vertical="center"/>
    </xf>
    <xf numFmtId="0" fontId="39" fillId="32" borderId="50" xfId="2" applyFont="1" applyFill="1" applyBorder="1" applyAlignment="1" applyProtection="1">
      <alignment horizontal="center" vertical="center"/>
    </xf>
    <xf numFmtId="0" fontId="38" fillId="26" borderId="0" xfId="4" applyFill="1" applyAlignment="1" applyProtection="1">
      <alignment horizontal="center" vertical="center"/>
    </xf>
    <xf numFmtId="0" fontId="2" fillId="0" borderId="85" xfId="0" applyFont="1" applyBorder="1" applyAlignment="1">
      <alignment horizontal="center" vertical="center"/>
    </xf>
    <xf numFmtId="0" fontId="0" fillId="0" borderId="86" xfId="0" applyBorder="1" applyAlignment="1">
      <alignment horizontal="center" vertical="center"/>
    </xf>
    <xf numFmtId="0" fontId="0" fillId="0" borderId="87" xfId="0" applyBorder="1" applyAlignment="1">
      <alignment horizontal="center" vertical="center"/>
    </xf>
    <xf numFmtId="0" fontId="0" fillId="0" borderId="46" xfId="0" applyBorder="1" applyAlignment="1">
      <alignment horizontal="center" vertical="center"/>
    </xf>
    <xf numFmtId="0" fontId="0" fillId="0" borderId="44" xfId="0" applyBorder="1" applyAlignment="1">
      <alignment horizontal="center" vertical="center"/>
    </xf>
    <xf numFmtId="0" fontId="0" fillId="0" borderId="83" xfId="0" applyBorder="1" applyAlignment="1">
      <alignment horizontal="center" vertical="center"/>
    </xf>
    <xf numFmtId="0" fontId="2" fillId="0" borderId="83" xfId="0" applyFont="1" applyBorder="1" applyAlignment="1">
      <alignment horizontal="center" vertical="center"/>
    </xf>
    <xf numFmtId="0" fontId="28" fillId="27" borderId="9" xfId="0" applyFont="1" applyFill="1" applyBorder="1" applyAlignment="1">
      <alignment horizontal="center" vertical="center"/>
    </xf>
    <xf numFmtId="0" fontId="28" fillId="27" borderId="28" xfId="0" applyFont="1" applyFill="1" applyBorder="1" applyAlignment="1">
      <alignment horizontal="center" vertical="center"/>
    </xf>
    <xf numFmtId="0" fontId="28" fillId="27" borderId="10" xfId="0" applyFont="1" applyFill="1" applyBorder="1" applyAlignment="1">
      <alignment horizontal="center" vertical="center"/>
    </xf>
    <xf numFmtId="0" fontId="0" fillId="28" borderId="11" xfId="0" applyFill="1" applyBorder="1" applyAlignment="1">
      <alignment horizontal="center" vertical="center"/>
    </xf>
    <xf numFmtId="0" fontId="0" fillId="28" borderId="51" xfId="0" applyFill="1" applyBorder="1" applyAlignment="1">
      <alignment horizontal="center" vertical="center"/>
    </xf>
    <xf numFmtId="0" fontId="0" fillId="28" borderId="14" xfId="0" applyFill="1" applyBorder="1" applyAlignment="1">
      <alignment horizontal="center" vertical="center"/>
    </xf>
    <xf numFmtId="0" fontId="0" fillId="0" borderId="47" xfId="0" applyBorder="1" applyAlignment="1">
      <alignment horizontal="center" vertical="center"/>
    </xf>
    <xf numFmtId="0" fontId="0" fillId="0" borderId="76" xfId="0" applyBorder="1" applyAlignment="1">
      <alignment horizontal="center" vertical="center"/>
    </xf>
    <xf numFmtId="0" fontId="0" fillId="0" borderId="77" xfId="0" applyBorder="1" applyAlignment="1">
      <alignment horizontal="center" vertical="center"/>
    </xf>
    <xf numFmtId="14" fontId="28" fillId="21" borderId="74" xfId="0" applyNumberFormat="1" applyFont="1" applyFill="1" applyBorder="1" applyAlignment="1">
      <alignment horizontal="center" vertical="top" wrapText="1"/>
    </xf>
    <xf numFmtId="14" fontId="28" fillId="21" borderId="78" xfId="0" applyNumberFormat="1" applyFont="1" applyFill="1" applyBorder="1" applyAlignment="1">
      <alignment horizontal="center" vertical="top" wrapText="1"/>
    </xf>
    <xf numFmtId="0" fontId="28" fillId="0" borderId="59" xfId="0" applyFont="1" applyBorder="1" applyAlignment="1">
      <alignment horizontal="center" vertical="center" wrapText="1"/>
    </xf>
    <xf numFmtId="0" fontId="28" fillId="0" borderId="2" xfId="0" applyFont="1" applyBorder="1" applyAlignment="1">
      <alignment horizontal="center" vertical="center" wrapText="1"/>
    </xf>
    <xf numFmtId="0" fontId="28" fillId="0" borderId="81" xfId="0" applyFont="1" applyBorder="1" applyAlignment="1">
      <alignment horizontal="center" vertical="center" wrapText="1"/>
    </xf>
    <xf numFmtId="0" fontId="28" fillId="0" borderId="28" xfId="0" applyFont="1" applyBorder="1" applyAlignment="1">
      <alignment horizontal="center" vertical="center" wrapText="1"/>
    </xf>
    <xf numFmtId="0" fontId="0" fillId="23" borderId="0" xfId="0" applyFill="1" applyBorder="1" applyAlignment="1">
      <alignment horizontal="center" vertical="center" wrapText="1"/>
    </xf>
    <xf numFmtId="0" fontId="0" fillId="23" borderId="64" xfId="0" applyFill="1" applyBorder="1" applyAlignment="1">
      <alignment horizontal="center" vertical="center" wrapText="1"/>
    </xf>
    <xf numFmtId="0" fontId="0" fillId="23" borderId="29" xfId="0" applyFill="1" applyBorder="1" applyAlignment="1">
      <alignment horizontal="center" vertical="center" wrapText="1"/>
    </xf>
    <xf numFmtId="0" fontId="0" fillId="23" borderId="79" xfId="0" applyFill="1" applyBorder="1" applyAlignment="1">
      <alignment horizontal="center" vertical="center" wrapText="1"/>
    </xf>
    <xf numFmtId="0" fontId="27" fillId="27" borderId="39" xfId="0" applyFont="1" applyFill="1" applyBorder="1" applyAlignment="1">
      <alignment horizontal="center" vertical="center"/>
    </xf>
    <xf numFmtId="0" fontId="27" fillId="27" borderId="13" xfId="0" applyFont="1" applyFill="1" applyBorder="1" applyAlignment="1">
      <alignment horizontal="center" vertical="center"/>
    </xf>
    <xf numFmtId="0" fontId="27" fillId="27" borderId="19" xfId="0" applyFont="1" applyFill="1" applyBorder="1" applyAlignment="1">
      <alignment horizontal="center" vertical="center"/>
    </xf>
    <xf numFmtId="0" fontId="28" fillId="26" borderId="38" xfId="0" applyFont="1" applyFill="1" applyBorder="1" applyAlignment="1">
      <alignment horizontal="center" vertical="center" wrapText="1"/>
    </xf>
    <xf numFmtId="0" fontId="28" fillId="26" borderId="33" xfId="0" applyFont="1" applyFill="1" applyBorder="1" applyAlignment="1">
      <alignment horizontal="center" vertical="center" wrapText="1"/>
    </xf>
    <xf numFmtId="0" fontId="28" fillId="26" borderId="57" xfId="0" applyFont="1" applyFill="1" applyBorder="1" applyAlignment="1">
      <alignment horizontal="center" vertical="center" wrapText="1"/>
    </xf>
    <xf numFmtId="0" fontId="28" fillId="26" borderId="54" xfId="0" applyFont="1" applyFill="1" applyBorder="1" applyAlignment="1">
      <alignment horizontal="center" vertical="center" wrapText="1"/>
    </xf>
    <xf numFmtId="0" fontId="28" fillId="26" borderId="0" xfId="0" applyFont="1" applyFill="1" applyBorder="1" applyAlignment="1">
      <alignment horizontal="center" vertical="center" wrapText="1"/>
    </xf>
    <xf numFmtId="0" fontId="28" fillId="26" borderId="64" xfId="0" applyFont="1" applyFill="1" applyBorder="1" applyAlignment="1">
      <alignment horizontal="center" vertical="center" wrapText="1"/>
    </xf>
    <xf numFmtId="0" fontId="28" fillId="26" borderId="36" xfId="0" applyFont="1" applyFill="1" applyBorder="1" applyAlignment="1">
      <alignment horizontal="center" vertical="center" wrapText="1"/>
    </xf>
    <xf numFmtId="0" fontId="28" fillId="26" borderId="47" xfId="0" applyFont="1" applyFill="1" applyBorder="1" applyAlignment="1">
      <alignment horizontal="center" vertical="center" wrapText="1"/>
    </xf>
    <xf numFmtId="0" fontId="28" fillId="26" borderId="65" xfId="0" applyFont="1" applyFill="1" applyBorder="1" applyAlignment="1">
      <alignment horizontal="center" vertical="center" wrapText="1"/>
    </xf>
    <xf numFmtId="14" fontId="28" fillId="21" borderId="80" xfId="0" applyNumberFormat="1" applyFont="1" applyFill="1" applyBorder="1" applyAlignment="1">
      <alignment horizontal="center" vertical="top" wrapText="1"/>
    </xf>
    <xf numFmtId="0" fontId="28" fillId="0" borderId="7" xfId="0" applyFont="1" applyBorder="1" applyAlignment="1">
      <alignment horizontal="center" vertical="center" wrapText="1"/>
    </xf>
    <xf numFmtId="0" fontId="28" fillId="0" borderId="40" xfId="0" applyFont="1" applyBorder="1" applyAlignment="1">
      <alignment horizontal="center" vertical="center" wrapText="1"/>
    </xf>
    <xf numFmtId="0" fontId="28" fillId="0" borderId="57" xfId="0" applyFont="1" applyBorder="1" applyAlignment="1">
      <alignment horizontal="center" vertical="center" wrapText="1"/>
    </xf>
    <xf numFmtId="0" fontId="28" fillId="0" borderId="12" xfId="0" applyFont="1" applyBorder="1" applyAlignment="1">
      <alignment horizontal="center" vertical="center" wrapText="1"/>
    </xf>
    <xf numFmtId="0" fontId="28" fillId="0" borderId="38" xfId="0" applyFont="1" applyBorder="1" applyAlignment="1">
      <alignment horizontal="center" vertical="center" wrapText="1"/>
    </xf>
    <xf numFmtId="0" fontId="28" fillId="0" borderId="33" xfId="0" applyFont="1" applyBorder="1" applyAlignment="1">
      <alignment horizontal="center" vertical="center" wrapText="1"/>
    </xf>
    <xf numFmtId="0" fontId="28" fillId="0" borderId="54" xfId="0" applyFont="1" applyBorder="1" applyAlignment="1">
      <alignment horizontal="center" vertical="center" wrapText="1"/>
    </xf>
    <xf numFmtId="0" fontId="28" fillId="0" borderId="0" xfId="0" applyFont="1" applyBorder="1" applyAlignment="1">
      <alignment horizontal="center" vertical="center" wrapText="1"/>
    </xf>
    <xf numFmtId="0" fontId="28" fillId="0" borderId="65" xfId="0" applyFont="1" applyBorder="1" applyAlignment="1">
      <alignment horizontal="center" vertical="center" wrapText="1"/>
    </xf>
    <xf numFmtId="0" fontId="28" fillId="0" borderId="32" xfId="0" applyFont="1" applyBorder="1" applyAlignment="1">
      <alignment horizontal="center" vertical="center" wrapText="1"/>
    </xf>
    <xf numFmtId="0" fontId="28" fillId="0" borderId="16" xfId="0" applyFont="1" applyBorder="1" applyAlignment="1">
      <alignment horizontal="center" vertical="center" wrapText="1"/>
    </xf>
    <xf numFmtId="0" fontId="28" fillId="0" borderId="64" xfId="0" applyFont="1" applyBorder="1" applyAlignment="1">
      <alignment horizontal="center" vertical="center" wrapText="1"/>
    </xf>
    <xf numFmtId="0" fontId="28" fillId="0" borderId="77" xfId="0" applyFont="1" applyBorder="1" applyAlignment="1">
      <alignment horizontal="center" vertical="center" wrapText="1"/>
    </xf>
    <xf numFmtId="0" fontId="0" fillId="23" borderId="2" xfId="0" applyFill="1" applyBorder="1" applyAlignment="1">
      <alignment horizontal="center" vertical="center" wrapText="1"/>
    </xf>
    <xf numFmtId="0" fontId="0" fillId="23" borderId="13" xfId="0" applyFill="1" applyBorder="1" applyAlignment="1">
      <alignment horizontal="center" vertical="center" wrapText="1"/>
    </xf>
    <xf numFmtId="0" fontId="6" fillId="7" borderId="48" xfId="0" applyFont="1" applyFill="1" applyBorder="1" applyAlignment="1">
      <alignment horizontal="center" vertical="center"/>
    </xf>
    <xf numFmtId="0" fontId="0" fillId="0" borderId="13" xfId="0" applyBorder="1" applyAlignment="1">
      <alignment horizontal="center" vertical="center"/>
    </xf>
    <xf numFmtId="0" fontId="0" fillId="0" borderId="48" xfId="0" applyBorder="1" applyAlignment="1">
      <alignment horizontal="center" vertical="center" wrapText="1"/>
    </xf>
    <xf numFmtId="0" fontId="0" fillId="0" borderId="13" xfId="0" applyBorder="1" applyAlignment="1">
      <alignment horizontal="center" vertical="center" wrapText="1"/>
    </xf>
    <xf numFmtId="0" fontId="0" fillId="23" borderId="5" xfId="0" applyFill="1" applyBorder="1" applyAlignment="1">
      <alignment horizontal="center" vertical="center" wrapText="1"/>
    </xf>
    <xf numFmtId="0" fontId="27" fillId="21" borderId="53" xfId="0" applyFont="1" applyFill="1" applyBorder="1" applyAlignment="1">
      <alignment horizontal="center"/>
    </xf>
    <xf numFmtId="0" fontId="27" fillId="21" borderId="52" xfId="0" applyFont="1" applyFill="1" applyBorder="1" applyAlignment="1">
      <alignment horizontal="center"/>
    </xf>
    <xf numFmtId="0" fontId="27" fillId="21" borderId="50" xfId="0" applyFont="1" applyFill="1" applyBorder="1" applyAlignment="1">
      <alignment horizontal="center"/>
    </xf>
    <xf numFmtId="0" fontId="28" fillId="0" borderId="67" xfId="0" applyFont="1" applyFill="1" applyBorder="1" applyAlignment="1">
      <alignment horizontal="center" vertical="center" wrapText="1"/>
    </xf>
    <xf numFmtId="0" fontId="28" fillId="0" borderId="21" xfId="0" applyFont="1" applyFill="1" applyBorder="1" applyAlignment="1">
      <alignment horizontal="center" vertical="center" wrapText="1"/>
    </xf>
    <xf numFmtId="0" fontId="28" fillId="0" borderId="39" xfId="0" applyFont="1" applyFill="1" applyBorder="1" applyAlignment="1">
      <alignment horizontal="center" vertical="center" wrapText="1"/>
    </xf>
    <xf numFmtId="0" fontId="28" fillId="23" borderId="73" xfId="0" applyFont="1" applyFill="1" applyBorder="1" applyAlignment="1">
      <alignment horizontal="center" vertical="center" wrapText="1"/>
    </xf>
    <xf numFmtId="0" fontId="28" fillId="23" borderId="68" xfId="0" applyFont="1" applyFill="1" applyBorder="1" applyAlignment="1">
      <alignment horizontal="center" vertical="center" wrapText="1"/>
    </xf>
    <xf numFmtId="0" fontId="28" fillId="0" borderId="36" xfId="0" applyFont="1" applyBorder="1" applyAlignment="1">
      <alignment horizontal="center" vertical="center" wrapText="1"/>
    </xf>
    <xf numFmtId="0" fontId="28" fillId="0" borderId="47" xfId="0" applyFont="1" applyBorder="1" applyAlignment="1">
      <alignment horizontal="center" vertical="center" wrapText="1"/>
    </xf>
    <xf numFmtId="0" fontId="0" fillId="0" borderId="0" xfId="0"/>
    <xf numFmtId="0" fontId="2" fillId="5" borderId="1" xfId="0" applyFont="1" applyFill="1" applyBorder="1" applyAlignment="1">
      <alignment wrapText="1"/>
    </xf>
    <xf numFmtId="0" fontId="0" fillId="5" borderId="1" xfId="0" applyFill="1" applyBorder="1" applyAlignment="1"/>
    <xf numFmtId="0" fontId="0" fillId="5" borderId="1" xfId="0" applyFill="1" applyBorder="1" applyAlignment="1">
      <alignment wrapText="1"/>
    </xf>
    <xf numFmtId="0" fontId="2" fillId="0" borderId="0" xfId="0" applyFont="1" applyAlignment="1">
      <alignment wrapText="1"/>
    </xf>
    <xf numFmtId="0" fontId="0" fillId="0" borderId="0" xfId="0" applyAlignment="1"/>
    <xf numFmtId="0" fontId="0" fillId="0" borderId="0" xfId="0" applyAlignment="1">
      <alignment wrapText="1"/>
    </xf>
    <xf numFmtId="0" fontId="5" fillId="7" borderId="24" xfId="0" applyFont="1" applyFill="1" applyBorder="1" applyAlignment="1"/>
    <xf numFmtId="0" fontId="0" fillId="7" borderId="61" xfId="0" applyFill="1" applyBorder="1" applyAlignment="1"/>
    <xf numFmtId="0" fontId="2" fillId="7" borderId="32" xfId="0" applyFont="1" applyFill="1" applyBorder="1" applyAlignment="1"/>
    <xf numFmtId="0" fontId="0" fillId="7" borderId="57" xfId="0" applyFill="1" applyBorder="1" applyAlignment="1"/>
    <xf numFmtId="0" fontId="0" fillId="0" borderId="60" xfId="0" applyBorder="1" applyAlignment="1">
      <alignment wrapText="1"/>
    </xf>
    <xf numFmtId="0" fontId="2" fillId="7" borderId="62" xfId="0" applyFont="1" applyFill="1" applyBorder="1" applyAlignment="1"/>
    <xf numFmtId="0" fontId="0" fillId="7" borderId="63" xfId="0" applyFill="1" applyBorder="1" applyAlignment="1"/>
    <xf numFmtId="0" fontId="5" fillId="0" borderId="0" xfId="0" applyFont="1" applyAlignment="1">
      <alignment wrapText="1"/>
    </xf>
    <xf numFmtId="0" fontId="2" fillId="0" borderId="0" xfId="0" applyFont="1" applyFill="1" applyAlignment="1">
      <alignment wrapText="1"/>
    </xf>
    <xf numFmtId="0" fontId="0" fillId="0" borderId="0" xfId="0" applyFill="1" applyAlignment="1">
      <alignment wrapText="1"/>
    </xf>
    <xf numFmtId="0" fontId="0" fillId="4" borderId="0" xfId="0" applyFill="1" applyAlignment="1">
      <alignment wrapText="1"/>
    </xf>
    <xf numFmtId="0" fontId="0" fillId="7" borderId="0" xfId="0" applyFill="1" applyAlignment="1">
      <alignment wrapText="1"/>
    </xf>
    <xf numFmtId="0" fontId="0" fillId="0" borderId="60" xfId="0" applyBorder="1" applyAlignment="1"/>
    <xf numFmtId="0" fontId="0" fillId="0" borderId="1" xfId="0" applyBorder="1" applyAlignment="1">
      <alignment wrapText="1"/>
    </xf>
    <xf numFmtId="0" fontId="2" fillId="0" borderId="1" xfId="0" applyFont="1" applyBorder="1" applyAlignment="1">
      <alignment wrapText="1"/>
    </xf>
    <xf numFmtId="0" fontId="0" fillId="0" borderId="1" xfId="0" applyBorder="1" applyAlignment="1"/>
    <xf numFmtId="0" fontId="30" fillId="0" borderId="1" xfId="0" applyFont="1" applyFill="1" applyBorder="1" applyAlignment="1">
      <alignment wrapText="1"/>
    </xf>
    <xf numFmtId="0" fontId="30" fillId="0" borderId="1" xfId="0" applyFont="1" applyFill="1" applyBorder="1" applyAlignment="1"/>
    <xf numFmtId="0" fontId="30" fillId="0" borderId="1" xfId="0" applyFont="1" applyBorder="1" applyAlignment="1">
      <alignment wrapText="1"/>
    </xf>
    <xf numFmtId="0" fontId="0" fillId="0" borderId="2" xfId="0" applyBorder="1" applyAlignment="1">
      <alignment wrapText="1"/>
    </xf>
    <xf numFmtId="0" fontId="2" fillId="0" borderId="2" xfId="0" applyFont="1" applyBorder="1" applyAlignment="1">
      <alignment wrapText="1"/>
    </xf>
    <xf numFmtId="0" fontId="0" fillId="0" borderId="0" xfId="0" applyBorder="1" applyAlignment="1">
      <alignment wrapText="1"/>
    </xf>
    <xf numFmtId="0" fontId="5" fillId="0" borderId="3" xfId="0" applyFont="1" applyBorder="1" applyAlignment="1"/>
    <xf numFmtId="0" fontId="0" fillId="0" borderId="3" xfId="0" applyBorder="1" applyAlignment="1"/>
    <xf numFmtId="38" fontId="2" fillId="0" borderId="2" xfId="3" applyFont="1" applyFill="1" applyBorder="1" applyAlignment="1">
      <alignment horizontal="left" vertical="center" wrapText="1"/>
    </xf>
    <xf numFmtId="0" fontId="0" fillId="0" borderId="2" xfId="0" applyBorder="1" applyAlignment="1">
      <alignment horizontal="left" vertical="center"/>
    </xf>
    <xf numFmtId="0" fontId="0" fillId="0" borderId="2" xfId="0" applyBorder="1" applyAlignment="1"/>
    <xf numFmtId="0" fontId="2" fillId="0" borderId="36" xfId="0" applyFont="1" applyBorder="1" applyAlignment="1">
      <alignment wrapText="1"/>
    </xf>
    <xf numFmtId="0" fontId="0" fillId="0" borderId="47" xfId="0" applyBorder="1" applyAlignment="1"/>
    <xf numFmtId="0" fontId="0" fillId="0" borderId="65" xfId="0" applyBorder="1" applyAlignment="1"/>
    <xf numFmtId="0" fontId="2" fillId="0" borderId="2" xfId="0" applyFont="1" applyBorder="1" applyAlignment="1">
      <alignment horizontal="left" wrapText="1"/>
    </xf>
    <xf numFmtId="0" fontId="0" fillId="0" borderId="13" xfId="0" applyBorder="1" applyAlignment="1">
      <alignment wrapText="1"/>
    </xf>
    <xf numFmtId="0" fontId="0" fillId="0" borderId="13" xfId="0" applyBorder="1" applyAlignment="1"/>
    <xf numFmtId="38" fontId="2" fillId="4" borderId="37" xfId="3" applyFont="1" applyFill="1" applyBorder="1" applyAlignment="1">
      <alignment horizontal="left" vertical="center" wrapText="1"/>
    </xf>
    <xf numFmtId="0" fontId="2" fillId="4" borderId="46" xfId="0" applyFont="1" applyFill="1" applyBorder="1" applyAlignment="1">
      <alignment horizontal="left" vertical="center" wrapText="1"/>
    </xf>
    <xf numFmtId="0" fontId="0" fillId="0" borderId="46" xfId="0" applyBorder="1" applyAlignment="1">
      <alignment horizontal="left" vertical="center" wrapText="1"/>
    </xf>
    <xf numFmtId="0" fontId="0" fillId="0" borderId="59" xfId="0" applyBorder="1" applyAlignment="1">
      <alignment horizontal="left" vertical="center" wrapText="1"/>
    </xf>
    <xf numFmtId="0" fontId="2" fillId="0" borderId="37" xfId="0" applyFont="1" applyBorder="1" applyAlignment="1">
      <alignment horizontal="left" vertical="top" wrapText="1"/>
    </xf>
    <xf numFmtId="0" fontId="2" fillId="0" borderId="46" xfId="0" applyFont="1" applyBorder="1" applyAlignment="1">
      <alignment horizontal="left" vertical="top" wrapText="1"/>
    </xf>
    <xf numFmtId="0" fontId="2" fillId="0" borderId="59" xfId="0" applyFont="1" applyBorder="1" applyAlignment="1">
      <alignment horizontal="left" vertical="top" wrapText="1"/>
    </xf>
    <xf numFmtId="0" fontId="30" fillId="5" borderId="1" xfId="0" applyFont="1" applyFill="1" applyBorder="1" applyAlignment="1">
      <alignment wrapText="1"/>
    </xf>
    <xf numFmtId="0" fontId="30" fillId="5" borderId="1" xfId="0" applyFont="1" applyFill="1" applyBorder="1" applyAlignment="1"/>
    <xf numFmtId="0" fontId="0" fillId="4" borderId="2" xfId="0" applyFill="1" applyBorder="1" applyAlignment="1">
      <alignment wrapText="1"/>
    </xf>
    <xf numFmtId="0" fontId="0" fillId="4" borderId="2" xfId="0" applyFill="1" applyBorder="1" applyAlignment="1"/>
    <xf numFmtId="0" fontId="0" fillId="0" borderId="37" xfId="0" applyBorder="1" applyAlignment="1">
      <alignment wrapText="1"/>
    </xf>
    <xf numFmtId="0" fontId="0" fillId="0" borderId="46" xfId="0" applyBorder="1" applyAlignment="1">
      <alignment wrapText="1"/>
    </xf>
    <xf numFmtId="0" fontId="0" fillId="0" borderId="59" xfId="0" applyBorder="1" applyAlignment="1">
      <alignment wrapText="1"/>
    </xf>
    <xf numFmtId="0" fontId="0" fillId="0" borderId="38" xfId="0" applyBorder="1" applyAlignment="1">
      <alignment wrapText="1"/>
    </xf>
    <xf numFmtId="0" fontId="0" fillId="0" borderId="33" xfId="0" applyBorder="1" applyAlignment="1"/>
    <xf numFmtId="0" fontId="0" fillId="0" borderId="57" xfId="0" applyBorder="1" applyAlignment="1"/>
    <xf numFmtId="0" fontId="5" fillId="4" borderId="2" xfId="0" applyFont="1" applyFill="1" applyBorder="1" applyAlignment="1"/>
    <xf numFmtId="0" fontId="2" fillId="4" borderId="2" xfId="0" applyFont="1" applyFill="1" applyBorder="1" applyAlignment="1">
      <alignment wrapText="1"/>
    </xf>
    <xf numFmtId="0" fontId="0" fillId="4" borderId="46" xfId="0" applyFill="1" applyBorder="1" applyAlignment="1">
      <alignment wrapText="1"/>
    </xf>
    <xf numFmtId="0" fontId="0" fillId="4" borderId="46" xfId="0" applyFill="1" applyBorder="1" applyAlignment="1"/>
    <xf numFmtId="0" fontId="66" fillId="0" borderId="12" xfId="5" applyFont="1" applyBorder="1" applyAlignment="1">
      <alignment horizontal="center" vertical="center" wrapText="1"/>
    </xf>
    <xf numFmtId="0" fontId="66" fillId="0" borderId="13" xfId="5" applyFont="1" applyBorder="1" applyAlignment="1">
      <alignment horizontal="center" vertical="center" wrapText="1"/>
    </xf>
    <xf numFmtId="0" fontId="65" fillId="10" borderId="2" xfId="5" applyFont="1" applyFill="1" applyBorder="1" applyAlignment="1">
      <alignment horizontal="center" vertical="center" wrapText="1"/>
    </xf>
    <xf numFmtId="0" fontId="66" fillId="0" borderId="2" xfId="2" applyFont="1" applyBorder="1" applyAlignment="1">
      <alignment horizontal="center" vertical="center" wrapText="1"/>
    </xf>
    <xf numFmtId="0" fontId="65" fillId="56" borderId="53" xfId="2" applyFont="1" applyFill="1" applyBorder="1" applyAlignment="1">
      <alignment horizontal="center" vertical="center" wrapText="1"/>
    </xf>
    <xf numFmtId="0" fontId="66" fillId="0" borderId="52" xfId="2" applyFont="1" applyBorder="1" applyAlignment="1">
      <alignment horizontal="center" vertical="center" wrapText="1"/>
    </xf>
    <xf numFmtId="0" fontId="66" fillId="0" borderId="50" xfId="2" applyFont="1" applyBorder="1" applyAlignment="1">
      <alignment horizontal="center" vertical="center" wrapText="1"/>
    </xf>
    <xf numFmtId="0" fontId="65" fillId="29" borderId="2" xfId="5" applyFont="1" applyFill="1" applyBorder="1" applyAlignment="1">
      <alignment horizontal="center" vertical="center" wrapText="1"/>
    </xf>
    <xf numFmtId="0" fontId="65" fillId="29" borderId="2" xfId="2" applyFont="1" applyFill="1" applyBorder="1" applyAlignment="1">
      <alignment horizontal="center" vertical="center" wrapText="1"/>
    </xf>
    <xf numFmtId="0" fontId="5" fillId="0" borderId="0" xfId="2" applyFont="1" applyAlignment="1"/>
    <xf numFmtId="0" fontId="61" fillId="17" borderId="37" xfId="2" applyFont="1" applyFill="1" applyBorder="1" applyAlignment="1">
      <alignment horizontal="center"/>
    </xf>
    <xf numFmtId="0" fontId="61" fillId="17" borderId="46" xfId="2" applyFont="1" applyFill="1" applyBorder="1" applyAlignment="1">
      <alignment horizontal="center"/>
    </xf>
    <xf numFmtId="0" fontId="61" fillId="17" borderId="59" xfId="2" applyFont="1" applyFill="1" applyBorder="1" applyAlignment="1">
      <alignment horizontal="center"/>
    </xf>
    <xf numFmtId="0" fontId="0" fillId="0" borderId="65" xfId="0" applyBorder="1" applyAlignment="1">
      <alignment horizontal="center" vertical="center"/>
    </xf>
    <xf numFmtId="0" fontId="0" fillId="0" borderId="33" xfId="0" applyBorder="1" applyAlignment="1">
      <alignment horizontal="center" vertical="center"/>
    </xf>
    <xf numFmtId="0" fontId="0" fillId="0" borderId="57" xfId="0" applyBorder="1" applyAlignment="1">
      <alignment horizontal="center" vertical="center"/>
    </xf>
    <xf numFmtId="0" fontId="0" fillId="21" borderId="38" xfId="0" applyFill="1" applyBorder="1" applyAlignment="1">
      <alignment horizontal="center" vertical="center"/>
    </xf>
    <xf numFmtId="0" fontId="0" fillId="21" borderId="46" xfId="0" applyFill="1" applyBorder="1" applyAlignment="1">
      <alignment horizontal="center" vertical="center"/>
    </xf>
    <xf numFmtId="0" fontId="0" fillId="21" borderId="59" xfId="0" applyFill="1" applyBorder="1" applyAlignment="1">
      <alignment horizontal="center" vertical="center"/>
    </xf>
    <xf numFmtId="0" fontId="0" fillId="0" borderId="37" xfId="0" applyBorder="1" applyAlignment="1">
      <alignment horizontal="right" vertical="center"/>
    </xf>
    <xf numFmtId="0" fontId="0" fillId="0" borderId="46" xfId="0" applyBorder="1" applyAlignment="1">
      <alignment horizontal="right" vertical="center"/>
    </xf>
    <xf numFmtId="0" fontId="0" fillId="0" borderId="36" xfId="0" applyBorder="1" applyAlignment="1">
      <alignment horizontal="left" vertical="center" wrapText="1"/>
    </xf>
    <xf numFmtId="0" fontId="0" fillId="0" borderId="47" xfId="0" applyBorder="1" applyAlignment="1">
      <alignment horizontal="left" vertical="center" wrapText="1"/>
    </xf>
    <xf numFmtId="0" fontId="0" fillId="0" borderId="65" xfId="0" applyBorder="1" applyAlignment="1">
      <alignment horizontal="left" vertical="center" wrapText="1"/>
    </xf>
    <xf numFmtId="0" fontId="0" fillId="21" borderId="2" xfId="0" applyFill="1" applyBorder="1" applyAlignment="1">
      <alignment horizontal="center" vertical="center"/>
    </xf>
    <xf numFmtId="0" fontId="0" fillId="21" borderId="12" xfId="0" applyFill="1" applyBorder="1" applyAlignment="1">
      <alignment horizontal="center" vertical="center"/>
    </xf>
    <xf numFmtId="0" fontId="0" fillId="0" borderId="46" xfId="0" applyBorder="1" applyAlignment="1">
      <alignment horizontal="left" vertical="center"/>
    </xf>
    <xf numFmtId="0" fontId="0" fillId="0" borderId="59" xfId="0" applyBorder="1" applyAlignment="1">
      <alignment horizontal="left" vertical="center"/>
    </xf>
    <xf numFmtId="0" fontId="0" fillId="21" borderId="37" xfId="0" applyFill="1" applyBorder="1" applyAlignment="1">
      <alignment horizontal="center" vertical="center"/>
    </xf>
    <xf numFmtId="0" fontId="0" fillId="0" borderId="37" xfId="0" applyBorder="1" applyAlignment="1">
      <alignment horizontal="left" vertical="center" wrapText="1"/>
    </xf>
    <xf numFmtId="0" fontId="0" fillId="0" borderId="54" xfId="0" applyBorder="1" applyAlignment="1">
      <alignment horizontal="right" vertical="center"/>
    </xf>
    <xf numFmtId="0" fontId="0" fillId="0" borderId="0" xfId="0" applyBorder="1" applyAlignment="1">
      <alignment horizontal="right" vertical="center"/>
    </xf>
    <xf numFmtId="0" fontId="2" fillId="0" borderId="37" xfId="0" applyFont="1" applyBorder="1" applyAlignment="1">
      <alignment horizontal="right" vertical="center"/>
    </xf>
    <xf numFmtId="0" fontId="0" fillId="0" borderId="54" xfId="0" applyBorder="1" applyAlignment="1">
      <alignment horizontal="left" vertical="center" wrapText="1"/>
    </xf>
    <xf numFmtId="0" fontId="0" fillId="0" borderId="0" xfId="0" applyBorder="1" applyAlignment="1">
      <alignment horizontal="left" vertical="center" wrapText="1"/>
    </xf>
    <xf numFmtId="0" fontId="0" fillId="0" borderId="64" xfId="0" applyBorder="1" applyAlignment="1">
      <alignment horizontal="left" vertical="center" wrapText="1"/>
    </xf>
    <xf numFmtId="0" fontId="26" fillId="0" borderId="47" xfId="0" applyFont="1" applyBorder="1" applyAlignment="1">
      <alignment horizontal="center" vertical="center"/>
    </xf>
    <xf numFmtId="0" fontId="0" fillId="0" borderId="38" xfId="0" applyBorder="1" applyAlignment="1">
      <alignment horizontal="left" vertical="center" wrapText="1"/>
    </xf>
    <xf numFmtId="0" fontId="0" fillId="0" borderId="33" xfId="0" applyBorder="1" applyAlignment="1">
      <alignment horizontal="left" vertical="center" wrapText="1"/>
    </xf>
    <xf numFmtId="0" fontId="0" fillId="0" borderId="57" xfId="0" applyBorder="1" applyAlignment="1">
      <alignment horizontal="left" vertical="center" wrapText="1"/>
    </xf>
  </cellXfs>
  <cellStyles count="63">
    <cellStyle name="20% - Accent1 2" xfId="6"/>
    <cellStyle name="20% - Accent2 2" xfId="7"/>
    <cellStyle name="20% - Accent3 2" xfId="8"/>
    <cellStyle name="20% - Accent4 2" xfId="9"/>
    <cellStyle name="20% - Accent5 2" xfId="10"/>
    <cellStyle name="20% - Accent6 2" xfId="11"/>
    <cellStyle name="40% - Accent1 2" xfId="12"/>
    <cellStyle name="40% - Accent2 2" xfId="13"/>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2" xfId="28"/>
    <cellStyle name="Accent6 2" xfId="29"/>
    <cellStyle name="Bad 2" xfId="30"/>
    <cellStyle name="Calculation 2" xfId="31"/>
    <cellStyle name="Check Cell 2" xfId="32"/>
    <cellStyle name="Comma 2" xfId="33"/>
    <cellStyle name="Explanatory Text 2" xfId="34"/>
    <cellStyle name="Good 2" xfId="35"/>
    <cellStyle name="Heading 1 2" xfId="36"/>
    <cellStyle name="Heading 2 2" xfId="37"/>
    <cellStyle name="Heading 3 2" xfId="38"/>
    <cellStyle name="Heading 4 2" xfId="39"/>
    <cellStyle name="Hyperlink" xfId="4" builtinId="8"/>
    <cellStyle name="Input 2" xfId="40"/>
    <cellStyle name="Linked Cell 2" xfId="41"/>
    <cellStyle name="Neutral 2" xfId="42"/>
    <cellStyle name="Normal" xfId="0" builtinId="0"/>
    <cellStyle name="Normal 10" xfId="43"/>
    <cellStyle name="Normal 11" xfId="44"/>
    <cellStyle name="Normal 2" xfId="1"/>
    <cellStyle name="Normal 2 2" xfId="2"/>
    <cellStyle name="Normal 2_Data" xfId="45"/>
    <cellStyle name="Normal 3" xfId="5"/>
    <cellStyle name="Normal 4" xfId="46"/>
    <cellStyle name="Normal 4 2" xfId="47"/>
    <cellStyle name="Normal 4 3" xfId="48"/>
    <cellStyle name="Normal 4_Data" xfId="49"/>
    <cellStyle name="Normal 5" xfId="50"/>
    <cellStyle name="Normal 6" xfId="51"/>
    <cellStyle name="Normal 7" xfId="52"/>
    <cellStyle name="Normal 8" xfId="53"/>
    <cellStyle name="Normal 9" xfId="54"/>
    <cellStyle name="Normal_RCP Input" xfId="3"/>
    <cellStyle name="Normal_Sheet1" xfId="55"/>
    <cellStyle name="Note 2" xfId="56"/>
    <cellStyle name="Note 3" xfId="57"/>
    <cellStyle name="Output 2" xfId="58"/>
    <cellStyle name="Percent 2" xfId="59"/>
    <cellStyle name="Title 2" xfId="60"/>
    <cellStyle name="Total 2" xfId="61"/>
    <cellStyle name="Warning Text 2" xfId="62"/>
  </cellStyles>
  <dxfs count="102">
    <dxf>
      <font>
        <b val="0"/>
        <i val="0"/>
        <color rgb="FFFF0000"/>
      </font>
    </dxf>
    <dxf>
      <font>
        <strike/>
      </font>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ill>
        <patternFill>
          <bgColor rgb="FFFF0000"/>
        </patternFill>
      </fill>
    </dxf>
    <dxf>
      <font>
        <strike/>
      </font>
      <fill>
        <patternFill>
          <bgColor rgb="FFFF0000"/>
        </patternFill>
      </fill>
    </dxf>
    <dxf>
      <fill>
        <patternFill>
          <bgColor rgb="FFFF0000"/>
        </patternFill>
      </fill>
    </dxf>
    <dxf>
      <font>
        <strike/>
      </font>
      <fill>
        <patternFill>
          <bgColor rgb="FFFF0000"/>
        </patternFill>
      </fill>
    </dxf>
    <dxf>
      <fill>
        <patternFill>
          <bgColor rgb="FFFF0000"/>
        </patternFill>
      </fill>
    </dxf>
    <dxf>
      <font>
        <strike/>
      </font>
      <fill>
        <patternFill>
          <bgColor rgb="FFFF0000"/>
        </patternFill>
      </fill>
    </dxf>
    <dxf>
      <fill>
        <patternFill>
          <bgColor rgb="FFFF0000"/>
        </patternFill>
      </fill>
    </dxf>
    <dxf>
      <font>
        <strike/>
      </font>
      <fill>
        <patternFill>
          <bgColor rgb="FFFF0000"/>
        </patternFill>
      </fill>
    </dxf>
    <dxf>
      <fill>
        <patternFill>
          <bgColor rgb="FFFF0000"/>
        </patternFill>
      </fill>
    </dxf>
    <dxf>
      <font>
        <strike/>
      </font>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theme="0" tint="-0.499984740745262"/>
        </patternFill>
      </fill>
    </dxf>
    <dxf>
      <fill>
        <patternFill>
          <bgColor indexed="23"/>
        </patternFill>
      </fill>
    </dxf>
    <dxf>
      <fill>
        <patternFill>
          <bgColor indexed="10"/>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patternType="none">
          <bgColor indexed="65"/>
        </patternFill>
      </fill>
    </dxf>
    <dxf>
      <fill>
        <patternFill patternType="none">
          <bgColor indexed="65"/>
        </patternFill>
      </fill>
    </dxf>
    <dxf>
      <fill>
        <patternFill>
          <bgColor indexed="23"/>
        </patternFill>
      </fill>
    </dxf>
    <dxf>
      <fill>
        <patternFill>
          <bgColor indexed="23"/>
        </patternFill>
      </fill>
    </dxf>
    <dxf>
      <fill>
        <patternFill>
          <bgColor indexed="23"/>
        </patternFill>
      </fill>
    </dxf>
    <dxf>
      <fill>
        <patternFill>
          <bgColor theme="0" tint="-0.499984740745262"/>
        </patternFill>
      </fill>
    </dxf>
    <dxf>
      <fill>
        <patternFill>
          <bgColor theme="0" tint="-0.499984740745262"/>
        </patternFill>
      </fill>
    </dxf>
    <dxf>
      <fill>
        <patternFill>
          <bgColor theme="0" tint="-0.499984740745262"/>
        </patternFill>
      </fill>
    </dxf>
    <dxf>
      <font>
        <strike/>
      </font>
      <fill>
        <patternFill>
          <bgColor rgb="FFFF0000"/>
        </patternFill>
      </fill>
    </dxf>
    <dxf>
      <fill>
        <patternFill>
          <bgColor rgb="FFFF0000"/>
        </patternFill>
      </fill>
    </dxf>
    <dxf>
      <fill>
        <patternFill>
          <bgColor rgb="FFFFFF00"/>
        </patternFill>
      </fill>
    </dxf>
    <dxf>
      <font>
        <strike/>
      </font>
      <fill>
        <patternFill>
          <bgColor rgb="FFFF0000"/>
        </patternFill>
      </fill>
    </dxf>
    <dxf>
      <fill>
        <patternFill>
          <bgColor rgb="FFFF0000"/>
        </patternFill>
      </fill>
    </dxf>
    <dxf>
      <fill>
        <patternFill>
          <bgColor rgb="FFFFFF00"/>
        </patternFill>
      </fill>
    </dxf>
    <dxf>
      <font>
        <strike/>
      </font>
      <fill>
        <patternFill>
          <bgColor rgb="FFFF0000"/>
        </patternFill>
      </fill>
    </dxf>
    <dxf>
      <fill>
        <patternFill>
          <bgColor rgb="FFFF0000"/>
        </patternFill>
      </fill>
    </dxf>
    <dxf>
      <fill>
        <patternFill>
          <bgColor rgb="FFFFFF00"/>
        </patternFill>
      </fill>
    </dxf>
    <dxf>
      <font>
        <strike/>
      </font>
      <fill>
        <patternFill>
          <bgColor rgb="FFFF0000"/>
        </patternFill>
      </fill>
    </dxf>
    <dxf>
      <fill>
        <patternFill>
          <bgColor rgb="FFFF0000"/>
        </patternFill>
      </fill>
    </dxf>
    <dxf>
      <fill>
        <patternFill>
          <bgColor rgb="FFFFFF00"/>
        </patternFill>
      </fill>
    </dxf>
    <dxf>
      <font>
        <strike/>
      </font>
      <fill>
        <patternFill>
          <bgColor rgb="FFFF0000"/>
        </patternFill>
      </fill>
    </dxf>
    <dxf>
      <fill>
        <patternFill>
          <bgColor rgb="FFFF0000"/>
        </patternFill>
      </fill>
    </dxf>
    <dxf>
      <fill>
        <patternFill>
          <bgColor rgb="FFFFFF00"/>
        </patternFill>
      </fill>
    </dxf>
    <dxf>
      <font>
        <strike/>
      </font>
      <fill>
        <patternFill>
          <bgColor rgb="FFFF0000"/>
        </patternFill>
      </fill>
    </dxf>
    <dxf>
      <fill>
        <patternFill>
          <bgColor rgb="FFFF0000"/>
        </patternFill>
      </fill>
    </dxf>
    <dxf>
      <font>
        <strike/>
      </font>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C000"/>
        </patternFill>
      </fill>
    </dxf>
    <dxf>
      <fill>
        <patternFill>
          <bgColor rgb="FFFFFF00"/>
        </patternFill>
      </fill>
    </dxf>
    <dxf>
      <font>
        <strike/>
      </font>
      <fill>
        <patternFill>
          <bgColor rgb="FFFF0000"/>
        </patternFill>
      </fill>
    </dxf>
    <dxf>
      <fill>
        <patternFill>
          <bgColor rgb="FFFF0000"/>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theme="0" tint="-0.499984740745262"/>
        </patternFill>
      </fill>
    </dxf>
    <dxf>
      <fill>
        <patternFill>
          <bgColor indexed="23"/>
        </patternFill>
      </fill>
    </dxf>
    <dxf>
      <fill>
        <patternFill>
          <bgColor indexed="10"/>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patternType="none">
          <bgColor indexed="65"/>
        </patternFill>
      </fill>
    </dxf>
    <dxf>
      <fill>
        <patternFill patternType="none">
          <bgColor indexed="65"/>
        </patternFill>
      </fill>
    </dxf>
    <dxf>
      <fill>
        <patternFill>
          <bgColor indexed="23"/>
        </patternFill>
      </fill>
    </dxf>
    <dxf>
      <fill>
        <patternFill>
          <bgColor indexed="23"/>
        </patternFill>
      </fill>
    </dxf>
    <dxf>
      <fill>
        <patternFill>
          <bgColor indexed="23"/>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externalLink" Target="externalLinks/externalLink12.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7.xml"/><Relationship Id="rId34" Type="http://schemas.openxmlformats.org/officeDocument/2006/relationships/externalLink" Target="externalLinks/externalLink20.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externalLink" Target="externalLinks/externalLink11.xml"/><Relationship Id="rId33" Type="http://schemas.openxmlformats.org/officeDocument/2006/relationships/externalLink" Target="externalLinks/externalLink19.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29" Type="http://schemas.openxmlformats.org/officeDocument/2006/relationships/externalLink" Target="externalLinks/externalLink15.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0.xml"/><Relationship Id="rId32" Type="http://schemas.openxmlformats.org/officeDocument/2006/relationships/externalLink" Target="externalLinks/externalLink18.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externalLink" Target="externalLinks/externalLink9.xml"/><Relationship Id="rId28" Type="http://schemas.openxmlformats.org/officeDocument/2006/relationships/externalLink" Target="externalLinks/externalLink14.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5.xml"/><Relationship Id="rId31" Type="http://schemas.openxmlformats.org/officeDocument/2006/relationships/externalLink" Target="externalLinks/externalLink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externalLink" Target="externalLinks/externalLink13.xml"/><Relationship Id="rId30" Type="http://schemas.openxmlformats.org/officeDocument/2006/relationships/externalLink" Target="externalLinks/externalLink16.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A$8" lockText="1" noThreeD="1"/>
</file>

<file path=xl/ctrlProps/ctrlProp12.xml><?xml version="1.0" encoding="utf-8"?>
<formControlPr xmlns="http://schemas.microsoft.com/office/spreadsheetml/2009/9/main" objectType="CheckBox" fmlaLink="$B$8" lockText="1" noThreeD="1"/>
</file>

<file path=xl/ctrlProps/ctrlProp13.xml><?xml version="1.0" encoding="utf-8"?>
<formControlPr xmlns="http://schemas.microsoft.com/office/spreadsheetml/2009/9/main" objectType="CheckBox" fmlaLink="$C$8" lockText="1" noThreeD="1"/>
</file>

<file path=xl/ctrlProps/ctrlProp14.xml><?xml version="1.0" encoding="utf-8"?>
<formControlPr xmlns="http://schemas.microsoft.com/office/spreadsheetml/2009/9/main" objectType="CheckBox" fmlaLink="$A$9" lockText="1" noThreeD="1"/>
</file>

<file path=xl/ctrlProps/ctrlProp15.xml><?xml version="1.0" encoding="utf-8"?>
<formControlPr xmlns="http://schemas.microsoft.com/office/spreadsheetml/2009/9/main" objectType="CheckBox" fmlaLink="$B$9" lockText="1" noThreeD="1"/>
</file>

<file path=xl/ctrlProps/ctrlProp16.xml><?xml version="1.0" encoding="utf-8"?>
<formControlPr xmlns="http://schemas.microsoft.com/office/spreadsheetml/2009/9/main" objectType="CheckBox" fmlaLink="$C$9" lockText="1" noThreeD="1"/>
</file>

<file path=xl/ctrlProps/ctrlProp17.xml><?xml version="1.0" encoding="utf-8"?>
<formControlPr xmlns="http://schemas.microsoft.com/office/spreadsheetml/2009/9/main" objectType="CheckBox" fmlaLink="$A$10" lockText="1" noThreeD="1"/>
</file>

<file path=xl/ctrlProps/ctrlProp18.xml><?xml version="1.0" encoding="utf-8"?>
<formControlPr xmlns="http://schemas.microsoft.com/office/spreadsheetml/2009/9/main" objectType="CheckBox" fmlaLink="$B$10" lockText="1" noThreeD="1"/>
</file>

<file path=xl/ctrlProps/ctrlProp19.xml><?xml version="1.0" encoding="utf-8"?>
<formControlPr xmlns="http://schemas.microsoft.com/office/spreadsheetml/2009/9/main" objectType="CheckBox" fmlaLink="$C$10" lockText="1" noThreeD="1"/>
</file>

<file path=xl/ctrlProps/ctrlProp20.xml><?xml version="1.0" encoding="utf-8"?>
<formControlPr xmlns="http://schemas.microsoft.com/office/spreadsheetml/2009/9/main" objectType="CheckBox" fmlaLink="$A$11" lockText="1" noThreeD="1"/>
</file>

<file path=xl/ctrlProps/ctrlProp21.xml><?xml version="1.0" encoding="utf-8"?>
<formControlPr xmlns="http://schemas.microsoft.com/office/spreadsheetml/2009/9/main" objectType="CheckBox" fmlaLink="$B$11" lockText="1" noThreeD="1"/>
</file>

<file path=xl/ctrlProps/ctrlProp22.xml><?xml version="1.0" encoding="utf-8"?>
<formControlPr xmlns="http://schemas.microsoft.com/office/spreadsheetml/2009/9/main" objectType="CheckBox" fmlaLink="$C$11" lockText="1" noThreeD="1"/>
</file>

<file path=xl/ctrlProps/ctrlProp23.xml><?xml version="1.0" encoding="utf-8"?>
<formControlPr xmlns="http://schemas.microsoft.com/office/spreadsheetml/2009/9/main" objectType="CheckBox" fmlaLink="$A$12" lockText="1" noThreeD="1"/>
</file>

<file path=xl/ctrlProps/ctrlProp24.xml><?xml version="1.0" encoding="utf-8"?>
<formControlPr xmlns="http://schemas.microsoft.com/office/spreadsheetml/2009/9/main" objectType="CheckBox" fmlaLink="$B$12" lockText="1" noThreeD="1"/>
</file>

<file path=xl/ctrlProps/ctrlProp25.xml><?xml version="1.0" encoding="utf-8"?>
<formControlPr xmlns="http://schemas.microsoft.com/office/spreadsheetml/2009/9/main" objectType="CheckBox" fmlaLink="$C$12" lockText="1" noThreeD="1"/>
</file>

<file path=xl/ctrlProps/ctrlProp26.xml><?xml version="1.0" encoding="utf-8"?>
<formControlPr xmlns="http://schemas.microsoft.com/office/spreadsheetml/2009/9/main" objectType="CheckBox" fmlaLink="$A$13" lockText="1" noThreeD="1"/>
</file>

<file path=xl/ctrlProps/ctrlProp27.xml><?xml version="1.0" encoding="utf-8"?>
<formControlPr xmlns="http://schemas.microsoft.com/office/spreadsheetml/2009/9/main" objectType="CheckBox" fmlaLink="$B$13" lockText="1" noThreeD="1"/>
</file>

<file path=xl/ctrlProps/ctrlProp28.xml><?xml version="1.0" encoding="utf-8"?>
<formControlPr xmlns="http://schemas.microsoft.com/office/spreadsheetml/2009/9/main" objectType="CheckBox" fmlaLink="$C$13" lockText="1" noThreeD="1"/>
</file>

<file path=xl/ctrlProps/ctrlProp29.xml><?xml version="1.0" encoding="utf-8"?>
<formControlPr xmlns="http://schemas.microsoft.com/office/spreadsheetml/2009/9/main" objectType="CheckBox" fmlaLink="$A$14" lockText="1" noThreeD="1"/>
</file>

<file path=xl/ctrlProps/ctrlProp30.xml><?xml version="1.0" encoding="utf-8"?>
<formControlPr xmlns="http://schemas.microsoft.com/office/spreadsheetml/2009/9/main" objectType="CheckBox" fmlaLink="$B$14" lockText="1" noThreeD="1"/>
</file>

<file path=xl/ctrlProps/ctrlProp31.xml><?xml version="1.0" encoding="utf-8"?>
<formControlPr xmlns="http://schemas.microsoft.com/office/spreadsheetml/2009/9/main" objectType="CheckBox" fmlaLink="$C$14" lockText="1" noThreeD="1"/>
</file>

<file path=xl/ctrlProps/ctrlProp32.xml><?xml version="1.0" encoding="utf-8"?>
<formControlPr xmlns="http://schemas.microsoft.com/office/spreadsheetml/2009/9/main" objectType="CheckBox" fmlaLink="$A$15" lockText="1" noThreeD="1"/>
</file>

<file path=xl/ctrlProps/ctrlProp33.xml><?xml version="1.0" encoding="utf-8"?>
<formControlPr xmlns="http://schemas.microsoft.com/office/spreadsheetml/2009/9/main" objectType="CheckBox" fmlaLink="$B$15" lockText="1" noThreeD="1"/>
</file>

<file path=xl/ctrlProps/ctrlProp34.xml><?xml version="1.0" encoding="utf-8"?>
<formControlPr xmlns="http://schemas.microsoft.com/office/spreadsheetml/2009/9/main" objectType="CheckBox" fmlaLink="$C$15" lockText="1" noThreeD="1"/>
</file>

<file path=xl/ctrlProps/ctrlProp35.xml><?xml version="1.0" encoding="utf-8"?>
<formControlPr xmlns="http://schemas.microsoft.com/office/spreadsheetml/2009/9/main" objectType="CheckBox" fmlaLink="$A$17" lockText="1" noThreeD="1"/>
</file>

<file path=xl/ctrlProps/ctrlProp36.xml><?xml version="1.0" encoding="utf-8"?>
<formControlPr xmlns="http://schemas.microsoft.com/office/spreadsheetml/2009/9/main" objectType="CheckBox" fmlaLink="$B$17" lockText="1" noThreeD="1"/>
</file>

<file path=xl/ctrlProps/ctrlProp37.xml><?xml version="1.0" encoding="utf-8"?>
<formControlPr xmlns="http://schemas.microsoft.com/office/spreadsheetml/2009/9/main" objectType="CheckBox" fmlaLink="$C$17" lockText="1" noThreeD="1"/>
</file>

<file path=xl/ctrlProps/ctrlProp38.xml><?xml version="1.0" encoding="utf-8"?>
<formControlPr xmlns="http://schemas.microsoft.com/office/spreadsheetml/2009/9/main" objectType="CheckBox" fmlaLink="$A$18" lockText="1" noThreeD="1"/>
</file>

<file path=xl/ctrlProps/ctrlProp39.xml><?xml version="1.0" encoding="utf-8"?>
<formControlPr xmlns="http://schemas.microsoft.com/office/spreadsheetml/2009/9/main" objectType="CheckBox" fmlaLink="$B$18" lockText="1" noThreeD="1"/>
</file>

<file path=xl/ctrlProps/ctrlProp40.xml><?xml version="1.0" encoding="utf-8"?>
<formControlPr xmlns="http://schemas.microsoft.com/office/spreadsheetml/2009/9/main" objectType="CheckBox" fmlaLink="$C$18" lockText="1" noThreeD="1"/>
</file>

<file path=xl/ctrlProps/ctrlProp41.xml><?xml version="1.0" encoding="utf-8"?>
<formControlPr xmlns="http://schemas.microsoft.com/office/spreadsheetml/2009/9/main" objectType="CheckBox" fmlaLink="$A$19" lockText="1" noThreeD="1"/>
</file>

<file path=xl/ctrlProps/ctrlProp42.xml><?xml version="1.0" encoding="utf-8"?>
<formControlPr xmlns="http://schemas.microsoft.com/office/spreadsheetml/2009/9/main" objectType="CheckBox" fmlaLink="$B$19" lockText="1" noThreeD="1"/>
</file>

<file path=xl/ctrlProps/ctrlProp43.xml><?xml version="1.0" encoding="utf-8"?>
<formControlPr xmlns="http://schemas.microsoft.com/office/spreadsheetml/2009/9/main" objectType="CheckBox" fmlaLink="$C$19" lockText="1" noThreeD="1"/>
</file>

<file path=xl/ctrlProps/ctrlProp44.xml><?xml version="1.0" encoding="utf-8"?>
<formControlPr xmlns="http://schemas.microsoft.com/office/spreadsheetml/2009/9/main" objectType="CheckBox" fmlaLink="$A$20" lockText="1" noThreeD="1"/>
</file>

<file path=xl/ctrlProps/ctrlProp45.xml><?xml version="1.0" encoding="utf-8"?>
<formControlPr xmlns="http://schemas.microsoft.com/office/spreadsheetml/2009/9/main" objectType="CheckBox" fmlaLink="$B$20" lockText="1" noThreeD="1"/>
</file>

<file path=xl/ctrlProps/ctrlProp46.xml><?xml version="1.0" encoding="utf-8"?>
<formControlPr xmlns="http://schemas.microsoft.com/office/spreadsheetml/2009/9/main" objectType="CheckBox" fmlaLink="$C$20" lockText="1" noThreeD="1"/>
</file>

<file path=xl/ctrlProps/ctrlProp47.xml><?xml version="1.0" encoding="utf-8"?>
<formControlPr xmlns="http://schemas.microsoft.com/office/spreadsheetml/2009/9/main" objectType="CheckBox" fmlaLink="$A$21" lockText="1" noThreeD="1"/>
</file>

<file path=xl/ctrlProps/ctrlProp48.xml><?xml version="1.0" encoding="utf-8"?>
<formControlPr xmlns="http://schemas.microsoft.com/office/spreadsheetml/2009/9/main" objectType="CheckBox" fmlaLink="$B$21" lockText="1" noThreeD="1"/>
</file>

<file path=xl/ctrlProps/ctrlProp49.xml><?xml version="1.0" encoding="utf-8"?>
<formControlPr xmlns="http://schemas.microsoft.com/office/spreadsheetml/2009/9/main" objectType="CheckBox" fmlaLink="$C$21" lockText="1" noThreeD="1"/>
</file>

<file path=xl/ctrlProps/ctrlProp50.xml><?xml version="1.0" encoding="utf-8"?>
<formControlPr xmlns="http://schemas.microsoft.com/office/spreadsheetml/2009/9/main" objectType="CheckBox" fmlaLink="$A$22" lockText="1" noThreeD="1"/>
</file>

<file path=xl/ctrlProps/ctrlProp51.xml><?xml version="1.0" encoding="utf-8"?>
<formControlPr xmlns="http://schemas.microsoft.com/office/spreadsheetml/2009/9/main" objectType="CheckBox" fmlaLink="$B$22" lockText="1" noThreeD="1"/>
</file>

<file path=xl/ctrlProps/ctrlProp52.xml><?xml version="1.0" encoding="utf-8"?>
<formControlPr xmlns="http://schemas.microsoft.com/office/spreadsheetml/2009/9/main" objectType="CheckBox" fmlaLink="$C$22" lockText="1" noThreeD="1"/>
</file>

<file path=xl/ctrlProps/ctrlProp53.xml><?xml version="1.0" encoding="utf-8"?>
<formControlPr xmlns="http://schemas.microsoft.com/office/spreadsheetml/2009/9/main" objectType="CheckBox" fmlaLink="$A$23" lockText="1" noThreeD="1"/>
</file>

<file path=xl/ctrlProps/ctrlProp54.xml><?xml version="1.0" encoding="utf-8"?>
<formControlPr xmlns="http://schemas.microsoft.com/office/spreadsheetml/2009/9/main" objectType="CheckBox" fmlaLink="$B$23" lockText="1" noThreeD="1"/>
</file>

<file path=xl/ctrlProps/ctrlProp55.xml><?xml version="1.0" encoding="utf-8"?>
<formControlPr xmlns="http://schemas.microsoft.com/office/spreadsheetml/2009/9/main" objectType="CheckBox" fmlaLink="$C$23" lockText="1" noThreeD="1"/>
</file>

<file path=xl/ctrlProps/ctrlProp56.xml><?xml version="1.0" encoding="utf-8"?>
<formControlPr xmlns="http://schemas.microsoft.com/office/spreadsheetml/2009/9/main" objectType="CheckBox" fmlaLink="$A$24" lockText="1" noThreeD="1"/>
</file>

<file path=xl/ctrlProps/ctrlProp57.xml><?xml version="1.0" encoding="utf-8"?>
<formControlPr xmlns="http://schemas.microsoft.com/office/spreadsheetml/2009/9/main" objectType="CheckBox" fmlaLink="$B$24" lockText="1" noThreeD="1"/>
</file>

<file path=xl/ctrlProps/ctrlProp58.xml><?xml version="1.0" encoding="utf-8"?>
<formControlPr xmlns="http://schemas.microsoft.com/office/spreadsheetml/2009/9/main" objectType="CheckBox" fmlaLink="$C$24" lockText="1" noThreeD="1"/>
</file>

<file path=xl/ctrlProps/ctrlProp59.xml><?xml version="1.0" encoding="utf-8"?>
<formControlPr xmlns="http://schemas.microsoft.com/office/spreadsheetml/2009/9/main" objectType="CheckBox" fmlaLink="$A$25" lockText="1" noThreeD="1"/>
</file>

<file path=xl/ctrlProps/ctrlProp60.xml><?xml version="1.0" encoding="utf-8"?>
<formControlPr xmlns="http://schemas.microsoft.com/office/spreadsheetml/2009/9/main" objectType="CheckBox" fmlaLink="$B$25" lockText="1" noThreeD="1"/>
</file>

<file path=xl/ctrlProps/ctrlProp61.xml><?xml version="1.0" encoding="utf-8"?>
<formControlPr xmlns="http://schemas.microsoft.com/office/spreadsheetml/2009/9/main" objectType="CheckBox" fmlaLink="$C$25" lockText="1" noThreeD="1"/>
</file>

<file path=xl/ctrlProps/ctrlProp62.xml><?xml version="1.0" encoding="utf-8"?>
<formControlPr xmlns="http://schemas.microsoft.com/office/spreadsheetml/2009/9/main" objectType="CheckBox" fmlaLink="$A$26" lockText="1" noThreeD="1"/>
</file>

<file path=xl/ctrlProps/ctrlProp63.xml><?xml version="1.0" encoding="utf-8"?>
<formControlPr xmlns="http://schemas.microsoft.com/office/spreadsheetml/2009/9/main" objectType="CheckBox" fmlaLink="$B$26" lockText="1" noThreeD="1"/>
</file>

<file path=xl/ctrlProps/ctrlProp64.xml><?xml version="1.0" encoding="utf-8"?>
<formControlPr xmlns="http://schemas.microsoft.com/office/spreadsheetml/2009/9/main" objectType="CheckBox" fmlaLink="$C$26" lockText="1" noThreeD="1"/>
</file>

<file path=xl/ctrlProps/ctrlProp65.xml><?xml version="1.0" encoding="utf-8"?>
<formControlPr xmlns="http://schemas.microsoft.com/office/spreadsheetml/2009/9/main" objectType="CheckBox" fmlaLink="$A$28" lockText="1" noThreeD="1"/>
</file>

<file path=xl/ctrlProps/ctrlProp66.xml><?xml version="1.0" encoding="utf-8"?>
<formControlPr xmlns="http://schemas.microsoft.com/office/spreadsheetml/2009/9/main" objectType="CheckBox" fmlaLink="$B$28" lockText="1" noThreeD="1"/>
</file>

<file path=xl/ctrlProps/ctrlProp67.xml><?xml version="1.0" encoding="utf-8"?>
<formControlPr xmlns="http://schemas.microsoft.com/office/spreadsheetml/2009/9/main" objectType="CheckBox" fmlaLink="$C$28" lockText="1" noThreeD="1"/>
</file>

<file path=xl/ctrlProps/ctrlProp68.xml><?xml version="1.0" encoding="utf-8"?>
<formControlPr xmlns="http://schemas.microsoft.com/office/spreadsheetml/2009/9/main" objectType="CheckBox" fmlaLink="$A$29" lockText="1" noThreeD="1"/>
</file>

<file path=xl/ctrlProps/ctrlProp69.xml><?xml version="1.0" encoding="utf-8"?>
<formControlPr xmlns="http://schemas.microsoft.com/office/spreadsheetml/2009/9/main" objectType="CheckBox" fmlaLink="$B$29" lockText="1" noThreeD="1"/>
</file>

<file path=xl/ctrlProps/ctrlProp70.xml><?xml version="1.0" encoding="utf-8"?>
<formControlPr xmlns="http://schemas.microsoft.com/office/spreadsheetml/2009/9/main" objectType="CheckBox" fmlaLink="$C$29" lockText="1" noThreeD="1"/>
</file>

<file path=xl/ctrlProps/ctrlProp71.xml><?xml version="1.0" encoding="utf-8"?>
<formControlPr xmlns="http://schemas.microsoft.com/office/spreadsheetml/2009/9/main" objectType="CheckBox" fmlaLink="$A$30" lockText="1" noThreeD="1"/>
</file>

<file path=xl/ctrlProps/ctrlProp72.xml><?xml version="1.0" encoding="utf-8"?>
<formControlPr xmlns="http://schemas.microsoft.com/office/spreadsheetml/2009/9/main" objectType="CheckBox" fmlaLink="$B$30" lockText="1" noThreeD="1"/>
</file>

<file path=xl/ctrlProps/ctrlProp73.xml><?xml version="1.0" encoding="utf-8"?>
<formControlPr xmlns="http://schemas.microsoft.com/office/spreadsheetml/2009/9/main" objectType="CheckBox" fmlaLink="$C$30" lockText="1" noThreeD="1"/>
</file>

<file path=xl/ctrlProps/ctrlProp74.xml><?xml version="1.0" encoding="utf-8"?>
<formControlPr xmlns="http://schemas.microsoft.com/office/spreadsheetml/2009/9/main" objectType="CheckBox" fmlaLink="$A$31" lockText="1" noThreeD="1"/>
</file>

<file path=xl/ctrlProps/ctrlProp75.xml><?xml version="1.0" encoding="utf-8"?>
<formControlPr xmlns="http://schemas.microsoft.com/office/spreadsheetml/2009/9/main" objectType="CheckBox" fmlaLink="$B$31" lockText="1" noThreeD="1"/>
</file>

<file path=xl/ctrlProps/ctrlProp76.xml><?xml version="1.0" encoding="utf-8"?>
<formControlPr xmlns="http://schemas.microsoft.com/office/spreadsheetml/2009/9/main" objectType="CheckBox" fmlaLink="$C$31" lockText="1" noThreeD="1"/>
</file>

<file path=xl/ctrlProps/ctrlProp77.xml><?xml version="1.0" encoding="utf-8"?>
<formControlPr xmlns="http://schemas.microsoft.com/office/spreadsheetml/2009/9/main" objectType="CheckBox" fmlaLink="$A$32" lockText="1" noThreeD="1"/>
</file>

<file path=xl/ctrlProps/ctrlProp78.xml><?xml version="1.0" encoding="utf-8"?>
<formControlPr xmlns="http://schemas.microsoft.com/office/spreadsheetml/2009/9/main" objectType="CheckBox" fmlaLink="$B$32" lockText="1" noThreeD="1"/>
</file>

<file path=xl/ctrlProps/ctrlProp79.xml><?xml version="1.0" encoding="utf-8"?>
<formControlPr xmlns="http://schemas.microsoft.com/office/spreadsheetml/2009/9/main" objectType="CheckBox" fmlaLink="$C$32" lockText="1" noThreeD="1"/>
</file>

<file path=xl/ctrlProps/ctrlProp80.xml><?xml version="1.0" encoding="utf-8"?>
<formControlPr xmlns="http://schemas.microsoft.com/office/spreadsheetml/2009/9/main" objectType="CheckBox" fmlaLink="$A$33" lockText="1" noThreeD="1"/>
</file>

<file path=xl/ctrlProps/ctrlProp81.xml><?xml version="1.0" encoding="utf-8"?>
<formControlPr xmlns="http://schemas.microsoft.com/office/spreadsheetml/2009/9/main" objectType="CheckBox" fmlaLink="$B$33" lockText="1" noThreeD="1"/>
</file>

<file path=xl/ctrlProps/ctrlProp82.xml><?xml version="1.0" encoding="utf-8"?>
<formControlPr xmlns="http://schemas.microsoft.com/office/spreadsheetml/2009/9/main" objectType="CheckBox" fmlaLink="$C$33" lockText="1" noThreeD="1"/>
</file>

<file path=xl/ctrlProps/ctrlProp83.xml><?xml version="1.0" encoding="utf-8"?>
<formControlPr xmlns="http://schemas.microsoft.com/office/spreadsheetml/2009/9/main" objectType="CheckBox" fmlaLink="$A$34" lockText="1" noThreeD="1"/>
</file>

<file path=xl/ctrlProps/ctrlProp84.xml><?xml version="1.0" encoding="utf-8"?>
<formControlPr xmlns="http://schemas.microsoft.com/office/spreadsheetml/2009/9/main" objectType="CheckBox" fmlaLink="$B$34" lockText="1" noThreeD="1"/>
</file>

<file path=xl/ctrlProps/ctrlProp85.xml><?xml version="1.0" encoding="utf-8"?>
<formControlPr xmlns="http://schemas.microsoft.com/office/spreadsheetml/2009/9/main" objectType="CheckBox" fmlaLink="$C$34" lockText="1" noThreeD="1"/>
</file>

<file path=xl/ctrlProps/ctrlProp86.xml><?xml version="1.0" encoding="utf-8"?>
<formControlPr xmlns="http://schemas.microsoft.com/office/spreadsheetml/2009/9/main" objectType="CheckBox" fmlaLink="$A$35" lockText="1" noThreeD="1"/>
</file>

<file path=xl/ctrlProps/ctrlProp87.xml><?xml version="1.0" encoding="utf-8"?>
<formControlPr xmlns="http://schemas.microsoft.com/office/spreadsheetml/2009/9/main" objectType="CheckBox" fmlaLink="$B$35" lockText="1" noThreeD="1"/>
</file>

<file path=xl/ctrlProps/ctrlProp88.xml><?xml version="1.0" encoding="utf-8"?>
<formControlPr xmlns="http://schemas.microsoft.com/office/spreadsheetml/2009/9/main" objectType="CheckBox" fmlaLink="$C$35" lockText="1" noThreeD="1"/>
</file>

<file path=xl/ctrlProps/ctrlProp89.xml><?xml version="1.0" encoding="utf-8"?>
<formControlPr xmlns="http://schemas.microsoft.com/office/spreadsheetml/2009/9/main" objectType="CheckBox" fmlaLink="$A$36" lockText="1" noThreeD="1"/>
</file>

<file path=xl/ctrlProps/ctrlProp90.xml><?xml version="1.0" encoding="utf-8"?>
<formControlPr xmlns="http://schemas.microsoft.com/office/spreadsheetml/2009/9/main" objectType="CheckBox" fmlaLink="$B$36" lockText="1" noThreeD="1"/>
</file>

<file path=xl/ctrlProps/ctrlProp91.xml><?xml version="1.0" encoding="utf-8"?>
<formControlPr xmlns="http://schemas.microsoft.com/office/spreadsheetml/2009/9/main" objectType="CheckBox" fmlaLink="$C$36" lockText="1" noThreeD="1"/>
</file>

<file path=xl/ctrlProps/ctrlProp92.xml><?xml version="1.0" encoding="utf-8"?>
<formControlPr xmlns="http://schemas.microsoft.com/office/spreadsheetml/2009/9/main" objectType="CheckBox" fmlaLink="$A$37" lockText="1" noThreeD="1"/>
</file>

<file path=xl/ctrlProps/ctrlProp93.xml><?xml version="1.0" encoding="utf-8"?>
<formControlPr xmlns="http://schemas.microsoft.com/office/spreadsheetml/2009/9/main" objectType="CheckBox" fmlaLink="$B$37" lockText="1" noThreeD="1"/>
</file>

<file path=xl/ctrlProps/ctrlProp94.xml><?xml version="1.0" encoding="utf-8"?>
<formControlPr xmlns="http://schemas.microsoft.com/office/spreadsheetml/2009/9/main" objectType="CheckBox" fmlaLink="$C$37" lockText="1" noThreeD="1"/>
</file>

<file path=xl/ctrlProps/ctrlProp95.xml><?xml version="1.0" encoding="utf-8"?>
<formControlPr xmlns="http://schemas.microsoft.com/office/spreadsheetml/2009/9/main" objectType="CheckBox" fmlaLink="$A$39" lockText="1" noThreeD="1"/>
</file>

<file path=xl/ctrlProps/ctrlProp96.xml><?xml version="1.0" encoding="utf-8"?>
<formControlPr xmlns="http://schemas.microsoft.com/office/spreadsheetml/2009/9/main" objectType="CheckBox" fmlaLink="$B$39" lockText="1" noThreeD="1"/>
</file>

<file path=xl/ctrlProps/ctrlProp97.xml><?xml version="1.0" encoding="utf-8"?>
<formControlPr xmlns="http://schemas.microsoft.com/office/spreadsheetml/2009/9/main" objectType="CheckBox" fmlaLink="$C$39" lockText="1" noThreeD="1"/>
</file>

<file path=xl/ctrlProps/ctrlProp98.xml><?xml version="1.0" encoding="utf-8"?>
<formControlPr xmlns="http://schemas.microsoft.com/office/spreadsheetml/2009/9/main" objectType="CheckBox" fmlaLink="$A$40" lockText="1" noThreeD="1"/>
</file>

<file path=xl/ctrlProps/ctrlProp99.xml><?xml version="1.0" encoding="utf-8"?>
<formControlPr xmlns="http://schemas.microsoft.com/office/spreadsheetml/2009/9/main" objectType="CheckBox" fmlaLink="$B$40" lockText="1" noThreeD="1"/>
</file>

<file path=xl/ctrlProps/ctrlProp100.xml><?xml version="1.0" encoding="utf-8"?>
<formControlPr xmlns="http://schemas.microsoft.com/office/spreadsheetml/2009/9/main" objectType="CheckBox" fmlaLink="$C$40" lockText="1" noThreeD="1"/>
</file>

<file path=xl/ctrlProps/ctrlProp101.xml><?xml version="1.0" encoding="utf-8"?>
<formControlPr xmlns="http://schemas.microsoft.com/office/spreadsheetml/2009/9/main" objectType="CheckBox" fmlaLink="$A$41" lockText="1" noThreeD="1"/>
</file>

<file path=xl/ctrlProps/ctrlProp102.xml><?xml version="1.0" encoding="utf-8"?>
<formControlPr xmlns="http://schemas.microsoft.com/office/spreadsheetml/2009/9/main" objectType="CheckBox" fmlaLink="$B$41" lockText="1" noThreeD="1"/>
</file>

<file path=xl/ctrlProps/ctrlProp103.xml><?xml version="1.0" encoding="utf-8"?>
<formControlPr xmlns="http://schemas.microsoft.com/office/spreadsheetml/2009/9/main" objectType="CheckBox" fmlaLink="$C$41" lockText="1" noThreeD="1"/>
</file>

<file path=xl/ctrlProps/ctrlProp104.xml><?xml version="1.0" encoding="utf-8"?>
<formControlPr xmlns="http://schemas.microsoft.com/office/spreadsheetml/2009/9/main" objectType="CheckBox" fmlaLink="$A$42" lockText="1" noThreeD="1"/>
</file>

<file path=xl/ctrlProps/ctrlProp105.xml><?xml version="1.0" encoding="utf-8"?>
<formControlPr xmlns="http://schemas.microsoft.com/office/spreadsheetml/2009/9/main" objectType="CheckBox" fmlaLink="$B$42" lockText="1" noThreeD="1"/>
</file>

<file path=xl/ctrlProps/ctrlProp106.xml><?xml version="1.0" encoding="utf-8"?>
<formControlPr xmlns="http://schemas.microsoft.com/office/spreadsheetml/2009/9/main" objectType="CheckBox" fmlaLink="$C$42" lockText="1" noThreeD="1"/>
</file>

<file path=xl/ctrlProps/ctrlProp107.xml><?xml version="1.0" encoding="utf-8"?>
<formControlPr xmlns="http://schemas.microsoft.com/office/spreadsheetml/2009/9/main" objectType="CheckBox" fmlaLink="$A$43" lockText="1" noThreeD="1"/>
</file>

<file path=xl/ctrlProps/ctrlProp108.xml><?xml version="1.0" encoding="utf-8"?>
<formControlPr xmlns="http://schemas.microsoft.com/office/spreadsheetml/2009/9/main" objectType="CheckBox" fmlaLink="$B$43" lockText="1" noThreeD="1"/>
</file>

<file path=xl/ctrlProps/ctrlProp109.xml><?xml version="1.0" encoding="utf-8"?>
<formControlPr xmlns="http://schemas.microsoft.com/office/spreadsheetml/2009/9/main" objectType="CheckBox" fmlaLink="$C$43" lockText="1" noThreeD="1"/>
</file>

<file path=xl/ctrlProps/ctrlProp110.xml><?xml version="1.0" encoding="utf-8"?>
<formControlPr xmlns="http://schemas.microsoft.com/office/spreadsheetml/2009/9/main" objectType="CheckBox" fmlaLink="$A$44" lockText="1" noThreeD="1"/>
</file>

<file path=xl/ctrlProps/ctrlProp111.xml><?xml version="1.0" encoding="utf-8"?>
<formControlPr xmlns="http://schemas.microsoft.com/office/spreadsheetml/2009/9/main" objectType="CheckBox" fmlaLink="$B$44" lockText="1" noThreeD="1"/>
</file>

<file path=xl/ctrlProps/ctrlProp112.xml><?xml version="1.0" encoding="utf-8"?>
<formControlPr xmlns="http://schemas.microsoft.com/office/spreadsheetml/2009/9/main" objectType="CheckBox" fmlaLink="$C$44" lockText="1" noThreeD="1"/>
</file>

<file path=xl/ctrlProps/ctrlProp113.xml><?xml version="1.0" encoding="utf-8"?>
<formControlPr xmlns="http://schemas.microsoft.com/office/spreadsheetml/2009/9/main" objectType="CheckBox" fmlaLink="$A$45" lockText="1" noThreeD="1"/>
</file>

<file path=xl/ctrlProps/ctrlProp114.xml><?xml version="1.0" encoding="utf-8"?>
<formControlPr xmlns="http://schemas.microsoft.com/office/spreadsheetml/2009/9/main" objectType="CheckBox" fmlaLink="$B$45" lockText="1" noThreeD="1"/>
</file>

<file path=xl/ctrlProps/ctrlProp115.xml><?xml version="1.0" encoding="utf-8"?>
<formControlPr xmlns="http://schemas.microsoft.com/office/spreadsheetml/2009/9/main" objectType="CheckBox" fmlaLink="$C$45" lockText="1" noThreeD="1"/>
</file>

<file path=xl/ctrlProps/ctrlProp116.xml><?xml version="1.0" encoding="utf-8"?>
<formControlPr xmlns="http://schemas.microsoft.com/office/spreadsheetml/2009/9/main" objectType="CheckBox" fmlaLink="$A$47" lockText="1" noThreeD="1"/>
</file>

<file path=xl/ctrlProps/ctrlProp117.xml><?xml version="1.0" encoding="utf-8"?>
<formControlPr xmlns="http://schemas.microsoft.com/office/spreadsheetml/2009/9/main" objectType="CheckBox" fmlaLink="$B$47" lockText="1" noThreeD="1"/>
</file>

<file path=xl/ctrlProps/ctrlProp118.xml><?xml version="1.0" encoding="utf-8"?>
<formControlPr xmlns="http://schemas.microsoft.com/office/spreadsheetml/2009/9/main" objectType="CheckBox" fmlaLink="$C$47" lockText="1" noThreeD="1"/>
</file>

<file path=xl/ctrlProps/ctrlProp119.xml><?xml version="1.0" encoding="utf-8"?>
<formControlPr xmlns="http://schemas.microsoft.com/office/spreadsheetml/2009/9/main" objectType="CheckBox" fmlaLink="$A$48" lockText="1" noThreeD="1"/>
</file>

<file path=xl/ctrlProps/ctrlProp120.xml><?xml version="1.0" encoding="utf-8"?>
<formControlPr xmlns="http://schemas.microsoft.com/office/spreadsheetml/2009/9/main" objectType="CheckBox" fmlaLink="$B$48" lockText="1" noThreeD="1"/>
</file>

<file path=xl/ctrlProps/ctrlProp121.xml><?xml version="1.0" encoding="utf-8"?>
<formControlPr xmlns="http://schemas.microsoft.com/office/spreadsheetml/2009/9/main" objectType="CheckBox" fmlaLink="$C$48" lockText="1" noThreeD="1"/>
</file>

<file path=xl/ctrlProps/ctrlProp122.xml><?xml version="1.0" encoding="utf-8"?>
<formControlPr xmlns="http://schemas.microsoft.com/office/spreadsheetml/2009/9/main" objectType="CheckBox" fmlaLink="$A$49" lockText="1" noThreeD="1"/>
</file>

<file path=xl/ctrlProps/ctrlProp123.xml><?xml version="1.0" encoding="utf-8"?>
<formControlPr xmlns="http://schemas.microsoft.com/office/spreadsheetml/2009/9/main" objectType="CheckBox" fmlaLink="$B$49" lockText="1" noThreeD="1"/>
</file>

<file path=xl/ctrlProps/ctrlProp124.xml><?xml version="1.0" encoding="utf-8"?>
<formControlPr xmlns="http://schemas.microsoft.com/office/spreadsheetml/2009/9/main" objectType="CheckBox" fmlaLink="$C$49" lockText="1" noThreeD="1"/>
</file>

<file path=xl/ctrlProps/ctrlProp125.xml><?xml version="1.0" encoding="utf-8"?>
<formControlPr xmlns="http://schemas.microsoft.com/office/spreadsheetml/2009/9/main" objectType="CheckBox" fmlaLink="$A$50" lockText="1" noThreeD="1"/>
</file>

<file path=xl/ctrlProps/ctrlProp126.xml><?xml version="1.0" encoding="utf-8"?>
<formControlPr xmlns="http://schemas.microsoft.com/office/spreadsheetml/2009/9/main" objectType="CheckBox" fmlaLink="$B$50" lockText="1" noThreeD="1"/>
</file>

<file path=xl/ctrlProps/ctrlProp127.xml><?xml version="1.0" encoding="utf-8"?>
<formControlPr xmlns="http://schemas.microsoft.com/office/spreadsheetml/2009/9/main" objectType="CheckBox" fmlaLink="$C$50" lockText="1" noThreeD="1"/>
</file>

<file path=xl/ctrlProps/ctrlProp128.xml><?xml version="1.0" encoding="utf-8"?>
<formControlPr xmlns="http://schemas.microsoft.com/office/spreadsheetml/2009/9/main" objectType="CheckBox" fmlaLink="$A$51" lockText="1" noThreeD="1"/>
</file>

<file path=xl/ctrlProps/ctrlProp129.xml><?xml version="1.0" encoding="utf-8"?>
<formControlPr xmlns="http://schemas.microsoft.com/office/spreadsheetml/2009/9/main" objectType="CheckBox" fmlaLink="$B$51" lockText="1" noThreeD="1"/>
</file>

<file path=xl/ctrlProps/ctrlProp130.xml><?xml version="1.0" encoding="utf-8"?>
<formControlPr xmlns="http://schemas.microsoft.com/office/spreadsheetml/2009/9/main" objectType="CheckBox" fmlaLink="$C$51" lockText="1" noThreeD="1"/>
</file>

<file path=xl/ctrlProps/ctrlProp131.xml><?xml version="1.0" encoding="utf-8"?>
<formControlPr xmlns="http://schemas.microsoft.com/office/spreadsheetml/2009/9/main" objectType="CheckBox" fmlaLink="$A$53" lockText="1" noThreeD="1"/>
</file>

<file path=xl/ctrlProps/ctrlProp132.xml><?xml version="1.0" encoding="utf-8"?>
<formControlPr xmlns="http://schemas.microsoft.com/office/spreadsheetml/2009/9/main" objectType="CheckBox" fmlaLink="$B$53" lockText="1" noThreeD="1"/>
</file>

<file path=xl/ctrlProps/ctrlProp133.xml><?xml version="1.0" encoding="utf-8"?>
<formControlPr xmlns="http://schemas.microsoft.com/office/spreadsheetml/2009/9/main" objectType="CheckBox" fmlaLink="$C$53" lockText="1" noThreeD="1"/>
</file>

<file path=xl/ctrlProps/ctrlProp134.xml><?xml version="1.0" encoding="utf-8"?>
<formControlPr xmlns="http://schemas.microsoft.com/office/spreadsheetml/2009/9/main" objectType="CheckBox" fmlaLink="$A$54" lockText="1" noThreeD="1"/>
</file>

<file path=xl/ctrlProps/ctrlProp135.xml><?xml version="1.0" encoding="utf-8"?>
<formControlPr xmlns="http://schemas.microsoft.com/office/spreadsheetml/2009/9/main" objectType="CheckBox" fmlaLink="$B$54" lockText="1" noThreeD="1"/>
</file>

<file path=xl/ctrlProps/ctrlProp136.xml><?xml version="1.0" encoding="utf-8"?>
<formControlPr xmlns="http://schemas.microsoft.com/office/spreadsheetml/2009/9/main" objectType="CheckBox" fmlaLink="$C$54" lockText="1" noThreeD="1"/>
</file>

<file path=xl/ctrlProps/ctrlProp137.xml><?xml version="1.0" encoding="utf-8"?>
<formControlPr xmlns="http://schemas.microsoft.com/office/spreadsheetml/2009/9/main" objectType="CheckBox" fmlaLink="$A$54" lockText="1" noThreeD="1"/>
</file>

<file path=xl/ctrlProps/ctrlProp138.xml><?xml version="1.0" encoding="utf-8"?>
<formControlPr xmlns="http://schemas.microsoft.com/office/spreadsheetml/2009/9/main" objectType="CheckBox" fmlaLink="$A$54" lockText="1" noThreeD="1"/>
</file>

<file path=xl/ctrlProps/ctrlProp139.xml><?xml version="1.0" encoding="utf-8"?>
<formControlPr xmlns="http://schemas.microsoft.com/office/spreadsheetml/2009/9/main" objectType="CheckBox" fmlaLink="$A$54" lockText="1" noThreeD="1"/>
</file>

<file path=xl/ctrlProps/ctrlProp140.xml><?xml version="1.0" encoding="utf-8"?>
<formControlPr xmlns="http://schemas.microsoft.com/office/spreadsheetml/2009/9/main" objectType="CheckBox" fmlaLink="$A$54" lockText="1" noThreeD="1"/>
</file>

<file path=xl/ctrlProps/ctrlProp141.xml><?xml version="1.0" encoding="utf-8"?>
<formControlPr xmlns="http://schemas.microsoft.com/office/spreadsheetml/2009/9/main" objectType="CheckBox" fmlaLink="$A$54" lockText="1" noThreeD="1"/>
</file>

<file path=xl/ctrlProps/ctrlProp142.xml><?xml version="1.0" encoding="utf-8"?>
<formControlPr xmlns="http://schemas.microsoft.com/office/spreadsheetml/2009/9/main" objectType="CheckBox" fmlaLink="$A$54" lockText="1" noThreeD="1"/>
</file>

<file path=xl/ctrlProps/ctrlProp143.xml><?xml version="1.0" encoding="utf-8"?>
<formControlPr xmlns="http://schemas.microsoft.com/office/spreadsheetml/2009/9/main" objectType="CheckBox" fmlaLink="$A$54" lockText="1" noThreeD="1"/>
</file>

<file path=xl/ctrlProps/ctrlProp144.xml><?xml version="1.0" encoding="utf-8"?>
<formControlPr xmlns="http://schemas.microsoft.com/office/spreadsheetml/2009/9/main" objectType="CheckBox" fmlaLink="$A$54" lockText="1" noThreeD="1"/>
</file>

<file path=xl/ctrlProps/ctrlProp145.xml><?xml version="1.0" encoding="utf-8"?>
<formControlPr xmlns="http://schemas.microsoft.com/office/spreadsheetml/2009/9/main" objectType="CheckBox" fmlaLink="$A$54" lockText="1" noThreeD="1"/>
</file>

<file path=xl/ctrlProps/ctrlProp146.xml><?xml version="1.0" encoding="utf-8"?>
<formControlPr xmlns="http://schemas.microsoft.com/office/spreadsheetml/2009/9/main" objectType="CheckBox" fmlaLink="$A$54" lockText="1" noThreeD="1"/>
</file>

<file path=xl/ctrlProps/ctrlProp147.xml><?xml version="1.0" encoding="utf-8"?>
<formControlPr xmlns="http://schemas.microsoft.com/office/spreadsheetml/2009/9/main" objectType="CheckBox" fmlaLink="$A$54" lockText="1" noThreeD="1"/>
</file>

<file path=xl/ctrlProps/ctrlProp148.xml><?xml version="1.0" encoding="utf-8"?>
<formControlPr xmlns="http://schemas.microsoft.com/office/spreadsheetml/2009/9/main" objectType="CheckBox" fmlaLink="$A$54" lockText="1" noThreeD="1"/>
</file>

<file path=xl/ctrlProps/ctrlProp149.xml><?xml version="1.0" encoding="utf-8"?>
<formControlPr xmlns="http://schemas.microsoft.com/office/spreadsheetml/2009/9/main" objectType="CheckBox" fmlaLink="$A$54" lockText="1" noThreeD="1"/>
</file>

<file path=xl/ctrlProps/ctrlProp150.xml><?xml version="1.0" encoding="utf-8"?>
<formControlPr xmlns="http://schemas.microsoft.com/office/spreadsheetml/2009/9/main" objectType="CheckBox" fmlaLink="$A$39" lockText="1" noThreeD="1"/>
</file>

<file path=xl/ctrlProps/ctrlProp151.xml><?xml version="1.0" encoding="utf-8"?>
<formControlPr xmlns="http://schemas.microsoft.com/office/spreadsheetml/2009/9/main" objectType="CheckBox" fmlaLink="$A$54" lockText="1" noThreeD="1"/>
</file>

<file path=xl/ctrlProps/ctrlProp152.xml><?xml version="1.0" encoding="utf-8"?>
<formControlPr xmlns="http://schemas.microsoft.com/office/spreadsheetml/2009/9/main" objectType="CheckBox" fmlaLink="$A$39" lockText="1" noThreeD="1"/>
</file>

<file path=xl/ctrlProps/ctrlProp153.xml><?xml version="1.0" encoding="utf-8"?>
<formControlPr xmlns="http://schemas.microsoft.com/office/spreadsheetml/2009/9/main" objectType="CheckBox" fmlaLink="$A$54" lockText="1" noThreeD="1"/>
</file>

<file path=xl/ctrlProps/ctrlProp154.xml><?xml version="1.0" encoding="utf-8"?>
<formControlPr xmlns="http://schemas.microsoft.com/office/spreadsheetml/2009/9/main" objectType="CheckBox" fmlaLink="$A$39" lockText="1" noThreeD="1"/>
</file>

<file path=xl/ctrlProps/ctrlProp155.xml><?xml version="1.0" encoding="utf-8"?>
<formControlPr xmlns="http://schemas.microsoft.com/office/spreadsheetml/2009/9/main" objectType="CheckBox" fmlaLink="$A$54" lockText="1" noThreeD="1"/>
</file>

<file path=xl/ctrlProps/ctrlProp156.xml><?xml version="1.0" encoding="utf-8"?>
<formControlPr xmlns="http://schemas.microsoft.com/office/spreadsheetml/2009/9/main" objectType="CheckBox" fmlaLink="$A$39" lockText="1" noThreeD="1"/>
</file>

<file path=xl/ctrlProps/ctrlProp157.xml><?xml version="1.0" encoding="utf-8"?>
<formControlPr xmlns="http://schemas.microsoft.com/office/spreadsheetml/2009/9/main" objectType="CheckBox" fmlaLink="$A$54" lockText="1" noThreeD="1"/>
</file>

<file path=xl/ctrlProps/ctrlProp158.xml><?xml version="1.0" encoding="utf-8"?>
<formControlPr xmlns="http://schemas.microsoft.com/office/spreadsheetml/2009/9/main" objectType="CheckBox" fmlaLink="$A$39" lockText="1" noThreeD="1"/>
</file>

<file path=xl/ctrlProps/ctrlProp159.xml><?xml version="1.0" encoding="utf-8"?>
<formControlPr xmlns="http://schemas.microsoft.com/office/spreadsheetml/2009/9/main" objectType="CheckBox" fmlaLink="$A$54" lockText="1" noThreeD="1"/>
</file>

<file path=xl/ctrlProps/ctrlProp160.xml><?xml version="1.0" encoding="utf-8"?>
<formControlPr xmlns="http://schemas.microsoft.com/office/spreadsheetml/2009/9/main" objectType="CheckBox" fmlaLink="$A$39" lockText="1" noThreeD="1"/>
</file>

<file path=xl/ctrlProps/ctrlProp161.xml><?xml version="1.0" encoding="utf-8"?>
<formControlPr xmlns="http://schemas.microsoft.com/office/spreadsheetml/2009/9/main" objectType="CheckBox" fmlaLink="$A$54" lockText="1" noThreeD="1"/>
</file>

<file path=xl/ctrlProps/ctrlProp162.xml><?xml version="1.0" encoding="utf-8"?>
<formControlPr xmlns="http://schemas.microsoft.com/office/spreadsheetml/2009/9/main" objectType="CheckBox" fmlaLink="$A$39" lockText="1" noThreeD="1"/>
</file>

<file path=xl/ctrlProps/ctrlProp163.xml><?xml version="1.0" encoding="utf-8"?>
<formControlPr xmlns="http://schemas.microsoft.com/office/spreadsheetml/2009/9/main" objectType="CheckBox" fmlaLink="$A$54" lockText="1" noThreeD="1"/>
</file>

<file path=xl/ctrlProps/ctrlProp164.xml><?xml version="1.0" encoding="utf-8"?>
<formControlPr xmlns="http://schemas.microsoft.com/office/spreadsheetml/2009/9/main" objectType="CheckBox" fmlaLink="$A$39" lockText="1" noThreeD="1"/>
</file>

<file path=xl/ctrlProps/ctrlProp165.xml><?xml version="1.0" encoding="utf-8"?>
<formControlPr xmlns="http://schemas.microsoft.com/office/spreadsheetml/2009/9/main" objectType="CheckBox" fmlaLink="$A$54" lockText="1" noThreeD="1"/>
</file>

<file path=xl/ctrlProps/ctrlProp166.xml><?xml version="1.0" encoding="utf-8"?>
<formControlPr xmlns="http://schemas.microsoft.com/office/spreadsheetml/2009/9/main" objectType="CheckBox" fmlaLink="$A$39" lockText="1" noThreeD="1"/>
</file>

<file path=xl/ctrlProps/ctrlProp167.xml><?xml version="1.0" encoding="utf-8"?>
<formControlPr xmlns="http://schemas.microsoft.com/office/spreadsheetml/2009/9/main" objectType="CheckBox" fmlaLink="$A$54" lockText="1" noThreeD="1"/>
</file>

<file path=xl/ctrlProps/ctrlProp168.xml><?xml version="1.0" encoding="utf-8"?>
<formControlPr xmlns="http://schemas.microsoft.com/office/spreadsheetml/2009/9/main" objectType="CheckBox" fmlaLink="$A$39" lockText="1" noThreeD="1"/>
</file>

<file path=xl/ctrlProps/ctrlProp169.xml><?xml version="1.0" encoding="utf-8"?>
<formControlPr xmlns="http://schemas.microsoft.com/office/spreadsheetml/2009/9/main" objectType="CheckBox" fmlaLink="$A$54" lockText="1" noThreeD="1"/>
</file>

<file path=xl/ctrlProps/ctrlProp170.xml><?xml version="1.0" encoding="utf-8"?>
<formControlPr xmlns="http://schemas.microsoft.com/office/spreadsheetml/2009/9/main" objectType="CheckBox" fmlaLink="$A$28" lockText="1" noThreeD="1"/>
</file>

<file path=xl/ctrlProps/ctrlProp171.xml><?xml version="1.0" encoding="utf-8"?>
<formControlPr xmlns="http://schemas.microsoft.com/office/spreadsheetml/2009/9/main" objectType="CheckBox" fmlaLink="$A$39" lockText="1" noThreeD="1"/>
</file>

<file path=xl/ctrlProps/ctrlProp172.xml><?xml version="1.0" encoding="utf-8"?>
<formControlPr xmlns="http://schemas.microsoft.com/office/spreadsheetml/2009/9/main" objectType="CheckBox" fmlaLink="$A$54" lockText="1" noThreeD="1"/>
</file>

<file path=xl/ctrlProps/ctrlProp173.xml><?xml version="1.0" encoding="utf-8"?>
<formControlPr xmlns="http://schemas.microsoft.com/office/spreadsheetml/2009/9/main" objectType="CheckBox" fmlaLink="$A$28" lockText="1" noThreeD="1"/>
</file>

<file path=xl/ctrlProps/ctrlProp174.xml><?xml version="1.0" encoding="utf-8"?>
<formControlPr xmlns="http://schemas.microsoft.com/office/spreadsheetml/2009/9/main" objectType="CheckBox" fmlaLink="$A$39" lockText="1" noThreeD="1"/>
</file>

<file path=xl/ctrlProps/ctrlProp175.xml><?xml version="1.0" encoding="utf-8"?>
<formControlPr xmlns="http://schemas.microsoft.com/office/spreadsheetml/2009/9/main" objectType="CheckBox" fmlaLink="$A$54" lockText="1" noThreeD="1"/>
</file>

<file path=xl/ctrlProps/ctrlProp176.xml><?xml version="1.0" encoding="utf-8"?>
<formControlPr xmlns="http://schemas.microsoft.com/office/spreadsheetml/2009/9/main" objectType="CheckBox" fmlaLink="$A$28" lockText="1" noThreeD="1"/>
</file>

<file path=xl/ctrlProps/ctrlProp177.xml><?xml version="1.0" encoding="utf-8"?>
<formControlPr xmlns="http://schemas.microsoft.com/office/spreadsheetml/2009/9/main" objectType="CheckBox" fmlaLink="$A$39" lockText="1" noThreeD="1"/>
</file>

<file path=xl/ctrlProps/ctrlProp178.xml><?xml version="1.0" encoding="utf-8"?>
<formControlPr xmlns="http://schemas.microsoft.com/office/spreadsheetml/2009/9/main" objectType="CheckBox" fmlaLink="$A$54" lockText="1" noThreeD="1"/>
</file>

<file path=xl/ctrlProps/ctrlProp179.xml><?xml version="1.0" encoding="utf-8"?>
<formControlPr xmlns="http://schemas.microsoft.com/office/spreadsheetml/2009/9/main" objectType="CheckBox" fmlaLink="$A$28" lockText="1" noThreeD="1"/>
</file>

<file path=xl/ctrlProps/ctrlProp180.xml><?xml version="1.0" encoding="utf-8"?>
<formControlPr xmlns="http://schemas.microsoft.com/office/spreadsheetml/2009/9/main" objectType="CheckBox" fmlaLink="$A$39" lockText="1" noThreeD="1"/>
</file>

<file path=xl/ctrlProps/ctrlProp181.xml><?xml version="1.0" encoding="utf-8"?>
<formControlPr xmlns="http://schemas.microsoft.com/office/spreadsheetml/2009/9/main" objectType="CheckBox" fmlaLink="$A$54" lockText="1" noThreeD="1"/>
</file>

<file path=xl/ctrlProps/ctrlProp182.xml><?xml version="1.0" encoding="utf-8"?>
<formControlPr xmlns="http://schemas.microsoft.com/office/spreadsheetml/2009/9/main" objectType="CheckBox" fmlaLink="$A$28" lockText="1" noThreeD="1"/>
</file>

<file path=xl/ctrlProps/ctrlProp183.xml><?xml version="1.0" encoding="utf-8"?>
<formControlPr xmlns="http://schemas.microsoft.com/office/spreadsheetml/2009/9/main" objectType="CheckBox" fmlaLink="$A$39" lockText="1" noThreeD="1"/>
</file>

<file path=xl/ctrlProps/ctrlProp184.xml><?xml version="1.0" encoding="utf-8"?>
<formControlPr xmlns="http://schemas.microsoft.com/office/spreadsheetml/2009/9/main" objectType="CheckBox" fmlaLink="$A$54" lockText="1" noThreeD="1"/>
</file>

<file path=xl/ctrlProps/ctrlProp185.xml><?xml version="1.0" encoding="utf-8"?>
<formControlPr xmlns="http://schemas.microsoft.com/office/spreadsheetml/2009/9/main" objectType="CheckBox" fmlaLink="$A$28" lockText="1" noThreeD="1"/>
</file>

<file path=xl/ctrlProps/ctrlProp186.xml><?xml version="1.0" encoding="utf-8"?>
<formControlPr xmlns="http://schemas.microsoft.com/office/spreadsheetml/2009/9/main" objectType="CheckBox" fmlaLink="$A$39" lockText="1" noThreeD="1"/>
</file>

<file path=xl/ctrlProps/ctrlProp187.xml><?xml version="1.0" encoding="utf-8"?>
<formControlPr xmlns="http://schemas.microsoft.com/office/spreadsheetml/2009/9/main" objectType="CheckBox" fmlaLink="$A$54" lockText="1" noThreeD="1"/>
</file>

<file path=xl/ctrlProps/ctrlProp188.xml><?xml version="1.0" encoding="utf-8"?>
<formControlPr xmlns="http://schemas.microsoft.com/office/spreadsheetml/2009/9/main" objectType="CheckBox" fmlaLink="$A$28" lockText="1" noThreeD="1"/>
</file>

<file path=xl/ctrlProps/ctrlProp189.xml><?xml version="1.0" encoding="utf-8"?>
<formControlPr xmlns="http://schemas.microsoft.com/office/spreadsheetml/2009/9/main" objectType="CheckBox" fmlaLink="$A$39" lockText="1" noThreeD="1"/>
</file>

<file path=xl/ctrlProps/ctrlProp190.xml><?xml version="1.0" encoding="utf-8"?>
<formControlPr xmlns="http://schemas.microsoft.com/office/spreadsheetml/2009/9/main" objectType="CheckBox" fmlaLink="$A$54" lockText="1" noThreeD="1"/>
</file>

<file path=xl/ctrlProps/ctrlProp191.xml><?xml version="1.0" encoding="utf-8"?>
<formControlPr xmlns="http://schemas.microsoft.com/office/spreadsheetml/2009/9/main" objectType="CheckBox" fmlaLink="$A$28" lockText="1" noThreeD="1"/>
</file>

<file path=xl/ctrlProps/ctrlProp192.xml><?xml version="1.0" encoding="utf-8"?>
<formControlPr xmlns="http://schemas.microsoft.com/office/spreadsheetml/2009/9/main" objectType="CheckBox" fmlaLink="$A$39" lockText="1" noThreeD="1"/>
</file>

<file path=xl/ctrlProps/ctrlProp193.xml><?xml version="1.0" encoding="utf-8"?>
<formControlPr xmlns="http://schemas.microsoft.com/office/spreadsheetml/2009/9/main" objectType="CheckBox" fmlaLink="$A$54" lockText="1" noThreeD="1"/>
</file>

<file path=xl/ctrlProps/ctrlProp194.xml><?xml version="1.0" encoding="utf-8"?>
<formControlPr xmlns="http://schemas.microsoft.com/office/spreadsheetml/2009/9/main" objectType="CheckBox" fmlaLink="$A$28" lockText="1" noThreeD="1"/>
</file>

<file path=xl/ctrlProps/ctrlProp195.xml><?xml version="1.0" encoding="utf-8"?>
<formControlPr xmlns="http://schemas.microsoft.com/office/spreadsheetml/2009/9/main" objectType="CheckBox" fmlaLink="$A$39" lockText="1" noThreeD="1"/>
</file>

<file path=xl/ctrlProps/ctrlProp196.xml><?xml version="1.0" encoding="utf-8"?>
<formControlPr xmlns="http://schemas.microsoft.com/office/spreadsheetml/2009/9/main" objectType="CheckBox" fmlaLink="$A$54" lockText="1" noThreeD="1"/>
</file>

<file path=xl/ctrlProps/ctrlProp197.xml><?xml version="1.0" encoding="utf-8"?>
<formControlPr xmlns="http://schemas.microsoft.com/office/spreadsheetml/2009/9/main" objectType="CheckBox" fmlaLink="$A$28" lockText="1" noThreeD="1"/>
</file>

<file path=xl/ctrlProps/ctrlProp198.xml><?xml version="1.0" encoding="utf-8"?>
<formControlPr xmlns="http://schemas.microsoft.com/office/spreadsheetml/2009/9/main" objectType="CheckBox" fmlaLink="$A$39" lockText="1" noThreeD="1"/>
</file>

<file path=xl/ctrlProps/ctrlProp199.xml><?xml version="1.0" encoding="utf-8"?>
<formControlPr xmlns="http://schemas.microsoft.com/office/spreadsheetml/2009/9/main" objectType="CheckBox" fmlaLink="$A$54" lockText="1" noThreeD="1"/>
</file>

<file path=xl/ctrlProps/ctrlProp200.xml><?xml version="1.0" encoding="utf-8"?>
<formControlPr xmlns="http://schemas.microsoft.com/office/spreadsheetml/2009/9/main" objectType="CheckBox" fmlaLink="$A$17" lockText="1" noThreeD="1"/>
</file>

<file path=xl/ctrlProps/ctrlProp201.xml><?xml version="1.0" encoding="utf-8"?>
<formControlPr xmlns="http://schemas.microsoft.com/office/spreadsheetml/2009/9/main" objectType="CheckBox" fmlaLink="$A$28" lockText="1" noThreeD="1"/>
</file>

<file path=xl/ctrlProps/ctrlProp202.xml><?xml version="1.0" encoding="utf-8"?>
<formControlPr xmlns="http://schemas.microsoft.com/office/spreadsheetml/2009/9/main" objectType="CheckBox" fmlaLink="$A$39" lockText="1" noThreeD="1"/>
</file>

<file path=xl/ctrlProps/ctrlProp203.xml><?xml version="1.0" encoding="utf-8"?>
<formControlPr xmlns="http://schemas.microsoft.com/office/spreadsheetml/2009/9/main" objectType="CheckBox" fmlaLink="$A$54" lockText="1" noThreeD="1"/>
</file>

<file path=xl/ctrlProps/ctrlProp204.xml><?xml version="1.0" encoding="utf-8"?>
<formControlPr xmlns="http://schemas.microsoft.com/office/spreadsheetml/2009/9/main" objectType="CheckBox" fmlaLink="$A$17" lockText="1" noThreeD="1"/>
</file>

<file path=xl/ctrlProps/ctrlProp205.xml><?xml version="1.0" encoding="utf-8"?>
<formControlPr xmlns="http://schemas.microsoft.com/office/spreadsheetml/2009/9/main" objectType="CheckBox" fmlaLink="$A$28" lockText="1" noThreeD="1"/>
</file>

<file path=xl/ctrlProps/ctrlProp206.xml><?xml version="1.0" encoding="utf-8"?>
<formControlPr xmlns="http://schemas.microsoft.com/office/spreadsheetml/2009/9/main" objectType="CheckBox" fmlaLink="$A$39" lockText="1" noThreeD="1"/>
</file>

<file path=xl/ctrlProps/ctrlProp207.xml><?xml version="1.0" encoding="utf-8"?>
<formControlPr xmlns="http://schemas.microsoft.com/office/spreadsheetml/2009/9/main" objectType="CheckBox" fmlaLink="$A$54" lockText="1" noThreeD="1"/>
</file>

<file path=xl/ctrlProps/ctrlProp208.xml><?xml version="1.0" encoding="utf-8"?>
<formControlPr xmlns="http://schemas.microsoft.com/office/spreadsheetml/2009/9/main" objectType="CheckBox" fmlaLink="$A$17" lockText="1" noThreeD="1"/>
</file>

<file path=xl/ctrlProps/ctrlProp209.xml><?xml version="1.0" encoding="utf-8"?>
<formControlPr xmlns="http://schemas.microsoft.com/office/spreadsheetml/2009/9/main" objectType="CheckBox" fmlaLink="$A$28" lockText="1" noThreeD="1"/>
</file>

<file path=xl/ctrlProps/ctrlProp210.xml><?xml version="1.0" encoding="utf-8"?>
<formControlPr xmlns="http://schemas.microsoft.com/office/spreadsheetml/2009/9/main" objectType="CheckBox" fmlaLink="$A$39" lockText="1" noThreeD="1"/>
</file>

<file path=xl/ctrlProps/ctrlProp211.xml><?xml version="1.0" encoding="utf-8"?>
<formControlPr xmlns="http://schemas.microsoft.com/office/spreadsheetml/2009/9/main" objectType="CheckBox" fmlaLink="$A$54" lockText="1" noThreeD="1"/>
</file>

<file path=xl/ctrlProps/ctrlProp212.xml><?xml version="1.0" encoding="utf-8"?>
<formControlPr xmlns="http://schemas.microsoft.com/office/spreadsheetml/2009/9/main" objectType="CheckBox" fmlaLink="$A$17" lockText="1" noThreeD="1"/>
</file>

<file path=xl/ctrlProps/ctrlProp213.xml><?xml version="1.0" encoding="utf-8"?>
<formControlPr xmlns="http://schemas.microsoft.com/office/spreadsheetml/2009/9/main" objectType="CheckBox" fmlaLink="$A$28" lockText="1" noThreeD="1"/>
</file>

<file path=xl/ctrlProps/ctrlProp214.xml><?xml version="1.0" encoding="utf-8"?>
<formControlPr xmlns="http://schemas.microsoft.com/office/spreadsheetml/2009/9/main" objectType="CheckBox" fmlaLink="$A$39" lockText="1" noThreeD="1"/>
</file>

<file path=xl/ctrlProps/ctrlProp215.xml><?xml version="1.0" encoding="utf-8"?>
<formControlPr xmlns="http://schemas.microsoft.com/office/spreadsheetml/2009/9/main" objectType="CheckBox" fmlaLink="$A$54" lockText="1" noThreeD="1"/>
</file>

<file path=xl/ctrlProps/ctrlProp216.xml><?xml version="1.0" encoding="utf-8"?>
<formControlPr xmlns="http://schemas.microsoft.com/office/spreadsheetml/2009/9/main" objectType="CheckBox" fmlaLink="$A$17" lockText="1" noThreeD="1"/>
</file>

<file path=xl/ctrlProps/ctrlProp217.xml><?xml version="1.0" encoding="utf-8"?>
<formControlPr xmlns="http://schemas.microsoft.com/office/spreadsheetml/2009/9/main" objectType="CheckBox" fmlaLink="$A$28" lockText="1" noThreeD="1"/>
</file>

<file path=xl/ctrlProps/ctrlProp218.xml><?xml version="1.0" encoding="utf-8"?>
<formControlPr xmlns="http://schemas.microsoft.com/office/spreadsheetml/2009/9/main" objectType="CheckBox" fmlaLink="$A$39" lockText="1" noThreeD="1"/>
</file>

<file path=xl/ctrlProps/ctrlProp219.xml><?xml version="1.0" encoding="utf-8"?>
<formControlPr xmlns="http://schemas.microsoft.com/office/spreadsheetml/2009/9/main" objectType="CheckBox" fmlaLink="$A$54" lockText="1" noThreeD="1"/>
</file>

<file path=xl/ctrlProps/ctrlProp220.xml><?xml version="1.0" encoding="utf-8"?>
<formControlPr xmlns="http://schemas.microsoft.com/office/spreadsheetml/2009/9/main" objectType="CheckBox" fmlaLink="$A$17" lockText="1" noThreeD="1"/>
</file>

<file path=xl/ctrlProps/ctrlProp221.xml><?xml version="1.0" encoding="utf-8"?>
<formControlPr xmlns="http://schemas.microsoft.com/office/spreadsheetml/2009/9/main" objectType="CheckBox" fmlaLink="$A$28" lockText="1" noThreeD="1"/>
</file>

<file path=xl/ctrlProps/ctrlProp222.xml><?xml version="1.0" encoding="utf-8"?>
<formControlPr xmlns="http://schemas.microsoft.com/office/spreadsheetml/2009/9/main" objectType="CheckBox" fmlaLink="$A$39" lockText="1" noThreeD="1"/>
</file>

<file path=xl/ctrlProps/ctrlProp223.xml><?xml version="1.0" encoding="utf-8"?>
<formControlPr xmlns="http://schemas.microsoft.com/office/spreadsheetml/2009/9/main" objectType="CheckBox" fmlaLink="$A$54" lockText="1" noThreeD="1"/>
</file>

<file path=xl/ctrlProps/ctrlProp224.xml><?xml version="1.0" encoding="utf-8"?>
<formControlPr xmlns="http://schemas.microsoft.com/office/spreadsheetml/2009/9/main" objectType="CheckBox" fmlaLink="$A$17" lockText="1" noThreeD="1"/>
</file>

<file path=xl/ctrlProps/ctrlProp225.xml><?xml version="1.0" encoding="utf-8"?>
<formControlPr xmlns="http://schemas.microsoft.com/office/spreadsheetml/2009/9/main" objectType="CheckBox" fmlaLink="$A$28" lockText="1" noThreeD="1"/>
</file>

<file path=xl/ctrlProps/ctrlProp226.xml><?xml version="1.0" encoding="utf-8"?>
<formControlPr xmlns="http://schemas.microsoft.com/office/spreadsheetml/2009/9/main" objectType="CheckBox" fmlaLink="$A$39" lockText="1" noThreeD="1"/>
</file>

<file path=xl/ctrlProps/ctrlProp227.xml><?xml version="1.0" encoding="utf-8"?>
<formControlPr xmlns="http://schemas.microsoft.com/office/spreadsheetml/2009/9/main" objectType="CheckBox" fmlaLink="$A$54" lockText="1" noThreeD="1"/>
</file>

<file path=xl/ctrlProps/ctrlProp228.xml><?xml version="1.0" encoding="utf-8"?>
<formControlPr xmlns="http://schemas.microsoft.com/office/spreadsheetml/2009/9/main" objectType="CheckBox" fmlaLink="$A$17" lockText="1" noThreeD="1"/>
</file>

<file path=xl/ctrlProps/ctrlProp229.xml><?xml version="1.0" encoding="utf-8"?>
<formControlPr xmlns="http://schemas.microsoft.com/office/spreadsheetml/2009/9/main" objectType="CheckBox" fmlaLink="$A$28" lockText="1" noThreeD="1"/>
</file>

<file path=xl/ctrlProps/ctrlProp230.xml><?xml version="1.0" encoding="utf-8"?>
<formControlPr xmlns="http://schemas.microsoft.com/office/spreadsheetml/2009/9/main" objectType="CheckBox" fmlaLink="$A$39" lockText="1" noThreeD="1"/>
</file>

<file path=xl/ctrlProps/ctrlProp231.xml><?xml version="1.0" encoding="utf-8"?>
<formControlPr xmlns="http://schemas.microsoft.com/office/spreadsheetml/2009/9/main" objectType="CheckBox" fmlaLink="$A$54" lockText="1" noThreeD="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104</xdr:col>
          <xdr:colOff>28575</xdr:colOff>
          <xdr:row>0</xdr:row>
          <xdr:rowOff>19050</xdr:rowOff>
        </xdr:from>
        <xdr:to>
          <xdr:col>105</xdr:col>
          <xdr:colOff>285750</xdr:colOff>
          <xdr:row>0</xdr:row>
          <xdr:rowOff>180975</xdr:rowOff>
        </xdr:to>
        <xdr:sp macro="" textlink="">
          <xdr:nvSpPr>
            <xdr:cNvPr id="5403" name="Button 1307" hidden="1">
              <a:extLst>
                <a:ext uri="{63B3BB69-23CF-44E3-9099-C40C66FF867C}">
                  <a14:compatExt spid="_x0000_s5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339933"/>
                  </a:solidFill>
                  <a:latin typeface="Arial"/>
                  <a:cs typeface="Arial"/>
                </a:rPr>
                <a:t>Single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105</xdr:col>
          <xdr:colOff>304800</xdr:colOff>
          <xdr:row>0</xdr:row>
          <xdr:rowOff>19050</xdr:rowOff>
        </xdr:from>
        <xdr:to>
          <xdr:col>106</xdr:col>
          <xdr:colOff>304800</xdr:colOff>
          <xdr:row>0</xdr:row>
          <xdr:rowOff>180975</xdr:rowOff>
        </xdr:to>
        <xdr:sp macro="" textlink="">
          <xdr:nvSpPr>
            <xdr:cNvPr id="5404" name="Button 1308" hidden="1">
              <a:extLst>
                <a:ext uri="{63B3BB69-23CF-44E3-9099-C40C66FF867C}">
                  <a14:compatExt spid="_x0000_s54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339933"/>
                  </a:solidFill>
                  <a:latin typeface="Arial"/>
                  <a:cs typeface="Arial"/>
                </a:rPr>
                <a:t>Restore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0</xdr:colOff>
          <xdr:row>0</xdr:row>
          <xdr:rowOff>19050</xdr:rowOff>
        </xdr:from>
        <xdr:to>
          <xdr:col>104</xdr:col>
          <xdr:colOff>0</xdr:colOff>
          <xdr:row>0</xdr:row>
          <xdr:rowOff>180975</xdr:rowOff>
        </xdr:to>
        <xdr:sp macro="" textlink="">
          <xdr:nvSpPr>
            <xdr:cNvPr id="5405" name="Button 1309" hidden="1">
              <a:extLst>
                <a:ext uri="{63B3BB69-23CF-44E3-9099-C40C66FF867C}">
                  <a14:compatExt spid="_x0000_s54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339933"/>
                  </a:solidFill>
                  <a:latin typeface="Arial"/>
                  <a:cs typeface="Arial"/>
                </a:rPr>
                <a:t>All Rows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1</xdr:row>
          <xdr:rowOff>123825</xdr:rowOff>
        </xdr:from>
        <xdr:to>
          <xdr:col>5</xdr:col>
          <xdr:colOff>1704975</xdr:colOff>
          <xdr:row>4</xdr:row>
          <xdr:rowOff>76200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Validation Checker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314325</xdr:colOff>
          <xdr:row>13</xdr:row>
          <xdr:rowOff>104775</xdr:rowOff>
        </xdr:from>
        <xdr:to>
          <xdr:col>2</xdr:col>
          <xdr:colOff>2847975</xdr:colOff>
          <xdr:row>15</xdr:row>
          <xdr:rowOff>57150</xdr:rowOff>
        </xdr:to>
        <xdr:sp macro="" textlink="">
          <xdr:nvSpPr>
            <xdr:cNvPr id="13321" name="Button 9" hidden="1">
              <a:extLst>
                <a:ext uri="{63B3BB69-23CF-44E3-9099-C40C66FF867C}">
                  <a14:compatExt spid="_x0000_s13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Image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323850</xdr:colOff>
          <xdr:row>15</xdr:row>
          <xdr:rowOff>180975</xdr:rowOff>
        </xdr:from>
        <xdr:to>
          <xdr:col>2</xdr:col>
          <xdr:colOff>2838450</xdr:colOff>
          <xdr:row>16</xdr:row>
          <xdr:rowOff>180975</xdr:rowOff>
        </xdr:to>
        <xdr:sp macro="" textlink="">
          <xdr:nvSpPr>
            <xdr:cNvPr id="13322" name="Button 10" hidden="1">
              <a:extLst>
                <a:ext uri="{63B3BB69-23CF-44E3-9099-C40C66FF867C}">
                  <a14:compatExt spid="_x0000_s13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Image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1</xdr:row>
          <xdr:rowOff>123825</xdr:rowOff>
        </xdr:from>
        <xdr:to>
          <xdr:col>5</xdr:col>
          <xdr:colOff>1704975</xdr:colOff>
          <xdr:row>4</xdr:row>
          <xdr:rowOff>76200</xdr:rowOff>
        </xdr:to>
        <xdr:sp macro="" textlink="">
          <xdr:nvSpPr>
            <xdr:cNvPr id="13346" name="Button 34" hidden="1">
              <a:extLst>
                <a:ext uri="{63B3BB69-23CF-44E3-9099-C40C66FF867C}">
                  <a14:compatExt spid="_x0000_s133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Validation Checker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5</xdr:row>
          <xdr:rowOff>0</xdr:rowOff>
        </xdr:from>
        <xdr:to>
          <xdr:col>5</xdr:col>
          <xdr:colOff>1666875</xdr:colOff>
          <xdr:row>7</xdr:row>
          <xdr:rowOff>28575</xdr:rowOff>
        </xdr:to>
        <xdr:sp macro="" textlink="">
          <xdr:nvSpPr>
            <xdr:cNvPr id="13347" name="Button 35" hidden="1">
              <a:extLst>
                <a:ext uri="{63B3BB69-23CF-44E3-9099-C40C66FF867C}">
                  <a14:compatExt spid="_x0000_s13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Validation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152400</xdr:colOff>
          <xdr:row>1</xdr:row>
          <xdr:rowOff>123825</xdr:rowOff>
        </xdr:from>
        <xdr:to>
          <xdr:col>8</xdr:col>
          <xdr:colOff>1704975</xdr:colOff>
          <xdr:row>4</xdr:row>
          <xdr:rowOff>76200</xdr:rowOff>
        </xdr:to>
        <xdr:sp macro="" textlink="">
          <xdr:nvSpPr>
            <xdr:cNvPr id="13350" name="Button 38" hidden="1">
              <a:extLst>
                <a:ext uri="{63B3BB69-23CF-44E3-9099-C40C66FF867C}">
                  <a14:compatExt spid="_x0000_s133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Image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5</xdr:row>
          <xdr:rowOff>0</xdr:rowOff>
        </xdr:from>
        <xdr:to>
          <xdr:col>8</xdr:col>
          <xdr:colOff>1666875</xdr:colOff>
          <xdr:row>7</xdr:row>
          <xdr:rowOff>28575</xdr:rowOff>
        </xdr:to>
        <xdr:sp macro="" textlink="">
          <xdr:nvSpPr>
            <xdr:cNvPr id="13352" name="Button 40" hidden="1">
              <a:extLst>
                <a:ext uri="{63B3BB69-23CF-44E3-9099-C40C66FF867C}">
                  <a14:compatExt spid="_x0000_s13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Remove Image</a:t>
              </a:r>
            </a:p>
            <a:p>
              <a:pPr algn="ctr" rtl="0">
                <a:defRPr sz="1000"/>
              </a:pPr>
              <a:r>
                <a:rPr lang="en-US" sz="1000" b="0" i="0" u="none" strike="noStrike" baseline="0">
                  <a:solidFill>
                    <a:srgbClr val="000000"/>
                  </a:solidFill>
                  <a:latin typeface="Arial"/>
                  <a:cs typeface="Arial"/>
                </a:rPr>
                <a:t>Links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7</xdr:row>
          <xdr:rowOff>0</xdr:rowOff>
        </xdr:from>
        <xdr:to>
          <xdr:col>1</xdr:col>
          <xdr:colOff>0</xdr:colOff>
          <xdr:row>7</xdr:row>
          <xdr:rowOff>466725</xdr:rowOff>
        </xdr:to>
        <xdr:sp macro="" textlink="">
          <xdr:nvSpPr>
            <xdr:cNvPr id="20482" name="Check Box 2" hidden="1">
              <a:extLst>
                <a:ext uri="{63B3BB69-23CF-44E3-9099-C40C66FF867C}">
                  <a14:compatExt spid="_x0000_s204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7</xdr:row>
          <xdr:rowOff>0</xdr:rowOff>
        </xdr:from>
        <xdr:to>
          <xdr:col>2</xdr:col>
          <xdr:colOff>0</xdr:colOff>
          <xdr:row>7</xdr:row>
          <xdr:rowOff>466725</xdr:rowOff>
        </xdr:to>
        <xdr:sp macro="" textlink="">
          <xdr:nvSpPr>
            <xdr:cNvPr id="20483" name="Check Box 3" hidden="1">
              <a:extLst>
                <a:ext uri="{63B3BB69-23CF-44E3-9099-C40C66FF867C}">
                  <a14:compatExt spid="_x0000_s204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7</xdr:row>
          <xdr:rowOff>0</xdr:rowOff>
        </xdr:from>
        <xdr:to>
          <xdr:col>3</xdr:col>
          <xdr:colOff>0</xdr:colOff>
          <xdr:row>7</xdr:row>
          <xdr:rowOff>466725</xdr:rowOff>
        </xdr:to>
        <xdr:sp macro="" textlink="">
          <xdr:nvSpPr>
            <xdr:cNvPr id="20484" name="Check Box 4" hidden="1">
              <a:extLst>
                <a:ext uri="{63B3BB69-23CF-44E3-9099-C40C66FF867C}">
                  <a14:compatExt spid="_x0000_s204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0</xdr:rowOff>
        </xdr:from>
        <xdr:to>
          <xdr:col>1</xdr:col>
          <xdr:colOff>0</xdr:colOff>
          <xdr:row>8</xdr:row>
          <xdr:rowOff>466725</xdr:rowOff>
        </xdr:to>
        <xdr:sp macro="" textlink="">
          <xdr:nvSpPr>
            <xdr:cNvPr id="20485" name="Check Box 5" hidden="1">
              <a:extLst>
                <a:ext uri="{63B3BB69-23CF-44E3-9099-C40C66FF867C}">
                  <a14:compatExt spid="_x0000_s204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8</xdr:row>
          <xdr:rowOff>0</xdr:rowOff>
        </xdr:from>
        <xdr:to>
          <xdr:col>2</xdr:col>
          <xdr:colOff>0</xdr:colOff>
          <xdr:row>8</xdr:row>
          <xdr:rowOff>466725</xdr:rowOff>
        </xdr:to>
        <xdr:sp macro="" textlink="">
          <xdr:nvSpPr>
            <xdr:cNvPr id="20486" name="Check Box 6" hidden="1">
              <a:extLst>
                <a:ext uri="{63B3BB69-23CF-44E3-9099-C40C66FF867C}">
                  <a14:compatExt spid="_x0000_s204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8</xdr:row>
          <xdr:rowOff>0</xdr:rowOff>
        </xdr:from>
        <xdr:to>
          <xdr:col>3</xdr:col>
          <xdr:colOff>0</xdr:colOff>
          <xdr:row>8</xdr:row>
          <xdr:rowOff>466725</xdr:rowOff>
        </xdr:to>
        <xdr:sp macro="" textlink="">
          <xdr:nvSpPr>
            <xdr:cNvPr id="20487" name="Check Box 7" hidden="1">
              <a:extLst>
                <a:ext uri="{63B3BB69-23CF-44E3-9099-C40C66FF867C}">
                  <a14:compatExt spid="_x0000_s204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0</xdr:rowOff>
        </xdr:from>
        <xdr:to>
          <xdr:col>1</xdr:col>
          <xdr:colOff>0</xdr:colOff>
          <xdr:row>9</xdr:row>
          <xdr:rowOff>466725</xdr:rowOff>
        </xdr:to>
        <xdr:sp macro="" textlink="">
          <xdr:nvSpPr>
            <xdr:cNvPr id="20488" name="Check Box 8" hidden="1">
              <a:extLst>
                <a:ext uri="{63B3BB69-23CF-44E3-9099-C40C66FF867C}">
                  <a14:compatExt spid="_x0000_s204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9</xdr:row>
          <xdr:rowOff>0</xdr:rowOff>
        </xdr:from>
        <xdr:to>
          <xdr:col>2</xdr:col>
          <xdr:colOff>0</xdr:colOff>
          <xdr:row>9</xdr:row>
          <xdr:rowOff>466725</xdr:rowOff>
        </xdr:to>
        <xdr:sp macro="" textlink="">
          <xdr:nvSpPr>
            <xdr:cNvPr id="20489" name="Check Box 9" hidden="1">
              <a:extLst>
                <a:ext uri="{63B3BB69-23CF-44E3-9099-C40C66FF867C}">
                  <a14:compatExt spid="_x0000_s204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9</xdr:row>
          <xdr:rowOff>0</xdr:rowOff>
        </xdr:from>
        <xdr:to>
          <xdr:col>3</xdr:col>
          <xdr:colOff>0</xdr:colOff>
          <xdr:row>9</xdr:row>
          <xdr:rowOff>466725</xdr:rowOff>
        </xdr:to>
        <xdr:sp macro="" textlink="">
          <xdr:nvSpPr>
            <xdr:cNvPr id="20490" name="Check Box 10" hidden="1">
              <a:extLst>
                <a:ext uri="{63B3BB69-23CF-44E3-9099-C40C66FF867C}">
                  <a14:compatExt spid="_x0000_s204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0</xdr:rowOff>
        </xdr:from>
        <xdr:to>
          <xdr:col>1</xdr:col>
          <xdr:colOff>0</xdr:colOff>
          <xdr:row>10</xdr:row>
          <xdr:rowOff>466725</xdr:rowOff>
        </xdr:to>
        <xdr:sp macro="" textlink="">
          <xdr:nvSpPr>
            <xdr:cNvPr id="20491" name="Check Box 11" hidden="1">
              <a:extLst>
                <a:ext uri="{63B3BB69-23CF-44E3-9099-C40C66FF867C}">
                  <a14:compatExt spid="_x0000_s204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0</xdr:rowOff>
        </xdr:from>
        <xdr:to>
          <xdr:col>2</xdr:col>
          <xdr:colOff>0</xdr:colOff>
          <xdr:row>10</xdr:row>
          <xdr:rowOff>466725</xdr:rowOff>
        </xdr:to>
        <xdr:sp macro="" textlink="">
          <xdr:nvSpPr>
            <xdr:cNvPr id="20492" name="Check Box 12" hidden="1">
              <a:extLst>
                <a:ext uri="{63B3BB69-23CF-44E3-9099-C40C66FF867C}">
                  <a14:compatExt spid="_x0000_s204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10</xdr:row>
          <xdr:rowOff>0</xdr:rowOff>
        </xdr:from>
        <xdr:to>
          <xdr:col>3</xdr:col>
          <xdr:colOff>0</xdr:colOff>
          <xdr:row>10</xdr:row>
          <xdr:rowOff>466725</xdr:rowOff>
        </xdr:to>
        <xdr:sp macro="" textlink="">
          <xdr:nvSpPr>
            <xdr:cNvPr id="20493" name="Check Box 13" hidden="1">
              <a:extLst>
                <a:ext uri="{63B3BB69-23CF-44E3-9099-C40C66FF867C}">
                  <a14:compatExt spid="_x0000_s204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0</xdr:rowOff>
        </xdr:from>
        <xdr:to>
          <xdr:col>1</xdr:col>
          <xdr:colOff>0</xdr:colOff>
          <xdr:row>11</xdr:row>
          <xdr:rowOff>466725</xdr:rowOff>
        </xdr:to>
        <xdr:sp macro="" textlink="">
          <xdr:nvSpPr>
            <xdr:cNvPr id="20494" name="Check Box 14" hidden="1">
              <a:extLst>
                <a:ext uri="{63B3BB69-23CF-44E3-9099-C40C66FF867C}">
                  <a14:compatExt spid="_x0000_s204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11</xdr:row>
          <xdr:rowOff>0</xdr:rowOff>
        </xdr:from>
        <xdr:to>
          <xdr:col>2</xdr:col>
          <xdr:colOff>0</xdr:colOff>
          <xdr:row>11</xdr:row>
          <xdr:rowOff>466725</xdr:rowOff>
        </xdr:to>
        <xdr:sp macro="" textlink="">
          <xdr:nvSpPr>
            <xdr:cNvPr id="20495" name="Check Box 15" hidden="1">
              <a:extLst>
                <a:ext uri="{63B3BB69-23CF-44E3-9099-C40C66FF867C}">
                  <a14:compatExt spid="_x0000_s204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11</xdr:row>
          <xdr:rowOff>0</xdr:rowOff>
        </xdr:from>
        <xdr:to>
          <xdr:col>3</xdr:col>
          <xdr:colOff>0</xdr:colOff>
          <xdr:row>11</xdr:row>
          <xdr:rowOff>466725</xdr:rowOff>
        </xdr:to>
        <xdr:sp macro="" textlink="">
          <xdr:nvSpPr>
            <xdr:cNvPr id="20496" name="Check Box 16" hidden="1">
              <a:extLst>
                <a:ext uri="{63B3BB69-23CF-44E3-9099-C40C66FF867C}">
                  <a14:compatExt spid="_x0000_s204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0</xdr:rowOff>
        </xdr:from>
        <xdr:to>
          <xdr:col>1</xdr:col>
          <xdr:colOff>0</xdr:colOff>
          <xdr:row>12</xdr:row>
          <xdr:rowOff>466725</xdr:rowOff>
        </xdr:to>
        <xdr:sp macro="" textlink="">
          <xdr:nvSpPr>
            <xdr:cNvPr id="20497" name="Check Box 17" hidden="1">
              <a:extLst>
                <a:ext uri="{63B3BB69-23CF-44E3-9099-C40C66FF867C}">
                  <a14:compatExt spid="_x0000_s204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12</xdr:row>
          <xdr:rowOff>0</xdr:rowOff>
        </xdr:from>
        <xdr:to>
          <xdr:col>2</xdr:col>
          <xdr:colOff>0</xdr:colOff>
          <xdr:row>12</xdr:row>
          <xdr:rowOff>466725</xdr:rowOff>
        </xdr:to>
        <xdr:sp macro="" textlink="">
          <xdr:nvSpPr>
            <xdr:cNvPr id="20498" name="Check Box 18" hidden="1">
              <a:extLst>
                <a:ext uri="{63B3BB69-23CF-44E3-9099-C40C66FF867C}">
                  <a14:compatExt spid="_x0000_s204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12</xdr:row>
          <xdr:rowOff>0</xdr:rowOff>
        </xdr:from>
        <xdr:to>
          <xdr:col>3</xdr:col>
          <xdr:colOff>0</xdr:colOff>
          <xdr:row>12</xdr:row>
          <xdr:rowOff>466725</xdr:rowOff>
        </xdr:to>
        <xdr:sp macro="" textlink="">
          <xdr:nvSpPr>
            <xdr:cNvPr id="20499" name="Check Box 19" hidden="1">
              <a:extLst>
                <a:ext uri="{63B3BB69-23CF-44E3-9099-C40C66FF867C}">
                  <a14:compatExt spid="_x0000_s204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0</xdr:rowOff>
        </xdr:from>
        <xdr:to>
          <xdr:col>1</xdr:col>
          <xdr:colOff>0</xdr:colOff>
          <xdr:row>13</xdr:row>
          <xdr:rowOff>466725</xdr:rowOff>
        </xdr:to>
        <xdr:sp macro="" textlink="">
          <xdr:nvSpPr>
            <xdr:cNvPr id="20500" name="Check Box 20" hidden="1">
              <a:extLst>
                <a:ext uri="{63B3BB69-23CF-44E3-9099-C40C66FF867C}">
                  <a14:compatExt spid="_x0000_s2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13</xdr:row>
          <xdr:rowOff>0</xdr:rowOff>
        </xdr:from>
        <xdr:to>
          <xdr:col>2</xdr:col>
          <xdr:colOff>0</xdr:colOff>
          <xdr:row>13</xdr:row>
          <xdr:rowOff>466725</xdr:rowOff>
        </xdr:to>
        <xdr:sp macro="" textlink="">
          <xdr:nvSpPr>
            <xdr:cNvPr id="20501" name="Check Box 21" hidden="1">
              <a:extLst>
                <a:ext uri="{63B3BB69-23CF-44E3-9099-C40C66FF867C}">
                  <a14:compatExt spid="_x0000_s20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13</xdr:row>
          <xdr:rowOff>0</xdr:rowOff>
        </xdr:from>
        <xdr:to>
          <xdr:col>3</xdr:col>
          <xdr:colOff>0</xdr:colOff>
          <xdr:row>13</xdr:row>
          <xdr:rowOff>466725</xdr:rowOff>
        </xdr:to>
        <xdr:sp macro="" textlink="">
          <xdr:nvSpPr>
            <xdr:cNvPr id="20502" name="Check Box 22" hidden="1">
              <a:extLst>
                <a:ext uri="{63B3BB69-23CF-44E3-9099-C40C66FF867C}">
                  <a14:compatExt spid="_x0000_s205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0</xdr:rowOff>
        </xdr:from>
        <xdr:to>
          <xdr:col>1</xdr:col>
          <xdr:colOff>0</xdr:colOff>
          <xdr:row>14</xdr:row>
          <xdr:rowOff>466725</xdr:rowOff>
        </xdr:to>
        <xdr:sp macro="" textlink="">
          <xdr:nvSpPr>
            <xdr:cNvPr id="20503" name="Check Box 23" hidden="1">
              <a:extLst>
                <a:ext uri="{63B3BB69-23CF-44E3-9099-C40C66FF867C}">
                  <a14:compatExt spid="_x0000_s205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14</xdr:row>
          <xdr:rowOff>0</xdr:rowOff>
        </xdr:from>
        <xdr:to>
          <xdr:col>2</xdr:col>
          <xdr:colOff>0</xdr:colOff>
          <xdr:row>14</xdr:row>
          <xdr:rowOff>466725</xdr:rowOff>
        </xdr:to>
        <xdr:sp macro="" textlink="">
          <xdr:nvSpPr>
            <xdr:cNvPr id="20504" name="Check Box 24" hidden="1">
              <a:extLst>
                <a:ext uri="{63B3BB69-23CF-44E3-9099-C40C66FF867C}">
                  <a14:compatExt spid="_x0000_s205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14</xdr:row>
          <xdr:rowOff>0</xdr:rowOff>
        </xdr:from>
        <xdr:to>
          <xdr:col>3</xdr:col>
          <xdr:colOff>0</xdr:colOff>
          <xdr:row>14</xdr:row>
          <xdr:rowOff>466725</xdr:rowOff>
        </xdr:to>
        <xdr:sp macro="" textlink="">
          <xdr:nvSpPr>
            <xdr:cNvPr id="20505" name="Check Box 25" hidden="1">
              <a:extLst>
                <a:ext uri="{63B3BB69-23CF-44E3-9099-C40C66FF867C}">
                  <a14:compatExt spid="_x0000_s205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16</xdr:row>
          <xdr:rowOff>0</xdr:rowOff>
        </xdr:from>
        <xdr:to>
          <xdr:col>1</xdr:col>
          <xdr:colOff>0</xdr:colOff>
          <xdr:row>16</xdr:row>
          <xdr:rowOff>466725</xdr:rowOff>
        </xdr:to>
        <xdr:sp macro="" textlink="">
          <xdr:nvSpPr>
            <xdr:cNvPr id="20506" name="Check Box 26" hidden="1">
              <a:extLst>
                <a:ext uri="{63B3BB69-23CF-44E3-9099-C40C66FF867C}">
                  <a14:compatExt spid="_x0000_s205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16</xdr:row>
          <xdr:rowOff>0</xdr:rowOff>
        </xdr:from>
        <xdr:to>
          <xdr:col>2</xdr:col>
          <xdr:colOff>0</xdr:colOff>
          <xdr:row>16</xdr:row>
          <xdr:rowOff>466725</xdr:rowOff>
        </xdr:to>
        <xdr:sp macro="" textlink="">
          <xdr:nvSpPr>
            <xdr:cNvPr id="20507" name="Check Box 27" hidden="1">
              <a:extLst>
                <a:ext uri="{63B3BB69-23CF-44E3-9099-C40C66FF867C}">
                  <a14:compatExt spid="_x0000_s205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16</xdr:row>
          <xdr:rowOff>0</xdr:rowOff>
        </xdr:from>
        <xdr:to>
          <xdr:col>3</xdr:col>
          <xdr:colOff>0</xdr:colOff>
          <xdr:row>16</xdr:row>
          <xdr:rowOff>466725</xdr:rowOff>
        </xdr:to>
        <xdr:sp macro="" textlink="">
          <xdr:nvSpPr>
            <xdr:cNvPr id="20508" name="Check Box 28" hidden="1">
              <a:extLst>
                <a:ext uri="{63B3BB69-23CF-44E3-9099-C40C66FF867C}">
                  <a14:compatExt spid="_x0000_s205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17</xdr:row>
          <xdr:rowOff>0</xdr:rowOff>
        </xdr:from>
        <xdr:to>
          <xdr:col>1</xdr:col>
          <xdr:colOff>0</xdr:colOff>
          <xdr:row>17</xdr:row>
          <xdr:rowOff>466725</xdr:rowOff>
        </xdr:to>
        <xdr:sp macro="" textlink="">
          <xdr:nvSpPr>
            <xdr:cNvPr id="20509" name="Check Box 29" hidden="1">
              <a:extLst>
                <a:ext uri="{63B3BB69-23CF-44E3-9099-C40C66FF867C}">
                  <a14:compatExt spid="_x0000_s205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17</xdr:row>
          <xdr:rowOff>0</xdr:rowOff>
        </xdr:from>
        <xdr:to>
          <xdr:col>2</xdr:col>
          <xdr:colOff>0</xdr:colOff>
          <xdr:row>17</xdr:row>
          <xdr:rowOff>466725</xdr:rowOff>
        </xdr:to>
        <xdr:sp macro="" textlink="">
          <xdr:nvSpPr>
            <xdr:cNvPr id="20510" name="Check Box 30" hidden="1">
              <a:extLst>
                <a:ext uri="{63B3BB69-23CF-44E3-9099-C40C66FF867C}">
                  <a14:compatExt spid="_x0000_s205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17</xdr:row>
          <xdr:rowOff>0</xdr:rowOff>
        </xdr:from>
        <xdr:to>
          <xdr:col>3</xdr:col>
          <xdr:colOff>0</xdr:colOff>
          <xdr:row>17</xdr:row>
          <xdr:rowOff>466725</xdr:rowOff>
        </xdr:to>
        <xdr:sp macro="" textlink="">
          <xdr:nvSpPr>
            <xdr:cNvPr id="20511" name="Check Box 31" hidden="1">
              <a:extLst>
                <a:ext uri="{63B3BB69-23CF-44E3-9099-C40C66FF867C}">
                  <a14:compatExt spid="_x0000_s205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18</xdr:row>
          <xdr:rowOff>0</xdr:rowOff>
        </xdr:from>
        <xdr:to>
          <xdr:col>1</xdr:col>
          <xdr:colOff>0</xdr:colOff>
          <xdr:row>18</xdr:row>
          <xdr:rowOff>466725</xdr:rowOff>
        </xdr:to>
        <xdr:sp macro="" textlink="">
          <xdr:nvSpPr>
            <xdr:cNvPr id="20512" name="Check Box 32" hidden="1">
              <a:extLst>
                <a:ext uri="{63B3BB69-23CF-44E3-9099-C40C66FF867C}">
                  <a14:compatExt spid="_x0000_s205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18</xdr:row>
          <xdr:rowOff>0</xdr:rowOff>
        </xdr:from>
        <xdr:to>
          <xdr:col>2</xdr:col>
          <xdr:colOff>0</xdr:colOff>
          <xdr:row>18</xdr:row>
          <xdr:rowOff>466725</xdr:rowOff>
        </xdr:to>
        <xdr:sp macro="" textlink="">
          <xdr:nvSpPr>
            <xdr:cNvPr id="20513" name="Check Box 33" hidden="1">
              <a:extLst>
                <a:ext uri="{63B3BB69-23CF-44E3-9099-C40C66FF867C}">
                  <a14:compatExt spid="_x0000_s205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18</xdr:row>
          <xdr:rowOff>0</xdr:rowOff>
        </xdr:from>
        <xdr:to>
          <xdr:col>3</xdr:col>
          <xdr:colOff>0</xdr:colOff>
          <xdr:row>18</xdr:row>
          <xdr:rowOff>466725</xdr:rowOff>
        </xdr:to>
        <xdr:sp macro="" textlink="">
          <xdr:nvSpPr>
            <xdr:cNvPr id="20514" name="Check Box 34" hidden="1">
              <a:extLst>
                <a:ext uri="{63B3BB69-23CF-44E3-9099-C40C66FF867C}">
                  <a14:compatExt spid="_x0000_s205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19</xdr:row>
          <xdr:rowOff>0</xdr:rowOff>
        </xdr:from>
        <xdr:to>
          <xdr:col>1</xdr:col>
          <xdr:colOff>0</xdr:colOff>
          <xdr:row>19</xdr:row>
          <xdr:rowOff>466725</xdr:rowOff>
        </xdr:to>
        <xdr:sp macro="" textlink="">
          <xdr:nvSpPr>
            <xdr:cNvPr id="20515" name="Check Box 35" hidden="1">
              <a:extLst>
                <a:ext uri="{63B3BB69-23CF-44E3-9099-C40C66FF867C}">
                  <a14:compatExt spid="_x0000_s205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19</xdr:row>
          <xdr:rowOff>0</xdr:rowOff>
        </xdr:from>
        <xdr:to>
          <xdr:col>2</xdr:col>
          <xdr:colOff>0</xdr:colOff>
          <xdr:row>19</xdr:row>
          <xdr:rowOff>466725</xdr:rowOff>
        </xdr:to>
        <xdr:sp macro="" textlink="">
          <xdr:nvSpPr>
            <xdr:cNvPr id="20516" name="Check Box 36" hidden="1">
              <a:extLst>
                <a:ext uri="{63B3BB69-23CF-44E3-9099-C40C66FF867C}">
                  <a14:compatExt spid="_x0000_s205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19</xdr:row>
          <xdr:rowOff>0</xdr:rowOff>
        </xdr:from>
        <xdr:to>
          <xdr:col>3</xdr:col>
          <xdr:colOff>0</xdr:colOff>
          <xdr:row>19</xdr:row>
          <xdr:rowOff>466725</xdr:rowOff>
        </xdr:to>
        <xdr:sp macro="" textlink="">
          <xdr:nvSpPr>
            <xdr:cNvPr id="20517" name="Check Box 37" hidden="1">
              <a:extLst>
                <a:ext uri="{63B3BB69-23CF-44E3-9099-C40C66FF867C}">
                  <a14:compatExt spid="_x0000_s205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20</xdr:row>
          <xdr:rowOff>0</xdr:rowOff>
        </xdr:from>
        <xdr:to>
          <xdr:col>1</xdr:col>
          <xdr:colOff>0</xdr:colOff>
          <xdr:row>20</xdr:row>
          <xdr:rowOff>466725</xdr:rowOff>
        </xdr:to>
        <xdr:sp macro="" textlink="">
          <xdr:nvSpPr>
            <xdr:cNvPr id="20518" name="Check Box 38" hidden="1">
              <a:extLst>
                <a:ext uri="{63B3BB69-23CF-44E3-9099-C40C66FF867C}">
                  <a14:compatExt spid="_x0000_s205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20</xdr:row>
          <xdr:rowOff>0</xdr:rowOff>
        </xdr:from>
        <xdr:to>
          <xdr:col>2</xdr:col>
          <xdr:colOff>0</xdr:colOff>
          <xdr:row>20</xdr:row>
          <xdr:rowOff>466725</xdr:rowOff>
        </xdr:to>
        <xdr:sp macro="" textlink="">
          <xdr:nvSpPr>
            <xdr:cNvPr id="20519" name="Check Box 39" hidden="1">
              <a:extLst>
                <a:ext uri="{63B3BB69-23CF-44E3-9099-C40C66FF867C}">
                  <a14:compatExt spid="_x0000_s205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20</xdr:row>
          <xdr:rowOff>0</xdr:rowOff>
        </xdr:from>
        <xdr:to>
          <xdr:col>3</xdr:col>
          <xdr:colOff>0</xdr:colOff>
          <xdr:row>20</xdr:row>
          <xdr:rowOff>466725</xdr:rowOff>
        </xdr:to>
        <xdr:sp macro="" textlink="">
          <xdr:nvSpPr>
            <xdr:cNvPr id="20520" name="Check Box 40" hidden="1">
              <a:extLst>
                <a:ext uri="{63B3BB69-23CF-44E3-9099-C40C66FF867C}">
                  <a14:compatExt spid="_x0000_s205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21</xdr:row>
          <xdr:rowOff>0</xdr:rowOff>
        </xdr:from>
        <xdr:to>
          <xdr:col>1</xdr:col>
          <xdr:colOff>0</xdr:colOff>
          <xdr:row>21</xdr:row>
          <xdr:rowOff>466725</xdr:rowOff>
        </xdr:to>
        <xdr:sp macro="" textlink="">
          <xdr:nvSpPr>
            <xdr:cNvPr id="20521" name="Check Box 41" hidden="1">
              <a:extLst>
                <a:ext uri="{63B3BB69-23CF-44E3-9099-C40C66FF867C}">
                  <a14:compatExt spid="_x0000_s205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21</xdr:row>
          <xdr:rowOff>0</xdr:rowOff>
        </xdr:from>
        <xdr:to>
          <xdr:col>2</xdr:col>
          <xdr:colOff>0</xdr:colOff>
          <xdr:row>21</xdr:row>
          <xdr:rowOff>466725</xdr:rowOff>
        </xdr:to>
        <xdr:sp macro="" textlink="">
          <xdr:nvSpPr>
            <xdr:cNvPr id="20522" name="Check Box 42" hidden="1">
              <a:extLst>
                <a:ext uri="{63B3BB69-23CF-44E3-9099-C40C66FF867C}">
                  <a14:compatExt spid="_x0000_s205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21</xdr:row>
          <xdr:rowOff>0</xdr:rowOff>
        </xdr:from>
        <xdr:to>
          <xdr:col>3</xdr:col>
          <xdr:colOff>0</xdr:colOff>
          <xdr:row>21</xdr:row>
          <xdr:rowOff>466725</xdr:rowOff>
        </xdr:to>
        <xdr:sp macro="" textlink="">
          <xdr:nvSpPr>
            <xdr:cNvPr id="20523" name="Check Box 43" hidden="1">
              <a:extLst>
                <a:ext uri="{63B3BB69-23CF-44E3-9099-C40C66FF867C}">
                  <a14:compatExt spid="_x0000_s205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22</xdr:row>
          <xdr:rowOff>0</xdr:rowOff>
        </xdr:from>
        <xdr:to>
          <xdr:col>1</xdr:col>
          <xdr:colOff>0</xdr:colOff>
          <xdr:row>22</xdr:row>
          <xdr:rowOff>466725</xdr:rowOff>
        </xdr:to>
        <xdr:sp macro="" textlink="">
          <xdr:nvSpPr>
            <xdr:cNvPr id="20524" name="Check Box 44" hidden="1">
              <a:extLst>
                <a:ext uri="{63B3BB69-23CF-44E3-9099-C40C66FF867C}">
                  <a14:compatExt spid="_x0000_s205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22</xdr:row>
          <xdr:rowOff>0</xdr:rowOff>
        </xdr:from>
        <xdr:to>
          <xdr:col>2</xdr:col>
          <xdr:colOff>0</xdr:colOff>
          <xdr:row>22</xdr:row>
          <xdr:rowOff>466725</xdr:rowOff>
        </xdr:to>
        <xdr:sp macro="" textlink="">
          <xdr:nvSpPr>
            <xdr:cNvPr id="20525" name="Check Box 45" hidden="1">
              <a:extLst>
                <a:ext uri="{63B3BB69-23CF-44E3-9099-C40C66FF867C}">
                  <a14:compatExt spid="_x0000_s205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22</xdr:row>
          <xdr:rowOff>0</xdr:rowOff>
        </xdr:from>
        <xdr:to>
          <xdr:col>3</xdr:col>
          <xdr:colOff>0</xdr:colOff>
          <xdr:row>22</xdr:row>
          <xdr:rowOff>466725</xdr:rowOff>
        </xdr:to>
        <xdr:sp macro="" textlink="">
          <xdr:nvSpPr>
            <xdr:cNvPr id="20526" name="Check Box 46" hidden="1">
              <a:extLst>
                <a:ext uri="{63B3BB69-23CF-44E3-9099-C40C66FF867C}">
                  <a14:compatExt spid="_x0000_s205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23</xdr:row>
          <xdr:rowOff>0</xdr:rowOff>
        </xdr:from>
        <xdr:to>
          <xdr:col>1</xdr:col>
          <xdr:colOff>0</xdr:colOff>
          <xdr:row>23</xdr:row>
          <xdr:rowOff>466725</xdr:rowOff>
        </xdr:to>
        <xdr:sp macro="" textlink="">
          <xdr:nvSpPr>
            <xdr:cNvPr id="20527" name="Check Box 47" hidden="1">
              <a:extLst>
                <a:ext uri="{63B3BB69-23CF-44E3-9099-C40C66FF867C}">
                  <a14:compatExt spid="_x0000_s205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23</xdr:row>
          <xdr:rowOff>0</xdr:rowOff>
        </xdr:from>
        <xdr:to>
          <xdr:col>2</xdr:col>
          <xdr:colOff>0</xdr:colOff>
          <xdr:row>23</xdr:row>
          <xdr:rowOff>466725</xdr:rowOff>
        </xdr:to>
        <xdr:sp macro="" textlink="">
          <xdr:nvSpPr>
            <xdr:cNvPr id="20528" name="Check Box 48" hidden="1">
              <a:extLst>
                <a:ext uri="{63B3BB69-23CF-44E3-9099-C40C66FF867C}">
                  <a14:compatExt spid="_x0000_s205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23</xdr:row>
          <xdr:rowOff>0</xdr:rowOff>
        </xdr:from>
        <xdr:to>
          <xdr:col>3</xdr:col>
          <xdr:colOff>0</xdr:colOff>
          <xdr:row>23</xdr:row>
          <xdr:rowOff>466725</xdr:rowOff>
        </xdr:to>
        <xdr:sp macro="" textlink="">
          <xdr:nvSpPr>
            <xdr:cNvPr id="20529" name="Check Box 49" hidden="1">
              <a:extLst>
                <a:ext uri="{63B3BB69-23CF-44E3-9099-C40C66FF867C}">
                  <a14:compatExt spid="_x0000_s205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24</xdr:row>
          <xdr:rowOff>0</xdr:rowOff>
        </xdr:from>
        <xdr:to>
          <xdr:col>1</xdr:col>
          <xdr:colOff>0</xdr:colOff>
          <xdr:row>24</xdr:row>
          <xdr:rowOff>466725</xdr:rowOff>
        </xdr:to>
        <xdr:sp macro="" textlink="">
          <xdr:nvSpPr>
            <xdr:cNvPr id="20530" name="Check Box 50" hidden="1">
              <a:extLst>
                <a:ext uri="{63B3BB69-23CF-44E3-9099-C40C66FF867C}">
                  <a14:compatExt spid="_x0000_s205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24</xdr:row>
          <xdr:rowOff>0</xdr:rowOff>
        </xdr:from>
        <xdr:to>
          <xdr:col>2</xdr:col>
          <xdr:colOff>0</xdr:colOff>
          <xdr:row>24</xdr:row>
          <xdr:rowOff>466725</xdr:rowOff>
        </xdr:to>
        <xdr:sp macro="" textlink="">
          <xdr:nvSpPr>
            <xdr:cNvPr id="20531" name="Check Box 51" hidden="1">
              <a:extLst>
                <a:ext uri="{63B3BB69-23CF-44E3-9099-C40C66FF867C}">
                  <a14:compatExt spid="_x0000_s205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xdr:row>
          <xdr:rowOff>0</xdr:rowOff>
        </xdr:from>
        <xdr:to>
          <xdr:col>3</xdr:col>
          <xdr:colOff>0</xdr:colOff>
          <xdr:row>24</xdr:row>
          <xdr:rowOff>466725</xdr:rowOff>
        </xdr:to>
        <xdr:sp macro="" textlink="">
          <xdr:nvSpPr>
            <xdr:cNvPr id="20532" name="Check Box 52" hidden="1">
              <a:extLst>
                <a:ext uri="{63B3BB69-23CF-44E3-9099-C40C66FF867C}">
                  <a14:compatExt spid="_x0000_s205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25</xdr:row>
          <xdr:rowOff>0</xdr:rowOff>
        </xdr:from>
        <xdr:to>
          <xdr:col>1</xdr:col>
          <xdr:colOff>0</xdr:colOff>
          <xdr:row>25</xdr:row>
          <xdr:rowOff>466725</xdr:rowOff>
        </xdr:to>
        <xdr:sp macro="" textlink="">
          <xdr:nvSpPr>
            <xdr:cNvPr id="20533" name="Check Box 53" hidden="1">
              <a:extLst>
                <a:ext uri="{63B3BB69-23CF-44E3-9099-C40C66FF867C}">
                  <a14:compatExt spid="_x0000_s205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25</xdr:row>
          <xdr:rowOff>0</xdr:rowOff>
        </xdr:from>
        <xdr:to>
          <xdr:col>2</xdr:col>
          <xdr:colOff>0</xdr:colOff>
          <xdr:row>25</xdr:row>
          <xdr:rowOff>466725</xdr:rowOff>
        </xdr:to>
        <xdr:sp macro="" textlink="">
          <xdr:nvSpPr>
            <xdr:cNvPr id="20534" name="Check Box 54" hidden="1">
              <a:extLst>
                <a:ext uri="{63B3BB69-23CF-44E3-9099-C40C66FF867C}">
                  <a14:compatExt spid="_x0000_s205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25</xdr:row>
          <xdr:rowOff>0</xdr:rowOff>
        </xdr:from>
        <xdr:to>
          <xdr:col>3</xdr:col>
          <xdr:colOff>0</xdr:colOff>
          <xdr:row>25</xdr:row>
          <xdr:rowOff>466725</xdr:rowOff>
        </xdr:to>
        <xdr:sp macro="" textlink="">
          <xdr:nvSpPr>
            <xdr:cNvPr id="20535" name="Check Box 55" hidden="1">
              <a:extLst>
                <a:ext uri="{63B3BB69-23CF-44E3-9099-C40C66FF867C}">
                  <a14:compatExt spid="_x0000_s205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27</xdr:row>
          <xdr:rowOff>0</xdr:rowOff>
        </xdr:from>
        <xdr:to>
          <xdr:col>1</xdr:col>
          <xdr:colOff>0</xdr:colOff>
          <xdr:row>27</xdr:row>
          <xdr:rowOff>466725</xdr:rowOff>
        </xdr:to>
        <xdr:sp macro="" textlink="">
          <xdr:nvSpPr>
            <xdr:cNvPr id="20536" name="Check Box 56" hidden="1">
              <a:extLst>
                <a:ext uri="{63B3BB69-23CF-44E3-9099-C40C66FF867C}">
                  <a14:compatExt spid="_x0000_s205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27</xdr:row>
          <xdr:rowOff>0</xdr:rowOff>
        </xdr:from>
        <xdr:to>
          <xdr:col>2</xdr:col>
          <xdr:colOff>0</xdr:colOff>
          <xdr:row>27</xdr:row>
          <xdr:rowOff>466725</xdr:rowOff>
        </xdr:to>
        <xdr:sp macro="" textlink="">
          <xdr:nvSpPr>
            <xdr:cNvPr id="20537" name="Check Box 57" hidden="1">
              <a:extLst>
                <a:ext uri="{63B3BB69-23CF-44E3-9099-C40C66FF867C}">
                  <a14:compatExt spid="_x0000_s205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27</xdr:row>
          <xdr:rowOff>0</xdr:rowOff>
        </xdr:from>
        <xdr:to>
          <xdr:col>3</xdr:col>
          <xdr:colOff>0</xdr:colOff>
          <xdr:row>27</xdr:row>
          <xdr:rowOff>466725</xdr:rowOff>
        </xdr:to>
        <xdr:sp macro="" textlink="">
          <xdr:nvSpPr>
            <xdr:cNvPr id="20538" name="Check Box 58" hidden="1">
              <a:extLst>
                <a:ext uri="{63B3BB69-23CF-44E3-9099-C40C66FF867C}">
                  <a14:compatExt spid="_x0000_s205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28</xdr:row>
          <xdr:rowOff>0</xdr:rowOff>
        </xdr:from>
        <xdr:to>
          <xdr:col>1</xdr:col>
          <xdr:colOff>0</xdr:colOff>
          <xdr:row>28</xdr:row>
          <xdr:rowOff>466725</xdr:rowOff>
        </xdr:to>
        <xdr:sp macro="" textlink="">
          <xdr:nvSpPr>
            <xdr:cNvPr id="20539" name="Check Box 59" hidden="1">
              <a:extLst>
                <a:ext uri="{63B3BB69-23CF-44E3-9099-C40C66FF867C}">
                  <a14:compatExt spid="_x0000_s205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28</xdr:row>
          <xdr:rowOff>0</xdr:rowOff>
        </xdr:from>
        <xdr:to>
          <xdr:col>2</xdr:col>
          <xdr:colOff>0</xdr:colOff>
          <xdr:row>28</xdr:row>
          <xdr:rowOff>466725</xdr:rowOff>
        </xdr:to>
        <xdr:sp macro="" textlink="">
          <xdr:nvSpPr>
            <xdr:cNvPr id="20540" name="Check Box 60" hidden="1">
              <a:extLst>
                <a:ext uri="{63B3BB69-23CF-44E3-9099-C40C66FF867C}">
                  <a14:compatExt spid="_x0000_s205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28</xdr:row>
          <xdr:rowOff>0</xdr:rowOff>
        </xdr:from>
        <xdr:to>
          <xdr:col>3</xdr:col>
          <xdr:colOff>0</xdr:colOff>
          <xdr:row>28</xdr:row>
          <xdr:rowOff>466725</xdr:rowOff>
        </xdr:to>
        <xdr:sp macro="" textlink="">
          <xdr:nvSpPr>
            <xdr:cNvPr id="20541" name="Check Box 61" hidden="1">
              <a:extLst>
                <a:ext uri="{63B3BB69-23CF-44E3-9099-C40C66FF867C}">
                  <a14:compatExt spid="_x0000_s205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29</xdr:row>
          <xdr:rowOff>0</xdr:rowOff>
        </xdr:from>
        <xdr:to>
          <xdr:col>1</xdr:col>
          <xdr:colOff>0</xdr:colOff>
          <xdr:row>29</xdr:row>
          <xdr:rowOff>466725</xdr:rowOff>
        </xdr:to>
        <xdr:sp macro="" textlink="">
          <xdr:nvSpPr>
            <xdr:cNvPr id="20542" name="Check Box 62" hidden="1">
              <a:extLst>
                <a:ext uri="{63B3BB69-23CF-44E3-9099-C40C66FF867C}">
                  <a14:compatExt spid="_x0000_s205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29</xdr:row>
          <xdr:rowOff>0</xdr:rowOff>
        </xdr:from>
        <xdr:to>
          <xdr:col>2</xdr:col>
          <xdr:colOff>0</xdr:colOff>
          <xdr:row>29</xdr:row>
          <xdr:rowOff>466725</xdr:rowOff>
        </xdr:to>
        <xdr:sp macro="" textlink="">
          <xdr:nvSpPr>
            <xdr:cNvPr id="20543" name="Check Box 63" hidden="1">
              <a:extLst>
                <a:ext uri="{63B3BB69-23CF-44E3-9099-C40C66FF867C}">
                  <a14:compatExt spid="_x0000_s205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29</xdr:row>
          <xdr:rowOff>0</xdr:rowOff>
        </xdr:from>
        <xdr:to>
          <xdr:col>3</xdr:col>
          <xdr:colOff>0</xdr:colOff>
          <xdr:row>29</xdr:row>
          <xdr:rowOff>466725</xdr:rowOff>
        </xdr:to>
        <xdr:sp macro="" textlink="">
          <xdr:nvSpPr>
            <xdr:cNvPr id="20544" name="Check Box 64" hidden="1">
              <a:extLst>
                <a:ext uri="{63B3BB69-23CF-44E3-9099-C40C66FF867C}">
                  <a14:compatExt spid="_x0000_s205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30</xdr:row>
          <xdr:rowOff>0</xdr:rowOff>
        </xdr:from>
        <xdr:to>
          <xdr:col>1</xdr:col>
          <xdr:colOff>0</xdr:colOff>
          <xdr:row>30</xdr:row>
          <xdr:rowOff>466725</xdr:rowOff>
        </xdr:to>
        <xdr:sp macro="" textlink="">
          <xdr:nvSpPr>
            <xdr:cNvPr id="20545" name="Check Box 65" hidden="1">
              <a:extLst>
                <a:ext uri="{63B3BB69-23CF-44E3-9099-C40C66FF867C}">
                  <a14:compatExt spid="_x0000_s205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30</xdr:row>
          <xdr:rowOff>0</xdr:rowOff>
        </xdr:from>
        <xdr:to>
          <xdr:col>2</xdr:col>
          <xdr:colOff>0</xdr:colOff>
          <xdr:row>30</xdr:row>
          <xdr:rowOff>466725</xdr:rowOff>
        </xdr:to>
        <xdr:sp macro="" textlink="">
          <xdr:nvSpPr>
            <xdr:cNvPr id="20546" name="Check Box 66" hidden="1">
              <a:extLst>
                <a:ext uri="{63B3BB69-23CF-44E3-9099-C40C66FF867C}">
                  <a14:compatExt spid="_x0000_s205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30</xdr:row>
          <xdr:rowOff>0</xdr:rowOff>
        </xdr:from>
        <xdr:to>
          <xdr:col>3</xdr:col>
          <xdr:colOff>0</xdr:colOff>
          <xdr:row>30</xdr:row>
          <xdr:rowOff>466725</xdr:rowOff>
        </xdr:to>
        <xdr:sp macro="" textlink="">
          <xdr:nvSpPr>
            <xdr:cNvPr id="20547" name="Check Box 67" hidden="1">
              <a:extLst>
                <a:ext uri="{63B3BB69-23CF-44E3-9099-C40C66FF867C}">
                  <a14:compatExt spid="_x0000_s205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31</xdr:row>
          <xdr:rowOff>0</xdr:rowOff>
        </xdr:from>
        <xdr:to>
          <xdr:col>1</xdr:col>
          <xdr:colOff>0</xdr:colOff>
          <xdr:row>31</xdr:row>
          <xdr:rowOff>466725</xdr:rowOff>
        </xdr:to>
        <xdr:sp macro="" textlink="">
          <xdr:nvSpPr>
            <xdr:cNvPr id="20548" name="Check Box 68" hidden="1">
              <a:extLst>
                <a:ext uri="{63B3BB69-23CF-44E3-9099-C40C66FF867C}">
                  <a14:compatExt spid="_x0000_s205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31</xdr:row>
          <xdr:rowOff>0</xdr:rowOff>
        </xdr:from>
        <xdr:to>
          <xdr:col>2</xdr:col>
          <xdr:colOff>0</xdr:colOff>
          <xdr:row>31</xdr:row>
          <xdr:rowOff>466725</xdr:rowOff>
        </xdr:to>
        <xdr:sp macro="" textlink="">
          <xdr:nvSpPr>
            <xdr:cNvPr id="20549" name="Check Box 69" hidden="1">
              <a:extLst>
                <a:ext uri="{63B3BB69-23CF-44E3-9099-C40C66FF867C}">
                  <a14:compatExt spid="_x0000_s205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31</xdr:row>
          <xdr:rowOff>0</xdr:rowOff>
        </xdr:from>
        <xdr:to>
          <xdr:col>3</xdr:col>
          <xdr:colOff>0</xdr:colOff>
          <xdr:row>31</xdr:row>
          <xdr:rowOff>466725</xdr:rowOff>
        </xdr:to>
        <xdr:sp macro="" textlink="">
          <xdr:nvSpPr>
            <xdr:cNvPr id="20550" name="Check Box 70" hidden="1">
              <a:extLst>
                <a:ext uri="{63B3BB69-23CF-44E3-9099-C40C66FF867C}">
                  <a14:compatExt spid="_x0000_s205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32</xdr:row>
          <xdr:rowOff>0</xdr:rowOff>
        </xdr:from>
        <xdr:to>
          <xdr:col>1</xdr:col>
          <xdr:colOff>0</xdr:colOff>
          <xdr:row>32</xdr:row>
          <xdr:rowOff>466725</xdr:rowOff>
        </xdr:to>
        <xdr:sp macro="" textlink="">
          <xdr:nvSpPr>
            <xdr:cNvPr id="20551" name="Check Box 71" hidden="1">
              <a:extLst>
                <a:ext uri="{63B3BB69-23CF-44E3-9099-C40C66FF867C}">
                  <a14:compatExt spid="_x0000_s205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32</xdr:row>
          <xdr:rowOff>0</xdr:rowOff>
        </xdr:from>
        <xdr:to>
          <xdr:col>2</xdr:col>
          <xdr:colOff>0</xdr:colOff>
          <xdr:row>32</xdr:row>
          <xdr:rowOff>466725</xdr:rowOff>
        </xdr:to>
        <xdr:sp macro="" textlink="">
          <xdr:nvSpPr>
            <xdr:cNvPr id="20552" name="Check Box 72" hidden="1">
              <a:extLst>
                <a:ext uri="{63B3BB69-23CF-44E3-9099-C40C66FF867C}">
                  <a14:compatExt spid="_x0000_s205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32</xdr:row>
          <xdr:rowOff>0</xdr:rowOff>
        </xdr:from>
        <xdr:to>
          <xdr:col>3</xdr:col>
          <xdr:colOff>0</xdr:colOff>
          <xdr:row>32</xdr:row>
          <xdr:rowOff>466725</xdr:rowOff>
        </xdr:to>
        <xdr:sp macro="" textlink="">
          <xdr:nvSpPr>
            <xdr:cNvPr id="20553" name="Check Box 73" hidden="1">
              <a:extLst>
                <a:ext uri="{63B3BB69-23CF-44E3-9099-C40C66FF867C}">
                  <a14:compatExt spid="_x0000_s205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33</xdr:row>
          <xdr:rowOff>0</xdr:rowOff>
        </xdr:from>
        <xdr:to>
          <xdr:col>1</xdr:col>
          <xdr:colOff>0</xdr:colOff>
          <xdr:row>33</xdr:row>
          <xdr:rowOff>466725</xdr:rowOff>
        </xdr:to>
        <xdr:sp macro="" textlink="">
          <xdr:nvSpPr>
            <xdr:cNvPr id="20554" name="Check Box 74" hidden="1">
              <a:extLst>
                <a:ext uri="{63B3BB69-23CF-44E3-9099-C40C66FF867C}">
                  <a14:compatExt spid="_x0000_s205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33</xdr:row>
          <xdr:rowOff>0</xdr:rowOff>
        </xdr:from>
        <xdr:to>
          <xdr:col>2</xdr:col>
          <xdr:colOff>0</xdr:colOff>
          <xdr:row>33</xdr:row>
          <xdr:rowOff>466725</xdr:rowOff>
        </xdr:to>
        <xdr:sp macro="" textlink="">
          <xdr:nvSpPr>
            <xdr:cNvPr id="20555" name="Check Box 75" hidden="1">
              <a:extLst>
                <a:ext uri="{63B3BB69-23CF-44E3-9099-C40C66FF867C}">
                  <a14:compatExt spid="_x0000_s205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33</xdr:row>
          <xdr:rowOff>0</xdr:rowOff>
        </xdr:from>
        <xdr:to>
          <xdr:col>3</xdr:col>
          <xdr:colOff>0</xdr:colOff>
          <xdr:row>33</xdr:row>
          <xdr:rowOff>466725</xdr:rowOff>
        </xdr:to>
        <xdr:sp macro="" textlink="">
          <xdr:nvSpPr>
            <xdr:cNvPr id="20556" name="Check Box 76" hidden="1">
              <a:extLst>
                <a:ext uri="{63B3BB69-23CF-44E3-9099-C40C66FF867C}">
                  <a14:compatExt spid="_x0000_s205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34</xdr:row>
          <xdr:rowOff>0</xdr:rowOff>
        </xdr:from>
        <xdr:to>
          <xdr:col>1</xdr:col>
          <xdr:colOff>0</xdr:colOff>
          <xdr:row>34</xdr:row>
          <xdr:rowOff>466725</xdr:rowOff>
        </xdr:to>
        <xdr:sp macro="" textlink="">
          <xdr:nvSpPr>
            <xdr:cNvPr id="20557" name="Check Box 77" hidden="1">
              <a:extLst>
                <a:ext uri="{63B3BB69-23CF-44E3-9099-C40C66FF867C}">
                  <a14:compatExt spid="_x0000_s205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34</xdr:row>
          <xdr:rowOff>0</xdr:rowOff>
        </xdr:from>
        <xdr:to>
          <xdr:col>2</xdr:col>
          <xdr:colOff>0</xdr:colOff>
          <xdr:row>34</xdr:row>
          <xdr:rowOff>466725</xdr:rowOff>
        </xdr:to>
        <xdr:sp macro="" textlink="">
          <xdr:nvSpPr>
            <xdr:cNvPr id="20558" name="Check Box 78" hidden="1">
              <a:extLst>
                <a:ext uri="{63B3BB69-23CF-44E3-9099-C40C66FF867C}">
                  <a14:compatExt spid="_x0000_s205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34</xdr:row>
          <xdr:rowOff>0</xdr:rowOff>
        </xdr:from>
        <xdr:to>
          <xdr:col>3</xdr:col>
          <xdr:colOff>0</xdr:colOff>
          <xdr:row>34</xdr:row>
          <xdr:rowOff>466725</xdr:rowOff>
        </xdr:to>
        <xdr:sp macro="" textlink="">
          <xdr:nvSpPr>
            <xdr:cNvPr id="20559" name="Check Box 79" hidden="1">
              <a:extLst>
                <a:ext uri="{63B3BB69-23CF-44E3-9099-C40C66FF867C}">
                  <a14:compatExt spid="_x0000_s205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35</xdr:row>
          <xdr:rowOff>0</xdr:rowOff>
        </xdr:from>
        <xdr:to>
          <xdr:col>1</xdr:col>
          <xdr:colOff>0</xdr:colOff>
          <xdr:row>35</xdr:row>
          <xdr:rowOff>466725</xdr:rowOff>
        </xdr:to>
        <xdr:sp macro="" textlink="">
          <xdr:nvSpPr>
            <xdr:cNvPr id="20560" name="Check Box 80" hidden="1">
              <a:extLst>
                <a:ext uri="{63B3BB69-23CF-44E3-9099-C40C66FF867C}">
                  <a14:compatExt spid="_x0000_s205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35</xdr:row>
          <xdr:rowOff>0</xdr:rowOff>
        </xdr:from>
        <xdr:to>
          <xdr:col>2</xdr:col>
          <xdr:colOff>0</xdr:colOff>
          <xdr:row>35</xdr:row>
          <xdr:rowOff>466725</xdr:rowOff>
        </xdr:to>
        <xdr:sp macro="" textlink="">
          <xdr:nvSpPr>
            <xdr:cNvPr id="20561" name="Check Box 81" hidden="1">
              <a:extLst>
                <a:ext uri="{63B3BB69-23CF-44E3-9099-C40C66FF867C}">
                  <a14:compatExt spid="_x0000_s205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35</xdr:row>
          <xdr:rowOff>0</xdr:rowOff>
        </xdr:from>
        <xdr:to>
          <xdr:col>3</xdr:col>
          <xdr:colOff>0</xdr:colOff>
          <xdr:row>35</xdr:row>
          <xdr:rowOff>466725</xdr:rowOff>
        </xdr:to>
        <xdr:sp macro="" textlink="">
          <xdr:nvSpPr>
            <xdr:cNvPr id="20562" name="Check Box 82" hidden="1">
              <a:extLst>
                <a:ext uri="{63B3BB69-23CF-44E3-9099-C40C66FF867C}">
                  <a14:compatExt spid="_x0000_s205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36</xdr:row>
          <xdr:rowOff>0</xdr:rowOff>
        </xdr:from>
        <xdr:to>
          <xdr:col>1</xdr:col>
          <xdr:colOff>0</xdr:colOff>
          <xdr:row>36</xdr:row>
          <xdr:rowOff>466725</xdr:rowOff>
        </xdr:to>
        <xdr:sp macro="" textlink="">
          <xdr:nvSpPr>
            <xdr:cNvPr id="20563" name="Check Box 83" hidden="1">
              <a:extLst>
                <a:ext uri="{63B3BB69-23CF-44E3-9099-C40C66FF867C}">
                  <a14:compatExt spid="_x0000_s205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36</xdr:row>
          <xdr:rowOff>0</xdr:rowOff>
        </xdr:from>
        <xdr:to>
          <xdr:col>2</xdr:col>
          <xdr:colOff>0</xdr:colOff>
          <xdr:row>36</xdr:row>
          <xdr:rowOff>466725</xdr:rowOff>
        </xdr:to>
        <xdr:sp macro="" textlink="">
          <xdr:nvSpPr>
            <xdr:cNvPr id="20564" name="Check Box 84" hidden="1">
              <a:extLst>
                <a:ext uri="{63B3BB69-23CF-44E3-9099-C40C66FF867C}">
                  <a14:compatExt spid="_x0000_s205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36</xdr:row>
          <xdr:rowOff>0</xdr:rowOff>
        </xdr:from>
        <xdr:to>
          <xdr:col>3</xdr:col>
          <xdr:colOff>0</xdr:colOff>
          <xdr:row>36</xdr:row>
          <xdr:rowOff>466725</xdr:rowOff>
        </xdr:to>
        <xdr:sp macro="" textlink="">
          <xdr:nvSpPr>
            <xdr:cNvPr id="20565" name="Check Box 85" hidden="1">
              <a:extLst>
                <a:ext uri="{63B3BB69-23CF-44E3-9099-C40C66FF867C}">
                  <a14:compatExt spid="_x0000_s205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38</xdr:row>
          <xdr:rowOff>0</xdr:rowOff>
        </xdr:from>
        <xdr:to>
          <xdr:col>1</xdr:col>
          <xdr:colOff>0</xdr:colOff>
          <xdr:row>38</xdr:row>
          <xdr:rowOff>466725</xdr:rowOff>
        </xdr:to>
        <xdr:sp macro="" textlink="">
          <xdr:nvSpPr>
            <xdr:cNvPr id="20566" name="Check Box 86" hidden="1">
              <a:extLst>
                <a:ext uri="{63B3BB69-23CF-44E3-9099-C40C66FF867C}">
                  <a14:compatExt spid="_x0000_s205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38</xdr:row>
          <xdr:rowOff>0</xdr:rowOff>
        </xdr:from>
        <xdr:to>
          <xdr:col>2</xdr:col>
          <xdr:colOff>0</xdr:colOff>
          <xdr:row>38</xdr:row>
          <xdr:rowOff>466725</xdr:rowOff>
        </xdr:to>
        <xdr:sp macro="" textlink="">
          <xdr:nvSpPr>
            <xdr:cNvPr id="20567" name="Check Box 87" hidden="1">
              <a:extLst>
                <a:ext uri="{63B3BB69-23CF-44E3-9099-C40C66FF867C}">
                  <a14:compatExt spid="_x0000_s205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38</xdr:row>
          <xdr:rowOff>0</xdr:rowOff>
        </xdr:from>
        <xdr:to>
          <xdr:col>3</xdr:col>
          <xdr:colOff>0</xdr:colOff>
          <xdr:row>38</xdr:row>
          <xdr:rowOff>466725</xdr:rowOff>
        </xdr:to>
        <xdr:sp macro="" textlink="">
          <xdr:nvSpPr>
            <xdr:cNvPr id="20568" name="Check Box 88" hidden="1">
              <a:extLst>
                <a:ext uri="{63B3BB69-23CF-44E3-9099-C40C66FF867C}">
                  <a14:compatExt spid="_x0000_s205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39</xdr:row>
          <xdr:rowOff>0</xdr:rowOff>
        </xdr:from>
        <xdr:to>
          <xdr:col>1</xdr:col>
          <xdr:colOff>0</xdr:colOff>
          <xdr:row>39</xdr:row>
          <xdr:rowOff>466725</xdr:rowOff>
        </xdr:to>
        <xdr:sp macro="" textlink="">
          <xdr:nvSpPr>
            <xdr:cNvPr id="20569" name="Check Box 89" hidden="1">
              <a:extLst>
                <a:ext uri="{63B3BB69-23CF-44E3-9099-C40C66FF867C}">
                  <a14:compatExt spid="_x0000_s205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39</xdr:row>
          <xdr:rowOff>0</xdr:rowOff>
        </xdr:from>
        <xdr:to>
          <xdr:col>2</xdr:col>
          <xdr:colOff>0</xdr:colOff>
          <xdr:row>39</xdr:row>
          <xdr:rowOff>466725</xdr:rowOff>
        </xdr:to>
        <xdr:sp macro="" textlink="">
          <xdr:nvSpPr>
            <xdr:cNvPr id="20570" name="Check Box 90" hidden="1">
              <a:extLst>
                <a:ext uri="{63B3BB69-23CF-44E3-9099-C40C66FF867C}">
                  <a14:compatExt spid="_x0000_s205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39</xdr:row>
          <xdr:rowOff>0</xdr:rowOff>
        </xdr:from>
        <xdr:to>
          <xdr:col>3</xdr:col>
          <xdr:colOff>0</xdr:colOff>
          <xdr:row>39</xdr:row>
          <xdr:rowOff>466725</xdr:rowOff>
        </xdr:to>
        <xdr:sp macro="" textlink="">
          <xdr:nvSpPr>
            <xdr:cNvPr id="20571" name="Check Box 91" hidden="1">
              <a:extLst>
                <a:ext uri="{63B3BB69-23CF-44E3-9099-C40C66FF867C}">
                  <a14:compatExt spid="_x0000_s205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40</xdr:row>
          <xdr:rowOff>0</xdr:rowOff>
        </xdr:from>
        <xdr:to>
          <xdr:col>1</xdr:col>
          <xdr:colOff>0</xdr:colOff>
          <xdr:row>40</xdr:row>
          <xdr:rowOff>466725</xdr:rowOff>
        </xdr:to>
        <xdr:sp macro="" textlink="">
          <xdr:nvSpPr>
            <xdr:cNvPr id="20572" name="Check Box 92" hidden="1">
              <a:extLst>
                <a:ext uri="{63B3BB69-23CF-44E3-9099-C40C66FF867C}">
                  <a14:compatExt spid="_x0000_s205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40</xdr:row>
          <xdr:rowOff>0</xdr:rowOff>
        </xdr:from>
        <xdr:to>
          <xdr:col>2</xdr:col>
          <xdr:colOff>0</xdr:colOff>
          <xdr:row>40</xdr:row>
          <xdr:rowOff>466725</xdr:rowOff>
        </xdr:to>
        <xdr:sp macro="" textlink="">
          <xdr:nvSpPr>
            <xdr:cNvPr id="20573" name="Check Box 93" hidden="1">
              <a:extLst>
                <a:ext uri="{63B3BB69-23CF-44E3-9099-C40C66FF867C}">
                  <a14:compatExt spid="_x0000_s205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40</xdr:row>
          <xdr:rowOff>0</xdr:rowOff>
        </xdr:from>
        <xdr:to>
          <xdr:col>3</xdr:col>
          <xdr:colOff>0</xdr:colOff>
          <xdr:row>40</xdr:row>
          <xdr:rowOff>466725</xdr:rowOff>
        </xdr:to>
        <xdr:sp macro="" textlink="">
          <xdr:nvSpPr>
            <xdr:cNvPr id="20574" name="Check Box 94" hidden="1">
              <a:extLst>
                <a:ext uri="{63B3BB69-23CF-44E3-9099-C40C66FF867C}">
                  <a14:compatExt spid="_x0000_s205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41</xdr:row>
          <xdr:rowOff>0</xdr:rowOff>
        </xdr:from>
        <xdr:to>
          <xdr:col>1</xdr:col>
          <xdr:colOff>0</xdr:colOff>
          <xdr:row>41</xdr:row>
          <xdr:rowOff>466725</xdr:rowOff>
        </xdr:to>
        <xdr:sp macro="" textlink="">
          <xdr:nvSpPr>
            <xdr:cNvPr id="20575" name="Check Box 95" hidden="1">
              <a:extLst>
                <a:ext uri="{63B3BB69-23CF-44E3-9099-C40C66FF867C}">
                  <a14:compatExt spid="_x0000_s205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41</xdr:row>
          <xdr:rowOff>0</xdr:rowOff>
        </xdr:from>
        <xdr:to>
          <xdr:col>2</xdr:col>
          <xdr:colOff>0</xdr:colOff>
          <xdr:row>41</xdr:row>
          <xdr:rowOff>466725</xdr:rowOff>
        </xdr:to>
        <xdr:sp macro="" textlink="">
          <xdr:nvSpPr>
            <xdr:cNvPr id="20576" name="Check Box 96" hidden="1">
              <a:extLst>
                <a:ext uri="{63B3BB69-23CF-44E3-9099-C40C66FF867C}">
                  <a14:compatExt spid="_x0000_s205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41</xdr:row>
          <xdr:rowOff>0</xdr:rowOff>
        </xdr:from>
        <xdr:to>
          <xdr:col>3</xdr:col>
          <xdr:colOff>0</xdr:colOff>
          <xdr:row>41</xdr:row>
          <xdr:rowOff>466725</xdr:rowOff>
        </xdr:to>
        <xdr:sp macro="" textlink="">
          <xdr:nvSpPr>
            <xdr:cNvPr id="20577" name="Check Box 97" hidden="1">
              <a:extLst>
                <a:ext uri="{63B3BB69-23CF-44E3-9099-C40C66FF867C}">
                  <a14:compatExt spid="_x0000_s205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42</xdr:row>
          <xdr:rowOff>0</xdr:rowOff>
        </xdr:from>
        <xdr:to>
          <xdr:col>1</xdr:col>
          <xdr:colOff>0</xdr:colOff>
          <xdr:row>42</xdr:row>
          <xdr:rowOff>466725</xdr:rowOff>
        </xdr:to>
        <xdr:sp macro="" textlink="">
          <xdr:nvSpPr>
            <xdr:cNvPr id="20578" name="Check Box 98" hidden="1">
              <a:extLst>
                <a:ext uri="{63B3BB69-23CF-44E3-9099-C40C66FF867C}">
                  <a14:compatExt spid="_x0000_s205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42</xdr:row>
          <xdr:rowOff>0</xdr:rowOff>
        </xdr:from>
        <xdr:to>
          <xdr:col>2</xdr:col>
          <xdr:colOff>0</xdr:colOff>
          <xdr:row>42</xdr:row>
          <xdr:rowOff>466725</xdr:rowOff>
        </xdr:to>
        <xdr:sp macro="" textlink="">
          <xdr:nvSpPr>
            <xdr:cNvPr id="20579" name="Check Box 99" hidden="1">
              <a:extLst>
                <a:ext uri="{63B3BB69-23CF-44E3-9099-C40C66FF867C}">
                  <a14:compatExt spid="_x0000_s205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42</xdr:row>
          <xdr:rowOff>0</xdr:rowOff>
        </xdr:from>
        <xdr:to>
          <xdr:col>3</xdr:col>
          <xdr:colOff>0</xdr:colOff>
          <xdr:row>42</xdr:row>
          <xdr:rowOff>466725</xdr:rowOff>
        </xdr:to>
        <xdr:sp macro="" textlink="">
          <xdr:nvSpPr>
            <xdr:cNvPr id="20580" name="Check Box 100" hidden="1">
              <a:extLst>
                <a:ext uri="{63B3BB69-23CF-44E3-9099-C40C66FF867C}">
                  <a14:compatExt spid="_x0000_s205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43</xdr:row>
          <xdr:rowOff>0</xdr:rowOff>
        </xdr:from>
        <xdr:to>
          <xdr:col>1</xdr:col>
          <xdr:colOff>0</xdr:colOff>
          <xdr:row>43</xdr:row>
          <xdr:rowOff>466725</xdr:rowOff>
        </xdr:to>
        <xdr:sp macro="" textlink="">
          <xdr:nvSpPr>
            <xdr:cNvPr id="20581" name="Check Box 101" hidden="1">
              <a:extLst>
                <a:ext uri="{63B3BB69-23CF-44E3-9099-C40C66FF867C}">
                  <a14:compatExt spid="_x0000_s205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43</xdr:row>
          <xdr:rowOff>0</xdr:rowOff>
        </xdr:from>
        <xdr:to>
          <xdr:col>2</xdr:col>
          <xdr:colOff>0</xdr:colOff>
          <xdr:row>43</xdr:row>
          <xdr:rowOff>466725</xdr:rowOff>
        </xdr:to>
        <xdr:sp macro="" textlink="">
          <xdr:nvSpPr>
            <xdr:cNvPr id="20582" name="Check Box 102" hidden="1">
              <a:extLst>
                <a:ext uri="{63B3BB69-23CF-44E3-9099-C40C66FF867C}">
                  <a14:compatExt spid="_x0000_s205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43</xdr:row>
          <xdr:rowOff>0</xdr:rowOff>
        </xdr:from>
        <xdr:to>
          <xdr:col>3</xdr:col>
          <xdr:colOff>0</xdr:colOff>
          <xdr:row>43</xdr:row>
          <xdr:rowOff>466725</xdr:rowOff>
        </xdr:to>
        <xdr:sp macro="" textlink="">
          <xdr:nvSpPr>
            <xdr:cNvPr id="20583" name="Check Box 103" hidden="1">
              <a:extLst>
                <a:ext uri="{63B3BB69-23CF-44E3-9099-C40C66FF867C}">
                  <a14:compatExt spid="_x0000_s205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44</xdr:row>
          <xdr:rowOff>0</xdr:rowOff>
        </xdr:from>
        <xdr:to>
          <xdr:col>1</xdr:col>
          <xdr:colOff>0</xdr:colOff>
          <xdr:row>44</xdr:row>
          <xdr:rowOff>466725</xdr:rowOff>
        </xdr:to>
        <xdr:sp macro="" textlink="">
          <xdr:nvSpPr>
            <xdr:cNvPr id="20584" name="Check Box 104" hidden="1">
              <a:extLst>
                <a:ext uri="{63B3BB69-23CF-44E3-9099-C40C66FF867C}">
                  <a14:compatExt spid="_x0000_s205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44</xdr:row>
          <xdr:rowOff>0</xdr:rowOff>
        </xdr:from>
        <xdr:to>
          <xdr:col>2</xdr:col>
          <xdr:colOff>0</xdr:colOff>
          <xdr:row>44</xdr:row>
          <xdr:rowOff>466725</xdr:rowOff>
        </xdr:to>
        <xdr:sp macro="" textlink="">
          <xdr:nvSpPr>
            <xdr:cNvPr id="20585" name="Check Box 105" hidden="1">
              <a:extLst>
                <a:ext uri="{63B3BB69-23CF-44E3-9099-C40C66FF867C}">
                  <a14:compatExt spid="_x0000_s205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44</xdr:row>
          <xdr:rowOff>0</xdr:rowOff>
        </xdr:from>
        <xdr:to>
          <xdr:col>3</xdr:col>
          <xdr:colOff>0</xdr:colOff>
          <xdr:row>44</xdr:row>
          <xdr:rowOff>466725</xdr:rowOff>
        </xdr:to>
        <xdr:sp macro="" textlink="">
          <xdr:nvSpPr>
            <xdr:cNvPr id="20586" name="Check Box 106" hidden="1">
              <a:extLst>
                <a:ext uri="{63B3BB69-23CF-44E3-9099-C40C66FF867C}">
                  <a14:compatExt spid="_x0000_s205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46</xdr:row>
          <xdr:rowOff>0</xdr:rowOff>
        </xdr:from>
        <xdr:to>
          <xdr:col>1</xdr:col>
          <xdr:colOff>0</xdr:colOff>
          <xdr:row>46</xdr:row>
          <xdr:rowOff>466725</xdr:rowOff>
        </xdr:to>
        <xdr:sp macro="" textlink="">
          <xdr:nvSpPr>
            <xdr:cNvPr id="20587" name="Check Box 107" hidden="1">
              <a:extLst>
                <a:ext uri="{63B3BB69-23CF-44E3-9099-C40C66FF867C}">
                  <a14:compatExt spid="_x0000_s205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46</xdr:row>
          <xdr:rowOff>0</xdr:rowOff>
        </xdr:from>
        <xdr:to>
          <xdr:col>2</xdr:col>
          <xdr:colOff>0</xdr:colOff>
          <xdr:row>46</xdr:row>
          <xdr:rowOff>466725</xdr:rowOff>
        </xdr:to>
        <xdr:sp macro="" textlink="">
          <xdr:nvSpPr>
            <xdr:cNvPr id="20588" name="Check Box 108" hidden="1">
              <a:extLst>
                <a:ext uri="{63B3BB69-23CF-44E3-9099-C40C66FF867C}">
                  <a14:compatExt spid="_x0000_s205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46</xdr:row>
          <xdr:rowOff>0</xdr:rowOff>
        </xdr:from>
        <xdr:to>
          <xdr:col>3</xdr:col>
          <xdr:colOff>0</xdr:colOff>
          <xdr:row>46</xdr:row>
          <xdr:rowOff>466725</xdr:rowOff>
        </xdr:to>
        <xdr:sp macro="" textlink="">
          <xdr:nvSpPr>
            <xdr:cNvPr id="20589" name="Check Box 109" hidden="1">
              <a:extLst>
                <a:ext uri="{63B3BB69-23CF-44E3-9099-C40C66FF867C}">
                  <a14:compatExt spid="_x0000_s205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47</xdr:row>
          <xdr:rowOff>0</xdr:rowOff>
        </xdr:from>
        <xdr:to>
          <xdr:col>1</xdr:col>
          <xdr:colOff>0</xdr:colOff>
          <xdr:row>47</xdr:row>
          <xdr:rowOff>466725</xdr:rowOff>
        </xdr:to>
        <xdr:sp macro="" textlink="">
          <xdr:nvSpPr>
            <xdr:cNvPr id="20590" name="Check Box 110" hidden="1">
              <a:extLst>
                <a:ext uri="{63B3BB69-23CF-44E3-9099-C40C66FF867C}">
                  <a14:compatExt spid="_x0000_s205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47</xdr:row>
          <xdr:rowOff>0</xdr:rowOff>
        </xdr:from>
        <xdr:to>
          <xdr:col>2</xdr:col>
          <xdr:colOff>0</xdr:colOff>
          <xdr:row>47</xdr:row>
          <xdr:rowOff>466725</xdr:rowOff>
        </xdr:to>
        <xdr:sp macro="" textlink="">
          <xdr:nvSpPr>
            <xdr:cNvPr id="20591" name="Check Box 111" hidden="1">
              <a:extLst>
                <a:ext uri="{63B3BB69-23CF-44E3-9099-C40C66FF867C}">
                  <a14:compatExt spid="_x0000_s205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47</xdr:row>
          <xdr:rowOff>0</xdr:rowOff>
        </xdr:from>
        <xdr:to>
          <xdr:col>3</xdr:col>
          <xdr:colOff>0</xdr:colOff>
          <xdr:row>47</xdr:row>
          <xdr:rowOff>466725</xdr:rowOff>
        </xdr:to>
        <xdr:sp macro="" textlink="">
          <xdr:nvSpPr>
            <xdr:cNvPr id="20592" name="Check Box 112" hidden="1">
              <a:extLst>
                <a:ext uri="{63B3BB69-23CF-44E3-9099-C40C66FF867C}">
                  <a14:compatExt spid="_x0000_s205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48</xdr:row>
          <xdr:rowOff>0</xdr:rowOff>
        </xdr:from>
        <xdr:to>
          <xdr:col>1</xdr:col>
          <xdr:colOff>0</xdr:colOff>
          <xdr:row>48</xdr:row>
          <xdr:rowOff>466725</xdr:rowOff>
        </xdr:to>
        <xdr:sp macro="" textlink="">
          <xdr:nvSpPr>
            <xdr:cNvPr id="20593" name="Check Box 113" hidden="1">
              <a:extLst>
                <a:ext uri="{63B3BB69-23CF-44E3-9099-C40C66FF867C}">
                  <a14:compatExt spid="_x0000_s205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48</xdr:row>
          <xdr:rowOff>0</xdr:rowOff>
        </xdr:from>
        <xdr:to>
          <xdr:col>2</xdr:col>
          <xdr:colOff>0</xdr:colOff>
          <xdr:row>48</xdr:row>
          <xdr:rowOff>466725</xdr:rowOff>
        </xdr:to>
        <xdr:sp macro="" textlink="">
          <xdr:nvSpPr>
            <xdr:cNvPr id="20594" name="Check Box 114" hidden="1">
              <a:extLst>
                <a:ext uri="{63B3BB69-23CF-44E3-9099-C40C66FF867C}">
                  <a14:compatExt spid="_x0000_s205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48</xdr:row>
          <xdr:rowOff>0</xdr:rowOff>
        </xdr:from>
        <xdr:to>
          <xdr:col>3</xdr:col>
          <xdr:colOff>0</xdr:colOff>
          <xdr:row>48</xdr:row>
          <xdr:rowOff>466725</xdr:rowOff>
        </xdr:to>
        <xdr:sp macro="" textlink="">
          <xdr:nvSpPr>
            <xdr:cNvPr id="20595" name="Check Box 115" hidden="1">
              <a:extLst>
                <a:ext uri="{63B3BB69-23CF-44E3-9099-C40C66FF867C}">
                  <a14:compatExt spid="_x0000_s205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49</xdr:row>
          <xdr:rowOff>0</xdr:rowOff>
        </xdr:from>
        <xdr:to>
          <xdr:col>1</xdr:col>
          <xdr:colOff>0</xdr:colOff>
          <xdr:row>49</xdr:row>
          <xdr:rowOff>466725</xdr:rowOff>
        </xdr:to>
        <xdr:sp macro="" textlink="">
          <xdr:nvSpPr>
            <xdr:cNvPr id="20596" name="Check Box 116" hidden="1">
              <a:extLst>
                <a:ext uri="{63B3BB69-23CF-44E3-9099-C40C66FF867C}">
                  <a14:compatExt spid="_x0000_s205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49</xdr:row>
          <xdr:rowOff>0</xdr:rowOff>
        </xdr:from>
        <xdr:to>
          <xdr:col>2</xdr:col>
          <xdr:colOff>0</xdr:colOff>
          <xdr:row>49</xdr:row>
          <xdr:rowOff>466725</xdr:rowOff>
        </xdr:to>
        <xdr:sp macro="" textlink="">
          <xdr:nvSpPr>
            <xdr:cNvPr id="20597" name="Check Box 117" hidden="1">
              <a:extLst>
                <a:ext uri="{63B3BB69-23CF-44E3-9099-C40C66FF867C}">
                  <a14:compatExt spid="_x0000_s205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49</xdr:row>
          <xdr:rowOff>0</xdr:rowOff>
        </xdr:from>
        <xdr:to>
          <xdr:col>3</xdr:col>
          <xdr:colOff>0</xdr:colOff>
          <xdr:row>49</xdr:row>
          <xdr:rowOff>466725</xdr:rowOff>
        </xdr:to>
        <xdr:sp macro="" textlink="">
          <xdr:nvSpPr>
            <xdr:cNvPr id="20598" name="Check Box 118" hidden="1">
              <a:extLst>
                <a:ext uri="{63B3BB69-23CF-44E3-9099-C40C66FF867C}">
                  <a14:compatExt spid="_x0000_s205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50</xdr:row>
          <xdr:rowOff>0</xdr:rowOff>
        </xdr:from>
        <xdr:to>
          <xdr:col>1</xdr:col>
          <xdr:colOff>0</xdr:colOff>
          <xdr:row>50</xdr:row>
          <xdr:rowOff>466725</xdr:rowOff>
        </xdr:to>
        <xdr:sp macro="" textlink="">
          <xdr:nvSpPr>
            <xdr:cNvPr id="20599" name="Check Box 119" hidden="1">
              <a:extLst>
                <a:ext uri="{63B3BB69-23CF-44E3-9099-C40C66FF867C}">
                  <a14:compatExt spid="_x0000_s205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50</xdr:row>
          <xdr:rowOff>0</xdr:rowOff>
        </xdr:from>
        <xdr:to>
          <xdr:col>2</xdr:col>
          <xdr:colOff>0</xdr:colOff>
          <xdr:row>50</xdr:row>
          <xdr:rowOff>466725</xdr:rowOff>
        </xdr:to>
        <xdr:sp macro="" textlink="">
          <xdr:nvSpPr>
            <xdr:cNvPr id="20600" name="Check Box 120" hidden="1">
              <a:extLst>
                <a:ext uri="{63B3BB69-23CF-44E3-9099-C40C66FF867C}">
                  <a14:compatExt spid="_x0000_s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50</xdr:row>
          <xdr:rowOff>0</xdr:rowOff>
        </xdr:from>
        <xdr:to>
          <xdr:col>3</xdr:col>
          <xdr:colOff>0</xdr:colOff>
          <xdr:row>50</xdr:row>
          <xdr:rowOff>466725</xdr:rowOff>
        </xdr:to>
        <xdr:sp macro="" textlink="">
          <xdr:nvSpPr>
            <xdr:cNvPr id="20601" name="Check Box 121" hidden="1">
              <a:extLst>
                <a:ext uri="{63B3BB69-23CF-44E3-9099-C40C66FF867C}">
                  <a14:compatExt spid="_x0000_s20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52</xdr:row>
          <xdr:rowOff>0</xdr:rowOff>
        </xdr:from>
        <xdr:to>
          <xdr:col>1</xdr:col>
          <xdr:colOff>0</xdr:colOff>
          <xdr:row>52</xdr:row>
          <xdr:rowOff>466725</xdr:rowOff>
        </xdr:to>
        <xdr:sp macro="" textlink="">
          <xdr:nvSpPr>
            <xdr:cNvPr id="20605" name="Check Box 125" hidden="1">
              <a:extLst>
                <a:ext uri="{63B3BB69-23CF-44E3-9099-C40C66FF867C}">
                  <a14:compatExt spid="_x0000_s206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52</xdr:row>
          <xdr:rowOff>0</xdr:rowOff>
        </xdr:from>
        <xdr:to>
          <xdr:col>2</xdr:col>
          <xdr:colOff>0</xdr:colOff>
          <xdr:row>52</xdr:row>
          <xdr:rowOff>466725</xdr:rowOff>
        </xdr:to>
        <xdr:sp macro="" textlink="">
          <xdr:nvSpPr>
            <xdr:cNvPr id="20606" name="Check Box 126" hidden="1">
              <a:extLst>
                <a:ext uri="{63B3BB69-23CF-44E3-9099-C40C66FF867C}">
                  <a14:compatExt spid="_x0000_s206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52</xdr:row>
          <xdr:rowOff>0</xdr:rowOff>
        </xdr:from>
        <xdr:to>
          <xdr:col>3</xdr:col>
          <xdr:colOff>0</xdr:colOff>
          <xdr:row>52</xdr:row>
          <xdr:rowOff>466725</xdr:rowOff>
        </xdr:to>
        <xdr:sp macro="" textlink="">
          <xdr:nvSpPr>
            <xdr:cNvPr id="20607" name="Check Box 127" hidden="1">
              <a:extLst>
                <a:ext uri="{63B3BB69-23CF-44E3-9099-C40C66FF867C}">
                  <a14:compatExt spid="_x0000_s206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53</xdr:row>
          <xdr:rowOff>0</xdr:rowOff>
        </xdr:from>
        <xdr:to>
          <xdr:col>1</xdr:col>
          <xdr:colOff>0</xdr:colOff>
          <xdr:row>53</xdr:row>
          <xdr:rowOff>466725</xdr:rowOff>
        </xdr:to>
        <xdr:sp macro="" textlink="">
          <xdr:nvSpPr>
            <xdr:cNvPr id="20608" name="Check Box 128" hidden="1">
              <a:extLst>
                <a:ext uri="{63B3BB69-23CF-44E3-9099-C40C66FF867C}">
                  <a14:compatExt spid="_x0000_s206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53</xdr:row>
          <xdr:rowOff>0</xdr:rowOff>
        </xdr:from>
        <xdr:to>
          <xdr:col>2</xdr:col>
          <xdr:colOff>0</xdr:colOff>
          <xdr:row>53</xdr:row>
          <xdr:rowOff>466725</xdr:rowOff>
        </xdr:to>
        <xdr:sp macro="" textlink="">
          <xdr:nvSpPr>
            <xdr:cNvPr id="20609" name="Check Box 129" hidden="1">
              <a:extLst>
                <a:ext uri="{63B3BB69-23CF-44E3-9099-C40C66FF867C}">
                  <a14:compatExt spid="_x0000_s206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53</xdr:row>
          <xdr:rowOff>0</xdr:rowOff>
        </xdr:from>
        <xdr:to>
          <xdr:col>3</xdr:col>
          <xdr:colOff>0</xdr:colOff>
          <xdr:row>53</xdr:row>
          <xdr:rowOff>466725</xdr:rowOff>
        </xdr:to>
        <xdr:sp macro="" textlink="">
          <xdr:nvSpPr>
            <xdr:cNvPr id="20610" name="Check Box 130" hidden="1">
              <a:extLst>
                <a:ext uri="{63B3BB69-23CF-44E3-9099-C40C66FF867C}">
                  <a14:compatExt spid="_x0000_s206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52</xdr:row>
          <xdr:rowOff>0</xdr:rowOff>
        </xdr:from>
        <xdr:to>
          <xdr:col>1</xdr:col>
          <xdr:colOff>0</xdr:colOff>
          <xdr:row>52</xdr:row>
          <xdr:rowOff>466725</xdr:rowOff>
        </xdr:to>
        <xdr:sp macro="" textlink="">
          <xdr:nvSpPr>
            <xdr:cNvPr id="20617" name="Check Box 137" hidden="1">
              <a:extLst>
                <a:ext uri="{63B3BB69-23CF-44E3-9099-C40C66FF867C}">
                  <a14:compatExt spid="_x0000_s206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50</xdr:row>
          <xdr:rowOff>0</xdr:rowOff>
        </xdr:from>
        <xdr:to>
          <xdr:col>1</xdr:col>
          <xdr:colOff>0</xdr:colOff>
          <xdr:row>50</xdr:row>
          <xdr:rowOff>466725</xdr:rowOff>
        </xdr:to>
        <xdr:sp macro="" textlink="">
          <xdr:nvSpPr>
            <xdr:cNvPr id="20618" name="Check Box 138" hidden="1">
              <a:extLst>
                <a:ext uri="{63B3BB69-23CF-44E3-9099-C40C66FF867C}">
                  <a14:compatExt spid="_x0000_s206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46</xdr:row>
          <xdr:rowOff>0</xdr:rowOff>
        </xdr:from>
        <xdr:to>
          <xdr:col>1</xdr:col>
          <xdr:colOff>0</xdr:colOff>
          <xdr:row>46</xdr:row>
          <xdr:rowOff>466725</xdr:rowOff>
        </xdr:to>
        <xdr:sp macro="" textlink="">
          <xdr:nvSpPr>
            <xdr:cNvPr id="20619" name="Check Box 139" hidden="1">
              <a:extLst>
                <a:ext uri="{63B3BB69-23CF-44E3-9099-C40C66FF867C}">
                  <a14:compatExt spid="_x0000_s206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47</xdr:row>
          <xdr:rowOff>0</xdr:rowOff>
        </xdr:from>
        <xdr:to>
          <xdr:col>1</xdr:col>
          <xdr:colOff>0</xdr:colOff>
          <xdr:row>47</xdr:row>
          <xdr:rowOff>466725</xdr:rowOff>
        </xdr:to>
        <xdr:sp macro="" textlink="">
          <xdr:nvSpPr>
            <xdr:cNvPr id="20620" name="Check Box 140" hidden="1">
              <a:extLst>
                <a:ext uri="{63B3BB69-23CF-44E3-9099-C40C66FF867C}">
                  <a14:compatExt spid="_x0000_s206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48</xdr:row>
          <xdr:rowOff>0</xdr:rowOff>
        </xdr:from>
        <xdr:to>
          <xdr:col>1</xdr:col>
          <xdr:colOff>0</xdr:colOff>
          <xdr:row>48</xdr:row>
          <xdr:rowOff>466725</xdr:rowOff>
        </xdr:to>
        <xdr:sp macro="" textlink="">
          <xdr:nvSpPr>
            <xdr:cNvPr id="20621" name="Check Box 141" hidden="1">
              <a:extLst>
                <a:ext uri="{63B3BB69-23CF-44E3-9099-C40C66FF867C}">
                  <a14:compatExt spid="_x0000_s206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49</xdr:row>
          <xdr:rowOff>0</xdr:rowOff>
        </xdr:from>
        <xdr:to>
          <xdr:col>1</xdr:col>
          <xdr:colOff>0</xdr:colOff>
          <xdr:row>49</xdr:row>
          <xdr:rowOff>466725</xdr:rowOff>
        </xdr:to>
        <xdr:sp macro="" textlink="">
          <xdr:nvSpPr>
            <xdr:cNvPr id="20622" name="Check Box 142" hidden="1">
              <a:extLst>
                <a:ext uri="{63B3BB69-23CF-44E3-9099-C40C66FF867C}">
                  <a14:compatExt spid="_x0000_s206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38</xdr:row>
          <xdr:rowOff>0</xdr:rowOff>
        </xdr:from>
        <xdr:to>
          <xdr:col>1</xdr:col>
          <xdr:colOff>0</xdr:colOff>
          <xdr:row>38</xdr:row>
          <xdr:rowOff>466725</xdr:rowOff>
        </xdr:to>
        <xdr:sp macro="" textlink="">
          <xdr:nvSpPr>
            <xdr:cNvPr id="20623" name="Check Box 143" hidden="1">
              <a:extLst>
                <a:ext uri="{63B3BB69-23CF-44E3-9099-C40C66FF867C}">
                  <a14:compatExt spid="_x0000_s206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39</xdr:row>
          <xdr:rowOff>0</xdr:rowOff>
        </xdr:from>
        <xdr:to>
          <xdr:col>1</xdr:col>
          <xdr:colOff>0</xdr:colOff>
          <xdr:row>39</xdr:row>
          <xdr:rowOff>466725</xdr:rowOff>
        </xdr:to>
        <xdr:sp macro="" textlink="">
          <xdr:nvSpPr>
            <xdr:cNvPr id="20624" name="Check Box 144" hidden="1">
              <a:extLst>
                <a:ext uri="{63B3BB69-23CF-44E3-9099-C40C66FF867C}">
                  <a14:compatExt spid="_x0000_s206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40</xdr:row>
          <xdr:rowOff>0</xdr:rowOff>
        </xdr:from>
        <xdr:to>
          <xdr:col>1</xdr:col>
          <xdr:colOff>0</xdr:colOff>
          <xdr:row>40</xdr:row>
          <xdr:rowOff>466725</xdr:rowOff>
        </xdr:to>
        <xdr:sp macro="" textlink="">
          <xdr:nvSpPr>
            <xdr:cNvPr id="20625" name="Check Box 145" hidden="1">
              <a:extLst>
                <a:ext uri="{63B3BB69-23CF-44E3-9099-C40C66FF867C}">
                  <a14:compatExt spid="_x0000_s206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41</xdr:row>
          <xdr:rowOff>0</xdr:rowOff>
        </xdr:from>
        <xdr:to>
          <xdr:col>1</xdr:col>
          <xdr:colOff>0</xdr:colOff>
          <xdr:row>41</xdr:row>
          <xdr:rowOff>466725</xdr:rowOff>
        </xdr:to>
        <xdr:sp macro="" textlink="">
          <xdr:nvSpPr>
            <xdr:cNvPr id="20626" name="Check Box 146" hidden="1">
              <a:extLst>
                <a:ext uri="{63B3BB69-23CF-44E3-9099-C40C66FF867C}">
                  <a14:compatExt spid="_x0000_s206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42</xdr:row>
          <xdr:rowOff>0</xdr:rowOff>
        </xdr:from>
        <xdr:to>
          <xdr:col>1</xdr:col>
          <xdr:colOff>0</xdr:colOff>
          <xdr:row>42</xdr:row>
          <xdr:rowOff>466725</xdr:rowOff>
        </xdr:to>
        <xdr:sp macro="" textlink="">
          <xdr:nvSpPr>
            <xdr:cNvPr id="20627" name="Check Box 147" hidden="1">
              <a:extLst>
                <a:ext uri="{63B3BB69-23CF-44E3-9099-C40C66FF867C}">
                  <a14:compatExt spid="_x0000_s206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43</xdr:row>
          <xdr:rowOff>0</xdr:rowOff>
        </xdr:from>
        <xdr:to>
          <xdr:col>1</xdr:col>
          <xdr:colOff>0</xdr:colOff>
          <xdr:row>43</xdr:row>
          <xdr:rowOff>466725</xdr:rowOff>
        </xdr:to>
        <xdr:sp macro="" textlink="">
          <xdr:nvSpPr>
            <xdr:cNvPr id="20628" name="Check Box 148" hidden="1">
              <a:extLst>
                <a:ext uri="{63B3BB69-23CF-44E3-9099-C40C66FF867C}">
                  <a14:compatExt spid="_x0000_s206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44</xdr:row>
          <xdr:rowOff>0</xdr:rowOff>
        </xdr:from>
        <xdr:to>
          <xdr:col>1</xdr:col>
          <xdr:colOff>0</xdr:colOff>
          <xdr:row>44</xdr:row>
          <xdr:rowOff>466725</xdr:rowOff>
        </xdr:to>
        <xdr:sp macro="" textlink="">
          <xdr:nvSpPr>
            <xdr:cNvPr id="20629" name="Check Box 149" hidden="1">
              <a:extLst>
                <a:ext uri="{63B3BB69-23CF-44E3-9099-C40C66FF867C}">
                  <a14:compatExt spid="_x0000_s206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27</xdr:row>
          <xdr:rowOff>0</xdr:rowOff>
        </xdr:from>
        <xdr:to>
          <xdr:col>1</xdr:col>
          <xdr:colOff>0</xdr:colOff>
          <xdr:row>27</xdr:row>
          <xdr:rowOff>466725</xdr:rowOff>
        </xdr:to>
        <xdr:sp macro="" textlink="">
          <xdr:nvSpPr>
            <xdr:cNvPr id="20630" name="Check Box 150" hidden="1">
              <a:extLst>
                <a:ext uri="{63B3BB69-23CF-44E3-9099-C40C66FF867C}">
                  <a14:compatExt spid="_x0000_s206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27</xdr:row>
          <xdr:rowOff>0</xdr:rowOff>
        </xdr:from>
        <xdr:to>
          <xdr:col>1</xdr:col>
          <xdr:colOff>0</xdr:colOff>
          <xdr:row>27</xdr:row>
          <xdr:rowOff>466725</xdr:rowOff>
        </xdr:to>
        <xdr:sp macro="" textlink="">
          <xdr:nvSpPr>
            <xdr:cNvPr id="20631" name="Check Box 151" hidden="1">
              <a:extLst>
                <a:ext uri="{63B3BB69-23CF-44E3-9099-C40C66FF867C}">
                  <a14:compatExt spid="_x0000_s206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28</xdr:row>
          <xdr:rowOff>0</xdr:rowOff>
        </xdr:from>
        <xdr:to>
          <xdr:col>1</xdr:col>
          <xdr:colOff>0</xdr:colOff>
          <xdr:row>28</xdr:row>
          <xdr:rowOff>466725</xdr:rowOff>
        </xdr:to>
        <xdr:sp macro="" textlink="">
          <xdr:nvSpPr>
            <xdr:cNvPr id="20632" name="Check Box 152" hidden="1">
              <a:extLst>
                <a:ext uri="{63B3BB69-23CF-44E3-9099-C40C66FF867C}">
                  <a14:compatExt spid="_x0000_s206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28</xdr:row>
          <xdr:rowOff>0</xdr:rowOff>
        </xdr:from>
        <xdr:to>
          <xdr:col>1</xdr:col>
          <xdr:colOff>0</xdr:colOff>
          <xdr:row>28</xdr:row>
          <xdr:rowOff>466725</xdr:rowOff>
        </xdr:to>
        <xdr:sp macro="" textlink="">
          <xdr:nvSpPr>
            <xdr:cNvPr id="20633" name="Check Box 153" hidden="1">
              <a:extLst>
                <a:ext uri="{63B3BB69-23CF-44E3-9099-C40C66FF867C}">
                  <a14:compatExt spid="_x0000_s206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29</xdr:row>
          <xdr:rowOff>0</xdr:rowOff>
        </xdr:from>
        <xdr:to>
          <xdr:col>1</xdr:col>
          <xdr:colOff>0</xdr:colOff>
          <xdr:row>29</xdr:row>
          <xdr:rowOff>466725</xdr:rowOff>
        </xdr:to>
        <xdr:sp macro="" textlink="">
          <xdr:nvSpPr>
            <xdr:cNvPr id="20634" name="Check Box 154" hidden="1">
              <a:extLst>
                <a:ext uri="{63B3BB69-23CF-44E3-9099-C40C66FF867C}">
                  <a14:compatExt spid="_x0000_s206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29</xdr:row>
          <xdr:rowOff>0</xdr:rowOff>
        </xdr:from>
        <xdr:to>
          <xdr:col>1</xdr:col>
          <xdr:colOff>0</xdr:colOff>
          <xdr:row>29</xdr:row>
          <xdr:rowOff>466725</xdr:rowOff>
        </xdr:to>
        <xdr:sp macro="" textlink="">
          <xdr:nvSpPr>
            <xdr:cNvPr id="20635" name="Check Box 155" hidden="1">
              <a:extLst>
                <a:ext uri="{63B3BB69-23CF-44E3-9099-C40C66FF867C}">
                  <a14:compatExt spid="_x0000_s206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30</xdr:row>
          <xdr:rowOff>0</xdr:rowOff>
        </xdr:from>
        <xdr:to>
          <xdr:col>1</xdr:col>
          <xdr:colOff>0</xdr:colOff>
          <xdr:row>30</xdr:row>
          <xdr:rowOff>466725</xdr:rowOff>
        </xdr:to>
        <xdr:sp macro="" textlink="">
          <xdr:nvSpPr>
            <xdr:cNvPr id="20636" name="Check Box 156" hidden="1">
              <a:extLst>
                <a:ext uri="{63B3BB69-23CF-44E3-9099-C40C66FF867C}">
                  <a14:compatExt spid="_x0000_s206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30</xdr:row>
          <xdr:rowOff>0</xdr:rowOff>
        </xdr:from>
        <xdr:to>
          <xdr:col>1</xdr:col>
          <xdr:colOff>0</xdr:colOff>
          <xdr:row>30</xdr:row>
          <xdr:rowOff>466725</xdr:rowOff>
        </xdr:to>
        <xdr:sp macro="" textlink="">
          <xdr:nvSpPr>
            <xdr:cNvPr id="20637" name="Check Box 157" hidden="1">
              <a:extLst>
                <a:ext uri="{63B3BB69-23CF-44E3-9099-C40C66FF867C}">
                  <a14:compatExt spid="_x0000_s206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31</xdr:row>
          <xdr:rowOff>0</xdr:rowOff>
        </xdr:from>
        <xdr:to>
          <xdr:col>1</xdr:col>
          <xdr:colOff>0</xdr:colOff>
          <xdr:row>31</xdr:row>
          <xdr:rowOff>466725</xdr:rowOff>
        </xdr:to>
        <xdr:sp macro="" textlink="">
          <xdr:nvSpPr>
            <xdr:cNvPr id="20638" name="Check Box 158" hidden="1">
              <a:extLst>
                <a:ext uri="{63B3BB69-23CF-44E3-9099-C40C66FF867C}">
                  <a14:compatExt spid="_x0000_s206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31</xdr:row>
          <xdr:rowOff>0</xdr:rowOff>
        </xdr:from>
        <xdr:to>
          <xdr:col>1</xdr:col>
          <xdr:colOff>0</xdr:colOff>
          <xdr:row>31</xdr:row>
          <xdr:rowOff>466725</xdr:rowOff>
        </xdr:to>
        <xdr:sp macro="" textlink="">
          <xdr:nvSpPr>
            <xdr:cNvPr id="20639" name="Check Box 159" hidden="1">
              <a:extLst>
                <a:ext uri="{63B3BB69-23CF-44E3-9099-C40C66FF867C}">
                  <a14:compatExt spid="_x0000_s206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32</xdr:row>
          <xdr:rowOff>0</xdr:rowOff>
        </xdr:from>
        <xdr:to>
          <xdr:col>1</xdr:col>
          <xdr:colOff>0</xdr:colOff>
          <xdr:row>32</xdr:row>
          <xdr:rowOff>466725</xdr:rowOff>
        </xdr:to>
        <xdr:sp macro="" textlink="">
          <xdr:nvSpPr>
            <xdr:cNvPr id="20640" name="Check Box 160" hidden="1">
              <a:extLst>
                <a:ext uri="{63B3BB69-23CF-44E3-9099-C40C66FF867C}">
                  <a14:compatExt spid="_x0000_s206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32</xdr:row>
          <xdr:rowOff>0</xdr:rowOff>
        </xdr:from>
        <xdr:to>
          <xdr:col>1</xdr:col>
          <xdr:colOff>0</xdr:colOff>
          <xdr:row>32</xdr:row>
          <xdr:rowOff>466725</xdr:rowOff>
        </xdr:to>
        <xdr:sp macro="" textlink="">
          <xdr:nvSpPr>
            <xdr:cNvPr id="20641" name="Check Box 161" hidden="1">
              <a:extLst>
                <a:ext uri="{63B3BB69-23CF-44E3-9099-C40C66FF867C}">
                  <a14:compatExt spid="_x0000_s206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33</xdr:row>
          <xdr:rowOff>0</xdr:rowOff>
        </xdr:from>
        <xdr:to>
          <xdr:col>1</xdr:col>
          <xdr:colOff>0</xdr:colOff>
          <xdr:row>33</xdr:row>
          <xdr:rowOff>466725</xdr:rowOff>
        </xdr:to>
        <xdr:sp macro="" textlink="">
          <xdr:nvSpPr>
            <xdr:cNvPr id="20642" name="Check Box 162" hidden="1">
              <a:extLst>
                <a:ext uri="{63B3BB69-23CF-44E3-9099-C40C66FF867C}">
                  <a14:compatExt spid="_x0000_s206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33</xdr:row>
          <xdr:rowOff>0</xdr:rowOff>
        </xdr:from>
        <xdr:to>
          <xdr:col>1</xdr:col>
          <xdr:colOff>0</xdr:colOff>
          <xdr:row>33</xdr:row>
          <xdr:rowOff>466725</xdr:rowOff>
        </xdr:to>
        <xdr:sp macro="" textlink="">
          <xdr:nvSpPr>
            <xdr:cNvPr id="20643" name="Check Box 163" hidden="1">
              <a:extLst>
                <a:ext uri="{63B3BB69-23CF-44E3-9099-C40C66FF867C}">
                  <a14:compatExt spid="_x0000_s206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34</xdr:row>
          <xdr:rowOff>0</xdr:rowOff>
        </xdr:from>
        <xdr:to>
          <xdr:col>1</xdr:col>
          <xdr:colOff>0</xdr:colOff>
          <xdr:row>34</xdr:row>
          <xdr:rowOff>466725</xdr:rowOff>
        </xdr:to>
        <xdr:sp macro="" textlink="">
          <xdr:nvSpPr>
            <xdr:cNvPr id="20644" name="Check Box 164" hidden="1">
              <a:extLst>
                <a:ext uri="{63B3BB69-23CF-44E3-9099-C40C66FF867C}">
                  <a14:compatExt spid="_x0000_s206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34</xdr:row>
          <xdr:rowOff>0</xdr:rowOff>
        </xdr:from>
        <xdr:to>
          <xdr:col>1</xdr:col>
          <xdr:colOff>0</xdr:colOff>
          <xdr:row>34</xdr:row>
          <xdr:rowOff>466725</xdr:rowOff>
        </xdr:to>
        <xdr:sp macro="" textlink="">
          <xdr:nvSpPr>
            <xdr:cNvPr id="20645" name="Check Box 165" hidden="1">
              <a:extLst>
                <a:ext uri="{63B3BB69-23CF-44E3-9099-C40C66FF867C}">
                  <a14:compatExt spid="_x0000_s206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35</xdr:row>
          <xdr:rowOff>0</xdr:rowOff>
        </xdr:from>
        <xdr:to>
          <xdr:col>1</xdr:col>
          <xdr:colOff>0</xdr:colOff>
          <xdr:row>35</xdr:row>
          <xdr:rowOff>466725</xdr:rowOff>
        </xdr:to>
        <xdr:sp macro="" textlink="">
          <xdr:nvSpPr>
            <xdr:cNvPr id="20646" name="Check Box 166" hidden="1">
              <a:extLst>
                <a:ext uri="{63B3BB69-23CF-44E3-9099-C40C66FF867C}">
                  <a14:compatExt spid="_x0000_s206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35</xdr:row>
          <xdr:rowOff>0</xdr:rowOff>
        </xdr:from>
        <xdr:to>
          <xdr:col>1</xdr:col>
          <xdr:colOff>0</xdr:colOff>
          <xdr:row>35</xdr:row>
          <xdr:rowOff>466725</xdr:rowOff>
        </xdr:to>
        <xdr:sp macro="" textlink="">
          <xdr:nvSpPr>
            <xdr:cNvPr id="20647" name="Check Box 167" hidden="1">
              <a:extLst>
                <a:ext uri="{63B3BB69-23CF-44E3-9099-C40C66FF867C}">
                  <a14:compatExt spid="_x0000_s206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36</xdr:row>
          <xdr:rowOff>0</xdr:rowOff>
        </xdr:from>
        <xdr:to>
          <xdr:col>1</xdr:col>
          <xdr:colOff>0</xdr:colOff>
          <xdr:row>36</xdr:row>
          <xdr:rowOff>466725</xdr:rowOff>
        </xdr:to>
        <xdr:sp macro="" textlink="">
          <xdr:nvSpPr>
            <xdr:cNvPr id="20648" name="Check Box 168" hidden="1">
              <a:extLst>
                <a:ext uri="{63B3BB69-23CF-44E3-9099-C40C66FF867C}">
                  <a14:compatExt spid="_x0000_s206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36</xdr:row>
          <xdr:rowOff>0</xdr:rowOff>
        </xdr:from>
        <xdr:to>
          <xdr:col>1</xdr:col>
          <xdr:colOff>0</xdr:colOff>
          <xdr:row>36</xdr:row>
          <xdr:rowOff>466725</xdr:rowOff>
        </xdr:to>
        <xdr:sp macro="" textlink="">
          <xdr:nvSpPr>
            <xdr:cNvPr id="20649" name="Check Box 169" hidden="1">
              <a:extLst>
                <a:ext uri="{63B3BB69-23CF-44E3-9099-C40C66FF867C}">
                  <a14:compatExt spid="_x0000_s206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16</xdr:row>
          <xdr:rowOff>0</xdr:rowOff>
        </xdr:from>
        <xdr:to>
          <xdr:col>1</xdr:col>
          <xdr:colOff>0</xdr:colOff>
          <xdr:row>16</xdr:row>
          <xdr:rowOff>466725</xdr:rowOff>
        </xdr:to>
        <xdr:sp macro="" textlink="">
          <xdr:nvSpPr>
            <xdr:cNvPr id="20650" name="Check Box 170" hidden="1">
              <a:extLst>
                <a:ext uri="{63B3BB69-23CF-44E3-9099-C40C66FF867C}">
                  <a14:compatExt spid="_x0000_s206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16</xdr:row>
          <xdr:rowOff>0</xdr:rowOff>
        </xdr:from>
        <xdr:to>
          <xdr:col>1</xdr:col>
          <xdr:colOff>0</xdr:colOff>
          <xdr:row>16</xdr:row>
          <xdr:rowOff>466725</xdr:rowOff>
        </xdr:to>
        <xdr:sp macro="" textlink="">
          <xdr:nvSpPr>
            <xdr:cNvPr id="20651" name="Check Box 171" hidden="1">
              <a:extLst>
                <a:ext uri="{63B3BB69-23CF-44E3-9099-C40C66FF867C}">
                  <a14:compatExt spid="_x0000_s206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16</xdr:row>
          <xdr:rowOff>0</xdr:rowOff>
        </xdr:from>
        <xdr:to>
          <xdr:col>1</xdr:col>
          <xdr:colOff>0</xdr:colOff>
          <xdr:row>16</xdr:row>
          <xdr:rowOff>466725</xdr:rowOff>
        </xdr:to>
        <xdr:sp macro="" textlink="">
          <xdr:nvSpPr>
            <xdr:cNvPr id="20652" name="Check Box 172" hidden="1">
              <a:extLst>
                <a:ext uri="{63B3BB69-23CF-44E3-9099-C40C66FF867C}">
                  <a14:compatExt spid="_x0000_s206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17</xdr:row>
          <xdr:rowOff>0</xdr:rowOff>
        </xdr:from>
        <xdr:to>
          <xdr:col>1</xdr:col>
          <xdr:colOff>0</xdr:colOff>
          <xdr:row>17</xdr:row>
          <xdr:rowOff>466725</xdr:rowOff>
        </xdr:to>
        <xdr:sp macro="" textlink="">
          <xdr:nvSpPr>
            <xdr:cNvPr id="20653" name="Check Box 173" hidden="1">
              <a:extLst>
                <a:ext uri="{63B3BB69-23CF-44E3-9099-C40C66FF867C}">
                  <a14:compatExt spid="_x0000_s206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17</xdr:row>
          <xdr:rowOff>0</xdr:rowOff>
        </xdr:from>
        <xdr:to>
          <xdr:col>1</xdr:col>
          <xdr:colOff>0</xdr:colOff>
          <xdr:row>17</xdr:row>
          <xdr:rowOff>466725</xdr:rowOff>
        </xdr:to>
        <xdr:sp macro="" textlink="">
          <xdr:nvSpPr>
            <xdr:cNvPr id="20654" name="Check Box 174" hidden="1">
              <a:extLst>
                <a:ext uri="{63B3BB69-23CF-44E3-9099-C40C66FF867C}">
                  <a14:compatExt spid="_x0000_s206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17</xdr:row>
          <xdr:rowOff>0</xdr:rowOff>
        </xdr:from>
        <xdr:to>
          <xdr:col>1</xdr:col>
          <xdr:colOff>0</xdr:colOff>
          <xdr:row>17</xdr:row>
          <xdr:rowOff>466725</xdr:rowOff>
        </xdr:to>
        <xdr:sp macro="" textlink="">
          <xdr:nvSpPr>
            <xdr:cNvPr id="20655" name="Check Box 175" hidden="1">
              <a:extLst>
                <a:ext uri="{63B3BB69-23CF-44E3-9099-C40C66FF867C}">
                  <a14:compatExt spid="_x0000_s206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18</xdr:row>
          <xdr:rowOff>0</xdr:rowOff>
        </xdr:from>
        <xdr:to>
          <xdr:col>1</xdr:col>
          <xdr:colOff>0</xdr:colOff>
          <xdr:row>18</xdr:row>
          <xdr:rowOff>466725</xdr:rowOff>
        </xdr:to>
        <xdr:sp macro="" textlink="">
          <xdr:nvSpPr>
            <xdr:cNvPr id="20656" name="Check Box 176" hidden="1">
              <a:extLst>
                <a:ext uri="{63B3BB69-23CF-44E3-9099-C40C66FF867C}">
                  <a14:compatExt spid="_x0000_s206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18</xdr:row>
          <xdr:rowOff>0</xdr:rowOff>
        </xdr:from>
        <xdr:to>
          <xdr:col>1</xdr:col>
          <xdr:colOff>0</xdr:colOff>
          <xdr:row>18</xdr:row>
          <xdr:rowOff>466725</xdr:rowOff>
        </xdr:to>
        <xdr:sp macro="" textlink="">
          <xdr:nvSpPr>
            <xdr:cNvPr id="20657" name="Check Box 177" hidden="1">
              <a:extLst>
                <a:ext uri="{63B3BB69-23CF-44E3-9099-C40C66FF867C}">
                  <a14:compatExt spid="_x0000_s206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18</xdr:row>
          <xdr:rowOff>0</xdr:rowOff>
        </xdr:from>
        <xdr:to>
          <xdr:col>1</xdr:col>
          <xdr:colOff>0</xdr:colOff>
          <xdr:row>18</xdr:row>
          <xdr:rowOff>466725</xdr:rowOff>
        </xdr:to>
        <xdr:sp macro="" textlink="">
          <xdr:nvSpPr>
            <xdr:cNvPr id="20658" name="Check Box 178" hidden="1">
              <a:extLst>
                <a:ext uri="{63B3BB69-23CF-44E3-9099-C40C66FF867C}">
                  <a14:compatExt spid="_x0000_s206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19</xdr:row>
          <xdr:rowOff>0</xdr:rowOff>
        </xdr:from>
        <xdr:to>
          <xdr:col>1</xdr:col>
          <xdr:colOff>0</xdr:colOff>
          <xdr:row>19</xdr:row>
          <xdr:rowOff>466725</xdr:rowOff>
        </xdr:to>
        <xdr:sp macro="" textlink="">
          <xdr:nvSpPr>
            <xdr:cNvPr id="20659" name="Check Box 179" hidden="1">
              <a:extLst>
                <a:ext uri="{63B3BB69-23CF-44E3-9099-C40C66FF867C}">
                  <a14:compatExt spid="_x0000_s206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19</xdr:row>
          <xdr:rowOff>0</xdr:rowOff>
        </xdr:from>
        <xdr:to>
          <xdr:col>1</xdr:col>
          <xdr:colOff>0</xdr:colOff>
          <xdr:row>19</xdr:row>
          <xdr:rowOff>466725</xdr:rowOff>
        </xdr:to>
        <xdr:sp macro="" textlink="">
          <xdr:nvSpPr>
            <xdr:cNvPr id="20660" name="Check Box 180" hidden="1">
              <a:extLst>
                <a:ext uri="{63B3BB69-23CF-44E3-9099-C40C66FF867C}">
                  <a14:compatExt spid="_x0000_s206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19</xdr:row>
          <xdr:rowOff>0</xdr:rowOff>
        </xdr:from>
        <xdr:to>
          <xdr:col>1</xdr:col>
          <xdr:colOff>0</xdr:colOff>
          <xdr:row>19</xdr:row>
          <xdr:rowOff>466725</xdr:rowOff>
        </xdr:to>
        <xdr:sp macro="" textlink="">
          <xdr:nvSpPr>
            <xdr:cNvPr id="20661" name="Check Box 181" hidden="1">
              <a:extLst>
                <a:ext uri="{63B3BB69-23CF-44E3-9099-C40C66FF867C}">
                  <a14:compatExt spid="_x0000_s206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20</xdr:row>
          <xdr:rowOff>0</xdr:rowOff>
        </xdr:from>
        <xdr:to>
          <xdr:col>1</xdr:col>
          <xdr:colOff>0</xdr:colOff>
          <xdr:row>20</xdr:row>
          <xdr:rowOff>466725</xdr:rowOff>
        </xdr:to>
        <xdr:sp macro="" textlink="">
          <xdr:nvSpPr>
            <xdr:cNvPr id="20662" name="Check Box 182" hidden="1">
              <a:extLst>
                <a:ext uri="{63B3BB69-23CF-44E3-9099-C40C66FF867C}">
                  <a14:compatExt spid="_x0000_s206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20</xdr:row>
          <xdr:rowOff>0</xdr:rowOff>
        </xdr:from>
        <xdr:to>
          <xdr:col>1</xdr:col>
          <xdr:colOff>0</xdr:colOff>
          <xdr:row>20</xdr:row>
          <xdr:rowOff>466725</xdr:rowOff>
        </xdr:to>
        <xdr:sp macro="" textlink="">
          <xdr:nvSpPr>
            <xdr:cNvPr id="20663" name="Check Box 183" hidden="1">
              <a:extLst>
                <a:ext uri="{63B3BB69-23CF-44E3-9099-C40C66FF867C}">
                  <a14:compatExt spid="_x0000_s206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20</xdr:row>
          <xdr:rowOff>0</xdr:rowOff>
        </xdr:from>
        <xdr:to>
          <xdr:col>1</xdr:col>
          <xdr:colOff>0</xdr:colOff>
          <xdr:row>20</xdr:row>
          <xdr:rowOff>466725</xdr:rowOff>
        </xdr:to>
        <xdr:sp macro="" textlink="">
          <xdr:nvSpPr>
            <xdr:cNvPr id="20664" name="Check Box 184" hidden="1">
              <a:extLst>
                <a:ext uri="{63B3BB69-23CF-44E3-9099-C40C66FF867C}">
                  <a14:compatExt spid="_x0000_s206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21</xdr:row>
          <xdr:rowOff>0</xdr:rowOff>
        </xdr:from>
        <xdr:to>
          <xdr:col>1</xdr:col>
          <xdr:colOff>0</xdr:colOff>
          <xdr:row>21</xdr:row>
          <xdr:rowOff>466725</xdr:rowOff>
        </xdr:to>
        <xdr:sp macro="" textlink="">
          <xdr:nvSpPr>
            <xdr:cNvPr id="20665" name="Check Box 185" hidden="1">
              <a:extLst>
                <a:ext uri="{63B3BB69-23CF-44E3-9099-C40C66FF867C}">
                  <a14:compatExt spid="_x0000_s206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21</xdr:row>
          <xdr:rowOff>0</xdr:rowOff>
        </xdr:from>
        <xdr:to>
          <xdr:col>1</xdr:col>
          <xdr:colOff>0</xdr:colOff>
          <xdr:row>21</xdr:row>
          <xdr:rowOff>466725</xdr:rowOff>
        </xdr:to>
        <xdr:sp macro="" textlink="">
          <xdr:nvSpPr>
            <xdr:cNvPr id="20666" name="Check Box 186" hidden="1">
              <a:extLst>
                <a:ext uri="{63B3BB69-23CF-44E3-9099-C40C66FF867C}">
                  <a14:compatExt spid="_x0000_s206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21</xdr:row>
          <xdr:rowOff>0</xdr:rowOff>
        </xdr:from>
        <xdr:to>
          <xdr:col>1</xdr:col>
          <xdr:colOff>0</xdr:colOff>
          <xdr:row>21</xdr:row>
          <xdr:rowOff>466725</xdr:rowOff>
        </xdr:to>
        <xdr:sp macro="" textlink="">
          <xdr:nvSpPr>
            <xdr:cNvPr id="20667" name="Check Box 187" hidden="1">
              <a:extLst>
                <a:ext uri="{63B3BB69-23CF-44E3-9099-C40C66FF867C}">
                  <a14:compatExt spid="_x0000_s206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22</xdr:row>
          <xdr:rowOff>0</xdr:rowOff>
        </xdr:from>
        <xdr:to>
          <xdr:col>1</xdr:col>
          <xdr:colOff>0</xdr:colOff>
          <xdr:row>22</xdr:row>
          <xdr:rowOff>466725</xdr:rowOff>
        </xdr:to>
        <xdr:sp macro="" textlink="">
          <xdr:nvSpPr>
            <xdr:cNvPr id="20668" name="Check Box 188" hidden="1">
              <a:extLst>
                <a:ext uri="{63B3BB69-23CF-44E3-9099-C40C66FF867C}">
                  <a14:compatExt spid="_x0000_s206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22</xdr:row>
          <xdr:rowOff>0</xdr:rowOff>
        </xdr:from>
        <xdr:to>
          <xdr:col>1</xdr:col>
          <xdr:colOff>0</xdr:colOff>
          <xdr:row>22</xdr:row>
          <xdr:rowOff>466725</xdr:rowOff>
        </xdr:to>
        <xdr:sp macro="" textlink="">
          <xdr:nvSpPr>
            <xdr:cNvPr id="20669" name="Check Box 189" hidden="1">
              <a:extLst>
                <a:ext uri="{63B3BB69-23CF-44E3-9099-C40C66FF867C}">
                  <a14:compatExt spid="_x0000_s206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22</xdr:row>
          <xdr:rowOff>0</xdr:rowOff>
        </xdr:from>
        <xdr:to>
          <xdr:col>1</xdr:col>
          <xdr:colOff>0</xdr:colOff>
          <xdr:row>22</xdr:row>
          <xdr:rowOff>466725</xdr:rowOff>
        </xdr:to>
        <xdr:sp macro="" textlink="">
          <xdr:nvSpPr>
            <xdr:cNvPr id="20670" name="Check Box 190" hidden="1">
              <a:extLst>
                <a:ext uri="{63B3BB69-23CF-44E3-9099-C40C66FF867C}">
                  <a14:compatExt spid="_x0000_s206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23</xdr:row>
          <xdr:rowOff>0</xdr:rowOff>
        </xdr:from>
        <xdr:to>
          <xdr:col>1</xdr:col>
          <xdr:colOff>0</xdr:colOff>
          <xdr:row>23</xdr:row>
          <xdr:rowOff>466725</xdr:rowOff>
        </xdr:to>
        <xdr:sp macro="" textlink="">
          <xdr:nvSpPr>
            <xdr:cNvPr id="20671" name="Check Box 191" hidden="1">
              <a:extLst>
                <a:ext uri="{63B3BB69-23CF-44E3-9099-C40C66FF867C}">
                  <a14:compatExt spid="_x0000_s206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23</xdr:row>
          <xdr:rowOff>0</xdr:rowOff>
        </xdr:from>
        <xdr:to>
          <xdr:col>1</xdr:col>
          <xdr:colOff>0</xdr:colOff>
          <xdr:row>23</xdr:row>
          <xdr:rowOff>466725</xdr:rowOff>
        </xdr:to>
        <xdr:sp macro="" textlink="">
          <xdr:nvSpPr>
            <xdr:cNvPr id="20672" name="Check Box 192" hidden="1">
              <a:extLst>
                <a:ext uri="{63B3BB69-23CF-44E3-9099-C40C66FF867C}">
                  <a14:compatExt spid="_x0000_s206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23</xdr:row>
          <xdr:rowOff>0</xdr:rowOff>
        </xdr:from>
        <xdr:to>
          <xdr:col>1</xdr:col>
          <xdr:colOff>0</xdr:colOff>
          <xdr:row>23</xdr:row>
          <xdr:rowOff>466725</xdr:rowOff>
        </xdr:to>
        <xdr:sp macro="" textlink="">
          <xdr:nvSpPr>
            <xdr:cNvPr id="20673" name="Check Box 193" hidden="1">
              <a:extLst>
                <a:ext uri="{63B3BB69-23CF-44E3-9099-C40C66FF867C}">
                  <a14:compatExt spid="_x0000_s206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24</xdr:row>
          <xdr:rowOff>0</xdr:rowOff>
        </xdr:from>
        <xdr:to>
          <xdr:col>1</xdr:col>
          <xdr:colOff>0</xdr:colOff>
          <xdr:row>24</xdr:row>
          <xdr:rowOff>466725</xdr:rowOff>
        </xdr:to>
        <xdr:sp macro="" textlink="">
          <xdr:nvSpPr>
            <xdr:cNvPr id="20674" name="Check Box 194" hidden="1">
              <a:extLst>
                <a:ext uri="{63B3BB69-23CF-44E3-9099-C40C66FF867C}">
                  <a14:compatExt spid="_x0000_s206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24</xdr:row>
          <xdr:rowOff>0</xdr:rowOff>
        </xdr:from>
        <xdr:to>
          <xdr:col>1</xdr:col>
          <xdr:colOff>0</xdr:colOff>
          <xdr:row>24</xdr:row>
          <xdr:rowOff>466725</xdr:rowOff>
        </xdr:to>
        <xdr:sp macro="" textlink="">
          <xdr:nvSpPr>
            <xdr:cNvPr id="20675" name="Check Box 195" hidden="1">
              <a:extLst>
                <a:ext uri="{63B3BB69-23CF-44E3-9099-C40C66FF867C}">
                  <a14:compatExt spid="_x0000_s206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24</xdr:row>
          <xdr:rowOff>0</xdr:rowOff>
        </xdr:from>
        <xdr:to>
          <xdr:col>1</xdr:col>
          <xdr:colOff>0</xdr:colOff>
          <xdr:row>24</xdr:row>
          <xdr:rowOff>466725</xdr:rowOff>
        </xdr:to>
        <xdr:sp macro="" textlink="">
          <xdr:nvSpPr>
            <xdr:cNvPr id="20676" name="Check Box 196" hidden="1">
              <a:extLst>
                <a:ext uri="{63B3BB69-23CF-44E3-9099-C40C66FF867C}">
                  <a14:compatExt spid="_x0000_s206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25</xdr:row>
          <xdr:rowOff>0</xdr:rowOff>
        </xdr:from>
        <xdr:to>
          <xdr:col>1</xdr:col>
          <xdr:colOff>0</xdr:colOff>
          <xdr:row>25</xdr:row>
          <xdr:rowOff>466725</xdr:rowOff>
        </xdr:to>
        <xdr:sp macro="" textlink="">
          <xdr:nvSpPr>
            <xdr:cNvPr id="20677" name="Check Box 197" hidden="1">
              <a:extLst>
                <a:ext uri="{63B3BB69-23CF-44E3-9099-C40C66FF867C}">
                  <a14:compatExt spid="_x0000_s206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25</xdr:row>
          <xdr:rowOff>0</xdr:rowOff>
        </xdr:from>
        <xdr:to>
          <xdr:col>1</xdr:col>
          <xdr:colOff>0</xdr:colOff>
          <xdr:row>25</xdr:row>
          <xdr:rowOff>466725</xdr:rowOff>
        </xdr:to>
        <xdr:sp macro="" textlink="">
          <xdr:nvSpPr>
            <xdr:cNvPr id="20678" name="Check Box 198" hidden="1">
              <a:extLst>
                <a:ext uri="{63B3BB69-23CF-44E3-9099-C40C66FF867C}">
                  <a14:compatExt spid="_x0000_s206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25</xdr:row>
          <xdr:rowOff>0</xdr:rowOff>
        </xdr:from>
        <xdr:to>
          <xdr:col>1</xdr:col>
          <xdr:colOff>0</xdr:colOff>
          <xdr:row>25</xdr:row>
          <xdr:rowOff>466725</xdr:rowOff>
        </xdr:to>
        <xdr:sp macro="" textlink="">
          <xdr:nvSpPr>
            <xdr:cNvPr id="20679" name="Check Box 199" hidden="1">
              <a:extLst>
                <a:ext uri="{63B3BB69-23CF-44E3-9099-C40C66FF867C}">
                  <a14:compatExt spid="_x0000_s206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0</xdr:rowOff>
        </xdr:from>
        <xdr:to>
          <xdr:col>1</xdr:col>
          <xdr:colOff>0</xdr:colOff>
          <xdr:row>7</xdr:row>
          <xdr:rowOff>466725</xdr:rowOff>
        </xdr:to>
        <xdr:sp macro="" textlink="">
          <xdr:nvSpPr>
            <xdr:cNvPr id="20680" name="Check Box 200" hidden="1">
              <a:extLst>
                <a:ext uri="{63B3BB69-23CF-44E3-9099-C40C66FF867C}">
                  <a14:compatExt spid="_x0000_s206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0</xdr:rowOff>
        </xdr:from>
        <xdr:to>
          <xdr:col>1</xdr:col>
          <xdr:colOff>0</xdr:colOff>
          <xdr:row>7</xdr:row>
          <xdr:rowOff>466725</xdr:rowOff>
        </xdr:to>
        <xdr:sp macro="" textlink="">
          <xdr:nvSpPr>
            <xdr:cNvPr id="20681" name="Check Box 201" hidden="1">
              <a:extLst>
                <a:ext uri="{63B3BB69-23CF-44E3-9099-C40C66FF867C}">
                  <a14:compatExt spid="_x0000_s206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0</xdr:rowOff>
        </xdr:from>
        <xdr:to>
          <xdr:col>1</xdr:col>
          <xdr:colOff>0</xdr:colOff>
          <xdr:row>7</xdr:row>
          <xdr:rowOff>466725</xdr:rowOff>
        </xdr:to>
        <xdr:sp macro="" textlink="">
          <xdr:nvSpPr>
            <xdr:cNvPr id="20682" name="Check Box 202" hidden="1">
              <a:extLst>
                <a:ext uri="{63B3BB69-23CF-44E3-9099-C40C66FF867C}">
                  <a14:compatExt spid="_x0000_s206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0</xdr:rowOff>
        </xdr:from>
        <xdr:to>
          <xdr:col>1</xdr:col>
          <xdr:colOff>0</xdr:colOff>
          <xdr:row>7</xdr:row>
          <xdr:rowOff>466725</xdr:rowOff>
        </xdr:to>
        <xdr:sp macro="" textlink="">
          <xdr:nvSpPr>
            <xdr:cNvPr id="20683" name="Check Box 203" hidden="1">
              <a:extLst>
                <a:ext uri="{63B3BB69-23CF-44E3-9099-C40C66FF867C}">
                  <a14:compatExt spid="_x0000_s206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0</xdr:rowOff>
        </xdr:from>
        <xdr:to>
          <xdr:col>1</xdr:col>
          <xdr:colOff>0</xdr:colOff>
          <xdr:row>8</xdr:row>
          <xdr:rowOff>466725</xdr:rowOff>
        </xdr:to>
        <xdr:sp macro="" textlink="">
          <xdr:nvSpPr>
            <xdr:cNvPr id="20684" name="Check Box 204" hidden="1">
              <a:extLst>
                <a:ext uri="{63B3BB69-23CF-44E3-9099-C40C66FF867C}">
                  <a14:compatExt spid="_x0000_s206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0</xdr:rowOff>
        </xdr:from>
        <xdr:to>
          <xdr:col>1</xdr:col>
          <xdr:colOff>0</xdr:colOff>
          <xdr:row>8</xdr:row>
          <xdr:rowOff>466725</xdr:rowOff>
        </xdr:to>
        <xdr:sp macro="" textlink="">
          <xdr:nvSpPr>
            <xdr:cNvPr id="20685" name="Check Box 205" hidden="1">
              <a:extLst>
                <a:ext uri="{63B3BB69-23CF-44E3-9099-C40C66FF867C}">
                  <a14:compatExt spid="_x0000_s206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0</xdr:rowOff>
        </xdr:from>
        <xdr:to>
          <xdr:col>1</xdr:col>
          <xdr:colOff>0</xdr:colOff>
          <xdr:row>8</xdr:row>
          <xdr:rowOff>466725</xdr:rowOff>
        </xdr:to>
        <xdr:sp macro="" textlink="">
          <xdr:nvSpPr>
            <xdr:cNvPr id="20686" name="Check Box 206" hidden="1">
              <a:extLst>
                <a:ext uri="{63B3BB69-23CF-44E3-9099-C40C66FF867C}">
                  <a14:compatExt spid="_x0000_s206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0</xdr:rowOff>
        </xdr:from>
        <xdr:to>
          <xdr:col>1</xdr:col>
          <xdr:colOff>0</xdr:colOff>
          <xdr:row>8</xdr:row>
          <xdr:rowOff>466725</xdr:rowOff>
        </xdr:to>
        <xdr:sp macro="" textlink="">
          <xdr:nvSpPr>
            <xdr:cNvPr id="20687" name="Check Box 207" hidden="1">
              <a:extLst>
                <a:ext uri="{63B3BB69-23CF-44E3-9099-C40C66FF867C}">
                  <a14:compatExt spid="_x0000_s206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0</xdr:rowOff>
        </xdr:from>
        <xdr:to>
          <xdr:col>1</xdr:col>
          <xdr:colOff>0</xdr:colOff>
          <xdr:row>9</xdr:row>
          <xdr:rowOff>466725</xdr:rowOff>
        </xdr:to>
        <xdr:sp macro="" textlink="">
          <xdr:nvSpPr>
            <xdr:cNvPr id="20688" name="Check Box 208" hidden="1">
              <a:extLst>
                <a:ext uri="{63B3BB69-23CF-44E3-9099-C40C66FF867C}">
                  <a14:compatExt spid="_x0000_s206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0</xdr:rowOff>
        </xdr:from>
        <xdr:to>
          <xdr:col>1</xdr:col>
          <xdr:colOff>0</xdr:colOff>
          <xdr:row>9</xdr:row>
          <xdr:rowOff>466725</xdr:rowOff>
        </xdr:to>
        <xdr:sp macro="" textlink="">
          <xdr:nvSpPr>
            <xdr:cNvPr id="20689" name="Check Box 209" hidden="1">
              <a:extLst>
                <a:ext uri="{63B3BB69-23CF-44E3-9099-C40C66FF867C}">
                  <a14:compatExt spid="_x0000_s206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0</xdr:rowOff>
        </xdr:from>
        <xdr:to>
          <xdr:col>1</xdr:col>
          <xdr:colOff>0</xdr:colOff>
          <xdr:row>9</xdr:row>
          <xdr:rowOff>466725</xdr:rowOff>
        </xdr:to>
        <xdr:sp macro="" textlink="">
          <xdr:nvSpPr>
            <xdr:cNvPr id="20690" name="Check Box 210" hidden="1">
              <a:extLst>
                <a:ext uri="{63B3BB69-23CF-44E3-9099-C40C66FF867C}">
                  <a14:compatExt spid="_x0000_s206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0</xdr:rowOff>
        </xdr:from>
        <xdr:to>
          <xdr:col>1</xdr:col>
          <xdr:colOff>0</xdr:colOff>
          <xdr:row>9</xdr:row>
          <xdr:rowOff>466725</xdr:rowOff>
        </xdr:to>
        <xdr:sp macro="" textlink="">
          <xdr:nvSpPr>
            <xdr:cNvPr id="20691" name="Check Box 211" hidden="1">
              <a:extLst>
                <a:ext uri="{63B3BB69-23CF-44E3-9099-C40C66FF867C}">
                  <a14:compatExt spid="_x0000_s206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0</xdr:rowOff>
        </xdr:from>
        <xdr:to>
          <xdr:col>1</xdr:col>
          <xdr:colOff>0</xdr:colOff>
          <xdr:row>10</xdr:row>
          <xdr:rowOff>466725</xdr:rowOff>
        </xdr:to>
        <xdr:sp macro="" textlink="">
          <xdr:nvSpPr>
            <xdr:cNvPr id="20692" name="Check Box 212" hidden="1">
              <a:extLst>
                <a:ext uri="{63B3BB69-23CF-44E3-9099-C40C66FF867C}">
                  <a14:compatExt spid="_x0000_s206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0</xdr:rowOff>
        </xdr:from>
        <xdr:to>
          <xdr:col>1</xdr:col>
          <xdr:colOff>0</xdr:colOff>
          <xdr:row>10</xdr:row>
          <xdr:rowOff>466725</xdr:rowOff>
        </xdr:to>
        <xdr:sp macro="" textlink="">
          <xdr:nvSpPr>
            <xdr:cNvPr id="20693" name="Check Box 213" hidden="1">
              <a:extLst>
                <a:ext uri="{63B3BB69-23CF-44E3-9099-C40C66FF867C}">
                  <a14:compatExt spid="_x0000_s206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0</xdr:rowOff>
        </xdr:from>
        <xdr:to>
          <xdr:col>1</xdr:col>
          <xdr:colOff>0</xdr:colOff>
          <xdr:row>10</xdr:row>
          <xdr:rowOff>466725</xdr:rowOff>
        </xdr:to>
        <xdr:sp macro="" textlink="">
          <xdr:nvSpPr>
            <xdr:cNvPr id="20694" name="Check Box 214" hidden="1">
              <a:extLst>
                <a:ext uri="{63B3BB69-23CF-44E3-9099-C40C66FF867C}">
                  <a14:compatExt spid="_x0000_s206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0</xdr:rowOff>
        </xdr:from>
        <xdr:to>
          <xdr:col>1</xdr:col>
          <xdr:colOff>0</xdr:colOff>
          <xdr:row>10</xdr:row>
          <xdr:rowOff>466725</xdr:rowOff>
        </xdr:to>
        <xdr:sp macro="" textlink="">
          <xdr:nvSpPr>
            <xdr:cNvPr id="20695" name="Check Box 215" hidden="1">
              <a:extLst>
                <a:ext uri="{63B3BB69-23CF-44E3-9099-C40C66FF867C}">
                  <a14:compatExt spid="_x0000_s206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0</xdr:rowOff>
        </xdr:from>
        <xdr:to>
          <xdr:col>1</xdr:col>
          <xdr:colOff>0</xdr:colOff>
          <xdr:row>11</xdr:row>
          <xdr:rowOff>466725</xdr:rowOff>
        </xdr:to>
        <xdr:sp macro="" textlink="">
          <xdr:nvSpPr>
            <xdr:cNvPr id="20696" name="Check Box 216" hidden="1">
              <a:extLst>
                <a:ext uri="{63B3BB69-23CF-44E3-9099-C40C66FF867C}">
                  <a14:compatExt spid="_x0000_s206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0</xdr:rowOff>
        </xdr:from>
        <xdr:to>
          <xdr:col>1</xdr:col>
          <xdr:colOff>0</xdr:colOff>
          <xdr:row>11</xdr:row>
          <xdr:rowOff>466725</xdr:rowOff>
        </xdr:to>
        <xdr:sp macro="" textlink="">
          <xdr:nvSpPr>
            <xdr:cNvPr id="20697" name="Check Box 217" hidden="1">
              <a:extLst>
                <a:ext uri="{63B3BB69-23CF-44E3-9099-C40C66FF867C}">
                  <a14:compatExt spid="_x0000_s206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0</xdr:rowOff>
        </xdr:from>
        <xdr:to>
          <xdr:col>1</xdr:col>
          <xdr:colOff>0</xdr:colOff>
          <xdr:row>11</xdr:row>
          <xdr:rowOff>466725</xdr:rowOff>
        </xdr:to>
        <xdr:sp macro="" textlink="">
          <xdr:nvSpPr>
            <xdr:cNvPr id="20698" name="Check Box 218" hidden="1">
              <a:extLst>
                <a:ext uri="{63B3BB69-23CF-44E3-9099-C40C66FF867C}">
                  <a14:compatExt spid="_x0000_s206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0</xdr:rowOff>
        </xdr:from>
        <xdr:to>
          <xdr:col>1</xdr:col>
          <xdr:colOff>0</xdr:colOff>
          <xdr:row>11</xdr:row>
          <xdr:rowOff>466725</xdr:rowOff>
        </xdr:to>
        <xdr:sp macro="" textlink="">
          <xdr:nvSpPr>
            <xdr:cNvPr id="20699" name="Check Box 219" hidden="1">
              <a:extLst>
                <a:ext uri="{63B3BB69-23CF-44E3-9099-C40C66FF867C}">
                  <a14:compatExt spid="_x0000_s206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0</xdr:rowOff>
        </xdr:from>
        <xdr:to>
          <xdr:col>1</xdr:col>
          <xdr:colOff>0</xdr:colOff>
          <xdr:row>12</xdr:row>
          <xdr:rowOff>466725</xdr:rowOff>
        </xdr:to>
        <xdr:sp macro="" textlink="">
          <xdr:nvSpPr>
            <xdr:cNvPr id="20700" name="Check Box 220" hidden="1">
              <a:extLst>
                <a:ext uri="{63B3BB69-23CF-44E3-9099-C40C66FF867C}">
                  <a14:compatExt spid="_x0000_s20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0</xdr:rowOff>
        </xdr:from>
        <xdr:to>
          <xdr:col>1</xdr:col>
          <xdr:colOff>0</xdr:colOff>
          <xdr:row>12</xdr:row>
          <xdr:rowOff>466725</xdr:rowOff>
        </xdr:to>
        <xdr:sp macro="" textlink="">
          <xdr:nvSpPr>
            <xdr:cNvPr id="20701" name="Check Box 221" hidden="1">
              <a:extLst>
                <a:ext uri="{63B3BB69-23CF-44E3-9099-C40C66FF867C}">
                  <a14:compatExt spid="_x0000_s20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0</xdr:rowOff>
        </xdr:from>
        <xdr:to>
          <xdr:col>1</xdr:col>
          <xdr:colOff>0</xdr:colOff>
          <xdr:row>12</xdr:row>
          <xdr:rowOff>466725</xdr:rowOff>
        </xdr:to>
        <xdr:sp macro="" textlink="">
          <xdr:nvSpPr>
            <xdr:cNvPr id="20702" name="Check Box 222" hidden="1">
              <a:extLst>
                <a:ext uri="{63B3BB69-23CF-44E3-9099-C40C66FF867C}">
                  <a14:compatExt spid="_x0000_s207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0</xdr:rowOff>
        </xdr:from>
        <xdr:to>
          <xdr:col>1</xdr:col>
          <xdr:colOff>0</xdr:colOff>
          <xdr:row>12</xdr:row>
          <xdr:rowOff>466725</xdr:rowOff>
        </xdr:to>
        <xdr:sp macro="" textlink="">
          <xdr:nvSpPr>
            <xdr:cNvPr id="20703" name="Check Box 223" hidden="1">
              <a:extLst>
                <a:ext uri="{63B3BB69-23CF-44E3-9099-C40C66FF867C}">
                  <a14:compatExt spid="_x0000_s207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0</xdr:rowOff>
        </xdr:from>
        <xdr:to>
          <xdr:col>1</xdr:col>
          <xdr:colOff>0</xdr:colOff>
          <xdr:row>13</xdr:row>
          <xdr:rowOff>466725</xdr:rowOff>
        </xdr:to>
        <xdr:sp macro="" textlink="">
          <xdr:nvSpPr>
            <xdr:cNvPr id="20704" name="Check Box 224" hidden="1">
              <a:extLst>
                <a:ext uri="{63B3BB69-23CF-44E3-9099-C40C66FF867C}">
                  <a14:compatExt spid="_x0000_s207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0</xdr:rowOff>
        </xdr:from>
        <xdr:to>
          <xdr:col>1</xdr:col>
          <xdr:colOff>0</xdr:colOff>
          <xdr:row>13</xdr:row>
          <xdr:rowOff>466725</xdr:rowOff>
        </xdr:to>
        <xdr:sp macro="" textlink="">
          <xdr:nvSpPr>
            <xdr:cNvPr id="20705" name="Check Box 225" hidden="1">
              <a:extLst>
                <a:ext uri="{63B3BB69-23CF-44E3-9099-C40C66FF867C}">
                  <a14:compatExt spid="_x0000_s207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0</xdr:rowOff>
        </xdr:from>
        <xdr:to>
          <xdr:col>1</xdr:col>
          <xdr:colOff>0</xdr:colOff>
          <xdr:row>13</xdr:row>
          <xdr:rowOff>466725</xdr:rowOff>
        </xdr:to>
        <xdr:sp macro="" textlink="">
          <xdr:nvSpPr>
            <xdr:cNvPr id="20706" name="Check Box 226" hidden="1">
              <a:extLst>
                <a:ext uri="{63B3BB69-23CF-44E3-9099-C40C66FF867C}">
                  <a14:compatExt spid="_x0000_s207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0</xdr:rowOff>
        </xdr:from>
        <xdr:to>
          <xdr:col>1</xdr:col>
          <xdr:colOff>0</xdr:colOff>
          <xdr:row>13</xdr:row>
          <xdr:rowOff>466725</xdr:rowOff>
        </xdr:to>
        <xdr:sp macro="" textlink="">
          <xdr:nvSpPr>
            <xdr:cNvPr id="20707" name="Check Box 227" hidden="1">
              <a:extLst>
                <a:ext uri="{63B3BB69-23CF-44E3-9099-C40C66FF867C}">
                  <a14:compatExt spid="_x0000_s207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0</xdr:rowOff>
        </xdr:from>
        <xdr:to>
          <xdr:col>1</xdr:col>
          <xdr:colOff>0</xdr:colOff>
          <xdr:row>14</xdr:row>
          <xdr:rowOff>466725</xdr:rowOff>
        </xdr:to>
        <xdr:sp macro="" textlink="">
          <xdr:nvSpPr>
            <xdr:cNvPr id="20708" name="Check Box 228" hidden="1">
              <a:extLst>
                <a:ext uri="{63B3BB69-23CF-44E3-9099-C40C66FF867C}">
                  <a14:compatExt spid="_x0000_s207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0</xdr:rowOff>
        </xdr:from>
        <xdr:to>
          <xdr:col>1</xdr:col>
          <xdr:colOff>0</xdr:colOff>
          <xdr:row>14</xdr:row>
          <xdr:rowOff>466725</xdr:rowOff>
        </xdr:to>
        <xdr:sp macro="" textlink="">
          <xdr:nvSpPr>
            <xdr:cNvPr id="20709" name="Check Box 229" hidden="1">
              <a:extLst>
                <a:ext uri="{63B3BB69-23CF-44E3-9099-C40C66FF867C}">
                  <a14:compatExt spid="_x0000_s207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0</xdr:rowOff>
        </xdr:from>
        <xdr:to>
          <xdr:col>1</xdr:col>
          <xdr:colOff>0</xdr:colOff>
          <xdr:row>14</xdr:row>
          <xdr:rowOff>466725</xdr:rowOff>
        </xdr:to>
        <xdr:sp macro="" textlink="">
          <xdr:nvSpPr>
            <xdr:cNvPr id="20710" name="Check Box 230" hidden="1">
              <a:extLst>
                <a:ext uri="{63B3BB69-23CF-44E3-9099-C40C66FF867C}">
                  <a14:compatExt spid="_x0000_s207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0</xdr:rowOff>
        </xdr:from>
        <xdr:to>
          <xdr:col>1</xdr:col>
          <xdr:colOff>0</xdr:colOff>
          <xdr:row>14</xdr:row>
          <xdr:rowOff>466725</xdr:rowOff>
        </xdr:to>
        <xdr:sp macro="" textlink="">
          <xdr:nvSpPr>
            <xdr:cNvPr id="20711" name="Check Box 231" hidden="1">
              <a:extLst>
                <a:ext uri="{63B3BB69-23CF-44E3-9099-C40C66FF867C}">
                  <a14:compatExt spid="_x0000_s207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314325</xdr:colOff>
      <xdr:row>34</xdr:row>
      <xdr:rowOff>880027</xdr:rowOff>
    </xdr:from>
    <xdr:to>
      <xdr:col>5</xdr:col>
      <xdr:colOff>9525</xdr:colOff>
      <xdr:row>35</xdr:row>
      <xdr:rowOff>248490</xdr:rowOff>
    </xdr:to>
    <xdr:sp macro="" textlink="">
      <xdr:nvSpPr>
        <xdr:cNvPr id="6148" name="Text Box 4"/>
        <xdr:cNvSpPr txBox="1">
          <a:spLocks noChangeArrowheads="1"/>
        </xdr:cNvSpPr>
      </xdr:nvSpPr>
      <xdr:spPr bwMode="auto">
        <a:xfrm>
          <a:off x="3219450" y="17440275"/>
          <a:ext cx="771525" cy="390525"/>
        </a:xfrm>
        <a:prstGeom prst="rect">
          <a:avLst/>
        </a:prstGeom>
        <a:solidFill>
          <a:srgbClr val="FFFFC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Distribution Plat Sheets</a:t>
          </a:r>
        </a:p>
      </xdr:txBody>
    </xdr:sp>
    <xdr:clientData/>
  </xdr:twoCellAnchor>
  <xdr:twoCellAnchor>
    <xdr:from>
      <xdr:col>1</xdr:col>
      <xdr:colOff>1076325</xdr:colOff>
      <xdr:row>33</xdr:row>
      <xdr:rowOff>183459</xdr:rowOff>
    </xdr:from>
    <xdr:to>
      <xdr:col>2</xdr:col>
      <xdr:colOff>895350</xdr:colOff>
      <xdr:row>33</xdr:row>
      <xdr:rowOff>564459</xdr:rowOff>
    </xdr:to>
    <xdr:sp macro="" textlink="">
      <xdr:nvSpPr>
        <xdr:cNvPr id="6149" name="Text Box 5"/>
        <xdr:cNvSpPr txBox="1">
          <a:spLocks noChangeArrowheads="1"/>
        </xdr:cNvSpPr>
      </xdr:nvSpPr>
      <xdr:spPr bwMode="auto">
        <a:xfrm>
          <a:off x="1685925" y="16021050"/>
          <a:ext cx="1162050" cy="381000"/>
        </a:xfrm>
        <a:prstGeom prst="rect">
          <a:avLst/>
        </a:prstGeom>
        <a:solidFill>
          <a:srgbClr val="FFFFC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Transmission Plat Sheets</a:t>
          </a:r>
        </a:p>
      </xdr:txBody>
    </xdr:sp>
    <xdr:clientData/>
  </xdr:twoCellAnchor>
  <xdr:twoCellAnchor>
    <xdr:from>
      <xdr:col>3</xdr:col>
      <xdr:colOff>323850</xdr:colOff>
      <xdr:row>33</xdr:row>
      <xdr:rowOff>573984</xdr:rowOff>
    </xdr:from>
    <xdr:to>
      <xdr:col>5</xdr:col>
      <xdr:colOff>571500</xdr:colOff>
      <xdr:row>34</xdr:row>
      <xdr:rowOff>213967</xdr:rowOff>
    </xdr:to>
    <xdr:sp macro="" textlink="">
      <xdr:nvSpPr>
        <xdr:cNvPr id="6150" name="Text Box 6"/>
        <xdr:cNvSpPr txBox="1">
          <a:spLocks noChangeArrowheads="1"/>
        </xdr:cNvSpPr>
      </xdr:nvSpPr>
      <xdr:spPr bwMode="auto">
        <a:xfrm>
          <a:off x="3228975" y="16411575"/>
          <a:ext cx="1323975" cy="361950"/>
        </a:xfrm>
        <a:prstGeom prst="rect">
          <a:avLst/>
        </a:prstGeom>
        <a:solidFill>
          <a:srgbClr val="FFFFC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As-built Construction Drawings</a:t>
          </a:r>
        </a:p>
      </xdr:txBody>
    </xdr:sp>
    <xdr:clientData/>
  </xdr:twoCellAnchor>
  <xdr:twoCellAnchor>
    <xdr:from>
      <xdr:col>1</xdr:col>
      <xdr:colOff>533400</xdr:colOff>
      <xdr:row>35</xdr:row>
      <xdr:rowOff>141219</xdr:rowOff>
    </xdr:from>
    <xdr:to>
      <xdr:col>2</xdr:col>
      <xdr:colOff>257175</xdr:colOff>
      <xdr:row>35</xdr:row>
      <xdr:rowOff>598419</xdr:rowOff>
    </xdr:to>
    <xdr:sp macro="" textlink="">
      <xdr:nvSpPr>
        <xdr:cNvPr id="6151" name="Text Box 7"/>
        <xdr:cNvSpPr txBox="1">
          <a:spLocks noChangeArrowheads="1"/>
        </xdr:cNvSpPr>
      </xdr:nvSpPr>
      <xdr:spPr bwMode="auto">
        <a:xfrm>
          <a:off x="1143000" y="17726025"/>
          <a:ext cx="1066800" cy="457200"/>
        </a:xfrm>
        <a:prstGeom prst="rect">
          <a:avLst/>
        </a:prstGeom>
        <a:solidFill>
          <a:srgbClr val="FFFFC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Strength Test Pressure Reports</a:t>
          </a:r>
        </a:p>
      </xdr:txBody>
    </xdr:sp>
    <xdr:clientData/>
  </xdr:twoCellAnchor>
  <xdr:twoCellAnchor>
    <xdr:from>
      <xdr:col>1</xdr:col>
      <xdr:colOff>76200</xdr:colOff>
      <xdr:row>34</xdr:row>
      <xdr:rowOff>241852</xdr:rowOff>
    </xdr:from>
    <xdr:to>
      <xdr:col>1</xdr:col>
      <xdr:colOff>990600</xdr:colOff>
      <xdr:row>34</xdr:row>
      <xdr:rowOff>632377</xdr:rowOff>
    </xdr:to>
    <xdr:sp macro="" textlink="">
      <xdr:nvSpPr>
        <xdr:cNvPr id="6152" name="Text Box 8"/>
        <xdr:cNvSpPr txBox="1">
          <a:spLocks noChangeArrowheads="1"/>
        </xdr:cNvSpPr>
      </xdr:nvSpPr>
      <xdr:spPr bwMode="auto">
        <a:xfrm>
          <a:off x="685800" y="16802100"/>
          <a:ext cx="914400" cy="390525"/>
        </a:xfrm>
        <a:prstGeom prst="rect">
          <a:avLst/>
        </a:prstGeom>
        <a:solidFill>
          <a:srgbClr val="FFFFC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Job and GIS data listing</a:t>
          </a:r>
        </a:p>
      </xdr:txBody>
    </xdr:sp>
    <xdr:clientData/>
  </xdr:twoCellAnchor>
  <xdr:twoCellAnchor>
    <xdr:from>
      <xdr:col>1</xdr:col>
      <xdr:colOff>1114425</xdr:colOff>
      <xdr:row>33</xdr:row>
      <xdr:rowOff>678759</xdr:rowOff>
    </xdr:from>
    <xdr:to>
      <xdr:col>3</xdr:col>
      <xdr:colOff>276225</xdr:colOff>
      <xdr:row>35</xdr:row>
      <xdr:rowOff>86370</xdr:rowOff>
    </xdr:to>
    <xdr:sp macro="" textlink="">
      <xdr:nvSpPr>
        <xdr:cNvPr id="6153" name="Oval 9"/>
        <xdr:cNvSpPr>
          <a:spLocks noChangeArrowheads="1"/>
        </xdr:cNvSpPr>
      </xdr:nvSpPr>
      <xdr:spPr bwMode="auto">
        <a:xfrm>
          <a:off x="1724025" y="16516350"/>
          <a:ext cx="1457325" cy="1152525"/>
        </a:xfrm>
        <a:prstGeom prst="ellipse">
          <a:avLst/>
        </a:prstGeom>
        <a:solidFill>
          <a:srgbClr val="D9AFAB"/>
        </a:solidFill>
        <a:ln w="9525">
          <a:solidFill>
            <a:srgbClr val="000000"/>
          </a:solidFill>
          <a:round/>
          <a:headEnd/>
          <a:tailEnd/>
        </a:ln>
      </xdr:spPr>
      <xdr:txBody>
        <a:bodyPr vertOverflow="clip" wrap="square" lIns="27432" tIns="22860" rIns="0" bIns="0" anchor="t" upright="1"/>
        <a:lstStyle/>
        <a:p>
          <a:pPr algn="l" rtl="0">
            <a:lnSpc>
              <a:spcPts val="1000"/>
            </a:lnSpc>
            <a:defRPr sz="1000"/>
          </a:pPr>
          <a:r>
            <a:rPr lang="en-US" sz="1000" b="0" i="0" u="none" strike="noStrike" baseline="0">
              <a:solidFill>
                <a:srgbClr val="000000"/>
              </a:solidFill>
              <a:latin typeface="Arial"/>
              <a:cs typeface="Arial"/>
            </a:rPr>
            <a:t>Move down the pipe reviewing these information sources each foot</a:t>
          </a:r>
        </a:p>
      </xdr:txBody>
    </xdr:sp>
    <xdr:clientData/>
  </xdr:twoCellAnchor>
  <xdr:twoCellAnchor>
    <xdr:from>
      <xdr:col>1</xdr:col>
      <xdr:colOff>742950</xdr:colOff>
      <xdr:row>33</xdr:row>
      <xdr:rowOff>590550</xdr:rowOff>
    </xdr:from>
    <xdr:to>
      <xdr:col>1</xdr:col>
      <xdr:colOff>1314450</xdr:colOff>
      <xdr:row>34</xdr:row>
      <xdr:rowOff>200025</xdr:rowOff>
    </xdr:to>
    <xdr:sp macro="" textlink="">
      <xdr:nvSpPr>
        <xdr:cNvPr id="19923" name="Line 10"/>
        <xdr:cNvSpPr>
          <a:spLocks noChangeShapeType="1"/>
        </xdr:cNvSpPr>
      </xdr:nvSpPr>
      <xdr:spPr bwMode="auto">
        <a:xfrm flipV="1">
          <a:off x="1962150" y="17764125"/>
          <a:ext cx="571500" cy="3333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723900</xdr:colOff>
      <xdr:row>33</xdr:row>
      <xdr:rowOff>561975</xdr:rowOff>
    </xdr:from>
    <xdr:to>
      <xdr:col>3</xdr:col>
      <xdr:colOff>285750</xdr:colOff>
      <xdr:row>34</xdr:row>
      <xdr:rowOff>38100</xdr:rowOff>
    </xdr:to>
    <xdr:sp macro="" textlink="">
      <xdr:nvSpPr>
        <xdr:cNvPr id="19924" name="Line 11"/>
        <xdr:cNvSpPr>
          <a:spLocks noChangeShapeType="1"/>
        </xdr:cNvSpPr>
      </xdr:nvSpPr>
      <xdr:spPr bwMode="auto">
        <a:xfrm>
          <a:off x="3286125" y="17735550"/>
          <a:ext cx="514350" cy="200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438150</xdr:colOff>
      <xdr:row>34</xdr:row>
      <xdr:rowOff>219075</xdr:rowOff>
    </xdr:from>
    <xdr:to>
      <xdr:col>3</xdr:col>
      <xdr:colOff>561975</xdr:colOff>
      <xdr:row>34</xdr:row>
      <xdr:rowOff>857250</xdr:rowOff>
    </xdr:to>
    <xdr:sp macro="" textlink="">
      <xdr:nvSpPr>
        <xdr:cNvPr id="19925" name="Line 12"/>
        <xdr:cNvSpPr>
          <a:spLocks noChangeShapeType="1"/>
        </xdr:cNvSpPr>
      </xdr:nvSpPr>
      <xdr:spPr bwMode="auto">
        <a:xfrm flipH="1">
          <a:off x="3952875" y="18116550"/>
          <a:ext cx="123825" cy="638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295275</xdr:colOff>
      <xdr:row>35</xdr:row>
      <xdr:rowOff>57150</xdr:rowOff>
    </xdr:from>
    <xdr:to>
      <xdr:col>3</xdr:col>
      <xdr:colOff>295275</xdr:colOff>
      <xdr:row>35</xdr:row>
      <xdr:rowOff>314325</xdr:rowOff>
    </xdr:to>
    <xdr:sp macro="" textlink="">
      <xdr:nvSpPr>
        <xdr:cNvPr id="19926" name="Line 13"/>
        <xdr:cNvSpPr>
          <a:spLocks noChangeShapeType="1"/>
        </xdr:cNvSpPr>
      </xdr:nvSpPr>
      <xdr:spPr bwMode="auto">
        <a:xfrm flipH="1">
          <a:off x="2857500" y="18973800"/>
          <a:ext cx="952500" cy="257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600075</xdr:colOff>
      <xdr:row>34</xdr:row>
      <xdr:rowOff>676275</xdr:rowOff>
    </xdr:from>
    <xdr:to>
      <xdr:col>1</xdr:col>
      <xdr:colOff>1066800</xdr:colOff>
      <xdr:row>35</xdr:row>
      <xdr:rowOff>133350</xdr:rowOff>
    </xdr:to>
    <xdr:sp macro="" textlink="">
      <xdr:nvSpPr>
        <xdr:cNvPr id="19927" name="Line 14"/>
        <xdr:cNvSpPr>
          <a:spLocks noChangeShapeType="1"/>
        </xdr:cNvSpPr>
      </xdr:nvSpPr>
      <xdr:spPr bwMode="auto">
        <a:xfrm flipH="1" flipV="1">
          <a:off x="1819275" y="18573750"/>
          <a:ext cx="466725" cy="4762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42</xdr:row>
          <xdr:rowOff>85725</xdr:rowOff>
        </xdr:from>
        <xdr:to>
          <xdr:col>14</xdr:col>
          <xdr:colOff>609600</xdr:colOff>
          <xdr:row>42</xdr:row>
          <xdr:rowOff>295275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2B3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11</xdr:row>
          <xdr:rowOff>19050</xdr:rowOff>
        </xdr:from>
        <xdr:to>
          <xdr:col>16</xdr:col>
          <xdr:colOff>9525</xdr:colOff>
          <xdr:row>11</xdr:row>
          <xdr:rowOff>295275</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2A2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112</xdr:row>
          <xdr:rowOff>66675</xdr:rowOff>
        </xdr:from>
        <xdr:to>
          <xdr:col>15</xdr:col>
          <xdr:colOff>123825</xdr:colOff>
          <xdr:row>112</xdr:row>
          <xdr:rowOff>323850</xdr:rowOff>
        </xdr:to>
        <xdr:sp macro="" textlink="">
          <xdr:nvSpPr>
            <xdr:cNvPr id="34819" name="Button 3" hidden="1">
              <a:extLst>
                <a:ext uri="{63B3BB69-23CF-44E3-9099-C40C66FF867C}">
                  <a14:compatExt spid="_x0000_s348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2B4-4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154</xdr:row>
          <xdr:rowOff>104775</xdr:rowOff>
        </xdr:from>
        <xdr:to>
          <xdr:col>13</xdr:col>
          <xdr:colOff>457200</xdr:colOff>
          <xdr:row>157</xdr:row>
          <xdr:rowOff>0</xdr:rowOff>
        </xdr:to>
        <xdr:sp macro="" textlink="">
          <xdr:nvSpPr>
            <xdr:cNvPr id="34820" name="Button 4" hidden="1">
              <a:extLst>
                <a:ext uri="{63B3BB69-23CF-44E3-9099-C40C66FF867C}">
                  <a14:compatExt spid="_x0000_s348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257175</xdr:colOff>
          <xdr:row>200</xdr:row>
          <xdr:rowOff>9525</xdr:rowOff>
        </xdr:from>
        <xdr:to>
          <xdr:col>9</xdr:col>
          <xdr:colOff>9525</xdr:colOff>
          <xdr:row>200</xdr:row>
          <xdr:rowOff>266700</xdr:rowOff>
        </xdr:to>
        <xdr:sp macro="" textlink="">
          <xdr:nvSpPr>
            <xdr:cNvPr id="34821" name="Button 5" hidden="1">
              <a:extLst>
                <a:ext uri="{63B3BB69-23CF-44E3-9099-C40C66FF867C}">
                  <a14:compatExt spid="_x0000_s348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5B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64</xdr:row>
          <xdr:rowOff>66675</xdr:rowOff>
        </xdr:from>
        <xdr:to>
          <xdr:col>7</xdr:col>
          <xdr:colOff>723900</xdr:colOff>
          <xdr:row>64</xdr:row>
          <xdr:rowOff>285750</xdr:rowOff>
        </xdr:to>
        <xdr:sp macro="" textlink="">
          <xdr:nvSpPr>
            <xdr:cNvPr id="34822" name="Button 6" hidden="1">
              <a:extLst>
                <a:ext uri="{63B3BB69-23CF-44E3-9099-C40C66FF867C}">
                  <a14:compatExt spid="_x0000_s348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2B4-2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90</xdr:row>
          <xdr:rowOff>28575</xdr:rowOff>
        </xdr:from>
        <xdr:to>
          <xdr:col>9</xdr:col>
          <xdr:colOff>9525</xdr:colOff>
          <xdr:row>91</xdr:row>
          <xdr:rowOff>0</xdr:rowOff>
        </xdr:to>
        <xdr:sp macro="" textlink="">
          <xdr:nvSpPr>
            <xdr:cNvPr id="34823" name="Button 7" hidden="1">
              <a:extLst>
                <a:ext uri="{63B3BB69-23CF-44E3-9099-C40C66FF867C}">
                  <a14:compatExt spid="_x0000_s348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2B4_3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47625</xdr:colOff>
          <xdr:row>76</xdr:row>
          <xdr:rowOff>47625</xdr:rowOff>
        </xdr:from>
        <xdr:to>
          <xdr:col>16</xdr:col>
          <xdr:colOff>438150</xdr:colOff>
          <xdr:row>77</xdr:row>
          <xdr:rowOff>209550</xdr:rowOff>
        </xdr:to>
        <xdr:sp macro="" textlink="">
          <xdr:nvSpPr>
            <xdr:cNvPr id="34824" name="Button 8" hidden="1">
              <a:extLst>
                <a:ext uri="{63B3BB69-23CF-44E3-9099-C40C66FF867C}">
                  <a14:compatExt spid="_x0000_s348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2B4-Unknown Diameter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220</xdr:row>
          <xdr:rowOff>9525</xdr:rowOff>
        </xdr:from>
        <xdr:to>
          <xdr:col>7</xdr:col>
          <xdr:colOff>9525</xdr:colOff>
          <xdr:row>220</xdr:row>
          <xdr:rowOff>276225</xdr:rowOff>
        </xdr:to>
        <xdr:sp macro="" textlink="">
          <xdr:nvSpPr>
            <xdr:cNvPr id="34825" name="Button 9" hidden="1">
              <a:extLst>
                <a:ext uri="{63B3BB69-23CF-44E3-9099-C40C66FF867C}">
                  <a14:compatExt spid="_x0000_s348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Uknown Dt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247</xdr:row>
          <xdr:rowOff>9525</xdr:rowOff>
        </xdr:from>
        <xdr:to>
          <xdr:col>7</xdr:col>
          <xdr:colOff>19050</xdr:colOff>
          <xdr:row>248</xdr:row>
          <xdr:rowOff>0</xdr:rowOff>
        </xdr:to>
        <xdr:sp macro="" textlink="">
          <xdr:nvSpPr>
            <xdr:cNvPr id="34826" name="Button 10" hidden="1">
              <a:extLst>
                <a:ext uri="{63B3BB69-23CF-44E3-9099-C40C66FF867C}">
                  <a14:compatExt spid="_x0000_s348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1st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274</xdr:row>
          <xdr:rowOff>0</xdr:rowOff>
        </xdr:from>
        <xdr:to>
          <xdr:col>7</xdr:col>
          <xdr:colOff>47625</xdr:colOff>
          <xdr:row>274</xdr:row>
          <xdr:rowOff>295275</xdr:rowOff>
        </xdr:to>
        <xdr:sp macro="" textlink="">
          <xdr:nvSpPr>
            <xdr:cNvPr id="34827" name="Button 11" hidden="1">
              <a:extLst>
                <a:ext uri="{63B3BB69-23CF-44E3-9099-C40C66FF867C}">
                  <a14:compatExt spid="_x0000_s348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2nd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301</xdr:row>
          <xdr:rowOff>9525</xdr:rowOff>
        </xdr:from>
        <xdr:to>
          <xdr:col>6</xdr:col>
          <xdr:colOff>600075</xdr:colOff>
          <xdr:row>301</xdr:row>
          <xdr:rowOff>285750</xdr:rowOff>
        </xdr:to>
        <xdr:sp macro="" textlink="">
          <xdr:nvSpPr>
            <xdr:cNvPr id="34828" name="Button 12" hidden="1">
              <a:extLst>
                <a:ext uri="{63B3BB69-23CF-44E3-9099-C40C66FF867C}">
                  <a14:compatExt spid="_x0000_s348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3rd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17</xdr:row>
          <xdr:rowOff>19050</xdr:rowOff>
        </xdr:from>
        <xdr:to>
          <xdr:col>16</xdr:col>
          <xdr:colOff>9525</xdr:colOff>
          <xdr:row>17</xdr:row>
          <xdr:rowOff>295275</xdr:rowOff>
        </xdr:to>
        <xdr:sp macro="" textlink="">
          <xdr:nvSpPr>
            <xdr:cNvPr id="34829" name="Button 13" hidden="1">
              <a:extLst>
                <a:ext uri="{63B3BB69-23CF-44E3-9099-C40C66FF867C}">
                  <a14:compatExt spid="_x0000_s348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2A2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0</xdr:col>
      <xdr:colOff>1190625</xdr:colOff>
      <xdr:row>0</xdr:row>
      <xdr:rowOff>0</xdr:rowOff>
    </xdr:to>
    <xdr:pic>
      <xdr:nvPicPr>
        <xdr:cNvPr id="16841" name="Picture 23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0"/>
          <a:ext cx="11620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28575</xdr:colOff>
      <xdr:row>0</xdr:row>
      <xdr:rowOff>0</xdr:rowOff>
    </xdr:from>
    <xdr:to>
      <xdr:col>1</xdr:col>
      <xdr:colOff>723900</xdr:colOff>
      <xdr:row>0</xdr:row>
      <xdr:rowOff>0</xdr:rowOff>
    </xdr:to>
    <xdr:pic>
      <xdr:nvPicPr>
        <xdr:cNvPr id="16842" name="Picture 23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90850" y="0"/>
          <a:ext cx="6953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9525</xdr:rowOff>
        </xdr:from>
        <xdr:to>
          <xdr:col>1</xdr:col>
          <xdr:colOff>152400</xdr:colOff>
          <xdr:row>0</xdr:row>
          <xdr:rowOff>295275</xdr:rowOff>
        </xdr:to>
        <xdr:sp macro="" textlink="">
          <xdr:nvSpPr>
            <xdr:cNvPr id="27649" name="validationSwitch"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ss/Documents%20and%20Settings/AGOTTESMAN001/Desktop/PFl-X6340_MP13.72-13.72_19Jul11_bak.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ss/WINDOWS/Temporary%20Internet%20Files/Content.Outlook/X85MPFON/Version%2023%20PFL%20(Tom)%20-%20DONT%20TOUCH/V21%20Template%20with%20FVE%20Columns_New_UnkMacro-01-26-201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ss/WINDOWS/Temporary%20Internet%20Files/Content.Outlook/6MZTSBED/PFL%20Worksheet-v23%20(standard%20validation)_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ss/Field%20Verification/FVE%20Import%20Macro/Load%20PFLs/DREG4496_MP0.0000-0.7500_07Jan13_R1202-1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wss/Documents%20and%20Settings/AGOTTESMAN001/Desktop/PFL-DCUST2506_MP0.00-0.00_30Jun011_J4DV_C4Mo_date_new_8-8-2011.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wss/DOCUME~1/TBUZAN~1/LOCALS~1/Temp/notesC9812B/FVE%20Column%20Template%20with%20MAOP%20Calculator%20Suggestions%209-6-11.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wss/Documents%20and%20Settings/AGOTTESMAN001/Desktop/PG&amp;E/Master/Finished/Produce/FVE%20Column%20Template%20with%20MAOP%20Calculator%20Suggestions%209-6-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wss/WINDOWS/Temporary%20Internet%20Files/Content.Outlook/EDO95OTX/PFL%20Worksheet%20-v21%20EA%20Template%20Joe%20%20Tom%20EQ_Macro%20Errata%20MAOP%20Report%20Update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wss/WINDOWS/Temporary%20Internet%20Files/Content.Outlook/KQTEZX2M/PFL%20Worksheet-v23%20FVE%20Calculator%20Template%2009-12-12a_Macro_Validation.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wss/WINDOWS/Temporary%20Internet%20Files/Content.Outlook/X85MPFON/PFL%20Worksheet-v23%20FVE%20Calculator%20Template%2003-05-12_Macro.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wss/WINDOWS/Temporary%20Internet%20Files/Content.Outlook/KQTEZX2M/PFL%20Worksheet-v24%20FVE%20Calculator%20Template%2009-26-1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wss/WINDOWS/Temporary%20Internet%20Files/Content.Outlook/X85MPFON/PFL%20Worksheet-v23%20FVE%20Calculator%20Template%2002-29-12_Macro.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wss/QC_Team/Templates/PFL%20QC%20Tracking%20052511-%20graphs_charts_working.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wss/Users/Jim%20Grinstead/AppData/Local/Microsoft/Windows/Temporary%20Internet%20Files/Content.Outlook/CPA275VD/PFL%20Worksheet-v23%20FVE%20Calculator%20Template%2009-17-12_Macro_Validation.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wss/Users/TRF1/AppData/Local/Microsoft/Windows/Temporary%20Internet%20Files/Content.Outlook/4WO64108/PFL%20Worksheet-v24%20FVE%20Calculator%20Template%2012-3-12_v3.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wss/QC_Team/Templates/Quality%20Control%20Issues%20Tracking%20052511.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wss/WINDOWS/Temporary%20Internet%20Files/Content.Outlook/T570ZJZF/PFL-X6511_MP0-0.128_25Apr11%20J6L1%205-25-11%20V2.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wss/Temp/PK184.tmp/PFL%20Worksheet-v24%20FVE%20Calculator%20Template%2010-10-12%20(joshua%20modifications).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wss/Users/AGOTTE~1/AppData/Local/Temp/notesF3B52A/3.Demo_v24_Fittings_10-31-2012.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wss/Users/Jim%20Grinstead/AppData/Local/Microsoft/Windows/Temporary%20Internet%20Files/Content.Outlook/CPA275VD/TOM_PFL%20Worksheet-v24%20FVE%20Calculator%20Template%2009-26-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Column Definitions"/>
      <sheetName val="Instructions"/>
      <sheetName val="Changes"/>
      <sheetName val="Selections"/>
      <sheetName val="FVE Table"/>
      <sheetName val="MAOP Report"/>
      <sheetName val="MACRO_COMPARISON"/>
      <sheetName val="MAOP Final Report"/>
      <sheetName val="tmp_TestPressureDividedByClass"/>
      <sheetName val="tmp_SummaryReportMAOP"/>
      <sheetName val="tmp_PivotTable"/>
      <sheetName val="Summary Report"/>
    </sheetNames>
    <sheetDataSet>
      <sheetData sheetId="0"/>
      <sheetData sheetId="1"/>
      <sheetData sheetId="2"/>
      <sheetData sheetId="3"/>
      <sheetData sheetId="4">
        <row r="384">
          <cell r="A384" t="str">
            <v>ANSI 150 #</v>
          </cell>
        </row>
        <row r="385">
          <cell r="A385" t="str">
            <v>ANSI 300 #</v>
          </cell>
        </row>
        <row r="386">
          <cell r="A386" t="str">
            <v>ANSI 400 #</v>
          </cell>
        </row>
        <row r="387">
          <cell r="A387" t="str">
            <v>ANSI 600 #</v>
          </cell>
        </row>
        <row r="388">
          <cell r="A388" t="str">
            <v>ANSI 900 #</v>
          </cell>
        </row>
        <row r="389">
          <cell r="A389" t="str">
            <v>ANSI 1500 #</v>
          </cell>
        </row>
        <row r="390">
          <cell r="A390" t="str">
            <v>ANSI 2500#</v>
          </cell>
        </row>
        <row r="391">
          <cell r="A391" t="str">
            <v>WOG 50#</v>
          </cell>
        </row>
        <row r="392">
          <cell r="A392" t="str">
            <v>WOG 100#</v>
          </cell>
        </row>
        <row r="393">
          <cell r="A393" t="str">
            <v>WOG 150#</v>
          </cell>
        </row>
        <row r="394">
          <cell r="A394" t="str">
            <v>WOG 200#</v>
          </cell>
        </row>
        <row r="395">
          <cell r="A395" t="str">
            <v>WOG 500#</v>
          </cell>
        </row>
        <row r="396">
          <cell r="A396" t="str">
            <v>WOG 600#</v>
          </cell>
        </row>
        <row r="397">
          <cell r="A397" t="str">
            <v>WOG 720#</v>
          </cell>
        </row>
        <row r="398">
          <cell r="A398" t="str">
            <v>WOG 800#</v>
          </cell>
        </row>
        <row r="399">
          <cell r="A399" t="str">
            <v>WOG 960#</v>
          </cell>
        </row>
        <row r="400">
          <cell r="A400" t="str">
            <v>WOG 1000#</v>
          </cell>
        </row>
        <row r="401">
          <cell r="A401" t="str">
            <v>WOG 1440#</v>
          </cell>
        </row>
        <row r="402">
          <cell r="A402" t="str">
            <v>WOG 1500#</v>
          </cell>
        </row>
        <row r="403">
          <cell r="A403" t="str">
            <v>WOG 2160#</v>
          </cell>
        </row>
        <row r="404">
          <cell r="A404" t="str">
            <v>WOG 2200#</v>
          </cell>
        </row>
        <row r="405">
          <cell r="A405" t="str">
            <v>WOG 3000#</v>
          </cell>
        </row>
        <row r="406">
          <cell r="A406" t="str">
            <v>Unknown</v>
          </cell>
        </row>
      </sheetData>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tore"/>
      <sheetName val="Logic"/>
      <sheetName val="Pipe Data"/>
      <sheetName val="Column Definitions"/>
      <sheetName val="Instructions"/>
      <sheetName val="Changes"/>
      <sheetName val="Selections"/>
      <sheetName val="FVE Table"/>
      <sheetName val="MAOP Report"/>
      <sheetName val="V21 Template with FVE Columns_N"/>
    </sheetNames>
    <sheetDataSet>
      <sheetData sheetId="0" refreshError="1"/>
      <sheetData sheetId="1" refreshError="1"/>
      <sheetData sheetId="2" refreshError="1"/>
      <sheetData sheetId="3" refreshError="1"/>
      <sheetData sheetId="4">
        <row r="113">
          <cell r="A113" t="str">
            <v>Q1</v>
          </cell>
        </row>
        <row r="114">
          <cell r="A114" t="str">
            <v>Q2</v>
          </cell>
        </row>
        <row r="115">
          <cell r="A115" t="str">
            <v>Q3</v>
          </cell>
        </row>
        <row r="116">
          <cell r="A116" t="str">
            <v>Q4</v>
          </cell>
        </row>
        <row r="117">
          <cell r="A117" t="str">
            <v>Q5</v>
          </cell>
        </row>
        <row r="118">
          <cell r="A118" t="str">
            <v>Q6</v>
          </cell>
        </row>
        <row r="121">
          <cell r="A121" t="str">
            <v>Q1</v>
          </cell>
        </row>
        <row r="122">
          <cell r="A122" t="str">
            <v>Q2</v>
          </cell>
        </row>
        <row r="123">
          <cell r="A123" t="str">
            <v>Q3</v>
          </cell>
        </row>
        <row r="124">
          <cell r="A124" t="str">
            <v>Q4</v>
          </cell>
        </row>
        <row r="125">
          <cell r="A125" t="str">
            <v>Q5</v>
          </cell>
        </row>
        <row r="126">
          <cell r="A126" t="str">
            <v>Q6</v>
          </cell>
        </row>
        <row r="127">
          <cell r="A127" t="str">
            <v>Q7</v>
          </cell>
        </row>
        <row r="128">
          <cell r="A128" t="str">
            <v>Q8</v>
          </cell>
        </row>
        <row r="129">
          <cell r="A129" t="str">
            <v>Q9</v>
          </cell>
        </row>
        <row r="130">
          <cell r="A130" t="str">
            <v>Q10</v>
          </cell>
        </row>
        <row r="131">
          <cell r="A131" t="str">
            <v>Q11</v>
          </cell>
        </row>
        <row r="134">
          <cell r="A134" t="str">
            <v>Included</v>
          </cell>
        </row>
        <row r="135">
          <cell r="A135" t="str">
            <v>Previous</v>
          </cell>
        </row>
        <row r="136">
          <cell r="A136" t="str">
            <v>By Others</v>
          </cell>
        </row>
      </sheetData>
      <sheetData sheetId="5" refreshError="1"/>
      <sheetData sheetId="6">
        <row r="3">
          <cell r="A3" t="str">
            <v>Yes</v>
          </cell>
        </row>
        <row r="4">
          <cell r="A4" t="str">
            <v>No</v>
          </cell>
        </row>
        <row r="5">
          <cell r="A5" t="str">
            <v>Unknown</v>
          </cell>
        </row>
        <row r="7">
          <cell r="A7">
            <v>1</v>
          </cell>
        </row>
        <row r="8">
          <cell r="A8">
            <v>2</v>
          </cell>
        </row>
        <row r="9">
          <cell r="A9">
            <v>3</v>
          </cell>
        </row>
        <row r="10">
          <cell r="A10">
            <v>4</v>
          </cell>
        </row>
        <row r="11">
          <cell r="A11" t="str">
            <v>N/A</v>
          </cell>
        </row>
        <row r="13">
          <cell r="A13">
            <v>42</v>
          </cell>
        </row>
        <row r="14">
          <cell r="A14">
            <v>36</v>
          </cell>
        </row>
        <row r="15">
          <cell r="A15">
            <v>34.5</v>
          </cell>
        </row>
        <row r="16">
          <cell r="A16">
            <v>34</v>
          </cell>
        </row>
        <row r="17">
          <cell r="A17">
            <v>32</v>
          </cell>
        </row>
        <row r="18">
          <cell r="A18">
            <v>30</v>
          </cell>
        </row>
        <row r="19">
          <cell r="A19">
            <v>26</v>
          </cell>
        </row>
        <row r="20">
          <cell r="A20">
            <v>24</v>
          </cell>
        </row>
        <row r="21">
          <cell r="A21">
            <v>22</v>
          </cell>
        </row>
        <row r="22">
          <cell r="A22">
            <v>20</v>
          </cell>
        </row>
        <row r="23">
          <cell r="A23">
            <v>18</v>
          </cell>
        </row>
        <row r="24">
          <cell r="A24">
            <v>16</v>
          </cell>
        </row>
        <row r="25">
          <cell r="A25">
            <v>14</v>
          </cell>
        </row>
        <row r="26">
          <cell r="A26">
            <v>12.75</v>
          </cell>
        </row>
        <row r="27">
          <cell r="A27">
            <v>10.75</v>
          </cell>
        </row>
        <row r="28">
          <cell r="A28">
            <v>8.625</v>
          </cell>
        </row>
        <row r="29">
          <cell r="A29">
            <v>6.625</v>
          </cell>
        </row>
        <row r="30">
          <cell r="A30">
            <v>4.5</v>
          </cell>
        </row>
        <row r="31">
          <cell r="A31">
            <v>3.5</v>
          </cell>
        </row>
        <row r="32">
          <cell r="A32">
            <v>2.375</v>
          </cell>
        </row>
        <row r="33">
          <cell r="A33">
            <v>1.9</v>
          </cell>
        </row>
        <row r="34">
          <cell r="A34">
            <v>1.66</v>
          </cell>
        </row>
        <row r="35">
          <cell r="A35">
            <v>1.3149999999999999</v>
          </cell>
        </row>
        <row r="36">
          <cell r="A36">
            <v>1.05</v>
          </cell>
        </row>
        <row r="37">
          <cell r="A37">
            <v>0.84</v>
          </cell>
        </row>
        <row r="38">
          <cell r="A38">
            <v>0.5</v>
          </cell>
        </row>
        <row r="47">
          <cell r="A47" t="str">
            <v>Seamless</v>
          </cell>
        </row>
        <row r="48">
          <cell r="A48" t="str">
            <v>Single Submerged Arc Weld</v>
          </cell>
        </row>
        <row r="49">
          <cell r="A49" t="str">
            <v>Double Submerged Arc Weld</v>
          </cell>
        </row>
        <row r="50">
          <cell r="A50" t="str">
            <v>AO Smith</v>
          </cell>
        </row>
        <row r="51">
          <cell r="A51" t="str">
            <v>Electric Resistance Weld</v>
          </cell>
        </row>
        <row r="52">
          <cell r="A52" t="str">
            <v>Lap Weld</v>
          </cell>
        </row>
        <row r="53">
          <cell r="A53" t="str">
            <v>Electric Fusion Weld</v>
          </cell>
        </row>
        <row r="54">
          <cell r="A54" t="str">
            <v>Spiral Weld</v>
          </cell>
        </row>
        <row r="55">
          <cell r="A55" t="str">
            <v>Furnace Butt Weld</v>
          </cell>
        </row>
        <row r="56">
          <cell r="A56" t="str">
            <v>N/A - Valve/Filter/Other</v>
          </cell>
        </row>
        <row r="57">
          <cell r="A57" t="str">
            <v>Polyethylene Pipe</v>
          </cell>
        </row>
        <row r="58">
          <cell r="A58" t="str">
            <v>Sleeve</v>
          </cell>
        </row>
        <row r="59">
          <cell r="A59" t="str">
            <v>Unknown &gt; 4 inch</v>
          </cell>
        </row>
        <row r="60">
          <cell r="A60" t="str">
            <v>Unknown &gt; 4 - Modern</v>
          </cell>
        </row>
        <row r="61">
          <cell r="A61" t="str">
            <v>Unknown 4 inch or less</v>
          </cell>
        </row>
        <row r="63">
          <cell r="A63" t="str">
            <v>Bare</v>
          </cell>
        </row>
        <row r="64">
          <cell r="A64" t="str">
            <v>Tape</v>
          </cell>
        </row>
        <row r="65">
          <cell r="A65" t="str">
            <v>HAA</v>
          </cell>
        </row>
        <row r="66">
          <cell r="A66" t="str">
            <v>PC</v>
          </cell>
        </row>
        <row r="67">
          <cell r="A67" t="str">
            <v>Powercrete</v>
          </cell>
        </row>
        <row r="68">
          <cell r="A68" t="str">
            <v>Powercrete J</v>
          </cell>
        </row>
        <row r="69">
          <cell r="A69" t="str">
            <v>XTRUPL</v>
          </cell>
        </row>
        <row r="70">
          <cell r="A70" t="str">
            <v>FBE</v>
          </cell>
        </row>
        <row r="71">
          <cell r="A71" t="str">
            <v>SOMA</v>
          </cell>
        </row>
        <row r="72">
          <cell r="A72" t="str">
            <v>Wax Tape</v>
          </cell>
        </row>
        <row r="73">
          <cell r="A73" t="str">
            <v>Paint</v>
          </cell>
        </row>
        <row r="74">
          <cell r="A74" t="str">
            <v>Coal Tar</v>
          </cell>
        </row>
        <row r="75">
          <cell r="A75" t="str">
            <v>Protal</v>
          </cell>
        </row>
        <row r="76">
          <cell r="A76" t="str">
            <v>Devgrip</v>
          </cell>
        </row>
        <row r="77">
          <cell r="A77" t="str">
            <v>Mobilox</v>
          </cell>
        </row>
        <row r="78">
          <cell r="A78" t="str">
            <v>Other</v>
          </cell>
        </row>
        <row r="79">
          <cell r="A79" t="str">
            <v>Unknown</v>
          </cell>
        </row>
        <row r="137">
          <cell r="A137" t="str">
            <v>ANSI 150 #</v>
          </cell>
        </row>
        <row r="138">
          <cell r="A138" t="str">
            <v>ANSI 300 #</v>
          </cell>
        </row>
        <row r="139">
          <cell r="A139" t="str">
            <v>ANSI 400 #</v>
          </cell>
        </row>
        <row r="140">
          <cell r="A140" t="str">
            <v>ANSI 600 #</v>
          </cell>
        </row>
        <row r="141">
          <cell r="A141" t="str">
            <v>ANSI 900 #</v>
          </cell>
        </row>
        <row r="142">
          <cell r="A142" t="str">
            <v>ANSI 1500 #</v>
          </cell>
        </row>
        <row r="143">
          <cell r="A143" t="str">
            <v>ANSI 2500#</v>
          </cell>
        </row>
        <row r="144">
          <cell r="A144" t="str">
            <v>WOG 50#</v>
          </cell>
        </row>
        <row r="145">
          <cell r="A145" t="str">
            <v>WOG 100#</v>
          </cell>
        </row>
        <row r="146">
          <cell r="A146" t="str">
            <v>WOG 150#</v>
          </cell>
        </row>
        <row r="147">
          <cell r="A147" t="str">
            <v>WOG 200#</v>
          </cell>
        </row>
        <row r="148">
          <cell r="A148" t="str">
            <v>WOG 500#</v>
          </cell>
        </row>
        <row r="149">
          <cell r="A149" t="str">
            <v>WOG 600#</v>
          </cell>
        </row>
        <row r="150">
          <cell r="A150" t="str">
            <v>WOG 720#</v>
          </cell>
        </row>
        <row r="151">
          <cell r="A151" t="str">
            <v>WOG 800#</v>
          </cell>
        </row>
        <row r="152">
          <cell r="A152" t="str">
            <v>WOG 960#</v>
          </cell>
        </row>
        <row r="153">
          <cell r="A153" t="str">
            <v>WOG 1000#</v>
          </cell>
        </row>
        <row r="154">
          <cell r="A154" t="str">
            <v>WOG 1440#</v>
          </cell>
        </row>
        <row r="155">
          <cell r="A155" t="str">
            <v>WOG 1500#</v>
          </cell>
        </row>
        <row r="156">
          <cell r="A156" t="str">
            <v>WOG 2160#</v>
          </cell>
        </row>
        <row r="157">
          <cell r="A157" t="str">
            <v>WOG 2200#</v>
          </cell>
        </row>
        <row r="158">
          <cell r="A158" t="str">
            <v>WOG 3000#</v>
          </cell>
        </row>
        <row r="159">
          <cell r="A159" t="str">
            <v>Unknown</v>
          </cell>
        </row>
        <row r="180">
          <cell r="A180" t="str">
            <v>Pipe</v>
          </cell>
        </row>
        <row r="181">
          <cell r="A181" t="str">
            <v>Tap</v>
          </cell>
        </row>
        <row r="182">
          <cell r="A182" t="str">
            <v>Field Bend</v>
          </cell>
        </row>
        <row r="183">
          <cell r="A183" t="str">
            <v>Mfg Bend</v>
          </cell>
        </row>
        <row r="184">
          <cell r="A184" t="str">
            <v>Tee</v>
          </cell>
        </row>
        <row r="185">
          <cell r="A185" t="str">
            <v>Valve</v>
          </cell>
        </row>
        <row r="186">
          <cell r="A186" t="str">
            <v>Reducer</v>
          </cell>
        </row>
        <row r="187">
          <cell r="A187" t="str">
            <v>Sleeve</v>
          </cell>
        </row>
        <row r="188">
          <cell r="A188" t="str">
            <v>PCF</v>
          </cell>
        </row>
        <row r="189">
          <cell r="A189" t="str">
            <v>Flange</v>
          </cell>
        </row>
        <row r="190">
          <cell r="A190" t="str">
            <v>Appurtenance</v>
          </cell>
        </row>
        <row r="191">
          <cell r="A191" t="str">
            <v>Meter</v>
          </cell>
        </row>
        <row r="192">
          <cell r="A192" t="str">
            <v>Pig Trap</v>
          </cell>
        </row>
        <row r="193">
          <cell r="A193" t="str">
            <v>Relief Valve</v>
          </cell>
        </row>
        <row r="194">
          <cell r="A194" t="str">
            <v>Other</v>
          </cell>
        </row>
        <row r="275">
          <cell r="A275">
            <v>24000</v>
          </cell>
        </row>
        <row r="276">
          <cell r="A276">
            <v>25000</v>
          </cell>
        </row>
        <row r="277">
          <cell r="A277">
            <v>30000</v>
          </cell>
        </row>
        <row r="278">
          <cell r="A278">
            <v>33000</v>
          </cell>
        </row>
        <row r="279">
          <cell r="A279">
            <v>35000</v>
          </cell>
        </row>
        <row r="280">
          <cell r="A280">
            <v>36000</v>
          </cell>
        </row>
        <row r="281">
          <cell r="A281">
            <v>38000</v>
          </cell>
        </row>
        <row r="282">
          <cell r="A282">
            <v>40000</v>
          </cell>
        </row>
        <row r="283">
          <cell r="A283">
            <v>42000</v>
          </cell>
        </row>
        <row r="284">
          <cell r="A284">
            <v>44000</v>
          </cell>
        </row>
        <row r="285">
          <cell r="A285">
            <v>45000</v>
          </cell>
        </row>
        <row r="286">
          <cell r="A286">
            <v>46000</v>
          </cell>
        </row>
        <row r="287">
          <cell r="A287">
            <v>48000</v>
          </cell>
        </row>
        <row r="288">
          <cell r="A288">
            <v>50000</v>
          </cell>
        </row>
        <row r="289">
          <cell r="A289">
            <v>52000</v>
          </cell>
        </row>
        <row r="290">
          <cell r="A290">
            <v>56000</v>
          </cell>
        </row>
        <row r="291">
          <cell r="A291">
            <v>60000</v>
          </cell>
        </row>
        <row r="292">
          <cell r="A292">
            <v>65000</v>
          </cell>
        </row>
        <row r="293">
          <cell r="A293">
            <v>70000</v>
          </cell>
        </row>
        <row r="294">
          <cell r="A294">
            <v>75000</v>
          </cell>
        </row>
        <row r="295">
          <cell r="A295">
            <v>80000</v>
          </cell>
        </row>
        <row r="296">
          <cell r="A296" t="str">
            <v>Requires Research</v>
          </cell>
        </row>
        <row r="297">
          <cell r="A297" t="str">
            <v>Unknown</v>
          </cell>
        </row>
        <row r="299">
          <cell r="A299" t="str">
            <v>Steel</v>
          </cell>
        </row>
        <row r="300">
          <cell r="A300" t="str">
            <v>Ductile Iron</v>
          </cell>
        </row>
        <row r="301">
          <cell r="A301" t="str">
            <v>Unknown</v>
          </cell>
        </row>
        <row r="302">
          <cell r="A302" t="str">
            <v>Clay Tile</v>
          </cell>
        </row>
        <row r="303">
          <cell r="A303" t="str">
            <v>PVC</v>
          </cell>
        </row>
        <row r="304">
          <cell r="A304" t="str">
            <v>Poly</v>
          </cell>
        </row>
        <row r="305">
          <cell r="A305" t="str">
            <v>Concrete</v>
          </cell>
        </row>
        <row r="306">
          <cell r="A306" t="str">
            <v>Cast Iron</v>
          </cell>
        </row>
        <row r="307">
          <cell r="A307" t="str">
            <v>Plastic</v>
          </cell>
        </row>
        <row r="308">
          <cell r="A308" t="str">
            <v>Ribbed Polyethylene</v>
          </cell>
        </row>
        <row r="309">
          <cell r="A309" t="str">
            <v>Conduit</v>
          </cell>
        </row>
        <row r="310">
          <cell r="A310" t="str">
            <v>Transite</v>
          </cell>
        </row>
        <row r="311">
          <cell r="A311" t="str">
            <v>Galvanized</v>
          </cell>
        </row>
        <row r="312">
          <cell r="A312" t="str">
            <v>Fiber Optic</v>
          </cell>
        </row>
        <row r="313">
          <cell r="A313" t="str">
            <v>Copper</v>
          </cell>
        </row>
        <row r="314">
          <cell r="A314" t="str">
            <v>Reasearch Required</v>
          </cell>
        </row>
        <row r="332">
          <cell r="A332" t="str">
            <v>Hot</v>
          </cell>
        </row>
        <row r="333">
          <cell r="A333" t="str">
            <v>Cold</v>
          </cell>
        </row>
        <row r="334">
          <cell r="A334" t="str">
            <v>Unknown</v>
          </cell>
        </row>
        <row r="357">
          <cell r="A357" t="str">
            <v>Left</v>
          </cell>
        </row>
        <row r="358">
          <cell r="A358" t="str">
            <v>Right</v>
          </cell>
        </row>
        <row r="359">
          <cell r="A359" t="str">
            <v>Combo</v>
          </cell>
        </row>
        <row r="360">
          <cell r="A360" t="str">
            <v>Over Bend</v>
          </cell>
        </row>
        <row r="361">
          <cell r="A361" t="str">
            <v>Sag</v>
          </cell>
        </row>
        <row r="362">
          <cell r="A362" t="str">
            <v>Right Sag</v>
          </cell>
        </row>
        <row r="363">
          <cell r="A363" t="str">
            <v>Left Sag</v>
          </cell>
        </row>
        <row r="364">
          <cell r="A364" t="str">
            <v>Right Over bend</v>
          </cell>
        </row>
        <row r="365">
          <cell r="A365" t="str">
            <v>Left Over bend</v>
          </cell>
        </row>
        <row r="366">
          <cell r="A366" t="str">
            <v>Unknown</v>
          </cell>
        </row>
        <row r="375">
          <cell r="A375" t="str">
            <v>Manual</v>
          </cell>
        </row>
        <row r="376">
          <cell r="A376" t="str">
            <v>Gas Operator</v>
          </cell>
        </row>
        <row r="377">
          <cell r="A377" t="str">
            <v>Electric Operator</v>
          </cell>
        </row>
        <row r="378">
          <cell r="A378" t="str">
            <v>Unknown</v>
          </cell>
        </row>
        <row r="415">
          <cell r="A415" t="str">
            <v>Weld End</v>
          </cell>
        </row>
        <row r="416">
          <cell r="A416" t="str">
            <v>Flanged End</v>
          </cell>
        </row>
        <row r="417">
          <cell r="A417" t="str">
            <v>Screw End</v>
          </cell>
        </row>
        <row r="418">
          <cell r="A418" t="str">
            <v>Weld by Flange End</v>
          </cell>
        </row>
        <row r="419">
          <cell r="A419" t="str">
            <v>Weld by Screw End</v>
          </cell>
        </row>
        <row r="420">
          <cell r="A420" t="str">
            <v>Unknown</v>
          </cell>
        </row>
        <row r="433">
          <cell r="A433" t="str">
            <v>StrengthTest</v>
          </cell>
        </row>
        <row r="434">
          <cell r="A434" t="str">
            <v>LeakTest</v>
          </cell>
        </row>
        <row r="435">
          <cell r="A435" t="str">
            <v>Dynamic Test</v>
          </cell>
        </row>
        <row r="436">
          <cell r="A436" t="str">
            <v>PreTest</v>
          </cell>
        </row>
        <row r="438">
          <cell r="A438" t="str">
            <v>Water</v>
          </cell>
        </row>
        <row r="439">
          <cell r="A439" t="str">
            <v>Nitrogen</v>
          </cell>
        </row>
        <row r="440">
          <cell r="A440" t="str">
            <v>Natural Gas</v>
          </cell>
        </row>
        <row r="441">
          <cell r="A441" t="str">
            <v>Other</v>
          </cell>
        </row>
        <row r="442">
          <cell r="A442" t="str">
            <v>Unknown</v>
          </cell>
        </row>
        <row r="459">
          <cell r="A459" t="str">
            <v>Steel Pipe</v>
          </cell>
        </row>
        <row r="460">
          <cell r="A460" t="str">
            <v>Bolted Steel</v>
          </cell>
        </row>
        <row r="461">
          <cell r="A461" t="str">
            <v>Corrugated Steel</v>
          </cell>
        </row>
        <row r="462">
          <cell r="A462" t="str">
            <v>2 half soles fused or welded</v>
          </cell>
        </row>
        <row r="463">
          <cell r="A463" t="str">
            <v>Nestable</v>
          </cell>
        </row>
        <row r="464">
          <cell r="A464" t="str">
            <v>Bolted</v>
          </cell>
        </row>
        <row r="465">
          <cell r="A465" t="str">
            <v>Corrugated</v>
          </cell>
        </row>
        <row r="466">
          <cell r="A466" t="str">
            <v>Concrete Encased</v>
          </cell>
        </row>
        <row r="467">
          <cell r="A467" t="str">
            <v>Plastic Encased</v>
          </cell>
        </row>
        <row r="468">
          <cell r="A468" t="str">
            <v>Other Encased</v>
          </cell>
        </row>
        <row r="469">
          <cell r="A469" t="str">
            <v>Other</v>
          </cell>
        </row>
        <row r="470">
          <cell r="A470" t="str">
            <v>Unknown</v>
          </cell>
        </row>
        <row r="472">
          <cell r="A472" t="str">
            <v>Unknown</v>
          </cell>
        </row>
        <row r="473">
          <cell r="A473" t="str">
            <v>Koenite</v>
          </cell>
        </row>
        <row r="474">
          <cell r="A474" t="str">
            <v>Oxide Cm</v>
          </cell>
        </row>
        <row r="475">
          <cell r="A475" t="str">
            <v>Trenton Fill Coat</v>
          </cell>
        </row>
        <row r="477">
          <cell r="A477" t="str">
            <v>Unknown</v>
          </cell>
        </row>
        <row r="478">
          <cell r="A478" t="str">
            <v>Link Seals</v>
          </cell>
        </row>
        <row r="479">
          <cell r="A479" t="str">
            <v>Rags and Tar</v>
          </cell>
        </row>
        <row r="480">
          <cell r="A480" t="str">
            <v>Banded Rubber</v>
          </cell>
        </row>
      </sheetData>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Column Definitions"/>
      <sheetName val="Instructions"/>
      <sheetName val="Changes"/>
      <sheetName val="Selections"/>
      <sheetName val="FVE Validation"/>
      <sheetName val="MAOP Report"/>
      <sheetName val="FVE Table"/>
      <sheetName val="Logic"/>
      <sheetName val="Resolution Doc"/>
    </sheetNames>
    <sheetDataSet>
      <sheetData sheetId="0" refreshError="1"/>
      <sheetData sheetId="1" refreshError="1"/>
      <sheetData sheetId="2">
        <row r="130">
          <cell r="A130" t="str">
            <v>Q1</v>
          </cell>
        </row>
        <row r="131">
          <cell r="A131" t="str">
            <v>Q2</v>
          </cell>
        </row>
        <row r="132">
          <cell r="A132" t="str">
            <v>Q3</v>
          </cell>
        </row>
        <row r="133">
          <cell r="A133" t="str">
            <v>Q4</v>
          </cell>
        </row>
        <row r="134">
          <cell r="A134" t="str">
            <v>Q5</v>
          </cell>
        </row>
        <row r="135">
          <cell r="A135" t="str">
            <v>Q6</v>
          </cell>
        </row>
        <row r="138">
          <cell r="A138" t="str">
            <v>Q1</v>
          </cell>
        </row>
        <row r="139">
          <cell r="A139" t="str">
            <v>Q2</v>
          </cell>
        </row>
        <row r="140">
          <cell r="A140" t="str">
            <v>Q3</v>
          </cell>
        </row>
        <row r="141">
          <cell r="A141" t="str">
            <v>Q4</v>
          </cell>
        </row>
        <row r="142">
          <cell r="A142" t="str">
            <v>Q5</v>
          </cell>
        </row>
        <row r="143">
          <cell r="A143" t="str">
            <v>Q6</v>
          </cell>
        </row>
        <row r="144">
          <cell r="A144" t="str">
            <v>Q7</v>
          </cell>
        </row>
        <row r="145">
          <cell r="A145" t="str">
            <v>Q8</v>
          </cell>
        </row>
        <row r="146">
          <cell r="A146" t="str">
            <v>Q9</v>
          </cell>
        </row>
        <row r="147">
          <cell r="A147" t="str">
            <v>Q10</v>
          </cell>
        </row>
        <row r="148">
          <cell r="A148" t="str">
            <v>Q11</v>
          </cell>
        </row>
      </sheetData>
      <sheetData sheetId="3" refreshError="1"/>
      <sheetData sheetId="4">
        <row r="3">
          <cell r="A3" t="str">
            <v>Yes</v>
          </cell>
        </row>
        <row r="4">
          <cell r="A4" t="str">
            <v>No</v>
          </cell>
        </row>
        <row r="5">
          <cell r="A5" t="str">
            <v>Unknown</v>
          </cell>
        </row>
        <row r="7">
          <cell r="A7">
            <v>1</v>
          </cell>
        </row>
        <row r="8">
          <cell r="A8" t="str">
            <v>1 in Station</v>
          </cell>
        </row>
        <row r="9">
          <cell r="A9" t="str">
            <v>1 in Public Road Crossing</v>
          </cell>
        </row>
        <row r="10">
          <cell r="A10" t="str">
            <v>1 in Hard Road Parallel</v>
          </cell>
        </row>
        <row r="11">
          <cell r="A11" t="str">
            <v>1 on Bridge</v>
          </cell>
        </row>
        <row r="12">
          <cell r="A12">
            <v>2</v>
          </cell>
        </row>
        <row r="13">
          <cell r="A13" t="str">
            <v>2 in Station</v>
          </cell>
        </row>
        <row r="14">
          <cell r="A14" t="str">
            <v>2 in Hard Road Crossing</v>
          </cell>
        </row>
        <row r="15">
          <cell r="A15">
            <v>3</v>
          </cell>
        </row>
        <row r="16">
          <cell r="A16" t="str">
            <v>3 in Station</v>
          </cell>
        </row>
        <row r="17">
          <cell r="A17" t="str">
            <v>3 in Hard Road Crossing</v>
          </cell>
        </row>
        <row r="18">
          <cell r="A18">
            <v>4</v>
          </cell>
        </row>
        <row r="19">
          <cell r="A19" t="str">
            <v>N/A</v>
          </cell>
        </row>
        <row r="21">
          <cell r="A21">
            <v>42</v>
          </cell>
        </row>
        <row r="22">
          <cell r="A22">
            <v>36</v>
          </cell>
        </row>
        <row r="23">
          <cell r="A23">
            <v>34.5</v>
          </cell>
        </row>
        <row r="24">
          <cell r="A24">
            <v>34</v>
          </cell>
        </row>
        <row r="25">
          <cell r="A25">
            <v>32</v>
          </cell>
        </row>
        <row r="26">
          <cell r="A26">
            <v>30</v>
          </cell>
        </row>
        <row r="27">
          <cell r="A27">
            <v>26</v>
          </cell>
        </row>
        <row r="28">
          <cell r="A28">
            <v>24</v>
          </cell>
        </row>
        <row r="29">
          <cell r="A29">
            <v>22</v>
          </cell>
        </row>
        <row r="30">
          <cell r="A30">
            <v>20</v>
          </cell>
        </row>
        <row r="31">
          <cell r="A31">
            <v>18</v>
          </cell>
        </row>
        <row r="32">
          <cell r="A32">
            <v>16</v>
          </cell>
        </row>
        <row r="33">
          <cell r="A33">
            <v>14</v>
          </cell>
        </row>
        <row r="34">
          <cell r="A34">
            <v>12.75</v>
          </cell>
        </row>
        <row r="35">
          <cell r="A35">
            <v>10.75</v>
          </cell>
        </row>
        <row r="36">
          <cell r="A36">
            <v>8.625</v>
          </cell>
        </row>
        <row r="37">
          <cell r="A37">
            <v>6.625</v>
          </cell>
        </row>
        <row r="38">
          <cell r="A38">
            <v>4.5</v>
          </cell>
        </row>
        <row r="39">
          <cell r="A39">
            <v>3.5</v>
          </cell>
        </row>
        <row r="40">
          <cell r="A40">
            <v>2.375</v>
          </cell>
        </row>
        <row r="41">
          <cell r="A41">
            <v>1.9</v>
          </cell>
        </row>
        <row r="42">
          <cell r="A42">
            <v>1.66</v>
          </cell>
        </row>
        <row r="43">
          <cell r="A43">
            <v>1.3149999999999999</v>
          </cell>
        </row>
        <row r="44">
          <cell r="A44">
            <v>1.05</v>
          </cell>
        </row>
        <row r="45">
          <cell r="A45">
            <v>0.84</v>
          </cell>
        </row>
        <row r="46">
          <cell r="A46">
            <v>0.5</v>
          </cell>
        </row>
        <row r="55">
          <cell r="A55" t="str">
            <v>Seamless</v>
          </cell>
        </row>
        <row r="56">
          <cell r="A56" t="str">
            <v>Single Submerged Arc Weld</v>
          </cell>
        </row>
        <row r="57">
          <cell r="A57" t="str">
            <v>Double Submerged Arc Weld</v>
          </cell>
        </row>
        <row r="58">
          <cell r="A58" t="str">
            <v xml:space="preserve">AO Smith </v>
          </cell>
        </row>
        <row r="59">
          <cell r="A59" t="str">
            <v>Electric Resistance Weld</v>
          </cell>
        </row>
        <row r="60">
          <cell r="A60" t="str">
            <v>Lap Weld</v>
          </cell>
        </row>
        <row r="61">
          <cell r="A61" t="str">
            <v>Electric Fusion Weld</v>
          </cell>
        </row>
        <row r="62">
          <cell r="A62" t="str">
            <v>Spiral Weld post 1966</v>
          </cell>
        </row>
        <row r="63">
          <cell r="A63" t="str">
            <v>Spiral Weld</v>
          </cell>
        </row>
        <row r="64">
          <cell r="A64" t="str">
            <v>Furnace Butt Weld</v>
          </cell>
        </row>
        <row r="65">
          <cell r="A65" t="str">
            <v>N/A - Valve/Filter/Other</v>
          </cell>
        </row>
        <row r="66">
          <cell r="A66" t="str">
            <v>Polyethylene Pipe</v>
          </cell>
        </row>
        <row r="67">
          <cell r="A67" t="str">
            <v>Sleeve</v>
          </cell>
        </row>
        <row r="68">
          <cell r="A68" t="str">
            <v>Unknown &gt; 4 inch</v>
          </cell>
        </row>
        <row r="69">
          <cell r="A69" t="str">
            <v>Unknown &gt; 4 - Modern</v>
          </cell>
        </row>
        <row r="70">
          <cell r="A70" t="str">
            <v>Unknown 4 inch or less</v>
          </cell>
        </row>
        <row r="72">
          <cell r="A72" t="str">
            <v>Bare</v>
          </cell>
        </row>
        <row r="73">
          <cell r="A73" t="str">
            <v>Tape</v>
          </cell>
        </row>
        <row r="74">
          <cell r="A74" t="str">
            <v>HAA</v>
          </cell>
        </row>
        <row r="75">
          <cell r="A75" t="str">
            <v>PC</v>
          </cell>
        </row>
        <row r="76">
          <cell r="A76" t="str">
            <v>PLC</v>
          </cell>
        </row>
        <row r="77">
          <cell r="A77" t="str">
            <v>Powercrete</v>
          </cell>
        </row>
        <row r="78">
          <cell r="A78" t="str">
            <v>Powercrete J</v>
          </cell>
        </row>
        <row r="79">
          <cell r="A79" t="str">
            <v>XTRUPL</v>
          </cell>
        </row>
        <row r="80">
          <cell r="A80" t="str">
            <v>FBE</v>
          </cell>
        </row>
        <row r="81">
          <cell r="A81" t="str">
            <v>SOMA</v>
          </cell>
        </row>
        <row r="82">
          <cell r="A82" t="str">
            <v>Wax Tape</v>
          </cell>
        </row>
        <row r="83">
          <cell r="A83" t="str">
            <v>Paint</v>
          </cell>
        </row>
        <row r="84">
          <cell r="A84" t="str">
            <v>Coal Tar</v>
          </cell>
        </row>
        <row r="85">
          <cell r="A85" t="str">
            <v>Protal</v>
          </cell>
        </row>
        <row r="86">
          <cell r="A86" t="str">
            <v>Devgrip</v>
          </cell>
        </row>
        <row r="87">
          <cell r="A87" t="str">
            <v>Mobilox</v>
          </cell>
        </row>
        <row r="88">
          <cell r="A88" t="str">
            <v>Other</v>
          </cell>
        </row>
        <row r="89">
          <cell r="A89" t="str">
            <v>Unknown</v>
          </cell>
        </row>
        <row r="147">
          <cell r="A147" t="str">
            <v>ANSI 150 #</v>
          </cell>
        </row>
        <row r="148">
          <cell r="A148" t="str">
            <v>ANSI 300 #</v>
          </cell>
        </row>
        <row r="149">
          <cell r="A149" t="str">
            <v>ANSI 400 #</v>
          </cell>
        </row>
        <row r="150">
          <cell r="A150" t="str">
            <v>ANSI 600 #</v>
          </cell>
        </row>
        <row r="151">
          <cell r="A151" t="str">
            <v>ANSI 900 #</v>
          </cell>
        </row>
        <row r="152">
          <cell r="A152" t="str">
            <v>ANSI 1500 #</v>
          </cell>
        </row>
        <row r="153">
          <cell r="A153" t="str">
            <v>ANSI 2500#</v>
          </cell>
        </row>
        <row r="154">
          <cell r="A154" t="str">
            <v>WOG 50#</v>
          </cell>
        </row>
        <row r="155">
          <cell r="A155" t="str">
            <v>WOG 100#</v>
          </cell>
        </row>
        <row r="156">
          <cell r="A156" t="str">
            <v>WOG 150#</v>
          </cell>
        </row>
        <row r="157">
          <cell r="A157" t="str">
            <v>WOG 200#</v>
          </cell>
        </row>
        <row r="158">
          <cell r="A158" t="str">
            <v>WOG 500#</v>
          </cell>
        </row>
        <row r="159">
          <cell r="A159" t="str">
            <v>WOG 600#</v>
          </cell>
        </row>
        <row r="160">
          <cell r="A160" t="str">
            <v>WOG 720#</v>
          </cell>
        </row>
        <row r="161">
          <cell r="A161" t="str">
            <v>WOG 800#</v>
          </cell>
        </row>
        <row r="162">
          <cell r="A162" t="str">
            <v>WOG 960#</v>
          </cell>
        </row>
        <row r="163">
          <cell r="A163" t="str">
            <v>WOG 1000#</v>
          </cell>
        </row>
        <row r="164">
          <cell r="A164" t="str">
            <v>WOG 1440#</v>
          </cell>
        </row>
        <row r="165">
          <cell r="A165" t="str">
            <v>WOG 1500#</v>
          </cell>
        </row>
        <row r="166">
          <cell r="A166" t="str">
            <v>WOG 2160#</v>
          </cell>
        </row>
        <row r="167">
          <cell r="A167" t="str">
            <v>WOG 2200#</v>
          </cell>
        </row>
        <row r="168">
          <cell r="A168" t="str">
            <v>WOG 3000#</v>
          </cell>
        </row>
        <row r="169">
          <cell r="A169" t="str">
            <v>Unknown</v>
          </cell>
        </row>
        <row r="192">
          <cell r="A192" t="str">
            <v>Pipe</v>
          </cell>
        </row>
        <row r="193">
          <cell r="A193" t="str">
            <v>Tap</v>
          </cell>
        </row>
        <row r="194">
          <cell r="A194" t="str">
            <v>Field Bend</v>
          </cell>
        </row>
        <row r="195">
          <cell r="A195" t="str">
            <v>Mfg Bend</v>
          </cell>
        </row>
        <row r="196">
          <cell r="A196" t="str">
            <v>Tee</v>
          </cell>
        </row>
        <row r="197">
          <cell r="A197" t="str">
            <v>Valve</v>
          </cell>
        </row>
        <row r="198">
          <cell r="A198" t="str">
            <v>Reducer</v>
          </cell>
        </row>
        <row r="199">
          <cell r="A199" t="str">
            <v>Sleeve</v>
          </cell>
        </row>
        <row r="200">
          <cell r="A200" t="str">
            <v>PCF</v>
          </cell>
        </row>
        <row r="201">
          <cell r="A201" t="str">
            <v>Flange</v>
          </cell>
        </row>
        <row r="202">
          <cell r="A202" t="str">
            <v>Appurtenance</v>
          </cell>
        </row>
        <row r="203">
          <cell r="A203" t="str">
            <v>Meter</v>
          </cell>
        </row>
        <row r="204">
          <cell r="A204" t="str">
            <v>Pig Trap</v>
          </cell>
        </row>
        <row r="205">
          <cell r="A205" t="str">
            <v>Regulator</v>
          </cell>
        </row>
        <row r="206">
          <cell r="A206" t="str">
            <v>Relief Valve</v>
          </cell>
        </row>
        <row r="207">
          <cell r="A207" t="str">
            <v>Cap</v>
          </cell>
        </row>
        <row r="208">
          <cell r="A208" t="str">
            <v>Other</v>
          </cell>
        </row>
        <row r="297">
          <cell r="A297">
            <v>24000</v>
          </cell>
        </row>
        <row r="298">
          <cell r="A298">
            <v>25000</v>
          </cell>
        </row>
        <row r="299">
          <cell r="A299">
            <v>28000</v>
          </cell>
        </row>
        <row r="300">
          <cell r="A300">
            <v>30000</v>
          </cell>
        </row>
        <row r="301">
          <cell r="A301">
            <v>32000</v>
          </cell>
        </row>
        <row r="302">
          <cell r="A302">
            <v>33000</v>
          </cell>
        </row>
        <row r="303">
          <cell r="A303">
            <v>35000</v>
          </cell>
        </row>
        <row r="304">
          <cell r="A304">
            <v>36000</v>
          </cell>
        </row>
        <row r="305">
          <cell r="A305">
            <v>38000</v>
          </cell>
        </row>
        <row r="306">
          <cell r="A306">
            <v>40000</v>
          </cell>
        </row>
        <row r="307">
          <cell r="A307">
            <v>42000</v>
          </cell>
        </row>
        <row r="308">
          <cell r="A308">
            <v>44000</v>
          </cell>
        </row>
        <row r="309">
          <cell r="A309">
            <v>45000</v>
          </cell>
        </row>
        <row r="310">
          <cell r="A310">
            <v>46000</v>
          </cell>
        </row>
        <row r="311">
          <cell r="A311">
            <v>48000</v>
          </cell>
        </row>
        <row r="312">
          <cell r="A312">
            <v>50000</v>
          </cell>
        </row>
        <row r="313">
          <cell r="A313">
            <v>52000</v>
          </cell>
        </row>
        <row r="314">
          <cell r="A314">
            <v>56000</v>
          </cell>
        </row>
        <row r="315">
          <cell r="A315">
            <v>57000</v>
          </cell>
        </row>
        <row r="316">
          <cell r="A316">
            <v>60000</v>
          </cell>
        </row>
        <row r="317">
          <cell r="A317">
            <v>65000</v>
          </cell>
        </row>
        <row r="318">
          <cell r="A318">
            <v>70000</v>
          </cell>
        </row>
        <row r="319">
          <cell r="A319">
            <v>75000</v>
          </cell>
        </row>
        <row r="320">
          <cell r="A320">
            <v>80000</v>
          </cell>
        </row>
        <row r="321">
          <cell r="A321" t="str">
            <v>Requires Research</v>
          </cell>
        </row>
        <row r="322">
          <cell r="A322" t="str">
            <v>Unknown</v>
          </cell>
        </row>
        <row r="324">
          <cell r="A324" t="str">
            <v xml:space="preserve">Steel </v>
          </cell>
        </row>
        <row r="325">
          <cell r="A325" t="str">
            <v>Bell Bell Chill Ring</v>
          </cell>
        </row>
        <row r="326">
          <cell r="A326" t="str">
            <v>Steel Bell Spigot</v>
          </cell>
        </row>
        <row r="327">
          <cell r="A327" t="str">
            <v>Ductile Iron</v>
          </cell>
        </row>
        <row r="328">
          <cell r="A328" t="str">
            <v>Unknown</v>
          </cell>
        </row>
        <row r="329">
          <cell r="A329" t="str">
            <v>Clay Tile</v>
          </cell>
        </row>
        <row r="330">
          <cell r="A330" t="str">
            <v>PVC</v>
          </cell>
        </row>
        <row r="331">
          <cell r="A331" t="str">
            <v>Poly</v>
          </cell>
        </row>
        <row r="332">
          <cell r="A332" t="str">
            <v>Concrete</v>
          </cell>
        </row>
        <row r="333">
          <cell r="A333" t="str">
            <v>Cast Iron</v>
          </cell>
        </row>
        <row r="334">
          <cell r="A334" t="str">
            <v>Plastic</v>
          </cell>
        </row>
        <row r="335">
          <cell r="A335" t="str">
            <v>Ribbed Polyethylene</v>
          </cell>
        </row>
        <row r="336">
          <cell r="A336" t="str">
            <v>Conduit</v>
          </cell>
        </row>
        <row r="337">
          <cell r="A337" t="str">
            <v>Transite</v>
          </cell>
        </row>
        <row r="338">
          <cell r="A338" t="str">
            <v>Galvanized</v>
          </cell>
        </row>
        <row r="339">
          <cell r="A339" t="str">
            <v>Fiber Optic</v>
          </cell>
        </row>
        <row r="340">
          <cell r="A340" t="str">
            <v>Copper</v>
          </cell>
        </row>
        <row r="341">
          <cell r="A341" t="str">
            <v>Requires Research</v>
          </cell>
        </row>
        <row r="359">
          <cell r="A359" t="str">
            <v>Hot</v>
          </cell>
        </row>
        <row r="360">
          <cell r="A360" t="str">
            <v>Cold</v>
          </cell>
        </row>
        <row r="361">
          <cell r="A361" t="str">
            <v>Unknown</v>
          </cell>
        </row>
        <row r="385">
          <cell r="A385" t="str">
            <v>Left</v>
          </cell>
        </row>
        <row r="386">
          <cell r="A386" t="str">
            <v>Right</v>
          </cell>
        </row>
        <row r="387">
          <cell r="A387" t="str">
            <v>Combo</v>
          </cell>
        </row>
        <row r="388">
          <cell r="A388" t="str">
            <v>Over Bend</v>
          </cell>
        </row>
        <row r="389">
          <cell r="A389" t="str">
            <v>Sag</v>
          </cell>
        </row>
        <row r="390">
          <cell r="A390" t="str">
            <v>Right Sag</v>
          </cell>
        </row>
        <row r="391">
          <cell r="A391" t="str">
            <v>Left Sag</v>
          </cell>
        </row>
        <row r="392">
          <cell r="A392" t="str">
            <v>Right Over bend</v>
          </cell>
        </row>
        <row r="393">
          <cell r="A393" t="str">
            <v>Left Over bend</v>
          </cell>
        </row>
        <row r="394">
          <cell r="A394" t="str">
            <v>Unknown</v>
          </cell>
        </row>
        <row r="403">
          <cell r="A403" t="str">
            <v>Manual</v>
          </cell>
        </row>
        <row r="404">
          <cell r="A404" t="str">
            <v>Gas Operator</v>
          </cell>
        </row>
        <row r="405">
          <cell r="A405" t="str">
            <v>Electric Operator</v>
          </cell>
        </row>
        <row r="406">
          <cell r="A406" t="str">
            <v>Unknown</v>
          </cell>
        </row>
        <row r="447">
          <cell r="A447" t="str">
            <v>Weld End - Arc Stick</v>
          </cell>
        </row>
        <row r="448">
          <cell r="A448" t="str">
            <v>Weld End - Oxy/Acetylene</v>
          </cell>
        </row>
        <row r="449">
          <cell r="A449" t="str">
            <v>Weld End - Submerged Arc</v>
          </cell>
        </row>
        <row r="450">
          <cell r="A450" t="str">
            <v>Weld End - MIG/GMAW</v>
          </cell>
        </row>
        <row r="451">
          <cell r="A451" t="str">
            <v>Weld End - Unknown</v>
          </cell>
        </row>
        <row r="452">
          <cell r="A452" t="str">
            <v>Flanged End</v>
          </cell>
        </row>
        <row r="453">
          <cell r="A453" t="str">
            <v>Screw End</v>
          </cell>
        </row>
        <row r="454">
          <cell r="A454" t="str">
            <v>Weld by Flange End</v>
          </cell>
        </row>
        <row r="455">
          <cell r="A455" t="str">
            <v>Weld by Screw End</v>
          </cell>
        </row>
        <row r="456">
          <cell r="A456" t="str">
            <v>Unknown</v>
          </cell>
        </row>
        <row r="481">
          <cell r="A481" t="str">
            <v>StrengthTest</v>
          </cell>
        </row>
        <row r="482">
          <cell r="A482" t="str">
            <v>LeakTest</v>
          </cell>
        </row>
        <row r="483">
          <cell r="A483" t="str">
            <v>Dynamic Test</v>
          </cell>
        </row>
        <row r="484">
          <cell r="A484" t="str">
            <v>PreTest</v>
          </cell>
        </row>
        <row r="485">
          <cell r="A485" t="str">
            <v>Uprate</v>
          </cell>
        </row>
        <row r="487">
          <cell r="A487" t="str">
            <v>Water</v>
          </cell>
        </row>
        <row r="488">
          <cell r="A488" t="str">
            <v>Nitrogen</v>
          </cell>
        </row>
        <row r="489">
          <cell r="A489" t="str">
            <v>Natural Gas</v>
          </cell>
        </row>
        <row r="490">
          <cell r="A490" t="str">
            <v>Other</v>
          </cell>
        </row>
        <row r="491">
          <cell r="A491" t="str">
            <v>Unknown</v>
          </cell>
        </row>
        <row r="508">
          <cell r="A508" t="str">
            <v>Steel Pipe</v>
          </cell>
        </row>
        <row r="509">
          <cell r="A509" t="str">
            <v>Bolted Steel</v>
          </cell>
        </row>
        <row r="510">
          <cell r="A510" t="str">
            <v>Corrugated Steel</v>
          </cell>
        </row>
        <row r="511">
          <cell r="A511" t="str">
            <v>2 half soles fused or welded</v>
          </cell>
        </row>
        <row r="512">
          <cell r="A512" t="str">
            <v>Nestable</v>
          </cell>
        </row>
        <row r="513">
          <cell r="A513" t="str">
            <v>Bolted</v>
          </cell>
        </row>
        <row r="514">
          <cell r="A514" t="str">
            <v>Corrugated</v>
          </cell>
        </row>
        <row r="515">
          <cell r="A515" t="str">
            <v>Concrete Encased</v>
          </cell>
        </row>
        <row r="516">
          <cell r="A516" t="str">
            <v>Plastic Encased</v>
          </cell>
        </row>
        <row r="517">
          <cell r="A517" t="str">
            <v>Other Encased</v>
          </cell>
        </row>
        <row r="518">
          <cell r="A518" t="str">
            <v>Other</v>
          </cell>
        </row>
        <row r="519">
          <cell r="A519" t="str">
            <v>Unknown</v>
          </cell>
        </row>
        <row r="521">
          <cell r="A521" t="str">
            <v>Unknown</v>
          </cell>
        </row>
        <row r="522">
          <cell r="A522" t="str">
            <v>Koenite</v>
          </cell>
        </row>
        <row r="523">
          <cell r="A523" t="str">
            <v>Oxide Cm</v>
          </cell>
        </row>
        <row r="524">
          <cell r="A524" t="str">
            <v>Trenton Fill Coat</v>
          </cell>
        </row>
        <row r="526">
          <cell r="A526" t="str">
            <v>Unknown</v>
          </cell>
        </row>
        <row r="527">
          <cell r="A527" t="str">
            <v>Link Seals</v>
          </cell>
        </row>
        <row r="528">
          <cell r="A528" t="str">
            <v>Rags and Tar</v>
          </cell>
        </row>
        <row r="529">
          <cell r="A529" t="str">
            <v>Banded Rubber</v>
          </cell>
        </row>
        <row r="552">
          <cell r="A552" t="str">
            <v>American</v>
          </cell>
        </row>
        <row r="553">
          <cell r="A553" t="str">
            <v>Berg Steel Pipe</v>
          </cell>
        </row>
        <row r="554">
          <cell r="A554" t="str">
            <v>Brooks Products</v>
          </cell>
        </row>
        <row r="555">
          <cell r="A555" t="str">
            <v>California Steel Ind.</v>
          </cell>
        </row>
        <row r="556">
          <cell r="A556" t="str">
            <v>Cameron</v>
          </cell>
        </row>
        <row r="557">
          <cell r="A557" t="str">
            <v>Carlon</v>
          </cell>
        </row>
        <row r="558">
          <cell r="A558" t="str">
            <v>Consolidated Western</v>
          </cell>
        </row>
        <row r="559">
          <cell r="A559" t="str">
            <v>Continental</v>
          </cell>
        </row>
        <row r="560">
          <cell r="A560" t="str">
            <v>Cooper Cameron</v>
          </cell>
        </row>
        <row r="561">
          <cell r="A561" t="str">
            <v>Dressor</v>
          </cell>
        </row>
        <row r="562">
          <cell r="A562" t="str">
            <v>Dressor Rand</v>
          </cell>
        </row>
        <row r="563">
          <cell r="A563" t="str">
            <v>Dura Bond</v>
          </cell>
        </row>
        <row r="564">
          <cell r="A564" t="str">
            <v>Fisher</v>
          </cell>
        </row>
        <row r="565">
          <cell r="A565" t="str">
            <v>Grove</v>
          </cell>
        </row>
        <row r="566">
          <cell r="A566" t="str">
            <v>Herning Underground</v>
          </cell>
        </row>
        <row r="567">
          <cell r="A567" t="str">
            <v>Ingersoll Rand</v>
          </cell>
        </row>
        <row r="568">
          <cell r="A568" t="str">
            <v>Innogaz</v>
          </cell>
        </row>
        <row r="569">
          <cell r="A569" t="str">
            <v>Kaiser</v>
          </cell>
        </row>
        <row r="570">
          <cell r="A570" t="str">
            <v>Kerotest</v>
          </cell>
        </row>
        <row r="571">
          <cell r="A571" t="str">
            <v>La Barge Pipe</v>
          </cell>
        </row>
        <row r="572">
          <cell r="A572" t="str">
            <v>Mooney</v>
          </cell>
        </row>
        <row r="573">
          <cell r="A573" t="str">
            <v>Mueller</v>
          </cell>
        </row>
        <row r="574">
          <cell r="A574" t="str">
            <v>National Tube</v>
          </cell>
        </row>
        <row r="575">
          <cell r="A575" t="str">
            <v>Nordstrom</v>
          </cell>
        </row>
        <row r="576">
          <cell r="A576" t="str">
            <v>Northwest Pipe</v>
          </cell>
        </row>
        <row r="577">
          <cell r="A577" t="str">
            <v>Pacific Pipe Co</v>
          </cell>
        </row>
        <row r="578">
          <cell r="A578" t="str">
            <v>Perfection</v>
          </cell>
        </row>
        <row r="579">
          <cell r="A579" t="str">
            <v>PW Pipe Co</v>
          </cell>
        </row>
        <row r="580">
          <cell r="A580" t="str">
            <v>Ridgeline Pipe</v>
          </cell>
        </row>
        <row r="581">
          <cell r="A581" t="str">
            <v>Romet Limited</v>
          </cell>
        </row>
        <row r="582">
          <cell r="A582" t="str">
            <v>Taylor Forge</v>
          </cell>
        </row>
        <row r="583">
          <cell r="A583" t="str">
            <v>TD Williamson</v>
          </cell>
        </row>
        <row r="584">
          <cell r="A584" t="str">
            <v>TK Associates</v>
          </cell>
        </row>
        <row r="585">
          <cell r="A585" t="str">
            <v>Tri-Pacific Supply</v>
          </cell>
        </row>
        <row r="586">
          <cell r="A586" t="str">
            <v>Tube Forgings</v>
          </cell>
        </row>
        <row r="587">
          <cell r="A587" t="str">
            <v>Tube Turn</v>
          </cell>
        </row>
        <row r="588">
          <cell r="A588" t="str">
            <v>Tubular Steel</v>
          </cell>
        </row>
        <row r="589">
          <cell r="A589" t="str">
            <v>US Steel</v>
          </cell>
        </row>
        <row r="590">
          <cell r="A590" t="str">
            <v>US Steel</v>
          </cell>
        </row>
        <row r="591">
          <cell r="A591" t="str">
            <v>USPoly Co</v>
          </cell>
        </row>
        <row r="592">
          <cell r="A592" t="str">
            <v>-Type Over Me-</v>
          </cell>
        </row>
        <row r="675">
          <cell r="A675" t="str">
            <v>0 percent</v>
          </cell>
        </row>
        <row r="676">
          <cell r="A676" t="str">
            <v>5  percent</v>
          </cell>
        </row>
        <row r="677">
          <cell r="A677" t="str">
            <v>10 percent</v>
          </cell>
        </row>
        <row r="678">
          <cell r="A678" t="str">
            <v>15 percent</v>
          </cell>
        </row>
        <row r="679">
          <cell r="A679" t="str">
            <v>20 percent</v>
          </cell>
        </row>
        <row r="680">
          <cell r="A680" t="str">
            <v>30 percent</v>
          </cell>
        </row>
        <row r="681">
          <cell r="A681" t="str">
            <v>40 percent</v>
          </cell>
        </row>
        <row r="682">
          <cell r="A682" t="str">
            <v>50 percent</v>
          </cell>
        </row>
        <row r="683">
          <cell r="A683" t="str">
            <v>80 percent</v>
          </cell>
        </row>
        <row r="684">
          <cell r="A684" t="str">
            <v>100 percent</v>
          </cell>
        </row>
        <row r="685">
          <cell r="A685" t="str">
            <v>Unknown</v>
          </cell>
        </row>
      </sheetData>
      <sheetData sheetId="5"/>
      <sheetData sheetId="6" refreshError="1"/>
      <sheetData sheetId="7" refreshError="1"/>
      <sheetData sheetId="8" refreshError="1"/>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Issues-Errors"/>
      <sheetName val="Tools"/>
      <sheetName val="CheckList"/>
      <sheetName val="Column Definitions"/>
      <sheetName val="Instructions"/>
      <sheetName val="Changes"/>
      <sheetName val="Selections"/>
      <sheetName val="Resolution Doc"/>
    </sheetNames>
    <sheetDataSet>
      <sheetData sheetId="0" refreshError="1"/>
      <sheetData sheetId="1"/>
      <sheetData sheetId="2" refreshError="1"/>
      <sheetData sheetId="3" refreshError="1"/>
      <sheetData sheetId="4" refreshError="1"/>
      <sheetData sheetId="5">
        <row r="133">
          <cell r="A133" t="str">
            <v>Q1</v>
          </cell>
        </row>
        <row r="134">
          <cell r="A134" t="str">
            <v>Q2</v>
          </cell>
        </row>
        <row r="135">
          <cell r="A135" t="str">
            <v>Q3</v>
          </cell>
        </row>
        <row r="136">
          <cell r="A136" t="str">
            <v>Q4</v>
          </cell>
        </row>
        <row r="137">
          <cell r="A137" t="str">
            <v>Q5</v>
          </cell>
        </row>
        <row r="138">
          <cell r="A138" t="str">
            <v>Q6</v>
          </cell>
        </row>
        <row r="139">
          <cell r="A139" t="str">
            <v>Q7</v>
          </cell>
        </row>
        <row r="142">
          <cell r="A142" t="str">
            <v>Q1</v>
          </cell>
        </row>
        <row r="143">
          <cell r="A143" t="str">
            <v>Q2</v>
          </cell>
        </row>
        <row r="144">
          <cell r="A144" t="str">
            <v>Q3</v>
          </cell>
        </row>
        <row r="145">
          <cell r="A145" t="str">
            <v>Q4</v>
          </cell>
        </row>
        <row r="146">
          <cell r="A146" t="str">
            <v>Q5</v>
          </cell>
        </row>
        <row r="147">
          <cell r="A147" t="str">
            <v>Q6</v>
          </cell>
        </row>
        <row r="148">
          <cell r="A148" t="str">
            <v>Q7</v>
          </cell>
        </row>
        <row r="149">
          <cell r="A149" t="str">
            <v>Q8</v>
          </cell>
        </row>
        <row r="150">
          <cell r="A150" t="str">
            <v>Q9</v>
          </cell>
        </row>
        <row r="151">
          <cell r="A151" t="str">
            <v>Q10</v>
          </cell>
        </row>
        <row r="152">
          <cell r="A152" t="str">
            <v>Q11</v>
          </cell>
        </row>
        <row r="153">
          <cell r="A153" t="str">
            <v>Q12</v>
          </cell>
        </row>
        <row r="154">
          <cell r="A154" t="str">
            <v>Q13</v>
          </cell>
        </row>
        <row r="173">
          <cell r="A173" t="str">
            <v>Information</v>
          </cell>
        </row>
        <row r="174">
          <cell r="A174" t="str">
            <v>Error_Not_Technical</v>
          </cell>
        </row>
        <row r="175">
          <cell r="A175" t="str">
            <v>Error_Feature</v>
          </cell>
        </row>
        <row r="176">
          <cell r="A176" t="str">
            <v>Error_Value</v>
          </cell>
        </row>
        <row r="177">
          <cell r="A177" t="str">
            <v>Error_Other</v>
          </cell>
        </row>
        <row r="251">
          <cell r="A251" t="str">
            <v>Data Retrieval</v>
          </cell>
        </row>
        <row r="252">
          <cell r="A252" t="str">
            <v>PFL Build</v>
          </cell>
        </row>
        <row r="253">
          <cell r="A253" t="str">
            <v>PFL Internal QC</v>
          </cell>
        </row>
        <row r="254">
          <cell r="A254" t="str">
            <v>PFL Internal QC2</v>
          </cell>
        </row>
        <row r="255">
          <cell r="A255" t="str">
            <v>Quality Control</v>
          </cell>
        </row>
        <row r="256">
          <cell r="A256" t="str">
            <v>Field Validation</v>
          </cell>
        </row>
        <row r="257">
          <cell r="A257" t="str">
            <v>MAOP Report</v>
          </cell>
        </row>
      </sheetData>
      <sheetData sheetId="6" refreshError="1"/>
      <sheetData sheetId="7">
        <row r="3">
          <cell r="A3" t="str">
            <v>Yes</v>
          </cell>
        </row>
        <row r="4">
          <cell r="A4" t="str">
            <v>No</v>
          </cell>
        </row>
        <row r="5">
          <cell r="A5" t="str">
            <v>Unknown</v>
          </cell>
        </row>
        <row r="7">
          <cell r="A7">
            <v>1</v>
          </cell>
        </row>
        <row r="8">
          <cell r="A8" t="str">
            <v>1 in Station</v>
          </cell>
        </row>
        <row r="9">
          <cell r="A9" t="str">
            <v>1 in Public Road Crossing</v>
          </cell>
        </row>
        <row r="10">
          <cell r="A10" t="str">
            <v>1 in Hard Road Parallel</v>
          </cell>
        </row>
        <row r="11">
          <cell r="A11" t="str">
            <v>1 on Bridge</v>
          </cell>
        </row>
        <row r="12">
          <cell r="A12">
            <v>2</v>
          </cell>
        </row>
        <row r="13">
          <cell r="A13" t="str">
            <v>2 in Station</v>
          </cell>
        </row>
        <row r="14">
          <cell r="A14" t="str">
            <v>2 in Hard Road Crossing</v>
          </cell>
        </row>
        <row r="15">
          <cell r="A15">
            <v>3</v>
          </cell>
        </row>
        <row r="16">
          <cell r="A16" t="str">
            <v>3 in Station</v>
          </cell>
        </row>
        <row r="17">
          <cell r="A17" t="str">
            <v>3 in Hard Road Crossing</v>
          </cell>
        </row>
        <row r="18">
          <cell r="A18">
            <v>4</v>
          </cell>
        </row>
        <row r="19">
          <cell r="A19" t="str">
            <v>N/A</v>
          </cell>
        </row>
        <row r="21">
          <cell r="A21">
            <v>42</v>
          </cell>
        </row>
        <row r="22">
          <cell r="A22">
            <v>40</v>
          </cell>
        </row>
        <row r="23">
          <cell r="A23">
            <v>36</v>
          </cell>
        </row>
        <row r="24">
          <cell r="A24">
            <v>34.5</v>
          </cell>
        </row>
        <row r="25">
          <cell r="A25">
            <v>34</v>
          </cell>
        </row>
        <row r="26">
          <cell r="A26">
            <v>32</v>
          </cell>
        </row>
        <row r="27">
          <cell r="A27">
            <v>30.5</v>
          </cell>
        </row>
        <row r="28">
          <cell r="A28">
            <v>30</v>
          </cell>
        </row>
        <row r="29">
          <cell r="A29">
            <v>26</v>
          </cell>
        </row>
        <row r="30">
          <cell r="A30">
            <v>24</v>
          </cell>
        </row>
        <row r="31">
          <cell r="A31">
            <v>22</v>
          </cell>
        </row>
        <row r="32">
          <cell r="A32">
            <v>20</v>
          </cell>
        </row>
        <row r="33">
          <cell r="A33">
            <v>18</v>
          </cell>
        </row>
        <row r="34">
          <cell r="A34">
            <v>16</v>
          </cell>
        </row>
        <row r="35">
          <cell r="A35">
            <v>14</v>
          </cell>
        </row>
        <row r="36">
          <cell r="A36">
            <v>12.75</v>
          </cell>
        </row>
        <row r="37">
          <cell r="A37">
            <v>10.75</v>
          </cell>
        </row>
        <row r="38">
          <cell r="A38">
            <v>8.625</v>
          </cell>
        </row>
        <row r="39">
          <cell r="A39">
            <v>6.625</v>
          </cell>
        </row>
        <row r="40">
          <cell r="A40">
            <v>4.5</v>
          </cell>
        </row>
        <row r="41">
          <cell r="A41">
            <v>3.5</v>
          </cell>
        </row>
        <row r="42">
          <cell r="A42">
            <v>2.375</v>
          </cell>
        </row>
        <row r="43">
          <cell r="A43">
            <v>1.9</v>
          </cell>
        </row>
        <row r="44">
          <cell r="A44">
            <v>1.66</v>
          </cell>
        </row>
        <row r="45">
          <cell r="A45">
            <v>1.3149999999999999</v>
          </cell>
        </row>
        <row r="46">
          <cell r="A46">
            <v>1.05</v>
          </cell>
        </row>
        <row r="47">
          <cell r="A47">
            <v>0.84</v>
          </cell>
        </row>
        <row r="48">
          <cell r="A48">
            <v>0.5</v>
          </cell>
        </row>
        <row r="57">
          <cell r="A57" t="str">
            <v>Seamless</v>
          </cell>
        </row>
        <row r="58">
          <cell r="A58" t="str">
            <v>Single Submerged Arc Weld</v>
          </cell>
        </row>
        <row r="59">
          <cell r="A59" t="str">
            <v>Double Submerged Arc Weld</v>
          </cell>
        </row>
        <row r="60">
          <cell r="A60" t="str">
            <v>AO Smith</v>
          </cell>
        </row>
        <row r="61">
          <cell r="A61" t="str">
            <v>Electric Resistance Weld</v>
          </cell>
        </row>
        <row r="62">
          <cell r="A62" t="str">
            <v>Lap Weld</v>
          </cell>
        </row>
        <row r="63">
          <cell r="A63" t="str">
            <v>Electric Fusion Weld</v>
          </cell>
        </row>
        <row r="64">
          <cell r="A64" t="str">
            <v>Spiral Weld post 1966</v>
          </cell>
        </row>
        <row r="65">
          <cell r="A65" t="str">
            <v>Spiral Weld</v>
          </cell>
        </row>
        <row r="66">
          <cell r="A66" t="str">
            <v>Furnace Butt Weld</v>
          </cell>
        </row>
        <row r="67">
          <cell r="A67" t="str">
            <v>N/A - Valve/Filter/Other</v>
          </cell>
        </row>
        <row r="68">
          <cell r="A68" t="str">
            <v>Polyethylene Pipe</v>
          </cell>
        </row>
        <row r="69">
          <cell r="A69" t="str">
            <v>Sleeve</v>
          </cell>
        </row>
        <row r="70">
          <cell r="A70" t="str">
            <v>Special 0.95</v>
          </cell>
        </row>
        <row r="71">
          <cell r="A71" t="str">
            <v>Special 0.90</v>
          </cell>
        </row>
        <row r="72">
          <cell r="A72" t="str">
            <v>Special 0.85</v>
          </cell>
        </row>
        <row r="73">
          <cell r="A73" t="str">
            <v>Unknown &gt; 4 inch</v>
          </cell>
        </row>
        <row r="74">
          <cell r="A74" t="str">
            <v>Unknown &gt; 4 - Modern</v>
          </cell>
        </row>
        <row r="75">
          <cell r="A75" t="str">
            <v>Unknown 4 inch or less</v>
          </cell>
        </row>
        <row r="77">
          <cell r="A77" t="str">
            <v>Bare</v>
          </cell>
        </row>
        <row r="78">
          <cell r="A78" t="str">
            <v>Tape</v>
          </cell>
        </row>
        <row r="79">
          <cell r="A79" t="str">
            <v>HAA</v>
          </cell>
        </row>
        <row r="80">
          <cell r="A80" t="str">
            <v>PC</v>
          </cell>
        </row>
        <row r="81">
          <cell r="A81" t="str">
            <v>PLC</v>
          </cell>
        </row>
        <row r="82">
          <cell r="A82" t="str">
            <v>Powercrete</v>
          </cell>
        </row>
        <row r="83">
          <cell r="A83" t="str">
            <v>Powercrete J</v>
          </cell>
        </row>
        <row r="84">
          <cell r="A84" t="str">
            <v>XTRUPL</v>
          </cell>
        </row>
        <row r="85">
          <cell r="A85" t="str">
            <v>FBE</v>
          </cell>
        </row>
        <row r="86">
          <cell r="A86" t="str">
            <v>SOMA</v>
          </cell>
        </row>
        <row r="87">
          <cell r="A87" t="str">
            <v>Wax Tape</v>
          </cell>
        </row>
        <row r="88">
          <cell r="A88" t="str">
            <v>Paint</v>
          </cell>
        </row>
        <row r="89">
          <cell r="A89" t="str">
            <v>Coal Tar</v>
          </cell>
        </row>
        <row r="90">
          <cell r="A90" t="str">
            <v>Protal</v>
          </cell>
        </row>
        <row r="91">
          <cell r="A91" t="str">
            <v>Devgrip</v>
          </cell>
        </row>
        <row r="92">
          <cell r="A92" t="str">
            <v>Mobilox</v>
          </cell>
        </row>
        <row r="93">
          <cell r="A93" t="str">
            <v>Other</v>
          </cell>
        </row>
        <row r="94">
          <cell r="A94" t="str">
            <v>Unknown</v>
          </cell>
        </row>
        <row r="153">
          <cell r="A153" t="str">
            <v>ANSI 150 #</v>
          </cell>
        </row>
        <row r="154">
          <cell r="A154" t="str">
            <v>ANSI 300 #</v>
          </cell>
        </row>
        <row r="155">
          <cell r="A155" t="str">
            <v>ANSI 400 #</v>
          </cell>
        </row>
        <row r="156">
          <cell r="A156" t="str">
            <v>ANSI 600 #</v>
          </cell>
        </row>
        <row r="157">
          <cell r="A157" t="str">
            <v>ANSI 900 #</v>
          </cell>
        </row>
        <row r="158">
          <cell r="A158" t="str">
            <v>ANSI 1500 #</v>
          </cell>
        </row>
        <row r="159">
          <cell r="A159" t="str">
            <v>ANSI 2500#</v>
          </cell>
        </row>
        <row r="160">
          <cell r="A160" t="str">
            <v>WOG 50#</v>
          </cell>
        </row>
        <row r="161">
          <cell r="A161" t="str">
            <v>WOG 100#</v>
          </cell>
        </row>
        <row r="162">
          <cell r="A162" t="str">
            <v>WOG 150#</v>
          </cell>
        </row>
        <row r="163">
          <cell r="A163" t="str">
            <v>WOG 200#</v>
          </cell>
        </row>
        <row r="164">
          <cell r="A164" t="str">
            <v>WOG 500#</v>
          </cell>
        </row>
        <row r="165">
          <cell r="A165" t="str">
            <v>WOG 600#</v>
          </cell>
        </row>
        <row r="166">
          <cell r="A166" t="str">
            <v>WOG 720#</v>
          </cell>
        </row>
        <row r="167">
          <cell r="A167" t="str">
            <v>WOG 800#</v>
          </cell>
        </row>
        <row r="168">
          <cell r="A168" t="str">
            <v>WOG 960#</v>
          </cell>
        </row>
        <row r="169">
          <cell r="A169" t="str">
            <v>WOG 1000#</v>
          </cell>
        </row>
        <row r="170">
          <cell r="A170" t="str">
            <v>WOG 1440#</v>
          </cell>
        </row>
        <row r="171">
          <cell r="A171" t="str">
            <v>WOG 1500#</v>
          </cell>
        </row>
        <row r="172">
          <cell r="A172" t="str">
            <v>WOG 2160#</v>
          </cell>
        </row>
        <row r="173">
          <cell r="A173" t="str">
            <v>WOG 2200#</v>
          </cell>
        </row>
        <row r="174">
          <cell r="A174" t="str">
            <v>WOG 3000#</v>
          </cell>
        </row>
        <row r="175">
          <cell r="A175" t="str">
            <v>WOG 6000#</v>
          </cell>
        </row>
        <row r="176">
          <cell r="A176" t="str">
            <v>Unknown</v>
          </cell>
        </row>
        <row r="218">
          <cell r="A218" t="str">
            <v>Pipe</v>
          </cell>
        </row>
        <row r="219">
          <cell r="A219" t="str">
            <v>Tap</v>
          </cell>
        </row>
        <row r="220">
          <cell r="A220" t="str">
            <v>Field Bend</v>
          </cell>
        </row>
        <row r="221">
          <cell r="A221" t="str">
            <v>Mfg Bend</v>
          </cell>
        </row>
        <row r="222">
          <cell r="A222" t="str">
            <v>Tee</v>
          </cell>
        </row>
        <row r="223">
          <cell r="A223" t="str">
            <v>Valve</v>
          </cell>
        </row>
        <row r="224">
          <cell r="A224" t="str">
            <v>Reducer</v>
          </cell>
        </row>
        <row r="225">
          <cell r="A225" t="str">
            <v>Sleeve</v>
          </cell>
        </row>
        <row r="226">
          <cell r="A226" t="str">
            <v>PCF</v>
          </cell>
        </row>
        <row r="227">
          <cell r="A227" t="str">
            <v>Flange</v>
          </cell>
        </row>
        <row r="228">
          <cell r="A228" t="str">
            <v>Appurtenance</v>
          </cell>
        </row>
        <row r="229">
          <cell r="A229" t="str">
            <v>Meter</v>
          </cell>
        </row>
        <row r="230">
          <cell r="A230" t="str">
            <v>Pig Trap</v>
          </cell>
        </row>
        <row r="231">
          <cell r="A231" t="str">
            <v>Regulator</v>
          </cell>
        </row>
        <row r="232">
          <cell r="A232" t="str">
            <v>Relief Valve</v>
          </cell>
        </row>
        <row r="233">
          <cell r="A233" t="str">
            <v>FarmTapRegSet</v>
          </cell>
        </row>
        <row r="234">
          <cell r="A234" t="str">
            <v>Cap</v>
          </cell>
        </row>
        <row r="235">
          <cell r="A235" t="str">
            <v>Other</v>
          </cell>
        </row>
        <row r="336">
          <cell r="A336">
            <v>24000</v>
          </cell>
        </row>
        <row r="337">
          <cell r="A337">
            <v>25000</v>
          </cell>
        </row>
        <row r="338">
          <cell r="A338">
            <v>28000</v>
          </cell>
        </row>
        <row r="339">
          <cell r="A339">
            <v>30000</v>
          </cell>
        </row>
        <row r="340">
          <cell r="A340">
            <v>32000</v>
          </cell>
        </row>
        <row r="341">
          <cell r="A341">
            <v>33000</v>
          </cell>
        </row>
        <row r="342">
          <cell r="A342">
            <v>35000</v>
          </cell>
        </row>
        <row r="343">
          <cell r="A343">
            <v>36000</v>
          </cell>
        </row>
        <row r="344">
          <cell r="A344">
            <v>38000</v>
          </cell>
        </row>
        <row r="345">
          <cell r="A345">
            <v>40000</v>
          </cell>
        </row>
        <row r="346">
          <cell r="A346">
            <v>42000</v>
          </cell>
        </row>
        <row r="347">
          <cell r="A347">
            <v>44000</v>
          </cell>
        </row>
        <row r="348">
          <cell r="A348">
            <v>45000</v>
          </cell>
        </row>
        <row r="349">
          <cell r="A349">
            <v>46000</v>
          </cell>
        </row>
        <row r="350">
          <cell r="A350">
            <v>48000</v>
          </cell>
        </row>
        <row r="351">
          <cell r="A351">
            <v>50000</v>
          </cell>
        </row>
        <row r="352">
          <cell r="A352">
            <v>52000</v>
          </cell>
        </row>
        <row r="353">
          <cell r="A353">
            <v>56000</v>
          </cell>
        </row>
        <row r="354">
          <cell r="A354">
            <v>57000</v>
          </cell>
        </row>
        <row r="355">
          <cell r="A355">
            <v>60000</v>
          </cell>
        </row>
        <row r="356">
          <cell r="A356">
            <v>65000</v>
          </cell>
        </row>
        <row r="357">
          <cell r="A357">
            <v>70000</v>
          </cell>
        </row>
        <row r="358">
          <cell r="A358">
            <v>75000</v>
          </cell>
        </row>
        <row r="359">
          <cell r="A359">
            <v>80000</v>
          </cell>
        </row>
        <row r="360">
          <cell r="A360" t="str">
            <v>Requires Research</v>
          </cell>
        </row>
        <row r="361">
          <cell r="A361" t="str">
            <v>Unknown</v>
          </cell>
        </row>
        <row r="363">
          <cell r="A363" t="str">
            <v>Steel</v>
          </cell>
        </row>
        <row r="364">
          <cell r="A364" t="str">
            <v>Bell Bell Chill Ring</v>
          </cell>
        </row>
        <row r="365">
          <cell r="A365" t="str">
            <v>Steel Bell Spigot</v>
          </cell>
        </row>
        <row r="366">
          <cell r="A366" t="str">
            <v>Ductile Iron</v>
          </cell>
        </row>
        <row r="367">
          <cell r="A367" t="str">
            <v>Unknown</v>
          </cell>
        </row>
        <row r="368">
          <cell r="A368" t="str">
            <v>Clay Tile</v>
          </cell>
        </row>
        <row r="369">
          <cell r="A369" t="str">
            <v>PVC</v>
          </cell>
        </row>
        <row r="370">
          <cell r="A370" t="str">
            <v>Poly</v>
          </cell>
        </row>
        <row r="371">
          <cell r="A371" t="str">
            <v>Concrete</v>
          </cell>
        </row>
        <row r="372">
          <cell r="A372" t="str">
            <v>Cast Iron</v>
          </cell>
        </row>
        <row r="373">
          <cell r="A373" t="str">
            <v>Plastic</v>
          </cell>
        </row>
        <row r="374">
          <cell r="A374" t="str">
            <v>Ribbed Polyethylene</v>
          </cell>
        </row>
        <row r="375">
          <cell r="A375" t="str">
            <v>Conduit</v>
          </cell>
        </row>
        <row r="376">
          <cell r="A376" t="str">
            <v>Transite</v>
          </cell>
        </row>
        <row r="377">
          <cell r="A377" t="str">
            <v>Galvanized</v>
          </cell>
        </row>
        <row r="378">
          <cell r="A378" t="str">
            <v>Fiber Optic</v>
          </cell>
        </row>
        <row r="379">
          <cell r="A379" t="str">
            <v>Copper</v>
          </cell>
        </row>
        <row r="380">
          <cell r="A380" t="str">
            <v>Requires Research</v>
          </cell>
        </row>
        <row r="398">
          <cell r="A398" t="str">
            <v>Hot</v>
          </cell>
        </row>
        <row r="399">
          <cell r="A399" t="str">
            <v>Cold</v>
          </cell>
        </row>
        <row r="400">
          <cell r="A400" t="str">
            <v>Unknown</v>
          </cell>
        </row>
        <row r="424">
          <cell r="A424" t="str">
            <v>Left</v>
          </cell>
        </row>
        <row r="425">
          <cell r="A425" t="str">
            <v>Right</v>
          </cell>
        </row>
        <row r="426">
          <cell r="A426" t="str">
            <v>Combo</v>
          </cell>
        </row>
        <row r="427">
          <cell r="A427" t="str">
            <v>Over Bend</v>
          </cell>
        </row>
        <row r="428">
          <cell r="A428" t="str">
            <v>Sag</v>
          </cell>
        </row>
        <row r="429">
          <cell r="A429" t="str">
            <v>Right Sag</v>
          </cell>
        </row>
        <row r="430">
          <cell r="A430" t="str">
            <v>Left Sag</v>
          </cell>
        </row>
        <row r="431">
          <cell r="A431" t="str">
            <v>Right Over bend</v>
          </cell>
        </row>
        <row r="432">
          <cell r="A432" t="str">
            <v>Left Over bend</v>
          </cell>
        </row>
        <row r="433">
          <cell r="A433" t="str">
            <v>Unknown</v>
          </cell>
        </row>
        <row r="442">
          <cell r="A442" t="str">
            <v>Manual</v>
          </cell>
        </row>
        <row r="443">
          <cell r="A443" t="str">
            <v>Gas Operator</v>
          </cell>
        </row>
        <row r="444">
          <cell r="A444" t="str">
            <v>Electric Operator</v>
          </cell>
        </row>
        <row r="445">
          <cell r="A445" t="str">
            <v>Unknown</v>
          </cell>
        </row>
        <row r="486">
          <cell r="A486" t="str">
            <v>Weld End - Arc Stick</v>
          </cell>
        </row>
        <row r="487">
          <cell r="A487" t="str">
            <v>Weld End - Oxy/Acetylene</v>
          </cell>
        </row>
        <row r="488">
          <cell r="A488" t="str">
            <v>Weld End - Submerged Arc</v>
          </cell>
        </row>
        <row r="489">
          <cell r="A489" t="str">
            <v>Weld End - MIG/GMAW</v>
          </cell>
        </row>
        <row r="490">
          <cell r="A490" t="str">
            <v>Weld End - Unknown</v>
          </cell>
        </row>
        <row r="491">
          <cell r="A491" t="str">
            <v>Flanged End</v>
          </cell>
        </row>
        <row r="492">
          <cell r="A492" t="str">
            <v>Screw End</v>
          </cell>
        </row>
        <row r="493">
          <cell r="A493" t="str">
            <v>Weld by Flange End</v>
          </cell>
        </row>
        <row r="494">
          <cell r="A494" t="str">
            <v>Weld by Screw End</v>
          </cell>
        </row>
        <row r="495">
          <cell r="A495" t="str">
            <v>Steel by Plastic Transition</v>
          </cell>
        </row>
        <row r="496">
          <cell r="A496" t="str">
            <v>Flangeless Flat End</v>
          </cell>
        </row>
        <row r="497">
          <cell r="A497" t="str">
            <v>Unknown</v>
          </cell>
        </row>
        <row r="525">
          <cell r="A525" t="str">
            <v>StrengthTest</v>
          </cell>
        </row>
        <row r="526">
          <cell r="A526" t="str">
            <v>LeakTest</v>
          </cell>
        </row>
        <row r="527">
          <cell r="A527" t="str">
            <v>Dynamic Test</v>
          </cell>
        </row>
        <row r="528">
          <cell r="A528" t="str">
            <v>PreTest</v>
          </cell>
        </row>
        <row r="529">
          <cell r="A529" t="str">
            <v>Uprate</v>
          </cell>
        </row>
        <row r="531">
          <cell r="A531" t="str">
            <v>Water</v>
          </cell>
        </row>
        <row r="532">
          <cell r="A532" t="str">
            <v>Nitrogen</v>
          </cell>
        </row>
        <row r="533">
          <cell r="A533" t="str">
            <v>Natural Gas</v>
          </cell>
        </row>
        <row r="534">
          <cell r="A534" t="str">
            <v>Other</v>
          </cell>
        </row>
        <row r="535">
          <cell r="A535" t="str">
            <v>Unknown</v>
          </cell>
        </row>
        <row r="552">
          <cell r="A552" t="str">
            <v>Steel Pipe</v>
          </cell>
        </row>
        <row r="553">
          <cell r="A553" t="str">
            <v>Bolted Steel</v>
          </cell>
        </row>
        <row r="554">
          <cell r="A554" t="str">
            <v>Corrugated Steel</v>
          </cell>
        </row>
        <row r="555">
          <cell r="A555" t="str">
            <v>2 half soles fused or welded</v>
          </cell>
        </row>
        <row r="556">
          <cell r="A556" t="str">
            <v>Nestable</v>
          </cell>
        </row>
        <row r="557">
          <cell r="A557" t="str">
            <v>Bolted</v>
          </cell>
        </row>
        <row r="558">
          <cell r="A558" t="str">
            <v>Corrugated</v>
          </cell>
        </row>
        <row r="559">
          <cell r="A559" t="str">
            <v>Concrete Encased</v>
          </cell>
        </row>
        <row r="560">
          <cell r="A560" t="str">
            <v>Plastic Encased</v>
          </cell>
        </row>
        <row r="561">
          <cell r="A561" t="str">
            <v>Other Encased</v>
          </cell>
        </row>
        <row r="562">
          <cell r="A562" t="str">
            <v>Other</v>
          </cell>
        </row>
        <row r="563">
          <cell r="A563" t="str">
            <v>Unknown</v>
          </cell>
        </row>
        <row r="565">
          <cell r="A565" t="str">
            <v>Unknown</v>
          </cell>
        </row>
        <row r="566">
          <cell r="A566" t="str">
            <v>Koenite</v>
          </cell>
        </row>
        <row r="567">
          <cell r="A567" t="str">
            <v>Oxide Cm</v>
          </cell>
        </row>
        <row r="568">
          <cell r="A568" t="str">
            <v>Trenton Fill Coat</v>
          </cell>
        </row>
        <row r="570">
          <cell r="A570" t="str">
            <v>Unknown</v>
          </cell>
        </row>
        <row r="571">
          <cell r="A571" t="str">
            <v>Link Seals</v>
          </cell>
        </row>
        <row r="572">
          <cell r="A572" t="str">
            <v>Rags and Tar</v>
          </cell>
        </row>
        <row r="573">
          <cell r="A573" t="str">
            <v>Banded Rubber</v>
          </cell>
        </row>
        <row r="602">
          <cell r="A602" t="str">
            <v>A&amp;G</v>
          </cell>
        </row>
        <row r="603">
          <cell r="A603" t="str">
            <v>A.J. Glesener Co, Inc.</v>
          </cell>
        </row>
        <row r="604">
          <cell r="A604" t="str">
            <v>A.O.Smith Corp.</v>
          </cell>
        </row>
        <row r="605">
          <cell r="A605" t="str">
            <v>AGCO</v>
          </cell>
        </row>
        <row r="606">
          <cell r="A606" t="str">
            <v>Allied Supply</v>
          </cell>
        </row>
        <row r="607">
          <cell r="A607" t="str">
            <v>American Straight Pattern</v>
          </cell>
        </row>
        <row r="608">
          <cell r="A608" t="str">
            <v>American</v>
          </cell>
        </row>
        <row r="609">
          <cell r="A609" t="str">
            <v>Anderson Greenwood</v>
          </cell>
        </row>
        <row r="610">
          <cell r="A610" t="str">
            <v>Apollo</v>
          </cell>
        </row>
        <row r="611">
          <cell r="A611" t="str">
            <v>Berg Steel Pipe</v>
          </cell>
        </row>
        <row r="612">
          <cell r="A612" t="str">
            <v>Bonny Forge</v>
          </cell>
        </row>
        <row r="613">
          <cell r="A613" t="str">
            <v>Brooks Products</v>
          </cell>
        </row>
        <row r="614">
          <cell r="A614" t="str">
            <v>C.S. James</v>
          </cell>
        </row>
        <row r="615">
          <cell r="A615" t="str">
            <v>California Corrugated Culvert</v>
          </cell>
        </row>
        <row r="616">
          <cell r="A616" t="str">
            <v>California Steel Ind.</v>
          </cell>
        </row>
        <row r="617">
          <cell r="A617" t="str">
            <v>Caltrol</v>
          </cell>
        </row>
        <row r="618">
          <cell r="A618" t="str">
            <v>Cameron</v>
          </cell>
        </row>
        <row r="619">
          <cell r="A619" t="str">
            <v>Capital Machine &amp; Welding</v>
          </cell>
        </row>
        <row r="620">
          <cell r="A620" t="str">
            <v>Carlon</v>
          </cell>
        </row>
        <row r="621">
          <cell r="A621" t="str">
            <v>Chapman</v>
          </cell>
        </row>
        <row r="622">
          <cell r="A622" t="str">
            <v>Chas. S. James Company</v>
          </cell>
        </row>
        <row r="623">
          <cell r="A623" t="str">
            <v>Columbia Steel Co</v>
          </cell>
        </row>
        <row r="624">
          <cell r="A624" t="str">
            <v>Connersville</v>
          </cell>
        </row>
        <row r="625">
          <cell r="A625" t="str">
            <v>Consler</v>
          </cell>
        </row>
        <row r="626">
          <cell r="A626" t="str">
            <v>Consolidated Western</v>
          </cell>
        </row>
        <row r="627">
          <cell r="A627" t="str">
            <v>Continental</v>
          </cell>
        </row>
        <row r="628">
          <cell r="A628" t="str">
            <v>Cooper Cameron</v>
          </cell>
        </row>
        <row r="629">
          <cell r="A629" t="str">
            <v>Crane</v>
          </cell>
        </row>
        <row r="630">
          <cell r="A630" t="str">
            <v>CSI</v>
          </cell>
        </row>
        <row r="631">
          <cell r="A631" t="str">
            <v>Daniel Orifice Fitting Co</v>
          </cell>
        </row>
        <row r="632">
          <cell r="A632" t="str">
            <v>Dollinger</v>
          </cell>
        </row>
        <row r="633">
          <cell r="A633" t="str">
            <v>Dynamic Products</v>
          </cell>
        </row>
        <row r="634">
          <cell r="A634" t="str">
            <v>Dressor</v>
          </cell>
        </row>
        <row r="635">
          <cell r="A635" t="str">
            <v>Dressor Rand</v>
          </cell>
        </row>
        <row r="636">
          <cell r="A636" t="str">
            <v>Dura Bond</v>
          </cell>
        </row>
        <row r="637">
          <cell r="A637" t="str">
            <v>ElectroStop</v>
          </cell>
        </row>
        <row r="638">
          <cell r="A638" t="str">
            <v>Elster America Meter</v>
          </cell>
        </row>
        <row r="639">
          <cell r="A639" t="str">
            <v>Emco</v>
          </cell>
        </row>
        <row r="640">
          <cell r="A640" t="str">
            <v>Farwest Corrosion</v>
          </cell>
        </row>
        <row r="641">
          <cell r="A641" t="str">
            <v>FilterFab</v>
          </cell>
        </row>
        <row r="642">
          <cell r="A642" t="str">
            <v>Fisher</v>
          </cell>
        </row>
        <row r="643">
          <cell r="A643" t="str">
            <v>Gilmore Steel</v>
          </cell>
        </row>
        <row r="644">
          <cell r="A644" t="str">
            <v>Grinnell Company</v>
          </cell>
        </row>
        <row r="645">
          <cell r="A645" t="str">
            <v>Grove</v>
          </cell>
        </row>
        <row r="646">
          <cell r="A646" t="str">
            <v>Herning Underground</v>
          </cell>
        </row>
        <row r="647">
          <cell r="A647" t="str">
            <v>Huber Yale</v>
          </cell>
        </row>
        <row r="648">
          <cell r="A648" t="str">
            <v>Independent Iron Works</v>
          </cell>
        </row>
        <row r="649">
          <cell r="A649" t="str">
            <v>Instromet</v>
          </cell>
        </row>
        <row r="650">
          <cell r="A650" t="str">
            <v>Ingersoll Rand</v>
          </cell>
        </row>
        <row r="651">
          <cell r="A651" t="str">
            <v>Innogaz</v>
          </cell>
        </row>
        <row r="652">
          <cell r="A652" t="str">
            <v>ITT Grinnell Corp</v>
          </cell>
        </row>
        <row r="653">
          <cell r="A653" t="str">
            <v>Kaiser</v>
          </cell>
        </row>
        <row r="654">
          <cell r="A654" t="str">
            <v>Kerotest</v>
          </cell>
        </row>
        <row r="655">
          <cell r="A655" t="str">
            <v>Key Pipe and Supply</v>
          </cell>
        </row>
        <row r="656">
          <cell r="A656" t="str">
            <v>La Barge Pipe</v>
          </cell>
        </row>
        <row r="657">
          <cell r="A657" t="str">
            <v>Ladish</v>
          </cell>
        </row>
        <row r="658">
          <cell r="A658" t="str">
            <v>Link Seal</v>
          </cell>
        </row>
        <row r="659">
          <cell r="A659" t="str">
            <v>Maloney</v>
          </cell>
        </row>
        <row r="660">
          <cell r="A660" t="str">
            <v>Marpac</v>
          </cell>
        </row>
        <row r="661">
          <cell r="A661" t="str">
            <v>Merco Nordstrom</v>
          </cell>
        </row>
        <row r="662">
          <cell r="A662" t="str">
            <v>Mercor</v>
          </cell>
        </row>
        <row r="663">
          <cell r="A663" t="str">
            <v>Mooney</v>
          </cell>
        </row>
        <row r="664">
          <cell r="A664" t="str">
            <v>Mueller</v>
          </cell>
        </row>
        <row r="665">
          <cell r="A665" t="str">
            <v>Multiturn</v>
          </cell>
        </row>
        <row r="666">
          <cell r="A666" t="str">
            <v>Napa Pipe</v>
          </cell>
        </row>
        <row r="667">
          <cell r="A667" t="str">
            <v>National Tube</v>
          </cell>
        </row>
        <row r="668">
          <cell r="A668" t="str">
            <v>Nordstrom</v>
          </cell>
        </row>
        <row r="669">
          <cell r="A669" t="str">
            <v>Northwest Pipe</v>
          </cell>
        </row>
        <row r="670">
          <cell r="A670" t="str">
            <v>Orbit</v>
          </cell>
        </row>
        <row r="671">
          <cell r="A671" t="str">
            <v>Pacific Pipe Co</v>
          </cell>
        </row>
        <row r="672">
          <cell r="A672" t="str">
            <v>PBV</v>
          </cell>
        </row>
        <row r="673">
          <cell r="A673" t="str">
            <v>Powell</v>
          </cell>
        </row>
        <row r="674">
          <cell r="A674" t="str">
            <v>PSI</v>
          </cell>
        </row>
        <row r="675">
          <cell r="A675" t="str">
            <v>Perfection</v>
          </cell>
        </row>
        <row r="676">
          <cell r="A676" t="str">
            <v>PW Pipe Co</v>
          </cell>
        </row>
        <row r="677">
          <cell r="A677" t="str">
            <v>Reliance</v>
          </cell>
        </row>
        <row r="678">
          <cell r="A678" t="str">
            <v>Ridgeline Pipe</v>
          </cell>
        </row>
        <row r="679">
          <cell r="A679" t="str">
            <v>RMC</v>
          </cell>
        </row>
        <row r="680">
          <cell r="A680" t="str">
            <v>Robinson</v>
          </cell>
        </row>
        <row r="681">
          <cell r="A681" t="str">
            <v>Rockwell</v>
          </cell>
        </row>
        <row r="682">
          <cell r="A682" t="str">
            <v>Roots</v>
          </cell>
        </row>
        <row r="683">
          <cell r="A683" t="str">
            <v>Romet Limited</v>
          </cell>
        </row>
        <row r="684">
          <cell r="A684" t="str">
            <v>Rosemount</v>
          </cell>
        </row>
        <row r="685">
          <cell r="A685" t="str">
            <v>Safeco</v>
          </cell>
        </row>
        <row r="686">
          <cell r="A686" t="str">
            <v>Security Valve Corp</v>
          </cell>
        </row>
        <row r="687">
          <cell r="A687" t="str">
            <v>Siemens</v>
          </cell>
        </row>
        <row r="688">
          <cell r="A688" t="str">
            <v>Singer</v>
          </cell>
        </row>
        <row r="689">
          <cell r="A689" t="str">
            <v>Southwest Welding &amp; Manufacture</v>
          </cell>
        </row>
        <row r="690">
          <cell r="A690" t="str">
            <v>Tay Holbrook</v>
          </cell>
        </row>
        <row r="691">
          <cell r="A691" t="str">
            <v>Taylor Forge</v>
          </cell>
        </row>
        <row r="692">
          <cell r="A692" t="str">
            <v>TD Williamson</v>
          </cell>
        </row>
        <row r="693">
          <cell r="A693" t="str">
            <v>TK Valves</v>
          </cell>
        </row>
        <row r="694">
          <cell r="A694" t="str">
            <v>Tom Wheatley</v>
          </cell>
        </row>
        <row r="695">
          <cell r="A695" t="str">
            <v>Tri-Pacific Supply</v>
          </cell>
        </row>
        <row r="696">
          <cell r="A696" t="str">
            <v>Tube Forgings</v>
          </cell>
        </row>
        <row r="697">
          <cell r="A697" t="str">
            <v>Tube Turn</v>
          </cell>
        </row>
        <row r="698">
          <cell r="A698" t="str">
            <v>Tubular Steel</v>
          </cell>
        </row>
        <row r="699">
          <cell r="A699" t="str">
            <v>Unibolt</v>
          </cell>
        </row>
        <row r="700">
          <cell r="A700" t="str">
            <v>Union</v>
          </cell>
        </row>
        <row r="701">
          <cell r="A701" t="str">
            <v>US Steel</v>
          </cell>
        </row>
        <row r="702">
          <cell r="A702" t="str">
            <v>USA, Inc</v>
          </cell>
        </row>
        <row r="703">
          <cell r="A703" t="str">
            <v>USS</v>
          </cell>
        </row>
        <row r="704">
          <cell r="A704" t="str">
            <v>US Poly</v>
          </cell>
        </row>
        <row r="705">
          <cell r="A705" t="str">
            <v>Van Stone</v>
          </cell>
        </row>
        <row r="706">
          <cell r="A706" t="str">
            <v>Venturi</v>
          </cell>
        </row>
        <row r="707">
          <cell r="A707" t="str">
            <v>Walworth</v>
          </cell>
        </row>
        <row r="708">
          <cell r="A708" t="str">
            <v>WE Energy</v>
          </cell>
        </row>
        <row r="709">
          <cell r="A709" t="str">
            <v>Western Pipe &amp; Steel</v>
          </cell>
        </row>
        <row r="710">
          <cell r="A710" t="str">
            <v>Western Piping &amp; Engr</v>
          </cell>
        </row>
        <row r="711">
          <cell r="A711" t="str">
            <v>WKM</v>
          </cell>
        </row>
        <row r="712">
          <cell r="A712" t="str">
            <v>Youngstown</v>
          </cell>
        </row>
        <row r="713">
          <cell r="A713" t="str">
            <v>Yuba City Steel</v>
          </cell>
        </row>
        <row r="714">
          <cell r="A714" t="str">
            <v>Ziefle</v>
          </cell>
        </row>
        <row r="715">
          <cell r="A715" t="str">
            <v>-Type Over Me-</v>
          </cell>
        </row>
        <row r="737">
          <cell r="A737" t="str">
            <v>C&amp;C</v>
          </cell>
        </row>
        <row r="738">
          <cell r="A738" t="str">
            <v>EN</v>
          </cell>
        </row>
        <row r="739">
          <cell r="A739" t="str">
            <v>Gulf</v>
          </cell>
        </row>
        <row r="740">
          <cell r="A740" t="str">
            <v>G2</v>
          </cell>
        </row>
        <row r="741">
          <cell r="A741" t="str">
            <v>Harris</v>
          </cell>
        </row>
        <row r="742">
          <cell r="A742" t="str">
            <v>Mustang</v>
          </cell>
        </row>
        <row r="743">
          <cell r="A743" t="str">
            <v>PG&amp;E</v>
          </cell>
        </row>
        <row r="744">
          <cell r="A744" t="str">
            <v>URS</v>
          </cell>
        </row>
        <row r="747">
          <cell r="A747" t="str">
            <v>C&amp;C</v>
          </cell>
        </row>
        <row r="748">
          <cell r="A748" t="str">
            <v>EN</v>
          </cell>
        </row>
        <row r="749">
          <cell r="A749" t="str">
            <v>Gulf</v>
          </cell>
        </row>
        <row r="750">
          <cell r="A750" t="str">
            <v>G2</v>
          </cell>
        </row>
        <row r="751">
          <cell r="A751" t="str">
            <v>Harris</v>
          </cell>
        </row>
        <row r="752">
          <cell r="A752" t="str">
            <v>Mustang</v>
          </cell>
        </row>
        <row r="753">
          <cell r="A753" t="str">
            <v>PG&amp;E Build</v>
          </cell>
        </row>
        <row r="754">
          <cell r="A754" t="str">
            <v>PG&amp;E QC</v>
          </cell>
        </row>
        <row r="755">
          <cell r="A755" t="str">
            <v>PG&amp;E Field Verify</v>
          </cell>
        </row>
        <row r="756">
          <cell r="A756" t="str">
            <v>PG&amp;E MAOP Rpt</v>
          </cell>
        </row>
        <row r="757">
          <cell r="A757" t="str">
            <v>URS</v>
          </cell>
        </row>
        <row r="790">
          <cell r="A790" t="str">
            <v>DREG</v>
          </cell>
        </row>
        <row r="791">
          <cell r="A791" t="str">
            <v>DCUST</v>
          </cell>
        </row>
        <row r="792">
          <cell r="A792" t="str">
            <v>GCUST</v>
          </cell>
        </row>
        <row r="793">
          <cell r="A793" t="str">
            <v>STUB</v>
          </cell>
        </row>
        <row r="794">
          <cell r="A794" t="str">
            <v>DRIP</v>
          </cell>
        </row>
        <row r="795">
          <cell r="A795" t="str">
            <v>BD</v>
          </cell>
        </row>
        <row r="798">
          <cell r="A798" t="str">
            <v>0 percent</v>
          </cell>
        </row>
        <row r="799">
          <cell r="A799" t="str">
            <v>5  percent</v>
          </cell>
        </row>
        <row r="800">
          <cell r="A800" t="str">
            <v>10 percent</v>
          </cell>
        </row>
        <row r="801">
          <cell r="A801" t="str">
            <v>15 percent</v>
          </cell>
        </row>
        <row r="802">
          <cell r="A802" t="str">
            <v>20 percent</v>
          </cell>
        </row>
        <row r="803">
          <cell r="A803" t="str">
            <v>30 percent</v>
          </cell>
        </row>
        <row r="804">
          <cell r="A804" t="str">
            <v>40 percent</v>
          </cell>
        </row>
        <row r="805">
          <cell r="A805" t="str">
            <v>50 percent</v>
          </cell>
        </row>
        <row r="806">
          <cell r="A806" t="str">
            <v>80 percent</v>
          </cell>
        </row>
        <row r="807">
          <cell r="A807" t="str">
            <v>100 percent</v>
          </cell>
        </row>
        <row r="808">
          <cell r="A808" t="str">
            <v>Unknown</v>
          </cell>
        </row>
        <row r="810">
          <cell r="A810" t="str">
            <v>Gary Collins</v>
          </cell>
        </row>
        <row r="811">
          <cell r="A811" t="str">
            <v>Phil Ornelas</v>
          </cell>
        </row>
        <row r="812">
          <cell r="A812" t="str">
            <v>Joel Mannie</v>
          </cell>
        </row>
        <row r="813">
          <cell r="A813" t="str">
            <v>Clem Holst</v>
          </cell>
        </row>
        <row r="814">
          <cell r="A814" t="str">
            <v>Tom Copriviza</v>
          </cell>
        </row>
        <row r="815">
          <cell r="A815" t="str">
            <v>Lisa Moreno</v>
          </cell>
        </row>
        <row r="816">
          <cell r="A816" t="str">
            <v>Shane Doong</v>
          </cell>
        </row>
        <row r="817">
          <cell r="A817" t="str">
            <v>Jason Bruni</v>
          </cell>
        </row>
        <row r="818">
          <cell r="A818" t="str">
            <v>Pat Wilhoit</v>
          </cell>
        </row>
        <row r="819">
          <cell r="A819" t="str">
            <v>Joey Mathews</v>
          </cell>
        </row>
        <row r="820">
          <cell r="A820" t="str">
            <v>Mike Hernandez</v>
          </cell>
        </row>
        <row r="821">
          <cell r="A821" t="str">
            <v>Timothy Mcknight</v>
          </cell>
        </row>
        <row r="822">
          <cell r="A822" t="str">
            <v>Perry Johnson</v>
          </cell>
        </row>
        <row r="823">
          <cell r="A823" t="str">
            <v>Tom Van Boxtel</v>
          </cell>
        </row>
        <row r="824">
          <cell r="A824" t="str">
            <v>Randy Mclain</v>
          </cell>
        </row>
      </sheetData>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Logic"/>
      <sheetName val="Tbl2 PipeYSCurrentLogic"/>
      <sheetName val="Tbl1 PipeSeamCurrentLogic"/>
      <sheetName val="Tbl2 PipeYSCurrentLogic_Mas"/>
      <sheetName val="Tbl3 PipeWTCurrentLogic_Mas"/>
      <sheetName val="Tbl3 PipeWTCurrentLogic"/>
      <sheetName val="Tbl2 DATA"/>
      <sheetName val="Pipe Data"/>
      <sheetName val="Column Definitions"/>
      <sheetName val="Instructions"/>
      <sheetName val="Changes"/>
      <sheetName val="Selections"/>
      <sheetName val="FVE Table"/>
      <sheetName val="tmp_PipeCalc"/>
      <sheetName val="MAOP Report"/>
      <sheetName val="MAOP Final Report"/>
      <sheetName val="tmp_TestPressureDividedByClass"/>
      <sheetName val="tmp_FeatureMAOP"/>
      <sheetName val="tmp_PivotTable"/>
      <sheetName val="Summary Report"/>
    </sheetNames>
    <sheetDataSet>
      <sheetData sheetId="0"/>
      <sheetData sheetId="1"/>
      <sheetData sheetId="2"/>
      <sheetData sheetId="3"/>
      <sheetData sheetId="4"/>
      <sheetData sheetId="5"/>
      <sheetData sheetId="6"/>
      <sheetData sheetId="7"/>
      <sheetData sheetId="8"/>
      <sheetData sheetId="9"/>
      <sheetData sheetId="10"/>
      <sheetData sheetId="11">
        <row r="5">
          <cell r="A5" t="str">
            <v>Yes</v>
          </cell>
        </row>
        <row r="6">
          <cell r="A6" t="str">
            <v>No</v>
          </cell>
        </row>
        <row r="7">
          <cell r="A7" t="str">
            <v>Unknown</v>
          </cell>
        </row>
        <row r="59">
          <cell r="A59">
            <v>42</v>
          </cell>
        </row>
        <row r="60">
          <cell r="A60">
            <v>36</v>
          </cell>
        </row>
        <row r="61">
          <cell r="A61">
            <v>34.5</v>
          </cell>
        </row>
        <row r="62">
          <cell r="A62">
            <v>34</v>
          </cell>
        </row>
        <row r="63">
          <cell r="A63">
            <v>32</v>
          </cell>
        </row>
        <row r="64">
          <cell r="A64">
            <v>30</v>
          </cell>
        </row>
        <row r="65">
          <cell r="A65">
            <v>26</v>
          </cell>
        </row>
        <row r="66">
          <cell r="A66">
            <v>24</v>
          </cell>
        </row>
        <row r="67">
          <cell r="A67">
            <v>22</v>
          </cell>
        </row>
        <row r="68">
          <cell r="A68">
            <v>20</v>
          </cell>
        </row>
        <row r="69">
          <cell r="A69">
            <v>18</v>
          </cell>
        </row>
        <row r="70">
          <cell r="A70">
            <v>16</v>
          </cell>
        </row>
        <row r="71">
          <cell r="A71">
            <v>14</v>
          </cell>
        </row>
        <row r="72">
          <cell r="A72">
            <v>12.75</v>
          </cell>
        </row>
        <row r="73">
          <cell r="A73">
            <v>10.75</v>
          </cell>
        </row>
        <row r="74">
          <cell r="A74">
            <v>8.625</v>
          </cell>
        </row>
        <row r="75">
          <cell r="A75">
            <v>6.625</v>
          </cell>
        </row>
        <row r="76">
          <cell r="A76">
            <v>4.5</v>
          </cell>
        </row>
        <row r="77">
          <cell r="A77">
            <v>3.5</v>
          </cell>
        </row>
        <row r="78">
          <cell r="A78">
            <v>2.375</v>
          </cell>
        </row>
        <row r="79">
          <cell r="A79">
            <v>1.5</v>
          </cell>
        </row>
        <row r="80">
          <cell r="A80">
            <v>1.25</v>
          </cell>
        </row>
        <row r="81">
          <cell r="A81">
            <v>1</v>
          </cell>
        </row>
        <row r="82">
          <cell r="A82">
            <v>0.75</v>
          </cell>
        </row>
        <row r="83">
          <cell r="A83">
            <v>0.5</v>
          </cell>
        </row>
        <row r="84">
          <cell r="A84">
            <v>0.25</v>
          </cell>
        </row>
        <row r="158">
          <cell r="A158" t="str">
            <v>Seamless</v>
          </cell>
        </row>
        <row r="159">
          <cell r="A159" t="str">
            <v>SSAW</v>
          </cell>
        </row>
        <row r="160">
          <cell r="A160" t="str">
            <v>DSAW</v>
          </cell>
        </row>
        <row r="161">
          <cell r="A161" t="str">
            <v xml:space="preserve">AO Smith </v>
          </cell>
        </row>
        <row r="162">
          <cell r="A162" t="str">
            <v>ERW</v>
          </cell>
        </row>
        <row r="163">
          <cell r="A163" t="str">
            <v>Lap Weld</v>
          </cell>
        </row>
        <row r="164">
          <cell r="A164" t="str">
            <v>Electric Fusion Welded</v>
          </cell>
        </row>
        <row r="165">
          <cell r="A165" t="str">
            <v>Spiral Weld</v>
          </cell>
        </row>
        <row r="166">
          <cell r="A166" t="str">
            <v>Furnace Butt Weld</v>
          </cell>
        </row>
        <row r="167">
          <cell r="A167" t="str">
            <v>Valve - N/A</v>
          </cell>
        </row>
        <row r="168">
          <cell r="A168" t="str">
            <v>Polyethylene Pipe</v>
          </cell>
        </row>
        <row r="169">
          <cell r="A169" t="str">
            <v>Unknown &gt; 4 inch</v>
          </cell>
        </row>
        <row r="170">
          <cell r="A170" t="str">
            <v>Unknown 4 inch or less</v>
          </cell>
        </row>
        <row r="172">
          <cell r="A172" t="str">
            <v>Bare</v>
          </cell>
        </row>
        <row r="173">
          <cell r="A173" t="str">
            <v>Tape</v>
          </cell>
        </row>
        <row r="174">
          <cell r="A174" t="str">
            <v>HAA</v>
          </cell>
        </row>
        <row r="175">
          <cell r="A175" t="str">
            <v>PC</v>
          </cell>
        </row>
        <row r="176">
          <cell r="A176" t="str">
            <v>Powercrete</v>
          </cell>
        </row>
        <row r="177">
          <cell r="A177" t="str">
            <v>Powercrete J</v>
          </cell>
        </row>
        <row r="178">
          <cell r="A178" t="str">
            <v>XTRUPL</v>
          </cell>
        </row>
        <row r="179">
          <cell r="A179" t="str">
            <v>FBE</v>
          </cell>
        </row>
        <row r="180">
          <cell r="A180" t="str">
            <v>SOMA</v>
          </cell>
        </row>
        <row r="181">
          <cell r="A181" t="str">
            <v>Wax Tape</v>
          </cell>
        </row>
        <row r="182">
          <cell r="A182" t="str">
            <v>Paint</v>
          </cell>
        </row>
        <row r="183">
          <cell r="A183" t="str">
            <v>Coal Tar</v>
          </cell>
        </row>
        <row r="184">
          <cell r="A184" t="str">
            <v>Protal</v>
          </cell>
        </row>
        <row r="185">
          <cell r="A185" t="str">
            <v>Devgrip</v>
          </cell>
        </row>
        <row r="186">
          <cell r="A186" t="str">
            <v>Mobilox</v>
          </cell>
        </row>
        <row r="187">
          <cell r="A187" t="str">
            <v>Other</v>
          </cell>
        </row>
        <row r="188">
          <cell r="A188" t="str">
            <v>Unknown</v>
          </cell>
        </row>
        <row r="190">
          <cell r="A190" t="str">
            <v>Type A</v>
          </cell>
        </row>
        <row r="191">
          <cell r="A191" t="str">
            <v>Type B</v>
          </cell>
        </row>
        <row r="192">
          <cell r="A192" t="str">
            <v>Clockspring</v>
          </cell>
        </row>
        <row r="193">
          <cell r="A193" t="str">
            <v>Aqua Wrap</v>
          </cell>
        </row>
        <row r="194">
          <cell r="A194" t="str">
            <v>Half Sleeve</v>
          </cell>
        </row>
        <row r="195">
          <cell r="A195" t="str">
            <v>Patch</v>
          </cell>
        </row>
        <row r="196">
          <cell r="A196" t="str">
            <v xml:space="preserve">Collar </v>
          </cell>
        </row>
        <row r="197">
          <cell r="A197" t="str">
            <v>Other</v>
          </cell>
        </row>
        <row r="198">
          <cell r="A198" t="str">
            <v>Unknown</v>
          </cell>
        </row>
        <row r="200">
          <cell r="A200" t="str">
            <v>ASTM A-516, Grade 70</v>
          </cell>
        </row>
        <row r="201">
          <cell r="A201" t="str">
            <v>ASTM A-212 Grade B</v>
          </cell>
        </row>
        <row r="202">
          <cell r="A202" t="str">
            <v>ASTM A-242</v>
          </cell>
        </row>
        <row r="203">
          <cell r="A203" t="str">
            <v>ASTM A-572</v>
          </cell>
        </row>
        <row r="204">
          <cell r="A204" t="str">
            <v>API 5L X 60</v>
          </cell>
        </row>
        <row r="205">
          <cell r="A205" t="str">
            <v>ASTM A-633</v>
          </cell>
        </row>
        <row r="206">
          <cell r="A206" t="str">
            <v>Grade E</v>
          </cell>
        </row>
        <row r="207">
          <cell r="A207" t="str">
            <v>API 5L X 65</v>
          </cell>
        </row>
        <row r="208">
          <cell r="A208" t="str">
            <v>API 5L X 70</v>
          </cell>
        </row>
        <row r="209">
          <cell r="A209" t="str">
            <v>Tri-Ten</v>
          </cell>
        </row>
        <row r="210">
          <cell r="A210" t="str">
            <v>KaisAloy 50MV</v>
          </cell>
        </row>
        <row r="211">
          <cell r="A211" t="str">
            <v>Research Required</v>
          </cell>
        </row>
        <row r="212">
          <cell r="A212" t="str">
            <v>Unknown</v>
          </cell>
        </row>
        <row r="296">
          <cell r="A296" t="str">
            <v>Conc.-Std</v>
          </cell>
        </row>
        <row r="297">
          <cell r="A297" t="str">
            <v>Conc.-Ven</v>
          </cell>
        </row>
        <row r="298">
          <cell r="A298" t="str">
            <v>ECC-Std</v>
          </cell>
        </row>
        <row r="299">
          <cell r="A299" t="str">
            <v>ECC-Ven</v>
          </cell>
        </row>
        <row r="300">
          <cell r="A300" t="str">
            <v>Other</v>
          </cell>
        </row>
        <row r="301">
          <cell r="A301" t="str">
            <v>Unknown</v>
          </cell>
        </row>
        <row r="384">
          <cell r="A384" t="str">
            <v>ANSI 150 #</v>
          </cell>
        </row>
        <row r="385">
          <cell r="A385" t="str">
            <v>ANSI 300 #</v>
          </cell>
        </row>
        <row r="386">
          <cell r="A386" t="str">
            <v>ANSI 400 #</v>
          </cell>
        </row>
        <row r="387">
          <cell r="A387" t="str">
            <v>ANSI 600 #</v>
          </cell>
        </row>
        <row r="388">
          <cell r="A388" t="str">
            <v>ANSI 900 #</v>
          </cell>
        </row>
        <row r="389">
          <cell r="A389" t="str">
            <v>ANSI 1500 #</v>
          </cell>
        </row>
        <row r="390">
          <cell r="A390" t="str">
            <v>ANSI 2500#</v>
          </cell>
        </row>
        <row r="391">
          <cell r="A391" t="str">
            <v>WOG 50#</v>
          </cell>
        </row>
        <row r="392">
          <cell r="A392" t="str">
            <v>WOG 100#</v>
          </cell>
        </row>
        <row r="393">
          <cell r="A393" t="str">
            <v>WOG 150#</v>
          </cell>
        </row>
        <row r="394">
          <cell r="A394" t="str">
            <v>WOG 200#</v>
          </cell>
        </row>
        <row r="395">
          <cell r="A395" t="str">
            <v>WOG 500#</v>
          </cell>
        </row>
        <row r="396">
          <cell r="A396" t="str">
            <v>WOG 600#</v>
          </cell>
        </row>
        <row r="397">
          <cell r="A397" t="str">
            <v>WOG 720#</v>
          </cell>
        </row>
        <row r="398">
          <cell r="A398" t="str">
            <v>WOG 800#</v>
          </cell>
        </row>
        <row r="399">
          <cell r="A399" t="str">
            <v>WOG 960#</v>
          </cell>
        </row>
        <row r="400">
          <cell r="A400" t="str">
            <v>WOG 1000#</v>
          </cell>
        </row>
        <row r="401">
          <cell r="A401" t="str">
            <v>WOG 1440#</v>
          </cell>
        </row>
        <row r="402">
          <cell r="A402" t="str">
            <v>WOG 1500#</v>
          </cell>
        </row>
        <row r="403">
          <cell r="A403" t="str">
            <v>WOG 2160#</v>
          </cell>
        </row>
        <row r="404">
          <cell r="A404" t="str">
            <v>WOG 2200#</v>
          </cell>
        </row>
        <row r="405">
          <cell r="A405" t="str">
            <v>WOG 3000#</v>
          </cell>
        </row>
        <row r="406">
          <cell r="A406" t="str">
            <v>Unknown</v>
          </cell>
        </row>
        <row r="408">
          <cell r="A408" t="str">
            <v>Straight Tee</v>
          </cell>
        </row>
        <row r="409">
          <cell r="A409" t="str">
            <v>Reinforced Tee</v>
          </cell>
        </row>
        <row r="410">
          <cell r="A410" t="str">
            <v>Reducing Tee</v>
          </cell>
        </row>
        <row r="411">
          <cell r="A411" t="str">
            <v>Other</v>
          </cell>
        </row>
        <row r="412">
          <cell r="A412" t="str">
            <v>Unknown</v>
          </cell>
        </row>
        <row r="416">
          <cell r="A416" t="str">
            <v>Unknown</v>
          </cell>
        </row>
        <row r="417">
          <cell r="A417" t="str">
            <v>Turbine</v>
          </cell>
        </row>
        <row r="418">
          <cell r="A418" t="str">
            <v>Insertion Turbine</v>
          </cell>
        </row>
        <row r="419">
          <cell r="A419" t="str">
            <v>Sonic</v>
          </cell>
        </row>
        <row r="420">
          <cell r="A420" t="str">
            <v>Micrometer</v>
          </cell>
        </row>
        <row r="421">
          <cell r="A421" t="str">
            <v>Rotary</v>
          </cell>
        </row>
        <row r="422">
          <cell r="A422" t="str">
            <v>Diaphragm</v>
          </cell>
        </row>
        <row r="423">
          <cell r="A423" t="str">
            <v>Orifice</v>
          </cell>
        </row>
        <row r="425">
          <cell r="A425" t="str">
            <v>Pipe</v>
          </cell>
        </row>
        <row r="426">
          <cell r="A426" t="str">
            <v>Tap</v>
          </cell>
        </row>
        <row r="427">
          <cell r="A427" t="str">
            <v>Bend</v>
          </cell>
        </row>
        <row r="428">
          <cell r="A428" t="str">
            <v>Tee</v>
          </cell>
        </row>
        <row r="429">
          <cell r="A429" t="str">
            <v>Valve</v>
          </cell>
        </row>
        <row r="430">
          <cell r="A430" t="str">
            <v>Reducer</v>
          </cell>
        </row>
        <row r="431">
          <cell r="A431" t="str">
            <v>Sleeve</v>
          </cell>
        </row>
        <row r="432">
          <cell r="A432" t="str">
            <v>Flange</v>
          </cell>
        </row>
        <row r="433">
          <cell r="A433" t="str">
            <v>Meter</v>
          </cell>
        </row>
        <row r="434">
          <cell r="A434" t="str">
            <v>PCF-Misc</v>
          </cell>
        </row>
        <row r="435">
          <cell r="A435" t="str">
            <v>Other</v>
          </cell>
        </row>
        <row r="436">
          <cell r="A436" t="str">
            <v>Relief Valve</v>
          </cell>
        </row>
        <row r="438">
          <cell r="B438" t="str">
            <v>API 5L-A25</v>
          </cell>
        </row>
        <row r="439">
          <cell r="B439" t="str">
            <v>API 5L-A</v>
          </cell>
        </row>
        <row r="440">
          <cell r="B440" t="str">
            <v>API 5L-B</v>
          </cell>
        </row>
        <row r="441">
          <cell r="B441" t="str">
            <v>API 5L X-42</v>
          </cell>
        </row>
        <row r="442">
          <cell r="B442" t="str">
            <v>API 5L X-46</v>
          </cell>
        </row>
        <row r="443">
          <cell r="B443" t="str">
            <v>API 5L X-52</v>
          </cell>
        </row>
        <row r="444">
          <cell r="B444" t="str">
            <v>API 5L X-60</v>
          </cell>
        </row>
        <row r="445">
          <cell r="B445" t="str">
            <v>API 5L X-65</v>
          </cell>
        </row>
        <row r="446">
          <cell r="B446" t="str">
            <v>API 5L X-70</v>
          </cell>
        </row>
        <row r="447">
          <cell r="B447" t="str">
            <v>API 5LS-A</v>
          </cell>
        </row>
        <row r="448">
          <cell r="B448" t="str">
            <v>API 5LS-B</v>
          </cell>
        </row>
        <row r="449">
          <cell r="B449" t="str">
            <v>API 5LS-X42</v>
          </cell>
        </row>
        <row r="450">
          <cell r="B450" t="str">
            <v>API 5LS-X46</v>
          </cell>
        </row>
        <row r="451">
          <cell r="B451" t="str">
            <v>API 5LS-X52</v>
          </cell>
        </row>
        <row r="452">
          <cell r="B452" t="str">
            <v>API 5LS-X56</v>
          </cell>
        </row>
        <row r="453">
          <cell r="B453" t="str">
            <v>API 5LS-X60</v>
          </cell>
        </row>
        <row r="454">
          <cell r="B454" t="str">
            <v>API 5LS-X65</v>
          </cell>
        </row>
        <row r="455">
          <cell r="B455" t="str">
            <v>API 5LS-X70(Tent.)</v>
          </cell>
        </row>
        <row r="456">
          <cell r="B456" t="str">
            <v>API 5LX-X42</v>
          </cell>
        </row>
        <row r="457">
          <cell r="B457" t="str">
            <v>API 5LX-X46</v>
          </cell>
        </row>
        <row r="458">
          <cell r="B458" t="str">
            <v>API 5LX-X48</v>
          </cell>
        </row>
        <row r="459">
          <cell r="B459" t="str">
            <v>API 5LX-X52</v>
          </cell>
        </row>
        <row r="460">
          <cell r="B460" t="str">
            <v>API 5LX-X56</v>
          </cell>
        </row>
        <row r="461">
          <cell r="B461" t="str">
            <v>API 5LX-X60</v>
          </cell>
        </row>
        <row r="462">
          <cell r="B462" t="str">
            <v>API 5LX-X65</v>
          </cell>
        </row>
        <row r="463">
          <cell r="B463" t="str">
            <v>API 5LX-X70(Tent.)</v>
          </cell>
        </row>
        <row r="464">
          <cell r="B464" t="str">
            <v xml:space="preserve">API </v>
          </cell>
        </row>
        <row r="465">
          <cell r="B465" t="str">
            <v>API 5L</v>
          </cell>
        </row>
        <row r="466">
          <cell r="B466" t="str">
            <v>Y-42</v>
          </cell>
        </row>
        <row r="467">
          <cell r="B467" t="str">
            <v>Y-46</v>
          </cell>
        </row>
        <row r="468">
          <cell r="B468" t="str">
            <v>Y-48</v>
          </cell>
        </row>
        <row r="469">
          <cell r="B469" t="str">
            <v>Y-52</v>
          </cell>
        </row>
        <row r="470">
          <cell r="B470" t="str">
            <v>Y-60</v>
          </cell>
        </row>
        <row r="471">
          <cell r="B471" t="str">
            <v>Y-65</v>
          </cell>
        </row>
        <row r="472">
          <cell r="B472" t="str">
            <v>Y-70</v>
          </cell>
        </row>
        <row r="473">
          <cell r="B473" t="str">
            <v>Tri-Ten</v>
          </cell>
        </row>
        <row r="474">
          <cell r="B474" t="str">
            <v>KaisAloy 50MV</v>
          </cell>
        </row>
        <row r="475">
          <cell r="B475" t="str">
            <v>Grade B</v>
          </cell>
        </row>
        <row r="476">
          <cell r="B476" t="str">
            <v>ASTM A-516, Grade 70</v>
          </cell>
        </row>
        <row r="477">
          <cell r="B477" t="str">
            <v>ASTM A-212 Grade B</v>
          </cell>
        </row>
        <row r="478">
          <cell r="B478" t="str">
            <v>ASTM A-242</v>
          </cell>
        </row>
        <row r="479">
          <cell r="B479" t="str">
            <v>ASTM A-572</v>
          </cell>
        </row>
        <row r="480">
          <cell r="B480" t="str">
            <v>ASTM A-633</v>
          </cell>
        </row>
        <row r="481">
          <cell r="B481" t="str">
            <v>Grade E</v>
          </cell>
        </row>
        <row r="482">
          <cell r="B482" t="str">
            <v>ASTM A-106</v>
          </cell>
        </row>
        <row r="483">
          <cell r="B483" t="str">
            <v>Requires Research</v>
          </cell>
        </row>
        <row r="484">
          <cell r="B484" t="str">
            <v>Unknown</v>
          </cell>
        </row>
        <row r="486">
          <cell r="A486">
            <v>24000</v>
          </cell>
        </row>
        <row r="487">
          <cell r="A487">
            <v>25000</v>
          </cell>
        </row>
        <row r="488">
          <cell r="A488">
            <v>30000</v>
          </cell>
        </row>
        <row r="489">
          <cell r="A489">
            <v>33000</v>
          </cell>
        </row>
        <row r="490">
          <cell r="A490">
            <v>35000</v>
          </cell>
        </row>
        <row r="491">
          <cell r="A491">
            <v>38000</v>
          </cell>
        </row>
        <row r="492">
          <cell r="A492">
            <v>40000</v>
          </cell>
        </row>
        <row r="493">
          <cell r="A493">
            <v>42000</v>
          </cell>
        </row>
        <row r="494">
          <cell r="A494">
            <v>44000</v>
          </cell>
        </row>
        <row r="495">
          <cell r="A495">
            <v>45000</v>
          </cell>
        </row>
        <row r="496">
          <cell r="A496">
            <v>46000</v>
          </cell>
        </row>
        <row r="497">
          <cell r="A497">
            <v>48000</v>
          </cell>
        </row>
        <row r="498">
          <cell r="A498">
            <v>50000</v>
          </cell>
        </row>
        <row r="499">
          <cell r="A499">
            <v>52000</v>
          </cell>
        </row>
        <row r="500">
          <cell r="A500">
            <v>56000</v>
          </cell>
        </row>
        <row r="501">
          <cell r="A501">
            <v>60000</v>
          </cell>
        </row>
        <row r="502">
          <cell r="A502">
            <v>65000</v>
          </cell>
        </row>
        <row r="503">
          <cell r="A503">
            <v>70000</v>
          </cell>
        </row>
        <row r="504">
          <cell r="A504">
            <v>75000</v>
          </cell>
        </row>
        <row r="505">
          <cell r="A505">
            <v>80000</v>
          </cell>
        </row>
        <row r="506">
          <cell r="A506" t="str">
            <v>Requires Research</v>
          </cell>
        </row>
        <row r="507">
          <cell r="A507" t="str">
            <v>Unknown</v>
          </cell>
        </row>
        <row r="509">
          <cell r="A509" t="str">
            <v>Steel</v>
          </cell>
        </row>
        <row r="510">
          <cell r="A510" t="str">
            <v>Ductile Iron</v>
          </cell>
        </row>
        <row r="511">
          <cell r="A511" t="str">
            <v>Unknown</v>
          </cell>
        </row>
        <row r="512">
          <cell r="A512" t="str">
            <v>Clay Tile</v>
          </cell>
        </row>
        <row r="513">
          <cell r="A513" t="str">
            <v>PVC</v>
          </cell>
        </row>
        <row r="514">
          <cell r="A514" t="str">
            <v>Poly</v>
          </cell>
        </row>
        <row r="515">
          <cell r="A515" t="str">
            <v>Concrete</v>
          </cell>
        </row>
        <row r="516">
          <cell r="A516" t="str">
            <v>Cast Iron</v>
          </cell>
        </row>
        <row r="517">
          <cell r="A517" t="str">
            <v>Plastic</v>
          </cell>
        </row>
        <row r="518">
          <cell r="A518" t="str">
            <v>Ribbed Polyethylene</v>
          </cell>
        </row>
        <row r="519">
          <cell r="A519" t="str">
            <v>Conduit</v>
          </cell>
        </row>
        <row r="520">
          <cell r="A520" t="str">
            <v>Transite</v>
          </cell>
        </row>
        <row r="521">
          <cell r="A521" t="str">
            <v>Galvanized</v>
          </cell>
        </row>
        <row r="522">
          <cell r="A522" t="str">
            <v>Fiber Optic</v>
          </cell>
        </row>
        <row r="523">
          <cell r="A523" t="str">
            <v>Copper</v>
          </cell>
        </row>
        <row r="524">
          <cell r="A524" t="str">
            <v>Reasearch Required</v>
          </cell>
        </row>
        <row r="526">
          <cell r="A526" t="str">
            <v>Drip-External</v>
          </cell>
        </row>
        <row r="527">
          <cell r="A527" t="str">
            <v>Drip-Internal</v>
          </cell>
        </row>
        <row r="528">
          <cell r="A528" t="str">
            <v>Insertion Probe</v>
          </cell>
        </row>
        <row r="529">
          <cell r="A529" t="str">
            <v>Thermowell</v>
          </cell>
        </row>
        <row r="530">
          <cell r="A530" t="str">
            <v>Take-off</v>
          </cell>
        </row>
        <row r="531">
          <cell r="A531" t="str">
            <v>Connection</v>
          </cell>
        </row>
        <row r="532">
          <cell r="A532" t="str">
            <v>Save-a-valve</v>
          </cell>
        </row>
        <row r="533">
          <cell r="A533" t="str">
            <v>Other</v>
          </cell>
        </row>
        <row r="534">
          <cell r="A534" t="str">
            <v>Unknown</v>
          </cell>
        </row>
        <row r="536">
          <cell r="A536" t="str">
            <v>Hot</v>
          </cell>
        </row>
        <row r="537">
          <cell r="A537" t="str">
            <v>Cold</v>
          </cell>
        </row>
        <row r="538">
          <cell r="A538" t="str">
            <v>Unknown</v>
          </cell>
        </row>
        <row r="540">
          <cell r="A540">
            <v>0.25</v>
          </cell>
        </row>
        <row r="541">
          <cell r="A541">
            <v>0.375</v>
          </cell>
        </row>
        <row r="542">
          <cell r="A542">
            <v>0.5</v>
          </cell>
        </row>
        <row r="543">
          <cell r="A543">
            <v>0.75</v>
          </cell>
        </row>
        <row r="544">
          <cell r="A544">
            <v>1</v>
          </cell>
        </row>
        <row r="545">
          <cell r="A545">
            <v>1.25</v>
          </cell>
        </row>
        <row r="546">
          <cell r="A546">
            <v>1.5</v>
          </cell>
        </row>
        <row r="547">
          <cell r="A547">
            <v>1.75</v>
          </cell>
        </row>
        <row r="548">
          <cell r="A548">
            <v>2</v>
          </cell>
        </row>
        <row r="549">
          <cell r="A549">
            <v>2.5</v>
          </cell>
        </row>
        <row r="550">
          <cell r="A550" t="str">
            <v>Other</v>
          </cell>
        </row>
        <row r="551">
          <cell r="A551" t="str">
            <v>Unknown</v>
          </cell>
        </row>
        <row r="553">
          <cell r="A553" t="str">
            <v>Forged</v>
          </cell>
        </row>
        <row r="554">
          <cell r="A554" t="str">
            <v>Miter</v>
          </cell>
        </row>
        <row r="555">
          <cell r="A555" t="str">
            <v>Bell Bell Chill Ring</v>
          </cell>
        </row>
        <row r="556">
          <cell r="A556" t="str">
            <v>Wrinkle</v>
          </cell>
        </row>
        <row r="557">
          <cell r="A557" t="str">
            <v>Reducing</v>
          </cell>
        </row>
        <row r="558">
          <cell r="A558" t="str">
            <v>Unknown</v>
          </cell>
        </row>
        <row r="560">
          <cell r="A560" t="str">
            <v>Left</v>
          </cell>
        </row>
        <row r="561">
          <cell r="A561" t="str">
            <v>Right</v>
          </cell>
        </row>
        <row r="562">
          <cell r="A562" t="str">
            <v>Combo</v>
          </cell>
        </row>
        <row r="563">
          <cell r="A563" t="str">
            <v>Over Bend</v>
          </cell>
        </row>
        <row r="564">
          <cell r="A564" t="str">
            <v>Sag</v>
          </cell>
        </row>
        <row r="565">
          <cell r="A565" t="str">
            <v>Unknown</v>
          </cell>
        </row>
        <row r="567">
          <cell r="A567" t="str">
            <v>Miter</v>
          </cell>
        </row>
        <row r="568">
          <cell r="A568" t="str">
            <v>Bell Bell Chill Ring</v>
          </cell>
        </row>
        <row r="569">
          <cell r="A569" t="str">
            <v>Wrinkle</v>
          </cell>
        </row>
        <row r="570">
          <cell r="A570" t="str">
            <v>Bending Machine</v>
          </cell>
        </row>
        <row r="571">
          <cell r="A571" t="str">
            <v>Int Mandrel-Bending Machine</v>
          </cell>
        </row>
        <row r="572">
          <cell r="A572" t="str">
            <v>Unknown</v>
          </cell>
        </row>
        <row r="574">
          <cell r="A574" t="str">
            <v>Manual</v>
          </cell>
        </row>
        <row r="575">
          <cell r="A575" t="str">
            <v>Gas Operator</v>
          </cell>
        </row>
        <row r="576">
          <cell r="A576" t="str">
            <v>Electric Operator</v>
          </cell>
        </row>
        <row r="577">
          <cell r="A577" t="str">
            <v>Unknown</v>
          </cell>
        </row>
        <row r="579">
          <cell r="A579" t="str">
            <v>Weld neck</v>
          </cell>
        </row>
        <row r="580">
          <cell r="A580" t="str">
            <v>Blind</v>
          </cell>
        </row>
        <row r="581">
          <cell r="A581" t="str">
            <v>Slip on</v>
          </cell>
        </row>
        <row r="582">
          <cell r="A582" t="str">
            <v>Threaded</v>
          </cell>
        </row>
        <row r="583">
          <cell r="A583" t="str">
            <v>Reducing</v>
          </cell>
        </row>
        <row r="584">
          <cell r="A584" t="str">
            <v>Socket Weld</v>
          </cell>
        </row>
        <row r="585">
          <cell r="A585" t="str">
            <v>Insulating</v>
          </cell>
        </row>
        <row r="586">
          <cell r="A586" t="str">
            <v>Unknown</v>
          </cell>
        </row>
        <row r="588">
          <cell r="A588" t="str">
            <v>Top Tap</v>
          </cell>
        </row>
        <row r="589">
          <cell r="A589" t="str">
            <v>Side Tap</v>
          </cell>
        </row>
        <row r="590">
          <cell r="A590" t="str">
            <v>Bottom Tap</v>
          </cell>
        </row>
        <row r="591">
          <cell r="A591" t="str">
            <v>FE Line Stopper</v>
          </cell>
        </row>
        <row r="592">
          <cell r="A592" t="str">
            <v>TDW</v>
          </cell>
        </row>
        <row r="593">
          <cell r="A593" t="str">
            <v>Stopple</v>
          </cell>
        </row>
        <row r="594">
          <cell r="A594" t="str">
            <v>Cap</v>
          </cell>
        </row>
        <row r="595">
          <cell r="A595" t="str">
            <v>Plug</v>
          </cell>
        </row>
        <row r="596">
          <cell r="A596" t="str">
            <v>Threaded Weldolet</v>
          </cell>
        </row>
        <row r="597">
          <cell r="A597" t="str">
            <v>Pig Signal</v>
          </cell>
        </row>
        <row r="598">
          <cell r="A598" t="str">
            <v>Pressure Transmitter</v>
          </cell>
        </row>
        <row r="599">
          <cell r="A599" t="str">
            <v>Closure</v>
          </cell>
        </row>
        <row r="600">
          <cell r="A600" t="str">
            <v>Collar</v>
          </cell>
        </row>
        <row r="601">
          <cell r="A601" t="str">
            <v>Dresser Mechanical</v>
          </cell>
        </row>
        <row r="602">
          <cell r="A602" t="str">
            <v xml:space="preserve">Other </v>
          </cell>
        </row>
        <row r="603">
          <cell r="A603" t="str">
            <v>Internal Baffle</v>
          </cell>
        </row>
        <row r="604">
          <cell r="A604" t="str">
            <v>Insulating Joint</v>
          </cell>
        </row>
        <row r="605">
          <cell r="A605" t="str">
            <v>Unknown</v>
          </cell>
        </row>
        <row r="607">
          <cell r="A607" t="str">
            <v>Weld End</v>
          </cell>
        </row>
        <row r="608">
          <cell r="A608" t="str">
            <v>Flanged End</v>
          </cell>
        </row>
        <row r="609">
          <cell r="A609" t="str">
            <v>Screw End</v>
          </cell>
        </row>
        <row r="610">
          <cell r="A610" t="str">
            <v>Weld by Flange End</v>
          </cell>
        </row>
        <row r="611">
          <cell r="A611" t="str">
            <v>Weld by Screw End</v>
          </cell>
        </row>
        <row r="612">
          <cell r="A612" t="str">
            <v>Unknown</v>
          </cell>
        </row>
        <row r="614">
          <cell r="A614" t="str">
            <v>Unknown</v>
          </cell>
        </row>
        <row r="615">
          <cell r="A615" t="str">
            <v>Ball Valve</v>
          </cell>
        </row>
        <row r="616">
          <cell r="A616" t="str">
            <v>Gate Valve</v>
          </cell>
        </row>
        <row r="617">
          <cell r="A617" t="str">
            <v>Control Valve</v>
          </cell>
        </row>
        <row r="618">
          <cell r="A618" t="str">
            <v>Regulator Valve</v>
          </cell>
        </row>
        <row r="619">
          <cell r="A619" t="str">
            <v>Block</v>
          </cell>
        </row>
        <row r="620">
          <cell r="A620" t="str">
            <v>Check Valve</v>
          </cell>
        </row>
        <row r="621">
          <cell r="A621" t="str">
            <v>Flex Flow Valve</v>
          </cell>
        </row>
        <row r="622">
          <cell r="A622" t="str">
            <v>Blowdown Valve</v>
          </cell>
        </row>
        <row r="623">
          <cell r="A623" t="str">
            <v>Butterfly Valve</v>
          </cell>
        </row>
        <row r="625">
          <cell r="A625" t="str">
            <v>StrengthTest</v>
          </cell>
        </row>
        <row r="626">
          <cell r="A626" t="str">
            <v>LeakTest</v>
          </cell>
        </row>
        <row r="627">
          <cell r="A627" t="str">
            <v>Dynamic Test</v>
          </cell>
        </row>
        <row r="628">
          <cell r="A628" t="str">
            <v>PreTest</v>
          </cell>
        </row>
        <row r="630">
          <cell r="A630" t="str">
            <v>Water</v>
          </cell>
        </row>
        <row r="631">
          <cell r="A631" t="str">
            <v>Nitrogen</v>
          </cell>
        </row>
        <row r="632">
          <cell r="A632" t="str">
            <v>Natural Gas</v>
          </cell>
        </row>
        <row r="633">
          <cell r="A633" t="str">
            <v>Other</v>
          </cell>
        </row>
        <row r="634">
          <cell r="A634" t="str">
            <v>Unknown</v>
          </cell>
        </row>
        <row r="636">
          <cell r="B636" t="str">
            <v>Unknown</v>
          </cell>
        </row>
        <row r="637">
          <cell r="B637" t="str">
            <v>Road - Edge</v>
          </cell>
        </row>
        <row r="638">
          <cell r="B638" t="str">
            <v>Pavement - Edge</v>
          </cell>
        </row>
        <row r="639">
          <cell r="B639" t="str">
            <v>Shoulder - Toe</v>
          </cell>
        </row>
        <row r="640">
          <cell r="B640" t="str">
            <v>Shoulder - Top</v>
          </cell>
        </row>
        <row r="641">
          <cell r="B641" t="str">
            <v>Ballast - Toe</v>
          </cell>
        </row>
        <row r="642">
          <cell r="B642" t="str">
            <v>Ballast - Top</v>
          </cell>
        </row>
        <row r="643">
          <cell r="B643" t="str">
            <v>Grade - Toe</v>
          </cell>
        </row>
        <row r="644">
          <cell r="B644" t="str">
            <v>Guard Rail</v>
          </cell>
        </row>
        <row r="645">
          <cell r="B645" t="str">
            <v>Curb</v>
          </cell>
        </row>
        <row r="646">
          <cell r="B646" t="str">
            <v>Parking Lot - Begin</v>
          </cell>
        </row>
        <row r="647">
          <cell r="B647" t="str">
            <v>Parking Lot - End</v>
          </cell>
        </row>
        <row r="648">
          <cell r="B648" t="str">
            <v>Fence Line</v>
          </cell>
        </row>
        <row r="649">
          <cell r="B649" t="str">
            <v>Fence Corner</v>
          </cell>
        </row>
        <row r="650">
          <cell r="B650" t="str">
            <v>Gate</v>
          </cell>
        </row>
        <row r="651">
          <cell r="B651" t="str">
            <v>Retaining Wall</v>
          </cell>
        </row>
        <row r="652">
          <cell r="B652" t="str">
            <v>Cattle Guard Crossing</v>
          </cell>
        </row>
        <row r="653">
          <cell r="B653" t="str">
            <v>Slab - Begin Concrete</v>
          </cell>
        </row>
        <row r="654">
          <cell r="B654" t="str">
            <v>Slab - End Concrete</v>
          </cell>
        </row>
        <row r="655">
          <cell r="B655" t="str">
            <v>Fire Hydrant</v>
          </cell>
        </row>
        <row r="656">
          <cell r="B656" t="str">
            <v>Soil Bore Hole</v>
          </cell>
        </row>
        <row r="657">
          <cell r="B657" t="str">
            <v>Structure Corner</v>
          </cell>
        </row>
        <row r="658">
          <cell r="B658" t="str">
            <v>Rip Rap Begin</v>
          </cell>
        </row>
        <row r="659">
          <cell r="B659" t="str">
            <v>Rip Rap End</v>
          </cell>
        </row>
        <row r="660">
          <cell r="B660" t="str">
            <v>Underground Shaft</v>
          </cell>
        </row>
        <row r="661">
          <cell r="B661" t="str">
            <v>Monument</v>
          </cell>
        </row>
        <row r="662">
          <cell r="B662" t="str">
            <v>Trail</v>
          </cell>
        </row>
        <row r="663">
          <cell r="B663" t="str">
            <v>Park - Edge</v>
          </cell>
        </row>
        <row r="664">
          <cell r="B664" t="str">
            <v>Creek - Bank</v>
          </cell>
        </row>
        <row r="665">
          <cell r="B665" t="str">
            <v>River - Bank</v>
          </cell>
        </row>
        <row r="666">
          <cell r="B666" t="str">
            <v>Stream - Bank</v>
          </cell>
        </row>
        <row r="667">
          <cell r="B667" t="str">
            <v>Lake - Bank</v>
          </cell>
        </row>
        <row r="668">
          <cell r="B668" t="str">
            <v>Ditch - Edge</v>
          </cell>
        </row>
        <row r="669">
          <cell r="B669" t="str">
            <v>Walk - Edge of Concrete</v>
          </cell>
        </row>
        <row r="670">
          <cell r="B670" t="str">
            <v>Patch</v>
          </cell>
        </row>
        <row r="671">
          <cell r="B671" t="str">
            <v>High Bank</v>
          </cell>
        </row>
        <row r="672">
          <cell r="B672" t="str">
            <v>Curb - Back of</v>
          </cell>
        </row>
        <row r="673">
          <cell r="B673" t="str">
            <v>Foundation</v>
          </cell>
        </row>
        <row r="674">
          <cell r="B674" t="str">
            <v>Directional Drill - Begin</v>
          </cell>
        </row>
        <row r="675">
          <cell r="B675" t="str">
            <v>Concrete Revetment</v>
          </cell>
        </row>
        <row r="676">
          <cell r="B676" t="str">
            <v>Grout Mat</v>
          </cell>
        </row>
        <row r="677">
          <cell r="B677" t="str">
            <v>Low Bank - Top</v>
          </cell>
        </row>
        <row r="678">
          <cell r="B678" t="str">
            <v>Slope</v>
          </cell>
        </row>
        <row r="679">
          <cell r="B679" t="str">
            <v>Concrete Driveway</v>
          </cell>
        </row>
        <row r="680">
          <cell r="B680" t="str">
            <v>Driveway</v>
          </cell>
        </row>
        <row r="681">
          <cell r="B681" t="str">
            <v>Bank</v>
          </cell>
        </row>
        <row r="682">
          <cell r="B682" t="str">
            <v>Fill - Toe</v>
          </cell>
        </row>
        <row r="683">
          <cell r="B683" t="str">
            <v>Fill - Top</v>
          </cell>
        </row>
        <row r="684">
          <cell r="B684" t="str">
            <v>Concrete - Edge</v>
          </cell>
        </row>
        <row r="685">
          <cell r="B685" t="str">
            <v>Overflow - Edge</v>
          </cell>
        </row>
        <row r="686">
          <cell r="B686" t="str">
            <v>Canal - Drainage</v>
          </cell>
        </row>
        <row r="687">
          <cell r="B687" t="str">
            <v>Creek - Edge</v>
          </cell>
        </row>
        <row r="688">
          <cell r="B688" t="str">
            <v>Water - Edge</v>
          </cell>
        </row>
        <row r="689">
          <cell r="B689" t="str">
            <v>Glade</v>
          </cell>
        </row>
        <row r="690">
          <cell r="B690" t="str">
            <v>Glade - Edge</v>
          </cell>
        </row>
        <row r="691">
          <cell r="B691" t="str">
            <v>Wash</v>
          </cell>
        </row>
        <row r="692">
          <cell r="B692" t="str">
            <v>Rock Bed</v>
          </cell>
        </row>
        <row r="693">
          <cell r="B693" t="str">
            <v>Concrete Marker</v>
          </cell>
        </row>
        <row r="694">
          <cell r="B694" t="str">
            <v>Fence - Rail</v>
          </cell>
        </row>
        <row r="695">
          <cell r="B695" t="str">
            <v>Canal - Edge</v>
          </cell>
        </row>
        <row r="696">
          <cell r="B696" t="str">
            <v>Hedgerow</v>
          </cell>
        </row>
        <row r="697">
          <cell r="B697" t="str">
            <v>Research Required</v>
          </cell>
        </row>
        <row r="698">
          <cell r="B698" t="str">
            <v>Levee - Toe</v>
          </cell>
        </row>
        <row r="699">
          <cell r="B699" t="str">
            <v>Diversion Channel - Edge</v>
          </cell>
        </row>
        <row r="700">
          <cell r="B700" t="str">
            <v>Water Channel - Edge</v>
          </cell>
        </row>
        <row r="701">
          <cell r="B701" t="str">
            <v>Tree Line</v>
          </cell>
        </row>
        <row r="702">
          <cell r="B702" t="str">
            <v>P/L Protective Structure</v>
          </cell>
        </row>
        <row r="703">
          <cell r="B703" t="str">
            <v>Slough - Edge</v>
          </cell>
        </row>
        <row r="704">
          <cell r="B704" t="str">
            <v>Lake - Edge</v>
          </cell>
        </row>
        <row r="705">
          <cell r="B705" t="str">
            <v>Bough Line</v>
          </cell>
        </row>
        <row r="706">
          <cell r="B706" t="str">
            <v>Slab - Concrete</v>
          </cell>
        </row>
        <row r="707">
          <cell r="B707" t="str">
            <v>Brush Line</v>
          </cell>
        </row>
        <row r="708">
          <cell r="B708" t="str">
            <v>Bayou - Edge</v>
          </cell>
        </row>
        <row r="709">
          <cell r="B709" t="str">
            <v>Vegetation Change - Begin</v>
          </cell>
        </row>
        <row r="710">
          <cell r="B710" t="str">
            <v>Vegetation Change - End</v>
          </cell>
        </row>
        <row r="711">
          <cell r="B711" t="str">
            <v>River Crossing - End</v>
          </cell>
        </row>
        <row r="712">
          <cell r="B712" t="str">
            <v>Corner - Survey Tie</v>
          </cell>
        </row>
        <row r="713">
          <cell r="B713" t="str">
            <v>On Ramp - Edge</v>
          </cell>
        </row>
        <row r="714">
          <cell r="B714" t="str">
            <v>Loop - Edge</v>
          </cell>
        </row>
        <row r="715">
          <cell r="B715" t="str">
            <v>Off Ramp - Edge</v>
          </cell>
        </row>
        <row r="716">
          <cell r="B716" t="str">
            <v>Driveway - Concrete Edge</v>
          </cell>
        </row>
        <row r="717">
          <cell r="B717" t="str">
            <v>Curb - End</v>
          </cell>
        </row>
        <row r="718">
          <cell r="B718" t="str">
            <v>Trail - Edge</v>
          </cell>
        </row>
        <row r="719">
          <cell r="B719" t="str">
            <v>Structure</v>
          </cell>
        </row>
        <row r="720">
          <cell r="B720" t="str">
            <v>Vegetation</v>
          </cell>
        </row>
        <row r="721">
          <cell r="B721" t="str">
            <v>Cut - Top</v>
          </cell>
        </row>
        <row r="722">
          <cell r="B722" t="str">
            <v>Tie Post</v>
          </cell>
        </row>
        <row r="723">
          <cell r="B723" t="str">
            <v>Instrument</v>
          </cell>
        </row>
        <row r="724">
          <cell r="B724" t="str">
            <v>Point of Curvature</v>
          </cell>
        </row>
        <row r="725">
          <cell r="B725" t="str">
            <v>Point of Compound Curvature</v>
          </cell>
        </row>
        <row r="726">
          <cell r="B726" t="str">
            <v>Point of Tangency</v>
          </cell>
        </row>
        <row r="727">
          <cell r="B727" t="str">
            <v>Channel - Edge</v>
          </cell>
        </row>
        <row r="728">
          <cell r="B728" t="str">
            <v>Bank - Top</v>
          </cell>
        </row>
        <row r="729">
          <cell r="B729" t="str">
            <v>River Crossing - Begin</v>
          </cell>
        </row>
        <row r="730">
          <cell r="B730" t="str">
            <v>Marsh - Edge</v>
          </cell>
        </row>
        <row r="731">
          <cell r="B731" t="str">
            <v>Pond - Edge</v>
          </cell>
        </row>
        <row r="732">
          <cell r="B732" t="str">
            <v>Curb - Toe</v>
          </cell>
        </row>
        <row r="733">
          <cell r="B733" t="str">
            <v>Curb - Top</v>
          </cell>
        </row>
        <row r="734">
          <cell r="B734" t="str">
            <v>Fence Post</v>
          </cell>
        </row>
        <row r="735">
          <cell r="B735" t="str">
            <v>Directional Drill - End</v>
          </cell>
        </row>
        <row r="736">
          <cell r="B736" t="str">
            <v>Soil Begin</v>
          </cell>
        </row>
        <row r="737">
          <cell r="B737" t="str">
            <v>Soil End</v>
          </cell>
        </row>
        <row r="738">
          <cell r="B738" t="str">
            <v>Reference Point</v>
          </cell>
        </row>
        <row r="739">
          <cell r="B739" t="str">
            <v>Rock Shield - Begin</v>
          </cell>
        </row>
        <row r="740">
          <cell r="B740" t="str">
            <v>Rock Shield -End</v>
          </cell>
        </row>
        <row r="741">
          <cell r="B741" t="str">
            <v>Pole - Utility/Power</v>
          </cell>
        </row>
        <row r="742">
          <cell r="B742" t="str">
            <v>Levee</v>
          </cell>
        </row>
        <row r="743">
          <cell r="B743" t="str">
            <v>MOP Report Comment</v>
          </cell>
        </row>
        <row r="744">
          <cell r="B744" t="str">
            <v>Curb - Begin</v>
          </cell>
        </row>
        <row r="745">
          <cell r="B745" t="str">
            <v>Telephone Pole</v>
          </cell>
        </row>
        <row r="746">
          <cell r="B746" t="str">
            <v>Survey</v>
          </cell>
        </row>
        <row r="747">
          <cell r="B747" t="str">
            <v>Draw - Edge</v>
          </cell>
        </row>
        <row r="748">
          <cell r="B748" t="str">
            <v>Wash - Edge</v>
          </cell>
        </row>
        <row r="749">
          <cell r="B749" t="str">
            <v>Pole - Utility/P</v>
          </cell>
        </row>
        <row r="750">
          <cell r="B750" t="str">
            <v>Driveway - Concr</v>
          </cell>
        </row>
        <row r="751">
          <cell r="B751" t="str">
            <v>Directional Dril</v>
          </cell>
        </row>
        <row r="752">
          <cell r="B752" t="str">
            <v>Levee C/L</v>
          </cell>
        </row>
        <row r="754">
          <cell r="A754" t="str">
            <v>Unknown</v>
          </cell>
        </row>
        <row r="755">
          <cell r="A755" t="str">
            <v>River Weight</v>
          </cell>
        </row>
        <row r="756">
          <cell r="A756" t="str">
            <v>Pipe Support</v>
          </cell>
        </row>
        <row r="757">
          <cell r="A757" t="str">
            <v>Pipe Strap</v>
          </cell>
        </row>
        <row r="758">
          <cell r="A758" t="str">
            <v>Bridge</v>
          </cell>
        </row>
        <row r="759">
          <cell r="A759" t="str">
            <v>Pipe Clamp</v>
          </cell>
        </row>
        <row r="760">
          <cell r="A760" t="str">
            <v>Pig Signal</v>
          </cell>
        </row>
        <row r="761">
          <cell r="A761" t="str">
            <v>Bridge Pipe Clamp</v>
          </cell>
        </row>
        <row r="762">
          <cell r="A762" t="str">
            <v>Concrete Encasement</v>
          </cell>
        </row>
        <row r="763">
          <cell r="A763" t="str">
            <v>Revetment Material</v>
          </cell>
        </row>
        <row r="765">
          <cell r="A765" t="str">
            <v>Launcher</v>
          </cell>
        </row>
        <row r="766">
          <cell r="A766" t="str">
            <v>Receiver</v>
          </cell>
        </row>
        <row r="767">
          <cell r="A767" t="str">
            <v>Pig Trap</v>
          </cell>
        </row>
        <row r="768">
          <cell r="A768" t="str">
            <v>Scraper Trap</v>
          </cell>
        </row>
        <row r="769">
          <cell r="A769" t="str">
            <v>Unknown</v>
          </cell>
        </row>
        <row r="771">
          <cell r="A771" t="str">
            <v>Steel Pipe</v>
          </cell>
        </row>
        <row r="772">
          <cell r="A772" t="str">
            <v>Bolted Steel</v>
          </cell>
        </row>
        <row r="773">
          <cell r="A773" t="str">
            <v>Corrugated Steel</v>
          </cell>
        </row>
        <row r="774">
          <cell r="A774" t="str">
            <v>2 half soles fused or welded</v>
          </cell>
        </row>
        <row r="775">
          <cell r="A775" t="str">
            <v>Nestable</v>
          </cell>
        </row>
        <row r="776">
          <cell r="A776" t="str">
            <v>Bolted</v>
          </cell>
        </row>
        <row r="777">
          <cell r="A777" t="str">
            <v>Corrugated</v>
          </cell>
        </row>
        <row r="778">
          <cell r="A778" t="str">
            <v>Other</v>
          </cell>
        </row>
        <row r="779">
          <cell r="A779" t="str">
            <v>Unknown</v>
          </cell>
        </row>
        <row r="781">
          <cell r="A781" t="str">
            <v>Unknown</v>
          </cell>
        </row>
        <row r="782">
          <cell r="A782" t="str">
            <v>Koenite</v>
          </cell>
        </row>
        <row r="783">
          <cell r="A783" t="str">
            <v>Oxide Cm</v>
          </cell>
        </row>
        <row r="784">
          <cell r="A784" t="str">
            <v>Trenton Fill Coat</v>
          </cell>
        </row>
        <row r="786">
          <cell r="A786" t="str">
            <v>Unknown</v>
          </cell>
        </row>
        <row r="787">
          <cell r="A787" t="str">
            <v>Link Seals</v>
          </cell>
        </row>
        <row r="788">
          <cell r="A788" t="str">
            <v>Rags and Tar</v>
          </cell>
        </row>
        <row r="789">
          <cell r="A789" t="str">
            <v>Banded Rubber</v>
          </cell>
        </row>
        <row r="791">
          <cell r="A791" t="str">
            <v>A</v>
          </cell>
        </row>
        <row r="792">
          <cell r="A792" t="str">
            <v>C</v>
          </cell>
        </row>
        <row r="793">
          <cell r="A793" t="str">
            <v>D</v>
          </cell>
        </row>
      </sheetData>
      <sheetData sheetId="12"/>
      <sheetData sheetId="13"/>
      <sheetData sheetId="14"/>
      <sheetData sheetId="15"/>
      <sheetData sheetId="16"/>
      <sheetData sheetId="17"/>
      <sheetData sheetId="18"/>
      <sheetData sheetId="1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tore"/>
      <sheetName val="Logic"/>
      <sheetName val="Pipe Data"/>
      <sheetName val="PFL Issues"/>
      <sheetName val="QC Issue Tracking Data"/>
      <sheetName val="Column Definitions"/>
      <sheetName val="Instructions"/>
      <sheetName val="Changes"/>
      <sheetName val="Selections"/>
      <sheetName val="FVE Table"/>
      <sheetName val="MAOP Report"/>
    </sheetNames>
    <sheetDataSet>
      <sheetData sheetId="0"/>
      <sheetData sheetId="1"/>
      <sheetData sheetId="2"/>
      <sheetData sheetId="3"/>
      <sheetData sheetId="4"/>
      <sheetData sheetId="5"/>
      <sheetData sheetId="6"/>
      <sheetData sheetId="7"/>
      <sheetData sheetId="8">
        <row r="5">
          <cell r="A5" t="str">
            <v>Yes</v>
          </cell>
        </row>
        <row r="6">
          <cell r="A6" t="str">
            <v>No</v>
          </cell>
        </row>
        <row r="7">
          <cell r="A7" t="str">
            <v>Unknown</v>
          </cell>
        </row>
        <row r="59">
          <cell r="A59">
            <v>42</v>
          </cell>
        </row>
        <row r="60">
          <cell r="A60">
            <v>36</v>
          </cell>
        </row>
        <row r="61">
          <cell r="A61">
            <v>34.5</v>
          </cell>
        </row>
        <row r="62">
          <cell r="A62">
            <v>34</v>
          </cell>
        </row>
        <row r="63">
          <cell r="A63">
            <v>32</v>
          </cell>
        </row>
        <row r="64">
          <cell r="A64">
            <v>30</v>
          </cell>
        </row>
        <row r="65">
          <cell r="A65">
            <v>26</v>
          </cell>
        </row>
        <row r="66">
          <cell r="A66">
            <v>24</v>
          </cell>
        </row>
        <row r="67">
          <cell r="A67">
            <v>22</v>
          </cell>
        </row>
        <row r="68">
          <cell r="A68">
            <v>20</v>
          </cell>
        </row>
        <row r="69">
          <cell r="A69">
            <v>18</v>
          </cell>
        </row>
        <row r="70">
          <cell r="A70">
            <v>16</v>
          </cell>
        </row>
        <row r="71">
          <cell r="A71">
            <v>14</v>
          </cell>
        </row>
        <row r="72">
          <cell r="A72">
            <v>12.75</v>
          </cell>
        </row>
        <row r="73">
          <cell r="A73">
            <v>10.75</v>
          </cell>
        </row>
        <row r="74">
          <cell r="A74">
            <v>8.625</v>
          </cell>
        </row>
        <row r="75">
          <cell r="A75">
            <v>6.625</v>
          </cell>
        </row>
        <row r="76">
          <cell r="A76">
            <v>4.5</v>
          </cell>
        </row>
        <row r="77">
          <cell r="A77">
            <v>3.5</v>
          </cell>
        </row>
        <row r="78">
          <cell r="A78">
            <v>2.375</v>
          </cell>
        </row>
        <row r="79">
          <cell r="A79">
            <v>1.5</v>
          </cell>
        </row>
        <row r="80">
          <cell r="A80">
            <v>1.25</v>
          </cell>
        </row>
        <row r="81">
          <cell r="A81">
            <v>1</v>
          </cell>
        </row>
        <row r="82">
          <cell r="A82">
            <v>0.75</v>
          </cell>
        </row>
        <row r="83">
          <cell r="A83">
            <v>0.5</v>
          </cell>
        </row>
        <row r="84">
          <cell r="A84">
            <v>0.25</v>
          </cell>
        </row>
        <row r="158">
          <cell r="A158" t="str">
            <v>Seamless</v>
          </cell>
        </row>
        <row r="159">
          <cell r="A159" t="str">
            <v>SSAW</v>
          </cell>
        </row>
        <row r="160">
          <cell r="A160" t="str">
            <v>DSAW</v>
          </cell>
        </row>
        <row r="161">
          <cell r="A161" t="str">
            <v xml:space="preserve">AO Smith </v>
          </cell>
        </row>
        <row r="162">
          <cell r="A162" t="str">
            <v>ERW</v>
          </cell>
        </row>
        <row r="163">
          <cell r="A163" t="str">
            <v>Lap Weld</v>
          </cell>
        </row>
        <row r="164">
          <cell r="A164" t="str">
            <v>Electric Fusion Welded</v>
          </cell>
        </row>
        <row r="165">
          <cell r="A165" t="str">
            <v>Spiral Weld</v>
          </cell>
        </row>
        <row r="166">
          <cell r="A166" t="str">
            <v>Furnace Butt Weld</v>
          </cell>
        </row>
        <row r="167">
          <cell r="A167" t="str">
            <v>Valve - N/A</v>
          </cell>
        </row>
        <row r="168">
          <cell r="A168" t="str">
            <v>Polyethylene Pipe</v>
          </cell>
        </row>
        <row r="169">
          <cell r="A169" t="str">
            <v>Unknown &gt; 4 inch</v>
          </cell>
        </row>
        <row r="170">
          <cell r="A170" t="str">
            <v>Unknown 4 inch or less</v>
          </cell>
        </row>
        <row r="172">
          <cell r="A172" t="str">
            <v>Bare</v>
          </cell>
        </row>
        <row r="173">
          <cell r="A173" t="str">
            <v>Tape</v>
          </cell>
        </row>
        <row r="174">
          <cell r="A174" t="str">
            <v>HAA</v>
          </cell>
        </row>
        <row r="175">
          <cell r="A175" t="str">
            <v>PC</v>
          </cell>
        </row>
        <row r="176">
          <cell r="A176" t="str">
            <v>Powercrete</v>
          </cell>
        </row>
        <row r="177">
          <cell r="A177" t="str">
            <v>Powercrete J</v>
          </cell>
        </row>
        <row r="178">
          <cell r="A178" t="str">
            <v>XTRUPL</v>
          </cell>
        </row>
        <row r="179">
          <cell r="A179" t="str">
            <v>FBE</v>
          </cell>
        </row>
        <row r="180">
          <cell r="A180" t="str">
            <v>SOMA</v>
          </cell>
        </row>
        <row r="181">
          <cell r="A181" t="str">
            <v>Wax Tape</v>
          </cell>
        </row>
        <row r="182">
          <cell r="A182" t="str">
            <v>Paint</v>
          </cell>
        </row>
        <row r="183">
          <cell r="A183" t="str">
            <v>Coal Tar</v>
          </cell>
        </row>
        <row r="184">
          <cell r="A184" t="str">
            <v>Protal</v>
          </cell>
        </row>
        <row r="185">
          <cell r="A185" t="str">
            <v>Devgrip</v>
          </cell>
        </row>
        <row r="186">
          <cell r="A186" t="str">
            <v>Mobilox</v>
          </cell>
        </row>
        <row r="187">
          <cell r="A187" t="str">
            <v>Other</v>
          </cell>
        </row>
        <row r="188">
          <cell r="A188" t="str">
            <v>Unknown</v>
          </cell>
        </row>
        <row r="190">
          <cell r="A190" t="str">
            <v>Type A</v>
          </cell>
        </row>
        <row r="191">
          <cell r="A191" t="str">
            <v>Type B</v>
          </cell>
        </row>
        <row r="192">
          <cell r="A192" t="str">
            <v>Clockspring</v>
          </cell>
        </row>
        <row r="193">
          <cell r="A193" t="str">
            <v>Aqua Wrap</v>
          </cell>
        </row>
        <row r="194">
          <cell r="A194" t="str">
            <v>Half Sleeve</v>
          </cell>
        </row>
        <row r="195">
          <cell r="A195" t="str">
            <v>Patch</v>
          </cell>
        </row>
        <row r="196">
          <cell r="A196" t="str">
            <v xml:space="preserve">Collar </v>
          </cell>
        </row>
        <row r="197">
          <cell r="A197" t="str">
            <v>Other</v>
          </cell>
        </row>
        <row r="198">
          <cell r="A198" t="str">
            <v>Unknown</v>
          </cell>
        </row>
        <row r="200">
          <cell r="A200" t="str">
            <v>ASTM A-516, Grade 70</v>
          </cell>
        </row>
        <row r="201">
          <cell r="A201" t="str">
            <v>ASTM A-212 Grade B</v>
          </cell>
        </row>
        <row r="202">
          <cell r="A202" t="str">
            <v>ASTM A-242</v>
          </cell>
        </row>
        <row r="203">
          <cell r="A203" t="str">
            <v>ASTM A-572</v>
          </cell>
        </row>
        <row r="204">
          <cell r="A204" t="str">
            <v>API 5L X 60</v>
          </cell>
        </row>
        <row r="205">
          <cell r="A205" t="str">
            <v>ASTM A-633</v>
          </cell>
        </row>
        <row r="206">
          <cell r="A206" t="str">
            <v>Grade E</v>
          </cell>
        </row>
        <row r="207">
          <cell r="A207" t="str">
            <v>API 5L X 65</v>
          </cell>
        </row>
        <row r="208">
          <cell r="A208" t="str">
            <v>API 5L X 70</v>
          </cell>
        </row>
        <row r="209">
          <cell r="A209" t="str">
            <v>Tri-Ten</v>
          </cell>
        </row>
        <row r="210">
          <cell r="A210" t="str">
            <v>KaisAloy 50MV</v>
          </cell>
        </row>
        <row r="211">
          <cell r="A211" t="str">
            <v>Research Required</v>
          </cell>
        </row>
        <row r="212">
          <cell r="A212" t="str">
            <v>Unknown</v>
          </cell>
        </row>
        <row r="296">
          <cell r="A296" t="str">
            <v>Conc.-Std</v>
          </cell>
        </row>
        <row r="297">
          <cell r="A297" t="str">
            <v>Conc.-Ven</v>
          </cell>
        </row>
        <row r="298">
          <cell r="A298" t="str">
            <v>ECC-Std</v>
          </cell>
        </row>
        <row r="299">
          <cell r="A299" t="str">
            <v>ECC-Ven</v>
          </cell>
        </row>
        <row r="300">
          <cell r="A300" t="str">
            <v>Other</v>
          </cell>
        </row>
        <row r="301">
          <cell r="A301" t="str">
            <v>Unknown</v>
          </cell>
        </row>
        <row r="384">
          <cell r="A384" t="str">
            <v>ANSI 150 #</v>
          </cell>
        </row>
        <row r="385">
          <cell r="A385" t="str">
            <v>ANSI 300 #</v>
          </cell>
        </row>
        <row r="386">
          <cell r="A386" t="str">
            <v>ANSI 400 #</v>
          </cell>
        </row>
        <row r="387">
          <cell r="A387" t="str">
            <v>ANSI 600 #</v>
          </cell>
        </row>
        <row r="388">
          <cell r="A388" t="str">
            <v>ANSI 900 #</v>
          </cell>
        </row>
        <row r="389">
          <cell r="A389" t="str">
            <v>ANSI 1500 #</v>
          </cell>
        </row>
        <row r="390">
          <cell r="A390" t="str">
            <v>ANSI 2500#</v>
          </cell>
        </row>
        <row r="391">
          <cell r="A391" t="str">
            <v>WOG 50#</v>
          </cell>
        </row>
        <row r="392">
          <cell r="A392" t="str">
            <v>WOG 100#</v>
          </cell>
        </row>
        <row r="393">
          <cell r="A393" t="str">
            <v>WOG 150#</v>
          </cell>
        </row>
        <row r="394">
          <cell r="A394" t="str">
            <v>WOG 200#</v>
          </cell>
        </row>
        <row r="395">
          <cell r="A395" t="str">
            <v>WOG 500#</v>
          </cell>
        </row>
        <row r="396">
          <cell r="A396" t="str">
            <v>WOG 600#</v>
          </cell>
        </row>
        <row r="397">
          <cell r="A397" t="str">
            <v>WOG 720#</v>
          </cell>
        </row>
        <row r="398">
          <cell r="A398" t="str">
            <v>WOG 800#</v>
          </cell>
        </row>
        <row r="399">
          <cell r="A399" t="str">
            <v>WOG 960#</v>
          </cell>
        </row>
        <row r="400">
          <cell r="A400" t="str">
            <v>WOG 1000#</v>
          </cell>
        </row>
        <row r="401">
          <cell r="A401" t="str">
            <v>WOG 1440#</v>
          </cell>
        </row>
        <row r="402">
          <cell r="A402" t="str">
            <v>WOG 1500#</v>
          </cell>
        </row>
        <row r="403">
          <cell r="A403" t="str">
            <v>WOG 2160#</v>
          </cell>
        </row>
        <row r="404">
          <cell r="A404" t="str">
            <v>WOG 2200#</v>
          </cell>
        </row>
        <row r="405">
          <cell r="A405" t="str">
            <v>WOG 3000#</v>
          </cell>
        </row>
        <row r="406">
          <cell r="A406" t="str">
            <v>Unknown</v>
          </cell>
        </row>
        <row r="408">
          <cell r="A408" t="str">
            <v>Straight Tee</v>
          </cell>
        </row>
        <row r="409">
          <cell r="A409" t="str">
            <v>Reinforced Tee</v>
          </cell>
        </row>
        <row r="410">
          <cell r="A410" t="str">
            <v>Reducing Tee</v>
          </cell>
        </row>
        <row r="411">
          <cell r="A411" t="str">
            <v>Other</v>
          </cell>
        </row>
        <row r="412">
          <cell r="A412" t="str">
            <v>Unknown</v>
          </cell>
        </row>
        <row r="416">
          <cell r="A416" t="str">
            <v>Unknown</v>
          </cell>
        </row>
        <row r="417">
          <cell r="A417" t="str">
            <v>Turbine</v>
          </cell>
        </row>
        <row r="418">
          <cell r="A418" t="str">
            <v>Insertion Turbine</v>
          </cell>
        </row>
        <row r="419">
          <cell r="A419" t="str">
            <v>Sonic</v>
          </cell>
        </row>
        <row r="420">
          <cell r="A420" t="str">
            <v>Micrometer</v>
          </cell>
        </row>
        <row r="421">
          <cell r="A421" t="str">
            <v>Rotary</v>
          </cell>
        </row>
        <row r="422">
          <cell r="A422" t="str">
            <v>Diaphragm</v>
          </cell>
        </row>
        <row r="423">
          <cell r="A423" t="str">
            <v>Orifice</v>
          </cell>
        </row>
        <row r="425">
          <cell r="A425" t="str">
            <v>Pipe</v>
          </cell>
        </row>
        <row r="426">
          <cell r="A426" t="str">
            <v>Tap</v>
          </cell>
        </row>
        <row r="427">
          <cell r="A427" t="str">
            <v>Bend</v>
          </cell>
        </row>
        <row r="428">
          <cell r="A428" t="str">
            <v>Tee</v>
          </cell>
        </row>
        <row r="429">
          <cell r="A429" t="str">
            <v>Valve</v>
          </cell>
        </row>
        <row r="430">
          <cell r="A430" t="str">
            <v>Reducer</v>
          </cell>
        </row>
        <row r="431">
          <cell r="A431" t="str">
            <v>Sleeve</v>
          </cell>
        </row>
        <row r="432">
          <cell r="A432" t="str">
            <v>Flange</v>
          </cell>
        </row>
        <row r="433">
          <cell r="A433" t="str">
            <v>Meter</v>
          </cell>
        </row>
        <row r="434">
          <cell r="A434" t="str">
            <v>PCF-Misc</v>
          </cell>
        </row>
        <row r="435">
          <cell r="A435" t="str">
            <v>Other</v>
          </cell>
        </row>
        <row r="436">
          <cell r="A436" t="str">
            <v>Relief Valve</v>
          </cell>
        </row>
        <row r="438">
          <cell r="B438" t="str">
            <v>API 5L-A25</v>
          </cell>
        </row>
        <row r="439">
          <cell r="B439" t="str">
            <v>API 5L-A</v>
          </cell>
        </row>
        <row r="440">
          <cell r="B440" t="str">
            <v>API 5L-B</v>
          </cell>
        </row>
        <row r="441">
          <cell r="B441" t="str">
            <v>API 5L X-42</v>
          </cell>
        </row>
        <row r="442">
          <cell r="B442" t="str">
            <v>API 5L X-46</v>
          </cell>
        </row>
        <row r="443">
          <cell r="B443" t="str">
            <v>API 5L X-52</v>
          </cell>
        </row>
        <row r="444">
          <cell r="B444" t="str">
            <v>API 5L X-60</v>
          </cell>
        </row>
        <row r="445">
          <cell r="B445" t="str">
            <v>API 5L X-65</v>
          </cell>
        </row>
        <row r="446">
          <cell r="B446" t="str">
            <v>API 5L X-70</v>
          </cell>
        </row>
        <row r="447">
          <cell r="B447" t="str">
            <v>API 5LS-A</v>
          </cell>
        </row>
        <row r="448">
          <cell r="B448" t="str">
            <v>API 5LS-B</v>
          </cell>
        </row>
        <row r="449">
          <cell r="B449" t="str">
            <v>API 5LS-X42</v>
          </cell>
        </row>
        <row r="450">
          <cell r="B450" t="str">
            <v>API 5LS-X46</v>
          </cell>
        </row>
        <row r="451">
          <cell r="B451" t="str">
            <v>API 5LS-X52</v>
          </cell>
        </row>
        <row r="452">
          <cell r="B452" t="str">
            <v>API 5LS-X56</v>
          </cell>
        </row>
        <row r="453">
          <cell r="B453" t="str">
            <v>API 5LS-X60</v>
          </cell>
        </row>
        <row r="454">
          <cell r="B454" t="str">
            <v>API 5LS-X65</v>
          </cell>
        </row>
        <row r="455">
          <cell r="B455" t="str">
            <v>API 5LS-X70(Tent.)</v>
          </cell>
        </row>
        <row r="456">
          <cell r="B456" t="str">
            <v>API 5LX-X42</v>
          </cell>
        </row>
        <row r="457">
          <cell r="B457" t="str">
            <v>API 5LX-X46</v>
          </cell>
        </row>
        <row r="458">
          <cell r="B458" t="str">
            <v>API 5LX-X48</v>
          </cell>
        </row>
        <row r="459">
          <cell r="B459" t="str">
            <v>API 5LX-X52</v>
          </cell>
        </row>
        <row r="460">
          <cell r="B460" t="str">
            <v>API 5LX-X56</v>
          </cell>
        </row>
        <row r="461">
          <cell r="B461" t="str">
            <v>API 5LX-X60</v>
          </cell>
        </row>
        <row r="462">
          <cell r="B462" t="str">
            <v>API 5LX-X65</v>
          </cell>
        </row>
        <row r="463">
          <cell r="B463" t="str">
            <v>API 5LX-X70(Tent.)</v>
          </cell>
        </row>
        <row r="464">
          <cell r="B464" t="str">
            <v xml:space="preserve">API </v>
          </cell>
        </row>
        <row r="465">
          <cell r="B465" t="str">
            <v>API 5L</v>
          </cell>
        </row>
        <row r="466">
          <cell r="B466" t="str">
            <v>Y-42</v>
          </cell>
        </row>
        <row r="467">
          <cell r="B467" t="str">
            <v>Y-46</v>
          </cell>
        </row>
        <row r="468">
          <cell r="B468" t="str">
            <v>Y-48</v>
          </cell>
        </row>
        <row r="469">
          <cell r="B469" t="str">
            <v>Y-52</v>
          </cell>
        </row>
        <row r="470">
          <cell r="B470" t="str">
            <v>Y-60</v>
          </cell>
        </row>
        <row r="471">
          <cell r="B471" t="str">
            <v>Y-65</v>
          </cell>
        </row>
        <row r="472">
          <cell r="B472" t="str">
            <v>Y-70</v>
          </cell>
        </row>
        <row r="473">
          <cell r="B473" t="str">
            <v>Tri-Ten</v>
          </cell>
        </row>
        <row r="474">
          <cell r="B474" t="str">
            <v>KaisAloy 50MV</v>
          </cell>
        </row>
        <row r="475">
          <cell r="B475" t="str">
            <v>Grade B</v>
          </cell>
        </row>
        <row r="476">
          <cell r="B476" t="str">
            <v>ASTM A-516, Grade 70</v>
          </cell>
        </row>
        <row r="477">
          <cell r="B477" t="str">
            <v>ASTM A-212 Grade B</v>
          </cell>
        </row>
        <row r="478">
          <cell r="B478" t="str">
            <v>ASTM A-242</v>
          </cell>
        </row>
        <row r="479">
          <cell r="B479" t="str">
            <v>ASTM A-572</v>
          </cell>
        </row>
        <row r="480">
          <cell r="B480" t="str">
            <v>ASTM A-633</v>
          </cell>
        </row>
        <row r="481">
          <cell r="B481" t="str">
            <v>Grade E</v>
          </cell>
        </row>
        <row r="482">
          <cell r="B482" t="str">
            <v>ASTM A-106</v>
          </cell>
        </row>
        <row r="483">
          <cell r="B483" t="str">
            <v>Requires Research</v>
          </cell>
        </row>
        <row r="484">
          <cell r="B484" t="str">
            <v>Unknown</v>
          </cell>
        </row>
        <row r="486">
          <cell r="A486">
            <v>24000</v>
          </cell>
        </row>
        <row r="487">
          <cell r="A487">
            <v>25000</v>
          </cell>
        </row>
        <row r="488">
          <cell r="A488">
            <v>30000</v>
          </cell>
        </row>
        <row r="489">
          <cell r="A489">
            <v>33000</v>
          </cell>
        </row>
        <row r="490">
          <cell r="A490">
            <v>35000</v>
          </cell>
        </row>
        <row r="491">
          <cell r="A491">
            <v>38000</v>
          </cell>
        </row>
        <row r="492">
          <cell r="A492">
            <v>40000</v>
          </cell>
        </row>
        <row r="493">
          <cell r="A493">
            <v>42000</v>
          </cell>
        </row>
        <row r="494">
          <cell r="A494">
            <v>44000</v>
          </cell>
        </row>
        <row r="495">
          <cell r="A495">
            <v>45000</v>
          </cell>
        </row>
        <row r="496">
          <cell r="A496">
            <v>46000</v>
          </cell>
        </row>
        <row r="497">
          <cell r="A497">
            <v>48000</v>
          </cell>
        </row>
        <row r="498">
          <cell r="A498">
            <v>50000</v>
          </cell>
        </row>
        <row r="499">
          <cell r="A499">
            <v>52000</v>
          </cell>
        </row>
        <row r="500">
          <cell r="A500">
            <v>56000</v>
          </cell>
        </row>
        <row r="501">
          <cell r="A501">
            <v>60000</v>
          </cell>
        </row>
        <row r="502">
          <cell r="A502">
            <v>65000</v>
          </cell>
        </row>
        <row r="503">
          <cell r="A503">
            <v>70000</v>
          </cell>
        </row>
        <row r="504">
          <cell r="A504">
            <v>75000</v>
          </cell>
        </row>
        <row r="505">
          <cell r="A505">
            <v>80000</v>
          </cell>
        </row>
        <row r="506">
          <cell r="A506" t="str">
            <v>Requires Research</v>
          </cell>
        </row>
        <row r="507">
          <cell r="A507" t="str">
            <v>Unknown</v>
          </cell>
        </row>
        <row r="509">
          <cell r="A509" t="str">
            <v>Steel</v>
          </cell>
        </row>
        <row r="510">
          <cell r="A510" t="str">
            <v>Ductile Iron</v>
          </cell>
        </row>
        <row r="511">
          <cell r="A511" t="str">
            <v>Unknown</v>
          </cell>
        </row>
        <row r="512">
          <cell r="A512" t="str">
            <v>Clay Tile</v>
          </cell>
        </row>
        <row r="513">
          <cell r="A513" t="str">
            <v>PVC</v>
          </cell>
        </row>
        <row r="514">
          <cell r="A514" t="str">
            <v>Poly</v>
          </cell>
        </row>
        <row r="515">
          <cell r="A515" t="str">
            <v>Concrete</v>
          </cell>
        </row>
        <row r="516">
          <cell r="A516" t="str">
            <v>Cast Iron</v>
          </cell>
        </row>
        <row r="517">
          <cell r="A517" t="str">
            <v>Plastic</v>
          </cell>
        </row>
        <row r="518">
          <cell r="A518" t="str">
            <v>Ribbed Polyethylene</v>
          </cell>
        </row>
        <row r="519">
          <cell r="A519" t="str">
            <v>Conduit</v>
          </cell>
        </row>
        <row r="520">
          <cell r="A520" t="str">
            <v>Transite</v>
          </cell>
        </row>
        <row r="521">
          <cell r="A521" t="str">
            <v>Galvanized</v>
          </cell>
        </row>
        <row r="522">
          <cell r="A522" t="str">
            <v>Fiber Optic</v>
          </cell>
        </row>
        <row r="523">
          <cell r="A523" t="str">
            <v>Copper</v>
          </cell>
        </row>
        <row r="524">
          <cell r="A524" t="str">
            <v>Reasearch Required</v>
          </cell>
        </row>
        <row r="526">
          <cell r="A526" t="str">
            <v>Drip-External</v>
          </cell>
        </row>
        <row r="527">
          <cell r="A527" t="str">
            <v>Drip-Internal</v>
          </cell>
        </row>
        <row r="528">
          <cell r="A528" t="str">
            <v>Insertion Probe</v>
          </cell>
        </row>
        <row r="529">
          <cell r="A529" t="str">
            <v>Thermowell</v>
          </cell>
        </row>
        <row r="530">
          <cell r="A530" t="str">
            <v>Take-off</v>
          </cell>
        </row>
        <row r="531">
          <cell r="A531" t="str">
            <v>Connection</v>
          </cell>
        </row>
        <row r="532">
          <cell r="A532" t="str">
            <v>Save-a-valve</v>
          </cell>
        </row>
        <row r="533">
          <cell r="A533" t="str">
            <v>Other</v>
          </cell>
        </row>
        <row r="534">
          <cell r="A534" t="str">
            <v>Unknown</v>
          </cell>
        </row>
        <row r="536">
          <cell r="A536" t="str">
            <v>Hot</v>
          </cell>
        </row>
        <row r="537">
          <cell r="A537" t="str">
            <v>Cold</v>
          </cell>
        </row>
        <row r="538">
          <cell r="A538" t="str">
            <v>Unknown</v>
          </cell>
        </row>
        <row r="540">
          <cell r="A540">
            <v>0.25</v>
          </cell>
        </row>
        <row r="541">
          <cell r="A541">
            <v>0.375</v>
          </cell>
        </row>
        <row r="542">
          <cell r="A542">
            <v>0.5</v>
          </cell>
        </row>
        <row r="543">
          <cell r="A543">
            <v>0.75</v>
          </cell>
        </row>
        <row r="544">
          <cell r="A544">
            <v>1</v>
          </cell>
        </row>
        <row r="545">
          <cell r="A545">
            <v>1.25</v>
          </cell>
        </row>
        <row r="546">
          <cell r="A546">
            <v>1.5</v>
          </cell>
        </row>
        <row r="547">
          <cell r="A547">
            <v>1.75</v>
          </cell>
        </row>
        <row r="548">
          <cell r="A548">
            <v>2</v>
          </cell>
        </row>
        <row r="549">
          <cell r="A549">
            <v>2.5</v>
          </cell>
        </row>
        <row r="550">
          <cell r="A550" t="str">
            <v>Other</v>
          </cell>
        </row>
        <row r="551">
          <cell r="A551" t="str">
            <v>Unknown</v>
          </cell>
        </row>
        <row r="553">
          <cell r="A553" t="str">
            <v>Forged</v>
          </cell>
        </row>
        <row r="554">
          <cell r="A554" t="str">
            <v>Miter</v>
          </cell>
        </row>
        <row r="555">
          <cell r="A555" t="str">
            <v>Bell Bell Chill Ring</v>
          </cell>
        </row>
        <row r="556">
          <cell r="A556" t="str">
            <v>Wrinkle</v>
          </cell>
        </row>
        <row r="557">
          <cell r="A557" t="str">
            <v>Reducing</v>
          </cell>
        </row>
        <row r="558">
          <cell r="A558" t="str">
            <v>Unknown</v>
          </cell>
        </row>
        <row r="560">
          <cell r="A560" t="str">
            <v>Left</v>
          </cell>
        </row>
        <row r="561">
          <cell r="A561" t="str">
            <v>Right</v>
          </cell>
        </row>
        <row r="562">
          <cell r="A562" t="str">
            <v>Combo</v>
          </cell>
        </row>
        <row r="563">
          <cell r="A563" t="str">
            <v>Over Bend</v>
          </cell>
        </row>
        <row r="564">
          <cell r="A564" t="str">
            <v>Sag</v>
          </cell>
        </row>
        <row r="565">
          <cell r="A565" t="str">
            <v>Unknown</v>
          </cell>
        </row>
        <row r="567">
          <cell r="A567" t="str">
            <v>Miter</v>
          </cell>
        </row>
        <row r="568">
          <cell r="A568" t="str">
            <v>Bell Bell Chill Ring</v>
          </cell>
        </row>
        <row r="569">
          <cell r="A569" t="str">
            <v>Wrinkle</v>
          </cell>
        </row>
        <row r="570">
          <cell r="A570" t="str">
            <v>Bending Machine</v>
          </cell>
        </row>
        <row r="571">
          <cell r="A571" t="str">
            <v>Int Mandrel-Bending Machine</v>
          </cell>
        </row>
        <row r="572">
          <cell r="A572" t="str">
            <v>Unknown</v>
          </cell>
        </row>
        <row r="574">
          <cell r="A574" t="str">
            <v>Manual</v>
          </cell>
        </row>
        <row r="575">
          <cell r="A575" t="str">
            <v>Gas Operator</v>
          </cell>
        </row>
        <row r="576">
          <cell r="A576" t="str">
            <v>Electric Operator</v>
          </cell>
        </row>
        <row r="577">
          <cell r="A577" t="str">
            <v>Unknown</v>
          </cell>
        </row>
        <row r="579">
          <cell r="A579" t="str">
            <v>Weld neck</v>
          </cell>
        </row>
        <row r="580">
          <cell r="A580" t="str">
            <v>Blind</v>
          </cell>
        </row>
        <row r="581">
          <cell r="A581" t="str">
            <v>Slip on</v>
          </cell>
        </row>
        <row r="582">
          <cell r="A582" t="str">
            <v>Threaded</v>
          </cell>
        </row>
        <row r="583">
          <cell r="A583" t="str">
            <v>Reducing</v>
          </cell>
        </row>
        <row r="584">
          <cell r="A584" t="str">
            <v>Socket Weld</v>
          </cell>
        </row>
        <row r="585">
          <cell r="A585" t="str">
            <v>Insulating</v>
          </cell>
        </row>
        <row r="586">
          <cell r="A586" t="str">
            <v>Unknown</v>
          </cell>
        </row>
        <row r="588">
          <cell r="A588" t="str">
            <v>Top Tap</v>
          </cell>
        </row>
        <row r="589">
          <cell r="A589" t="str">
            <v>Side Tap</v>
          </cell>
        </row>
        <row r="590">
          <cell r="A590" t="str">
            <v>Bottom Tap</v>
          </cell>
        </row>
        <row r="591">
          <cell r="A591" t="str">
            <v>FE Line Stopper</v>
          </cell>
        </row>
        <row r="592">
          <cell r="A592" t="str">
            <v>TDW</v>
          </cell>
        </row>
        <row r="593">
          <cell r="A593" t="str">
            <v>Stopple</v>
          </cell>
        </row>
        <row r="594">
          <cell r="A594" t="str">
            <v>Cap</v>
          </cell>
        </row>
        <row r="595">
          <cell r="A595" t="str">
            <v>Plug</v>
          </cell>
        </row>
        <row r="596">
          <cell r="A596" t="str">
            <v>Threaded Weldolet</v>
          </cell>
        </row>
        <row r="597">
          <cell r="A597" t="str">
            <v>Pig Signal</v>
          </cell>
        </row>
        <row r="598">
          <cell r="A598" t="str">
            <v>Pressure Transmitter</v>
          </cell>
        </row>
        <row r="599">
          <cell r="A599" t="str">
            <v>Closure</v>
          </cell>
        </row>
        <row r="600">
          <cell r="A600" t="str">
            <v>Collar</v>
          </cell>
        </row>
        <row r="601">
          <cell r="A601" t="str">
            <v>Dresser Mechanical</v>
          </cell>
        </row>
        <row r="602">
          <cell r="A602" t="str">
            <v xml:space="preserve">Other </v>
          </cell>
        </row>
        <row r="603">
          <cell r="A603" t="str">
            <v>Internal Baffle</v>
          </cell>
        </row>
        <row r="604">
          <cell r="A604" t="str">
            <v>Insulating Joint</v>
          </cell>
        </row>
        <row r="605">
          <cell r="A605" t="str">
            <v>Unknown</v>
          </cell>
        </row>
        <row r="607">
          <cell r="A607" t="str">
            <v>Weld End</v>
          </cell>
        </row>
        <row r="608">
          <cell r="A608" t="str">
            <v>Flanged End</v>
          </cell>
        </row>
        <row r="609">
          <cell r="A609" t="str">
            <v>Screw End</v>
          </cell>
        </row>
        <row r="610">
          <cell r="A610" t="str">
            <v>Weld by Flange End</v>
          </cell>
        </row>
        <row r="611">
          <cell r="A611" t="str">
            <v>Weld by Screw End</v>
          </cell>
        </row>
        <row r="612">
          <cell r="A612" t="str">
            <v>Unknown</v>
          </cell>
        </row>
        <row r="614">
          <cell r="A614" t="str">
            <v>Unknown</v>
          </cell>
        </row>
        <row r="615">
          <cell r="A615" t="str">
            <v>Ball Valve</v>
          </cell>
        </row>
        <row r="616">
          <cell r="A616" t="str">
            <v>Gate Valve</v>
          </cell>
        </row>
        <row r="617">
          <cell r="A617" t="str">
            <v>Control Valve</v>
          </cell>
        </row>
        <row r="618">
          <cell r="A618" t="str">
            <v>Regulator Valve</v>
          </cell>
        </row>
        <row r="619">
          <cell r="A619" t="str">
            <v>Block</v>
          </cell>
        </row>
        <row r="620">
          <cell r="A620" t="str">
            <v>Check Valve</v>
          </cell>
        </row>
        <row r="621">
          <cell r="A621" t="str">
            <v>Flex Flow Valve</v>
          </cell>
        </row>
        <row r="622">
          <cell r="A622" t="str">
            <v>Blowdown Valve</v>
          </cell>
        </row>
        <row r="623">
          <cell r="A623" t="str">
            <v>Butterfly Valve</v>
          </cell>
        </row>
        <row r="625">
          <cell r="A625" t="str">
            <v>StrengthTest</v>
          </cell>
        </row>
        <row r="626">
          <cell r="A626" t="str">
            <v>LeakTest</v>
          </cell>
        </row>
        <row r="627">
          <cell r="A627" t="str">
            <v>Dynamic Test</v>
          </cell>
        </row>
        <row r="628">
          <cell r="A628" t="str">
            <v>PreTest</v>
          </cell>
        </row>
        <row r="630">
          <cell r="A630" t="str">
            <v>Water</v>
          </cell>
        </row>
        <row r="631">
          <cell r="A631" t="str">
            <v>Nitrogen</v>
          </cell>
        </row>
        <row r="632">
          <cell r="A632" t="str">
            <v>Natural Gas</v>
          </cell>
        </row>
        <row r="633">
          <cell r="A633" t="str">
            <v>Other</v>
          </cell>
        </row>
        <row r="634">
          <cell r="A634" t="str">
            <v>Unknown</v>
          </cell>
        </row>
        <row r="636">
          <cell r="B636" t="str">
            <v>Unknown</v>
          </cell>
        </row>
        <row r="637">
          <cell r="B637" t="str">
            <v>Road - Edge</v>
          </cell>
        </row>
        <row r="638">
          <cell r="B638" t="str">
            <v>Pavement - Edge</v>
          </cell>
        </row>
        <row r="639">
          <cell r="B639" t="str">
            <v>Shoulder - Toe</v>
          </cell>
        </row>
        <row r="640">
          <cell r="B640" t="str">
            <v>Shoulder - Top</v>
          </cell>
        </row>
        <row r="641">
          <cell r="B641" t="str">
            <v>Ballast - Toe</v>
          </cell>
        </row>
        <row r="642">
          <cell r="B642" t="str">
            <v>Ballast - Top</v>
          </cell>
        </row>
        <row r="643">
          <cell r="B643" t="str">
            <v>Grade - Toe</v>
          </cell>
        </row>
        <row r="644">
          <cell r="B644" t="str">
            <v>Guard Rail</v>
          </cell>
        </row>
        <row r="645">
          <cell r="B645" t="str">
            <v>Curb</v>
          </cell>
        </row>
        <row r="646">
          <cell r="B646" t="str">
            <v>Parking Lot - Begin</v>
          </cell>
        </row>
        <row r="647">
          <cell r="B647" t="str">
            <v>Parking Lot - End</v>
          </cell>
        </row>
        <row r="648">
          <cell r="B648" t="str">
            <v>Fence Line</v>
          </cell>
        </row>
        <row r="649">
          <cell r="B649" t="str">
            <v>Fence Corner</v>
          </cell>
        </row>
        <row r="650">
          <cell r="B650" t="str">
            <v>Gate</v>
          </cell>
        </row>
        <row r="651">
          <cell r="B651" t="str">
            <v>Retaining Wall</v>
          </cell>
        </row>
        <row r="652">
          <cell r="B652" t="str">
            <v>Cattle Guard Crossing</v>
          </cell>
        </row>
        <row r="653">
          <cell r="B653" t="str">
            <v>Slab - Begin Concrete</v>
          </cell>
        </row>
        <row r="654">
          <cell r="B654" t="str">
            <v>Slab - End Concrete</v>
          </cell>
        </row>
        <row r="655">
          <cell r="B655" t="str">
            <v>Fire Hydrant</v>
          </cell>
        </row>
        <row r="656">
          <cell r="B656" t="str">
            <v>Soil Bore Hole</v>
          </cell>
        </row>
        <row r="657">
          <cell r="B657" t="str">
            <v>Structure Corner</v>
          </cell>
        </row>
        <row r="658">
          <cell r="B658" t="str">
            <v>Rip Rap Begin</v>
          </cell>
        </row>
        <row r="659">
          <cell r="B659" t="str">
            <v>Rip Rap End</v>
          </cell>
        </row>
        <row r="660">
          <cell r="B660" t="str">
            <v>Underground Shaft</v>
          </cell>
        </row>
        <row r="661">
          <cell r="B661" t="str">
            <v>Monument</v>
          </cell>
        </row>
        <row r="662">
          <cell r="B662" t="str">
            <v>Trail</v>
          </cell>
        </row>
        <row r="663">
          <cell r="B663" t="str">
            <v>Park - Edge</v>
          </cell>
        </row>
        <row r="664">
          <cell r="B664" t="str">
            <v>Creek - Bank</v>
          </cell>
        </row>
        <row r="665">
          <cell r="B665" t="str">
            <v>River - Bank</v>
          </cell>
        </row>
        <row r="666">
          <cell r="B666" t="str">
            <v>Stream - Bank</v>
          </cell>
        </row>
        <row r="667">
          <cell r="B667" t="str">
            <v>Lake - Bank</v>
          </cell>
        </row>
        <row r="668">
          <cell r="B668" t="str">
            <v>Ditch - Edge</v>
          </cell>
        </row>
        <row r="669">
          <cell r="B669" t="str">
            <v>Walk - Edge of Concrete</v>
          </cell>
        </row>
        <row r="670">
          <cell r="B670" t="str">
            <v>Patch</v>
          </cell>
        </row>
        <row r="671">
          <cell r="B671" t="str">
            <v>High Bank</v>
          </cell>
        </row>
        <row r="672">
          <cell r="B672" t="str">
            <v>Curb - Back of</v>
          </cell>
        </row>
        <row r="673">
          <cell r="B673" t="str">
            <v>Foundation</v>
          </cell>
        </row>
        <row r="674">
          <cell r="B674" t="str">
            <v>Directional Drill - Begin</v>
          </cell>
        </row>
        <row r="675">
          <cell r="B675" t="str">
            <v>Concrete Revetment</v>
          </cell>
        </row>
        <row r="676">
          <cell r="B676" t="str">
            <v>Grout Mat</v>
          </cell>
        </row>
        <row r="677">
          <cell r="B677" t="str">
            <v>Low Bank - Top</v>
          </cell>
        </row>
        <row r="678">
          <cell r="B678" t="str">
            <v>Slope</v>
          </cell>
        </row>
        <row r="679">
          <cell r="B679" t="str">
            <v>Concrete Driveway</v>
          </cell>
        </row>
        <row r="680">
          <cell r="B680" t="str">
            <v>Driveway</v>
          </cell>
        </row>
        <row r="681">
          <cell r="B681" t="str">
            <v>Bank</v>
          </cell>
        </row>
        <row r="682">
          <cell r="B682" t="str">
            <v>Fill - Toe</v>
          </cell>
        </row>
        <row r="683">
          <cell r="B683" t="str">
            <v>Fill - Top</v>
          </cell>
        </row>
        <row r="684">
          <cell r="B684" t="str">
            <v>Concrete - Edge</v>
          </cell>
        </row>
        <row r="685">
          <cell r="B685" t="str">
            <v>Overflow - Edge</v>
          </cell>
        </row>
        <row r="686">
          <cell r="B686" t="str">
            <v>Canal - Drainage</v>
          </cell>
        </row>
        <row r="687">
          <cell r="B687" t="str">
            <v>Creek - Edge</v>
          </cell>
        </row>
        <row r="688">
          <cell r="B688" t="str">
            <v>Water - Edge</v>
          </cell>
        </row>
        <row r="689">
          <cell r="B689" t="str">
            <v>Glade</v>
          </cell>
        </row>
        <row r="690">
          <cell r="B690" t="str">
            <v>Glade - Edge</v>
          </cell>
        </row>
        <row r="691">
          <cell r="B691" t="str">
            <v>Wash</v>
          </cell>
        </row>
        <row r="692">
          <cell r="B692" t="str">
            <v>Rock Bed</v>
          </cell>
        </row>
        <row r="693">
          <cell r="B693" t="str">
            <v>Concrete Marker</v>
          </cell>
        </row>
        <row r="694">
          <cell r="B694" t="str">
            <v>Fence - Rail</v>
          </cell>
        </row>
        <row r="695">
          <cell r="B695" t="str">
            <v>Canal - Edge</v>
          </cell>
        </row>
        <row r="696">
          <cell r="B696" t="str">
            <v>Hedgerow</v>
          </cell>
        </row>
        <row r="697">
          <cell r="B697" t="str">
            <v>Research Required</v>
          </cell>
        </row>
        <row r="698">
          <cell r="B698" t="str">
            <v>Levee - Toe</v>
          </cell>
        </row>
        <row r="699">
          <cell r="B699" t="str">
            <v>Diversion Channel - Edge</v>
          </cell>
        </row>
        <row r="700">
          <cell r="B700" t="str">
            <v>Water Channel - Edge</v>
          </cell>
        </row>
        <row r="701">
          <cell r="B701" t="str">
            <v>Tree Line</v>
          </cell>
        </row>
        <row r="702">
          <cell r="B702" t="str">
            <v>P/L Protective Structure</v>
          </cell>
        </row>
        <row r="703">
          <cell r="B703" t="str">
            <v>Slough - Edge</v>
          </cell>
        </row>
        <row r="704">
          <cell r="B704" t="str">
            <v>Lake - Edge</v>
          </cell>
        </row>
        <row r="705">
          <cell r="B705" t="str">
            <v>Bough Line</v>
          </cell>
        </row>
        <row r="706">
          <cell r="B706" t="str">
            <v>Slab - Concrete</v>
          </cell>
        </row>
        <row r="707">
          <cell r="B707" t="str">
            <v>Brush Line</v>
          </cell>
        </row>
        <row r="708">
          <cell r="B708" t="str">
            <v>Bayou - Edge</v>
          </cell>
        </row>
        <row r="709">
          <cell r="B709" t="str">
            <v>Vegetation Change - Begin</v>
          </cell>
        </row>
        <row r="710">
          <cell r="B710" t="str">
            <v>Vegetation Change - End</v>
          </cell>
        </row>
        <row r="711">
          <cell r="B711" t="str">
            <v>River Crossing - End</v>
          </cell>
        </row>
        <row r="712">
          <cell r="B712" t="str">
            <v>Corner - Survey Tie</v>
          </cell>
        </row>
        <row r="713">
          <cell r="B713" t="str">
            <v>On Ramp - Edge</v>
          </cell>
        </row>
        <row r="714">
          <cell r="B714" t="str">
            <v>Loop - Edge</v>
          </cell>
        </row>
        <row r="715">
          <cell r="B715" t="str">
            <v>Off Ramp - Edge</v>
          </cell>
        </row>
        <row r="716">
          <cell r="B716" t="str">
            <v>Driveway - Concrete Edge</v>
          </cell>
        </row>
        <row r="717">
          <cell r="B717" t="str">
            <v>Curb - End</v>
          </cell>
        </row>
        <row r="718">
          <cell r="B718" t="str">
            <v>Trail - Edge</v>
          </cell>
        </row>
        <row r="719">
          <cell r="B719" t="str">
            <v>Structure</v>
          </cell>
        </row>
        <row r="720">
          <cell r="B720" t="str">
            <v>Vegetation</v>
          </cell>
        </row>
        <row r="721">
          <cell r="B721" t="str">
            <v>Cut - Top</v>
          </cell>
        </row>
        <row r="722">
          <cell r="B722" t="str">
            <v>Tie Post</v>
          </cell>
        </row>
        <row r="723">
          <cell r="B723" t="str">
            <v>Instrument</v>
          </cell>
        </row>
        <row r="724">
          <cell r="B724" t="str">
            <v>Point of Curvature</v>
          </cell>
        </row>
        <row r="725">
          <cell r="B725" t="str">
            <v>Point of Compound Curvature</v>
          </cell>
        </row>
        <row r="726">
          <cell r="B726" t="str">
            <v>Point of Tangency</v>
          </cell>
        </row>
        <row r="727">
          <cell r="B727" t="str">
            <v>Channel - Edge</v>
          </cell>
        </row>
        <row r="728">
          <cell r="B728" t="str">
            <v>Bank - Top</v>
          </cell>
        </row>
        <row r="729">
          <cell r="B729" t="str">
            <v>River Crossing - Begin</v>
          </cell>
        </row>
        <row r="730">
          <cell r="B730" t="str">
            <v>Marsh - Edge</v>
          </cell>
        </row>
        <row r="731">
          <cell r="B731" t="str">
            <v>Pond - Edge</v>
          </cell>
        </row>
        <row r="732">
          <cell r="B732" t="str">
            <v>Curb - Toe</v>
          </cell>
        </row>
        <row r="733">
          <cell r="B733" t="str">
            <v>Curb - Top</v>
          </cell>
        </row>
        <row r="734">
          <cell r="B734" t="str">
            <v>Fence Post</v>
          </cell>
        </row>
        <row r="735">
          <cell r="B735" t="str">
            <v>Directional Drill - End</v>
          </cell>
        </row>
        <row r="736">
          <cell r="B736" t="str">
            <v>Soil Begin</v>
          </cell>
        </row>
        <row r="737">
          <cell r="B737" t="str">
            <v>Soil End</v>
          </cell>
        </row>
        <row r="738">
          <cell r="B738" t="str">
            <v>Reference Point</v>
          </cell>
        </row>
        <row r="739">
          <cell r="B739" t="str">
            <v>Rock Shield - Begin</v>
          </cell>
        </row>
        <row r="740">
          <cell r="B740" t="str">
            <v>Rock Shield -End</v>
          </cell>
        </row>
        <row r="741">
          <cell r="B741" t="str">
            <v>Pole - Utility/Power</v>
          </cell>
        </row>
        <row r="742">
          <cell r="B742" t="str">
            <v>Levee</v>
          </cell>
        </row>
        <row r="743">
          <cell r="B743" t="str">
            <v>MOP Report Comment</v>
          </cell>
        </row>
        <row r="744">
          <cell r="B744" t="str">
            <v>Curb - Begin</v>
          </cell>
        </row>
        <row r="745">
          <cell r="B745" t="str">
            <v>Telephone Pole</v>
          </cell>
        </row>
        <row r="746">
          <cell r="B746" t="str">
            <v>Survey</v>
          </cell>
        </row>
        <row r="747">
          <cell r="B747" t="str">
            <v>Draw - Edge</v>
          </cell>
        </row>
        <row r="748">
          <cell r="B748" t="str">
            <v>Wash - Edge</v>
          </cell>
        </row>
        <row r="749">
          <cell r="B749" t="str">
            <v>Pole - Utility/P</v>
          </cell>
        </row>
        <row r="750">
          <cell r="B750" t="str">
            <v>Driveway - Concr</v>
          </cell>
        </row>
        <row r="751">
          <cell r="B751" t="str">
            <v>Directional Dril</v>
          </cell>
        </row>
        <row r="752">
          <cell r="B752" t="str">
            <v>Levee C/L</v>
          </cell>
        </row>
        <row r="754">
          <cell r="A754" t="str">
            <v>Unknown</v>
          </cell>
        </row>
        <row r="755">
          <cell r="A755" t="str">
            <v>River Weight</v>
          </cell>
        </row>
        <row r="756">
          <cell r="A756" t="str">
            <v>Pipe Support</v>
          </cell>
        </row>
        <row r="757">
          <cell r="A757" t="str">
            <v>Pipe Strap</v>
          </cell>
        </row>
        <row r="758">
          <cell r="A758" t="str">
            <v>Bridge</v>
          </cell>
        </row>
        <row r="759">
          <cell r="A759" t="str">
            <v>Pipe Clamp</v>
          </cell>
        </row>
        <row r="760">
          <cell r="A760" t="str">
            <v>Pig Signal</v>
          </cell>
        </row>
        <row r="761">
          <cell r="A761" t="str">
            <v>Bridge Pipe Clamp</v>
          </cell>
        </row>
        <row r="762">
          <cell r="A762" t="str">
            <v>Concrete Encasement</v>
          </cell>
        </row>
        <row r="763">
          <cell r="A763" t="str">
            <v>Revetment Material</v>
          </cell>
        </row>
        <row r="765">
          <cell r="A765" t="str">
            <v>Launcher</v>
          </cell>
        </row>
        <row r="766">
          <cell r="A766" t="str">
            <v>Receiver</v>
          </cell>
        </row>
        <row r="767">
          <cell r="A767" t="str">
            <v>Pig Trap</v>
          </cell>
        </row>
        <row r="768">
          <cell r="A768" t="str">
            <v>Scraper Trap</v>
          </cell>
        </row>
        <row r="769">
          <cell r="A769" t="str">
            <v>Unknown</v>
          </cell>
        </row>
        <row r="771">
          <cell r="A771" t="str">
            <v>Steel Pipe</v>
          </cell>
        </row>
        <row r="772">
          <cell r="A772" t="str">
            <v>Bolted Steel</v>
          </cell>
        </row>
        <row r="773">
          <cell r="A773" t="str">
            <v>Corrugated Steel</v>
          </cell>
        </row>
        <row r="774">
          <cell r="A774" t="str">
            <v>2 half soles fused or welded</v>
          </cell>
        </row>
        <row r="775">
          <cell r="A775" t="str">
            <v>Nestable</v>
          </cell>
        </row>
        <row r="776">
          <cell r="A776" t="str">
            <v>Bolted</v>
          </cell>
        </row>
        <row r="777">
          <cell r="A777" t="str">
            <v>Corrugated</v>
          </cell>
        </row>
        <row r="778">
          <cell r="A778" t="str">
            <v>Other</v>
          </cell>
        </row>
        <row r="779">
          <cell r="A779" t="str">
            <v>Unknown</v>
          </cell>
        </row>
        <row r="781">
          <cell r="A781" t="str">
            <v>Unknown</v>
          </cell>
        </row>
        <row r="782">
          <cell r="A782" t="str">
            <v>Koenite</v>
          </cell>
        </row>
        <row r="783">
          <cell r="A783" t="str">
            <v>Oxide Cm</v>
          </cell>
        </row>
        <row r="784">
          <cell r="A784" t="str">
            <v>Trenton Fill Coat</v>
          </cell>
        </row>
        <row r="786">
          <cell r="A786" t="str">
            <v>Unknown</v>
          </cell>
        </row>
        <row r="787">
          <cell r="A787" t="str">
            <v>Link Seals</v>
          </cell>
        </row>
        <row r="788">
          <cell r="A788" t="str">
            <v>Rags and Tar</v>
          </cell>
        </row>
        <row r="789">
          <cell r="A789" t="str">
            <v>Banded Rubber</v>
          </cell>
        </row>
        <row r="791">
          <cell r="A791" t="str">
            <v>A</v>
          </cell>
        </row>
        <row r="792">
          <cell r="A792" t="str">
            <v>C</v>
          </cell>
        </row>
        <row r="793">
          <cell r="A793" t="str">
            <v>D</v>
          </cell>
        </row>
      </sheetData>
      <sheetData sheetId="9">
        <row r="3">
          <cell r="A3">
            <v>22463</v>
          </cell>
        </row>
      </sheetData>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tore"/>
      <sheetName val="Logic"/>
      <sheetName val="Pipe Data"/>
      <sheetName val="PFL Issues"/>
      <sheetName val="QC Issue Tracking Data"/>
      <sheetName val="Column Definitions"/>
      <sheetName val="Instructions"/>
      <sheetName val="Changes"/>
      <sheetName val="Selections"/>
      <sheetName val="FVE Table"/>
      <sheetName val="MAOP Report"/>
    </sheetNames>
    <sheetDataSet>
      <sheetData sheetId="0"/>
      <sheetData sheetId="1"/>
      <sheetData sheetId="2"/>
      <sheetData sheetId="3"/>
      <sheetData sheetId="4"/>
      <sheetData sheetId="5"/>
      <sheetData sheetId="6"/>
      <sheetData sheetId="7"/>
      <sheetData sheetId="8">
        <row r="754">
          <cell r="A754" t="str">
            <v>Unknown</v>
          </cell>
        </row>
        <row r="755">
          <cell r="A755" t="str">
            <v>River Weight</v>
          </cell>
        </row>
        <row r="756">
          <cell r="A756" t="str">
            <v>Pipe Support</v>
          </cell>
        </row>
        <row r="757">
          <cell r="A757" t="str">
            <v>Pipe Strap</v>
          </cell>
        </row>
        <row r="758">
          <cell r="A758" t="str">
            <v>Bridge</v>
          </cell>
        </row>
        <row r="759">
          <cell r="A759" t="str">
            <v>Pipe Clamp</v>
          </cell>
        </row>
        <row r="760">
          <cell r="A760" t="str">
            <v>Pig Signal</v>
          </cell>
        </row>
        <row r="761">
          <cell r="A761" t="str">
            <v>Bridge Pipe Clamp</v>
          </cell>
        </row>
        <row r="762">
          <cell r="A762" t="str">
            <v>Concrete Encasement</v>
          </cell>
        </row>
        <row r="763">
          <cell r="A763" t="str">
            <v>Revetment Material</v>
          </cell>
        </row>
      </sheetData>
      <sheetData sheetId="9"/>
      <sheetData sheetId="10"/>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tore"/>
      <sheetName val="Logic"/>
      <sheetName val="Pipe Data"/>
      <sheetName val="PFL Issues"/>
      <sheetName val="QC Review"/>
      <sheetName val="Column Definitions"/>
      <sheetName val="Instructions"/>
      <sheetName val="Changes"/>
      <sheetName val="Selections"/>
      <sheetName val="FVE Table"/>
      <sheetName val="MAOP Report"/>
    </sheetNames>
    <sheetDataSet>
      <sheetData sheetId="0"/>
      <sheetData sheetId="1"/>
      <sheetData sheetId="2"/>
      <sheetData sheetId="3"/>
      <sheetData sheetId="4"/>
      <sheetData sheetId="5"/>
      <sheetData sheetId="6">
        <row r="113">
          <cell r="A113" t="str">
            <v>Q1</v>
          </cell>
        </row>
        <row r="114">
          <cell r="A114" t="str">
            <v>Q2</v>
          </cell>
        </row>
        <row r="115">
          <cell r="A115" t="str">
            <v>Q3</v>
          </cell>
        </row>
        <row r="116">
          <cell r="A116" t="str">
            <v>Q4</v>
          </cell>
        </row>
        <row r="117">
          <cell r="A117" t="str">
            <v>Q5</v>
          </cell>
        </row>
        <row r="118">
          <cell r="A118" t="str">
            <v>Q6</v>
          </cell>
        </row>
        <row r="121">
          <cell r="A121" t="str">
            <v>Q1</v>
          </cell>
        </row>
        <row r="122">
          <cell r="A122" t="str">
            <v>Q2</v>
          </cell>
        </row>
        <row r="123">
          <cell r="A123" t="str">
            <v>Q3</v>
          </cell>
        </row>
        <row r="124">
          <cell r="A124" t="str">
            <v>Q4</v>
          </cell>
        </row>
        <row r="125">
          <cell r="A125" t="str">
            <v>Q5</v>
          </cell>
        </row>
        <row r="126">
          <cell r="A126" t="str">
            <v>Q6</v>
          </cell>
        </row>
        <row r="127">
          <cell r="A127" t="str">
            <v>Q7</v>
          </cell>
        </row>
        <row r="128">
          <cell r="A128" t="str">
            <v>Q8</v>
          </cell>
        </row>
        <row r="129">
          <cell r="A129" t="str">
            <v>Q9</v>
          </cell>
        </row>
        <row r="130">
          <cell r="A130" t="str">
            <v>Q10</v>
          </cell>
        </row>
        <row r="131">
          <cell r="A131" t="str">
            <v>Q11</v>
          </cell>
        </row>
        <row r="134">
          <cell r="A134" t="str">
            <v>Included</v>
          </cell>
        </row>
        <row r="135">
          <cell r="A135" t="str">
            <v>Previous</v>
          </cell>
        </row>
        <row r="136">
          <cell r="A136" t="str">
            <v>By Others</v>
          </cell>
        </row>
        <row r="145">
          <cell r="A145" t="str">
            <v>PG&amp;E GIS inaccurate</v>
          </cell>
        </row>
        <row r="146">
          <cell r="A146" t="str">
            <v>Pipe Segments changed</v>
          </cell>
        </row>
        <row r="147">
          <cell r="A147" t="str">
            <v>Lack of Information</v>
          </cell>
        </row>
        <row r="148">
          <cell r="A148" t="str">
            <v>Conflicting Information</v>
          </cell>
        </row>
        <row r="149">
          <cell r="A149" t="str">
            <v>Class Location Inaccurate</v>
          </cell>
        </row>
        <row r="150">
          <cell r="A150" t="str">
            <v>Inaccurate material specs</v>
          </cell>
        </row>
        <row r="151">
          <cell r="A151" t="str">
            <v>Opt Map /Diagram Inaccurate</v>
          </cell>
        </row>
        <row r="152">
          <cell r="A152" t="str">
            <v>Other</v>
          </cell>
        </row>
        <row r="153">
          <cell r="A153" t="str">
            <v>Error- No Signoff</v>
          </cell>
        </row>
        <row r="154">
          <cell r="A154" t="str">
            <v>Error- Mile Point</v>
          </cell>
        </row>
        <row r="155">
          <cell r="A155" t="str">
            <v>Error- Version</v>
          </cell>
        </row>
        <row r="156">
          <cell r="A156" t="str">
            <v>Error- Stationing</v>
          </cell>
        </row>
        <row r="157">
          <cell r="A157" t="str">
            <v>Error- PFL Line Number</v>
          </cell>
        </row>
        <row r="158">
          <cell r="A158" t="str">
            <v>Error- Segment-Class</v>
          </cell>
        </row>
        <row r="159">
          <cell r="A159" t="str">
            <v>Error- Feature-Type</v>
          </cell>
        </row>
        <row r="160">
          <cell r="A160" t="str">
            <v>Error- Reference Images</v>
          </cell>
        </row>
        <row r="161">
          <cell r="A161" t="str">
            <v>Error- Reference Maps</v>
          </cell>
        </row>
        <row r="162">
          <cell r="A162" t="str">
            <v>Error- STPR Quality</v>
          </cell>
        </row>
        <row r="163">
          <cell r="A163" t="str">
            <v>Error- Current MAOP</v>
          </cell>
        </row>
        <row r="164">
          <cell r="A164" t="str">
            <v>Error- Job Number or Install Date</v>
          </cell>
        </row>
        <row r="165">
          <cell r="A165" t="str">
            <v>Error- Branch Name</v>
          </cell>
        </row>
        <row r="166">
          <cell r="A166" t="str">
            <v>Error- Branch Status</v>
          </cell>
        </row>
        <row r="167">
          <cell r="A167" t="str">
            <v>Error- Lan Ids</v>
          </cell>
        </row>
        <row r="168">
          <cell r="A168" t="str">
            <v>Error- PFL Name</v>
          </cell>
        </row>
        <row r="169">
          <cell r="A169" t="str">
            <v>Error- Mainline for Short missing</v>
          </cell>
        </row>
        <row r="170">
          <cell r="A170" t="str">
            <v>Error- STPR &gt; 1970 missed</v>
          </cell>
        </row>
      </sheetData>
      <sheetData sheetId="7"/>
      <sheetData sheetId="8">
        <row r="7">
          <cell r="A7">
            <v>1</v>
          </cell>
        </row>
        <row r="8">
          <cell r="A8">
            <v>2</v>
          </cell>
        </row>
        <row r="9">
          <cell r="A9">
            <v>3</v>
          </cell>
        </row>
        <row r="10">
          <cell r="A10">
            <v>4</v>
          </cell>
        </row>
        <row r="11">
          <cell r="A11" t="str">
            <v>N/A</v>
          </cell>
        </row>
        <row r="490">
          <cell r="A490" t="str">
            <v>Missed Feature</v>
          </cell>
        </row>
        <row r="491">
          <cell r="A491" t="str">
            <v>Incorrect Feature</v>
          </cell>
        </row>
        <row r="492">
          <cell r="A492" t="str">
            <v>Incorrect Spec</v>
          </cell>
        </row>
        <row r="493">
          <cell r="A493" t="str">
            <v>Missed Spec</v>
          </cell>
        </row>
        <row r="494">
          <cell r="A494" t="str">
            <v>Traceability</v>
          </cell>
        </row>
        <row r="497">
          <cell r="A497" t="str">
            <v>Scope / Boundaries</v>
          </cell>
        </row>
        <row r="498">
          <cell r="A498" t="str">
            <v>Engineering Assessment</v>
          </cell>
        </row>
        <row r="499">
          <cell r="A499" t="str">
            <v>General Miscommunication</v>
          </cell>
        </row>
        <row r="500">
          <cell r="A500" t="str">
            <v>Procedure Not Followed</v>
          </cell>
        </row>
        <row r="501">
          <cell r="A501" t="str">
            <v>Primary Document Not Used</v>
          </cell>
        </row>
      </sheetData>
      <sheetData sheetId="9"/>
      <sheetData sheetId="1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Column Definitions"/>
      <sheetName val="Instructions"/>
      <sheetName val="Changes"/>
      <sheetName val="Selections"/>
      <sheetName val="FVE Validation"/>
      <sheetName val="FVE Table"/>
      <sheetName val="Logic"/>
      <sheetName val="Resolution Doc"/>
      <sheetName val="MAOP Report"/>
      <sheetName val="PFL Worksheet-v23 FVE Calculato"/>
    </sheetNames>
    <sheetDataSet>
      <sheetData sheetId="0"/>
      <sheetData sheetId="1"/>
      <sheetData sheetId="2"/>
      <sheetData sheetId="3"/>
      <sheetData sheetId="4">
        <row r="552">
          <cell r="A552" t="str">
            <v>American</v>
          </cell>
        </row>
        <row r="553">
          <cell r="A553" t="str">
            <v>Berg Steel Pipe</v>
          </cell>
        </row>
        <row r="554">
          <cell r="A554" t="str">
            <v>Brooks Products</v>
          </cell>
        </row>
        <row r="555">
          <cell r="A555" t="str">
            <v>California Steel Ind.</v>
          </cell>
        </row>
        <row r="556">
          <cell r="A556" t="str">
            <v>Cameron</v>
          </cell>
        </row>
        <row r="557">
          <cell r="A557" t="str">
            <v>Carlon</v>
          </cell>
        </row>
        <row r="558">
          <cell r="A558" t="str">
            <v>Consolidated Western</v>
          </cell>
        </row>
        <row r="559">
          <cell r="A559" t="str">
            <v>Continental</v>
          </cell>
        </row>
        <row r="560">
          <cell r="A560" t="str">
            <v>Cooper Cameron</v>
          </cell>
        </row>
        <row r="561">
          <cell r="A561" t="str">
            <v>Dressor</v>
          </cell>
        </row>
        <row r="562">
          <cell r="A562" t="str">
            <v>Dressor Rand</v>
          </cell>
        </row>
        <row r="563">
          <cell r="A563" t="str">
            <v>Dura Bond</v>
          </cell>
        </row>
        <row r="564">
          <cell r="A564" t="str">
            <v>Fisher</v>
          </cell>
        </row>
        <row r="565">
          <cell r="A565" t="str">
            <v>Grove</v>
          </cell>
        </row>
        <row r="566">
          <cell r="A566" t="str">
            <v>Herning Underground</v>
          </cell>
        </row>
        <row r="567">
          <cell r="A567" t="str">
            <v>Ingersoll Rand</v>
          </cell>
        </row>
        <row r="568">
          <cell r="A568" t="str">
            <v>Innogaz</v>
          </cell>
        </row>
        <row r="569">
          <cell r="A569" t="str">
            <v>Kaiser</v>
          </cell>
        </row>
        <row r="570">
          <cell r="A570" t="str">
            <v>Kerotest</v>
          </cell>
        </row>
        <row r="571">
          <cell r="A571" t="str">
            <v>La Barge Pipe</v>
          </cell>
        </row>
        <row r="572">
          <cell r="A572" t="str">
            <v>Mooney</v>
          </cell>
        </row>
        <row r="573">
          <cell r="A573" t="str">
            <v>Mueller</v>
          </cell>
        </row>
        <row r="574">
          <cell r="A574" t="str">
            <v>National Tube</v>
          </cell>
        </row>
        <row r="575">
          <cell r="A575" t="str">
            <v>Nordstrom</v>
          </cell>
        </row>
        <row r="576">
          <cell r="A576" t="str">
            <v>Northwest Pipe</v>
          </cell>
        </row>
        <row r="577">
          <cell r="A577" t="str">
            <v>Pacific Pipe Co</v>
          </cell>
        </row>
        <row r="578">
          <cell r="A578" t="str">
            <v>Perfection</v>
          </cell>
        </row>
        <row r="579">
          <cell r="A579" t="str">
            <v>PW Pipe Co</v>
          </cell>
        </row>
        <row r="580">
          <cell r="A580" t="str">
            <v>Ridgeline Pipe</v>
          </cell>
        </row>
        <row r="581">
          <cell r="A581" t="str">
            <v>Romet Limited</v>
          </cell>
        </row>
        <row r="582">
          <cell r="A582" t="str">
            <v>Taylor Forge</v>
          </cell>
        </row>
        <row r="583">
          <cell r="A583" t="str">
            <v>TD Williamson</v>
          </cell>
        </row>
        <row r="584">
          <cell r="A584" t="str">
            <v>TK Associates</v>
          </cell>
        </row>
        <row r="585">
          <cell r="A585" t="str">
            <v>Tri-Pacific Supply</v>
          </cell>
        </row>
        <row r="586">
          <cell r="A586" t="str">
            <v>Tube Forgings</v>
          </cell>
        </row>
        <row r="587">
          <cell r="A587" t="str">
            <v>Tube Turn</v>
          </cell>
        </row>
        <row r="588">
          <cell r="A588" t="str">
            <v>Tubular Steel</v>
          </cell>
        </row>
        <row r="589">
          <cell r="A589" t="str">
            <v>US Steel</v>
          </cell>
        </row>
        <row r="590">
          <cell r="A590" t="str">
            <v>US Steel</v>
          </cell>
        </row>
        <row r="591">
          <cell r="A591" t="str">
            <v>USPoly Co</v>
          </cell>
        </row>
        <row r="592">
          <cell r="A592" t="str">
            <v>-Type Over Me-</v>
          </cell>
        </row>
        <row r="593">
          <cell r="A593">
            <v>0</v>
          </cell>
        </row>
      </sheetData>
      <sheetData sheetId="5">
        <row r="4">
          <cell r="B4">
            <v>24000</v>
          </cell>
          <cell r="C4">
            <v>42</v>
          </cell>
          <cell r="E4">
            <v>0.6</v>
          </cell>
          <cell r="F4" t="str">
            <v xml:space="preserve">AO Smith </v>
          </cell>
          <cell r="G4" t="str">
            <v>ANSI 125 #</v>
          </cell>
          <cell r="H4">
            <v>1</v>
          </cell>
          <cell r="I4">
            <v>50</v>
          </cell>
          <cell r="J4">
            <v>0.4</v>
          </cell>
          <cell r="K4" t="str">
            <v>R</v>
          </cell>
        </row>
        <row r="5">
          <cell r="B5">
            <v>25000</v>
          </cell>
          <cell r="C5">
            <v>36</v>
          </cell>
          <cell r="E5">
            <v>0.8</v>
          </cell>
          <cell r="F5" t="str">
            <v>Double Submerged Arc Weld</v>
          </cell>
          <cell r="G5" t="str">
            <v>ANSI 150 #</v>
          </cell>
          <cell r="H5" t="str">
            <v>1 in Station</v>
          </cell>
          <cell r="I5">
            <v>100</v>
          </cell>
          <cell r="J5">
            <v>0.5</v>
          </cell>
          <cell r="K5" t="str">
            <v>D</v>
          </cell>
        </row>
        <row r="6">
          <cell r="B6">
            <v>28000</v>
          </cell>
          <cell r="C6">
            <v>34.5</v>
          </cell>
          <cell r="E6">
            <v>1</v>
          </cell>
          <cell r="F6" t="str">
            <v>Electric Fusion Weld</v>
          </cell>
          <cell r="G6" t="str">
            <v>ANSI 250 #</v>
          </cell>
          <cell r="H6" t="str">
            <v>1 in Public Road Crossing</v>
          </cell>
          <cell r="I6">
            <v>125</v>
          </cell>
          <cell r="J6">
            <v>0.6</v>
          </cell>
        </row>
        <row r="7">
          <cell r="B7">
            <v>30000</v>
          </cell>
          <cell r="C7">
            <v>34</v>
          </cell>
          <cell r="E7" t="str">
            <v>N/A</v>
          </cell>
          <cell r="F7" t="str">
            <v>Electric Resistance Weld</v>
          </cell>
          <cell r="G7" t="str">
            <v>ANSI 300 #</v>
          </cell>
          <cell r="H7" t="str">
            <v>1 in Hard Road Parallel</v>
          </cell>
          <cell r="I7">
            <v>150</v>
          </cell>
          <cell r="J7">
            <v>0.72</v>
          </cell>
        </row>
        <row r="8">
          <cell r="B8">
            <v>32000</v>
          </cell>
          <cell r="C8">
            <v>32</v>
          </cell>
          <cell r="F8" t="str">
            <v>Furnace Butt Weld</v>
          </cell>
          <cell r="G8" t="str">
            <v>ANSI 400 #</v>
          </cell>
          <cell r="H8" t="str">
            <v>1 on Bridge</v>
          </cell>
          <cell r="I8">
            <v>175</v>
          </cell>
          <cell r="J8">
            <v>1</v>
          </cell>
        </row>
        <row r="9">
          <cell r="B9">
            <v>33000</v>
          </cell>
          <cell r="C9">
            <v>30</v>
          </cell>
          <cell r="F9" t="str">
            <v>Lap Weld</v>
          </cell>
          <cell r="G9" t="str">
            <v>ANSI 600 #</v>
          </cell>
          <cell r="H9">
            <v>2</v>
          </cell>
          <cell r="I9">
            <v>200</v>
          </cell>
          <cell r="J9" t="str">
            <v>N/A</v>
          </cell>
        </row>
        <row r="10">
          <cell r="B10">
            <v>35000</v>
          </cell>
          <cell r="C10">
            <v>26</v>
          </cell>
          <cell r="F10" t="str">
            <v>N/A</v>
          </cell>
          <cell r="G10" t="str">
            <v>ANSI 900 #</v>
          </cell>
          <cell r="H10" t="str">
            <v>2 in Station</v>
          </cell>
          <cell r="I10">
            <v>230</v>
          </cell>
        </row>
        <row r="11">
          <cell r="B11">
            <v>36000</v>
          </cell>
          <cell r="C11">
            <v>24</v>
          </cell>
          <cell r="F11" t="str">
            <v>N/A - Valve/Filter/Other</v>
          </cell>
          <cell r="G11" t="str">
            <v>ANSI 1500 #</v>
          </cell>
          <cell r="H11" t="str">
            <v>2 in Hard Road Crossing</v>
          </cell>
          <cell r="I11">
            <v>250</v>
          </cell>
        </row>
        <row r="12">
          <cell r="B12">
            <v>38000</v>
          </cell>
          <cell r="C12">
            <v>22</v>
          </cell>
          <cell r="F12" t="str">
            <v>Polyethylene Pipe</v>
          </cell>
          <cell r="G12" t="str">
            <v>ANSI 2500#</v>
          </cell>
          <cell r="H12">
            <v>3</v>
          </cell>
          <cell r="I12">
            <v>275</v>
          </cell>
        </row>
        <row r="13">
          <cell r="B13">
            <v>40000</v>
          </cell>
          <cell r="C13">
            <v>20</v>
          </cell>
          <cell r="F13" t="str">
            <v>Seamless</v>
          </cell>
          <cell r="G13" t="str">
            <v>ASA 125 #</v>
          </cell>
          <cell r="H13" t="str">
            <v>3 in Station</v>
          </cell>
          <cell r="I13">
            <v>300</v>
          </cell>
        </row>
        <row r="14">
          <cell r="B14">
            <v>42000</v>
          </cell>
          <cell r="C14">
            <v>18</v>
          </cell>
          <cell r="F14" t="str">
            <v>Single Submerged Arc Weld</v>
          </cell>
          <cell r="G14" t="str">
            <v>ASA 150 #</v>
          </cell>
          <cell r="H14" t="str">
            <v>3 in Hard Road Crossing</v>
          </cell>
          <cell r="I14">
            <v>400</v>
          </cell>
        </row>
        <row r="15">
          <cell r="B15">
            <v>44000</v>
          </cell>
          <cell r="C15">
            <v>16</v>
          </cell>
          <cell r="F15" t="str">
            <v>Single Submerged Arc Weld/AO Smith</v>
          </cell>
          <cell r="G15" t="str">
            <v>ASA 250 #</v>
          </cell>
          <cell r="H15">
            <v>4</v>
          </cell>
          <cell r="I15">
            <v>500</v>
          </cell>
        </row>
        <row r="16">
          <cell r="B16">
            <v>45000</v>
          </cell>
          <cell r="C16">
            <v>14</v>
          </cell>
          <cell r="F16" t="str">
            <v>Sleeve</v>
          </cell>
          <cell r="G16" t="str">
            <v>ASA 300 #</v>
          </cell>
          <cell r="H16" t="str">
            <v>N/A</v>
          </cell>
          <cell r="I16">
            <v>575</v>
          </cell>
        </row>
        <row r="17">
          <cell r="B17">
            <v>46000</v>
          </cell>
          <cell r="C17">
            <v>12.75</v>
          </cell>
          <cell r="F17" t="str">
            <v>Spiral Weld</v>
          </cell>
          <cell r="G17" t="str">
            <v>ASA 400 #</v>
          </cell>
          <cell r="I17">
            <v>600</v>
          </cell>
        </row>
        <row r="18">
          <cell r="B18">
            <v>48000</v>
          </cell>
          <cell r="C18">
            <v>10.75</v>
          </cell>
          <cell r="F18" t="str">
            <v>Spiral Weld post 1966</v>
          </cell>
          <cell r="G18" t="str">
            <v>ASA 600 #</v>
          </cell>
          <cell r="I18">
            <v>720</v>
          </cell>
        </row>
        <row r="19">
          <cell r="B19">
            <v>50000</v>
          </cell>
          <cell r="C19">
            <v>8.625</v>
          </cell>
          <cell r="F19" t="str">
            <v>Spiral Weld/Lap Weld</v>
          </cell>
          <cell r="G19" t="str">
            <v>ASA 900 #</v>
          </cell>
          <cell r="I19">
            <v>720</v>
          </cell>
        </row>
        <row r="20">
          <cell r="B20">
            <v>52000</v>
          </cell>
          <cell r="C20">
            <v>6.625</v>
          </cell>
          <cell r="F20" t="str">
            <v>Unknown</v>
          </cell>
          <cell r="G20" t="str">
            <v>ASA 1500 #</v>
          </cell>
          <cell r="I20">
            <v>740</v>
          </cell>
        </row>
        <row r="21">
          <cell r="B21">
            <v>56000</v>
          </cell>
          <cell r="C21">
            <v>4.5</v>
          </cell>
          <cell r="F21" t="str">
            <v>Unknown &gt; 4 - Modern</v>
          </cell>
          <cell r="G21" t="str">
            <v>ASA 2500#</v>
          </cell>
          <cell r="I21">
            <v>800</v>
          </cell>
        </row>
        <row r="22">
          <cell r="B22">
            <v>57000</v>
          </cell>
          <cell r="C22">
            <v>3.5</v>
          </cell>
          <cell r="F22" t="str">
            <v>Unknown &gt; 4 inch</v>
          </cell>
          <cell r="G22" t="str">
            <v>Class 125</v>
          </cell>
          <cell r="I22">
            <v>900</v>
          </cell>
        </row>
        <row r="23">
          <cell r="B23">
            <v>60000</v>
          </cell>
          <cell r="C23">
            <v>2.375</v>
          </cell>
          <cell r="F23" t="str">
            <v>Unknown 4 inch or less</v>
          </cell>
          <cell r="G23" t="str">
            <v>Series 15</v>
          </cell>
          <cell r="I23">
            <v>920</v>
          </cell>
        </row>
        <row r="24">
          <cell r="B24">
            <v>65000</v>
          </cell>
          <cell r="C24">
            <v>1.9</v>
          </cell>
          <cell r="F24" t="str">
            <v>Seamless/Electric Resistance Weld</v>
          </cell>
          <cell r="G24" t="str">
            <v>Series 30</v>
          </cell>
          <cell r="I24">
            <v>960</v>
          </cell>
        </row>
        <row r="25">
          <cell r="B25">
            <v>70000</v>
          </cell>
          <cell r="C25">
            <v>1.66</v>
          </cell>
          <cell r="F25" t="str">
            <v>Seamless/Electric Resistance Weld/Double Submerged Arc Weld</v>
          </cell>
          <cell r="G25" t="str">
            <v>Series 40</v>
          </cell>
          <cell r="I25">
            <v>960</v>
          </cell>
        </row>
        <row r="26">
          <cell r="B26">
            <v>75000</v>
          </cell>
          <cell r="C26">
            <v>1.3149999999999999</v>
          </cell>
          <cell r="F26" t="str">
            <v>Seamless/Double Submerged Arc Weld</v>
          </cell>
          <cell r="G26" t="str">
            <v>Series 60</v>
          </cell>
          <cell r="I26">
            <v>1000</v>
          </cell>
        </row>
        <row r="27">
          <cell r="B27">
            <v>80000</v>
          </cell>
          <cell r="C27">
            <v>1.05</v>
          </cell>
          <cell r="G27" t="str">
            <v>WOG 50#</v>
          </cell>
          <cell r="I27">
            <v>1200</v>
          </cell>
        </row>
        <row r="28">
          <cell r="B28" t="str">
            <v>Requires Research</v>
          </cell>
          <cell r="C28">
            <v>0.84</v>
          </cell>
          <cell r="G28" t="str">
            <v>WOG 100#</v>
          </cell>
          <cell r="I28">
            <v>1290</v>
          </cell>
        </row>
        <row r="29">
          <cell r="B29" t="str">
            <v>Unknown</v>
          </cell>
          <cell r="C29">
            <v>0.5</v>
          </cell>
          <cell r="G29" t="str">
            <v>WOG 125#</v>
          </cell>
          <cell r="I29">
            <v>1440</v>
          </cell>
        </row>
        <row r="30">
          <cell r="B30" t="str">
            <v>N/A</v>
          </cell>
          <cell r="C30" t="str">
            <v>N/A</v>
          </cell>
          <cell r="G30" t="str">
            <v>WOG 150#</v>
          </cell>
          <cell r="I30">
            <v>1440</v>
          </cell>
        </row>
        <row r="31">
          <cell r="G31" t="str">
            <v>WOG 175#</v>
          </cell>
          <cell r="I31">
            <v>1480</v>
          </cell>
        </row>
        <row r="32">
          <cell r="G32" t="str">
            <v>WOG 200#</v>
          </cell>
          <cell r="I32">
            <v>1500</v>
          </cell>
        </row>
        <row r="33">
          <cell r="G33" t="str">
            <v>WOG 230#</v>
          </cell>
          <cell r="I33">
            <v>1800</v>
          </cell>
        </row>
        <row r="34">
          <cell r="G34" t="str">
            <v>WOG 250#</v>
          </cell>
          <cell r="I34">
            <v>2000</v>
          </cell>
        </row>
        <row r="35">
          <cell r="G35" t="str">
            <v>WOG 275#</v>
          </cell>
          <cell r="I35">
            <v>2160</v>
          </cell>
        </row>
        <row r="36">
          <cell r="G36" t="str">
            <v>WOG 300#</v>
          </cell>
          <cell r="I36">
            <v>2160</v>
          </cell>
        </row>
        <row r="37">
          <cell r="G37" t="str">
            <v>WOG 400#</v>
          </cell>
          <cell r="I37">
            <v>2200</v>
          </cell>
        </row>
        <row r="38">
          <cell r="G38" t="str">
            <v>WOG 500#</v>
          </cell>
          <cell r="I38">
            <v>2500</v>
          </cell>
        </row>
        <row r="39">
          <cell r="G39" t="str">
            <v>WOG 575#</v>
          </cell>
          <cell r="I39">
            <v>3000</v>
          </cell>
        </row>
        <row r="40">
          <cell r="G40" t="str">
            <v>WOG 600#</v>
          </cell>
          <cell r="I40">
            <v>3600</v>
          </cell>
        </row>
        <row r="41">
          <cell r="G41" t="str">
            <v>WOG 720#</v>
          </cell>
          <cell r="I41">
            <v>4500</v>
          </cell>
        </row>
        <row r="42">
          <cell r="G42" t="str">
            <v>WOG 740#</v>
          </cell>
          <cell r="I42">
            <v>5000</v>
          </cell>
        </row>
        <row r="43">
          <cell r="G43" t="str">
            <v>WOG 800#</v>
          </cell>
          <cell r="I43">
            <v>6000</v>
          </cell>
        </row>
        <row r="44">
          <cell r="G44" t="str">
            <v>WOG 900#</v>
          </cell>
          <cell r="I44">
            <v>6170</v>
          </cell>
        </row>
        <row r="45">
          <cell r="G45" t="str">
            <v>WOG 920#</v>
          </cell>
          <cell r="I45">
            <v>10000</v>
          </cell>
        </row>
        <row r="46">
          <cell r="G46" t="str">
            <v>WOG 960#</v>
          </cell>
          <cell r="I46" t="str">
            <v>N/A</v>
          </cell>
        </row>
        <row r="47">
          <cell r="G47" t="str">
            <v>WOG 1000#</v>
          </cell>
        </row>
        <row r="48">
          <cell r="G48" t="str">
            <v>WOG 1200#</v>
          </cell>
        </row>
        <row r="49">
          <cell r="G49" t="str">
            <v>WOG 1290#</v>
          </cell>
        </row>
        <row r="50">
          <cell r="G50" t="str">
            <v>WOG 1440#</v>
          </cell>
        </row>
        <row r="51">
          <cell r="G51" t="str">
            <v>WOG 1480#</v>
          </cell>
        </row>
        <row r="52">
          <cell r="G52" t="str">
            <v>WOG 1500#</v>
          </cell>
        </row>
        <row r="53">
          <cell r="G53" t="str">
            <v>WOG 1800#</v>
          </cell>
        </row>
        <row r="54">
          <cell r="G54" t="str">
            <v>WOG 2000#</v>
          </cell>
        </row>
        <row r="55">
          <cell r="G55" t="str">
            <v>WOG 2160#</v>
          </cell>
        </row>
        <row r="56">
          <cell r="G56" t="str">
            <v>WOG 2200#</v>
          </cell>
        </row>
        <row r="57">
          <cell r="G57" t="str">
            <v>WOG 2500#</v>
          </cell>
        </row>
        <row r="58">
          <cell r="G58" t="str">
            <v>WOG 3000#</v>
          </cell>
        </row>
        <row r="59">
          <cell r="G59" t="str">
            <v>WOG 3600#</v>
          </cell>
        </row>
        <row r="60">
          <cell r="G60" t="str">
            <v>WOG 4500#</v>
          </cell>
        </row>
        <row r="61">
          <cell r="G61" t="str">
            <v>WOG 5000#</v>
          </cell>
        </row>
        <row r="62">
          <cell r="G62" t="str">
            <v>WOG 6000#</v>
          </cell>
        </row>
        <row r="63">
          <cell r="G63" t="str">
            <v>WOG 10000#</v>
          </cell>
        </row>
        <row r="64">
          <cell r="G64" t="str">
            <v>Unknown</v>
          </cell>
        </row>
        <row r="65">
          <cell r="G65" t="str">
            <v>N/A</v>
          </cell>
        </row>
      </sheetData>
      <sheetData sheetId="6"/>
      <sheetData sheetId="7"/>
      <sheetData sheetId="8"/>
      <sheetData sheetId="9"/>
      <sheetData sheetId="1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Logic"/>
      <sheetName val="Issues-Errors"/>
      <sheetName val="Tools"/>
      <sheetName val="Column Definitions"/>
      <sheetName val="Instructions"/>
      <sheetName val="Changes"/>
      <sheetName val="Selections"/>
      <sheetName val="FVE Table"/>
      <sheetName val="MAOP Report"/>
      <sheetName val="Resolution Doc"/>
      <sheetName val="Sheet1"/>
      <sheetName val="PFL Worksheet-v23 FVE Calculato"/>
    </sheetNames>
    <sheetDataSet>
      <sheetData sheetId="0" refreshError="1"/>
      <sheetData sheetId="1" refreshError="1"/>
      <sheetData sheetId="2" refreshError="1"/>
      <sheetData sheetId="3" refreshError="1"/>
      <sheetData sheetId="4" refreshError="1"/>
      <sheetData sheetId="5">
        <row r="171">
          <cell r="A171" t="str">
            <v>Information</v>
          </cell>
        </row>
        <row r="172">
          <cell r="A172" t="str">
            <v>Error_Not_Technical</v>
          </cell>
        </row>
        <row r="173">
          <cell r="A173" t="str">
            <v>Error_Feature</v>
          </cell>
        </row>
        <row r="174">
          <cell r="A174" t="str">
            <v>Error_Value</v>
          </cell>
        </row>
        <row r="175">
          <cell r="A175" t="str">
            <v>Error_Other</v>
          </cell>
        </row>
        <row r="245">
          <cell r="A245" t="str">
            <v>Data Retrieval</v>
          </cell>
        </row>
        <row r="246">
          <cell r="A246" t="str">
            <v>PFL Build</v>
          </cell>
        </row>
        <row r="247">
          <cell r="A247" t="str">
            <v>PFL Internal QC</v>
          </cell>
        </row>
        <row r="248">
          <cell r="A248" t="str">
            <v>PFL Internal QC2</v>
          </cell>
        </row>
        <row r="249">
          <cell r="A249" t="str">
            <v>Quality Control</v>
          </cell>
        </row>
        <row r="250">
          <cell r="A250" t="str">
            <v>Field Validation</v>
          </cell>
        </row>
        <row r="251">
          <cell r="A251" t="str">
            <v>MAOP Report</v>
          </cell>
        </row>
      </sheetData>
      <sheetData sheetId="6" refreshError="1"/>
      <sheetData sheetId="7">
        <row r="137">
          <cell r="A137" t="str">
            <v>Unknown</v>
          </cell>
        </row>
        <row r="547">
          <cell r="A547" t="str">
            <v>C&amp;C</v>
          </cell>
        </row>
        <row r="548">
          <cell r="A548" t="str">
            <v>EN</v>
          </cell>
        </row>
        <row r="549">
          <cell r="A549" t="str">
            <v>Gulf</v>
          </cell>
        </row>
        <row r="550">
          <cell r="A550" t="str">
            <v>G2</v>
          </cell>
        </row>
        <row r="551">
          <cell r="A551" t="str">
            <v>Harris</v>
          </cell>
        </row>
        <row r="552">
          <cell r="A552" t="str">
            <v>Mustang</v>
          </cell>
        </row>
        <row r="553">
          <cell r="A553" t="str">
            <v>PG&amp;E</v>
          </cell>
        </row>
        <row r="554">
          <cell r="A554" t="str">
            <v>URS</v>
          </cell>
        </row>
        <row r="557">
          <cell r="A557" t="str">
            <v>C&amp;C</v>
          </cell>
        </row>
        <row r="558">
          <cell r="A558" t="str">
            <v>EN</v>
          </cell>
        </row>
        <row r="559">
          <cell r="A559" t="str">
            <v>Gulf</v>
          </cell>
        </row>
        <row r="560">
          <cell r="A560" t="str">
            <v>G2</v>
          </cell>
        </row>
        <row r="561">
          <cell r="A561" t="str">
            <v>Harris</v>
          </cell>
        </row>
        <row r="562">
          <cell r="A562" t="str">
            <v>Mustang</v>
          </cell>
        </row>
        <row r="563">
          <cell r="A563" t="str">
            <v>PG&amp;E Build</v>
          </cell>
        </row>
        <row r="564">
          <cell r="A564" t="str">
            <v>PG&amp;E QC</v>
          </cell>
        </row>
        <row r="565">
          <cell r="A565" t="str">
            <v>PG&amp;E Field Verify</v>
          </cell>
        </row>
        <row r="566">
          <cell r="A566" t="str">
            <v>PG&amp;E MAOP Rpt</v>
          </cell>
        </row>
        <row r="567">
          <cell r="A567" t="str">
            <v>URS</v>
          </cell>
        </row>
        <row r="600">
          <cell r="A600" t="str">
            <v>DREG</v>
          </cell>
        </row>
        <row r="601">
          <cell r="A601" t="str">
            <v>DCUST</v>
          </cell>
        </row>
        <row r="602">
          <cell r="A602" t="str">
            <v>GCUST</v>
          </cell>
        </row>
        <row r="603">
          <cell r="A603" t="str">
            <v>STUB</v>
          </cell>
        </row>
        <row r="604">
          <cell r="A604" t="str">
            <v>DRIP</v>
          </cell>
        </row>
        <row r="605">
          <cell r="A605" t="str">
            <v>BD</v>
          </cell>
        </row>
        <row r="608">
          <cell r="A608" t="str">
            <v>5 percent</v>
          </cell>
        </row>
        <row r="609">
          <cell r="A609" t="str">
            <v>10 percent</v>
          </cell>
        </row>
        <row r="610">
          <cell r="A610" t="str">
            <v>15 percent</v>
          </cell>
        </row>
        <row r="611">
          <cell r="A611" t="str">
            <v>20 percent</v>
          </cell>
        </row>
        <row r="612">
          <cell r="A612" t="str">
            <v>30 percent</v>
          </cell>
        </row>
        <row r="613">
          <cell r="A613" t="str">
            <v>40 percent</v>
          </cell>
        </row>
        <row r="614">
          <cell r="A614" t="str">
            <v>50 percent</v>
          </cell>
        </row>
        <row r="615">
          <cell r="A615" t="str">
            <v>80 percent</v>
          </cell>
        </row>
        <row r="616">
          <cell r="A616" t="str">
            <v>100 percent</v>
          </cell>
        </row>
        <row r="617">
          <cell r="A617" t="str">
            <v>Unknown</v>
          </cell>
        </row>
      </sheetData>
      <sheetData sheetId="8">
        <row r="3">
          <cell r="C3">
            <v>1.1000000000000001</v>
          </cell>
        </row>
      </sheetData>
      <sheetData sheetId="9" refreshError="1"/>
      <sheetData sheetId="10" refreshError="1"/>
      <sheetData sheetId="11" refreshError="1"/>
      <sheetData sheetId="1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Issues-Errors"/>
      <sheetName val="Tools"/>
      <sheetName val="CheckList"/>
      <sheetName val="Column Definitions"/>
      <sheetName val="Instructions"/>
      <sheetName val="Changes"/>
      <sheetName val="Selections"/>
      <sheetName val="FVE Validation"/>
      <sheetName val="FVE Table"/>
      <sheetName val="Logic"/>
      <sheetName val="Resolution Doc"/>
      <sheetName val="MAOP Report"/>
    </sheetNames>
    <sheetDataSet>
      <sheetData sheetId="0"/>
      <sheetData sheetId="1"/>
      <sheetData sheetId="2"/>
      <sheetData sheetId="3"/>
      <sheetData sheetId="4"/>
      <sheetData sheetId="5">
        <row r="170">
          <cell r="A170" t="str">
            <v>Information</v>
          </cell>
        </row>
        <row r="171">
          <cell r="A171" t="str">
            <v>Error_Not_Technical</v>
          </cell>
        </row>
        <row r="172">
          <cell r="A172" t="str">
            <v>Error_Feature</v>
          </cell>
        </row>
        <row r="173">
          <cell r="A173" t="str">
            <v>Error_Value</v>
          </cell>
        </row>
        <row r="174">
          <cell r="A174" t="str">
            <v>Error_Other</v>
          </cell>
        </row>
        <row r="248">
          <cell r="A248" t="str">
            <v>Data Retrieval</v>
          </cell>
        </row>
        <row r="249">
          <cell r="A249" t="str">
            <v>PFL Build</v>
          </cell>
        </row>
        <row r="250">
          <cell r="A250" t="str">
            <v>PFL Internal QC</v>
          </cell>
        </row>
        <row r="251">
          <cell r="A251" t="str">
            <v>PFL Internal QC2</v>
          </cell>
        </row>
        <row r="252">
          <cell r="A252" t="str">
            <v>Quality Control</v>
          </cell>
        </row>
        <row r="253">
          <cell r="A253" t="str">
            <v>Field Validation</v>
          </cell>
        </row>
        <row r="254">
          <cell r="A254" t="str">
            <v>MAOP Report</v>
          </cell>
        </row>
      </sheetData>
      <sheetData sheetId="6"/>
      <sheetData sheetId="7">
        <row r="718">
          <cell r="A718" t="str">
            <v>C&amp;C</v>
          </cell>
        </row>
        <row r="719">
          <cell r="A719" t="str">
            <v>EN</v>
          </cell>
        </row>
        <row r="720">
          <cell r="A720" t="str">
            <v>Gulf</v>
          </cell>
        </row>
        <row r="721">
          <cell r="A721" t="str">
            <v>G2</v>
          </cell>
        </row>
        <row r="722">
          <cell r="A722" t="str">
            <v>Harris</v>
          </cell>
        </row>
        <row r="723">
          <cell r="A723" t="str">
            <v>Mustang</v>
          </cell>
        </row>
        <row r="724">
          <cell r="A724" t="str">
            <v>PG&amp;E</v>
          </cell>
        </row>
        <row r="725">
          <cell r="A725" t="str">
            <v>URS</v>
          </cell>
        </row>
        <row r="728">
          <cell r="A728" t="str">
            <v>C&amp;C</v>
          </cell>
        </row>
        <row r="729">
          <cell r="A729" t="str">
            <v>EN</v>
          </cell>
        </row>
        <row r="730">
          <cell r="A730" t="str">
            <v>Gulf</v>
          </cell>
        </row>
        <row r="731">
          <cell r="A731" t="str">
            <v>G2</v>
          </cell>
        </row>
        <row r="732">
          <cell r="A732" t="str">
            <v>Harris</v>
          </cell>
        </row>
        <row r="733">
          <cell r="A733" t="str">
            <v>Mustang</v>
          </cell>
        </row>
        <row r="734">
          <cell r="A734" t="str">
            <v>PG&amp;E Build</v>
          </cell>
        </row>
        <row r="735">
          <cell r="A735" t="str">
            <v>PG&amp;E QC</v>
          </cell>
        </row>
        <row r="736">
          <cell r="A736" t="str">
            <v>PG&amp;E Field Verify</v>
          </cell>
        </row>
        <row r="737">
          <cell r="A737" t="str">
            <v>PG&amp;E MAOP Rpt</v>
          </cell>
        </row>
        <row r="738">
          <cell r="A738" t="str">
            <v>URS</v>
          </cell>
        </row>
        <row r="771">
          <cell r="A771" t="str">
            <v>DREG</v>
          </cell>
        </row>
        <row r="772">
          <cell r="A772" t="str">
            <v>DCUST</v>
          </cell>
        </row>
        <row r="773">
          <cell r="A773" t="str">
            <v>GCUST</v>
          </cell>
        </row>
        <row r="774">
          <cell r="A774" t="str">
            <v>STUB</v>
          </cell>
        </row>
        <row r="775">
          <cell r="A775" t="str">
            <v>DRIP</v>
          </cell>
        </row>
        <row r="776">
          <cell r="A776" t="str">
            <v>BD</v>
          </cell>
        </row>
        <row r="791">
          <cell r="A791" t="str">
            <v>Gary Collins</v>
          </cell>
        </row>
        <row r="792">
          <cell r="A792" t="str">
            <v>Phil Ornelas</v>
          </cell>
        </row>
        <row r="793">
          <cell r="A793" t="str">
            <v>Joel Mannie</v>
          </cell>
        </row>
        <row r="794">
          <cell r="A794" t="str">
            <v>Clem Holst</v>
          </cell>
        </row>
        <row r="795">
          <cell r="A795" t="str">
            <v>Tom Copriviza</v>
          </cell>
        </row>
        <row r="796">
          <cell r="A796" t="str">
            <v>Lisa Moreno</v>
          </cell>
        </row>
        <row r="797">
          <cell r="A797" t="str">
            <v>Shane Doong</v>
          </cell>
        </row>
        <row r="798">
          <cell r="A798" t="str">
            <v>Jason Bruni</v>
          </cell>
        </row>
        <row r="799">
          <cell r="A799" t="str">
            <v>Pat Wilhoit</v>
          </cell>
        </row>
        <row r="800">
          <cell r="A800" t="str">
            <v>Joey Mathews</v>
          </cell>
        </row>
        <row r="801">
          <cell r="A801" t="str">
            <v>Mike Hernandez</v>
          </cell>
        </row>
        <row r="802">
          <cell r="A802" t="str">
            <v>Timothy Mcknight</v>
          </cell>
        </row>
        <row r="803">
          <cell r="A803" t="str">
            <v>Perry Johnson</v>
          </cell>
        </row>
        <row r="804">
          <cell r="A804" t="str">
            <v>Tom Van Boxtel</v>
          </cell>
        </row>
        <row r="805">
          <cell r="A805" t="str">
            <v>Randy Mclain</v>
          </cell>
        </row>
        <row r="806">
          <cell r="A806">
            <v>0</v>
          </cell>
        </row>
        <row r="807">
          <cell r="A807">
            <v>0</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Logic"/>
      <sheetName val="Issues-Errors"/>
      <sheetName val="Tools"/>
      <sheetName val="Column Definitions"/>
      <sheetName val="Instructions"/>
      <sheetName val="Changes"/>
      <sheetName val="Selections"/>
      <sheetName val="FVE Table"/>
      <sheetName val="MAOP Report"/>
      <sheetName val="Resolution Doc"/>
    </sheetNames>
    <sheetDataSet>
      <sheetData sheetId="0"/>
      <sheetData sheetId="1"/>
      <sheetData sheetId="2"/>
      <sheetData sheetId="3"/>
      <sheetData sheetId="4"/>
      <sheetData sheetId="5">
        <row r="245">
          <cell r="A245" t="str">
            <v>Data Retrieval</v>
          </cell>
        </row>
        <row r="246">
          <cell r="A246" t="str">
            <v>PFL Build</v>
          </cell>
        </row>
        <row r="247">
          <cell r="A247" t="str">
            <v>PFL Internal QC</v>
          </cell>
        </row>
        <row r="248">
          <cell r="A248" t="str">
            <v>PFL Internal QC2</v>
          </cell>
        </row>
        <row r="249">
          <cell r="A249" t="str">
            <v>Quality Control</v>
          </cell>
        </row>
        <row r="250">
          <cell r="A250" t="str">
            <v>Field Validation</v>
          </cell>
        </row>
        <row r="251">
          <cell r="A251" t="str">
            <v>MAOP Report</v>
          </cell>
        </row>
      </sheetData>
      <sheetData sheetId="6"/>
      <sheetData sheetId="7">
        <row r="547">
          <cell r="A547" t="str">
            <v>C&amp;C</v>
          </cell>
        </row>
        <row r="548">
          <cell r="A548" t="str">
            <v>EN</v>
          </cell>
        </row>
        <row r="549">
          <cell r="A549" t="str">
            <v>Gulf</v>
          </cell>
        </row>
        <row r="550">
          <cell r="A550" t="str">
            <v>G2</v>
          </cell>
        </row>
        <row r="551">
          <cell r="A551" t="str">
            <v>Harris</v>
          </cell>
        </row>
        <row r="552">
          <cell r="A552" t="str">
            <v>Mustang</v>
          </cell>
        </row>
        <row r="553">
          <cell r="A553" t="str">
            <v>PG&amp;E</v>
          </cell>
        </row>
        <row r="554">
          <cell r="A554" t="str">
            <v>URS</v>
          </cell>
        </row>
        <row r="557">
          <cell r="A557" t="str">
            <v>C&amp;C</v>
          </cell>
        </row>
        <row r="558">
          <cell r="A558" t="str">
            <v>EN</v>
          </cell>
        </row>
        <row r="559">
          <cell r="A559" t="str">
            <v>Gulf</v>
          </cell>
        </row>
        <row r="560">
          <cell r="A560" t="str">
            <v>G2</v>
          </cell>
        </row>
        <row r="561">
          <cell r="A561" t="str">
            <v>Harris</v>
          </cell>
        </row>
        <row r="562">
          <cell r="A562" t="str">
            <v>Mustang</v>
          </cell>
        </row>
        <row r="563">
          <cell r="A563" t="str">
            <v>PG&amp;E Build</v>
          </cell>
        </row>
        <row r="564">
          <cell r="A564" t="str">
            <v>PG&amp;E QC</v>
          </cell>
        </row>
        <row r="565">
          <cell r="A565" t="str">
            <v>PG&amp;E Field Verify</v>
          </cell>
        </row>
        <row r="566">
          <cell r="A566" t="str">
            <v>PG&amp;E MAOP Rpt</v>
          </cell>
        </row>
        <row r="567">
          <cell r="A567" t="str">
            <v>URS</v>
          </cell>
        </row>
        <row r="600">
          <cell r="A600" t="str">
            <v>DREG</v>
          </cell>
        </row>
        <row r="601">
          <cell r="A601" t="str">
            <v>DCUST</v>
          </cell>
        </row>
        <row r="602">
          <cell r="A602" t="str">
            <v>GCUST</v>
          </cell>
        </row>
        <row r="603">
          <cell r="A603" t="str">
            <v>STUB</v>
          </cell>
        </row>
        <row r="604">
          <cell r="A604" t="str">
            <v>DRIP</v>
          </cell>
        </row>
        <row r="605">
          <cell r="A605" t="str">
            <v>BD</v>
          </cell>
        </row>
        <row r="608">
          <cell r="A608" t="str">
            <v>5 percent</v>
          </cell>
        </row>
        <row r="609">
          <cell r="A609" t="str">
            <v>10 percent</v>
          </cell>
        </row>
        <row r="610">
          <cell r="A610" t="str">
            <v>15 percent</v>
          </cell>
        </row>
        <row r="611">
          <cell r="A611" t="str">
            <v>20 percent</v>
          </cell>
        </row>
        <row r="612">
          <cell r="A612" t="str">
            <v>30 percent</v>
          </cell>
        </row>
        <row r="613">
          <cell r="A613" t="str">
            <v>40 percent</v>
          </cell>
        </row>
        <row r="614">
          <cell r="A614" t="str">
            <v>50 percent</v>
          </cell>
        </row>
        <row r="615">
          <cell r="A615" t="str">
            <v>80 percent</v>
          </cell>
        </row>
        <row r="616">
          <cell r="A616" t="str">
            <v>100 percent</v>
          </cell>
        </row>
        <row r="617">
          <cell r="A617" t="str">
            <v>Unknown</v>
          </cell>
        </row>
      </sheetData>
      <sheetData sheetId="8"/>
      <sheetData sheetId="9"/>
      <sheetData sheetId="1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ifications-Severity Guide"/>
      <sheetName val="Field Completion Guide"/>
      <sheetName val="Procedures"/>
      <sheetName val="Examples"/>
    </sheetNames>
    <sheetDataSet>
      <sheetData sheetId="0">
        <row r="10">
          <cell r="B10" t="str">
            <v xml:space="preserve">Builder did not use the correct start and end point.  </v>
          </cell>
        </row>
        <row r="11">
          <cell r="B11" t="str">
            <v>Incorrect assessment of available data. Entered incorrectly.  Example:  Drawings used incorrectly during PFL build evaluation</v>
          </cell>
        </row>
        <row r="12">
          <cell r="B12" t="str">
            <v>Builder made assumption without verifiable, traceable documentation.  Examples include: Assumptions, Notes/Comments, References to Images, Discrepancies.</v>
          </cell>
        </row>
        <row r="13">
          <cell r="B13" t="str">
            <v>General miscommunication of process changes or direction of assignments resulting in PFL build QC errors.</v>
          </cell>
        </row>
        <row r="14">
          <cell r="B14" t="str">
            <v>Lack of reporting from builders of inconsistencies, non-compliance issues, miscellaneous problems related to the PFL build.</v>
          </cell>
        </row>
        <row r="15">
          <cell r="B15" t="str">
            <v>Inconsistencies related to the PFL Package instructions and process.  Examples:  Builder did not use most recent spreadsheet, format issues, instructions not followed.</v>
          </cell>
        </row>
        <row r="16">
          <cell r="B16" t="str">
            <v>PG&amp;E did not supply the documents necessary for PFL build.</v>
          </cell>
        </row>
        <row r="17">
          <cell r="B17" t="str">
            <v>Builder did not use a necessary and available document provided in the delivered PFL package.</v>
          </cell>
        </row>
        <row r="18">
          <cell r="B18" t="str">
            <v>Documents provided in the PFL Package were not good quality.  Examples: Bad Scans, drawings that were As-built but more recent documents are relevant.</v>
          </cell>
        </row>
        <row r="19">
          <cell r="B19" t="str">
            <v>Builder did not use the priority source documents as per the PFL instructions (i.e. most reliable document available). Example:  As-built supersedes Transmission Plat</v>
          </cell>
        </row>
        <row r="20">
          <cell r="B20" t="str">
            <v>Builder did not capture a feature for which they had information.</v>
          </cell>
        </row>
        <row r="21">
          <cell r="B21" t="str">
            <v>Builder did not investigate all references shown in source documents (i.e. related specs.)</v>
          </cell>
        </row>
        <row r="22">
          <cell r="B22" t="str">
            <v>Builder did not capture specifications or data that was available.</v>
          </cell>
        </row>
        <row r="23">
          <cell r="B23" t="str">
            <v>Did not interpret the data correctly.  Misinterpretation of terminology.</v>
          </cell>
        </row>
        <row r="24">
          <cell r="B24" t="str">
            <v xml:space="preserve">Builder did not enter data with appropriate syntax, typos, human errors. </v>
          </cell>
        </row>
      </sheetData>
      <sheetData sheetId="1"/>
      <sheetData sheetId="2"/>
      <sheetData sheetId="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Column Definitions"/>
      <sheetName val="Instructions"/>
      <sheetName val="Changes"/>
      <sheetName val="Selections"/>
      <sheetName val="FVE Validation"/>
      <sheetName val="FVE Table"/>
      <sheetName val="Logic"/>
      <sheetName val="Resolution Doc"/>
      <sheetName val="MAOP Report"/>
    </sheetNames>
    <sheetDataSet>
      <sheetData sheetId="0"/>
      <sheetData sheetId="1"/>
      <sheetData sheetId="2"/>
      <sheetData sheetId="3"/>
      <sheetData sheetId="4">
        <row r="552">
          <cell r="A552" t="str">
            <v>American</v>
          </cell>
        </row>
        <row r="553">
          <cell r="A553" t="str">
            <v>Berg Steel Pipe</v>
          </cell>
        </row>
        <row r="554">
          <cell r="A554" t="str">
            <v>Brooks Products</v>
          </cell>
        </row>
        <row r="555">
          <cell r="A555" t="str">
            <v>California Steel Ind.</v>
          </cell>
        </row>
        <row r="556">
          <cell r="A556" t="str">
            <v>Cameron</v>
          </cell>
        </row>
        <row r="557">
          <cell r="A557" t="str">
            <v>Carlon</v>
          </cell>
        </row>
        <row r="558">
          <cell r="A558" t="str">
            <v>Consolidated Western</v>
          </cell>
        </row>
        <row r="559">
          <cell r="A559" t="str">
            <v>Continental</v>
          </cell>
        </row>
        <row r="560">
          <cell r="A560" t="str">
            <v>Cooper Cameron</v>
          </cell>
        </row>
        <row r="561">
          <cell r="A561" t="str">
            <v>Dressor</v>
          </cell>
        </row>
        <row r="562">
          <cell r="A562" t="str">
            <v>Dressor Rand</v>
          </cell>
        </row>
        <row r="563">
          <cell r="A563" t="str">
            <v>Dura Bond</v>
          </cell>
        </row>
        <row r="564">
          <cell r="A564" t="str">
            <v>Fisher</v>
          </cell>
        </row>
        <row r="565">
          <cell r="A565" t="str">
            <v>Grove</v>
          </cell>
        </row>
        <row r="566">
          <cell r="A566" t="str">
            <v>Herning Underground</v>
          </cell>
        </row>
        <row r="567">
          <cell r="A567" t="str">
            <v>Ingersoll Rand</v>
          </cell>
        </row>
        <row r="568">
          <cell r="A568" t="str">
            <v>Innogaz</v>
          </cell>
        </row>
        <row r="569">
          <cell r="A569" t="str">
            <v>Kaiser</v>
          </cell>
        </row>
        <row r="570">
          <cell r="A570" t="str">
            <v>Kerotest</v>
          </cell>
        </row>
        <row r="571">
          <cell r="A571" t="str">
            <v>La Barge Pipe</v>
          </cell>
        </row>
        <row r="572">
          <cell r="A572" t="str">
            <v>Mooney</v>
          </cell>
        </row>
        <row r="573">
          <cell r="A573" t="str">
            <v>Mueller</v>
          </cell>
        </row>
        <row r="574">
          <cell r="A574" t="str">
            <v>National Tube</v>
          </cell>
        </row>
        <row r="575">
          <cell r="A575" t="str">
            <v>Nordstrom</v>
          </cell>
        </row>
        <row r="576">
          <cell r="A576" t="str">
            <v>Northwest Pipe</v>
          </cell>
        </row>
        <row r="577">
          <cell r="A577" t="str">
            <v>Pacific Pipe Co</v>
          </cell>
        </row>
        <row r="578">
          <cell r="A578" t="str">
            <v>Perfection</v>
          </cell>
        </row>
        <row r="579">
          <cell r="A579" t="str">
            <v>PW Pipe Co</v>
          </cell>
        </row>
        <row r="580">
          <cell r="A580" t="str">
            <v>Ridgeline Pipe</v>
          </cell>
        </row>
        <row r="581">
          <cell r="A581" t="str">
            <v>Romet Limited</v>
          </cell>
        </row>
        <row r="582">
          <cell r="A582" t="str">
            <v>Taylor Forge</v>
          </cell>
        </row>
        <row r="583">
          <cell r="A583" t="str">
            <v>TD Williamson</v>
          </cell>
        </row>
        <row r="584">
          <cell r="A584" t="str">
            <v>TK Associates</v>
          </cell>
        </row>
        <row r="585">
          <cell r="A585" t="str">
            <v>Tri-Pacific Supply</v>
          </cell>
        </row>
        <row r="586">
          <cell r="A586" t="str">
            <v>Tube Forgings</v>
          </cell>
        </row>
        <row r="587">
          <cell r="A587" t="str">
            <v>Tube Turn</v>
          </cell>
        </row>
        <row r="588">
          <cell r="A588" t="str">
            <v>Tubular Steel</v>
          </cell>
        </row>
        <row r="589">
          <cell r="A589" t="str">
            <v>US Steel</v>
          </cell>
        </row>
        <row r="590">
          <cell r="A590" t="str">
            <v>US Steel</v>
          </cell>
        </row>
        <row r="591">
          <cell r="A591" t="str">
            <v>USPoly Co</v>
          </cell>
        </row>
        <row r="592">
          <cell r="A592" t="str">
            <v>-Type Over Me-</v>
          </cell>
        </row>
        <row r="593">
          <cell r="A593">
            <v>0</v>
          </cell>
        </row>
      </sheetData>
      <sheetData sheetId="5">
        <row r="4">
          <cell r="B4">
            <v>24000</v>
          </cell>
          <cell r="C4">
            <v>42</v>
          </cell>
          <cell r="E4">
            <v>0.6</v>
          </cell>
          <cell r="F4" t="str">
            <v xml:space="preserve">AO Smith </v>
          </cell>
          <cell r="G4" t="str">
            <v>ANSI 125 #</v>
          </cell>
          <cell r="H4">
            <v>1</v>
          </cell>
          <cell r="I4">
            <v>50</v>
          </cell>
          <cell r="J4">
            <v>0.4</v>
          </cell>
          <cell r="K4" t="str">
            <v>R</v>
          </cell>
        </row>
        <row r="5">
          <cell r="B5">
            <v>25000</v>
          </cell>
          <cell r="C5">
            <v>36</v>
          </cell>
          <cell r="E5">
            <v>0.8</v>
          </cell>
          <cell r="F5" t="str">
            <v>Double Submerged Arc Weld</v>
          </cell>
          <cell r="G5" t="str">
            <v>ANSI 150 #</v>
          </cell>
          <cell r="H5" t="str">
            <v>1 in Station</v>
          </cell>
          <cell r="I5">
            <v>100</v>
          </cell>
          <cell r="J5">
            <v>0.5</v>
          </cell>
          <cell r="K5" t="str">
            <v>D</v>
          </cell>
        </row>
        <row r="6">
          <cell r="B6">
            <v>28000</v>
          </cell>
          <cell r="C6">
            <v>34.5</v>
          </cell>
          <cell r="E6">
            <v>1</v>
          </cell>
          <cell r="F6" t="str">
            <v>Electric Fusion Weld</v>
          </cell>
          <cell r="G6" t="str">
            <v>ANSI 250 #</v>
          </cell>
          <cell r="H6" t="str">
            <v>1 in Public Road Crossing</v>
          </cell>
          <cell r="I6">
            <v>125</v>
          </cell>
          <cell r="J6">
            <v>0.6</v>
          </cell>
        </row>
        <row r="7">
          <cell r="B7">
            <v>30000</v>
          </cell>
          <cell r="C7">
            <v>34</v>
          </cell>
          <cell r="E7" t="str">
            <v>N/A</v>
          </cell>
          <cell r="F7" t="str">
            <v>Electric Resistance Weld</v>
          </cell>
          <cell r="G7" t="str">
            <v>ANSI 300 #</v>
          </cell>
          <cell r="H7" t="str">
            <v>1 in Hard Road Parallel</v>
          </cell>
          <cell r="I7">
            <v>150</v>
          </cell>
          <cell r="J7">
            <v>0.72</v>
          </cell>
        </row>
        <row r="8">
          <cell r="B8">
            <v>32000</v>
          </cell>
          <cell r="C8">
            <v>32</v>
          </cell>
          <cell r="F8" t="str">
            <v>Furnace Butt Weld</v>
          </cell>
          <cell r="G8" t="str">
            <v>ANSI 400 #</v>
          </cell>
          <cell r="H8" t="str">
            <v>1 on Bridge</v>
          </cell>
          <cell r="I8">
            <v>175</v>
          </cell>
          <cell r="J8">
            <v>1</v>
          </cell>
        </row>
        <row r="9">
          <cell r="B9">
            <v>33000</v>
          </cell>
          <cell r="C9">
            <v>30</v>
          </cell>
          <cell r="F9" t="str">
            <v>Lap Weld</v>
          </cell>
          <cell r="G9" t="str">
            <v>ANSI 600 #</v>
          </cell>
          <cell r="H9">
            <v>2</v>
          </cell>
          <cell r="I9">
            <v>200</v>
          </cell>
          <cell r="J9" t="str">
            <v>N/A</v>
          </cell>
        </row>
        <row r="10">
          <cell r="B10">
            <v>35000</v>
          </cell>
          <cell r="C10">
            <v>26</v>
          </cell>
          <cell r="F10" t="str">
            <v>N/A</v>
          </cell>
          <cell r="G10" t="str">
            <v>ANSI 900 #</v>
          </cell>
          <cell r="H10" t="str">
            <v>2 in Station</v>
          </cell>
          <cell r="I10">
            <v>230</v>
          </cell>
        </row>
        <row r="11">
          <cell r="B11">
            <v>36000</v>
          </cell>
          <cell r="C11">
            <v>24</v>
          </cell>
          <cell r="F11" t="str">
            <v>N/A - Valve/Filter/Other</v>
          </cell>
          <cell r="G11" t="str">
            <v>ANSI 1500 #</v>
          </cell>
          <cell r="H11" t="str">
            <v>2 in Hard Road Crossing</v>
          </cell>
          <cell r="I11">
            <v>250</v>
          </cell>
        </row>
        <row r="12">
          <cell r="B12">
            <v>38000</v>
          </cell>
          <cell r="C12">
            <v>22</v>
          </cell>
          <cell r="F12" t="str">
            <v>Polyethylene Pipe</v>
          </cell>
          <cell r="G12" t="str">
            <v>ANSI 2500#</v>
          </cell>
          <cell r="H12">
            <v>3</v>
          </cell>
          <cell r="I12">
            <v>275</v>
          </cell>
        </row>
        <row r="13">
          <cell r="B13">
            <v>40000</v>
          </cell>
          <cell r="C13">
            <v>20</v>
          </cell>
          <cell r="F13" t="str">
            <v>Seamless</v>
          </cell>
          <cell r="G13" t="str">
            <v>ASA 125 #</v>
          </cell>
          <cell r="H13" t="str">
            <v>3 in Station</v>
          </cell>
          <cell r="I13">
            <v>300</v>
          </cell>
        </row>
        <row r="14">
          <cell r="B14">
            <v>42000</v>
          </cell>
          <cell r="C14">
            <v>18</v>
          </cell>
          <cell r="F14" t="str">
            <v>Single Submerged Arc Weld</v>
          </cell>
          <cell r="G14" t="str">
            <v>ASA 150 #</v>
          </cell>
          <cell r="H14" t="str">
            <v>3 in Hard Road Crossing</v>
          </cell>
          <cell r="I14">
            <v>400</v>
          </cell>
        </row>
        <row r="15">
          <cell r="B15">
            <v>44000</v>
          </cell>
          <cell r="C15">
            <v>16</v>
          </cell>
          <cell r="F15" t="str">
            <v>Single Submerged Arc Weld/AO Smith</v>
          </cell>
          <cell r="G15" t="str">
            <v>ASA 250 #</v>
          </cell>
          <cell r="H15">
            <v>4</v>
          </cell>
          <cell r="I15">
            <v>500</v>
          </cell>
        </row>
        <row r="16">
          <cell r="B16">
            <v>45000</v>
          </cell>
          <cell r="C16">
            <v>14</v>
          </cell>
          <cell r="F16" t="str">
            <v>Sleeve</v>
          </cell>
          <cell r="G16" t="str">
            <v>ASA 300 #</v>
          </cell>
          <cell r="H16" t="str">
            <v>N/A</v>
          </cell>
          <cell r="I16">
            <v>600</v>
          </cell>
        </row>
        <row r="17">
          <cell r="B17">
            <v>46000</v>
          </cell>
          <cell r="C17">
            <v>12.75</v>
          </cell>
          <cell r="F17" t="str">
            <v>Spiral Weld</v>
          </cell>
          <cell r="G17" t="str">
            <v>ASA 400 #</v>
          </cell>
          <cell r="I17">
            <v>720</v>
          </cell>
        </row>
        <row r="18">
          <cell r="B18">
            <v>48000</v>
          </cell>
          <cell r="C18">
            <v>10.75</v>
          </cell>
          <cell r="F18" t="str">
            <v>Spiral Weld post 1966</v>
          </cell>
          <cell r="G18" t="str">
            <v>ASA 600 #</v>
          </cell>
          <cell r="I18">
            <v>720</v>
          </cell>
        </row>
        <row r="19">
          <cell r="B19">
            <v>50000</v>
          </cell>
          <cell r="C19">
            <v>8.625</v>
          </cell>
          <cell r="F19" t="str">
            <v>Spiral Weld/Lap Weld</v>
          </cell>
          <cell r="G19" t="str">
            <v>ASA 900 #</v>
          </cell>
          <cell r="I19">
            <v>740</v>
          </cell>
        </row>
        <row r="20">
          <cell r="B20">
            <v>52000</v>
          </cell>
          <cell r="C20">
            <v>6.625</v>
          </cell>
          <cell r="F20" t="str">
            <v>Unknown &gt; 4 - Modern</v>
          </cell>
          <cell r="G20" t="str">
            <v>ASA 1500 #</v>
          </cell>
          <cell r="I20">
            <v>800</v>
          </cell>
        </row>
        <row r="21">
          <cell r="B21">
            <v>56000</v>
          </cell>
          <cell r="C21">
            <v>4.5</v>
          </cell>
          <cell r="F21" t="str">
            <v>Unknown &gt; 4 inch</v>
          </cell>
          <cell r="G21" t="str">
            <v>ASA 2500#</v>
          </cell>
          <cell r="I21">
            <v>900</v>
          </cell>
        </row>
        <row r="22">
          <cell r="B22">
            <v>57000</v>
          </cell>
          <cell r="C22">
            <v>3.5</v>
          </cell>
          <cell r="F22" t="str">
            <v>Unknown 4 inch or less</v>
          </cell>
          <cell r="G22" t="str">
            <v>Class 125</v>
          </cell>
          <cell r="I22">
            <v>920</v>
          </cell>
        </row>
        <row r="23">
          <cell r="B23">
            <v>60000</v>
          </cell>
          <cell r="C23">
            <v>2.375</v>
          </cell>
          <cell r="F23" t="str">
            <v>Seamless/Electric Resistance Weld</v>
          </cell>
          <cell r="G23" t="str">
            <v>Series 15</v>
          </cell>
          <cell r="I23">
            <v>960</v>
          </cell>
        </row>
        <row r="24">
          <cell r="B24">
            <v>65000</v>
          </cell>
          <cell r="C24">
            <v>1.9</v>
          </cell>
          <cell r="F24" t="str">
            <v>Seamless/Electric Resistance Weld/Double Submerged Arc Weld</v>
          </cell>
          <cell r="G24" t="str">
            <v>Series 30</v>
          </cell>
          <cell r="I24">
            <v>960</v>
          </cell>
        </row>
        <row r="25">
          <cell r="B25">
            <v>70000</v>
          </cell>
          <cell r="C25">
            <v>1.66</v>
          </cell>
          <cell r="F25" t="str">
            <v>Seamless/Double Submerged Arc Weld</v>
          </cell>
          <cell r="G25" t="str">
            <v>Series 40</v>
          </cell>
          <cell r="I25">
            <v>1000</v>
          </cell>
        </row>
        <row r="26">
          <cell r="B26">
            <v>75000</v>
          </cell>
          <cell r="C26">
            <v>1.3149999999999999</v>
          </cell>
          <cell r="G26" t="str">
            <v>Series 60</v>
          </cell>
          <cell r="I26">
            <v>1200</v>
          </cell>
        </row>
        <row r="27">
          <cell r="B27">
            <v>80000</v>
          </cell>
          <cell r="C27">
            <v>1.05</v>
          </cell>
          <cell r="G27" t="str">
            <v>WOG 50#</v>
          </cell>
          <cell r="I27">
            <v>1440</v>
          </cell>
        </row>
        <row r="28">
          <cell r="B28" t="str">
            <v>Requires Research</v>
          </cell>
          <cell r="C28">
            <v>0.84</v>
          </cell>
          <cell r="G28" t="str">
            <v>WOG 100#</v>
          </cell>
          <cell r="I28">
            <v>1440</v>
          </cell>
        </row>
        <row r="29">
          <cell r="B29" t="str">
            <v>Unknown</v>
          </cell>
          <cell r="C29">
            <v>0.5</v>
          </cell>
          <cell r="G29" t="str">
            <v>WOG 125#</v>
          </cell>
          <cell r="I29">
            <v>1500</v>
          </cell>
        </row>
        <row r="30">
          <cell r="B30" t="str">
            <v>N/A</v>
          </cell>
          <cell r="C30" t="str">
            <v>N/A</v>
          </cell>
          <cell r="G30" t="str">
            <v>WOG 150#</v>
          </cell>
          <cell r="I30">
            <v>2000</v>
          </cell>
        </row>
        <row r="31">
          <cell r="G31" t="str">
            <v>WOG 200#</v>
          </cell>
          <cell r="I31">
            <v>2160</v>
          </cell>
        </row>
        <row r="32">
          <cell r="G32" t="str">
            <v>WOG 230#</v>
          </cell>
          <cell r="I32">
            <v>2160</v>
          </cell>
        </row>
        <row r="33">
          <cell r="G33" t="str">
            <v>WOG 250#</v>
          </cell>
          <cell r="I33">
            <v>2200</v>
          </cell>
        </row>
        <row r="34">
          <cell r="G34" t="str">
            <v>WOG 300#</v>
          </cell>
          <cell r="I34">
            <v>2500</v>
          </cell>
        </row>
        <row r="35">
          <cell r="G35" t="str">
            <v>WOG 400#</v>
          </cell>
          <cell r="I35">
            <v>3000</v>
          </cell>
        </row>
        <row r="36">
          <cell r="G36" t="str">
            <v>WOG 500#</v>
          </cell>
          <cell r="I36">
            <v>3600</v>
          </cell>
        </row>
        <row r="37">
          <cell r="G37" t="str">
            <v>WOG 600#</v>
          </cell>
          <cell r="I37">
            <v>6000</v>
          </cell>
        </row>
        <row r="38">
          <cell r="G38" t="str">
            <v>WOG 720#</v>
          </cell>
          <cell r="I38">
            <v>6170</v>
          </cell>
        </row>
        <row r="39">
          <cell r="G39" t="str">
            <v>WOG 740#</v>
          </cell>
          <cell r="I39">
            <v>10000</v>
          </cell>
        </row>
        <row r="40">
          <cell r="G40" t="str">
            <v>WOG 800#</v>
          </cell>
          <cell r="I40" t="str">
            <v>N/A</v>
          </cell>
        </row>
        <row r="41">
          <cell r="G41" t="str">
            <v>WOG 900#</v>
          </cell>
        </row>
        <row r="42">
          <cell r="G42" t="str">
            <v>WOG 920#</v>
          </cell>
        </row>
        <row r="43">
          <cell r="G43" t="str">
            <v>WOG 960#</v>
          </cell>
        </row>
        <row r="44">
          <cell r="G44" t="str">
            <v>WOG 1000#</v>
          </cell>
        </row>
        <row r="45">
          <cell r="G45" t="str">
            <v>WOG 1200#</v>
          </cell>
        </row>
        <row r="46">
          <cell r="G46" t="str">
            <v>WOG 1440#</v>
          </cell>
        </row>
        <row r="47">
          <cell r="G47" t="str">
            <v>WOG 1500#</v>
          </cell>
        </row>
        <row r="48">
          <cell r="G48" t="str">
            <v>WOG 2000#</v>
          </cell>
        </row>
        <row r="49">
          <cell r="G49" t="str">
            <v>WOG 2160#</v>
          </cell>
        </row>
        <row r="50">
          <cell r="G50" t="str">
            <v>WOG 2200#</v>
          </cell>
        </row>
        <row r="51">
          <cell r="G51" t="str">
            <v>WOG 2500#</v>
          </cell>
        </row>
        <row r="52">
          <cell r="G52" t="str">
            <v>WOG 3000#</v>
          </cell>
        </row>
        <row r="53">
          <cell r="G53" t="str">
            <v>WOG 3600#</v>
          </cell>
        </row>
        <row r="54">
          <cell r="G54" t="str">
            <v>WOG 4500#</v>
          </cell>
        </row>
        <row r="55">
          <cell r="G55" t="str">
            <v>WOG 6000#</v>
          </cell>
        </row>
        <row r="56">
          <cell r="G56" t="str">
            <v>WOG 10000#</v>
          </cell>
        </row>
        <row r="57">
          <cell r="G57" t="str">
            <v>Unknown</v>
          </cell>
        </row>
        <row r="58">
          <cell r="G58" t="str">
            <v>N/A</v>
          </cell>
        </row>
      </sheetData>
      <sheetData sheetId="6"/>
      <sheetData sheetId="7"/>
      <sheetData sheetId="8"/>
      <sheetData sheetId="9"/>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Logic"/>
      <sheetName val="Issues-Errors"/>
      <sheetName val="Tools"/>
      <sheetName val="CheckList"/>
      <sheetName val="Column Definitions"/>
      <sheetName val="Instructions"/>
      <sheetName val="Changes"/>
      <sheetName val="FVE Changes"/>
      <sheetName val="Selections"/>
      <sheetName val="FVE Validation"/>
      <sheetName val="FVE Table"/>
      <sheetName val="Resolution Doc"/>
      <sheetName val="MAOP Report"/>
    </sheetNames>
    <sheetDataSet>
      <sheetData sheetId="0"/>
      <sheetData sheetId="1"/>
      <sheetData sheetId="2"/>
      <sheetData sheetId="3"/>
      <sheetData sheetId="4"/>
      <sheetData sheetId="5"/>
      <sheetData sheetId="6"/>
      <sheetData sheetId="7"/>
      <sheetData sheetId="8"/>
      <sheetData sheetId="9"/>
      <sheetData sheetId="10">
        <row r="2">
          <cell r="H2" t="str">
            <v>Class Location</v>
          </cell>
          <cell r="W2" t="str">
            <v>Component - Feature</v>
          </cell>
          <cell r="X2" t="str">
            <v>Component - Feature Type</v>
          </cell>
        </row>
        <row r="3">
          <cell r="W3" t="str">
            <v>Pipe</v>
          </cell>
          <cell r="X3" t="str">
            <v>Collar</v>
          </cell>
        </row>
        <row r="4">
          <cell r="H4">
            <v>1</v>
          </cell>
          <cell r="W4" t="str">
            <v>Tap</v>
          </cell>
          <cell r="X4" t="str">
            <v>Closure</v>
          </cell>
        </row>
        <row r="5">
          <cell r="H5" t="str">
            <v>1 in Station</v>
          </cell>
          <cell r="W5" t="str">
            <v>Field Bend</v>
          </cell>
          <cell r="X5" t="str">
            <v>Insulating Joint</v>
          </cell>
        </row>
        <row r="6">
          <cell r="H6" t="str">
            <v>1 in Public Road Crossing</v>
          </cell>
          <cell r="W6" t="str">
            <v>Mfg Bend</v>
          </cell>
          <cell r="X6" t="str">
            <v>Filter/Strainer</v>
          </cell>
        </row>
        <row r="7">
          <cell r="H7" t="str">
            <v>1 in Hard Road Parallel</v>
          </cell>
          <cell r="W7" t="str">
            <v>Tee</v>
          </cell>
          <cell r="X7" t="str">
            <v>Separator</v>
          </cell>
        </row>
        <row r="8">
          <cell r="H8" t="str">
            <v>1 on Bridge</v>
          </cell>
          <cell r="W8" t="str">
            <v>Valve</v>
          </cell>
          <cell r="X8" t="str">
            <v>Pig Signal</v>
          </cell>
        </row>
        <row r="9">
          <cell r="H9">
            <v>2</v>
          </cell>
          <cell r="W9" t="str">
            <v>Reducer</v>
          </cell>
          <cell r="X9" t="str">
            <v>Pressure Transmitter</v>
          </cell>
        </row>
        <row r="10">
          <cell r="H10" t="str">
            <v>2 in Station</v>
          </cell>
          <cell r="W10" t="str">
            <v>Sleeve</v>
          </cell>
          <cell r="X10" t="str">
            <v>Dresser Mechanical</v>
          </cell>
        </row>
        <row r="11">
          <cell r="H11" t="str">
            <v>2 in Hard Road Crossing</v>
          </cell>
          <cell r="W11" t="str">
            <v>PCF</v>
          </cell>
          <cell r="X11" t="str">
            <v>Internal Baffle</v>
          </cell>
        </row>
        <row r="12">
          <cell r="H12">
            <v>3</v>
          </cell>
          <cell r="W12" t="str">
            <v>Flange</v>
          </cell>
          <cell r="X12" t="str">
            <v>Threaded Weldolet</v>
          </cell>
        </row>
        <row r="13">
          <cell r="H13" t="str">
            <v>3 in Station</v>
          </cell>
          <cell r="W13" t="str">
            <v>Appurtenance</v>
          </cell>
          <cell r="X13" t="str">
            <v>Weldolet or variations</v>
          </cell>
        </row>
        <row r="14">
          <cell r="H14" t="str">
            <v>3 in Hard Road Crossing</v>
          </cell>
          <cell r="W14" t="str">
            <v>Meter</v>
          </cell>
          <cell r="X14" t="str">
            <v>Plug</v>
          </cell>
        </row>
        <row r="15">
          <cell r="H15">
            <v>4</v>
          </cell>
          <cell r="W15" t="str">
            <v>Pig Trap</v>
          </cell>
          <cell r="X15" t="str">
            <v>Union</v>
          </cell>
        </row>
        <row r="16">
          <cell r="H16" t="str">
            <v>N/A</v>
          </cell>
          <cell r="W16" t="str">
            <v>Regulator</v>
          </cell>
          <cell r="X16" t="str">
            <v>Repair Can</v>
          </cell>
        </row>
        <row r="17">
          <cell r="H17" t="str">
            <v>Unknown</v>
          </cell>
          <cell r="W17" t="str">
            <v>Relief Valve</v>
          </cell>
          <cell r="X17" t="str">
            <v>Other</v>
          </cell>
        </row>
        <row r="18">
          <cell r="W18" t="str">
            <v>FarmTapRegSet</v>
          </cell>
          <cell r="X18" t="str">
            <v>Unknown</v>
          </cell>
        </row>
        <row r="19">
          <cell r="W19" t="str">
            <v>Cap</v>
          </cell>
        </row>
        <row r="20">
          <cell r="W20" t="str">
            <v>Unknown</v>
          </cell>
        </row>
      </sheetData>
      <sheetData sheetId="11"/>
      <sheetData sheetId="12"/>
      <sheetData sheetId="13"/>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bout"/>
      <sheetName val="Dashboard"/>
      <sheetName val="QC Issue Tracking Data"/>
      <sheetName val="Classifications-Severity Guide"/>
      <sheetName val="Data Discrepencies"/>
    </sheetNames>
    <sheetDataSet>
      <sheetData sheetId="0" refreshError="1"/>
      <sheetData sheetId="1" refreshError="1"/>
      <sheetData sheetId="2" refreshError="1"/>
      <sheetData sheetId="3">
        <row r="3">
          <cell r="A3" t="str">
            <v>Critical</v>
          </cell>
        </row>
        <row r="4">
          <cell r="A4" t="str">
            <v>High</v>
          </cell>
        </row>
        <row r="5">
          <cell r="A5" t="str">
            <v>Medium</v>
          </cell>
        </row>
        <row r="6">
          <cell r="A6" t="str">
            <v>Low</v>
          </cell>
        </row>
        <row r="10">
          <cell r="A10" t="str">
            <v>Project Boundaries</v>
          </cell>
        </row>
        <row r="11">
          <cell r="A11" t="str">
            <v>Engineering Evaluation</v>
          </cell>
        </row>
        <row r="12">
          <cell r="A12" t="str">
            <v>Traceability</v>
          </cell>
        </row>
        <row r="13">
          <cell r="A13" t="str">
            <v>General Miscommunication</v>
          </cell>
        </row>
        <row r="14">
          <cell r="A14" t="str">
            <v>PFL Issue Communication</v>
          </cell>
        </row>
        <row r="15">
          <cell r="A15" t="str">
            <v>PFL Package Inconsistency</v>
          </cell>
        </row>
        <row r="16">
          <cell r="A16" t="str">
            <v>Document -Not Available</v>
          </cell>
        </row>
        <row r="17">
          <cell r="A17" t="str">
            <v>Document -Not Used</v>
          </cell>
        </row>
        <row r="18">
          <cell r="A18" t="str">
            <v>Document -Quality Issue</v>
          </cell>
        </row>
        <row r="19">
          <cell r="A19" t="str">
            <v>Document -Source Priority</v>
          </cell>
        </row>
        <row r="20">
          <cell r="A20" t="str">
            <v>PFL Data -Missed Feature</v>
          </cell>
        </row>
        <row r="21">
          <cell r="A21" t="str">
            <v>PFL Data -Referenced Specifications</v>
          </cell>
        </row>
        <row r="22">
          <cell r="A22" t="str">
            <v>PFL Data -Available Not Captured</v>
          </cell>
        </row>
        <row r="23">
          <cell r="A23" t="str">
            <v>Data Interpretation</v>
          </cell>
        </row>
        <row r="24">
          <cell r="A24" t="str">
            <v>Data Entry</v>
          </cell>
        </row>
        <row r="27">
          <cell r="A27" t="str">
            <v>Open</v>
          </cell>
        </row>
        <row r="28">
          <cell r="A28" t="str">
            <v>In Progress</v>
          </cell>
        </row>
        <row r="29">
          <cell r="A29" t="str">
            <v>Waiting for Info</v>
          </cell>
        </row>
        <row r="30">
          <cell r="A30" t="str">
            <v>Complete</v>
          </cell>
        </row>
      </sheetData>
      <sheetData sheetId="4"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Column Definitions"/>
      <sheetName val="Instructions"/>
      <sheetName val="Changes"/>
      <sheetName val="Selections"/>
    </sheetNames>
    <sheetDataSet>
      <sheetData sheetId="0" refreshError="1"/>
      <sheetData sheetId="1" refreshError="1"/>
      <sheetData sheetId="2" refreshError="1"/>
      <sheetData sheetId="3" refreshError="1"/>
      <sheetData sheetId="4">
        <row r="757">
          <cell r="A757" t="str">
            <v>FSD</v>
          </cell>
        </row>
        <row r="758">
          <cell r="A758" t="str">
            <v>HRD</v>
          </cell>
        </row>
        <row r="759">
          <cell r="A759" t="str">
            <v>AAM</v>
          </cell>
        </row>
        <row r="760">
          <cell r="A760" t="str">
            <v>FVD</v>
          </cell>
        </row>
        <row r="761">
          <cell r="A761" t="str">
            <v>FVE</v>
          </cell>
        </row>
        <row r="762">
          <cell r="A762" t="str">
            <v>SEJ</v>
          </cell>
        </row>
        <row r="763">
          <cell r="A763" t="str">
            <v>STR</v>
          </cell>
        </row>
        <row r="764">
          <cell r="A764" t="str">
            <v>OTH</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Issues-Errors"/>
      <sheetName val="Tools"/>
      <sheetName val="CheckList"/>
      <sheetName val="Column Definitions"/>
      <sheetName val="Instructions"/>
      <sheetName val="Changes"/>
      <sheetName val="Selections"/>
      <sheetName val="FVE Validation"/>
      <sheetName val="FVE Table"/>
      <sheetName val="Logic"/>
      <sheetName val="Resolution Doc"/>
      <sheetName val="MAOP Report"/>
      <sheetName val="FVE Validation testing"/>
    </sheetNames>
    <sheetDataSet>
      <sheetData sheetId="0"/>
      <sheetData sheetId="1"/>
      <sheetData sheetId="2"/>
      <sheetData sheetId="3"/>
      <sheetData sheetId="4"/>
      <sheetData sheetId="5"/>
      <sheetData sheetId="6"/>
      <sheetData sheetId="7"/>
      <sheetData sheetId="8">
        <row r="1">
          <cell r="L1" t="str">
            <v>fitting rating/MAOP</v>
          </cell>
          <cell r="O1">
            <v>0</v>
          </cell>
          <cell r="R1">
            <v>0</v>
          </cell>
        </row>
        <row r="2">
          <cell r="D2" t="str">
            <v>ODlong</v>
          </cell>
          <cell r="L2" t="str">
            <v>Fitting Rating</v>
          </cell>
          <cell r="O2">
            <v>0</v>
          </cell>
          <cell r="R2" t="str">
            <v>HPR</v>
          </cell>
        </row>
        <row r="3">
          <cell r="D3">
            <v>0</v>
          </cell>
          <cell r="L3" t="str">
            <v>ANSI 125 #</v>
          </cell>
          <cell r="O3" t="str">
            <v>1956_3inch_CS8040</v>
          </cell>
          <cell r="R3">
            <v>281095</v>
          </cell>
        </row>
        <row r="4">
          <cell r="C4">
            <v>42</v>
          </cell>
          <cell r="D4">
            <v>1.41</v>
          </cell>
          <cell r="L4" t="str">
            <v>ANSI 150 #</v>
          </cell>
          <cell r="O4" t="str">
            <v>1956_4inch_CS8040</v>
          </cell>
          <cell r="R4">
            <v>281337</v>
          </cell>
        </row>
        <row r="5">
          <cell r="C5">
            <v>36</v>
          </cell>
          <cell r="D5">
            <v>1.42</v>
          </cell>
          <cell r="L5" t="str">
            <v>ANSI 250 #</v>
          </cell>
          <cell r="O5" t="str">
            <v>1961_3inch_CS8040</v>
          </cell>
          <cell r="R5">
            <v>281421</v>
          </cell>
        </row>
        <row r="6">
          <cell r="C6">
            <v>34.5</v>
          </cell>
          <cell r="D6">
            <v>1.43</v>
          </cell>
          <cell r="L6" t="str">
            <v>ANSI 300 #</v>
          </cell>
          <cell r="O6" t="str">
            <v>1961_4inch_CS8040</v>
          </cell>
          <cell r="R6">
            <v>281462</v>
          </cell>
        </row>
        <row r="7">
          <cell r="C7">
            <v>34</v>
          </cell>
          <cell r="D7">
            <v>1.44</v>
          </cell>
          <cell r="L7" t="str">
            <v>ANSI 400 #</v>
          </cell>
          <cell r="O7" t="str">
            <v>1967_3inch_J-42.1</v>
          </cell>
          <cell r="R7">
            <v>282482</v>
          </cell>
        </row>
        <row r="8">
          <cell r="C8">
            <v>32</v>
          </cell>
          <cell r="D8">
            <v>1.45</v>
          </cell>
          <cell r="L8" t="str">
            <v>ANSI 600 #</v>
          </cell>
          <cell r="O8" t="str">
            <v>1967_4inch_J-42.1</v>
          </cell>
          <cell r="R8">
            <v>282484</v>
          </cell>
        </row>
        <row r="9">
          <cell r="C9">
            <v>30</v>
          </cell>
          <cell r="D9">
            <v>1.46</v>
          </cell>
          <cell r="L9" t="str">
            <v>ANSI 900 #</v>
          </cell>
          <cell r="O9" t="str">
            <v>1979_2inch_J-43</v>
          </cell>
          <cell r="R9">
            <v>282737</v>
          </cell>
        </row>
        <row r="10">
          <cell r="C10">
            <v>26</v>
          </cell>
          <cell r="D10">
            <v>1.47</v>
          </cell>
          <cell r="L10" t="str">
            <v>ANSI 1500 #</v>
          </cell>
          <cell r="O10" t="str">
            <v>1979_3inch_J-43</v>
          </cell>
          <cell r="R10">
            <v>282738</v>
          </cell>
        </row>
        <row r="11">
          <cell r="C11">
            <v>24</v>
          </cell>
          <cell r="D11">
            <v>1.48</v>
          </cell>
          <cell r="L11" t="str">
            <v>ANSI 2500#</v>
          </cell>
          <cell r="O11" t="str">
            <v>1979_4inch_J-43</v>
          </cell>
          <cell r="R11">
            <v>282760</v>
          </cell>
        </row>
        <row r="12">
          <cell r="C12">
            <v>22</v>
          </cell>
          <cell r="D12">
            <v>1.49</v>
          </cell>
          <cell r="L12" t="str">
            <v>ASA 125 #</v>
          </cell>
          <cell r="O12" t="str">
            <v>1979_6inch_J-43</v>
          </cell>
          <cell r="R12">
            <v>282793</v>
          </cell>
        </row>
        <row r="13">
          <cell r="C13">
            <v>20</v>
          </cell>
          <cell r="D13">
            <v>1.5</v>
          </cell>
          <cell r="L13" t="str">
            <v>ASA 150 #</v>
          </cell>
          <cell r="O13" t="str">
            <v>1989_2inch_J-45</v>
          </cell>
          <cell r="R13">
            <v>283203</v>
          </cell>
        </row>
        <row r="14">
          <cell r="C14">
            <v>18</v>
          </cell>
          <cell r="D14">
            <v>1.51</v>
          </cell>
          <cell r="L14" t="str">
            <v>ASA 250 #</v>
          </cell>
          <cell r="O14" t="str">
            <v>1989_3inch_J-45</v>
          </cell>
          <cell r="R14">
            <v>283204</v>
          </cell>
        </row>
        <row r="15">
          <cell r="C15">
            <v>16</v>
          </cell>
          <cell r="D15">
            <v>1.52</v>
          </cell>
          <cell r="L15" t="str">
            <v>ASA 300 #</v>
          </cell>
          <cell r="O15" t="str">
            <v>1989_4inch_J-45</v>
          </cell>
          <cell r="R15">
            <v>283205</v>
          </cell>
        </row>
        <row r="16">
          <cell r="C16">
            <v>14</v>
          </cell>
          <cell r="D16">
            <v>1.53</v>
          </cell>
          <cell r="L16" t="str">
            <v>ASA 400 #</v>
          </cell>
          <cell r="O16" t="str">
            <v>1989_6inch_J-45</v>
          </cell>
          <cell r="R16">
            <v>283475</v>
          </cell>
        </row>
        <row r="17">
          <cell r="C17">
            <v>12.75</v>
          </cell>
          <cell r="D17">
            <v>1.54</v>
          </cell>
          <cell r="L17" t="str">
            <v>ASA 600 #</v>
          </cell>
          <cell r="O17" t="str">
            <v>2008_3inch_J-45</v>
          </cell>
          <cell r="R17">
            <v>283473</v>
          </cell>
        </row>
        <row r="18">
          <cell r="C18">
            <v>10.75</v>
          </cell>
          <cell r="D18">
            <v>1.55</v>
          </cell>
          <cell r="L18" t="str">
            <v>ASA 900 #</v>
          </cell>
          <cell r="O18" t="str">
            <v>2008_4inch_J-45</v>
          </cell>
          <cell r="R18">
            <v>283458</v>
          </cell>
        </row>
        <row r="19">
          <cell r="C19">
            <v>8.625</v>
          </cell>
          <cell r="D19">
            <v>1.56</v>
          </cell>
          <cell r="L19" t="str">
            <v>ASA 1500 #</v>
          </cell>
          <cell r="O19" t="str">
            <v>2008_6inch_J-45</v>
          </cell>
          <cell r="R19" t="str">
            <v>H-10P</v>
          </cell>
        </row>
        <row r="20">
          <cell r="C20">
            <v>6.625</v>
          </cell>
          <cell r="D20">
            <v>1.57</v>
          </cell>
          <cell r="L20" t="str">
            <v>ASA 2500#</v>
          </cell>
          <cell r="R20" t="str">
            <v>H-10F</v>
          </cell>
        </row>
        <row r="21">
          <cell r="C21">
            <v>4.5</v>
          </cell>
          <cell r="D21">
            <v>1.58</v>
          </cell>
          <cell r="L21" t="str">
            <v>Class 125</v>
          </cell>
          <cell r="R21">
            <v>0</v>
          </cell>
        </row>
        <row r="22">
          <cell r="C22">
            <v>3.5</v>
          </cell>
          <cell r="D22">
            <v>1.59</v>
          </cell>
          <cell r="L22" t="str">
            <v>Series 15</v>
          </cell>
          <cell r="R22">
            <v>0</v>
          </cell>
        </row>
        <row r="23">
          <cell r="C23">
            <v>2.375</v>
          </cell>
          <cell r="D23">
            <v>1.6</v>
          </cell>
          <cell r="L23" t="str">
            <v>Series 30</v>
          </cell>
          <cell r="R23">
            <v>0</v>
          </cell>
        </row>
        <row r="24">
          <cell r="C24">
            <v>1.9</v>
          </cell>
          <cell r="D24">
            <v>1.61</v>
          </cell>
          <cell r="L24" t="str">
            <v>Series 40</v>
          </cell>
          <cell r="R24">
            <v>0</v>
          </cell>
        </row>
        <row r="25">
          <cell r="C25">
            <v>1.66</v>
          </cell>
          <cell r="D25">
            <v>1.62</v>
          </cell>
          <cell r="L25" t="str">
            <v>Series 60</v>
          </cell>
          <cell r="R25">
            <v>0</v>
          </cell>
        </row>
        <row r="26">
          <cell r="C26">
            <v>1.3149999999999999</v>
          </cell>
          <cell r="D26">
            <v>1.63</v>
          </cell>
          <cell r="L26" t="str">
            <v>WOG 50#</v>
          </cell>
          <cell r="R26">
            <v>0</v>
          </cell>
        </row>
        <row r="27">
          <cell r="C27">
            <v>1.05</v>
          </cell>
          <cell r="D27">
            <v>1.64</v>
          </cell>
          <cell r="L27" t="str">
            <v>WOG 100#</v>
          </cell>
        </row>
        <row r="28">
          <cell r="C28">
            <v>0.84</v>
          </cell>
          <cell r="D28">
            <v>1.65</v>
          </cell>
          <cell r="L28" t="str">
            <v>WOG 125#</v>
          </cell>
        </row>
        <row r="29">
          <cell r="C29">
            <v>0.5</v>
          </cell>
          <cell r="D29">
            <v>1.66</v>
          </cell>
          <cell r="L29" t="str">
            <v>WOG 150#</v>
          </cell>
        </row>
        <row r="30">
          <cell r="C30" t="str">
            <v>N/A</v>
          </cell>
          <cell r="D30">
            <v>1.67</v>
          </cell>
          <cell r="L30" t="str">
            <v>WOG 175#</v>
          </cell>
        </row>
        <row r="31">
          <cell r="D31">
            <v>1.68</v>
          </cell>
          <cell r="L31" t="str">
            <v>WOG 200#</v>
          </cell>
        </row>
        <row r="32">
          <cell r="D32">
            <v>1.69</v>
          </cell>
          <cell r="L32" t="str">
            <v>WOG 230#</v>
          </cell>
        </row>
        <row r="33">
          <cell r="D33">
            <v>1.7</v>
          </cell>
          <cell r="L33" t="str">
            <v>WOG 250#</v>
          </cell>
        </row>
        <row r="34">
          <cell r="D34">
            <v>1.71</v>
          </cell>
          <cell r="L34" t="str">
            <v>WOG 275#</v>
          </cell>
        </row>
        <row r="35">
          <cell r="D35">
            <v>1.72</v>
          </cell>
          <cell r="L35" t="str">
            <v>WOG 300#</v>
          </cell>
        </row>
        <row r="36">
          <cell r="D36">
            <v>1.73</v>
          </cell>
          <cell r="L36" t="str">
            <v>WOG 400#</v>
          </cell>
        </row>
        <row r="37">
          <cell r="D37">
            <v>1.74</v>
          </cell>
          <cell r="L37" t="str">
            <v>WOG 500#</v>
          </cell>
        </row>
        <row r="38">
          <cell r="D38">
            <v>1.75</v>
          </cell>
          <cell r="L38" t="str">
            <v>WOG 575#</v>
          </cell>
        </row>
        <row r="39">
          <cell r="D39">
            <v>1.76</v>
          </cell>
          <cell r="L39" t="str">
            <v>WOG 600#</v>
          </cell>
        </row>
        <row r="40">
          <cell r="D40">
            <v>1.77</v>
          </cell>
          <cell r="L40" t="str">
            <v>WOG 720#</v>
          </cell>
        </row>
        <row r="41">
          <cell r="D41">
            <v>1.78</v>
          </cell>
          <cell r="L41" t="str">
            <v>WOG 740#</v>
          </cell>
        </row>
        <row r="42">
          <cell r="D42">
            <v>1.79</v>
          </cell>
          <cell r="L42" t="str">
            <v>WOG 800#</v>
          </cell>
        </row>
        <row r="43">
          <cell r="D43">
            <v>1.8</v>
          </cell>
          <cell r="L43" t="str">
            <v>WOG 900#</v>
          </cell>
        </row>
        <row r="44">
          <cell r="D44">
            <v>1.81</v>
          </cell>
          <cell r="L44" t="str">
            <v>WOG 920#</v>
          </cell>
        </row>
        <row r="45">
          <cell r="D45">
            <v>1.82</v>
          </cell>
          <cell r="L45" t="str">
            <v>WOG 960#</v>
          </cell>
        </row>
        <row r="46">
          <cell r="D46">
            <v>1.83</v>
          </cell>
          <cell r="L46" t="str">
            <v>WOG 1000#</v>
          </cell>
        </row>
        <row r="47">
          <cell r="D47">
            <v>1.84</v>
          </cell>
          <cell r="L47" t="str">
            <v>WOG 1200#</v>
          </cell>
        </row>
        <row r="48">
          <cell r="D48">
            <v>1.85</v>
          </cell>
          <cell r="L48" t="str">
            <v>WOG 1290#</v>
          </cell>
        </row>
        <row r="49">
          <cell r="D49">
            <v>1.86</v>
          </cell>
          <cell r="L49" t="str">
            <v>WOG 1440#</v>
          </cell>
        </row>
        <row r="50">
          <cell r="D50">
            <v>1.87</v>
          </cell>
          <cell r="L50" t="str">
            <v>WOG 1480#</v>
          </cell>
        </row>
        <row r="51">
          <cell r="D51">
            <v>1.88</v>
          </cell>
          <cell r="L51" t="str">
            <v>WOG 1500#</v>
          </cell>
        </row>
        <row r="52">
          <cell r="D52">
            <v>1.89</v>
          </cell>
          <cell r="L52" t="str">
            <v>WOG 1800#</v>
          </cell>
        </row>
        <row r="53">
          <cell r="D53">
            <v>1.9</v>
          </cell>
          <cell r="L53" t="str">
            <v>WOG 2000#</v>
          </cell>
        </row>
        <row r="54">
          <cell r="D54">
            <v>1.91</v>
          </cell>
          <cell r="L54" t="str">
            <v>WOG 2160#</v>
          </cell>
        </row>
        <row r="55">
          <cell r="D55">
            <v>1.92</v>
          </cell>
          <cell r="L55" t="str">
            <v>WOG 2200#</v>
          </cell>
        </row>
        <row r="56">
          <cell r="D56">
            <v>1.93</v>
          </cell>
          <cell r="L56" t="str">
            <v>WOG 2500#</v>
          </cell>
        </row>
        <row r="57">
          <cell r="D57">
            <v>1.94</v>
          </cell>
          <cell r="L57" t="str">
            <v>WOG 3000#</v>
          </cell>
        </row>
        <row r="58">
          <cell r="D58">
            <v>1.95</v>
          </cell>
          <cell r="L58" t="str">
            <v>WOG 3600#</v>
          </cell>
        </row>
        <row r="59">
          <cell r="D59">
            <v>1.96</v>
          </cell>
          <cell r="L59" t="str">
            <v>WOG 4500#</v>
          </cell>
        </row>
        <row r="60">
          <cell r="D60">
            <v>1.97</v>
          </cell>
          <cell r="L60" t="str">
            <v>WOG 5000#</v>
          </cell>
        </row>
        <row r="61">
          <cell r="D61">
            <v>1.98</v>
          </cell>
          <cell r="L61" t="str">
            <v>WOG 6000#</v>
          </cell>
        </row>
        <row r="62">
          <cell r="D62">
            <v>1.99</v>
          </cell>
          <cell r="L62" t="str">
            <v>WOG 10000#</v>
          </cell>
        </row>
        <row r="63">
          <cell r="D63">
            <v>2</v>
          </cell>
          <cell r="L63" t="str">
            <v>Unknown</v>
          </cell>
        </row>
        <row r="64">
          <cell r="D64">
            <v>2.0099999999999998</v>
          </cell>
          <cell r="L64" t="str">
            <v>N/A</v>
          </cell>
        </row>
        <row r="65">
          <cell r="D65">
            <v>2.02</v>
          </cell>
        </row>
        <row r="66">
          <cell r="D66">
            <v>2.0299999999999998</v>
          </cell>
        </row>
        <row r="67">
          <cell r="D67">
            <v>2.04</v>
          </cell>
        </row>
        <row r="68">
          <cell r="D68">
            <v>2.0499999999999998</v>
          </cell>
        </row>
        <row r="69">
          <cell r="D69">
            <v>2.06</v>
          </cell>
        </row>
        <row r="70">
          <cell r="D70">
            <v>2.0699999999999998</v>
          </cell>
        </row>
        <row r="71">
          <cell r="D71">
            <v>2.08</v>
          </cell>
        </row>
        <row r="72">
          <cell r="D72">
            <v>2.09</v>
          </cell>
        </row>
        <row r="73">
          <cell r="D73">
            <v>2.1</v>
          </cell>
        </row>
        <row r="74">
          <cell r="D74">
            <v>2.11</v>
          </cell>
        </row>
        <row r="75">
          <cell r="D75">
            <v>2.12</v>
          </cell>
        </row>
        <row r="76">
          <cell r="D76">
            <v>2.13</v>
          </cell>
        </row>
        <row r="77">
          <cell r="D77">
            <v>2.14</v>
          </cell>
        </row>
        <row r="78">
          <cell r="D78">
            <v>2.15</v>
          </cell>
        </row>
        <row r="79">
          <cell r="D79">
            <v>2.16</v>
          </cell>
        </row>
        <row r="80">
          <cell r="D80">
            <v>2.17</v>
          </cell>
        </row>
        <row r="81">
          <cell r="D81">
            <v>2.1800000000000002</v>
          </cell>
        </row>
        <row r="82">
          <cell r="D82">
            <v>2.19</v>
          </cell>
        </row>
        <row r="83">
          <cell r="D83">
            <v>2.2000000000000002</v>
          </cell>
        </row>
        <row r="84">
          <cell r="D84">
            <v>2.21</v>
          </cell>
        </row>
        <row r="85">
          <cell r="D85">
            <v>2.2200000000000002</v>
          </cell>
        </row>
        <row r="86">
          <cell r="D86">
            <v>2.23</v>
          </cell>
        </row>
        <row r="87">
          <cell r="D87">
            <v>2.2400000000000002</v>
          </cell>
        </row>
        <row r="88">
          <cell r="D88">
            <v>2.25</v>
          </cell>
        </row>
        <row r="89">
          <cell r="D89">
            <v>2.2599999999999998</v>
          </cell>
        </row>
        <row r="90">
          <cell r="D90">
            <v>2.27</v>
          </cell>
        </row>
        <row r="91">
          <cell r="D91">
            <v>2.2799999999999998</v>
          </cell>
        </row>
        <row r="92">
          <cell r="D92">
            <v>2.29</v>
          </cell>
        </row>
        <row r="93">
          <cell r="D93">
            <v>2.2999999999999998</v>
          </cell>
        </row>
        <row r="94">
          <cell r="D94">
            <v>2.31</v>
          </cell>
        </row>
        <row r="95">
          <cell r="D95">
            <v>2.3199999999999998</v>
          </cell>
        </row>
        <row r="96">
          <cell r="D96">
            <v>2.33</v>
          </cell>
        </row>
        <row r="97">
          <cell r="D97">
            <v>2.34</v>
          </cell>
        </row>
        <row r="98">
          <cell r="D98">
            <v>2.35</v>
          </cell>
        </row>
        <row r="99">
          <cell r="D99">
            <v>2.36</v>
          </cell>
        </row>
        <row r="100">
          <cell r="D100">
            <v>2.37</v>
          </cell>
        </row>
        <row r="101">
          <cell r="D101">
            <v>2.38</v>
          </cell>
        </row>
        <row r="102">
          <cell r="D102">
            <v>2.39</v>
          </cell>
        </row>
        <row r="103">
          <cell r="D103">
            <v>2.4</v>
          </cell>
        </row>
        <row r="104">
          <cell r="D104">
            <v>2.41</v>
          </cell>
        </row>
        <row r="105">
          <cell r="D105">
            <v>2.42</v>
          </cell>
        </row>
        <row r="106">
          <cell r="D106">
            <v>2.4300000000000002</v>
          </cell>
        </row>
        <row r="107">
          <cell r="D107">
            <v>2.44</v>
          </cell>
        </row>
        <row r="108">
          <cell r="D108">
            <v>2.4500000000000002</v>
          </cell>
        </row>
        <row r="109">
          <cell r="D109">
            <v>2.46</v>
          </cell>
        </row>
        <row r="110">
          <cell r="D110">
            <v>2.4700000000000002</v>
          </cell>
        </row>
        <row r="111">
          <cell r="D111">
            <v>2.48</v>
          </cell>
        </row>
        <row r="112">
          <cell r="D112">
            <v>2.4900000000000002</v>
          </cell>
        </row>
        <row r="113">
          <cell r="D113">
            <v>2.5</v>
          </cell>
        </row>
        <row r="114">
          <cell r="D114">
            <v>2.5099999999999998</v>
          </cell>
        </row>
        <row r="115">
          <cell r="D115">
            <v>2.52</v>
          </cell>
        </row>
        <row r="116">
          <cell r="D116">
            <v>2.5299999999999998</v>
          </cell>
        </row>
        <row r="117">
          <cell r="D117">
            <v>2.54</v>
          </cell>
        </row>
        <row r="118">
          <cell r="D118">
            <v>2.5499999999999998</v>
          </cell>
        </row>
        <row r="119">
          <cell r="D119">
            <v>2.56</v>
          </cell>
        </row>
        <row r="120">
          <cell r="D120">
            <v>2.57</v>
          </cell>
        </row>
        <row r="121">
          <cell r="D121">
            <v>2.58</v>
          </cell>
        </row>
        <row r="122">
          <cell r="D122">
            <v>2.59</v>
          </cell>
        </row>
        <row r="123">
          <cell r="D123">
            <v>2.6</v>
          </cell>
        </row>
        <row r="124">
          <cell r="D124">
            <v>2.61</v>
          </cell>
        </row>
        <row r="125">
          <cell r="D125">
            <v>2.62</v>
          </cell>
        </row>
        <row r="126">
          <cell r="D126">
            <v>2.63</v>
          </cell>
        </row>
        <row r="127">
          <cell r="D127">
            <v>2.64</v>
          </cell>
        </row>
        <row r="128">
          <cell r="D128">
            <v>2.65</v>
          </cell>
        </row>
        <row r="129">
          <cell r="D129">
            <v>2.66</v>
          </cell>
        </row>
        <row r="130">
          <cell r="D130">
            <v>2.67</v>
          </cell>
        </row>
        <row r="131">
          <cell r="D131">
            <v>2.68</v>
          </cell>
        </row>
        <row r="132">
          <cell r="D132">
            <v>2.69</v>
          </cell>
        </row>
        <row r="133">
          <cell r="D133">
            <v>2.7</v>
          </cell>
        </row>
        <row r="134">
          <cell r="D134">
            <v>2.71</v>
          </cell>
        </row>
        <row r="135">
          <cell r="D135">
            <v>2.72</v>
          </cell>
        </row>
        <row r="136">
          <cell r="D136">
            <v>2.73</v>
          </cell>
        </row>
        <row r="137">
          <cell r="D137">
            <v>2.74</v>
          </cell>
        </row>
        <row r="138">
          <cell r="D138">
            <v>2.75</v>
          </cell>
        </row>
        <row r="139">
          <cell r="D139">
            <v>2.76</v>
          </cell>
        </row>
        <row r="140">
          <cell r="D140">
            <v>2.77</v>
          </cell>
        </row>
        <row r="141">
          <cell r="D141">
            <v>2.78</v>
          </cell>
        </row>
        <row r="142">
          <cell r="D142">
            <v>2.79</v>
          </cell>
        </row>
        <row r="143">
          <cell r="D143">
            <v>2.8</v>
          </cell>
        </row>
        <row r="144">
          <cell r="D144">
            <v>2.81</v>
          </cell>
        </row>
        <row r="145">
          <cell r="D145">
            <v>2.82</v>
          </cell>
        </row>
        <row r="146">
          <cell r="D146">
            <v>2.83</v>
          </cell>
        </row>
        <row r="147">
          <cell r="D147">
            <v>2.84</v>
          </cell>
        </row>
        <row r="148">
          <cell r="D148">
            <v>2.85</v>
          </cell>
        </row>
        <row r="149">
          <cell r="D149">
            <v>2.86</v>
          </cell>
        </row>
        <row r="150">
          <cell r="D150">
            <v>2.87</v>
          </cell>
        </row>
        <row r="151">
          <cell r="D151">
            <v>2.88</v>
          </cell>
        </row>
        <row r="152">
          <cell r="D152">
            <v>2.89</v>
          </cell>
        </row>
        <row r="153">
          <cell r="D153">
            <v>2.9</v>
          </cell>
        </row>
        <row r="154">
          <cell r="D154">
            <v>2.91</v>
          </cell>
        </row>
        <row r="155">
          <cell r="D155">
            <v>2.92</v>
          </cell>
        </row>
        <row r="156">
          <cell r="D156">
            <v>2.93</v>
          </cell>
        </row>
        <row r="157">
          <cell r="D157">
            <v>2.94</v>
          </cell>
        </row>
        <row r="158">
          <cell r="D158">
            <v>2.95</v>
          </cell>
        </row>
        <row r="159">
          <cell r="D159">
            <v>2.96</v>
          </cell>
        </row>
        <row r="160">
          <cell r="D160">
            <v>2.97</v>
          </cell>
        </row>
        <row r="161">
          <cell r="D161">
            <v>2.98</v>
          </cell>
        </row>
        <row r="162">
          <cell r="D162">
            <v>2.99</v>
          </cell>
        </row>
        <row r="163">
          <cell r="D163">
            <v>3</v>
          </cell>
        </row>
        <row r="164">
          <cell r="D164">
            <v>3.01</v>
          </cell>
        </row>
        <row r="165">
          <cell r="D165">
            <v>3.02</v>
          </cell>
        </row>
        <row r="166">
          <cell r="D166">
            <v>3.03</v>
          </cell>
        </row>
        <row r="167">
          <cell r="D167">
            <v>3.04</v>
          </cell>
        </row>
        <row r="168">
          <cell r="D168">
            <v>3.05</v>
          </cell>
        </row>
        <row r="169">
          <cell r="D169">
            <v>3.06</v>
          </cell>
        </row>
        <row r="170">
          <cell r="D170">
            <v>3.07</v>
          </cell>
        </row>
        <row r="171">
          <cell r="D171">
            <v>3.08</v>
          </cell>
        </row>
        <row r="172">
          <cell r="D172">
            <v>3.09</v>
          </cell>
        </row>
        <row r="173">
          <cell r="D173">
            <v>3.1</v>
          </cell>
        </row>
        <row r="174">
          <cell r="D174">
            <v>3.11</v>
          </cell>
        </row>
        <row r="175">
          <cell r="D175">
            <v>3.12</v>
          </cell>
        </row>
        <row r="176">
          <cell r="D176">
            <v>3.13</v>
          </cell>
        </row>
        <row r="177">
          <cell r="D177">
            <v>3.14</v>
          </cell>
        </row>
        <row r="178">
          <cell r="D178">
            <v>3.15</v>
          </cell>
        </row>
        <row r="179">
          <cell r="D179">
            <v>3.16</v>
          </cell>
        </row>
        <row r="180">
          <cell r="D180">
            <v>3.17</v>
          </cell>
        </row>
        <row r="181">
          <cell r="D181">
            <v>3.18</v>
          </cell>
        </row>
        <row r="182">
          <cell r="D182">
            <v>3.19</v>
          </cell>
        </row>
        <row r="183">
          <cell r="D183">
            <v>3.2</v>
          </cell>
        </row>
        <row r="184">
          <cell r="D184">
            <v>3.21</v>
          </cell>
        </row>
        <row r="185">
          <cell r="D185">
            <v>3.22</v>
          </cell>
        </row>
        <row r="186">
          <cell r="D186">
            <v>3.23</v>
          </cell>
        </row>
        <row r="187">
          <cell r="D187">
            <v>3.24</v>
          </cell>
        </row>
        <row r="188">
          <cell r="D188">
            <v>3.25</v>
          </cell>
        </row>
        <row r="189">
          <cell r="D189">
            <v>3.26</v>
          </cell>
        </row>
        <row r="190">
          <cell r="D190">
            <v>3.27</v>
          </cell>
        </row>
        <row r="191">
          <cell r="D191">
            <v>3.28</v>
          </cell>
        </row>
        <row r="192">
          <cell r="D192">
            <v>3.29</v>
          </cell>
        </row>
        <row r="193">
          <cell r="D193">
            <v>3.3</v>
          </cell>
        </row>
        <row r="194">
          <cell r="D194">
            <v>3.31</v>
          </cell>
        </row>
        <row r="195">
          <cell r="D195">
            <v>3.32</v>
          </cell>
        </row>
        <row r="196">
          <cell r="D196">
            <v>3.33</v>
          </cell>
        </row>
        <row r="197">
          <cell r="D197">
            <v>3.34</v>
          </cell>
        </row>
        <row r="198">
          <cell r="D198">
            <v>3.35</v>
          </cell>
        </row>
        <row r="199">
          <cell r="D199">
            <v>3.36</v>
          </cell>
        </row>
        <row r="200">
          <cell r="D200">
            <v>3.37</v>
          </cell>
        </row>
        <row r="201">
          <cell r="D201">
            <v>3.38</v>
          </cell>
        </row>
        <row r="202">
          <cell r="D202">
            <v>3.39</v>
          </cell>
        </row>
        <row r="203">
          <cell r="D203">
            <v>3.4</v>
          </cell>
        </row>
        <row r="204">
          <cell r="D204">
            <v>3.41</v>
          </cell>
        </row>
        <row r="205">
          <cell r="D205">
            <v>3.42</v>
          </cell>
        </row>
        <row r="206">
          <cell r="D206">
            <v>3.43</v>
          </cell>
        </row>
        <row r="207">
          <cell r="D207">
            <v>3.44</v>
          </cell>
        </row>
        <row r="208">
          <cell r="D208">
            <v>3.45</v>
          </cell>
        </row>
        <row r="209">
          <cell r="D209">
            <v>3.46</v>
          </cell>
        </row>
        <row r="210">
          <cell r="D210">
            <v>3.47</v>
          </cell>
        </row>
        <row r="211">
          <cell r="D211">
            <v>3.48</v>
          </cell>
        </row>
        <row r="212">
          <cell r="D212">
            <v>3.49</v>
          </cell>
        </row>
        <row r="213">
          <cell r="D213">
            <v>3.5</v>
          </cell>
        </row>
        <row r="214">
          <cell r="D214">
            <v>3.51</v>
          </cell>
        </row>
        <row r="215">
          <cell r="D215">
            <v>3.52</v>
          </cell>
        </row>
        <row r="216">
          <cell r="D216">
            <v>3.53</v>
          </cell>
        </row>
        <row r="217">
          <cell r="D217">
            <v>3.54</v>
          </cell>
        </row>
        <row r="218">
          <cell r="D218">
            <v>3.55</v>
          </cell>
        </row>
        <row r="219">
          <cell r="D219">
            <v>3.56</v>
          </cell>
        </row>
        <row r="220">
          <cell r="D220">
            <v>3.57</v>
          </cell>
        </row>
        <row r="221">
          <cell r="D221">
            <v>3.58</v>
          </cell>
        </row>
        <row r="222">
          <cell r="D222">
            <v>3.59</v>
          </cell>
        </row>
        <row r="223">
          <cell r="D223">
            <v>3.6</v>
          </cell>
        </row>
        <row r="224">
          <cell r="D224">
            <v>3.61</v>
          </cell>
        </row>
        <row r="225">
          <cell r="D225">
            <v>3.62</v>
          </cell>
        </row>
        <row r="226">
          <cell r="D226">
            <v>3.63</v>
          </cell>
        </row>
        <row r="227">
          <cell r="D227">
            <v>3.64</v>
          </cell>
        </row>
        <row r="228">
          <cell r="D228">
            <v>3.65</v>
          </cell>
        </row>
        <row r="229">
          <cell r="D229">
            <v>3.66</v>
          </cell>
        </row>
        <row r="230">
          <cell r="D230">
            <v>3.67</v>
          </cell>
        </row>
        <row r="231">
          <cell r="D231">
            <v>3.68</v>
          </cell>
        </row>
        <row r="232">
          <cell r="D232">
            <v>3.69</v>
          </cell>
        </row>
        <row r="233">
          <cell r="D233">
            <v>3.7</v>
          </cell>
        </row>
        <row r="234">
          <cell r="D234">
            <v>3.71</v>
          </cell>
        </row>
        <row r="235">
          <cell r="D235">
            <v>3.72</v>
          </cell>
        </row>
        <row r="236">
          <cell r="D236">
            <v>3.73</v>
          </cell>
        </row>
        <row r="237">
          <cell r="D237">
            <v>3.74</v>
          </cell>
        </row>
        <row r="238">
          <cell r="D238">
            <v>3.75</v>
          </cell>
        </row>
        <row r="239">
          <cell r="D239">
            <v>3.76</v>
          </cell>
        </row>
        <row r="240">
          <cell r="D240">
            <v>3.77</v>
          </cell>
        </row>
        <row r="241">
          <cell r="D241">
            <v>3.78</v>
          </cell>
        </row>
        <row r="242">
          <cell r="D242">
            <v>3.79</v>
          </cell>
        </row>
        <row r="243">
          <cell r="D243">
            <v>3.8</v>
          </cell>
        </row>
        <row r="244">
          <cell r="D244">
            <v>3.81</v>
          </cell>
        </row>
        <row r="245">
          <cell r="D245">
            <v>3.82</v>
          </cell>
        </row>
        <row r="246">
          <cell r="D246">
            <v>3.83</v>
          </cell>
        </row>
        <row r="247">
          <cell r="D247">
            <v>3.84</v>
          </cell>
        </row>
        <row r="248">
          <cell r="D248">
            <v>3.85</v>
          </cell>
        </row>
        <row r="249">
          <cell r="D249">
            <v>3.86</v>
          </cell>
        </row>
        <row r="250">
          <cell r="D250">
            <v>3.87</v>
          </cell>
        </row>
        <row r="251">
          <cell r="D251">
            <v>3.88</v>
          </cell>
        </row>
        <row r="252">
          <cell r="D252">
            <v>3.89</v>
          </cell>
        </row>
        <row r="253">
          <cell r="D253">
            <v>3.9</v>
          </cell>
        </row>
        <row r="254">
          <cell r="D254">
            <v>3.91</v>
          </cell>
        </row>
        <row r="255">
          <cell r="D255">
            <v>3.92</v>
          </cell>
        </row>
        <row r="256">
          <cell r="D256">
            <v>3.93</v>
          </cell>
        </row>
        <row r="257">
          <cell r="D257">
            <v>3.94</v>
          </cell>
        </row>
        <row r="258">
          <cell r="D258">
            <v>3.95</v>
          </cell>
        </row>
        <row r="259">
          <cell r="D259">
            <v>3.96</v>
          </cell>
        </row>
        <row r="260">
          <cell r="D260">
            <v>3.97</v>
          </cell>
        </row>
        <row r="261">
          <cell r="D261">
            <v>3.98</v>
          </cell>
        </row>
        <row r="262">
          <cell r="D262">
            <v>3.99</v>
          </cell>
        </row>
        <row r="263">
          <cell r="D263">
            <v>4</v>
          </cell>
        </row>
        <row r="264">
          <cell r="D264">
            <v>4.01</v>
          </cell>
        </row>
        <row r="265">
          <cell r="D265">
            <v>4.0199999999999996</v>
          </cell>
        </row>
        <row r="266">
          <cell r="D266">
            <v>4.03</v>
          </cell>
        </row>
        <row r="267">
          <cell r="D267">
            <v>4.04</v>
          </cell>
        </row>
        <row r="268">
          <cell r="D268">
            <v>4.05</v>
          </cell>
        </row>
        <row r="269">
          <cell r="D269">
            <v>4.0599999999999996</v>
          </cell>
        </row>
        <row r="270">
          <cell r="D270">
            <v>4.07</v>
          </cell>
        </row>
        <row r="271">
          <cell r="D271">
            <v>4.08</v>
          </cell>
        </row>
        <row r="272">
          <cell r="D272">
            <v>4.09</v>
          </cell>
        </row>
        <row r="273">
          <cell r="D273">
            <v>4.0999999999999996</v>
          </cell>
        </row>
        <row r="274">
          <cell r="D274">
            <v>4.1100000000000003</v>
          </cell>
        </row>
        <row r="275">
          <cell r="D275">
            <v>4.12</v>
          </cell>
        </row>
        <row r="276">
          <cell r="D276">
            <v>4.13</v>
          </cell>
        </row>
        <row r="277">
          <cell r="D277">
            <v>4.1399999999999997</v>
          </cell>
        </row>
        <row r="278">
          <cell r="D278">
            <v>4.1500000000000004</v>
          </cell>
        </row>
        <row r="279">
          <cell r="D279">
            <v>4.16</v>
          </cell>
        </row>
        <row r="280">
          <cell r="D280">
            <v>4.17</v>
          </cell>
        </row>
        <row r="281">
          <cell r="D281">
            <v>4.18</v>
          </cell>
        </row>
        <row r="282">
          <cell r="D282">
            <v>4.1900000000000004</v>
          </cell>
        </row>
        <row r="283">
          <cell r="D283">
            <v>4.2</v>
          </cell>
        </row>
        <row r="284">
          <cell r="D284">
            <v>4.21</v>
          </cell>
        </row>
        <row r="285">
          <cell r="D285">
            <v>4.22</v>
          </cell>
        </row>
        <row r="286">
          <cell r="D286">
            <v>4.2300000000000004</v>
          </cell>
        </row>
        <row r="287">
          <cell r="D287">
            <v>4.24</v>
          </cell>
        </row>
        <row r="288">
          <cell r="D288">
            <v>4.25</v>
          </cell>
        </row>
        <row r="289">
          <cell r="D289">
            <v>4.26</v>
          </cell>
        </row>
        <row r="290">
          <cell r="D290">
            <v>4.2699999999999996</v>
          </cell>
        </row>
        <row r="291">
          <cell r="D291">
            <v>4.28</v>
          </cell>
        </row>
        <row r="292">
          <cell r="D292">
            <v>4.29</v>
          </cell>
        </row>
        <row r="293">
          <cell r="D293">
            <v>4.3</v>
          </cell>
        </row>
        <row r="294">
          <cell r="D294">
            <v>4.3099999999999996</v>
          </cell>
        </row>
        <row r="295">
          <cell r="D295">
            <v>4.32</v>
          </cell>
        </row>
        <row r="296">
          <cell r="D296">
            <v>4.33</v>
          </cell>
        </row>
        <row r="297">
          <cell r="D297">
            <v>4.34</v>
          </cell>
        </row>
        <row r="298">
          <cell r="D298">
            <v>4.3499999999999996</v>
          </cell>
        </row>
        <row r="299">
          <cell r="D299">
            <v>4.3600000000000003</v>
          </cell>
        </row>
        <row r="300">
          <cell r="D300">
            <v>4.37</v>
          </cell>
        </row>
        <row r="301">
          <cell r="D301">
            <v>4.38</v>
          </cell>
        </row>
        <row r="302">
          <cell r="D302">
            <v>4.3899999999999997</v>
          </cell>
        </row>
        <row r="303">
          <cell r="D303">
            <v>4.4000000000000004</v>
          </cell>
        </row>
        <row r="304">
          <cell r="D304">
            <v>4.41</v>
          </cell>
        </row>
        <row r="305">
          <cell r="D305">
            <v>4.42</v>
          </cell>
        </row>
        <row r="306">
          <cell r="D306">
            <v>4.43</v>
          </cell>
        </row>
        <row r="307">
          <cell r="D307">
            <v>4.4400000000000004</v>
          </cell>
        </row>
        <row r="308">
          <cell r="D308">
            <v>4.45</v>
          </cell>
        </row>
        <row r="309">
          <cell r="D309">
            <v>4.46</v>
          </cell>
        </row>
        <row r="310">
          <cell r="D310">
            <v>4.47</v>
          </cell>
        </row>
        <row r="311">
          <cell r="D311">
            <v>4.4800000000000004</v>
          </cell>
        </row>
        <row r="312">
          <cell r="D312">
            <v>4.49</v>
          </cell>
        </row>
        <row r="313">
          <cell r="D313">
            <v>4.5</v>
          </cell>
        </row>
        <row r="314">
          <cell r="D314">
            <v>4.51</v>
          </cell>
        </row>
        <row r="315">
          <cell r="D315">
            <v>4.5199999999999996</v>
          </cell>
        </row>
        <row r="316">
          <cell r="D316">
            <v>4.53</v>
          </cell>
        </row>
        <row r="317">
          <cell r="D317">
            <v>4.54</v>
          </cell>
        </row>
        <row r="318">
          <cell r="D318">
            <v>4.55</v>
          </cell>
        </row>
        <row r="319">
          <cell r="D319">
            <v>4.5599999999999996</v>
          </cell>
        </row>
        <row r="320">
          <cell r="D320">
            <v>4.57</v>
          </cell>
        </row>
        <row r="321">
          <cell r="D321">
            <v>4.58</v>
          </cell>
        </row>
        <row r="322">
          <cell r="D322">
            <v>4.59</v>
          </cell>
        </row>
        <row r="323">
          <cell r="D323">
            <v>4.5999999999999996</v>
          </cell>
        </row>
        <row r="324">
          <cell r="D324">
            <v>4.6100000000000003</v>
          </cell>
        </row>
        <row r="325">
          <cell r="D325">
            <v>4.62</v>
          </cell>
        </row>
        <row r="326">
          <cell r="D326">
            <v>4.63</v>
          </cell>
        </row>
        <row r="327">
          <cell r="D327">
            <v>4.6399999999999997</v>
          </cell>
        </row>
        <row r="328">
          <cell r="D328">
            <v>4.6500000000000004</v>
          </cell>
        </row>
        <row r="329">
          <cell r="D329">
            <v>4.66</v>
          </cell>
        </row>
        <row r="330">
          <cell r="D330">
            <v>4.67</v>
          </cell>
        </row>
        <row r="331">
          <cell r="D331">
            <v>4.68</v>
          </cell>
        </row>
        <row r="332">
          <cell r="D332">
            <v>4.6900000000000004</v>
          </cell>
        </row>
        <row r="333">
          <cell r="D333">
            <v>4.7</v>
          </cell>
        </row>
        <row r="334">
          <cell r="D334">
            <v>4.71</v>
          </cell>
        </row>
        <row r="335">
          <cell r="D335">
            <v>4.72</v>
          </cell>
        </row>
        <row r="336">
          <cell r="D336">
            <v>4.7300000000000004</v>
          </cell>
        </row>
        <row r="337">
          <cell r="D337">
            <v>4.74</v>
          </cell>
        </row>
        <row r="338">
          <cell r="D338">
            <v>4.75</v>
          </cell>
        </row>
        <row r="339">
          <cell r="D339">
            <v>4.76</v>
          </cell>
        </row>
        <row r="340">
          <cell r="D340">
            <v>4.7699999999999996</v>
          </cell>
        </row>
        <row r="341">
          <cell r="D341">
            <v>4.78</v>
          </cell>
        </row>
        <row r="342">
          <cell r="D342">
            <v>4.79</v>
          </cell>
        </row>
        <row r="343">
          <cell r="D343">
            <v>4.8</v>
          </cell>
        </row>
        <row r="344">
          <cell r="D344">
            <v>4.8099999999999996</v>
          </cell>
        </row>
        <row r="345">
          <cell r="D345">
            <v>4.82</v>
          </cell>
        </row>
        <row r="346">
          <cell r="D346">
            <v>4.83</v>
          </cell>
        </row>
        <row r="347">
          <cell r="D347">
            <v>4.84</v>
          </cell>
        </row>
        <row r="348">
          <cell r="D348">
            <v>4.8499999999999996</v>
          </cell>
        </row>
        <row r="349">
          <cell r="D349">
            <v>4.8600000000000003</v>
          </cell>
        </row>
        <row r="350">
          <cell r="D350">
            <v>4.87</v>
          </cell>
        </row>
        <row r="351">
          <cell r="D351">
            <v>4.88</v>
          </cell>
        </row>
        <row r="352">
          <cell r="D352">
            <v>4.8899999999999997</v>
          </cell>
        </row>
        <row r="353">
          <cell r="D353">
            <v>4.9000000000000004</v>
          </cell>
        </row>
        <row r="354">
          <cell r="D354">
            <v>4.91</v>
          </cell>
        </row>
        <row r="355">
          <cell r="D355">
            <v>4.92</v>
          </cell>
        </row>
        <row r="356">
          <cell r="D356">
            <v>4.93</v>
          </cell>
        </row>
        <row r="357">
          <cell r="D357">
            <v>4.9400000000000004</v>
          </cell>
        </row>
        <row r="358">
          <cell r="D358">
            <v>4.95</v>
          </cell>
        </row>
        <row r="359">
          <cell r="D359">
            <v>4.96</v>
          </cell>
        </row>
        <row r="360">
          <cell r="D360">
            <v>4.97</v>
          </cell>
        </row>
        <row r="361">
          <cell r="D361">
            <v>4.9800000000000004</v>
          </cell>
        </row>
        <row r="362">
          <cell r="D362">
            <v>4.99</v>
          </cell>
        </row>
        <row r="363">
          <cell r="D363">
            <v>5</v>
          </cell>
        </row>
        <row r="364">
          <cell r="D364">
            <v>5.01</v>
          </cell>
        </row>
        <row r="365">
          <cell r="D365">
            <v>5.0199999999999996</v>
          </cell>
        </row>
        <row r="366">
          <cell r="D366">
            <v>5.03</v>
          </cell>
        </row>
        <row r="367">
          <cell r="D367">
            <v>5.04</v>
          </cell>
        </row>
        <row r="368">
          <cell r="D368">
            <v>5.05</v>
          </cell>
        </row>
        <row r="369">
          <cell r="D369">
            <v>5.0599999999999996</v>
          </cell>
        </row>
        <row r="370">
          <cell r="D370">
            <v>5.07</v>
          </cell>
        </row>
        <row r="371">
          <cell r="D371">
            <v>5.08</v>
          </cell>
        </row>
        <row r="372">
          <cell r="D372">
            <v>5.09</v>
          </cell>
        </row>
        <row r="373">
          <cell r="D373">
            <v>5.0999999999999996</v>
          </cell>
        </row>
        <row r="374">
          <cell r="D374">
            <v>5.1100000000000003</v>
          </cell>
        </row>
        <row r="375">
          <cell r="D375">
            <v>5.12</v>
          </cell>
        </row>
        <row r="376">
          <cell r="D376">
            <v>5.13</v>
          </cell>
        </row>
        <row r="377">
          <cell r="D377">
            <v>5.14</v>
          </cell>
        </row>
        <row r="378">
          <cell r="D378">
            <v>5.15</v>
          </cell>
        </row>
        <row r="379">
          <cell r="D379">
            <v>5.16</v>
          </cell>
        </row>
        <row r="380">
          <cell r="D380">
            <v>5.17</v>
          </cell>
        </row>
        <row r="381">
          <cell r="D381">
            <v>5.18</v>
          </cell>
        </row>
        <row r="382">
          <cell r="D382">
            <v>5.19</v>
          </cell>
        </row>
        <row r="383">
          <cell r="D383">
            <v>5.2</v>
          </cell>
        </row>
        <row r="384">
          <cell r="D384">
            <v>5.21</v>
          </cell>
        </row>
        <row r="385">
          <cell r="D385">
            <v>5.22</v>
          </cell>
        </row>
        <row r="386">
          <cell r="D386">
            <v>5.23</v>
          </cell>
        </row>
        <row r="387">
          <cell r="D387">
            <v>5.24</v>
          </cell>
        </row>
        <row r="388">
          <cell r="D388">
            <v>5.25</v>
          </cell>
        </row>
        <row r="389">
          <cell r="D389">
            <v>5.26</v>
          </cell>
        </row>
        <row r="390">
          <cell r="D390">
            <v>5.27</v>
          </cell>
        </row>
        <row r="391">
          <cell r="D391">
            <v>5.28</v>
          </cell>
        </row>
        <row r="392">
          <cell r="D392">
            <v>5.29</v>
          </cell>
        </row>
        <row r="393">
          <cell r="D393">
            <v>5.3</v>
          </cell>
        </row>
        <row r="394">
          <cell r="D394">
            <v>5.31</v>
          </cell>
        </row>
        <row r="395">
          <cell r="D395">
            <v>5.32</v>
          </cell>
        </row>
        <row r="396">
          <cell r="D396">
            <v>5.33</v>
          </cell>
        </row>
        <row r="397">
          <cell r="D397">
            <v>5.34</v>
          </cell>
        </row>
        <row r="398">
          <cell r="D398">
            <v>5.35</v>
          </cell>
        </row>
        <row r="399">
          <cell r="D399">
            <v>5.36</v>
          </cell>
        </row>
        <row r="400">
          <cell r="D400">
            <v>5.37</v>
          </cell>
        </row>
        <row r="401">
          <cell r="D401">
            <v>5.38</v>
          </cell>
        </row>
        <row r="402">
          <cell r="D402">
            <v>5.39</v>
          </cell>
        </row>
        <row r="403">
          <cell r="D403">
            <v>5.4</v>
          </cell>
        </row>
        <row r="404">
          <cell r="D404">
            <v>5.41</v>
          </cell>
        </row>
        <row r="405">
          <cell r="D405">
            <v>5.42</v>
          </cell>
        </row>
        <row r="406">
          <cell r="D406">
            <v>5.43</v>
          </cell>
        </row>
        <row r="407">
          <cell r="D407">
            <v>5.44</v>
          </cell>
        </row>
        <row r="408">
          <cell r="D408">
            <v>5.45</v>
          </cell>
        </row>
        <row r="409">
          <cell r="D409">
            <v>5.46</v>
          </cell>
        </row>
        <row r="410">
          <cell r="D410">
            <v>5.47</v>
          </cell>
        </row>
        <row r="411">
          <cell r="D411">
            <v>5.48</v>
          </cell>
        </row>
        <row r="412">
          <cell r="D412">
            <v>5.49</v>
          </cell>
        </row>
        <row r="413">
          <cell r="D413">
            <v>5.5</v>
          </cell>
        </row>
        <row r="414">
          <cell r="D414">
            <v>5.51</v>
          </cell>
        </row>
        <row r="415">
          <cell r="D415">
            <v>5.52</v>
          </cell>
        </row>
        <row r="416">
          <cell r="D416">
            <v>5.53</v>
          </cell>
        </row>
        <row r="417">
          <cell r="D417">
            <v>5.54</v>
          </cell>
        </row>
        <row r="418">
          <cell r="D418">
            <v>5.55</v>
          </cell>
        </row>
        <row r="419">
          <cell r="D419">
            <v>5.56</v>
          </cell>
        </row>
        <row r="420">
          <cell r="D420">
            <v>5.57</v>
          </cell>
        </row>
        <row r="421">
          <cell r="D421">
            <v>5.58</v>
          </cell>
        </row>
        <row r="422">
          <cell r="D422">
            <v>5.59</v>
          </cell>
        </row>
        <row r="423">
          <cell r="D423">
            <v>5.6</v>
          </cell>
        </row>
        <row r="424">
          <cell r="D424">
            <v>5.61</v>
          </cell>
        </row>
        <row r="425">
          <cell r="D425">
            <v>5.62</v>
          </cell>
        </row>
        <row r="426">
          <cell r="D426">
            <v>5.63</v>
          </cell>
        </row>
        <row r="427">
          <cell r="D427">
            <v>5.64</v>
          </cell>
        </row>
        <row r="428">
          <cell r="D428">
            <v>5.65</v>
          </cell>
        </row>
        <row r="429">
          <cell r="D429">
            <v>5.66</v>
          </cell>
        </row>
        <row r="430">
          <cell r="D430">
            <v>5.67</v>
          </cell>
        </row>
        <row r="431">
          <cell r="D431">
            <v>5.68</v>
          </cell>
        </row>
        <row r="432">
          <cell r="D432">
            <v>5.69</v>
          </cell>
        </row>
        <row r="433">
          <cell r="D433">
            <v>5.7</v>
          </cell>
        </row>
        <row r="434">
          <cell r="D434">
            <v>5.71</v>
          </cell>
        </row>
        <row r="435">
          <cell r="D435">
            <v>5.72</v>
          </cell>
        </row>
        <row r="436">
          <cell r="D436">
            <v>5.73</v>
          </cell>
        </row>
        <row r="437">
          <cell r="D437">
            <v>5.74</v>
          </cell>
        </row>
        <row r="438">
          <cell r="D438">
            <v>5.75</v>
          </cell>
        </row>
        <row r="439">
          <cell r="D439">
            <v>5.76</v>
          </cell>
        </row>
        <row r="440">
          <cell r="D440">
            <v>5.77</v>
          </cell>
        </row>
        <row r="441">
          <cell r="D441">
            <v>5.78</v>
          </cell>
        </row>
        <row r="442">
          <cell r="D442">
            <v>5.79</v>
          </cell>
        </row>
        <row r="443">
          <cell r="D443">
            <v>5.8</v>
          </cell>
        </row>
        <row r="444">
          <cell r="D444">
            <v>5.81</v>
          </cell>
        </row>
        <row r="445">
          <cell r="D445">
            <v>5.82</v>
          </cell>
        </row>
        <row r="446">
          <cell r="D446">
            <v>5.83</v>
          </cell>
        </row>
        <row r="447">
          <cell r="D447">
            <v>5.84</v>
          </cell>
        </row>
        <row r="448">
          <cell r="D448">
            <v>5.85</v>
          </cell>
        </row>
        <row r="449">
          <cell r="D449">
            <v>5.86</v>
          </cell>
        </row>
        <row r="450">
          <cell r="D450">
            <v>5.87</v>
          </cell>
        </row>
        <row r="451">
          <cell r="D451">
            <v>5.88</v>
          </cell>
        </row>
        <row r="452">
          <cell r="D452">
            <v>5.89</v>
          </cell>
        </row>
        <row r="453">
          <cell r="D453">
            <v>5.9</v>
          </cell>
        </row>
        <row r="454">
          <cell r="D454">
            <v>5.91</v>
          </cell>
        </row>
        <row r="455">
          <cell r="D455">
            <v>5.92</v>
          </cell>
        </row>
        <row r="456">
          <cell r="D456">
            <v>5.93</v>
          </cell>
        </row>
        <row r="457">
          <cell r="D457">
            <v>5.94</v>
          </cell>
        </row>
        <row r="458">
          <cell r="D458">
            <v>5.95</v>
          </cell>
        </row>
        <row r="459">
          <cell r="D459">
            <v>5.96</v>
          </cell>
        </row>
        <row r="460">
          <cell r="D460">
            <v>5.97</v>
          </cell>
        </row>
        <row r="461">
          <cell r="D461">
            <v>5.98</v>
          </cell>
        </row>
        <row r="462">
          <cell r="D462">
            <v>5.99</v>
          </cell>
        </row>
        <row r="463">
          <cell r="D463">
            <v>6</v>
          </cell>
        </row>
        <row r="464">
          <cell r="D464">
            <v>6.01</v>
          </cell>
        </row>
        <row r="465">
          <cell r="D465">
            <v>6.02</v>
          </cell>
        </row>
        <row r="466">
          <cell r="D466">
            <v>6.03</v>
          </cell>
        </row>
        <row r="467">
          <cell r="D467">
            <v>6.04</v>
          </cell>
        </row>
        <row r="468">
          <cell r="D468">
            <v>6.05</v>
          </cell>
        </row>
        <row r="469">
          <cell r="D469">
            <v>6.06</v>
          </cell>
        </row>
        <row r="470">
          <cell r="D470">
            <v>6.07</v>
          </cell>
        </row>
        <row r="471">
          <cell r="D471">
            <v>6.08</v>
          </cell>
        </row>
        <row r="472">
          <cell r="D472">
            <v>6.09</v>
          </cell>
        </row>
        <row r="473">
          <cell r="D473">
            <v>6.1</v>
          </cell>
        </row>
        <row r="474">
          <cell r="D474">
            <v>6.11</v>
          </cell>
        </row>
        <row r="475">
          <cell r="D475">
            <v>6.12</v>
          </cell>
        </row>
        <row r="476">
          <cell r="D476">
            <v>6.13</v>
          </cell>
        </row>
        <row r="477">
          <cell r="D477">
            <v>6.14</v>
          </cell>
        </row>
        <row r="478">
          <cell r="D478">
            <v>6.15</v>
          </cell>
        </row>
        <row r="479">
          <cell r="D479">
            <v>6.16</v>
          </cell>
        </row>
        <row r="480">
          <cell r="D480">
            <v>6.17</v>
          </cell>
        </row>
        <row r="481">
          <cell r="D481">
            <v>6.18</v>
          </cell>
        </row>
        <row r="482">
          <cell r="D482">
            <v>6.19</v>
          </cell>
        </row>
        <row r="483">
          <cell r="D483">
            <v>6.2</v>
          </cell>
        </row>
        <row r="484">
          <cell r="D484">
            <v>6.21</v>
          </cell>
        </row>
        <row r="485">
          <cell r="D485">
            <v>6.22</v>
          </cell>
        </row>
        <row r="486">
          <cell r="D486">
            <v>6.23</v>
          </cell>
        </row>
        <row r="487">
          <cell r="D487">
            <v>6.24</v>
          </cell>
        </row>
        <row r="488">
          <cell r="D488">
            <v>6.25</v>
          </cell>
        </row>
        <row r="489">
          <cell r="D489">
            <v>6.26</v>
          </cell>
        </row>
        <row r="490">
          <cell r="D490">
            <v>6.27</v>
          </cell>
        </row>
        <row r="491">
          <cell r="D491">
            <v>6.28</v>
          </cell>
        </row>
        <row r="492">
          <cell r="D492">
            <v>6.29</v>
          </cell>
        </row>
        <row r="493">
          <cell r="D493">
            <v>6.3</v>
          </cell>
        </row>
        <row r="494">
          <cell r="D494">
            <v>6.31</v>
          </cell>
        </row>
        <row r="495">
          <cell r="D495">
            <v>6.32</v>
          </cell>
        </row>
        <row r="496">
          <cell r="D496">
            <v>6.33</v>
          </cell>
        </row>
        <row r="497">
          <cell r="D497">
            <v>6.34</v>
          </cell>
        </row>
        <row r="498">
          <cell r="D498">
            <v>6.35</v>
          </cell>
        </row>
        <row r="499">
          <cell r="D499">
            <v>6.36</v>
          </cell>
        </row>
        <row r="500">
          <cell r="D500">
            <v>6.37</v>
          </cell>
        </row>
        <row r="501">
          <cell r="D501">
            <v>6.38</v>
          </cell>
        </row>
        <row r="502">
          <cell r="D502">
            <v>6.39</v>
          </cell>
        </row>
        <row r="503">
          <cell r="D503">
            <v>6.4</v>
          </cell>
        </row>
        <row r="504">
          <cell r="D504">
            <v>6.41</v>
          </cell>
        </row>
        <row r="505">
          <cell r="D505">
            <v>6.42</v>
          </cell>
        </row>
        <row r="506">
          <cell r="D506">
            <v>6.43</v>
          </cell>
        </row>
        <row r="507">
          <cell r="D507">
            <v>6.44</v>
          </cell>
        </row>
        <row r="508">
          <cell r="D508">
            <v>6.45</v>
          </cell>
        </row>
        <row r="509">
          <cell r="D509">
            <v>6.46</v>
          </cell>
        </row>
        <row r="510">
          <cell r="D510">
            <v>6.47</v>
          </cell>
        </row>
        <row r="511">
          <cell r="D511">
            <v>6.48</v>
          </cell>
        </row>
        <row r="512">
          <cell r="D512">
            <v>6.49</v>
          </cell>
        </row>
        <row r="513">
          <cell r="D513">
            <v>6.5</v>
          </cell>
        </row>
        <row r="514">
          <cell r="D514">
            <v>6.51</v>
          </cell>
        </row>
        <row r="515">
          <cell r="D515">
            <v>6.52</v>
          </cell>
        </row>
        <row r="516">
          <cell r="D516">
            <v>6.53</v>
          </cell>
        </row>
        <row r="517">
          <cell r="D517">
            <v>6.54</v>
          </cell>
        </row>
        <row r="518">
          <cell r="D518">
            <v>6.55</v>
          </cell>
        </row>
        <row r="519">
          <cell r="D519">
            <v>6.56</v>
          </cell>
        </row>
        <row r="520">
          <cell r="D520">
            <v>6.57</v>
          </cell>
        </row>
        <row r="521">
          <cell r="D521">
            <v>6.58</v>
          </cell>
        </row>
        <row r="522">
          <cell r="D522">
            <v>6.5900000000000096</v>
          </cell>
        </row>
        <row r="523">
          <cell r="D523">
            <v>6.6</v>
          </cell>
        </row>
        <row r="524">
          <cell r="D524">
            <v>6.61</v>
          </cell>
        </row>
        <row r="525">
          <cell r="D525">
            <v>6.62</v>
          </cell>
        </row>
        <row r="526">
          <cell r="D526">
            <v>6.63</v>
          </cell>
        </row>
        <row r="527">
          <cell r="D527">
            <v>6.64</v>
          </cell>
        </row>
        <row r="528">
          <cell r="D528">
            <v>6.65</v>
          </cell>
        </row>
        <row r="529">
          <cell r="D529">
            <v>6.66</v>
          </cell>
        </row>
        <row r="530">
          <cell r="D530">
            <v>6.6700000000000097</v>
          </cell>
        </row>
        <row r="531">
          <cell r="D531">
            <v>6.68</v>
          </cell>
        </row>
        <row r="532">
          <cell r="D532">
            <v>6.69</v>
          </cell>
        </row>
        <row r="533">
          <cell r="D533">
            <v>6.7</v>
          </cell>
        </row>
        <row r="534">
          <cell r="D534">
            <v>6.71</v>
          </cell>
        </row>
        <row r="535">
          <cell r="D535">
            <v>6.72</v>
          </cell>
        </row>
        <row r="536">
          <cell r="D536">
            <v>6.73</v>
          </cell>
        </row>
        <row r="537">
          <cell r="D537">
            <v>6.74</v>
          </cell>
        </row>
        <row r="538">
          <cell r="D538">
            <v>6.7500000000000098</v>
          </cell>
        </row>
        <row r="539">
          <cell r="D539">
            <v>6.76</v>
          </cell>
        </row>
        <row r="540">
          <cell r="D540">
            <v>6.77</v>
          </cell>
        </row>
        <row r="541">
          <cell r="D541">
            <v>6.78</v>
          </cell>
        </row>
        <row r="542">
          <cell r="D542">
            <v>6.79</v>
          </cell>
        </row>
        <row r="543">
          <cell r="D543">
            <v>6.8000000000000096</v>
          </cell>
        </row>
        <row r="544">
          <cell r="D544">
            <v>6.81</v>
          </cell>
        </row>
        <row r="545">
          <cell r="D545">
            <v>6.82</v>
          </cell>
        </row>
        <row r="546">
          <cell r="D546">
            <v>6.8300000000000098</v>
          </cell>
        </row>
        <row r="547">
          <cell r="D547">
            <v>6.8400000000000096</v>
          </cell>
        </row>
        <row r="548">
          <cell r="D548">
            <v>6.85</v>
          </cell>
        </row>
        <row r="549">
          <cell r="D549">
            <v>6.86</v>
          </cell>
        </row>
        <row r="550">
          <cell r="D550">
            <v>6.87</v>
          </cell>
        </row>
        <row r="551">
          <cell r="D551">
            <v>6.8800000000000097</v>
          </cell>
        </row>
        <row r="552">
          <cell r="D552">
            <v>6.89</v>
          </cell>
        </row>
        <row r="553">
          <cell r="D553">
            <v>6.9</v>
          </cell>
        </row>
        <row r="554">
          <cell r="D554">
            <v>6.9100000000000099</v>
          </cell>
        </row>
        <row r="555">
          <cell r="D555">
            <v>6.9200000000000097</v>
          </cell>
        </row>
        <row r="556">
          <cell r="D556">
            <v>6.93</v>
          </cell>
        </row>
        <row r="557">
          <cell r="D557">
            <v>6.94</v>
          </cell>
        </row>
        <row r="558">
          <cell r="D558">
            <v>6.95</v>
          </cell>
        </row>
        <row r="559">
          <cell r="D559">
            <v>6.9600000000000097</v>
          </cell>
        </row>
        <row r="560">
          <cell r="D560">
            <v>6.97</v>
          </cell>
        </row>
        <row r="561">
          <cell r="D561">
            <v>6.98</v>
          </cell>
        </row>
        <row r="562">
          <cell r="D562">
            <v>6.99000000000001</v>
          </cell>
        </row>
        <row r="563">
          <cell r="D563">
            <v>7.0000000000000098</v>
          </cell>
        </row>
        <row r="564">
          <cell r="D564">
            <v>7.01</v>
          </cell>
        </row>
        <row r="565">
          <cell r="D565">
            <v>7.02</v>
          </cell>
        </row>
        <row r="566">
          <cell r="D566">
            <v>7.03</v>
          </cell>
        </row>
        <row r="567">
          <cell r="D567">
            <v>7.0400000000000098</v>
          </cell>
        </row>
        <row r="568">
          <cell r="D568">
            <v>7.0500000000000096</v>
          </cell>
        </row>
        <row r="569">
          <cell r="D569">
            <v>7.06</v>
          </cell>
        </row>
        <row r="570">
          <cell r="D570">
            <v>7.0700000000000101</v>
          </cell>
        </row>
        <row r="571">
          <cell r="D571">
            <v>7.0800000000000098</v>
          </cell>
        </row>
        <row r="572">
          <cell r="D572">
            <v>7.0900000000000096</v>
          </cell>
        </row>
        <row r="573">
          <cell r="D573">
            <v>7.1</v>
          </cell>
        </row>
        <row r="574">
          <cell r="D574">
            <v>7.11</v>
          </cell>
        </row>
        <row r="575">
          <cell r="D575">
            <v>7.1200000000000099</v>
          </cell>
        </row>
        <row r="576">
          <cell r="D576">
            <v>7.1300000000000097</v>
          </cell>
        </row>
        <row r="577">
          <cell r="D577">
            <v>7.14</v>
          </cell>
        </row>
        <row r="578">
          <cell r="D578">
            <v>7.1500000000000101</v>
          </cell>
        </row>
        <row r="579">
          <cell r="D579">
            <v>7.1600000000000099</v>
          </cell>
        </row>
        <row r="580">
          <cell r="D580">
            <v>7.1700000000000097</v>
          </cell>
        </row>
        <row r="581">
          <cell r="D581">
            <v>7.18</v>
          </cell>
        </row>
        <row r="582">
          <cell r="D582">
            <v>7.19</v>
          </cell>
        </row>
        <row r="583">
          <cell r="D583">
            <v>7.2000000000000099</v>
          </cell>
        </row>
        <row r="584">
          <cell r="D584">
            <v>7.2100000000000097</v>
          </cell>
        </row>
        <row r="585">
          <cell r="D585">
            <v>7.22</v>
          </cell>
        </row>
        <row r="586">
          <cell r="D586">
            <v>7.2300000000000102</v>
          </cell>
        </row>
        <row r="587">
          <cell r="D587">
            <v>7.24000000000001</v>
          </cell>
        </row>
        <row r="588">
          <cell r="D588">
            <v>7.2500000000000098</v>
          </cell>
        </row>
        <row r="589">
          <cell r="D589">
            <v>7.26</v>
          </cell>
        </row>
        <row r="590">
          <cell r="D590">
            <v>7.27</v>
          </cell>
        </row>
        <row r="591">
          <cell r="D591">
            <v>7.28000000000001</v>
          </cell>
        </row>
        <row r="592">
          <cell r="D592">
            <v>7.2900000000000098</v>
          </cell>
        </row>
        <row r="593">
          <cell r="D593">
            <v>7.3000000000000096</v>
          </cell>
        </row>
        <row r="594">
          <cell r="D594">
            <v>7.3100000000000103</v>
          </cell>
        </row>
        <row r="595">
          <cell r="D595">
            <v>7.3200000000000101</v>
          </cell>
        </row>
        <row r="596">
          <cell r="D596">
            <v>7.3300000000000098</v>
          </cell>
        </row>
        <row r="597">
          <cell r="D597">
            <v>7.3400000000000096</v>
          </cell>
        </row>
        <row r="598">
          <cell r="D598">
            <v>7.35</v>
          </cell>
        </row>
        <row r="599">
          <cell r="D599">
            <v>7.3600000000000101</v>
          </cell>
        </row>
        <row r="600">
          <cell r="D600">
            <v>7.3700000000000099</v>
          </cell>
        </row>
        <row r="601">
          <cell r="D601">
            <v>7.3800000000000097</v>
          </cell>
        </row>
        <row r="602">
          <cell r="D602">
            <v>7.3900000000000103</v>
          </cell>
        </row>
        <row r="603">
          <cell r="D603">
            <v>7.4000000000000101</v>
          </cell>
        </row>
        <row r="604">
          <cell r="D604">
            <v>7.4100000000000099</v>
          </cell>
        </row>
        <row r="605">
          <cell r="D605">
            <v>7.4200000000000097</v>
          </cell>
        </row>
        <row r="606">
          <cell r="D606">
            <v>7.43</v>
          </cell>
        </row>
        <row r="607">
          <cell r="D607">
            <v>7.4400000000000102</v>
          </cell>
        </row>
        <row r="608">
          <cell r="D608">
            <v>7.4500000000000099</v>
          </cell>
        </row>
        <row r="609">
          <cell r="D609">
            <v>7.4600000000000097</v>
          </cell>
        </row>
        <row r="610">
          <cell r="D610">
            <v>7.4700000000000104</v>
          </cell>
        </row>
        <row r="611">
          <cell r="D611">
            <v>7.4800000000000102</v>
          </cell>
        </row>
        <row r="612">
          <cell r="D612">
            <v>7.49000000000001</v>
          </cell>
        </row>
        <row r="613">
          <cell r="D613">
            <v>7.5000000000000098</v>
          </cell>
        </row>
        <row r="614">
          <cell r="D614">
            <v>7.51</v>
          </cell>
        </row>
        <row r="615">
          <cell r="D615">
            <v>7.5200000000000102</v>
          </cell>
        </row>
        <row r="616">
          <cell r="D616">
            <v>7.53000000000001</v>
          </cell>
        </row>
        <row r="617">
          <cell r="D617">
            <v>7.5400000000000098</v>
          </cell>
        </row>
        <row r="618">
          <cell r="D618">
            <v>7.5500000000000096</v>
          </cell>
        </row>
        <row r="619">
          <cell r="D619">
            <v>7.5600000000000103</v>
          </cell>
        </row>
        <row r="620">
          <cell r="D620">
            <v>7.5700000000000101</v>
          </cell>
        </row>
        <row r="621">
          <cell r="D621">
            <v>7.5800000000000098</v>
          </cell>
        </row>
        <row r="622">
          <cell r="D622">
            <v>7.5900000000000096</v>
          </cell>
        </row>
        <row r="623">
          <cell r="D623">
            <v>7.6000000000000103</v>
          </cell>
        </row>
        <row r="624">
          <cell r="D624">
            <v>7.6100000000000101</v>
          </cell>
        </row>
        <row r="625">
          <cell r="D625">
            <v>7.6200000000000099</v>
          </cell>
        </row>
        <row r="626">
          <cell r="D626">
            <v>7.6300000000000097</v>
          </cell>
        </row>
        <row r="627">
          <cell r="D627">
            <v>7.6400000000000103</v>
          </cell>
        </row>
        <row r="628">
          <cell r="D628">
            <v>7.6500000000000101</v>
          </cell>
        </row>
        <row r="629">
          <cell r="D629">
            <v>7.6600000000000099</v>
          </cell>
        </row>
        <row r="630">
          <cell r="D630">
            <v>7.6700000000000097</v>
          </cell>
        </row>
        <row r="631">
          <cell r="D631">
            <v>7.6800000000000104</v>
          </cell>
        </row>
        <row r="632">
          <cell r="D632">
            <v>7.6900000000000102</v>
          </cell>
        </row>
        <row r="633">
          <cell r="D633">
            <v>7.7000000000000099</v>
          </cell>
        </row>
        <row r="634">
          <cell r="D634">
            <v>7.7100000000000097</v>
          </cell>
        </row>
        <row r="635">
          <cell r="D635">
            <v>7.7200000000000104</v>
          </cell>
        </row>
        <row r="636">
          <cell r="D636">
            <v>7.7300000000000102</v>
          </cell>
        </row>
        <row r="637">
          <cell r="D637">
            <v>7.74000000000001</v>
          </cell>
        </row>
        <row r="638">
          <cell r="D638">
            <v>7.7500000000000098</v>
          </cell>
        </row>
        <row r="639">
          <cell r="D639">
            <v>7.7600000000000096</v>
          </cell>
        </row>
        <row r="640">
          <cell r="D640">
            <v>7.7700000000000102</v>
          </cell>
        </row>
        <row r="641">
          <cell r="D641">
            <v>7.78000000000001</v>
          </cell>
        </row>
        <row r="642">
          <cell r="D642">
            <v>7.7900000000000098</v>
          </cell>
        </row>
        <row r="643">
          <cell r="D643">
            <v>7.8000000000000096</v>
          </cell>
        </row>
        <row r="644">
          <cell r="D644">
            <v>7.8100000000000103</v>
          </cell>
        </row>
        <row r="645">
          <cell r="D645">
            <v>7.8200000000000101</v>
          </cell>
        </row>
        <row r="646">
          <cell r="D646">
            <v>7.8300000000000098</v>
          </cell>
        </row>
        <row r="647">
          <cell r="D647">
            <v>7.8400000000000096</v>
          </cell>
        </row>
        <row r="648">
          <cell r="D648">
            <v>7.8500000000000103</v>
          </cell>
        </row>
        <row r="649">
          <cell r="D649">
            <v>7.8600000000000101</v>
          </cell>
        </row>
        <row r="650">
          <cell r="D650">
            <v>7.8700000000000099</v>
          </cell>
        </row>
        <row r="651">
          <cell r="D651">
            <v>7.8800000000000097</v>
          </cell>
        </row>
        <row r="652">
          <cell r="D652">
            <v>7.8900000000000103</v>
          </cell>
        </row>
        <row r="653">
          <cell r="D653">
            <v>7.9000000000000101</v>
          </cell>
        </row>
        <row r="654">
          <cell r="D654">
            <v>7.9100000000000099</v>
          </cell>
        </row>
        <row r="655">
          <cell r="D655">
            <v>7.9200000000000097</v>
          </cell>
        </row>
        <row r="656">
          <cell r="D656">
            <v>7.9300000000000104</v>
          </cell>
        </row>
        <row r="657">
          <cell r="D657">
            <v>7.9400000000000102</v>
          </cell>
        </row>
        <row r="658">
          <cell r="D658">
            <v>7.9500000000000099</v>
          </cell>
        </row>
        <row r="659">
          <cell r="D659">
            <v>7.9600000000000097</v>
          </cell>
        </row>
        <row r="660">
          <cell r="D660">
            <v>7.9700000000000104</v>
          </cell>
        </row>
        <row r="661">
          <cell r="D661">
            <v>7.9800000000000102</v>
          </cell>
        </row>
        <row r="662">
          <cell r="D662">
            <v>7.99000000000001</v>
          </cell>
        </row>
        <row r="663">
          <cell r="D663">
            <v>8.0000000000000107</v>
          </cell>
        </row>
        <row r="664">
          <cell r="D664">
            <v>8.0100000000000104</v>
          </cell>
        </row>
        <row r="665">
          <cell r="D665">
            <v>8.0200000000000102</v>
          </cell>
        </row>
        <row r="666">
          <cell r="D666">
            <v>8.03000000000001</v>
          </cell>
        </row>
        <row r="667">
          <cell r="D667">
            <v>8.0400000000000098</v>
          </cell>
        </row>
        <row r="668">
          <cell r="D668">
            <v>8.0500000000000096</v>
          </cell>
        </row>
        <row r="669">
          <cell r="D669">
            <v>8.0600000000000094</v>
          </cell>
        </row>
        <row r="670">
          <cell r="D670">
            <v>8.0700000000000092</v>
          </cell>
        </row>
        <row r="671">
          <cell r="D671">
            <v>8.0800000000000107</v>
          </cell>
        </row>
        <row r="672">
          <cell r="D672">
            <v>8.0900000000000105</v>
          </cell>
        </row>
        <row r="673">
          <cell r="D673">
            <v>8.1000000000000103</v>
          </cell>
        </row>
        <row r="674">
          <cell r="D674">
            <v>8.1100000000000101</v>
          </cell>
        </row>
        <row r="675">
          <cell r="D675">
            <v>8.1200000000000099</v>
          </cell>
        </row>
        <row r="676">
          <cell r="D676">
            <v>8.1300000000000097</v>
          </cell>
        </row>
        <row r="677">
          <cell r="D677">
            <v>8.1400000000000095</v>
          </cell>
        </row>
        <row r="678">
          <cell r="D678">
            <v>8.1500000000000092</v>
          </cell>
        </row>
        <row r="679">
          <cell r="D679">
            <v>8.1600000000000108</v>
          </cell>
        </row>
        <row r="680">
          <cell r="D680">
            <v>8.1700000000000106</v>
          </cell>
        </row>
        <row r="681">
          <cell r="D681">
            <v>8.1800000000000104</v>
          </cell>
        </row>
        <row r="682">
          <cell r="D682">
            <v>8.1900000000000102</v>
          </cell>
        </row>
        <row r="683">
          <cell r="D683">
            <v>8.2000000000000099</v>
          </cell>
        </row>
        <row r="684">
          <cell r="D684">
            <v>8.2100000000000097</v>
          </cell>
        </row>
        <row r="685">
          <cell r="D685">
            <v>8.2200000000000095</v>
          </cell>
        </row>
        <row r="686">
          <cell r="D686">
            <v>8.2300000000000093</v>
          </cell>
        </row>
        <row r="687">
          <cell r="D687">
            <v>8.2400000000000109</v>
          </cell>
        </row>
        <row r="688">
          <cell r="D688">
            <v>8.2500000000000107</v>
          </cell>
        </row>
        <row r="689">
          <cell r="D689">
            <v>8.2600000000000104</v>
          </cell>
        </row>
        <row r="690">
          <cell r="D690">
            <v>8.2700000000000102</v>
          </cell>
        </row>
        <row r="691">
          <cell r="D691">
            <v>8.28000000000001</v>
          </cell>
        </row>
        <row r="692">
          <cell r="D692">
            <v>8.2900000000000098</v>
          </cell>
        </row>
        <row r="693">
          <cell r="D693">
            <v>8.3000000000000096</v>
          </cell>
        </row>
        <row r="694">
          <cell r="D694">
            <v>8.3100000000000094</v>
          </cell>
        </row>
        <row r="695">
          <cell r="D695">
            <v>8.3200000000000092</v>
          </cell>
        </row>
        <row r="696">
          <cell r="D696">
            <v>8.3300000000000107</v>
          </cell>
        </row>
        <row r="697">
          <cell r="D697">
            <v>8.3400000000000105</v>
          </cell>
        </row>
        <row r="698">
          <cell r="D698">
            <v>8.3500000000000103</v>
          </cell>
        </row>
        <row r="699">
          <cell r="D699">
            <v>8.3600000000000101</v>
          </cell>
        </row>
        <row r="700">
          <cell r="D700">
            <v>8.3700000000000099</v>
          </cell>
        </row>
        <row r="701">
          <cell r="D701">
            <v>8.3800000000000097</v>
          </cell>
        </row>
        <row r="702">
          <cell r="D702">
            <v>8.3900000000000095</v>
          </cell>
        </row>
        <row r="703">
          <cell r="D703">
            <v>8.4000000000000092</v>
          </cell>
        </row>
        <row r="704">
          <cell r="D704">
            <v>8.4100000000000108</v>
          </cell>
        </row>
        <row r="705">
          <cell r="D705">
            <v>8.4200000000000106</v>
          </cell>
        </row>
        <row r="706">
          <cell r="D706">
            <v>8.4300000000000104</v>
          </cell>
        </row>
        <row r="707">
          <cell r="D707">
            <v>8.4400000000000102</v>
          </cell>
        </row>
        <row r="708">
          <cell r="D708">
            <v>8.4500000000000099</v>
          </cell>
        </row>
        <row r="709">
          <cell r="D709">
            <v>8.4600000000000097</v>
          </cell>
        </row>
        <row r="710">
          <cell r="D710">
            <v>8.4700000000000095</v>
          </cell>
        </row>
        <row r="711">
          <cell r="D711">
            <v>8.4800000000000093</v>
          </cell>
        </row>
        <row r="712">
          <cell r="D712">
            <v>8.4900000000000109</v>
          </cell>
        </row>
        <row r="713">
          <cell r="D713">
            <v>8.5000000000000107</v>
          </cell>
        </row>
        <row r="714">
          <cell r="D714">
            <v>8.5100000000000104</v>
          </cell>
        </row>
        <row r="715">
          <cell r="D715">
            <v>8.5200000000000102</v>
          </cell>
        </row>
        <row r="716">
          <cell r="D716">
            <v>8.53000000000001</v>
          </cell>
        </row>
        <row r="717">
          <cell r="D717">
            <v>8.5400000000000098</v>
          </cell>
        </row>
        <row r="718">
          <cell r="D718">
            <v>8.5500000000000096</v>
          </cell>
        </row>
        <row r="719">
          <cell r="D719">
            <v>8.5600000000000094</v>
          </cell>
        </row>
        <row r="720">
          <cell r="D720">
            <v>8.5700000000000092</v>
          </cell>
        </row>
        <row r="721">
          <cell r="D721">
            <v>8.5800000000000107</v>
          </cell>
        </row>
        <row r="722">
          <cell r="D722">
            <v>8.5900000000000105</v>
          </cell>
        </row>
        <row r="723">
          <cell r="D723">
            <v>8.6000000000000103</v>
          </cell>
        </row>
        <row r="724">
          <cell r="D724">
            <v>8.6100000000000101</v>
          </cell>
        </row>
        <row r="725">
          <cell r="D725">
            <v>8.6200000000000099</v>
          </cell>
        </row>
        <row r="726">
          <cell r="D726">
            <v>8.6300000000000097</v>
          </cell>
        </row>
        <row r="727">
          <cell r="D727">
            <v>8.6400000000000095</v>
          </cell>
        </row>
        <row r="728">
          <cell r="D728">
            <v>8.6500000000000092</v>
          </cell>
        </row>
        <row r="729">
          <cell r="D729">
            <v>8.6600000000000108</v>
          </cell>
        </row>
        <row r="730">
          <cell r="D730">
            <v>8.6700000000000106</v>
          </cell>
        </row>
        <row r="731">
          <cell r="D731">
            <v>8.6800000000000104</v>
          </cell>
        </row>
        <row r="732">
          <cell r="D732">
            <v>8.6900000000000102</v>
          </cell>
        </row>
        <row r="733">
          <cell r="D733">
            <v>8.7000000000000099</v>
          </cell>
        </row>
        <row r="734">
          <cell r="D734">
            <v>8.7100000000000097</v>
          </cell>
        </row>
        <row r="735">
          <cell r="D735">
            <v>8.7200000000000095</v>
          </cell>
        </row>
        <row r="736">
          <cell r="D736">
            <v>8.7300000000000093</v>
          </cell>
        </row>
        <row r="737">
          <cell r="D737">
            <v>8.7400000000000109</v>
          </cell>
        </row>
        <row r="738">
          <cell r="D738">
            <v>8.7500000000000107</v>
          </cell>
        </row>
        <row r="739">
          <cell r="D739">
            <v>8.7600000000000104</v>
          </cell>
        </row>
        <row r="740">
          <cell r="D740">
            <v>8.7700000000000102</v>
          </cell>
        </row>
        <row r="741">
          <cell r="D741">
            <v>8.78000000000001</v>
          </cell>
        </row>
        <row r="742">
          <cell r="D742">
            <v>8.7900000000000098</v>
          </cell>
        </row>
        <row r="743">
          <cell r="D743">
            <v>8.8000000000000096</v>
          </cell>
        </row>
        <row r="744">
          <cell r="D744">
            <v>8.8100000000000094</v>
          </cell>
        </row>
        <row r="745">
          <cell r="D745">
            <v>8.8200000000000092</v>
          </cell>
        </row>
        <row r="746">
          <cell r="D746">
            <v>8.8300000000000107</v>
          </cell>
        </row>
        <row r="747">
          <cell r="D747">
            <v>8.8400000000000105</v>
          </cell>
        </row>
        <row r="748">
          <cell r="D748">
            <v>8.8500000000000103</v>
          </cell>
        </row>
        <row r="749">
          <cell r="D749">
            <v>8.8600000000000101</v>
          </cell>
        </row>
        <row r="750">
          <cell r="D750">
            <v>8.8700000000000099</v>
          </cell>
        </row>
        <row r="751">
          <cell r="D751">
            <v>8.8800000000000097</v>
          </cell>
        </row>
        <row r="752">
          <cell r="D752">
            <v>8.8900000000000095</v>
          </cell>
        </row>
        <row r="753">
          <cell r="D753">
            <v>8.9000000000000092</v>
          </cell>
        </row>
        <row r="754">
          <cell r="D754">
            <v>8.9100000000000108</v>
          </cell>
        </row>
        <row r="755">
          <cell r="D755">
            <v>8.9200000000000106</v>
          </cell>
        </row>
        <row r="756">
          <cell r="D756">
            <v>8.9300000000000104</v>
          </cell>
        </row>
        <row r="757">
          <cell r="D757">
            <v>8.9400000000000102</v>
          </cell>
        </row>
        <row r="758">
          <cell r="D758">
            <v>8.9500000000000099</v>
          </cell>
        </row>
        <row r="759">
          <cell r="D759">
            <v>8.9600000000000097</v>
          </cell>
        </row>
        <row r="760">
          <cell r="D760">
            <v>8.9700000000000095</v>
          </cell>
        </row>
        <row r="761">
          <cell r="D761">
            <v>8.9800000000000093</v>
          </cell>
        </row>
        <row r="762">
          <cell r="D762">
            <v>8.9900000000000109</v>
          </cell>
        </row>
        <row r="763">
          <cell r="D763">
            <v>9.0000000000000107</v>
          </cell>
        </row>
        <row r="764">
          <cell r="D764">
            <v>9.0100000000000104</v>
          </cell>
        </row>
        <row r="765">
          <cell r="D765">
            <v>9.0200000000000102</v>
          </cell>
        </row>
        <row r="766">
          <cell r="D766">
            <v>9.03000000000001</v>
          </cell>
        </row>
        <row r="767">
          <cell r="D767">
            <v>9.0400000000000098</v>
          </cell>
        </row>
        <row r="768">
          <cell r="D768">
            <v>9.0500000000000096</v>
          </cell>
        </row>
        <row r="769">
          <cell r="D769">
            <v>9.0600000000000094</v>
          </cell>
        </row>
        <row r="770">
          <cell r="D770">
            <v>9.0700000000000092</v>
          </cell>
        </row>
        <row r="771">
          <cell r="D771">
            <v>9.0800000000000107</v>
          </cell>
        </row>
        <row r="772">
          <cell r="D772">
            <v>9.0900000000000105</v>
          </cell>
        </row>
        <row r="773">
          <cell r="D773">
            <v>9.1000000000000103</v>
          </cell>
        </row>
        <row r="774">
          <cell r="D774">
            <v>9.1100000000000101</v>
          </cell>
        </row>
        <row r="775">
          <cell r="D775">
            <v>9.1200000000000099</v>
          </cell>
        </row>
        <row r="776">
          <cell r="D776">
            <v>9.1300000000000097</v>
          </cell>
        </row>
        <row r="777">
          <cell r="D777">
            <v>9.1400000000000095</v>
          </cell>
        </row>
        <row r="778">
          <cell r="D778">
            <v>9.1500000000000092</v>
          </cell>
        </row>
        <row r="779">
          <cell r="D779">
            <v>9.1600000000000108</v>
          </cell>
        </row>
        <row r="780">
          <cell r="D780">
            <v>9.1700000000000106</v>
          </cell>
        </row>
        <row r="781">
          <cell r="D781">
            <v>9.1800000000000104</v>
          </cell>
        </row>
        <row r="782">
          <cell r="D782">
            <v>9.1900000000000102</v>
          </cell>
        </row>
        <row r="783">
          <cell r="D783">
            <v>9.2000000000000099</v>
          </cell>
        </row>
        <row r="784">
          <cell r="D784">
            <v>9.2100000000000097</v>
          </cell>
        </row>
        <row r="785">
          <cell r="D785">
            <v>9.2200000000000095</v>
          </cell>
        </row>
        <row r="786">
          <cell r="D786">
            <v>9.2300000000000093</v>
          </cell>
        </row>
        <row r="787">
          <cell r="D787">
            <v>9.2400000000000109</v>
          </cell>
        </row>
        <row r="788">
          <cell r="D788">
            <v>9.2500000000000107</v>
          </cell>
        </row>
        <row r="789">
          <cell r="D789">
            <v>9.2600000000000104</v>
          </cell>
        </row>
        <row r="790">
          <cell r="D790">
            <v>9.2700000000000102</v>
          </cell>
        </row>
        <row r="791">
          <cell r="D791">
            <v>9.28000000000001</v>
          </cell>
        </row>
        <row r="792">
          <cell r="D792">
            <v>9.2900000000000098</v>
          </cell>
        </row>
        <row r="793">
          <cell r="D793">
            <v>9.3000000000000096</v>
          </cell>
        </row>
        <row r="794">
          <cell r="D794">
            <v>9.3100000000000094</v>
          </cell>
        </row>
        <row r="795">
          <cell r="D795">
            <v>9.3200000000000092</v>
          </cell>
        </row>
        <row r="796">
          <cell r="D796">
            <v>9.3300000000000107</v>
          </cell>
        </row>
        <row r="797">
          <cell r="D797">
            <v>9.3400000000000105</v>
          </cell>
        </row>
        <row r="798">
          <cell r="D798">
            <v>9.3500000000000103</v>
          </cell>
        </row>
        <row r="799">
          <cell r="D799">
            <v>9.3600000000000101</v>
          </cell>
        </row>
        <row r="800">
          <cell r="D800">
            <v>9.3700000000000099</v>
          </cell>
        </row>
        <row r="801">
          <cell r="D801">
            <v>9.3800000000000097</v>
          </cell>
        </row>
        <row r="802">
          <cell r="D802">
            <v>9.3900000000000095</v>
          </cell>
        </row>
        <row r="803">
          <cell r="D803">
            <v>9.4000000000000092</v>
          </cell>
        </row>
        <row r="804">
          <cell r="D804">
            <v>9.4100000000000108</v>
          </cell>
        </row>
        <row r="805">
          <cell r="D805">
            <v>9.4200000000000106</v>
          </cell>
        </row>
        <row r="806">
          <cell r="D806">
            <v>9.4300000000000104</v>
          </cell>
        </row>
        <row r="807">
          <cell r="D807">
            <v>9.4400000000000102</v>
          </cell>
        </row>
        <row r="808">
          <cell r="D808">
            <v>9.4500000000000099</v>
          </cell>
        </row>
        <row r="809">
          <cell r="D809">
            <v>9.4600000000000097</v>
          </cell>
        </row>
        <row r="810">
          <cell r="D810">
            <v>9.4700000000000095</v>
          </cell>
        </row>
        <row r="811">
          <cell r="D811">
            <v>9.4800000000000093</v>
          </cell>
        </row>
        <row r="812">
          <cell r="D812">
            <v>9.4900000000000109</v>
          </cell>
        </row>
        <row r="813">
          <cell r="D813">
            <v>9.5000000000000107</v>
          </cell>
        </row>
        <row r="814">
          <cell r="D814">
            <v>9.5100000000000104</v>
          </cell>
        </row>
        <row r="815">
          <cell r="D815">
            <v>9.5200000000000102</v>
          </cell>
        </row>
        <row r="816">
          <cell r="D816">
            <v>9.53000000000001</v>
          </cell>
        </row>
        <row r="817">
          <cell r="D817">
            <v>9.5400000000000098</v>
          </cell>
        </row>
        <row r="818">
          <cell r="D818">
            <v>9.5500000000000096</v>
          </cell>
        </row>
        <row r="819">
          <cell r="D819">
            <v>9.5600000000000094</v>
          </cell>
        </row>
        <row r="820">
          <cell r="D820">
            <v>9.5700000000000092</v>
          </cell>
        </row>
        <row r="821">
          <cell r="D821">
            <v>9.5800000000000107</v>
          </cell>
        </row>
        <row r="822">
          <cell r="D822">
            <v>9.5900000000000105</v>
          </cell>
        </row>
        <row r="823">
          <cell r="D823">
            <v>9.6000000000000103</v>
          </cell>
        </row>
        <row r="824">
          <cell r="D824">
            <v>9.6100000000000101</v>
          </cell>
        </row>
        <row r="825">
          <cell r="D825">
            <v>9.6200000000000099</v>
          </cell>
        </row>
        <row r="826">
          <cell r="D826">
            <v>9.6300000000000097</v>
          </cell>
        </row>
        <row r="827">
          <cell r="D827">
            <v>9.6400000000000095</v>
          </cell>
        </row>
        <row r="828">
          <cell r="D828">
            <v>9.6500000000000092</v>
          </cell>
        </row>
        <row r="829">
          <cell r="D829">
            <v>9.6600000000000108</v>
          </cell>
        </row>
        <row r="830">
          <cell r="D830">
            <v>9.6700000000000106</v>
          </cell>
        </row>
        <row r="831">
          <cell r="D831">
            <v>9.6800000000000104</v>
          </cell>
        </row>
        <row r="832">
          <cell r="D832">
            <v>9.6900000000000102</v>
          </cell>
        </row>
        <row r="833">
          <cell r="D833">
            <v>9.7000000000000099</v>
          </cell>
        </row>
        <row r="834">
          <cell r="D834">
            <v>9.7100000000000097</v>
          </cell>
        </row>
        <row r="835">
          <cell r="D835">
            <v>9.7200000000000095</v>
          </cell>
        </row>
        <row r="836">
          <cell r="D836">
            <v>9.7300000000000093</v>
          </cell>
        </row>
        <row r="837">
          <cell r="D837">
            <v>9.7400000000000109</v>
          </cell>
        </row>
        <row r="838">
          <cell r="D838">
            <v>9.7500000000000107</v>
          </cell>
        </row>
        <row r="839">
          <cell r="D839">
            <v>9.7600000000000104</v>
          </cell>
        </row>
        <row r="840">
          <cell r="D840">
            <v>9.7700000000000102</v>
          </cell>
        </row>
        <row r="841">
          <cell r="D841">
            <v>9.78000000000001</v>
          </cell>
        </row>
        <row r="842">
          <cell r="D842">
            <v>9.7900000000000098</v>
          </cell>
        </row>
        <row r="843">
          <cell r="D843">
            <v>9.8000000000000096</v>
          </cell>
        </row>
        <row r="844">
          <cell r="D844">
            <v>9.8100000000000094</v>
          </cell>
        </row>
        <row r="845">
          <cell r="D845">
            <v>9.8200000000000092</v>
          </cell>
        </row>
        <row r="846">
          <cell r="D846">
            <v>9.8300000000000107</v>
          </cell>
        </row>
        <row r="847">
          <cell r="D847">
            <v>9.8400000000000105</v>
          </cell>
        </row>
        <row r="848">
          <cell r="D848">
            <v>9.8500000000000103</v>
          </cell>
        </row>
        <row r="849">
          <cell r="D849">
            <v>9.8600000000000101</v>
          </cell>
        </row>
        <row r="850">
          <cell r="D850">
            <v>9.8700000000000099</v>
          </cell>
        </row>
        <row r="851">
          <cell r="D851">
            <v>9.8800000000000097</v>
          </cell>
        </row>
        <row r="852">
          <cell r="D852">
            <v>9.8900000000000095</v>
          </cell>
        </row>
        <row r="853">
          <cell r="D853">
            <v>9.9000000000000092</v>
          </cell>
        </row>
        <row r="854">
          <cell r="D854">
            <v>9.9100000000000108</v>
          </cell>
        </row>
        <row r="855">
          <cell r="D855">
            <v>9.9200000000000106</v>
          </cell>
        </row>
        <row r="856">
          <cell r="D856">
            <v>9.9300000000000104</v>
          </cell>
        </row>
        <row r="857">
          <cell r="D857">
            <v>9.9400000000000102</v>
          </cell>
        </row>
        <row r="858">
          <cell r="D858">
            <v>9.9500000000000099</v>
          </cell>
        </row>
        <row r="859">
          <cell r="D859">
            <v>9.9600000000000097</v>
          </cell>
        </row>
        <row r="860">
          <cell r="D860">
            <v>9.9700000000000095</v>
          </cell>
        </row>
        <row r="861">
          <cell r="D861">
            <v>9.9800000000000093</v>
          </cell>
        </row>
        <row r="862">
          <cell r="D862">
            <v>9.9900000000000109</v>
          </cell>
        </row>
        <row r="863">
          <cell r="D863">
            <v>10</v>
          </cell>
        </row>
        <row r="864">
          <cell r="D864">
            <v>10.01</v>
          </cell>
        </row>
        <row r="865">
          <cell r="D865">
            <v>10.02</v>
          </cell>
        </row>
        <row r="866">
          <cell r="D866">
            <v>10.029999999999999</v>
          </cell>
        </row>
        <row r="867">
          <cell r="D867">
            <v>10.039999999999999</v>
          </cell>
        </row>
        <row r="868">
          <cell r="D868">
            <v>10.050000000000001</v>
          </cell>
        </row>
        <row r="869">
          <cell r="D869">
            <v>10.06</v>
          </cell>
        </row>
        <row r="870">
          <cell r="D870">
            <v>10.07</v>
          </cell>
        </row>
        <row r="871">
          <cell r="D871">
            <v>10.08</v>
          </cell>
        </row>
        <row r="872">
          <cell r="D872">
            <v>10.09</v>
          </cell>
        </row>
        <row r="873">
          <cell r="D873">
            <v>10.1</v>
          </cell>
        </row>
        <row r="874">
          <cell r="D874">
            <v>10.11</v>
          </cell>
        </row>
        <row r="875">
          <cell r="D875">
            <v>10.119999999999999</v>
          </cell>
        </row>
        <row r="876">
          <cell r="D876">
            <v>10.130000000000001</v>
          </cell>
        </row>
        <row r="877">
          <cell r="D877">
            <v>10.14</v>
          </cell>
        </row>
        <row r="878">
          <cell r="D878">
            <v>10.15</v>
          </cell>
        </row>
        <row r="879">
          <cell r="D879">
            <v>10.16</v>
          </cell>
        </row>
        <row r="880">
          <cell r="D880">
            <v>10.17</v>
          </cell>
        </row>
        <row r="881">
          <cell r="D881">
            <v>10.18</v>
          </cell>
        </row>
        <row r="882">
          <cell r="D882">
            <v>10.19</v>
          </cell>
        </row>
        <row r="883">
          <cell r="D883">
            <v>10.199999999999999</v>
          </cell>
        </row>
        <row r="884">
          <cell r="D884">
            <v>10.210000000000001</v>
          </cell>
        </row>
        <row r="885">
          <cell r="D885">
            <v>10.220000000000001</v>
          </cell>
        </row>
        <row r="886">
          <cell r="D886">
            <v>10.23</v>
          </cell>
        </row>
        <row r="887">
          <cell r="D887">
            <v>10.24</v>
          </cell>
        </row>
        <row r="888">
          <cell r="D888">
            <v>10.25</v>
          </cell>
        </row>
        <row r="889">
          <cell r="D889">
            <v>10.26</v>
          </cell>
        </row>
        <row r="890">
          <cell r="D890">
            <v>10.27</v>
          </cell>
        </row>
        <row r="891">
          <cell r="D891">
            <v>10.28</v>
          </cell>
        </row>
        <row r="892">
          <cell r="D892">
            <v>10.29</v>
          </cell>
        </row>
        <row r="893">
          <cell r="D893">
            <v>10.3</v>
          </cell>
        </row>
        <row r="894">
          <cell r="D894">
            <v>10.31</v>
          </cell>
        </row>
        <row r="895">
          <cell r="D895">
            <v>10.32</v>
          </cell>
        </row>
        <row r="896">
          <cell r="D896">
            <v>10.33</v>
          </cell>
        </row>
        <row r="897">
          <cell r="D897">
            <v>10.34</v>
          </cell>
        </row>
        <row r="898">
          <cell r="D898">
            <v>10.35</v>
          </cell>
        </row>
        <row r="899">
          <cell r="D899">
            <v>10.36</v>
          </cell>
        </row>
        <row r="900">
          <cell r="D900">
            <v>10.37</v>
          </cell>
        </row>
        <row r="901">
          <cell r="D901">
            <v>10.38</v>
          </cell>
        </row>
        <row r="902">
          <cell r="D902">
            <v>10.39</v>
          </cell>
        </row>
        <row r="903">
          <cell r="D903">
            <v>10.4</v>
          </cell>
        </row>
        <row r="904">
          <cell r="D904">
            <v>10.41</v>
          </cell>
        </row>
        <row r="905">
          <cell r="D905">
            <v>10.42</v>
          </cell>
        </row>
        <row r="906">
          <cell r="D906">
            <v>10.43</v>
          </cell>
        </row>
        <row r="907">
          <cell r="D907">
            <v>10.44</v>
          </cell>
        </row>
        <row r="908">
          <cell r="D908">
            <v>10.45</v>
          </cell>
        </row>
        <row r="909">
          <cell r="D909">
            <v>10.46</v>
          </cell>
        </row>
        <row r="910">
          <cell r="D910">
            <v>10.47</v>
          </cell>
        </row>
        <row r="911">
          <cell r="D911">
            <v>10.48</v>
          </cell>
        </row>
        <row r="912">
          <cell r="D912">
            <v>10.49</v>
          </cell>
        </row>
        <row r="913">
          <cell r="D913">
            <v>10.5</v>
          </cell>
        </row>
        <row r="914">
          <cell r="D914">
            <v>10.51</v>
          </cell>
        </row>
        <row r="915">
          <cell r="D915">
            <v>10.52</v>
          </cell>
        </row>
        <row r="916">
          <cell r="D916">
            <v>10.53</v>
          </cell>
        </row>
        <row r="917">
          <cell r="D917">
            <v>10.54</v>
          </cell>
        </row>
        <row r="918">
          <cell r="D918">
            <v>10.55</v>
          </cell>
        </row>
        <row r="919">
          <cell r="D919">
            <v>10.56</v>
          </cell>
        </row>
        <row r="920">
          <cell r="D920">
            <v>10.57</v>
          </cell>
        </row>
        <row r="921">
          <cell r="D921">
            <v>10.58</v>
          </cell>
        </row>
        <row r="922">
          <cell r="D922">
            <v>10.59</v>
          </cell>
        </row>
        <row r="923">
          <cell r="D923">
            <v>10.6</v>
          </cell>
        </row>
        <row r="924">
          <cell r="D924">
            <v>10.61</v>
          </cell>
        </row>
        <row r="925">
          <cell r="D925">
            <v>10.62</v>
          </cell>
        </row>
        <row r="926">
          <cell r="D926">
            <v>10.63</v>
          </cell>
        </row>
        <row r="927">
          <cell r="D927">
            <v>10.64</v>
          </cell>
        </row>
        <row r="928">
          <cell r="D928">
            <v>10.65</v>
          </cell>
        </row>
        <row r="929">
          <cell r="D929">
            <v>10.66</v>
          </cell>
        </row>
        <row r="930">
          <cell r="D930">
            <v>10.67</v>
          </cell>
        </row>
        <row r="931">
          <cell r="D931">
            <v>10.68</v>
          </cell>
        </row>
        <row r="932">
          <cell r="D932">
            <v>10.69</v>
          </cell>
        </row>
        <row r="933">
          <cell r="D933">
            <v>10.7</v>
          </cell>
        </row>
        <row r="934">
          <cell r="D934">
            <v>10.71</v>
          </cell>
        </row>
        <row r="935">
          <cell r="D935">
            <v>10.72</v>
          </cell>
        </row>
        <row r="936">
          <cell r="D936">
            <v>10.73</v>
          </cell>
        </row>
        <row r="937">
          <cell r="D937">
            <v>10.74</v>
          </cell>
        </row>
        <row r="938">
          <cell r="D938">
            <v>10.75</v>
          </cell>
        </row>
        <row r="939">
          <cell r="D939">
            <v>10.76</v>
          </cell>
        </row>
        <row r="940">
          <cell r="D940">
            <v>10.77</v>
          </cell>
        </row>
        <row r="941">
          <cell r="D941">
            <v>10.78</v>
          </cell>
        </row>
        <row r="942">
          <cell r="D942">
            <v>10.79</v>
          </cell>
        </row>
        <row r="943">
          <cell r="D943">
            <v>10.8</v>
          </cell>
        </row>
        <row r="944">
          <cell r="D944">
            <v>10.81</v>
          </cell>
        </row>
        <row r="945">
          <cell r="D945">
            <v>10.82</v>
          </cell>
        </row>
        <row r="946">
          <cell r="D946">
            <v>10.83</v>
          </cell>
        </row>
        <row r="947">
          <cell r="D947">
            <v>10.84</v>
          </cell>
        </row>
        <row r="948">
          <cell r="D948">
            <v>10.85</v>
          </cell>
        </row>
        <row r="949">
          <cell r="D949">
            <v>10.86</v>
          </cell>
        </row>
        <row r="950">
          <cell r="D950">
            <v>10.87</v>
          </cell>
        </row>
        <row r="951">
          <cell r="D951">
            <v>10.88</v>
          </cell>
        </row>
        <row r="952">
          <cell r="D952">
            <v>10.89</v>
          </cell>
        </row>
        <row r="953">
          <cell r="D953">
            <v>10.9</v>
          </cell>
        </row>
        <row r="954">
          <cell r="D954">
            <v>10.91</v>
          </cell>
        </row>
        <row r="955">
          <cell r="D955">
            <v>10.92</v>
          </cell>
        </row>
        <row r="956">
          <cell r="D956">
            <v>10.93</v>
          </cell>
        </row>
        <row r="957">
          <cell r="D957">
            <v>10.94</v>
          </cell>
        </row>
        <row r="958">
          <cell r="D958">
            <v>10.95</v>
          </cell>
        </row>
        <row r="959">
          <cell r="D959">
            <v>10.96</v>
          </cell>
        </row>
        <row r="960">
          <cell r="D960">
            <v>10.97</v>
          </cell>
        </row>
        <row r="961">
          <cell r="D961">
            <v>10.98</v>
          </cell>
        </row>
        <row r="962">
          <cell r="D962">
            <v>10.99</v>
          </cell>
        </row>
        <row r="963">
          <cell r="D963">
            <v>11</v>
          </cell>
        </row>
        <row r="964">
          <cell r="D964">
            <v>11.01</v>
          </cell>
        </row>
        <row r="965">
          <cell r="D965">
            <v>11.02</v>
          </cell>
        </row>
        <row r="966">
          <cell r="D966">
            <v>11.03</v>
          </cell>
        </row>
        <row r="967">
          <cell r="D967">
            <v>11.04</v>
          </cell>
        </row>
        <row r="968">
          <cell r="D968">
            <v>11.05</v>
          </cell>
        </row>
        <row r="969">
          <cell r="D969">
            <v>11.06</v>
          </cell>
        </row>
        <row r="970">
          <cell r="D970">
            <v>11.07</v>
          </cell>
        </row>
        <row r="971">
          <cell r="D971">
            <v>11.08</v>
          </cell>
        </row>
        <row r="972">
          <cell r="D972">
            <v>11.09</v>
          </cell>
        </row>
        <row r="973">
          <cell r="D973">
            <v>11.1</v>
          </cell>
        </row>
        <row r="974">
          <cell r="D974">
            <v>11.11</v>
          </cell>
        </row>
        <row r="975">
          <cell r="D975">
            <v>11.12</v>
          </cell>
        </row>
        <row r="976">
          <cell r="D976">
            <v>11.13</v>
          </cell>
        </row>
        <row r="977">
          <cell r="D977">
            <v>11.14</v>
          </cell>
        </row>
        <row r="978">
          <cell r="D978">
            <v>11.15</v>
          </cell>
        </row>
        <row r="979">
          <cell r="D979">
            <v>11.16</v>
          </cell>
        </row>
        <row r="980">
          <cell r="D980">
            <v>11.17</v>
          </cell>
        </row>
        <row r="981">
          <cell r="D981">
            <v>11.18</v>
          </cell>
        </row>
        <row r="982">
          <cell r="D982">
            <v>11.19</v>
          </cell>
        </row>
        <row r="983">
          <cell r="D983">
            <v>11.2</v>
          </cell>
        </row>
        <row r="984">
          <cell r="D984">
            <v>11.21</v>
          </cell>
        </row>
        <row r="985">
          <cell r="D985">
            <v>11.22</v>
          </cell>
        </row>
        <row r="986">
          <cell r="D986">
            <v>11.23</v>
          </cell>
        </row>
        <row r="987">
          <cell r="D987">
            <v>11.24</v>
          </cell>
        </row>
        <row r="988">
          <cell r="D988">
            <v>11.25</v>
          </cell>
        </row>
        <row r="989">
          <cell r="D989">
            <v>11.26</v>
          </cell>
        </row>
        <row r="990">
          <cell r="D990">
            <v>11.27</v>
          </cell>
        </row>
        <row r="991">
          <cell r="D991">
            <v>11.28</v>
          </cell>
        </row>
        <row r="992">
          <cell r="D992">
            <v>11.29</v>
          </cell>
        </row>
        <row r="993">
          <cell r="D993">
            <v>11.3</v>
          </cell>
        </row>
        <row r="994">
          <cell r="D994">
            <v>11.31</v>
          </cell>
        </row>
        <row r="995">
          <cell r="D995">
            <v>11.32</v>
          </cell>
        </row>
        <row r="996">
          <cell r="D996">
            <v>11.33</v>
          </cell>
        </row>
        <row r="997">
          <cell r="D997">
            <v>11.34</v>
          </cell>
        </row>
        <row r="998">
          <cell r="D998">
            <v>11.35</v>
          </cell>
        </row>
        <row r="999">
          <cell r="D999">
            <v>11.36</v>
          </cell>
        </row>
        <row r="1000">
          <cell r="D1000">
            <v>11.37</v>
          </cell>
        </row>
        <row r="1001">
          <cell r="D1001">
            <v>11.38</v>
          </cell>
        </row>
        <row r="1002">
          <cell r="D1002">
            <v>11.39</v>
          </cell>
        </row>
        <row r="1003">
          <cell r="D1003">
            <v>11.4</v>
          </cell>
        </row>
        <row r="1004">
          <cell r="D1004">
            <v>11.41</v>
          </cell>
        </row>
        <row r="1005">
          <cell r="D1005">
            <v>11.42</v>
          </cell>
        </row>
        <row r="1006">
          <cell r="D1006">
            <v>11.43</v>
          </cell>
        </row>
        <row r="1007">
          <cell r="D1007">
            <v>11.44</v>
          </cell>
        </row>
        <row r="1008">
          <cell r="D1008">
            <v>11.45</v>
          </cell>
        </row>
        <row r="1009">
          <cell r="D1009">
            <v>11.46</v>
          </cell>
        </row>
        <row r="1010">
          <cell r="D1010">
            <v>11.47</v>
          </cell>
        </row>
        <row r="1011">
          <cell r="D1011">
            <v>11.48</v>
          </cell>
        </row>
        <row r="1012">
          <cell r="D1012">
            <v>11.49</v>
          </cell>
        </row>
        <row r="1013">
          <cell r="D1013">
            <v>11.5</v>
          </cell>
        </row>
        <row r="1014">
          <cell r="D1014">
            <v>11.51</v>
          </cell>
        </row>
        <row r="1015">
          <cell r="D1015">
            <v>11.52</v>
          </cell>
        </row>
        <row r="1016">
          <cell r="D1016">
            <v>11.53</v>
          </cell>
        </row>
        <row r="1017">
          <cell r="D1017">
            <v>11.54</v>
          </cell>
        </row>
        <row r="1018">
          <cell r="D1018">
            <v>11.55</v>
          </cell>
        </row>
        <row r="1019">
          <cell r="D1019">
            <v>11.56</v>
          </cell>
        </row>
        <row r="1020">
          <cell r="D1020">
            <v>11.57</v>
          </cell>
        </row>
        <row r="1021">
          <cell r="D1021">
            <v>11.58</v>
          </cell>
        </row>
        <row r="1022">
          <cell r="D1022">
            <v>11.59</v>
          </cell>
        </row>
        <row r="1023">
          <cell r="D1023">
            <v>11.6</v>
          </cell>
        </row>
        <row r="1024">
          <cell r="D1024">
            <v>11.61</v>
          </cell>
        </row>
        <row r="1025">
          <cell r="D1025">
            <v>11.62</v>
          </cell>
        </row>
        <row r="1026">
          <cell r="D1026">
            <v>11.63</v>
          </cell>
        </row>
        <row r="1027">
          <cell r="D1027">
            <v>11.64</v>
          </cell>
        </row>
        <row r="1028">
          <cell r="D1028">
            <v>11.65</v>
          </cell>
        </row>
        <row r="1029">
          <cell r="D1029">
            <v>11.66</v>
          </cell>
        </row>
        <row r="1030">
          <cell r="D1030">
            <v>11.67</v>
          </cell>
        </row>
        <row r="1031">
          <cell r="D1031">
            <v>11.68</v>
          </cell>
        </row>
        <row r="1032">
          <cell r="D1032">
            <v>11.69</v>
          </cell>
        </row>
        <row r="1033">
          <cell r="D1033">
            <v>11.7</v>
          </cell>
        </row>
        <row r="1034">
          <cell r="D1034">
            <v>11.71</v>
          </cell>
        </row>
        <row r="1035">
          <cell r="D1035">
            <v>11.72</v>
          </cell>
        </row>
        <row r="1036">
          <cell r="D1036">
            <v>11.73</v>
          </cell>
        </row>
        <row r="1037">
          <cell r="D1037">
            <v>11.74</v>
          </cell>
        </row>
        <row r="1038">
          <cell r="D1038">
            <v>11.75</v>
          </cell>
        </row>
        <row r="1039">
          <cell r="D1039">
            <v>11.76</v>
          </cell>
        </row>
        <row r="1040">
          <cell r="D1040">
            <v>11.77</v>
          </cell>
        </row>
        <row r="1041">
          <cell r="D1041">
            <v>11.78</v>
          </cell>
        </row>
        <row r="1042">
          <cell r="D1042">
            <v>11.79</v>
          </cell>
        </row>
        <row r="1043">
          <cell r="D1043">
            <v>11.8</v>
          </cell>
        </row>
        <row r="1044">
          <cell r="D1044">
            <v>11.81</v>
          </cell>
        </row>
        <row r="1045">
          <cell r="D1045">
            <v>11.82</v>
          </cell>
        </row>
        <row r="1046">
          <cell r="D1046">
            <v>11.83</v>
          </cell>
        </row>
        <row r="1047">
          <cell r="D1047">
            <v>11.84</v>
          </cell>
        </row>
        <row r="1048">
          <cell r="D1048">
            <v>11.85</v>
          </cell>
        </row>
        <row r="1049">
          <cell r="D1049">
            <v>11.86</v>
          </cell>
        </row>
        <row r="1050">
          <cell r="D1050">
            <v>11.87</v>
          </cell>
        </row>
        <row r="1051">
          <cell r="D1051">
            <v>11.88</v>
          </cell>
        </row>
        <row r="1052">
          <cell r="D1052">
            <v>11.89</v>
          </cell>
        </row>
        <row r="1053">
          <cell r="D1053">
            <v>11.9</v>
          </cell>
        </row>
        <row r="1054">
          <cell r="D1054">
            <v>11.91</v>
          </cell>
        </row>
        <row r="1055">
          <cell r="D1055">
            <v>11.92</v>
          </cell>
        </row>
        <row r="1056">
          <cell r="D1056">
            <v>11.93</v>
          </cell>
        </row>
        <row r="1057">
          <cell r="D1057">
            <v>11.94</v>
          </cell>
        </row>
        <row r="1058">
          <cell r="D1058">
            <v>11.95</v>
          </cell>
        </row>
        <row r="1059">
          <cell r="D1059">
            <v>11.96</v>
          </cell>
        </row>
        <row r="1060">
          <cell r="D1060">
            <v>11.97</v>
          </cell>
        </row>
        <row r="1061">
          <cell r="D1061">
            <v>11.98</v>
          </cell>
        </row>
        <row r="1062">
          <cell r="D1062">
            <v>11.99</v>
          </cell>
        </row>
        <row r="1063">
          <cell r="D1063">
            <v>12</v>
          </cell>
        </row>
        <row r="1064">
          <cell r="D1064">
            <v>12.01</v>
          </cell>
        </row>
        <row r="1065">
          <cell r="D1065">
            <v>12.02</v>
          </cell>
        </row>
        <row r="1066">
          <cell r="D1066">
            <v>12.03</v>
          </cell>
        </row>
        <row r="1067">
          <cell r="D1067">
            <v>12.04</v>
          </cell>
        </row>
        <row r="1068">
          <cell r="D1068">
            <v>12.05</v>
          </cell>
        </row>
        <row r="1069">
          <cell r="D1069">
            <v>12.06</v>
          </cell>
        </row>
        <row r="1070">
          <cell r="D1070">
            <v>12.07</v>
          </cell>
        </row>
        <row r="1071">
          <cell r="D1071">
            <v>12.08</v>
          </cell>
        </row>
        <row r="1072">
          <cell r="D1072">
            <v>12.09</v>
          </cell>
        </row>
        <row r="1073">
          <cell r="D1073">
            <v>12.1</v>
          </cell>
        </row>
        <row r="1074">
          <cell r="D1074">
            <v>12.11</v>
          </cell>
        </row>
        <row r="1075">
          <cell r="D1075">
            <v>12.12</v>
          </cell>
        </row>
        <row r="1076">
          <cell r="D1076">
            <v>12.13</v>
          </cell>
        </row>
        <row r="1077">
          <cell r="D1077">
            <v>12.14</v>
          </cell>
        </row>
        <row r="1078">
          <cell r="D1078">
            <v>12.15</v>
          </cell>
        </row>
        <row r="1079">
          <cell r="D1079">
            <v>12.16</v>
          </cell>
        </row>
        <row r="1080">
          <cell r="D1080">
            <v>12.17</v>
          </cell>
        </row>
        <row r="1081">
          <cell r="D1081">
            <v>12.18</v>
          </cell>
        </row>
        <row r="1082">
          <cell r="D1082">
            <v>12.19</v>
          </cell>
        </row>
        <row r="1083">
          <cell r="D1083">
            <v>12.2</v>
          </cell>
        </row>
        <row r="1084">
          <cell r="D1084">
            <v>12.21</v>
          </cell>
        </row>
        <row r="1085">
          <cell r="D1085">
            <v>12.22</v>
          </cell>
        </row>
        <row r="1086">
          <cell r="D1086">
            <v>12.23</v>
          </cell>
        </row>
        <row r="1087">
          <cell r="D1087">
            <v>12.24</v>
          </cell>
        </row>
        <row r="1088">
          <cell r="D1088">
            <v>12.25</v>
          </cell>
        </row>
        <row r="1089">
          <cell r="D1089">
            <v>12.26</v>
          </cell>
        </row>
        <row r="1090">
          <cell r="D1090">
            <v>12.27</v>
          </cell>
        </row>
        <row r="1091">
          <cell r="D1091">
            <v>12.28</v>
          </cell>
        </row>
        <row r="1092">
          <cell r="D1092">
            <v>12.29</v>
          </cell>
        </row>
        <row r="1093">
          <cell r="D1093">
            <v>12.3</v>
          </cell>
        </row>
        <row r="1094">
          <cell r="D1094">
            <v>12.31</v>
          </cell>
        </row>
        <row r="1095">
          <cell r="D1095">
            <v>12.32</v>
          </cell>
        </row>
        <row r="1096">
          <cell r="D1096">
            <v>12.33</v>
          </cell>
        </row>
        <row r="1097">
          <cell r="D1097">
            <v>12.34</v>
          </cell>
        </row>
        <row r="1098">
          <cell r="D1098">
            <v>12.35</v>
          </cell>
        </row>
        <row r="1099">
          <cell r="D1099">
            <v>12.36</v>
          </cell>
        </row>
        <row r="1100">
          <cell r="D1100">
            <v>12.37</v>
          </cell>
        </row>
        <row r="1101">
          <cell r="D1101">
            <v>12.38</v>
          </cell>
        </row>
        <row r="1102">
          <cell r="D1102">
            <v>12.39</v>
          </cell>
        </row>
        <row r="1103">
          <cell r="D1103">
            <v>12.4</v>
          </cell>
        </row>
        <row r="1104">
          <cell r="D1104">
            <v>12.41</v>
          </cell>
        </row>
        <row r="1105">
          <cell r="D1105">
            <v>12.42</v>
          </cell>
        </row>
        <row r="1106">
          <cell r="D1106">
            <v>12.43</v>
          </cell>
        </row>
        <row r="1107">
          <cell r="D1107">
            <v>12.44</v>
          </cell>
        </row>
        <row r="1108">
          <cell r="D1108">
            <v>12.45</v>
          </cell>
        </row>
        <row r="1109">
          <cell r="D1109">
            <v>12.46</v>
          </cell>
        </row>
        <row r="1110">
          <cell r="D1110">
            <v>12.47</v>
          </cell>
        </row>
        <row r="1111">
          <cell r="D1111">
            <v>12.48</v>
          </cell>
        </row>
        <row r="1112">
          <cell r="D1112">
            <v>12.49</v>
          </cell>
        </row>
        <row r="1113">
          <cell r="D1113">
            <v>12.5</v>
          </cell>
        </row>
        <row r="1114">
          <cell r="D1114">
            <v>12.51</v>
          </cell>
        </row>
        <row r="1115">
          <cell r="D1115">
            <v>12.52</v>
          </cell>
        </row>
        <row r="1116">
          <cell r="D1116">
            <v>12.53</v>
          </cell>
        </row>
        <row r="1117">
          <cell r="D1117">
            <v>12.54</v>
          </cell>
        </row>
        <row r="1118">
          <cell r="D1118">
            <v>12.55</v>
          </cell>
        </row>
        <row r="1119">
          <cell r="D1119">
            <v>12.56</v>
          </cell>
        </row>
        <row r="1120">
          <cell r="D1120">
            <v>12.57</v>
          </cell>
        </row>
        <row r="1121">
          <cell r="D1121">
            <v>12.58</v>
          </cell>
        </row>
        <row r="1122">
          <cell r="D1122">
            <v>12.59</v>
          </cell>
        </row>
        <row r="1123">
          <cell r="D1123">
            <v>12.6</v>
          </cell>
        </row>
        <row r="1124">
          <cell r="D1124">
            <v>12.61</v>
          </cell>
        </row>
        <row r="1125">
          <cell r="D1125">
            <v>12.62</v>
          </cell>
        </row>
        <row r="1126">
          <cell r="D1126">
            <v>12.63</v>
          </cell>
        </row>
        <row r="1127">
          <cell r="D1127">
            <v>12.64</v>
          </cell>
        </row>
        <row r="1128">
          <cell r="D1128">
            <v>12.65</v>
          </cell>
        </row>
        <row r="1129">
          <cell r="D1129">
            <v>12.66</v>
          </cell>
        </row>
        <row r="1130">
          <cell r="D1130">
            <v>12.67</v>
          </cell>
        </row>
        <row r="1131">
          <cell r="D1131">
            <v>12.68</v>
          </cell>
        </row>
        <row r="1132">
          <cell r="D1132">
            <v>12.69</v>
          </cell>
        </row>
        <row r="1133">
          <cell r="D1133">
            <v>12.7</v>
          </cell>
        </row>
        <row r="1134">
          <cell r="D1134">
            <v>12.71</v>
          </cell>
        </row>
        <row r="1135">
          <cell r="D1135">
            <v>12.72</v>
          </cell>
        </row>
        <row r="1136">
          <cell r="D1136">
            <v>12.73</v>
          </cell>
        </row>
        <row r="1137">
          <cell r="D1137">
            <v>12.74</v>
          </cell>
        </row>
        <row r="1138">
          <cell r="D1138">
            <v>12.75</v>
          </cell>
        </row>
        <row r="1139">
          <cell r="D1139">
            <v>12.76</v>
          </cell>
        </row>
        <row r="1140">
          <cell r="D1140">
            <v>12.77</v>
          </cell>
        </row>
        <row r="1141">
          <cell r="D1141">
            <v>12.78</v>
          </cell>
        </row>
        <row r="1142">
          <cell r="D1142">
            <v>12.79</v>
          </cell>
        </row>
        <row r="1143">
          <cell r="D1143">
            <v>12.8</v>
          </cell>
        </row>
        <row r="1144">
          <cell r="D1144">
            <v>12.81</v>
          </cell>
        </row>
        <row r="1145">
          <cell r="D1145">
            <v>12.82</v>
          </cell>
        </row>
        <row r="1146">
          <cell r="D1146">
            <v>12.83</v>
          </cell>
        </row>
        <row r="1147">
          <cell r="D1147">
            <v>12.84</v>
          </cell>
        </row>
        <row r="1148">
          <cell r="D1148">
            <v>12.85</v>
          </cell>
        </row>
        <row r="1149">
          <cell r="D1149">
            <v>12.86</v>
          </cell>
        </row>
        <row r="1150">
          <cell r="D1150">
            <v>12.87</v>
          </cell>
        </row>
        <row r="1151">
          <cell r="D1151">
            <v>12.88</v>
          </cell>
        </row>
        <row r="1152">
          <cell r="D1152">
            <v>12.89</v>
          </cell>
        </row>
        <row r="1153">
          <cell r="D1153">
            <v>12.9</v>
          </cell>
        </row>
        <row r="1154">
          <cell r="D1154">
            <v>12.91</v>
          </cell>
        </row>
        <row r="1155">
          <cell r="D1155">
            <v>12.92</v>
          </cell>
        </row>
        <row r="1156">
          <cell r="D1156">
            <v>12.93</v>
          </cell>
        </row>
        <row r="1157">
          <cell r="D1157">
            <v>12.94</v>
          </cell>
        </row>
        <row r="1158">
          <cell r="D1158">
            <v>12.95</v>
          </cell>
        </row>
        <row r="1159">
          <cell r="D1159">
            <v>12.96</v>
          </cell>
        </row>
        <row r="1160">
          <cell r="D1160">
            <v>12.97</v>
          </cell>
        </row>
        <row r="1161">
          <cell r="D1161">
            <v>12.98</v>
          </cell>
        </row>
        <row r="1162">
          <cell r="D1162">
            <v>12.99</v>
          </cell>
        </row>
        <row r="1163">
          <cell r="D1163">
            <v>13</v>
          </cell>
        </row>
        <row r="1164">
          <cell r="D1164">
            <v>13.01</v>
          </cell>
        </row>
        <row r="1165">
          <cell r="D1165">
            <v>13.02</v>
          </cell>
        </row>
        <row r="1166">
          <cell r="D1166">
            <v>13.03</v>
          </cell>
        </row>
        <row r="1167">
          <cell r="D1167">
            <v>13.04</v>
          </cell>
        </row>
        <row r="1168">
          <cell r="D1168">
            <v>13.05</v>
          </cell>
        </row>
        <row r="1169">
          <cell r="D1169">
            <v>13.06</v>
          </cell>
        </row>
        <row r="1170">
          <cell r="D1170">
            <v>13.07</v>
          </cell>
        </row>
        <row r="1171">
          <cell r="D1171">
            <v>13.08</v>
          </cell>
        </row>
        <row r="1172">
          <cell r="D1172">
            <v>13.09</v>
          </cell>
        </row>
        <row r="1173">
          <cell r="D1173">
            <v>13.1</v>
          </cell>
        </row>
        <row r="1174">
          <cell r="D1174">
            <v>13.11</v>
          </cell>
        </row>
        <row r="1175">
          <cell r="D1175">
            <v>13.12</v>
          </cell>
        </row>
        <row r="1176">
          <cell r="D1176">
            <v>13.13</v>
          </cell>
        </row>
        <row r="1177">
          <cell r="D1177">
            <v>13.14</v>
          </cell>
        </row>
        <row r="1178">
          <cell r="D1178">
            <v>13.15</v>
          </cell>
        </row>
        <row r="1179">
          <cell r="D1179">
            <v>13.16</v>
          </cell>
        </row>
        <row r="1180">
          <cell r="D1180">
            <v>13.17</v>
          </cell>
        </row>
        <row r="1181">
          <cell r="D1181">
            <v>13.18</v>
          </cell>
        </row>
        <row r="1182">
          <cell r="D1182">
            <v>13.19</v>
          </cell>
        </row>
        <row r="1183">
          <cell r="D1183">
            <v>13.2</v>
          </cell>
        </row>
        <row r="1184">
          <cell r="D1184">
            <v>13.21</v>
          </cell>
        </row>
        <row r="1185">
          <cell r="D1185">
            <v>13.22</v>
          </cell>
        </row>
        <row r="1186">
          <cell r="D1186">
            <v>13.23</v>
          </cell>
        </row>
        <row r="1187">
          <cell r="D1187">
            <v>13.24</v>
          </cell>
        </row>
        <row r="1188">
          <cell r="D1188">
            <v>13.25</v>
          </cell>
        </row>
        <row r="1189">
          <cell r="D1189">
            <v>13.26</v>
          </cell>
        </row>
        <row r="1190">
          <cell r="D1190">
            <v>13.27</v>
          </cell>
        </row>
        <row r="1191">
          <cell r="D1191">
            <v>13.28</v>
          </cell>
        </row>
        <row r="1192">
          <cell r="D1192">
            <v>13.29</v>
          </cell>
        </row>
        <row r="1193">
          <cell r="D1193">
            <v>13.3</v>
          </cell>
        </row>
        <row r="1194">
          <cell r="D1194">
            <v>13.31</v>
          </cell>
        </row>
        <row r="1195">
          <cell r="D1195">
            <v>13.32</v>
          </cell>
        </row>
        <row r="1196">
          <cell r="D1196">
            <v>13.33</v>
          </cell>
        </row>
        <row r="1197">
          <cell r="D1197">
            <v>13.34</v>
          </cell>
        </row>
        <row r="1198">
          <cell r="D1198">
            <v>13.35</v>
          </cell>
        </row>
        <row r="1199">
          <cell r="D1199">
            <v>13.36</v>
          </cell>
        </row>
        <row r="1200">
          <cell r="D1200">
            <v>13.37</v>
          </cell>
        </row>
        <row r="1201">
          <cell r="D1201">
            <v>13.38</v>
          </cell>
        </row>
        <row r="1202">
          <cell r="D1202">
            <v>13.39</v>
          </cell>
        </row>
        <row r="1203">
          <cell r="D1203">
            <v>13.4</v>
          </cell>
        </row>
        <row r="1204">
          <cell r="D1204">
            <v>13.41</v>
          </cell>
        </row>
        <row r="1205">
          <cell r="D1205">
            <v>13.42</v>
          </cell>
        </row>
        <row r="1206">
          <cell r="D1206">
            <v>13.43</v>
          </cell>
        </row>
        <row r="1207">
          <cell r="D1207">
            <v>13.44</v>
          </cell>
        </row>
        <row r="1208">
          <cell r="D1208">
            <v>13.45</v>
          </cell>
        </row>
        <row r="1209">
          <cell r="D1209">
            <v>13.46</v>
          </cell>
        </row>
        <row r="1210">
          <cell r="D1210">
            <v>13.47</v>
          </cell>
        </row>
        <row r="1211">
          <cell r="D1211">
            <v>13.48</v>
          </cell>
        </row>
        <row r="1212">
          <cell r="D1212">
            <v>13.49</v>
          </cell>
        </row>
        <row r="1213">
          <cell r="D1213">
            <v>13.5</v>
          </cell>
        </row>
        <row r="1214">
          <cell r="D1214">
            <v>13.51</v>
          </cell>
        </row>
        <row r="1215">
          <cell r="D1215">
            <v>13.52</v>
          </cell>
        </row>
        <row r="1216">
          <cell r="D1216">
            <v>13.53</v>
          </cell>
        </row>
        <row r="1217">
          <cell r="D1217">
            <v>13.54</v>
          </cell>
        </row>
        <row r="1218">
          <cell r="D1218">
            <v>13.55</v>
          </cell>
        </row>
        <row r="1219">
          <cell r="D1219">
            <v>13.56</v>
          </cell>
        </row>
        <row r="1220">
          <cell r="D1220">
            <v>13.57</v>
          </cell>
        </row>
        <row r="1221">
          <cell r="D1221">
            <v>13.58</v>
          </cell>
        </row>
        <row r="1222">
          <cell r="D1222">
            <v>13.59</v>
          </cell>
        </row>
        <row r="1223">
          <cell r="D1223">
            <v>13.6</v>
          </cell>
        </row>
        <row r="1224">
          <cell r="D1224">
            <v>13.61</v>
          </cell>
        </row>
        <row r="1225">
          <cell r="D1225">
            <v>13.62</v>
          </cell>
        </row>
        <row r="1226">
          <cell r="D1226">
            <v>13.63</v>
          </cell>
        </row>
        <row r="1227">
          <cell r="D1227">
            <v>13.64</v>
          </cell>
        </row>
        <row r="1228">
          <cell r="D1228">
            <v>13.65</v>
          </cell>
        </row>
        <row r="1229">
          <cell r="D1229">
            <v>13.66</v>
          </cell>
        </row>
        <row r="1230">
          <cell r="D1230">
            <v>13.67</v>
          </cell>
        </row>
        <row r="1231">
          <cell r="D1231">
            <v>13.68</v>
          </cell>
        </row>
        <row r="1232">
          <cell r="D1232">
            <v>13.69</v>
          </cell>
        </row>
        <row r="1233">
          <cell r="D1233">
            <v>13.7</v>
          </cell>
        </row>
        <row r="1234">
          <cell r="D1234">
            <v>13.71</v>
          </cell>
        </row>
        <row r="1235">
          <cell r="D1235">
            <v>13.72</v>
          </cell>
        </row>
        <row r="1236">
          <cell r="D1236">
            <v>13.73</v>
          </cell>
        </row>
        <row r="1237">
          <cell r="D1237">
            <v>13.74</v>
          </cell>
        </row>
        <row r="1238">
          <cell r="D1238">
            <v>13.75</v>
          </cell>
        </row>
        <row r="1239">
          <cell r="D1239">
            <v>13.76</v>
          </cell>
        </row>
        <row r="1240">
          <cell r="D1240">
            <v>13.77</v>
          </cell>
        </row>
        <row r="1241">
          <cell r="D1241">
            <v>13.78</v>
          </cell>
        </row>
        <row r="1242">
          <cell r="D1242">
            <v>13.79</v>
          </cell>
        </row>
        <row r="1243">
          <cell r="D1243">
            <v>13.8</v>
          </cell>
        </row>
        <row r="1244">
          <cell r="D1244">
            <v>13.81</v>
          </cell>
        </row>
        <row r="1245">
          <cell r="D1245">
            <v>13.82</v>
          </cell>
        </row>
        <row r="1246">
          <cell r="D1246">
            <v>13.83</v>
          </cell>
        </row>
        <row r="1247">
          <cell r="D1247">
            <v>13.84</v>
          </cell>
        </row>
        <row r="1248">
          <cell r="D1248">
            <v>13.85</v>
          </cell>
        </row>
        <row r="1249">
          <cell r="D1249">
            <v>13.86</v>
          </cell>
        </row>
        <row r="1250">
          <cell r="D1250">
            <v>13.87</v>
          </cell>
        </row>
        <row r="1251">
          <cell r="D1251">
            <v>13.88</v>
          </cell>
        </row>
        <row r="1252">
          <cell r="D1252">
            <v>13.89</v>
          </cell>
        </row>
        <row r="1253">
          <cell r="D1253">
            <v>13.9</v>
          </cell>
        </row>
        <row r="1254">
          <cell r="D1254">
            <v>13.91</v>
          </cell>
        </row>
        <row r="1255">
          <cell r="D1255">
            <v>13.92</v>
          </cell>
        </row>
        <row r="1256">
          <cell r="D1256">
            <v>13.93</v>
          </cell>
        </row>
        <row r="1257">
          <cell r="D1257">
            <v>13.94</v>
          </cell>
        </row>
        <row r="1258">
          <cell r="D1258">
            <v>13.95</v>
          </cell>
        </row>
        <row r="1259">
          <cell r="D1259">
            <v>13.96</v>
          </cell>
        </row>
        <row r="1260">
          <cell r="D1260">
            <v>13.97</v>
          </cell>
        </row>
        <row r="1261">
          <cell r="D1261">
            <v>13.98</v>
          </cell>
        </row>
        <row r="1262">
          <cell r="D1262">
            <v>13.99</v>
          </cell>
        </row>
        <row r="1263">
          <cell r="D1263">
            <v>14</v>
          </cell>
        </row>
        <row r="1264">
          <cell r="D1264">
            <v>14.01</v>
          </cell>
        </row>
        <row r="1265">
          <cell r="D1265">
            <v>14.02</v>
          </cell>
        </row>
        <row r="1266">
          <cell r="D1266">
            <v>14.03</v>
          </cell>
        </row>
        <row r="1267">
          <cell r="D1267">
            <v>14.04</v>
          </cell>
        </row>
        <row r="1268">
          <cell r="D1268">
            <v>14.05</v>
          </cell>
        </row>
        <row r="1269">
          <cell r="D1269">
            <v>14.06</v>
          </cell>
        </row>
        <row r="1270">
          <cell r="D1270">
            <v>14.07</v>
          </cell>
        </row>
        <row r="1271">
          <cell r="D1271">
            <v>14.08</v>
          </cell>
        </row>
        <row r="1272">
          <cell r="D1272">
            <v>14.09</v>
          </cell>
        </row>
        <row r="1273">
          <cell r="D1273">
            <v>14.1</v>
          </cell>
        </row>
        <row r="1274">
          <cell r="D1274">
            <v>14.11</v>
          </cell>
        </row>
        <row r="1275">
          <cell r="D1275">
            <v>14.12</v>
          </cell>
        </row>
        <row r="1276">
          <cell r="D1276">
            <v>14.13</v>
          </cell>
        </row>
        <row r="1277">
          <cell r="D1277">
            <v>14.14</v>
          </cell>
        </row>
        <row r="1278">
          <cell r="D1278">
            <v>14.15</v>
          </cell>
        </row>
        <row r="1279">
          <cell r="D1279">
            <v>14.16</v>
          </cell>
        </row>
        <row r="1280">
          <cell r="D1280">
            <v>14.17</v>
          </cell>
        </row>
        <row r="1281">
          <cell r="D1281">
            <v>14.18</v>
          </cell>
        </row>
        <row r="1282">
          <cell r="D1282">
            <v>14.19</v>
          </cell>
        </row>
        <row r="1283">
          <cell r="D1283">
            <v>14.2</v>
          </cell>
        </row>
        <row r="1284">
          <cell r="D1284">
            <v>14.21</v>
          </cell>
        </row>
        <row r="1285">
          <cell r="D1285">
            <v>14.22</v>
          </cell>
        </row>
        <row r="1286">
          <cell r="D1286">
            <v>14.23</v>
          </cell>
        </row>
        <row r="1287">
          <cell r="D1287">
            <v>14.24</v>
          </cell>
        </row>
        <row r="1288">
          <cell r="D1288">
            <v>14.25</v>
          </cell>
        </row>
        <row r="1289">
          <cell r="D1289">
            <v>14.26</v>
          </cell>
        </row>
        <row r="1290">
          <cell r="D1290">
            <v>14.27</v>
          </cell>
        </row>
        <row r="1291">
          <cell r="D1291">
            <v>14.28</v>
          </cell>
        </row>
        <row r="1292">
          <cell r="D1292">
            <v>14.29</v>
          </cell>
        </row>
        <row r="1293">
          <cell r="D1293">
            <v>14.3</v>
          </cell>
        </row>
        <row r="1294">
          <cell r="D1294">
            <v>14.31</v>
          </cell>
        </row>
        <row r="1295">
          <cell r="D1295">
            <v>14.32</v>
          </cell>
        </row>
        <row r="1296">
          <cell r="D1296">
            <v>14.33</v>
          </cell>
        </row>
        <row r="1297">
          <cell r="D1297">
            <v>14.34</v>
          </cell>
        </row>
        <row r="1298">
          <cell r="D1298">
            <v>14.35</v>
          </cell>
        </row>
        <row r="1299">
          <cell r="D1299">
            <v>14.36</v>
          </cell>
        </row>
        <row r="1300">
          <cell r="D1300">
            <v>14.37</v>
          </cell>
        </row>
        <row r="1301">
          <cell r="D1301">
            <v>14.38</v>
          </cell>
        </row>
        <row r="1302">
          <cell r="D1302">
            <v>14.39</v>
          </cell>
        </row>
        <row r="1303">
          <cell r="D1303">
            <v>14.4</v>
          </cell>
        </row>
        <row r="1304">
          <cell r="D1304">
            <v>14.41</v>
          </cell>
        </row>
        <row r="1305">
          <cell r="D1305">
            <v>14.42</v>
          </cell>
        </row>
        <row r="1306">
          <cell r="D1306">
            <v>14.43</v>
          </cell>
        </row>
        <row r="1307">
          <cell r="D1307">
            <v>14.44</v>
          </cell>
        </row>
        <row r="1308">
          <cell r="D1308">
            <v>14.45</v>
          </cell>
        </row>
        <row r="1309">
          <cell r="D1309">
            <v>14.46</v>
          </cell>
        </row>
        <row r="1310">
          <cell r="D1310">
            <v>14.47</v>
          </cell>
        </row>
        <row r="1311">
          <cell r="D1311">
            <v>14.48</v>
          </cell>
        </row>
        <row r="1312">
          <cell r="D1312">
            <v>14.49</v>
          </cell>
        </row>
        <row r="1313">
          <cell r="D1313">
            <v>14.5</v>
          </cell>
        </row>
        <row r="1314">
          <cell r="D1314">
            <v>14.51</v>
          </cell>
        </row>
        <row r="1315">
          <cell r="D1315">
            <v>14.52</v>
          </cell>
        </row>
        <row r="1316">
          <cell r="D1316">
            <v>14.53</v>
          </cell>
        </row>
        <row r="1317">
          <cell r="D1317">
            <v>14.54</v>
          </cell>
        </row>
        <row r="1318">
          <cell r="D1318">
            <v>14.55</v>
          </cell>
        </row>
        <row r="1319">
          <cell r="D1319">
            <v>14.56</v>
          </cell>
        </row>
        <row r="1320">
          <cell r="D1320">
            <v>14.57</v>
          </cell>
        </row>
        <row r="1321">
          <cell r="D1321">
            <v>14.58</v>
          </cell>
        </row>
        <row r="1322">
          <cell r="D1322">
            <v>14.59</v>
          </cell>
        </row>
        <row r="1323">
          <cell r="D1323">
            <v>14.6</v>
          </cell>
        </row>
        <row r="1324">
          <cell r="D1324">
            <v>14.61</v>
          </cell>
        </row>
        <row r="1325">
          <cell r="D1325">
            <v>14.62</v>
          </cell>
        </row>
        <row r="1326">
          <cell r="D1326">
            <v>14.63</v>
          </cell>
        </row>
        <row r="1327">
          <cell r="D1327">
            <v>14.64</v>
          </cell>
        </row>
        <row r="1328">
          <cell r="D1328">
            <v>14.65</v>
          </cell>
        </row>
        <row r="1329">
          <cell r="D1329">
            <v>14.66</v>
          </cell>
        </row>
        <row r="1330">
          <cell r="D1330">
            <v>14.67</v>
          </cell>
        </row>
        <row r="1331">
          <cell r="D1331">
            <v>14.68</v>
          </cell>
        </row>
        <row r="1332">
          <cell r="D1332">
            <v>14.69</v>
          </cell>
        </row>
        <row r="1333">
          <cell r="D1333">
            <v>14.7</v>
          </cell>
        </row>
        <row r="1334">
          <cell r="D1334">
            <v>14.71</v>
          </cell>
        </row>
        <row r="1335">
          <cell r="D1335">
            <v>14.72</v>
          </cell>
        </row>
        <row r="1336">
          <cell r="D1336">
            <v>14.73</v>
          </cell>
        </row>
        <row r="1337">
          <cell r="D1337">
            <v>14.74</v>
          </cell>
        </row>
        <row r="1338">
          <cell r="D1338">
            <v>14.75</v>
          </cell>
        </row>
        <row r="1339">
          <cell r="D1339">
            <v>14.76</v>
          </cell>
        </row>
        <row r="1340">
          <cell r="D1340">
            <v>14.77</v>
          </cell>
        </row>
        <row r="1341">
          <cell r="D1341">
            <v>14.78</v>
          </cell>
        </row>
        <row r="1342">
          <cell r="D1342">
            <v>14.79</v>
          </cell>
        </row>
        <row r="1343">
          <cell r="D1343">
            <v>14.8</v>
          </cell>
        </row>
        <row r="1344">
          <cell r="D1344">
            <v>14.81</v>
          </cell>
        </row>
        <row r="1345">
          <cell r="D1345">
            <v>14.82</v>
          </cell>
        </row>
        <row r="1346">
          <cell r="D1346">
            <v>14.83</v>
          </cell>
        </row>
        <row r="1347">
          <cell r="D1347">
            <v>14.84</v>
          </cell>
        </row>
        <row r="1348">
          <cell r="D1348">
            <v>14.85</v>
          </cell>
        </row>
        <row r="1349">
          <cell r="D1349">
            <v>14.86</v>
          </cell>
        </row>
        <row r="1350">
          <cell r="D1350">
            <v>14.87</v>
          </cell>
        </row>
        <row r="1351">
          <cell r="D1351">
            <v>14.88</v>
          </cell>
        </row>
        <row r="1352">
          <cell r="D1352">
            <v>14.89</v>
          </cell>
        </row>
        <row r="1353">
          <cell r="D1353">
            <v>14.9</v>
          </cell>
        </row>
        <row r="1354">
          <cell r="D1354">
            <v>14.91</v>
          </cell>
        </row>
        <row r="1355">
          <cell r="D1355">
            <v>14.92</v>
          </cell>
        </row>
        <row r="1356">
          <cell r="D1356">
            <v>14.93</v>
          </cell>
        </row>
        <row r="1357">
          <cell r="D1357">
            <v>14.94</v>
          </cell>
        </row>
        <row r="1358">
          <cell r="D1358">
            <v>14.95</v>
          </cell>
        </row>
        <row r="1359">
          <cell r="D1359">
            <v>14.96</v>
          </cell>
        </row>
        <row r="1360">
          <cell r="D1360">
            <v>14.97</v>
          </cell>
        </row>
        <row r="1361">
          <cell r="D1361">
            <v>14.98</v>
          </cell>
        </row>
        <row r="1362">
          <cell r="D1362">
            <v>14.99</v>
          </cell>
        </row>
        <row r="1363">
          <cell r="D1363">
            <v>15</v>
          </cell>
        </row>
        <row r="1364">
          <cell r="D1364">
            <v>15.01</v>
          </cell>
        </row>
        <row r="1365">
          <cell r="D1365">
            <v>15.02</v>
          </cell>
        </row>
        <row r="1366">
          <cell r="D1366">
            <v>15.03</v>
          </cell>
        </row>
        <row r="1367">
          <cell r="D1367">
            <v>15.04</v>
          </cell>
        </row>
        <row r="1368">
          <cell r="D1368">
            <v>15.05</v>
          </cell>
        </row>
        <row r="1369">
          <cell r="D1369">
            <v>15.06</v>
          </cell>
        </row>
        <row r="1370">
          <cell r="D1370">
            <v>15.07</v>
          </cell>
        </row>
        <row r="1371">
          <cell r="D1371">
            <v>15.08</v>
          </cell>
        </row>
        <row r="1372">
          <cell r="D1372">
            <v>15.09</v>
          </cell>
        </row>
        <row r="1373">
          <cell r="D1373">
            <v>15.1</v>
          </cell>
        </row>
        <row r="1374">
          <cell r="D1374">
            <v>15.11</v>
          </cell>
        </row>
        <row r="1375">
          <cell r="D1375">
            <v>15.12</v>
          </cell>
        </row>
        <row r="1376">
          <cell r="D1376">
            <v>15.13</v>
          </cell>
        </row>
        <row r="1377">
          <cell r="D1377">
            <v>15.14</v>
          </cell>
        </row>
        <row r="1378">
          <cell r="D1378">
            <v>15.15</v>
          </cell>
        </row>
        <row r="1379">
          <cell r="D1379">
            <v>15.16</v>
          </cell>
        </row>
        <row r="1380">
          <cell r="D1380">
            <v>15.17</v>
          </cell>
        </row>
        <row r="1381">
          <cell r="D1381">
            <v>15.18</v>
          </cell>
        </row>
        <row r="1382">
          <cell r="D1382">
            <v>15.19</v>
          </cell>
        </row>
        <row r="1383">
          <cell r="D1383">
            <v>15.2</v>
          </cell>
        </row>
        <row r="1384">
          <cell r="D1384">
            <v>15.21</v>
          </cell>
        </row>
        <row r="1385">
          <cell r="D1385">
            <v>15.22</v>
          </cell>
        </row>
        <row r="1386">
          <cell r="D1386">
            <v>15.23</v>
          </cell>
        </row>
        <row r="1387">
          <cell r="D1387">
            <v>15.24</v>
          </cell>
        </row>
        <row r="1388">
          <cell r="D1388">
            <v>15.25</v>
          </cell>
        </row>
        <row r="1389">
          <cell r="D1389">
            <v>15.26</v>
          </cell>
        </row>
        <row r="1390">
          <cell r="D1390">
            <v>15.27</v>
          </cell>
        </row>
        <row r="1391">
          <cell r="D1391">
            <v>15.28</v>
          </cell>
        </row>
        <row r="1392">
          <cell r="D1392">
            <v>15.29</v>
          </cell>
        </row>
        <row r="1393">
          <cell r="D1393">
            <v>15.3</v>
          </cell>
        </row>
        <row r="1394">
          <cell r="D1394">
            <v>15.31</v>
          </cell>
        </row>
        <row r="1395">
          <cell r="D1395">
            <v>15.32</v>
          </cell>
        </row>
        <row r="1396">
          <cell r="D1396">
            <v>15.33</v>
          </cell>
        </row>
        <row r="1397">
          <cell r="D1397">
            <v>15.34</v>
          </cell>
        </row>
        <row r="1398">
          <cell r="D1398">
            <v>15.35</v>
          </cell>
        </row>
        <row r="1399">
          <cell r="D1399">
            <v>15.36</v>
          </cell>
        </row>
        <row r="1400">
          <cell r="D1400">
            <v>15.37</v>
          </cell>
        </row>
        <row r="1401">
          <cell r="D1401">
            <v>15.38</v>
          </cell>
        </row>
        <row r="1402">
          <cell r="D1402">
            <v>15.39</v>
          </cell>
        </row>
        <row r="1403">
          <cell r="D1403">
            <v>15.4</v>
          </cell>
        </row>
        <row r="1404">
          <cell r="D1404">
            <v>15.41</v>
          </cell>
        </row>
        <row r="1405">
          <cell r="D1405">
            <v>15.42</v>
          </cell>
        </row>
        <row r="1406">
          <cell r="D1406">
            <v>15.43</v>
          </cell>
        </row>
        <row r="1407">
          <cell r="D1407">
            <v>15.44</v>
          </cell>
        </row>
        <row r="1408">
          <cell r="D1408">
            <v>15.45</v>
          </cell>
        </row>
        <row r="1409">
          <cell r="D1409">
            <v>15.46</v>
          </cell>
        </row>
        <row r="1410">
          <cell r="D1410">
            <v>15.47</v>
          </cell>
        </row>
        <row r="1411">
          <cell r="D1411">
            <v>15.48</v>
          </cell>
        </row>
        <row r="1412">
          <cell r="D1412">
            <v>15.49</v>
          </cell>
        </row>
        <row r="1413">
          <cell r="D1413">
            <v>15.5</v>
          </cell>
        </row>
        <row r="1414">
          <cell r="D1414">
            <v>15.51</v>
          </cell>
        </row>
        <row r="1415">
          <cell r="D1415">
            <v>15.52</v>
          </cell>
        </row>
        <row r="1416">
          <cell r="D1416">
            <v>15.53</v>
          </cell>
        </row>
        <row r="1417">
          <cell r="D1417">
            <v>15.54</v>
          </cell>
        </row>
        <row r="1418">
          <cell r="D1418">
            <v>15.55</v>
          </cell>
        </row>
        <row r="1419">
          <cell r="D1419">
            <v>15.56</v>
          </cell>
        </row>
        <row r="1420">
          <cell r="D1420">
            <v>15.57</v>
          </cell>
        </row>
        <row r="1421">
          <cell r="D1421">
            <v>15.58</v>
          </cell>
        </row>
        <row r="1422">
          <cell r="D1422">
            <v>15.59</v>
          </cell>
        </row>
        <row r="1423">
          <cell r="D1423">
            <v>15.6</v>
          </cell>
        </row>
        <row r="1424">
          <cell r="D1424">
            <v>15.61</v>
          </cell>
        </row>
        <row r="1425">
          <cell r="D1425">
            <v>15.62</v>
          </cell>
        </row>
        <row r="1426">
          <cell r="D1426">
            <v>15.63</v>
          </cell>
        </row>
        <row r="1427">
          <cell r="D1427">
            <v>15.64</v>
          </cell>
        </row>
        <row r="1428">
          <cell r="D1428">
            <v>15.65</v>
          </cell>
        </row>
        <row r="1429">
          <cell r="D1429">
            <v>15.66</v>
          </cell>
        </row>
        <row r="1430">
          <cell r="D1430">
            <v>15.67</v>
          </cell>
        </row>
        <row r="1431">
          <cell r="D1431">
            <v>15.68</v>
          </cell>
        </row>
        <row r="1432">
          <cell r="D1432">
            <v>15.69</v>
          </cell>
        </row>
        <row r="1433">
          <cell r="D1433">
            <v>15.7</v>
          </cell>
        </row>
        <row r="1434">
          <cell r="D1434">
            <v>15.71</v>
          </cell>
        </row>
        <row r="1435">
          <cell r="D1435">
            <v>15.72</v>
          </cell>
        </row>
        <row r="1436">
          <cell r="D1436">
            <v>15.73</v>
          </cell>
        </row>
        <row r="1437">
          <cell r="D1437">
            <v>15.74</v>
          </cell>
        </row>
        <row r="1438">
          <cell r="D1438">
            <v>15.75</v>
          </cell>
        </row>
        <row r="1439">
          <cell r="D1439">
            <v>15.76</v>
          </cell>
        </row>
        <row r="1440">
          <cell r="D1440">
            <v>15.77</v>
          </cell>
        </row>
        <row r="1441">
          <cell r="D1441">
            <v>15.78</v>
          </cell>
        </row>
        <row r="1442">
          <cell r="D1442">
            <v>15.79</v>
          </cell>
        </row>
        <row r="1443">
          <cell r="D1443">
            <v>15.8</v>
          </cell>
        </row>
        <row r="1444">
          <cell r="D1444">
            <v>15.81</v>
          </cell>
        </row>
        <row r="1445">
          <cell r="D1445">
            <v>15.82</v>
          </cell>
        </row>
        <row r="1446">
          <cell r="D1446">
            <v>15.83</v>
          </cell>
        </row>
        <row r="1447">
          <cell r="D1447">
            <v>15.84</v>
          </cell>
        </row>
        <row r="1448">
          <cell r="D1448">
            <v>15.85</v>
          </cell>
        </row>
        <row r="1449">
          <cell r="D1449">
            <v>15.86</v>
          </cell>
        </row>
        <row r="1450">
          <cell r="D1450">
            <v>15.87</v>
          </cell>
        </row>
        <row r="1451">
          <cell r="D1451">
            <v>15.88</v>
          </cell>
        </row>
        <row r="1452">
          <cell r="D1452">
            <v>15.89</v>
          </cell>
        </row>
        <row r="1453">
          <cell r="D1453">
            <v>15.9</v>
          </cell>
        </row>
        <row r="1454">
          <cell r="D1454">
            <v>15.91</v>
          </cell>
        </row>
        <row r="1455">
          <cell r="D1455">
            <v>15.92</v>
          </cell>
        </row>
        <row r="1456">
          <cell r="D1456">
            <v>15.93</v>
          </cell>
        </row>
        <row r="1457">
          <cell r="D1457">
            <v>15.94</v>
          </cell>
        </row>
        <row r="1458">
          <cell r="D1458">
            <v>15.95</v>
          </cell>
        </row>
        <row r="1459">
          <cell r="D1459">
            <v>15.96</v>
          </cell>
        </row>
        <row r="1460">
          <cell r="D1460">
            <v>15.97</v>
          </cell>
        </row>
        <row r="1461">
          <cell r="D1461">
            <v>15.98</v>
          </cell>
        </row>
        <row r="1462">
          <cell r="D1462">
            <v>15.99</v>
          </cell>
        </row>
        <row r="1463">
          <cell r="D1463">
            <v>16</v>
          </cell>
        </row>
        <row r="1464">
          <cell r="D1464">
            <v>16.010000000000002</v>
          </cell>
        </row>
        <row r="1465">
          <cell r="D1465">
            <v>16.02</v>
          </cell>
        </row>
        <row r="1466">
          <cell r="D1466">
            <v>16.03</v>
          </cell>
        </row>
        <row r="1467">
          <cell r="D1467">
            <v>16.04</v>
          </cell>
        </row>
        <row r="1468">
          <cell r="D1468">
            <v>16.05</v>
          </cell>
        </row>
        <row r="1469">
          <cell r="D1469">
            <v>16.059999999999999</v>
          </cell>
        </row>
        <row r="1470">
          <cell r="D1470">
            <v>16.07</v>
          </cell>
        </row>
        <row r="1471">
          <cell r="D1471">
            <v>16.079999999999998</v>
          </cell>
        </row>
        <row r="1472">
          <cell r="D1472">
            <v>16.09</v>
          </cell>
        </row>
        <row r="1473">
          <cell r="D1473">
            <v>16.100000000000001</v>
          </cell>
        </row>
        <row r="1474">
          <cell r="D1474">
            <v>16.11</v>
          </cell>
        </row>
        <row r="1475">
          <cell r="D1475">
            <v>16.12</v>
          </cell>
        </row>
        <row r="1476">
          <cell r="D1476">
            <v>16.13</v>
          </cell>
        </row>
        <row r="1477">
          <cell r="D1477">
            <v>16.14</v>
          </cell>
        </row>
        <row r="1478">
          <cell r="D1478">
            <v>16.149999999999999</v>
          </cell>
        </row>
        <row r="1479">
          <cell r="D1479">
            <v>16.16</v>
          </cell>
        </row>
        <row r="1480">
          <cell r="D1480">
            <v>16.170000000000002</v>
          </cell>
        </row>
        <row r="1481">
          <cell r="D1481">
            <v>16.18</v>
          </cell>
        </row>
        <row r="1482">
          <cell r="D1482">
            <v>16.190000000000001</v>
          </cell>
        </row>
        <row r="1483">
          <cell r="D1483">
            <v>16.2</v>
          </cell>
        </row>
        <row r="1484">
          <cell r="D1484">
            <v>16.21</v>
          </cell>
        </row>
        <row r="1485">
          <cell r="D1485">
            <v>16.22</v>
          </cell>
        </row>
        <row r="1486">
          <cell r="D1486">
            <v>16.23</v>
          </cell>
        </row>
        <row r="1487">
          <cell r="D1487">
            <v>16.239999999999998</v>
          </cell>
        </row>
        <row r="1488">
          <cell r="D1488">
            <v>16.25</v>
          </cell>
        </row>
        <row r="1489">
          <cell r="D1489">
            <v>16.260000000000002</v>
          </cell>
        </row>
        <row r="1490">
          <cell r="D1490">
            <v>16.27</v>
          </cell>
        </row>
        <row r="1491">
          <cell r="D1491">
            <v>16.28</v>
          </cell>
        </row>
        <row r="1492">
          <cell r="D1492">
            <v>16.29</v>
          </cell>
        </row>
        <row r="1493">
          <cell r="D1493">
            <v>16.3</v>
          </cell>
        </row>
        <row r="1494">
          <cell r="D1494">
            <v>16.309999999999999</v>
          </cell>
        </row>
        <row r="1495">
          <cell r="D1495">
            <v>16.32</v>
          </cell>
        </row>
        <row r="1496">
          <cell r="D1496">
            <v>16.329999999999998</v>
          </cell>
        </row>
        <row r="1497">
          <cell r="D1497">
            <v>16.34</v>
          </cell>
        </row>
        <row r="1498">
          <cell r="D1498">
            <v>16.350000000000001</v>
          </cell>
        </row>
        <row r="1499">
          <cell r="D1499">
            <v>16.36</v>
          </cell>
        </row>
        <row r="1500">
          <cell r="D1500">
            <v>16.37</v>
          </cell>
        </row>
        <row r="1501">
          <cell r="D1501">
            <v>16.38</v>
          </cell>
        </row>
        <row r="1502">
          <cell r="D1502">
            <v>16.39</v>
          </cell>
        </row>
        <row r="1503">
          <cell r="D1503">
            <v>16.399999999999999</v>
          </cell>
        </row>
        <row r="1504">
          <cell r="D1504">
            <v>16.41</v>
          </cell>
        </row>
        <row r="1505">
          <cell r="D1505">
            <v>16.420000000000002</v>
          </cell>
        </row>
        <row r="1506">
          <cell r="D1506">
            <v>16.43</v>
          </cell>
        </row>
        <row r="1507">
          <cell r="D1507">
            <v>16.440000000000001</v>
          </cell>
        </row>
        <row r="1508">
          <cell r="D1508">
            <v>16.45</v>
          </cell>
        </row>
        <row r="1509">
          <cell r="D1509">
            <v>16.46</v>
          </cell>
        </row>
        <row r="1510">
          <cell r="D1510">
            <v>16.47</v>
          </cell>
        </row>
        <row r="1511">
          <cell r="D1511">
            <v>16.48</v>
          </cell>
        </row>
        <row r="1512">
          <cell r="D1512">
            <v>16.489999999999998</v>
          </cell>
        </row>
        <row r="1513">
          <cell r="D1513">
            <v>16.5</v>
          </cell>
        </row>
        <row r="1514">
          <cell r="D1514">
            <v>16.510000000000002</v>
          </cell>
        </row>
        <row r="1515">
          <cell r="D1515">
            <v>16.52</v>
          </cell>
        </row>
        <row r="1516">
          <cell r="D1516">
            <v>16.53</v>
          </cell>
        </row>
        <row r="1517">
          <cell r="D1517">
            <v>16.54</v>
          </cell>
        </row>
        <row r="1518">
          <cell r="D1518">
            <v>16.55</v>
          </cell>
        </row>
        <row r="1519">
          <cell r="D1519">
            <v>16.559999999999999</v>
          </cell>
        </row>
        <row r="1520">
          <cell r="D1520">
            <v>16.57</v>
          </cell>
        </row>
        <row r="1521">
          <cell r="D1521">
            <v>16.579999999999998</v>
          </cell>
        </row>
        <row r="1522">
          <cell r="D1522">
            <v>16.59</v>
          </cell>
        </row>
        <row r="1523">
          <cell r="D1523">
            <v>16.600000000000001</v>
          </cell>
        </row>
        <row r="1524">
          <cell r="D1524">
            <v>16.61</v>
          </cell>
        </row>
        <row r="1525">
          <cell r="D1525">
            <v>16.62</v>
          </cell>
        </row>
        <row r="1526">
          <cell r="D1526">
            <v>16.63</v>
          </cell>
        </row>
        <row r="1527">
          <cell r="D1527">
            <v>16.64</v>
          </cell>
        </row>
        <row r="1528">
          <cell r="D1528">
            <v>16.649999999999999</v>
          </cell>
        </row>
        <row r="1529">
          <cell r="D1529">
            <v>16.66</v>
          </cell>
        </row>
        <row r="1530">
          <cell r="D1530">
            <v>16.670000000000002</v>
          </cell>
        </row>
        <row r="1531">
          <cell r="D1531">
            <v>16.68</v>
          </cell>
        </row>
        <row r="1532">
          <cell r="D1532">
            <v>16.690000000000001</v>
          </cell>
        </row>
        <row r="1533">
          <cell r="D1533">
            <v>16.7</v>
          </cell>
        </row>
        <row r="1534">
          <cell r="D1534">
            <v>16.71</v>
          </cell>
        </row>
        <row r="1535">
          <cell r="D1535">
            <v>16.72</v>
          </cell>
        </row>
        <row r="1536">
          <cell r="D1536">
            <v>16.73</v>
          </cell>
        </row>
        <row r="1537">
          <cell r="D1537">
            <v>16.739999999999998</v>
          </cell>
        </row>
        <row r="1538">
          <cell r="D1538">
            <v>16.75</v>
          </cell>
        </row>
        <row r="1539">
          <cell r="D1539">
            <v>16.760000000000002</v>
          </cell>
        </row>
        <row r="1540">
          <cell r="D1540">
            <v>16.77</v>
          </cell>
        </row>
        <row r="1541">
          <cell r="D1541">
            <v>16.78</v>
          </cell>
        </row>
        <row r="1542">
          <cell r="D1542">
            <v>16.79</v>
          </cell>
        </row>
        <row r="1543">
          <cell r="D1543">
            <v>16.8</v>
          </cell>
        </row>
        <row r="1544">
          <cell r="D1544">
            <v>16.809999999999999</v>
          </cell>
        </row>
        <row r="1545">
          <cell r="D1545">
            <v>16.82</v>
          </cell>
        </row>
        <row r="1546">
          <cell r="D1546">
            <v>16.829999999999998</v>
          </cell>
        </row>
        <row r="1547">
          <cell r="D1547">
            <v>16.84</v>
          </cell>
        </row>
        <row r="1548">
          <cell r="D1548">
            <v>16.850000000000001</v>
          </cell>
        </row>
        <row r="1549">
          <cell r="D1549">
            <v>16.86</v>
          </cell>
        </row>
        <row r="1550">
          <cell r="D1550">
            <v>16.87</v>
          </cell>
        </row>
        <row r="1551">
          <cell r="D1551">
            <v>16.88</v>
          </cell>
        </row>
        <row r="1552">
          <cell r="D1552">
            <v>16.89</v>
          </cell>
        </row>
        <row r="1553">
          <cell r="D1553">
            <v>16.899999999999999</v>
          </cell>
        </row>
        <row r="1554">
          <cell r="D1554">
            <v>16.91</v>
          </cell>
        </row>
        <row r="1555">
          <cell r="D1555">
            <v>16.920000000000002</v>
          </cell>
        </row>
        <row r="1556">
          <cell r="D1556">
            <v>16.93</v>
          </cell>
        </row>
        <row r="1557">
          <cell r="D1557">
            <v>16.940000000000001</v>
          </cell>
        </row>
        <row r="1558">
          <cell r="D1558">
            <v>16.95</v>
          </cell>
        </row>
        <row r="1559">
          <cell r="D1559">
            <v>16.96</v>
          </cell>
        </row>
        <row r="1560">
          <cell r="D1560">
            <v>16.97</v>
          </cell>
        </row>
        <row r="1561">
          <cell r="D1561">
            <v>16.98</v>
          </cell>
        </row>
        <row r="1562">
          <cell r="D1562">
            <v>16.989999999999998</v>
          </cell>
        </row>
        <row r="1563">
          <cell r="D1563">
            <v>17</v>
          </cell>
        </row>
        <row r="1564">
          <cell r="D1564">
            <v>17.010000000000002</v>
          </cell>
        </row>
        <row r="1565">
          <cell r="D1565">
            <v>17.02</v>
          </cell>
        </row>
        <row r="1566">
          <cell r="D1566">
            <v>17.03</v>
          </cell>
        </row>
        <row r="1567">
          <cell r="D1567">
            <v>17.04</v>
          </cell>
        </row>
        <row r="1568">
          <cell r="D1568">
            <v>17.05</v>
          </cell>
        </row>
        <row r="1569">
          <cell r="D1569">
            <v>17.059999999999999</v>
          </cell>
        </row>
        <row r="1570">
          <cell r="D1570">
            <v>17.07</v>
          </cell>
        </row>
        <row r="1571">
          <cell r="D1571">
            <v>17.079999999999998</v>
          </cell>
        </row>
        <row r="1572">
          <cell r="D1572">
            <v>17.09</v>
          </cell>
        </row>
        <row r="1573">
          <cell r="D1573">
            <v>17.100000000000001</v>
          </cell>
        </row>
        <row r="1574">
          <cell r="D1574">
            <v>17.11</v>
          </cell>
        </row>
        <row r="1575">
          <cell r="D1575">
            <v>17.12</v>
          </cell>
        </row>
        <row r="1576">
          <cell r="D1576">
            <v>17.13</v>
          </cell>
        </row>
        <row r="1577">
          <cell r="D1577">
            <v>17.14</v>
          </cell>
        </row>
        <row r="1578">
          <cell r="D1578">
            <v>17.149999999999999</v>
          </cell>
        </row>
        <row r="1579">
          <cell r="D1579">
            <v>17.16</v>
          </cell>
        </row>
        <row r="1580">
          <cell r="D1580">
            <v>17.170000000000002</v>
          </cell>
        </row>
        <row r="1581">
          <cell r="D1581">
            <v>17.18</v>
          </cell>
        </row>
        <row r="1582">
          <cell r="D1582">
            <v>17.190000000000001</v>
          </cell>
        </row>
        <row r="1583">
          <cell r="D1583">
            <v>17.2</v>
          </cell>
        </row>
        <row r="1584">
          <cell r="D1584">
            <v>17.21</v>
          </cell>
        </row>
        <row r="1585">
          <cell r="D1585">
            <v>17.22</v>
          </cell>
        </row>
        <row r="1586">
          <cell r="D1586">
            <v>17.23</v>
          </cell>
        </row>
        <row r="1587">
          <cell r="D1587">
            <v>17.239999999999998</v>
          </cell>
        </row>
        <row r="1588">
          <cell r="D1588">
            <v>17.25</v>
          </cell>
        </row>
        <row r="1589">
          <cell r="D1589">
            <v>17.260000000000002</v>
          </cell>
        </row>
        <row r="1590">
          <cell r="D1590">
            <v>17.27</v>
          </cell>
        </row>
        <row r="1591">
          <cell r="D1591">
            <v>17.28</v>
          </cell>
        </row>
        <row r="1592">
          <cell r="D1592">
            <v>17.29</v>
          </cell>
        </row>
        <row r="1593">
          <cell r="D1593">
            <v>17.3</v>
          </cell>
        </row>
        <row r="1594">
          <cell r="D1594">
            <v>17.309999999999999</v>
          </cell>
        </row>
        <row r="1595">
          <cell r="D1595">
            <v>17.32</v>
          </cell>
        </row>
        <row r="1596">
          <cell r="D1596">
            <v>17.329999999999998</v>
          </cell>
        </row>
        <row r="1597">
          <cell r="D1597">
            <v>17.34</v>
          </cell>
        </row>
        <row r="1598">
          <cell r="D1598">
            <v>17.350000000000001</v>
          </cell>
        </row>
        <row r="1599">
          <cell r="D1599">
            <v>17.36</v>
          </cell>
        </row>
        <row r="1600">
          <cell r="D1600">
            <v>17.37</v>
          </cell>
        </row>
        <row r="1601">
          <cell r="D1601">
            <v>17.38</v>
          </cell>
        </row>
        <row r="1602">
          <cell r="D1602">
            <v>17.39</v>
          </cell>
        </row>
        <row r="1603">
          <cell r="D1603">
            <v>17.399999999999999</v>
          </cell>
        </row>
        <row r="1604">
          <cell r="D1604">
            <v>17.41</v>
          </cell>
        </row>
        <row r="1605">
          <cell r="D1605">
            <v>17.420000000000002</v>
          </cell>
        </row>
        <row r="1606">
          <cell r="D1606">
            <v>17.43</v>
          </cell>
        </row>
        <row r="1607">
          <cell r="D1607">
            <v>17.440000000000001</v>
          </cell>
        </row>
        <row r="1608">
          <cell r="D1608">
            <v>17.45</v>
          </cell>
        </row>
        <row r="1609">
          <cell r="D1609">
            <v>17.46</v>
          </cell>
        </row>
        <row r="1610">
          <cell r="D1610">
            <v>17.47</v>
          </cell>
        </row>
        <row r="1611">
          <cell r="D1611">
            <v>17.48</v>
          </cell>
        </row>
        <row r="1612">
          <cell r="D1612">
            <v>17.489999999999998</v>
          </cell>
        </row>
        <row r="1613">
          <cell r="D1613">
            <v>17.5</v>
          </cell>
        </row>
        <row r="1614">
          <cell r="D1614">
            <v>17.510000000000002</v>
          </cell>
        </row>
        <row r="1615">
          <cell r="D1615">
            <v>17.52</v>
          </cell>
        </row>
        <row r="1616">
          <cell r="D1616">
            <v>17.53</v>
          </cell>
        </row>
        <row r="1617">
          <cell r="D1617">
            <v>17.54</v>
          </cell>
        </row>
        <row r="1618">
          <cell r="D1618">
            <v>17.55</v>
          </cell>
        </row>
        <row r="1619">
          <cell r="D1619">
            <v>17.559999999999999</v>
          </cell>
        </row>
        <row r="1620">
          <cell r="D1620">
            <v>17.57</v>
          </cell>
        </row>
        <row r="1621">
          <cell r="D1621">
            <v>17.579999999999998</v>
          </cell>
        </row>
        <row r="1622">
          <cell r="D1622">
            <v>17.59</v>
          </cell>
        </row>
        <row r="1623">
          <cell r="D1623">
            <v>17.600000000000001</v>
          </cell>
        </row>
        <row r="1624">
          <cell r="D1624">
            <v>17.61</v>
          </cell>
        </row>
        <row r="1625">
          <cell r="D1625">
            <v>17.62</v>
          </cell>
        </row>
        <row r="1626">
          <cell r="D1626">
            <v>17.63</v>
          </cell>
        </row>
        <row r="1627">
          <cell r="D1627">
            <v>17.64</v>
          </cell>
        </row>
        <row r="1628">
          <cell r="D1628">
            <v>17.649999999999999</v>
          </cell>
        </row>
        <row r="1629">
          <cell r="D1629">
            <v>17.66</v>
          </cell>
        </row>
        <row r="1630">
          <cell r="D1630">
            <v>17.670000000000002</v>
          </cell>
        </row>
        <row r="1631">
          <cell r="D1631">
            <v>17.68</v>
          </cell>
        </row>
        <row r="1632">
          <cell r="D1632">
            <v>17.690000000000001</v>
          </cell>
        </row>
        <row r="1633">
          <cell r="D1633">
            <v>17.7</v>
          </cell>
        </row>
        <row r="1634">
          <cell r="D1634">
            <v>17.71</v>
          </cell>
        </row>
        <row r="1635">
          <cell r="D1635">
            <v>17.72</v>
          </cell>
        </row>
        <row r="1636">
          <cell r="D1636">
            <v>17.73</v>
          </cell>
        </row>
        <row r="1637">
          <cell r="D1637">
            <v>17.739999999999998</v>
          </cell>
        </row>
        <row r="1638">
          <cell r="D1638">
            <v>17.75</v>
          </cell>
        </row>
        <row r="1639">
          <cell r="D1639">
            <v>17.760000000000002</v>
          </cell>
        </row>
        <row r="1640">
          <cell r="D1640">
            <v>17.77</v>
          </cell>
        </row>
        <row r="1641">
          <cell r="D1641">
            <v>17.78</v>
          </cell>
        </row>
        <row r="1642">
          <cell r="D1642">
            <v>17.79</v>
          </cell>
        </row>
        <row r="1643">
          <cell r="D1643">
            <v>17.8</v>
          </cell>
        </row>
        <row r="1644">
          <cell r="D1644">
            <v>17.809999999999999</v>
          </cell>
        </row>
        <row r="1645">
          <cell r="D1645">
            <v>17.82</v>
          </cell>
        </row>
        <row r="1646">
          <cell r="D1646">
            <v>17.829999999999998</v>
          </cell>
        </row>
        <row r="1647">
          <cell r="D1647">
            <v>17.84</v>
          </cell>
        </row>
        <row r="1648">
          <cell r="D1648">
            <v>17.850000000000001</v>
          </cell>
        </row>
        <row r="1649">
          <cell r="D1649">
            <v>17.86</v>
          </cell>
        </row>
        <row r="1650">
          <cell r="D1650">
            <v>17.87</v>
          </cell>
        </row>
        <row r="1651">
          <cell r="D1651">
            <v>17.88</v>
          </cell>
        </row>
        <row r="1652">
          <cell r="D1652">
            <v>17.89</v>
          </cell>
        </row>
        <row r="1653">
          <cell r="D1653">
            <v>17.899999999999999</v>
          </cell>
        </row>
        <row r="1654">
          <cell r="D1654">
            <v>17.91</v>
          </cell>
        </row>
        <row r="1655">
          <cell r="D1655">
            <v>17.920000000000002</v>
          </cell>
        </row>
        <row r="1656">
          <cell r="D1656">
            <v>17.93</v>
          </cell>
        </row>
        <row r="1657">
          <cell r="D1657">
            <v>17.940000000000001</v>
          </cell>
        </row>
        <row r="1658">
          <cell r="D1658">
            <v>17.95</v>
          </cell>
        </row>
        <row r="1659">
          <cell r="D1659">
            <v>17.96</v>
          </cell>
        </row>
        <row r="1660">
          <cell r="D1660">
            <v>17.97</v>
          </cell>
        </row>
        <row r="1661">
          <cell r="D1661">
            <v>17.98</v>
          </cell>
        </row>
        <row r="1662">
          <cell r="D1662">
            <v>17.989999999999998</v>
          </cell>
        </row>
        <row r="1663">
          <cell r="D1663">
            <v>18</v>
          </cell>
        </row>
        <row r="1664">
          <cell r="D1664">
            <v>18.010000000000002</v>
          </cell>
        </row>
        <row r="1665">
          <cell r="D1665">
            <v>18.02</v>
          </cell>
        </row>
        <row r="1666">
          <cell r="D1666">
            <v>18.03</v>
          </cell>
        </row>
        <row r="1667">
          <cell r="D1667">
            <v>18.04</v>
          </cell>
        </row>
        <row r="1668">
          <cell r="D1668">
            <v>18.05</v>
          </cell>
        </row>
        <row r="1669">
          <cell r="D1669">
            <v>18.059999999999999</v>
          </cell>
        </row>
        <row r="1670">
          <cell r="D1670">
            <v>18.07</v>
          </cell>
        </row>
        <row r="1671">
          <cell r="D1671">
            <v>18.079999999999998</v>
          </cell>
        </row>
        <row r="1672">
          <cell r="D1672">
            <v>18.09</v>
          </cell>
        </row>
        <row r="1673">
          <cell r="D1673">
            <v>18.100000000000001</v>
          </cell>
        </row>
        <row r="1674">
          <cell r="D1674">
            <v>18.11</v>
          </cell>
        </row>
        <row r="1675">
          <cell r="D1675">
            <v>18.12</v>
          </cell>
        </row>
        <row r="1676">
          <cell r="D1676">
            <v>18.13</v>
          </cell>
        </row>
        <row r="1677">
          <cell r="D1677">
            <v>18.14</v>
          </cell>
        </row>
        <row r="1678">
          <cell r="D1678">
            <v>18.149999999999999</v>
          </cell>
        </row>
        <row r="1679">
          <cell r="D1679">
            <v>18.16</v>
          </cell>
        </row>
        <row r="1680">
          <cell r="D1680">
            <v>18.170000000000002</v>
          </cell>
        </row>
        <row r="1681">
          <cell r="D1681">
            <v>18.18</v>
          </cell>
        </row>
        <row r="1682">
          <cell r="D1682">
            <v>18.190000000000001</v>
          </cell>
        </row>
        <row r="1683">
          <cell r="D1683">
            <v>18.2</v>
          </cell>
        </row>
        <row r="1684">
          <cell r="D1684">
            <v>18.21</v>
          </cell>
        </row>
        <row r="1685">
          <cell r="D1685">
            <v>18.22</v>
          </cell>
        </row>
        <row r="1686">
          <cell r="D1686">
            <v>18.23</v>
          </cell>
        </row>
        <row r="1687">
          <cell r="D1687">
            <v>18.239999999999998</v>
          </cell>
        </row>
        <row r="1688">
          <cell r="D1688">
            <v>18.25</v>
          </cell>
        </row>
        <row r="1689">
          <cell r="D1689">
            <v>18.260000000000002</v>
          </cell>
        </row>
        <row r="1690">
          <cell r="D1690">
            <v>18.27</v>
          </cell>
        </row>
        <row r="1691">
          <cell r="D1691">
            <v>18.28</v>
          </cell>
        </row>
        <row r="1692">
          <cell r="D1692">
            <v>18.29</v>
          </cell>
        </row>
        <row r="1693">
          <cell r="D1693">
            <v>18.3</v>
          </cell>
        </row>
        <row r="1694">
          <cell r="D1694">
            <v>18.309999999999999</v>
          </cell>
        </row>
        <row r="1695">
          <cell r="D1695">
            <v>18.32</v>
          </cell>
        </row>
        <row r="1696">
          <cell r="D1696">
            <v>18.329999999999998</v>
          </cell>
        </row>
        <row r="1697">
          <cell r="D1697">
            <v>18.34</v>
          </cell>
        </row>
        <row r="1698">
          <cell r="D1698">
            <v>18.350000000000001</v>
          </cell>
        </row>
        <row r="1699">
          <cell r="D1699">
            <v>18.36</v>
          </cell>
        </row>
        <row r="1700">
          <cell r="D1700">
            <v>18.37</v>
          </cell>
        </row>
        <row r="1701">
          <cell r="D1701">
            <v>18.38</v>
          </cell>
        </row>
        <row r="1702">
          <cell r="D1702">
            <v>18.39</v>
          </cell>
        </row>
        <row r="1703">
          <cell r="D1703">
            <v>18.399999999999999</v>
          </cell>
        </row>
        <row r="1704">
          <cell r="D1704">
            <v>18.41</v>
          </cell>
        </row>
        <row r="1705">
          <cell r="D1705">
            <v>18.420000000000002</v>
          </cell>
        </row>
        <row r="1706">
          <cell r="D1706">
            <v>18.43</v>
          </cell>
        </row>
        <row r="1707">
          <cell r="D1707">
            <v>18.440000000000001</v>
          </cell>
        </row>
        <row r="1708">
          <cell r="D1708">
            <v>18.45</v>
          </cell>
        </row>
        <row r="1709">
          <cell r="D1709">
            <v>18.46</v>
          </cell>
        </row>
        <row r="1710">
          <cell r="D1710">
            <v>18.47</v>
          </cell>
        </row>
        <row r="1711">
          <cell r="D1711">
            <v>18.48</v>
          </cell>
        </row>
        <row r="1712">
          <cell r="D1712">
            <v>18.489999999999998</v>
          </cell>
        </row>
        <row r="1713">
          <cell r="D1713">
            <v>18.5</v>
          </cell>
        </row>
        <row r="1714">
          <cell r="D1714">
            <v>18.510000000000002</v>
          </cell>
        </row>
        <row r="1715">
          <cell r="D1715">
            <v>18.52</v>
          </cell>
        </row>
        <row r="1716">
          <cell r="D1716">
            <v>18.53</v>
          </cell>
        </row>
        <row r="1717">
          <cell r="D1717">
            <v>18.54</v>
          </cell>
        </row>
        <row r="1718">
          <cell r="D1718">
            <v>18.55</v>
          </cell>
        </row>
        <row r="1719">
          <cell r="D1719">
            <v>18.559999999999999</v>
          </cell>
        </row>
        <row r="1720">
          <cell r="D1720">
            <v>18.57</v>
          </cell>
        </row>
        <row r="1721">
          <cell r="D1721">
            <v>18.579999999999998</v>
          </cell>
        </row>
        <row r="1722">
          <cell r="D1722">
            <v>18.59</v>
          </cell>
        </row>
        <row r="1723">
          <cell r="D1723">
            <v>18.600000000000001</v>
          </cell>
        </row>
        <row r="1724">
          <cell r="D1724">
            <v>18.61</v>
          </cell>
        </row>
        <row r="1725">
          <cell r="D1725">
            <v>18.62</v>
          </cell>
        </row>
        <row r="1726">
          <cell r="D1726">
            <v>18.63</v>
          </cell>
        </row>
        <row r="1727">
          <cell r="D1727">
            <v>18.64</v>
          </cell>
        </row>
        <row r="1728">
          <cell r="D1728">
            <v>18.649999999999999</v>
          </cell>
        </row>
        <row r="1729">
          <cell r="D1729">
            <v>18.66</v>
          </cell>
        </row>
        <row r="1730">
          <cell r="D1730">
            <v>18.670000000000002</v>
          </cell>
        </row>
        <row r="1731">
          <cell r="D1731">
            <v>18.68</v>
          </cell>
        </row>
        <row r="1732">
          <cell r="D1732">
            <v>18.690000000000001</v>
          </cell>
        </row>
        <row r="1733">
          <cell r="D1733">
            <v>18.7</v>
          </cell>
        </row>
        <row r="1734">
          <cell r="D1734">
            <v>18.71</v>
          </cell>
        </row>
        <row r="1735">
          <cell r="D1735">
            <v>18.72</v>
          </cell>
        </row>
        <row r="1736">
          <cell r="D1736">
            <v>18.73</v>
          </cell>
        </row>
        <row r="1737">
          <cell r="D1737">
            <v>18.739999999999998</v>
          </cell>
        </row>
        <row r="1738">
          <cell r="D1738">
            <v>18.75</v>
          </cell>
        </row>
        <row r="1739">
          <cell r="D1739">
            <v>18.760000000000002</v>
          </cell>
        </row>
        <row r="1740">
          <cell r="D1740">
            <v>18.77</v>
          </cell>
        </row>
        <row r="1741">
          <cell r="D1741">
            <v>18.78</v>
          </cell>
        </row>
        <row r="1742">
          <cell r="D1742">
            <v>18.79</v>
          </cell>
        </row>
        <row r="1743">
          <cell r="D1743">
            <v>18.8</v>
          </cell>
        </row>
        <row r="1744">
          <cell r="D1744">
            <v>18.809999999999999</v>
          </cell>
        </row>
        <row r="1745">
          <cell r="D1745">
            <v>18.82</v>
          </cell>
        </row>
        <row r="1746">
          <cell r="D1746">
            <v>18.829999999999998</v>
          </cell>
        </row>
        <row r="1747">
          <cell r="D1747">
            <v>18.84</v>
          </cell>
        </row>
        <row r="1748">
          <cell r="D1748">
            <v>18.850000000000001</v>
          </cell>
        </row>
        <row r="1749">
          <cell r="D1749">
            <v>18.86</v>
          </cell>
        </row>
        <row r="1750">
          <cell r="D1750">
            <v>18.87</v>
          </cell>
        </row>
        <row r="1751">
          <cell r="D1751">
            <v>18.88</v>
          </cell>
        </row>
        <row r="1752">
          <cell r="D1752">
            <v>18.89</v>
          </cell>
        </row>
        <row r="1753">
          <cell r="D1753">
            <v>18.899999999999999</v>
          </cell>
        </row>
        <row r="1754">
          <cell r="D1754">
            <v>18.91</v>
          </cell>
        </row>
        <row r="1755">
          <cell r="D1755">
            <v>18.920000000000002</v>
          </cell>
        </row>
        <row r="1756">
          <cell r="D1756">
            <v>18.93</v>
          </cell>
        </row>
        <row r="1757">
          <cell r="D1757">
            <v>18.940000000000001</v>
          </cell>
        </row>
        <row r="1758">
          <cell r="D1758">
            <v>18.95</v>
          </cell>
        </row>
        <row r="1759">
          <cell r="D1759">
            <v>18.96</v>
          </cell>
        </row>
        <row r="1760">
          <cell r="D1760">
            <v>18.97</v>
          </cell>
        </row>
        <row r="1761">
          <cell r="D1761">
            <v>18.98</v>
          </cell>
        </row>
        <row r="1762">
          <cell r="D1762">
            <v>18.989999999999998</v>
          </cell>
        </row>
        <row r="1763">
          <cell r="D1763">
            <v>19</v>
          </cell>
        </row>
        <row r="1764">
          <cell r="D1764">
            <v>19.010000000000002</v>
          </cell>
        </row>
        <row r="1765">
          <cell r="D1765">
            <v>19.02</v>
          </cell>
        </row>
        <row r="1766">
          <cell r="D1766">
            <v>19.03</v>
          </cell>
        </row>
        <row r="1767">
          <cell r="D1767">
            <v>19.04</v>
          </cell>
        </row>
        <row r="1768">
          <cell r="D1768">
            <v>19.05</v>
          </cell>
        </row>
        <row r="1769">
          <cell r="D1769">
            <v>19.059999999999999</v>
          </cell>
        </row>
        <row r="1770">
          <cell r="D1770">
            <v>19.07</v>
          </cell>
        </row>
        <row r="1771">
          <cell r="D1771">
            <v>19.079999999999998</v>
          </cell>
        </row>
        <row r="1772">
          <cell r="D1772">
            <v>19.09</v>
          </cell>
        </row>
        <row r="1773">
          <cell r="D1773">
            <v>19.100000000000001</v>
          </cell>
        </row>
        <row r="1774">
          <cell r="D1774">
            <v>19.11</v>
          </cell>
        </row>
        <row r="1775">
          <cell r="D1775">
            <v>19.12</v>
          </cell>
        </row>
        <row r="1776">
          <cell r="D1776">
            <v>19.13</v>
          </cell>
        </row>
        <row r="1777">
          <cell r="D1777">
            <v>19.14</v>
          </cell>
        </row>
        <row r="1778">
          <cell r="D1778">
            <v>19.149999999999999</v>
          </cell>
        </row>
        <row r="1779">
          <cell r="D1779">
            <v>19.16</v>
          </cell>
        </row>
        <row r="1780">
          <cell r="D1780">
            <v>19.170000000000002</v>
          </cell>
        </row>
        <row r="1781">
          <cell r="D1781">
            <v>19.18</v>
          </cell>
        </row>
        <row r="1782">
          <cell r="D1782">
            <v>19.190000000000001</v>
          </cell>
        </row>
        <row r="1783">
          <cell r="D1783">
            <v>19.2</v>
          </cell>
        </row>
        <row r="1784">
          <cell r="D1784">
            <v>19.21</v>
          </cell>
        </row>
        <row r="1785">
          <cell r="D1785">
            <v>19.22</v>
          </cell>
        </row>
        <row r="1786">
          <cell r="D1786">
            <v>19.23</v>
          </cell>
        </row>
        <row r="1787">
          <cell r="D1787">
            <v>19.239999999999998</v>
          </cell>
        </row>
        <row r="1788">
          <cell r="D1788">
            <v>19.25</v>
          </cell>
        </row>
        <row r="1789">
          <cell r="D1789">
            <v>19.260000000000002</v>
          </cell>
        </row>
        <row r="1790">
          <cell r="D1790">
            <v>19.27</v>
          </cell>
        </row>
        <row r="1791">
          <cell r="D1791">
            <v>19.28</v>
          </cell>
        </row>
        <row r="1792">
          <cell r="D1792">
            <v>19.29</v>
          </cell>
        </row>
        <row r="1793">
          <cell r="D1793">
            <v>19.3</v>
          </cell>
        </row>
        <row r="1794">
          <cell r="D1794">
            <v>19.309999999999999</v>
          </cell>
        </row>
        <row r="1795">
          <cell r="D1795">
            <v>19.32</v>
          </cell>
        </row>
        <row r="1796">
          <cell r="D1796">
            <v>19.329999999999998</v>
          </cell>
        </row>
        <row r="1797">
          <cell r="D1797">
            <v>19.34</v>
          </cell>
        </row>
        <row r="1798">
          <cell r="D1798">
            <v>19.350000000000001</v>
          </cell>
        </row>
        <row r="1799">
          <cell r="D1799">
            <v>19.36</v>
          </cell>
        </row>
        <row r="1800">
          <cell r="D1800">
            <v>19.37</v>
          </cell>
        </row>
        <row r="1801">
          <cell r="D1801">
            <v>19.38</v>
          </cell>
        </row>
        <row r="1802">
          <cell r="D1802">
            <v>19.39</v>
          </cell>
        </row>
        <row r="1803">
          <cell r="D1803">
            <v>19.399999999999999</v>
          </cell>
        </row>
        <row r="1804">
          <cell r="D1804">
            <v>19.41</v>
          </cell>
        </row>
        <row r="1805">
          <cell r="D1805">
            <v>19.420000000000002</v>
          </cell>
        </row>
        <row r="1806">
          <cell r="D1806">
            <v>19.43</v>
          </cell>
        </row>
        <row r="1807">
          <cell r="D1807">
            <v>19.440000000000001</v>
          </cell>
        </row>
        <row r="1808">
          <cell r="D1808">
            <v>19.45</v>
          </cell>
        </row>
        <row r="1809">
          <cell r="D1809">
            <v>19.46</v>
          </cell>
        </row>
        <row r="1810">
          <cell r="D1810">
            <v>19.47</v>
          </cell>
        </row>
        <row r="1811">
          <cell r="D1811">
            <v>19.48</v>
          </cell>
        </row>
        <row r="1812">
          <cell r="D1812">
            <v>19.489999999999998</v>
          </cell>
        </row>
        <row r="1813">
          <cell r="D1813">
            <v>19.5</v>
          </cell>
        </row>
        <row r="1814">
          <cell r="D1814">
            <v>19.510000000000002</v>
          </cell>
        </row>
        <row r="1815">
          <cell r="D1815">
            <v>19.52</v>
          </cell>
        </row>
        <row r="1816">
          <cell r="D1816">
            <v>19.53</v>
          </cell>
        </row>
        <row r="1817">
          <cell r="D1817">
            <v>19.54</v>
          </cell>
        </row>
        <row r="1818">
          <cell r="D1818">
            <v>19.55</v>
          </cell>
        </row>
        <row r="1819">
          <cell r="D1819">
            <v>19.559999999999999</v>
          </cell>
        </row>
        <row r="1820">
          <cell r="D1820">
            <v>19.57</v>
          </cell>
        </row>
        <row r="1821">
          <cell r="D1821">
            <v>19.579999999999998</v>
          </cell>
        </row>
        <row r="1822">
          <cell r="D1822">
            <v>19.59</v>
          </cell>
        </row>
        <row r="1823">
          <cell r="D1823">
            <v>19.600000000000001</v>
          </cell>
        </row>
        <row r="1824">
          <cell r="D1824">
            <v>19.61</v>
          </cell>
        </row>
        <row r="1825">
          <cell r="D1825">
            <v>19.62</v>
          </cell>
        </row>
        <row r="1826">
          <cell r="D1826">
            <v>19.63</v>
          </cell>
        </row>
        <row r="1827">
          <cell r="D1827">
            <v>19.64</v>
          </cell>
        </row>
        <row r="1828">
          <cell r="D1828">
            <v>19.649999999999999</v>
          </cell>
        </row>
        <row r="1829">
          <cell r="D1829">
            <v>19.66</v>
          </cell>
        </row>
        <row r="1830">
          <cell r="D1830">
            <v>19.670000000000002</v>
          </cell>
        </row>
        <row r="1831">
          <cell r="D1831">
            <v>19.68</v>
          </cell>
        </row>
        <row r="1832">
          <cell r="D1832">
            <v>19.690000000000001</v>
          </cell>
        </row>
        <row r="1833">
          <cell r="D1833">
            <v>19.7</v>
          </cell>
        </row>
        <row r="1834">
          <cell r="D1834">
            <v>19.71</v>
          </cell>
        </row>
        <row r="1835">
          <cell r="D1835">
            <v>19.72</v>
          </cell>
        </row>
        <row r="1836">
          <cell r="D1836">
            <v>19.73</v>
          </cell>
        </row>
        <row r="1837">
          <cell r="D1837">
            <v>19.739999999999998</v>
          </cell>
        </row>
        <row r="1838">
          <cell r="D1838">
            <v>19.75</v>
          </cell>
        </row>
        <row r="1839">
          <cell r="D1839">
            <v>19.760000000000002</v>
          </cell>
        </row>
        <row r="1840">
          <cell r="D1840">
            <v>19.77</v>
          </cell>
        </row>
        <row r="1841">
          <cell r="D1841">
            <v>19.78</v>
          </cell>
        </row>
        <row r="1842">
          <cell r="D1842">
            <v>19.79</v>
          </cell>
        </row>
        <row r="1843">
          <cell r="D1843">
            <v>19.8</v>
          </cell>
        </row>
        <row r="1844">
          <cell r="D1844">
            <v>19.809999999999999</v>
          </cell>
        </row>
        <row r="1845">
          <cell r="D1845">
            <v>19.82</v>
          </cell>
        </row>
        <row r="1846">
          <cell r="D1846">
            <v>19.829999999999998</v>
          </cell>
        </row>
        <row r="1847">
          <cell r="D1847">
            <v>19.84</v>
          </cell>
        </row>
        <row r="1848">
          <cell r="D1848">
            <v>19.850000000000001</v>
          </cell>
        </row>
        <row r="1849">
          <cell r="D1849">
            <v>19.86</v>
          </cell>
        </row>
        <row r="1850">
          <cell r="D1850">
            <v>19.87</v>
          </cell>
        </row>
        <row r="1851">
          <cell r="D1851">
            <v>19.88</v>
          </cell>
        </row>
        <row r="1852">
          <cell r="D1852">
            <v>19.89</v>
          </cell>
        </row>
        <row r="1853">
          <cell r="D1853">
            <v>19.899999999999999</v>
          </cell>
        </row>
        <row r="1854">
          <cell r="D1854">
            <v>19.91</v>
          </cell>
        </row>
        <row r="1855">
          <cell r="D1855">
            <v>19.920000000000002</v>
          </cell>
        </row>
        <row r="1856">
          <cell r="D1856">
            <v>19.93</v>
          </cell>
        </row>
        <row r="1857">
          <cell r="D1857">
            <v>19.940000000000001</v>
          </cell>
        </row>
        <row r="1858">
          <cell r="D1858">
            <v>19.95</v>
          </cell>
        </row>
        <row r="1859">
          <cell r="D1859">
            <v>19.96</v>
          </cell>
        </row>
        <row r="1860">
          <cell r="D1860">
            <v>19.97</v>
          </cell>
        </row>
        <row r="1861">
          <cell r="D1861">
            <v>19.98</v>
          </cell>
        </row>
        <row r="1862">
          <cell r="D1862">
            <v>19.989999999999998</v>
          </cell>
        </row>
        <row r="1863">
          <cell r="D1863">
            <v>20</v>
          </cell>
        </row>
        <row r="1864">
          <cell r="D1864">
            <v>20.010000000000002</v>
          </cell>
        </row>
        <row r="1865">
          <cell r="D1865">
            <v>20.02</v>
          </cell>
        </row>
        <row r="1866">
          <cell r="D1866">
            <v>20.03</v>
          </cell>
        </row>
        <row r="1867">
          <cell r="D1867">
            <v>20.04</v>
          </cell>
        </row>
        <row r="1868">
          <cell r="D1868">
            <v>20.05</v>
          </cell>
        </row>
        <row r="1869">
          <cell r="D1869">
            <v>20.059999999999999</v>
          </cell>
        </row>
        <row r="1870">
          <cell r="D1870">
            <v>20.07</v>
          </cell>
        </row>
        <row r="1871">
          <cell r="D1871">
            <v>20.079999999999998</v>
          </cell>
        </row>
        <row r="1872">
          <cell r="D1872">
            <v>20.09</v>
          </cell>
        </row>
        <row r="1873">
          <cell r="D1873">
            <v>20.100000000000001</v>
          </cell>
        </row>
        <row r="1874">
          <cell r="D1874">
            <v>20.11</v>
          </cell>
        </row>
        <row r="1875">
          <cell r="D1875">
            <v>20.12</v>
          </cell>
        </row>
        <row r="1876">
          <cell r="D1876">
            <v>20.13</v>
          </cell>
        </row>
        <row r="1877">
          <cell r="D1877">
            <v>20.14</v>
          </cell>
        </row>
        <row r="1878">
          <cell r="D1878">
            <v>20.149999999999999</v>
          </cell>
        </row>
        <row r="1879">
          <cell r="D1879">
            <v>20.16</v>
          </cell>
        </row>
        <row r="1880">
          <cell r="D1880">
            <v>20.170000000000002</v>
          </cell>
        </row>
        <row r="1881">
          <cell r="D1881">
            <v>20.18</v>
          </cell>
        </row>
        <row r="1882">
          <cell r="D1882">
            <v>20.190000000000001</v>
          </cell>
        </row>
        <row r="1883">
          <cell r="D1883">
            <v>20.2</v>
          </cell>
        </row>
        <row r="1884">
          <cell r="D1884">
            <v>20.21</v>
          </cell>
        </row>
        <row r="1885">
          <cell r="D1885">
            <v>20.22</v>
          </cell>
        </row>
        <row r="1886">
          <cell r="D1886">
            <v>20.23</v>
          </cell>
        </row>
        <row r="1887">
          <cell r="D1887">
            <v>20.239999999999998</v>
          </cell>
        </row>
        <row r="1888">
          <cell r="D1888">
            <v>20.25</v>
          </cell>
        </row>
        <row r="1889">
          <cell r="D1889">
            <v>20.260000000000002</v>
          </cell>
        </row>
        <row r="1890">
          <cell r="D1890">
            <v>20.27</v>
          </cell>
        </row>
        <row r="1891">
          <cell r="D1891">
            <v>20.28</v>
          </cell>
        </row>
        <row r="1892">
          <cell r="D1892">
            <v>20.29</v>
          </cell>
        </row>
        <row r="1893">
          <cell r="D1893">
            <v>20.3</v>
          </cell>
        </row>
        <row r="1894">
          <cell r="D1894">
            <v>20.309999999999999</v>
          </cell>
        </row>
        <row r="1895">
          <cell r="D1895">
            <v>20.32</v>
          </cell>
        </row>
        <row r="1896">
          <cell r="D1896">
            <v>20.329999999999998</v>
          </cell>
        </row>
        <row r="1897">
          <cell r="D1897">
            <v>20.34</v>
          </cell>
        </row>
        <row r="1898">
          <cell r="D1898">
            <v>20.350000000000001</v>
          </cell>
        </row>
        <row r="1899">
          <cell r="D1899">
            <v>20.36</v>
          </cell>
        </row>
        <row r="1900">
          <cell r="D1900">
            <v>20.37</v>
          </cell>
        </row>
        <row r="1901">
          <cell r="D1901">
            <v>20.38</v>
          </cell>
        </row>
        <row r="1902">
          <cell r="D1902">
            <v>20.39</v>
          </cell>
        </row>
        <row r="1903">
          <cell r="D1903">
            <v>20.399999999999999</v>
          </cell>
        </row>
        <row r="1904">
          <cell r="D1904">
            <v>20.41</v>
          </cell>
        </row>
        <row r="1905">
          <cell r="D1905">
            <v>20.420000000000002</v>
          </cell>
        </row>
        <row r="1906">
          <cell r="D1906">
            <v>20.43</v>
          </cell>
        </row>
        <row r="1907">
          <cell r="D1907">
            <v>20.440000000000001</v>
          </cell>
        </row>
        <row r="1908">
          <cell r="D1908">
            <v>20.45</v>
          </cell>
        </row>
        <row r="1909">
          <cell r="D1909">
            <v>20.46</v>
          </cell>
        </row>
        <row r="1910">
          <cell r="D1910">
            <v>20.47</v>
          </cell>
        </row>
        <row r="1911">
          <cell r="D1911">
            <v>20.48</v>
          </cell>
        </row>
        <row r="1912">
          <cell r="D1912">
            <v>20.49</v>
          </cell>
        </row>
        <row r="1913">
          <cell r="D1913">
            <v>20.5</v>
          </cell>
        </row>
        <row r="1914">
          <cell r="D1914">
            <v>20.51</v>
          </cell>
        </row>
        <row r="1915">
          <cell r="D1915">
            <v>20.52</v>
          </cell>
        </row>
        <row r="1916">
          <cell r="D1916">
            <v>20.53</v>
          </cell>
        </row>
        <row r="1917">
          <cell r="D1917">
            <v>20.54</v>
          </cell>
        </row>
        <row r="1918">
          <cell r="D1918">
            <v>20.55</v>
          </cell>
        </row>
        <row r="1919">
          <cell r="D1919">
            <v>20.56</v>
          </cell>
        </row>
        <row r="1920">
          <cell r="D1920">
            <v>20.57</v>
          </cell>
        </row>
        <row r="1921">
          <cell r="D1921">
            <v>20.58</v>
          </cell>
        </row>
        <row r="1922">
          <cell r="D1922">
            <v>20.59</v>
          </cell>
        </row>
        <row r="1923">
          <cell r="D1923">
            <v>20.6</v>
          </cell>
        </row>
        <row r="1924">
          <cell r="D1924">
            <v>20.61</v>
          </cell>
        </row>
        <row r="1925">
          <cell r="D1925">
            <v>20.62</v>
          </cell>
        </row>
        <row r="1926">
          <cell r="D1926">
            <v>20.63</v>
          </cell>
        </row>
        <row r="1927">
          <cell r="D1927">
            <v>20.64</v>
          </cell>
        </row>
        <row r="1928">
          <cell r="D1928">
            <v>20.65</v>
          </cell>
        </row>
        <row r="1929">
          <cell r="D1929">
            <v>20.66</v>
          </cell>
        </row>
        <row r="1930">
          <cell r="D1930">
            <v>20.67</v>
          </cell>
        </row>
        <row r="1931">
          <cell r="D1931">
            <v>20.68</v>
          </cell>
        </row>
        <row r="1932">
          <cell r="D1932">
            <v>20.69</v>
          </cell>
        </row>
        <row r="1933">
          <cell r="D1933">
            <v>20.7</v>
          </cell>
        </row>
        <row r="1934">
          <cell r="D1934">
            <v>20.71</v>
          </cell>
        </row>
        <row r="1935">
          <cell r="D1935">
            <v>20.72</v>
          </cell>
        </row>
        <row r="1936">
          <cell r="D1936">
            <v>20.73</v>
          </cell>
        </row>
        <row r="1937">
          <cell r="D1937">
            <v>20.74</v>
          </cell>
        </row>
        <row r="1938">
          <cell r="D1938">
            <v>20.75</v>
          </cell>
        </row>
        <row r="1939">
          <cell r="D1939">
            <v>20.76</v>
          </cell>
        </row>
        <row r="1940">
          <cell r="D1940">
            <v>20.77</v>
          </cell>
        </row>
        <row r="1941">
          <cell r="D1941">
            <v>20.78</v>
          </cell>
        </row>
        <row r="1942">
          <cell r="D1942">
            <v>20.79</v>
          </cell>
        </row>
        <row r="1943">
          <cell r="D1943">
            <v>20.8</v>
          </cell>
        </row>
        <row r="1944">
          <cell r="D1944">
            <v>20.81</v>
          </cell>
        </row>
        <row r="1945">
          <cell r="D1945">
            <v>20.82</v>
          </cell>
        </row>
        <row r="1946">
          <cell r="D1946">
            <v>20.83</v>
          </cell>
        </row>
        <row r="1947">
          <cell r="D1947">
            <v>20.84</v>
          </cell>
        </row>
        <row r="1948">
          <cell r="D1948">
            <v>20.85</v>
          </cell>
        </row>
        <row r="1949">
          <cell r="D1949">
            <v>20.86</v>
          </cell>
        </row>
        <row r="1950">
          <cell r="D1950">
            <v>20.87</v>
          </cell>
        </row>
        <row r="1951">
          <cell r="D1951">
            <v>20.88</v>
          </cell>
        </row>
        <row r="1952">
          <cell r="D1952">
            <v>20.89</v>
          </cell>
        </row>
        <row r="1953">
          <cell r="D1953">
            <v>20.9</v>
          </cell>
        </row>
        <row r="1954">
          <cell r="D1954">
            <v>20.91</v>
          </cell>
        </row>
        <row r="1955">
          <cell r="D1955">
            <v>20.92</v>
          </cell>
        </row>
        <row r="1956">
          <cell r="D1956">
            <v>20.93</v>
          </cell>
        </row>
        <row r="1957">
          <cell r="D1957">
            <v>20.94</v>
          </cell>
        </row>
        <row r="1958">
          <cell r="D1958">
            <v>20.95</v>
          </cell>
        </row>
        <row r="1959">
          <cell r="D1959">
            <v>20.96</v>
          </cell>
        </row>
        <row r="1960">
          <cell r="D1960">
            <v>20.97</v>
          </cell>
        </row>
        <row r="1961">
          <cell r="D1961">
            <v>20.98</v>
          </cell>
        </row>
        <row r="1962">
          <cell r="D1962">
            <v>20.99</v>
          </cell>
        </row>
        <row r="1963">
          <cell r="D1963">
            <v>21</v>
          </cell>
        </row>
        <row r="1964">
          <cell r="D1964">
            <v>21.01</v>
          </cell>
        </row>
        <row r="1965">
          <cell r="D1965">
            <v>21.02</v>
          </cell>
        </row>
        <row r="1966">
          <cell r="D1966">
            <v>21.03</v>
          </cell>
        </row>
        <row r="1967">
          <cell r="D1967">
            <v>21.04</v>
          </cell>
        </row>
        <row r="1968">
          <cell r="D1968">
            <v>21.05</v>
          </cell>
        </row>
        <row r="1969">
          <cell r="D1969">
            <v>21.06</v>
          </cell>
        </row>
        <row r="1970">
          <cell r="D1970">
            <v>21.07</v>
          </cell>
        </row>
        <row r="1971">
          <cell r="D1971">
            <v>21.08</v>
          </cell>
        </row>
        <row r="1972">
          <cell r="D1972">
            <v>21.09</v>
          </cell>
        </row>
        <row r="1973">
          <cell r="D1973">
            <v>21.1</v>
          </cell>
        </row>
        <row r="1974">
          <cell r="D1974">
            <v>21.11</v>
          </cell>
        </row>
        <row r="1975">
          <cell r="D1975">
            <v>21.12</v>
          </cell>
        </row>
        <row r="1976">
          <cell r="D1976">
            <v>21.13</v>
          </cell>
        </row>
        <row r="1977">
          <cell r="D1977">
            <v>21.14</v>
          </cell>
        </row>
        <row r="1978">
          <cell r="D1978">
            <v>21.15</v>
          </cell>
        </row>
        <row r="1979">
          <cell r="D1979">
            <v>21.16</v>
          </cell>
        </row>
        <row r="1980">
          <cell r="D1980">
            <v>21.17</v>
          </cell>
        </row>
        <row r="1981">
          <cell r="D1981">
            <v>21.18</v>
          </cell>
        </row>
        <row r="1982">
          <cell r="D1982">
            <v>21.19</v>
          </cell>
        </row>
        <row r="1983">
          <cell r="D1983">
            <v>21.2</v>
          </cell>
        </row>
        <row r="1984">
          <cell r="D1984">
            <v>21.21</v>
          </cell>
        </row>
        <row r="1985">
          <cell r="D1985">
            <v>21.22</v>
          </cell>
        </row>
        <row r="1986">
          <cell r="D1986">
            <v>21.23</v>
          </cell>
        </row>
        <row r="1987">
          <cell r="D1987">
            <v>21.24</v>
          </cell>
        </row>
        <row r="1988">
          <cell r="D1988">
            <v>21.25</v>
          </cell>
        </row>
        <row r="1989">
          <cell r="D1989">
            <v>21.26</v>
          </cell>
        </row>
        <row r="1990">
          <cell r="D1990">
            <v>21.27</v>
          </cell>
        </row>
        <row r="1991">
          <cell r="D1991">
            <v>21.28</v>
          </cell>
        </row>
        <row r="1992">
          <cell r="D1992">
            <v>21.29</v>
          </cell>
        </row>
        <row r="1993">
          <cell r="D1993">
            <v>21.3</v>
          </cell>
        </row>
        <row r="1994">
          <cell r="D1994">
            <v>21.31</v>
          </cell>
        </row>
        <row r="1995">
          <cell r="D1995">
            <v>21.32</v>
          </cell>
        </row>
        <row r="1996">
          <cell r="D1996">
            <v>21.33</v>
          </cell>
        </row>
        <row r="1997">
          <cell r="D1997">
            <v>21.34</v>
          </cell>
        </row>
        <row r="1998">
          <cell r="D1998">
            <v>21.35</v>
          </cell>
        </row>
        <row r="1999">
          <cell r="D1999">
            <v>21.36</v>
          </cell>
        </row>
        <row r="2000">
          <cell r="D2000">
            <v>21.37</v>
          </cell>
        </row>
        <row r="2001">
          <cell r="D2001">
            <v>21.38</v>
          </cell>
        </row>
        <row r="2002">
          <cell r="D2002">
            <v>21.39</v>
          </cell>
        </row>
        <row r="2003">
          <cell r="D2003">
            <v>21.4</v>
          </cell>
        </row>
        <row r="2004">
          <cell r="D2004">
            <v>21.41</v>
          </cell>
        </row>
        <row r="2005">
          <cell r="D2005">
            <v>21.42</v>
          </cell>
        </row>
        <row r="2006">
          <cell r="D2006">
            <v>21.43</v>
          </cell>
        </row>
        <row r="2007">
          <cell r="D2007">
            <v>21.44</v>
          </cell>
        </row>
        <row r="2008">
          <cell r="D2008">
            <v>21.45</v>
          </cell>
        </row>
        <row r="2009">
          <cell r="D2009">
            <v>21.46</v>
          </cell>
        </row>
        <row r="2010">
          <cell r="D2010">
            <v>21.47</v>
          </cell>
        </row>
        <row r="2011">
          <cell r="D2011">
            <v>21.48</v>
          </cell>
        </row>
        <row r="2012">
          <cell r="D2012">
            <v>21.49</v>
          </cell>
        </row>
        <row r="2013">
          <cell r="D2013">
            <v>21.5</v>
          </cell>
        </row>
        <row r="2014">
          <cell r="D2014">
            <v>21.51</v>
          </cell>
        </row>
        <row r="2015">
          <cell r="D2015">
            <v>21.52</v>
          </cell>
        </row>
        <row r="2016">
          <cell r="D2016">
            <v>21.53</v>
          </cell>
        </row>
        <row r="2017">
          <cell r="D2017">
            <v>21.54</v>
          </cell>
        </row>
        <row r="2018">
          <cell r="D2018">
            <v>21.55</v>
          </cell>
        </row>
        <row r="2019">
          <cell r="D2019">
            <v>21.56</v>
          </cell>
        </row>
        <row r="2020">
          <cell r="D2020">
            <v>21.57</v>
          </cell>
        </row>
        <row r="2021">
          <cell r="D2021">
            <v>21.58</v>
          </cell>
        </row>
        <row r="2022">
          <cell r="D2022">
            <v>21.59</v>
          </cell>
        </row>
        <row r="2023">
          <cell r="D2023">
            <v>21.6</v>
          </cell>
        </row>
        <row r="2024">
          <cell r="D2024">
            <v>21.61</v>
          </cell>
        </row>
        <row r="2025">
          <cell r="D2025">
            <v>21.62</v>
          </cell>
        </row>
        <row r="2026">
          <cell r="D2026">
            <v>21.63</v>
          </cell>
        </row>
        <row r="2027">
          <cell r="D2027">
            <v>21.64</v>
          </cell>
        </row>
        <row r="2028">
          <cell r="D2028">
            <v>21.65</v>
          </cell>
        </row>
        <row r="2029">
          <cell r="D2029">
            <v>21.66</v>
          </cell>
        </row>
        <row r="2030">
          <cell r="D2030">
            <v>21.67</v>
          </cell>
        </row>
        <row r="2031">
          <cell r="D2031">
            <v>21.68</v>
          </cell>
        </row>
        <row r="2032">
          <cell r="D2032">
            <v>21.69</v>
          </cell>
        </row>
        <row r="2033">
          <cell r="D2033">
            <v>21.7</v>
          </cell>
        </row>
        <row r="2034">
          <cell r="D2034">
            <v>21.71</v>
          </cell>
        </row>
        <row r="2035">
          <cell r="D2035">
            <v>21.72</v>
          </cell>
        </row>
        <row r="2036">
          <cell r="D2036">
            <v>21.73</v>
          </cell>
        </row>
        <row r="2037">
          <cell r="D2037">
            <v>21.74</v>
          </cell>
        </row>
        <row r="2038">
          <cell r="D2038">
            <v>21.75</v>
          </cell>
        </row>
        <row r="2039">
          <cell r="D2039">
            <v>21.76</v>
          </cell>
        </row>
        <row r="2040">
          <cell r="D2040">
            <v>21.77</v>
          </cell>
        </row>
        <row r="2041">
          <cell r="D2041">
            <v>21.78</v>
          </cell>
        </row>
        <row r="2042">
          <cell r="D2042">
            <v>21.79</v>
          </cell>
        </row>
        <row r="2043">
          <cell r="D2043">
            <v>21.8</v>
          </cell>
        </row>
        <row r="2044">
          <cell r="D2044">
            <v>21.81</v>
          </cell>
        </row>
        <row r="2045">
          <cell r="D2045">
            <v>21.82</v>
          </cell>
        </row>
        <row r="2046">
          <cell r="D2046">
            <v>21.83</v>
          </cell>
        </row>
        <row r="2047">
          <cell r="D2047">
            <v>21.84</v>
          </cell>
        </row>
        <row r="2048">
          <cell r="D2048">
            <v>21.85</v>
          </cell>
        </row>
        <row r="2049">
          <cell r="D2049">
            <v>21.86</v>
          </cell>
        </row>
        <row r="2050">
          <cell r="D2050">
            <v>21.87</v>
          </cell>
        </row>
        <row r="2051">
          <cell r="D2051">
            <v>21.88</v>
          </cell>
        </row>
        <row r="2052">
          <cell r="D2052">
            <v>21.89</v>
          </cell>
        </row>
        <row r="2053">
          <cell r="D2053">
            <v>21.9</v>
          </cell>
        </row>
        <row r="2054">
          <cell r="D2054">
            <v>21.91</v>
          </cell>
        </row>
        <row r="2055">
          <cell r="D2055">
            <v>21.92</v>
          </cell>
        </row>
        <row r="2056">
          <cell r="D2056">
            <v>21.93</v>
          </cell>
        </row>
        <row r="2057">
          <cell r="D2057">
            <v>21.94</v>
          </cell>
        </row>
        <row r="2058">
          <cell r="D2058">
            <v>21.95</v>
          </cell>
        </row>
        <row r="2059">
          <cell r="D2059">
            <v>21.96</v>
          </cell>
        </row>
        <row r="2060">
          <cell r="D2060">
            <v>21.97</v>
          </cell>
        </row>
        <row r="2061">
          <cell r="D2061">
            <v>21.98</v>
          </cell>
        </row>
        <row r="2062">
          <cell r="D2062">
            <v>21.99</v>
          </cell>
        </row>
        <row r="2063">
          <cell r="D2063">
            <v>22</v>
          </cell>
        </row>
        <row r="2064">
          <cell r="D2064">
            <v>22.01</v>
          </cell>
        </row>
        <row r="2065">
          <cell r="D2065">
            <v>22.02</v>
          </cell>
        </row>
        <row r="2066">
          <cell r="D2066">
            <v>22.03</v>
          </cell>
        </row>
        <row r="2067">
          <cell r="D2067">
            <v>22.04</v>
          </cell>
        </row>
        <row r="2068">
          <cell r="D2068">
            <v>22.05</v>
          </cell>
        </row>
        <row r="2069">
          <cell r="D2069">
            <v>22.06</v>
          </cell>
        </row>
        <row r="2070">
          <cell r="D2070">
            <v>22.07</v>
          </cell>
        </row>
        <row r="2071">
          <cell r="D2071">
            <v>22.08</v>
          </cell>
        </row>
        <row r="2072">
          <cell r="D2072">
            <v>22.09</v>
          </cell>
        </row>
        <row r="2073">
          <cell r="D2073">
            <v>22.1</v>
          </cell>
        </row>
        <row r="2074">
          <cell r="D2074">
            <v>22.11</v>
          </cell>
        </row>
        <row r="2075">
          <cell r="D2075">
            <v>22.12</v>
          </cell>
        </row>
        <row r="2076">
          <cell r="D2076">
            <v>22.13</v>
          </cell>
        </row>
        <row r="2077">
          <cell r="D2077">
            <v>22.14</v>
          </cell>
        </row>
        <row r="2078">
          <cell r="D2078">
            <v>22.15</v>
          </cell>
        </row>
        <row r="2079">
          <cell r="D2079">
            <v>22.16</v>
          </cell>
        </row>
        <row r="2080">
          <cell r="D2080">
            <v>22.17</v>
          </cell>
        </row>
        <row r="2081">
          <cell r="D2081">
            <v>22.18</v>
          </cell>
        </row>
        <row r="2082">
          <cell r="D2082">
            <v>22.19</v>
          </cell>
        </row>
        <row r="2083">
          <cell r="D2083">
            <v>22.2</v>
          </cell>
        </row>
        <row r="2084">
          <cell r="D2084">
            <v>22.21</v>
          </cell>
        </row>
        <row r="2085">
          <cell r="D2085">
            <v>22.22</v>
          </cell>
        </row>
        <row r="2086">
          <cell r="D2086">
            <v>22.23</v>
          </cell>
        </row>
        <row r="2087">
          <cell r="D2087">
            <v>22.24</v>
          </cell>
        </row>
        <row r="2088">
          <cell r="D2088">
            <v>22.25</v>
          </cell>
        </row>
        <row r="2089">
          <cell r="D2089">
            <v>22.26</v>
          </cell>
        </row>
        <row r="2090">
          <cell r="D2090">
            <v>22.27</v>
          </cell>
        </row>
        <row r="2091">
          <cell r="D2091">
            <v>22.28</v>
          </cell>
        </row>
        <row r="2092">
          <cell r="D2092">
            <v>22.29</v>
          </cell>
        </row>
        <row r="2093">
          <cell r="D2093">
            <v>22.3</v>
          </cell>
        </row>
        <row r="2094">
          <cell r="D2094">
            <v>22.31</v>
          </cell>
        </row>
        <row r="2095">
          <cell r="D2095">
            <v>22.32</v>
          </cell>
        </row>
        <row r="2096">
          <cell r="D2096">
            <v>22.33</v>
          </cell>
        </row>
        <row r="2097">
          <cell r="D2097">
            <v>22.34</v>
          </cell>
        </row>
        <row r="2098">
          <cell r="D2098">
            <v>22.35</v>
          </cell>
        </row>
        <row r="2099">
          <cell r="D2099">
            <v>22.36</v>
          </cell>
        </row>
        <row r="2100">
          <cell r="D2100">
            <v>22.37</v>
          </cell>
        </row>
        <row r="2101">
          <cell r="D2101">
            <v>22.38</v>
          </cell>
        </row>
        <row r="2102">
          <cell r="D2102">
            <v>22.39</v>
          </cell>
        </row>
        <row r="2103">
          <cell r="D2103">
            <v>22.4</v>
          </cell>
        </row>
        <row r="2104">
          <cell r="D2104">
            <v>22.41</v>
          </cell>
        </row>
        <row r="2105">
          <cell r="D2105">
            <v>22.42</v>
          </cell>
        </row>
        <row r="2106">
          <cell r="D2106">
            <v>22.43</v>
          </cell>
        </row>
        <row r="2107">
          <cell r="D2107">
            <v>22.44</v>
          </cell>
        </row>
        <row r="2108">
          <cell r="D2108">
            <v>22.45</v>
          </cell>
        </row>
        <row r="2109">
          <cell r="D2109">
            <v>22.46</v>
          </cell>
        </row>
        <row r="2110">
          <cell r="D2110">
            <v>22.47</v>
          </cell>
        </row>
        <row r="2111">
          <cell r="D2111">
            <v>22.48</v>
          </cell>
        </row>
        <row r="2112">
          <cell r="D2112">
            <v>22.49</v>
          </cell>
        </row>
        <row r="2113">
          <cell r="D2113">
            <v>22.5</v>
          </cell>
        </row>
        <row r="2114">
          <cell r="D2114">
            <v>22.51</v>
          </cell>
        </row>
        <row r="2115">
          <cell r="D2115">
            <v>22.52</v>
          </cell>
        </row>
        <row r="2116">
          <cell r="D2116">
            <v>22.53</v>
          </cell>
        </row>
        <row r="2117">
          <cell r="D2117">
            <v>22.54</v>
          </cell>
        </row>
        <row r="2118">
          <cell r="D2118">
            <v>22.55</v>
          </cell>
        </row>
        <row r="2119">
          <cell r="D2119">
            <v>22.56</v>
          </cell>
        </row>
        <row r="2120">
          <cell r="D2120">
            <v>22.57</v>
          </cell>
        </row>
        <row r="2121">
          <cell r="D2121">
            <v>22.58</v>
          </cell>
        </row>
        <row r="2122">
          <cell r="D2122">
            <v>22.59</v>
          </cell>
        </row>
        <row r="2123">
          <cell r="D2123">
            <v>22.6</v>
          </cell>
        </row>
        <row r="2124">
          <cell r="D2124">
            <v>22.61</v>
          </cell>
        </row>
        <row r="2125">
          <cell r="D2125">
            <v>22.62</v>
          </cell>
        </row>
        <row r="2126">
          <cell r="D2126">
            <v>22.63</v>
          </cell>
        </row>
        <row r="2127">
          <cell r="D2127">
            <v>22.64</v>
          </cell>
        </row>
        <row r="2128">
          <cell r="D2128">
            <v>22.65</v>
          </cell>
        </row>
        <row r="2129">
          <cell r="D2129">
            <v>22.66</v>
          </cell>
        </row>
        <row r="2130">
          <cell r="D2130">
            <v>22.67</v>
          </cell>
        </row>
        <row r="2131">
          <cell r="D2131">
            <v>22.68</v>
          </cell>
        </row>
        <row r="2132">
          <cell r="D2132">
            <v>22.69</v>
          </cell>
        </row>
        <row r="2133">
          <cell r="D2133">
            <v>22.7</v>
          </cell>
        </row>
        <row r="2134">
          <cell r="D2134">
            <v>22.71</v>
          </cell>
        </row>
        <row r="2135">
          <cell r="D2135">
            <v>22.72</v>
          </cell>
        </row>
        <row r="2136">
          <cell r="D2136">
            <v>22.73</v>
          </cell>
        </row>
        <row r="2137">
          <cell r="D2137">
            <v>22.74</v>
          </cell>
        </row>
        <row r="2138">
          <cell r="D2138">
            <v>22.75</v>
          </cell>
        </row>
        <row r="2139">
          <cell r="D2139">
            <v>22.76</v>
          </cell>
        </row>
        <row r="2140">
          <cell r="D2140">
            <v>22.77</v>
          </cell>
        </row>
        <row r="2141">
          <cell r="D2141">
            <v>22.78</v>
          </cell>
        </row>
        <row r="2142">
          <cell r="D2142">
            <v>22.79</v>
          </cell>
        </row>
        <row r="2143">
          <cell r="D2143">
            <v>22.8</v>
          </cell>
        </row>
        <row r="2144">
          <cell r="D2144">
            <v>22.81</v>
          </cell>
        </row>
        <row r="2145">
          <cell r="D2145">
            <v>22.82</v>
          </cell>
        </row>
        <row r="2146">
          <cell r="D2146">
            <v>22.83</v>
          </cell>
        </row>
        <row r="2147">
          <cell r="D2147">
            <v>22.84</v>
          </cell>
        </row>
        <row r="2148">
          <cell r="D2148">
            <v>22.85</v>
          </cell>
        </row>
        <row r="2149">
          <cell r="D2149">
            <v>22.86</v>
          </cell>
        </row>
        <row r="2150">
          <cell r="D2150">
            <v>22.87</v>
          </cell>
        </row>
        <row r="2151">
          <cell r="D2151">
            <v>22.88</v>
          </cell>
        </row>
        <row r="2152">
          <cell r="D2152">
            <v>22.89</v>
          </cell>
        </row>
        <row r="2153">
          <cell r="D2153">
            <v>22.9</v>
          </cell>
        </row>
        <row r="2154">
          <cell r="D2154">
            <v>22.91</v>
          </cell>
        </row>
        <row r="2155">
          <cell r="D2155">
            <v>22.92</v>
          </cell>
        </row>
        <row r="2156">
          <cell r="D2156">
            <v>22.93</v>
          </cell>
        </row>
        <row r="2157">
          <cell r="D2157">
            <v>22.94</v>
          </cell>
        </row>
        <row r="2158">
          <cell r="D2158">
            <v>22.95</v>
          </cell>
        </row>
        <row r="2159">
          <cell r="D2159">
            <v>22.96</v>
          </cell>
        </row>
        <row r="2160">
          <cell r="D2160">
            <v>22.97</v>
          </cell>
        </row>
        <row r="2161">
          <cell r="D2161">
            <v>22.98</v>
          </cell>
        </row>
        <row r="2162">
          <cell r="D2162">
            <v>22.99</v>
          </cell>
        </row>
        <row r="2163">
          <cell r="D2163">
            <v>23</v>
          </cell>
        </row>
        <row r="2164">
          <cell r="D2164">
            <v>23.01</v>
          </cell>
        </row>
        <row r="2165">
          <cell r="D2165">
            <v>23.02</v>
          </cell>
        </row>
        <row r="2166">
          <cell r="D2166">
            <v>23.03</v>
          </cell>
        </row>
        <row r="2167">
          <cell r="D2167">
            <v>23.04</v>
          </cell>
        </row>
        <row r="2168">
          <cell r="D2168">
            <v>23.05</v>
          </cell>
        </row>
        <row r="2169">
          <cell r="D2169">
            <v>23.06</v>
          </cell>
        </row>
        <row r="2170">
          <cell r="D2170">
            <v>23.07</v>
          </cell>
        </row>
        <row r="2171">
          <cell r="D2171">
            <v>23.08</v>
          </cell>
        </row>
        <row r="2172">
          <cell r="D2172">
            <v>23.09</v>
          </cell>
        </row>
        <row r="2173">
          <cell r="D2173">
            <v>23.1</v>
          </cell>
        </row>
        <row r="2174">
          <cell r="D2174">
            <v>23.11</v>
          </cell>
        </row>
        <row r="2175">
          <cell r="D2175">
            <v>23.12</v>
          </cell>
        </row>
        <row r="2176">
          <cell r="D2176">
            <v>23.13</v>
          </cell>
        </row>
        <row r="2177">
          <cell r="D2177">
            <v>23.14</v>
          </cell>
        </row>
        <row r="2178">
          <cell r="D2178">
            <v>23.15</v>
          </cell>
        </row>
        <row r="2179">
          <cell r="D2179">
            <v>23.16</v>
          </cell>
        </row>
        <row r="2180">
          <cell r="D2180">
            <v>23.17</v>
          </cell>
        </row>
        <row r="2181">
          <cell r="D2181">
            <v>23.18</v>
          </cell>
        </row>
        <row r="2182">
          <cell r="D2182">
            <v>23.19</v>
          </cell>
        </row>
        <row r="2183">
          <cell r="D2183">
            <v>23.2</v>
          </cell>
        </row>
        <row r="2184">
          <cell r="D2184">
            <v>23.21</v>
          </cell>
        </row>
        <row r="2185">
          <cell r="D2185">
            <v>23.22</v>
          </cell>
        </row>
        <row r="2186">
          <cell r="D2186">
            <v>23.23</v>
          </cell>
        </row>
        <row r="2187">
          <cell r="D2187">
            <v>23.24</v>
          </cell>
        </row>
        <row r="2188">
          <cell r="D2188">
            <v>23.25</v>
          </cell>
        </row>
        <row r="2189">
          <cell r="D2189">
            <v>23.26</v>
          </cell>
        </row>
        <row r="2190">
          <cell r="D2190">
            <v>23.27</v>
          </cell>
        </row>
        <row r="2191">
          <cell r="D2191">
            <v>23.28</v>
          </cell>
        </row>
        <row r="2192">
          <cell r="D2192">
            <v>23.29</v>
          </cell>
        </row>
        <row r="2193">
          <cell r="D2193">
            <v>23.3</v>
          </cell>
        </row>
        <row r="2194">
          <cell r="D2194">
            <v>23.31</v>
          </cell>
        </row>
        <row r="2195">
          <cell r="D2195">
            <v>23.32</v>
          </cell>
        </row>
        <row r="2196">
          <cell r="D2196">
            <v>23.33</v>
          </cell>
        </row>
        <row r="2197">
          <cell r="D2197">
            <v>23.34</v>
          </cell>
        </row>
        <row r="2198">
          <cell r="D2198">
            <v>23.35</v>
          </cell>
        </row>
        <row r="2199">
          <cell r="D2199">
            <v>23.36</v>
          </cell>
        </row>
        <row r="2200">
          <cell r="D2200">
            <v>23.37</v>
          </cell>
        </row>
        <row r="2201">
          <cell r="D2201">
            <v>23.38</v>
          </cell>
        </row>
        <row r="2202">
          <cell r="D2202">
            <v>23.39</v>
          </cell>
        </row>
        <row r="2203">
          <cell r="D2203">
            <v>23.4</v>
          </cell>
        </row>
        <row r="2204">
          <cell r="D2204">
            <v>23.41</v>
          </cell>
        </row>
        <row r="2205">
          <cell r="D2205">
            <v>23.42</v>
          </cell>
        </row>
        <row r="2206">
          <cell r="D2206">
            <v>23.43</v>
          </cell>
        </row>
        <row r="2207">
          <cell r="D2207">
            <v>23.44</v>
          </cell>
        </row>
        <row r="2208">
          <cell r="D2208">
            <v>23.45</v>
          </cell>
        </row>
        <row r="2209">
          <cell r="D2209">
            <v>23.46</v>
          </cell>
        </row>
        <row r="2210">
          <cell r="D2210">
            <v>23.47</v>
          </cell>
        </row>
        <row r="2211">
          <cell r="D2211">
            <v>23.48</v>
          </cell>
        </row>
        <row r="2212">
          <cell r="D2212">
            <v>23.49</v>
          </cell>
        </row>
        <row r="2213">
          <cell r="D2213">
            <v>23.5</v>
          </cell>
        </row>
        <row r="2214">
          <cell r="D2214">
            <v>23.51</v>
          </cell>
        </row>
        <row r="2215">
          <cell r="D2215">
            <v>23.52</v>
          </cell>
        </row>
        <row r="2216">
          <cell r="D2216">
            <v>23.53</v>
          </cell>
        </row>
        <row r="2217">
          <cell r="D2217">
            <v>23.54</v>
          </cell>
        </row>
        <row r="2218">
          <cell r="D2218">
            <v>23.55</v>
          </cell>
        </row>
        <row r="2219">
          <cell r="D2219">
            <v>23.56</v>
          </cell>
        </row>
        <row r="2220">
          <cell r="D2220">
            <v>23.57</v>
          </cell>
        </row>
        <row r="2221">
          <cell r="D2221">
            <v>23.58</v>
          </cell>
        </row>
        <row r="2222">
          <cell r="D2222">
            <v>23.59</v>
          </cell>
        </row>
        <row r="2223">
          <cell r="D2223">
            <v>23.6</v>
          </cell>
        </row>
        <row r="2224">
          <cell r="D2224">
            <v>23.61</v>
          </cell>
        </row>
        <row r="2225">
          <cell r="D2225">
            <v>23.62</v>
          </cell>
        </row>
        <row r="2226">
          <cell r="D2226">
            <v>23.63</v>
          </cell>
        </row>
        <row r="2227">
          <cell r="D2227">
            <v>23.64</v>
          </cell>
        </row>
        <row r="2228">
          <cell r="D2228">
            <v>23.65</v>
          </cell>
        </row>
        <row r="2229">
          <cell r="D2229">
            <v>23.66</v>
          </cell>
        </row>
        <row r="2230">
          <cell r="D2230">
            <v>23.67</v>
          </cell>
        </row>
        <row r="2231">
          <cell r="D2231">
            <v>23.68</v>
          </cell>
        </row>
        <row r="2232">
          <cell r="D2232">
            <v>23.69</v>
          </cell>
        </row>
        <row r="2233">
          <cell r="D2233">
            <v>23.7</v>
          </cell>
        </row>
        <row r="2234">
          <cell r="D2234">
            <v>23.71</v>
          </cell>
        </row>
        <row r="2235">
          <cell r="D2235">
            <v>23.72</v>
          </cell>
        </row>
        <row r="2236">
          <cell r="D2236">
            <v>23.73</v>
          </cell>
        </row>
        <row r="2237">
          <cell r="D2237">
            <v>23.74</v>
          </cell>
        </row>
        <row r="2238">
          <cell r="D2238">
            <v>23.75</v>
          </cell>
        </row>
        <row r="2239">
          <cell r="D2239">
            <v>23.76</v>
          </cell>
        </row>
        <row r="2240">
          <cell r="D2240">
            <v>23.77</v>
          </cell>
        </row>
        <row r="2241">
          <cell r="D2241">
            <v>23.78</v>
          </cell>
        </row>
        <row r="2242">
          <cell r="D2242">
            <v>23.79</v>
          </cell>
        </row>
        <row r="2243">
          <cell r="D2243">
            <v>23.8</v>
          </cell>
        </row>
        <row r="2244">
          <cell r="D2244">
            <v>23.81</v>
          </cell>
        </row>
        <row r="2245">
          <cell r="D2245">
            <v>23.82</v>
          </cell>
        </row>
        <row r="2246">
          <cell r="D2246">
            <v>23.83</v>
          </cell>
        </row>
        <row r="2247">
          <cell r="D2247">
            <v>23.84</v>
          </cell>
        </row>
        <row r="2248">
          <cell r="D2248">
            <v>23.85</v>
          </cell>
        </row>
        <row r="2249">
          <cell r="D2249">
            <v>23.86</v>
          </cell>
        </row>
        <row r="2250">
          <cell r="D2250">
            <v>23.87</v>
          </cell>
        </row>
        <row r="2251">
          <cell r="D2251">
            <v>23.88</v>
          </cell>
        </row>
        <row r="2252">
          <cell r="D2252">
            <v>23.89</v>
          </cell>
        </row>
        <row r="2253">
          <cell r="D2253">
            <v>23.9</v>
          </cell>
        </row>
        <row r="2254">
          <cell r="D2254">
            <v>23.91</v>
          </cell>
        </row>
        <row r="2255">
          <cell r="D2255">
            <v>23.92</v>
          </cell>
        </row>
        <row r="2256">
          <cell r="D2256">
            <v>23.93</v>
          </cell>
        </row>
        <row r="2257">
          <cell r="D2257">
            <v>23.94</v>
          </cell>
        </row>
        <row r="2258">
          <cell r="D2258">
            <v>23.95</v>
          </cell>
        </row>
        <row r="2259">
          <cell r="D2259">
            <v>23.96</v>
          </cell>
        </row>
        <row r="2260">
          <cell r="D2260">
            <v>23.97</v>
          </cell>
        </row>
        <row r="2261">
          <cell r="D2261">
            <v>23.98</v>
          </cell>
        </row>
        <row r="2262">
          <cell r="D2262">
            <v>23.99</v>
          </cell>
        </row>
        <row r="2263">
          <cell r="D2263">
            <v>24</v>
          </cell>
        </row>
        <row r="2264">
          <cell r="D2264">
            <v>24.01</v>
          </cell>
        </row>
        <row r="2265">
          <cell r="D2265">
            <v>24.02</v>
          </cell>
        </row>
        <row r="2266">
          <cell r="D2266">
            <v>24.03</v>
          </cell>
        </row>
        <row r="2267">
          <cell r="D2267">
            <v>24.04</v>
          </cell>
        </row>
        <row r="2268">
          <cell r="D2268">
            <v>24.05</v>
          </cell>
        </row>
        <row r="2269">
          <cell r="D2269">
            <v>24.06</v>
          </cell>
        </row>
        <row r="2270">
          <cell r="D2270">
            <v>24.07</v>
          </cell>
        </row>
        <row r="2271">
          <cell r="D2271">
            <v>24.08</v>
          </cell>
        </row>
        <row r="2272">
          <cell r="D2272">
            <v>24.09</v>
          </cell>
        </row>
        <row r="2273">
          <cell r="D2273">
            <v>24.1</v>
          </cell>
        </row>
        <row r="2274">
          <cell r="D2274">
            <v>24.11</v>
          </cell>
        </row>
        <row r="2275">
          <cell r="D2275">
            <v>24.12</v>
          </cell>
        </row>
        <row r="2276">
          <cell r="D2276">
            <v>24.13</v>
          </cell>
        </row>
        <row r="2277">
          <cell r="D2277">
            <v>24.14</v>
          </cell>
        </row>
        <row r="2278">
          <cell r="D2278">
            <v>24.15</v>
          </cell>
        </row>
        <row r="2279">
          <cell r="D2279">
            <v>24.16</v>
          </cell>
        </row>
        <row r="2280">
          <cell r="D2280">
            <v>24.17</v>
          </cell>
        </row>
        <row r="2281">
          <cell r="D2281">
            <v>24.18</v>
          </cell>
        </row>
        <row r="2282">
          <cell r="D2282">
            <v>24.19</v>
          </cell>
        </row>
        <row r="2283">
          <cell r="D2283">
            <v>24.2</v>
          </cell>
        </row>
        <row r="2284">
          <cell r="D2284">
            <v>24.21</v>
          </cell>
        </row>
        <row r="2285">
          <cell r="D2285">
            <v>24.22</v>
          </cell>
        </row>
        <row r="2286">
          <cell r="D2286">
            <v>24.23</v>
          </cell>
        </row>
        <row r="2287">
          <cell r="D2287">
            <v>24.24</v>
          </cell>
        </row>
        <row r="2288">
          <cell r="D2288">
            <v>24.25</v>
          </cell>
        </row>
        <row r="2289">
          <cell r="D2289">
            <v>24.26</v>
          </cell>
        </row>
        <row r="2290">
          <cell r="D2290">
            <v>24.27</v>
          </cell>
        </row>
        <row r="2291">
          <cell r="D2291">
            <v>24.28</v>
          </cell>
        </row>
        <row r="2292">
          <cell r="D2292">
            <v>24.29</v>
          </cell>
        </row>
        <row r="2293">
          <cell r="D2293">
            <v>24.3</v>
          </cell>
        </row>
        <row r="2294">
          <cell r="D2294">
            <v>24.31</v>
          </cell>
        </row>
        <row r="2295">
          <cell r="D2295">
            <v>24.32</v>
          </cell>
        </row>
        <row r="2296">
          <cell r="D2296">
            <v>24.33</v>
          </cell>
        </row>
        <row r="2297">
          <cell r="D2297">
            <v>24.34</v>
          </cell>
        </row>
        <row r="2298">
          <cell r="D2298">
            <v>24.35</v>
          </cell>
        </row>
        <row r="2299">
          <cell r="D2299">
            <v>24.36</v>
          </cell>
        </row>
        <row r="2300">
          <cell r="D2300">
            <v>24.37</v>
          </cell>
        </row>
        <row r="2301">
          <cell r="D2301">
            <v>24.38</v>
          </cell>
        </row>
        <row r="2302">
          <cell r="D2302">
            <v>24.39</v>
          </cell>
        </row>
        <row r="2303">
          <cell r="D2303">
            <v>24.4</v>
          </cell>
        </row>
        <row r="2304">
          <cell r="D2304">
            <v>24.41</v>
          </cell>
        </row>
        <row r="2305">
          <cell r="D2305">
            <v>24.42</v>
          </cell>
        </row>
        <row r="2306">
          <cell r="D2306">
            <v>24.43</v>
          </cell>
        </row>
        <row r="2307">
          <cell r="D2307">
            <v>24.44</v>
          </cell>
        </row>
        <row r="2308">
          <cell r="D2308">
            <v>24.45</v>
          </cell>
        </row>
        <row r="2309">
          <cell r="D2309">
            <v>24.46</v>
          </cell>
        </row>
        <row r="2310">
          <cell r="D2310">
            <v>24.47</v>
          </cell>
        </row>
        <row r="2311">
          <cell r="D2311">
            <v>24.48</v>
          </cell>
        </row>
        <row r="2312">
          <cell r="D2312">
            <v>24.49</v>
          </cell>
        </row>
        <row r="2313">
          <cell r="D2313">
            <v>24.5</v>
          </cell>
        </row>
        <row r="2314">
          <cell r="D2314">
            <v>24.51</v>
          </cell>
        </row>
        <row r="2315">
          <cell r="D2315">
            <v>24.52</v>
          </cell>
        </row>
        <row r="2316">
          <cell r="D2316">
            <v>24.53</v>
          </cell>
        </row>
        <row r="2317">
          <cell r="D2317">
            <v>24.54</v>
          </cell>
        </row>
        <row r="2318">
          <cell r="D2318">
            <v>24.55</v>
          </cell>
        </row>
        <row r="2319">
          <cell r="D2319">
            <v>24.56</v>
          </cell>
        </row>
        <row r="2320">
          <cell r="D2320">
            <v>24.57</v>
          </cell>
        </row>
        <row r="2321">
          <cell r="D2321">
            <v>24.58</v>
          </cell>
        </row>
        <row r="2322">
          <cell r="D2322">
            <v>24.59</v>
          </cell>
        </row>
        <row r="2323">
          <cell r="D2323">
            <v>24.6</v>
          </cell>
        </row>
        <row r="2324">
          <cell r="D2324">
            <v>24.61</v>
          </cell>
        </row>
        <row r="2325">
          <cell r="D2325">
            <v>24.62</v>
          </cell>
        </row>
        <row r="2326">
          <cell r="D2326">
            <v>24.63</v>
          </cell>
        </row>
        <row r="2327">
          <cell r="D2327">
            <v>24.64</v>
          </cell>
        </row>
        <row r="2328">
          <cell r="D2328">
            <v>24.65</v>
          </cell>
        </row>
        <row r="2329">
          <cell r="D2329">
            <v>24.66</v>
          </cell>
        </row>
        <row r="2330">
          <cell r="D2330">
            <v>24.67</v>
          </cell>
        </row>
        <row r="2331">
          <cell r="D2331">
            <v>24.68</v>
          </cell>
        </row>
        <row r="2332">
          <cell r="D2332">
            <v>24.69</v>
          </cell>
        </row>
        <row r="2333">
          <cell r="D2333">
            <v>24.7</v>
          </cell>
        </row>
        <row r="2334">
          <cell r="D2334">
            <v>24.71</v>
          </cell>
        </row>
        <row r="2335">
          <cell r="D2335">
            <v>24.72</v>
          </cell>
        </row>
        <row r="2336">
          <cell r="D2336">
            <v>24.73</v>
          </cell>
        </row>
        <row r="2337">
          <cell r="D2337">
            <v>24.74</v>
          </cell>
        </row>
        <row r="2338">
          <cell r="D2338">
            <v>24.75</v>
          </cell>
        </row>
        <row r="2339">
          <cell r="D2339">
            <v>24.76</v>
          </cell>
        </row>
        <row r="2340">
          <cell r="D2340">
            <v>24.77</v>
          </cell>
        </row>
        <row r="2341">
          <cell r="D2341">
            <v>24.78</v>
          </cell>
        </row>
        <row r="2342">
          <cell r="D2342">
            <v>24.79</v>
          </cell>
        </row>
        <row r="2343">
          <cell r="D2343">
            <v>24.8</v>
          </cell>
        </row>
        <row r="2344">
          <cell r="D2344">
            <v>24.81</v>
          </cell>
        </row>
        <row r="2345">
          <cell r="D2345">
            <v>24.82</v>
          </cell>
        </row>
        <row r="2346">
          <cell r="D2346">
            <v>24.83</v>
          </cell>
        </row>
        <row r="2347">
          <cell r="D2347">
            <v>24.84</v>
          </cell>
        </row>
        <row r="2348">
          <cell r="D2348">
            <v>24.85</v>
          </cell>
        </row>
        <row r="2349">
          <cell r="D2349">
            <v>24.86</v>
          </cell>
        </row>
        <row r="2350">
          <cell r="D2350">
            <v>24.87</v>
          </cell>
        </row>
        <row r="2351">
          <cell r="D2351">
            <v>24.88</v>
          </cell>
        </row>
        <row r="2352">
          <cell r="D2352">
            <v>24.89</v>
          </cell>
        </row>
        <row r="2353">
          <cell r="D2353">
            <v>24.9</v>
          </cell>
        </row>
        <row r="2354">
          <cell r="D2354">
            <v>24.91</v>
          </cell>
        </row>
        <row r="2355">
          <cell r="D2355">
            <v>24.92</v>
          </cell>
        </row>
        <row r="2356">
          <cell r="D2356">
            <v>24.93</v>
          </cell>
        </row>
        <row r="2357">
          <cell r="D2357">
            <v>24.94</v>
          </cell>
        </row>
        <row r="2358">
          <cell r="D2358">
            <v>24.95</v>
          </cell>
        </row>
        <row r="2359">
          <cell r="D2359">
            <v>24.96</v>
          </cell>
        </row>
        <row r="2360">
          <cell r="D2360">
            <v>24.97</v>
          </cell>
        </row>
        <row r="2361">
          <cell r="D2361">
            <v>24.98</v>
          </cell>
        </row>
        <row r="2362">
          <cell r="D2362">
            <v>24.99</v>
          </cell>
        </row>
        <row r="2363">
          <cell r="D2363">
            <v>25</v>
          </cell>
        </row>
        <row r="2364">
          <cell r="D2364">
            <v>25.01</v>
          </cell>
        </row>
        <row r="2365">
          <cell r="D2365">
            <v>25.02</v>
          </cell>
        </row>
        <row r="2366">
          <cell r="D2366">
            <v>25.03</v>
          </cell>
        </row>
        <row r="2367">
          <cell r="D2367">
            <v>25.04</v>
          </cell>
        </row>
        <row r="2368">
          <cell r="D2368">
            <v>25.05</v>
          </cell>
        </row>
        <row r="2369">
          <cell r="D2369">
            <v>25.06</v>
          </cell>
        </row>
        <row r="2370">
          <cell r="D2370">
            <v>25.07</v>
          </cell>
        </row>
        <row r="2371">
          <cell r="D2371">
            <v>25.08</v>
          </cell>
        </row>
        <row r="2372">
          <cell r="D2372">
            <v>25.09</v>
          </cell>
        </row>
        <row r="2373">
          <cell r="D2373">
            <v>25.1</v>
          </cell>
        </row>
        <row r="2374">
          <cell r="D2374">
            <v>25.11</v>
          </cell>
        </row>
        <row r="2375">
          <cell r="D2375">
            <v>25.12</v>
          </cell>
        </row>
        <row r="2376">
          <cell r="D2376">
            <v>25.13</v>
          </cell>
        </row>
        <row r="2377">
          <cell r="D2377">
            <v>25.14</v>
          </cell>
        </row>
        <row r="2378">
          <cell r="D2378">
            <v>25.15</v>
          </cell>
        </row>
        <row r="2379">
          <cell r="D2379">
            <v>25.16</v>
          </cell>
        </row>
        <row r="2380">
          <cell r="D2380">
            <v>25.17</v>
          </cell>
        </row>
        <row r="2381">
          <cell r="D2381">
            <v>25.18</v>
          </cell>
        </row>
        <row r="2382">
          <cell r="D2382">
            <v>25.19</v>
          </cell>
        </row>
        <row r="2383">
          <cell r="D2383">
            <v>25.2</v>
          </cell>
        </row>
        <row r="2384">
          <cell r="D2384">
            <v>25.21</v>
          </cell>
        </row>
        <row r="2385">
          <cell r="D2385">
            <v>25.22</v>
          </cell>
        </row>
        <row r="2386">
          <cell r="D2386">
            <v>25.23</v>
          </cell>
        </row>
        <row r="2387">
          <cell r="D2387">
            <v>25.24</v>
          </cell>
        </row>
        <row r="2388">
          <cell r="D2388">
            <v>25.25</v>
          </cell>
        </row>
        <row r="2389">
          <cell r="D2389">
            <v>25.26</v>
          </cell>
        </row>
        <row r="2390">
          <cell r="D2390">
            <v>25.27</v>
          </cell>
        </row>
        <row r="2391">
          <cell r="D2391">
            <v>25.28</v>
          </cell>
        </row>
        <row r="2392">
          <cell r="D2392">
            <v>25.29</v>
          </cell>
        </row>
        <row r="2393">
          <cell r="D2393">
            <v>25.3</v>
          </cell>
        </row>
        <row r="2394">
          <cell r="D2394">
            <v>25.31</v>
          </cell>
        </row>
        <row r="2395">
          <cell r="D2395">
            <v>25.32</v>
          </cell>
        </row>
        <row r="2396">
          <cell r="D2396">
            <v>25.33</v>
          </cell>
        </row>
        <row r="2397">
          <cell r="D2397">
            <v>25.34</v>
          </cell>
        </row>
        <row r="2398">
          <cell r="D2398">
            <v>25.35</v>
          </cell>
        </row>
        <row r="2399">
          <cell r="D2399">
            <v>25.36</v>
          </cell>
        </row>
        <row r="2400">
          <cell r="D2400">
            <v>25.37</v>
          </cell>
        </row>
        <row r="2401">
          <cell r="D2401">
            <v>25.38</v>
          </cell>
        </row>
        <row r="2402">
          <cell r="D2402">
            <v>25.39</v>
          </cell>
        </row>
        <row r="2403">
          <cell r="D2403">
            <v>25.4</v>
          </cell>
        </row>
        <row r="2404">
          <cell r="D2404">
            <v>25.41</v>
          </cell>
        </row>
        <row r="2405">
          <cell r="D2405">
            <v>25.42</v>
          </cell>
        </row>
        <row r="2406">
          <cell r="D2406">
            <v>25.43</v>
          </cell>
        </row>
        <row r="2407">
          <cell r="D2407">
            <v>25.44</v>
          </cell>
        </row>
        <row r="2408">
          <cell r="D2408">
            <v>25.45</v>
          </cell>
        </row>
        <row r="2409">
          <cell r="D2409">
            <v>25.46</v>
          </cell>
        </row>
        <row r="2410">
          <cell r="D2410">
            <v>25.47</v>
          </cell>
        </row>
        <row r="2411">
          <cell r="D2411">
            <v>25.48</v>
          </cell>
        </row>
        <row r="2412">
          <cell r="D2412">
            <v>25.49</v>
          </cell>
        </row>
        <row r="2413">
          <cell r="D2413">
            <v>25.5</v>
          </cell>
        </row>
        <row r="2414">
          <cell r="D2414">
            <v>25.51</v>
          </cell>
        </row>
        <row r="2415">
          <cell r="D2415">
            <v>25.52</v>
          </cell>
        </row>
        <row r="2416">
          <cell r="D2416">
            <v>25.53</v>
          </cell>
        </row>
        <row r="2417">
          <cell r="D2417">
            <v>25.54</v>
          </cell>
        </row>
        <row r="2418">
          <cell r="D2418">
            <v>25.55</v>
          </cell>
        </row>
        <row r="2419">
          <cell r="D2419">
            <v>25.56</v>
          </cell>
        </row>
        <row r="2420">
          <cell r="D2420">
            <v>25.57</v>
          </cell>
        </row>
        <row r="2421">
          <cell r="D2421">
            <v>25.58</v>
          </cell>
        </row>
        <row r="2422">
          <cell r="D2422">
            <v>25.59</v>
          </cell>
        </row>
        <row r="2423">
          <cell r="D2423">
            <v>25.6</v>
          </cell>
        </row>
        <row r="2424">
          <cell r="D2424">
            <v>25.61</v>
          </cell>
        </row>
        <row r="2425">
          <cell r="D2425">
            <v>25.62</v>
          </cell>
        </row>
        <row r="2426">
          <cell r="D2426">
            <v>25.63</v>
          </cell>
        </row>
        <row r="2427">
          <cell r="D2427">
            <v>25.64</v>
          </cell>
        </row>
        <row r="2428">
          <cell r="D2428">
            <v>25.65</v>
          </cell>
        </row>
        <row r="2429">
          <cell r="D2429">
            <v>25.66</v>
          </cell>
        </row>
        <row r="2430">
          <cell r="D2430">
            <v>25.67</v>
          </cell>
        </row>
        <row r="2431">
          <cell r="D2431">
            <v>25.68</v>
          </cell>
        </row>
        <row r="2432">
          <cell r="D2432">
            <v>25.69</v>
          </cell>
        </row>
        <row r="2433">
          <cell r="D2433">
            <v>25.7</v>
          </cell>
        </row>
        <row r="2434">
          <cell r="D2434">
            <v>25.71</v>
          </cell>
        </row>
        <row r="2435">
          <cell r="D2435">
            <v>25.72</v>
          </cell>
        </row>
        <row r="2436">
          <cell r="D2436">
            <v>25.73</v>
          </cell>
        </row>
        <row r="2437">
          <cell r="D2437">
            <v>25.74</v>
          </cell>
        </row>
        <row r="2438">
          <cell r="D2438">
            <v>25.75</v>
          </cell>
        </row>
        <row r="2439">
          <cell r="D2439">
            <v>25.76</v>
          </cell>
        </row>
        <row r="2440">
          <cell r="D2440">
            <v>25.77</v>
          </cell>
        </row>
        <row r="2441">
          <cell r="D2441">
            <v>25.78</v>
          </cell>
        </row>
        <row r="2442">
          <cell r="D2442">
            <v>25.79</v>
          </cell>
        </row>
        <row r="2443">
          <cell r="D2443">
            <v>25.8</v>
          </cell>
        </row>
        <row r="2444">
          <cell r="D2444">
            <v>25.81</v>
          </cell>
        </row>
        <row r="2445">
          <cell r="D2445">
            <v>25.82</v>
          </cell>
        </row>
        <row r="2446">
          <cell r="D2446">
            <v>25.83</v>
          </cell>
        </row>
        <row r="2447">
          <cell r="D2447">
            <v>25.84</v>
          </cell>
        </row>
        <row r="2448">
          <cell r="D2448">
            <v>25.85</v>
          </cell>
        </row>
        <row r="2449">
          <cell r="D2449">
            <v>25.86</v>
          </cell>
        </row>
        <row r="2450">
          <cell r="D2450">
            <v>25.87</v>
          </cell>
        </row>
        <row r="2451">
          <cell r="D2451">
            <v>25.88</v>
          </cell>
        </row>
        <row r="2452">
          <cell r="D2452">
            <v>25.89</v>
          </cell>
        </row>
        <row r="2453">
          <cell r="D2453">
            <v>25.9</v>
          </cell>
        </row>
        <row r="2454">
          <cell r="D2454">
            <v>25.91</v>
          </cell>
        </row>
        <row r="2455">
          <cell r="D2455">
            <v>25.92</v>
          </cell>
        </row>
        <row r="2456">
          <cell r="D2456">
            <v>25.93</v>
          </cell>
        </row>
        <row r="2457">
          <cell r="D2457">
            <v>25.94</v>
          </cell>
        </row>
        <row r="2458">
          <cell r="D2458">
            <v>25.95</v>
          </cell>
        </row>
        <row r="2459">
          <cell r="D2459">
            <v>25.96</v>
          </cell>
        </row>
        <row r="2460">
          <cell r="D2460">
            <v>25.97</v>
          </cell>
        </row>
        <row r="2461">
          <cell r="D2461">
            <v>25.98</v>
          </cell>
        </row>
        <row r="2462">
          <cell r="D2462">
            <v>25.99</v>
          </cell>
        </row>
        <row r="2463">
          <cell r="D2463">
            <v>26</v>
          </cell>
        </row>
        <row r="2464">
          <cell r="D2464">
            <v>26.01</v>
          </cell>
        </row>
        <row r="2465">
          <cell r="D2465">
            <v>26.02</v>
          </cell>
        </row>
        <row r="2466">
          <cell r="D2466">
            <v>26.03</v>
          </cell>
        </row>
        <row r="2467">
          <cell r="D2467">
            <v>26.04</v>
          </cell>
        </row>
        <row r="2468">
          <cell r="D2468">
            <v>26.05</v>
          </cell>
        </row>
        <row r="2469">
          <cell r="D2469">
            <v>26.06</v>
          </cell>
        </row>
        <row r="2470">
          <cell r="D2470">
            <v>26.07</v>
          </cell>
        </row>
        <row r="2471">
          <cell r="D2471">
            <v>26.08</v>
          </cell>
        </row>
        <row r="2472">
          <cell r="D2472">
            <v>26.09</v>
          </cell>
        </row>
        <row r="2473">
          <cell r="D2473">
            <v>26.1</v>
          </cell>
        </row>
        <row r="2474">
          <cell r="D2474">
            <v>26.11</v>
          </cell>
        </row>
        <row r="2475">
          <cell r="D2475">
            <v>26.12</v>
          </cell>
        </row>
        <row r="2476">
          <cell r="D2476">
            <v>26.13</v>
          </cell>
        </row>
        <row r="2477">
          <cell r="D2477">
            <v>26.14</v>
          </cell>
        </row>
        <row r="2478">
          <cell r="D2478">
            <v>26.15</v>
          </cell>
        </row>
        <row r="2479">
          <cell r="D2479">
            <v>26.16</v>
          </cell>
        </row>
        <row r="2480">
          <cell r="D2480">
            <v>26.17</v>
          </cell>
        </row>
        <row r="2481">
          <cell r="D2481">
            <v>26.18</v>
          </cell>
        </row>
        <row r="2482">
          <cell r="D2482">
            <v>26.19</v>
          </cell>
        </row>
        <row r="2483">
          <cell r="D2483">
            <v>26.2</v>
          </cell>
        </row>
        <row r="2484">
          <cell r="D2484">
            <v>26.21</v>
          </cell>
        </row>
        <row r="2485">
          <cell r="D2485">
            <v>26.22</v>
          </cell>
        </row>
        <row r="2486">
          <cell r="D2486">
            <v>26.23</v>
          </cell>
        </row>
        <row r="2487">
          <cell r="D2487">
            <v>26.24</v>
          </cell>
        </row>
        <row r="2488">
          <cell r="D2488">
            <v>26.25</v>
          </cell>
        </row>
        <row r="2489">
          <cell r="D2489">
            <v>26.26</v>
          </cell>
        </row>
        <row r="2490">
          <cell r="D2490">
            <v>26.27</v>
          </cell>
        </row>
        <row r="2491">
          <cell r="D2491">
            <v>26.28</v>
          </cell>
        </row>
        <row r="2492">
          <cell r="D2492">
            <v>26.29</v>
          </cell>
        </row>
        <row r="2493">
          <cell r="D2493">
            <v>26.3</v>
          </cell>
        </row>
        <row r="2494">
          <cell r="D2494">
            <v>26.31</v>
          </cell>
        </row>
        <row r="2495">
          <cell r="D2495">
            <v>26.32</v>
          </cell>
        </row>
        <row r="2496">
          <cell r="D2496">
            <v>26.33</v>
          </cell>
        </row>
        <row r="2497">
          <cell r="D2497">
            <v>26.34</v>
          </cell>
        </row>
        <row r="2498">
          <cell r="D2498">
            <v>26.35</v>
          </cell>
        </row>
        <row r="2499">
          <cell r="D2499">
            <v>26.36</v>
          </cell>
        </row>
        <row r="2500">
          <cell r="D2500">
            <v>26.37</v>
          </cell>
        </row>
        <row r="2501">
          <cell r="D2501">
            <v>26.38</v>
          </cell>
        </row>
        <row r="2502">
          <cell r="D2502">
            <v>26.39</v>
          </cell>
        </row>
        <row r="2503">
          <cell r="D2503">
            <v>26.4</v>
          </cell>
        </row>
        <row r="2504">
          <cell r="D2504">
            <v>26.41</v>
          </cell>
        </row>
        <row r="2505">
          <cell r="D2505">
            <v>26.42</v>
          </cell>
        </row>
        <row r="2506">
          <cell r="D2506">
            <v>26.43</v>
          </cell>
        </row>
        <row r="2507">
          <cell r="D2507">
            <v>26.44</v>
          </cell>
        </row>
        <row r="2508">
          <cell r="D2508">
            <v>26.45</v>
          </cell>
        </row>
        <row r="2509">
          <cell r="D2509">
            <v>26.46</v>
          </cell>
        </row>
        <row r="2510">
          <cell r="D2510">
            <v>26.47</v>
          </cell>
        </row>
        <row r="2511">
          <cell r="D2511">
            <v>26.48</v>
          </cell>
        </row>
        <row r="2512">
          <cell r="D2512">
            <v>26.49</v>
          </cell>
        </row>
        <row r="2513">
          <cell r="D2513">
            <v>26.5</v>
          </cell>
        </row>
        <row r="2514">
          <cell r="D2514">
            <v>26.51</v>
          </cell>
        </row>
        <row r="2515">
          <cell r="D2515">
            <v>26.52</v>
          </cell>
        </row>
        <row r="2516">
          <cell r="D2516">
            <v>26.53</v>
          </cell>
        </row>
        <row r="2517">
          <cell r="D2517">
            <v>26.54</v>
          </cell>
        </row>
        <row r="2518">
          <cell r="D2518">
            <v>26.55</v>
          </cell>
        </row>
        <row r="2519">
          <cell r="D2519">
            <v>26.56</v>
          </cell>
        </row>
        <row r="2520">
          <cell r="D2520">
            <v>26.57</v>
          </cell>
        </row>
        <row r="2521">
          <cell r="D2521">
            <v>26.58</v>
          </cell>
        </row>
        <row r="2522">
          <cell r="D2522">
            <v>26.59</v>
          </cell>
        </row>
        <row r="2523">
          <cell r="D2523">
            <v>26.6</v>
          </cell>
        </row>
        <row r="2524">
          <cell r="D2524">
            <v>26.61</v>
          </cell>
        </row>
        <row r="2525">
          <cell r="D2525">
            <v>26.62</v>
          </cell>
        </row>
        <row r="2526">
          <cell r="D2526">
            <v>26.63</v>
          </cell>
        </row>
        <row r="2527">
          <cell r="D2527">
            <v>26.64</v>
          </cell>
        </row>
        <row r="2528">
          <cell r="D2528">
            <v>26.65</v>
          </cell>
        </row>
        <row r="2529">
          <cell r="D2529">
            <v>26.66</v>
          </cell>
        </row>
        <row r="2530">
          <cell r="D2530">
            <v>26.67</v>
          </cell>
        </row>
        <row r="2531">
          <cell r="D2531">
            <v>26.68</v>
          </cell>
        </row>
        <row r="2532">
          <cell r="D2532">
            <v>26.69</v>
          </cell>
        </row>
        <row r="2533">
          <cell r="D2533">
            <v>26.7</v>
          </cell>
        </row>
        <row r="2534">
          <cell r="D2534">
            <v>26.71</v>
          </cell>
        </row>
        <row r="2535">
          <cell r="D2535">
            <v>26.72</v>
          </cell>
        </row>
        <row r="2536">
          <cell r="D2536">
            <v>26.73</v>
          </cell>
        </row>
        <row r="2537">
          <cell r="D2537">
            <v>26.74</v>
          </cell>
        </row>
        <row r="2538">
          <cell r="D2538">
            <v>26.75</v>
          </cell>
        </row>
        <row r="2539">
          <cell r="D2539">
            <v>26.76</v>
          </cell>
        </row>
        <row r="2540">
          <cell r="D2540">
            <v>26.77</v>
          </cell>
        </row>
        <row r="2541">
          <cell r="D2541">
            <v>26.78</v>
          </cell>
        </row>
        <row r="2542">
          <cell r="D2542">
            <v>26.79</v>
          </cell>
        </row>
        <row r="2543">
          <cell r="D2543">
            <v>26.8</v>
          </cell>
        </row>
        <row r="2544">
          <cell r="D2544">
            <v>26.81</v>
          </cell>
        </row>
        <row r="2545">
          <cell r="D2545">
            <v>26.82</v>
          </cell>
        </row>
        <row r="2546">
          <cell r="D2546">
            <v>26.83</v>
          </cell>
        </row>
        <row r="2547">
          <cell r="D2547">
            <v>26.84</v>
          </cell>
        </row>
        <row r="2548">
          <cell r="D2548">
            <v>26.85</v>
          </cell>
        </row>
        <row r="2549">
          <cell r="D2549">
            <v>26.86</v>
          </cell>
        </row>
        <row r="2550">
          <cell r="D2550">
            <v>26.87</v>
          </cell>
        </row>
        <row r="2551">
          <cell r="D2551">
            <v>26.88</v>
          </cell>
        </row>
        <row r="2552">
          <cell r="D2552">
            <v>26.89</v>
          </cell>
        </row>
        <row r="2553">
          <cell r="D2553">
            <v>26.9</v>
          </cell>
        </row>
        <row r="2554">
          <cell r="D2554">
            <v>26.91</v>
          </cell>
        </row>
        <row r="2555">
          <cell r="D2555">
            <v>26.92</v>
          </cell>
        </row>
        <row r="2556">
          <cell r="D2556">
            <v>26.93</v>
          </cell>
        </row>
        <row r="2557">
          <cell r="D2557">
            <v>26.94</v>
          </cell>
        </row>
        <row r="2558">
          <cell r="D2558">
            <v>26.95</v>
          </cell>
        </row>
        <row r="2559">
          <cell r="D2559">
            <v>26.96</v>
          </cell>
        </row>
        <row r="2560">
          <cell r="D2560">
            <v>26.97</v>
          </cell>
        </row>
        <row r="2561">
          <cell r="D2561">
            <v>26.98</v>
          </cell>
        </row>
        <row r="2562">
          <cell r="D2562">
            <v>26.99</v>
          </cell>
        </row>
        <row r="2563">
          <cell r="D2563">
            <v>27</v>
          </cell>
        </row>
        <row r="2564">
          <cell r="D2564">
            <v>27.01</v>
          </cell>
        </row>
        <row r="2565">
          <cell r="D2565">
            <v>27.02</v>
          </cell>
        </row>
        <row r="2566">
          <cell r="D2566">
            <v>27.03</v>
          </cell>
        </row>
        <row r="2567">
          <cell r="D2567">
            <v>27.04</v>
          </cell>
        </row>
        <row r="2568">
          <cell r="D2568">
            <v>27.05</v>
          </cell>
        </row>
        <row r="2569">
          <cell r="D2569">
            <v>27.06</v>
          </cell>
        </row>
        <row r="2570">
          <cell r="D2570">
            <v>27.07</v>
          </cell>
        </row>
        <row r="2571">
          <cell r="D2571">
            <v>27.08</v>
          </cell>
        </row>
        <row r="2572">
          <cell r="D2572">
            <v>27.09</v>
          </cell>
        </row>
        <row r="2573">
          <cell r="D2573">
            <v>27.1</v>
          </cell>
        </row>
        <row r="2574">
          <cell r="D2574">
            <v>27.11</v>
          </cell>
        </row>
        <row r="2575">
          <cell r="D2575">
            <v>27.12</v>
          </cell>
        </row>
        <row r="2576">
          <cell r="D2576">
            <v>27.13</v>
          </cell>
        </row>
        <row r="2577">
          <cell r="D2577">
            <v>27.14</v>
          </cell>
        </row>
        <row r="2578">
          <cell r="D2578">
            <v>27.15</v>
          </cell>
        </row>
        <row r="2579">
          <cell r="D2579">
            <v>27.16</v>
          </cell>
        </row>
        <row r="2580">
          <cell r="D2580">
            <v>27.17</v>
          </cell>
        </row>
        <row r="2581">
          <cell r="D2581">
            <v>27.18</v>
          </cell>
        </row>
        <row r="2582">
          <cell r="D2582">
            <v>27.19</v>
          </cell>
        </row>
        <row r="2583">
          <cell r="D2583">
            <v>27.2</v>
          </cell>
        </row>
        <row r="2584">
          <cell r="D2584">
            <v>27.21</v>
          </cell>
        </row>
        <row r="2585">
          <cell r="D2585">
            <v>27.22</v>
          </cell>
        </row>
        <row r="2586">
          <cell r="D2586">
            <v>27.23</v>
          </cell>
        </row>
        <row r="2587">
          <cell r="D2587">
            <v>27.24</v>
          </cell>
        </row>
        <row r="2588">
          <cell r="D2588">
            <v>27.25</v>
          </cell>
        </row>
        <row r="2589">
          <cell r="D2589">
            <v>27.26</v>
          </cell>
        </row>
        <row r="2590">
          <cell r="D2590">
            <v>27.27</v>
          </cell>
        </row>
        <row r="2591">
          <cell r="D2591">
            <v>27.28</v>
          </cell>
        </row>
        <row r="2592">
          <cell r="D2592">
            <v>27.29</v>
          </cell>
        </row>
        <row r="2593">
          <cell r="D2593">
            <v>27.3</v>
          </cell>
        </row>
        <row r="2594">
          <cell r="D2594">
            <v>27.31</v>
          </cell>
        </row>
        <row r="2595">
          <cell r="D2595">
            <v>27.32</v>
          </cell>
        </row>
        <row r="2596">
          <cell r="D2596">
            <v>27.33</v>
          </cell>
        </row>
        <row r="2597">
          <cell r="D2597">
            <v>27.34</v>
          </cell>
        </row>
        <row r="2598">
          <cell r="D2598">
            <v>27.35</v>
          </cell>
        </row>
        <row r="2599">
          <cell r="D2599">
            <v>27.36</v>
          </cell>
        </row>
        <row r="2600">
          <cell r="D2600">
            <v>27.37</v>
          </cell>
        </row>
        <row r="2601">
          <cell r="D2601">
            <v>27.38</v>
          </cell>
        </row>
        <row r="2602">
          <cell r="D2602">
            <v>27.39</v>
          </cell>
        </row>
        <row r="2603">
          <cell r="D2603">
            <v>27.4</v>
          </cell>
        </row>
        <row r="2604">
          <cell r="D2604">
            <v>27.41</v>
          </cell>
        </row>
        <row r="2605">
          <cell r="D2605">
            <v>27.42</v>
          </cell>
        </row>
        <row r="2606">
          <cell r="D2606">
            <v>27.43</v>
          </cell>
        </row>
        <row r="2607">
          <cell r="D2607">
            <v>27.44</v>
          </cell>
        </row>
        <row r="2608">
          <cell r="D2608">
            <v>27.45</v>
          </cell>
        </row>
        <row r="2609">
          <cell r="D2609">
            <v>27.46</v>
          </cell>
        </row>
        <row r="2610">
          <cell r="D2610">
            <v>27.47</v>
          </cell>
        </row>
        <row r="2611">
          <cell r="D2611">
            <v>27.48</v>
          </cell>
        </row>
        <row r="2612">
          <cell r="D2612">
            <v>27.49</v>
          </cell>
        </row>
        <row r="2613">
          <cell r="D2613">
            <v>27.5</v>
          </cell>
        </row>
        <row r="2614">
          <cell r="D2614">
            <v>27.51</v>
          </cell>
        </row>
        <row r="2615">
          <cell r="D2615">
            <v>27.52</v>
          </cell>
        </row>
        <row r="2616">
          <cell r="D2616">
            <v>27.53</v>
          </cell>
        </row>
        <row r="2617">
          <cell r="D2617">
            <v>27.54</v>
          </cell>
        </row>
        <row r="2618">
          <cell r="D2618">
            <v>27.55</v>
          </cell>
        </row>
        <row r="2619">
          <cell r="D2619">
            <v>27.56</v>
          </cell>
        </row>
        <row r="2620">
          <cell r="D2620">
            <v>27.57</v>
          </cell>
        </row>
        <row r="2621">
          <cell r="D2621">
            <v>27.58</v>
          </cell>
        </row>
        <row r="2622">
          <cell r="D2622">
            <v>27.59</v>
          </cell>
        </row>
        <row r="2623">
          <cell r="D2623">
            <v>27.6</v>
          </cell>
        </row>
        <row r="2624">
          <cell r="D2624">
            <v>27.61</v>
          </cell>
        </row>
        <row r="2625">
          <cell r="D2625">
            <v>27.62</v>
          </cell>
        </row>
        <row r="2626">
          <cell r="D2626">
            <v>27.63</v>
          </cell>
        </row>
        <row r="2627">
          <cell r="D2627">
            <v>27.64</v>
          </cell>
        </row>
        <row r="2628">
          <cell r="D2628">
            <v>27.65</v>
          </cell>
        </row>
        <row r="2629">
          <cell r="D2629">
            <v>27.66</v>
          </cell>
        </row>
        <row r="2630">
          <cell r="D2630">
            <v>27.67</v>
          </cell>
        </row>
        <row r="2631">
          <cell r="D2631">
            <v>27.68</v>
          </cell>
        </row>
        <row r="2632">
          <cell r="D2632">
            <v>27.69</v>
          </cell>
        </row>
        <row r="2633">
          <cell r="D2633">
            <v>27.7</v>
          </cell>
        </row>
        <row r="2634">
          <cell r="D2634">
            <v>27.71</v>
          </cell>
        </row>
        <row r="2635">
          <cell r="D2635">
            <v>27.72</v>
          </cell>
        </row>
        <row r="2636">
          <cell r="D2636">
            <v>27.73</v>
          </cell>
        </row>
        <row r="2637">
          <cell r="D2637">
            <v>27.74</v>
          </cell>
        </row>
        <row r="2638">
          <cell r="D2638">
            <v>27.75</v>
          </cell>
        </row>
        <row r="2639">
          <cell r="D2639">
            <v>27.76</v>
          </cell>
        </row>
        <row r="2640">
          <cell r="D2640">
            <v>27.77</v>
          </cell>
        </row>
        <row r="2641">
          <cell r="D2641">
            <v>27.78</v>
          </cell>
        </row>
        <row r="2642">
          <cell r="D2642">
            <v>27.79</v>
          </cell>
        </row>
        <row r="2643">
          <cell r="D2643">
            <v>27.8</v>
          </cell>
        </row>
        <row r="2644">
          <cell r="D2644">
            <v>27.81</v>
          </cell>
        </row>
        <row r="2645">
          <cell r="D2645">
            <v>27.82</v>
          </cell>
        </row>
        <row r="2646">
          <cell r="D2646">
            <v>27.83</v>
          </cell>
        </row>
        <row r="2647">
          <cell r="D2647">
            <v>27.84</v>
          </cell>
        </row>
        <row r="2648">
          <cell r="D2648">
            <v>27.85</v>
          </cell>
        </row>
        <row r="2649">
          <cell r="D2649">
            <v>27.86</v>
          </cell>
        </row>
        <row r="2650">
          <cell r="D2650">
            <v>27.87</v>
          </cell>
        </row>
        <row r="2651">
          <cell r="D2651">
            <v>27.88</v>
          </cell>
        </row>
        <row r="2652">
          <cell r="D2652">
            <v>27.89</v>
          </cell>
        </row>
        <row r="2653">
          <cell r="D2653">
            <v>27.9</v>
          </cell>
        </row>
        <row r="2654">
          <cell r="D2654">
            <v>27.91</v>
          </cell>
        </row>
        <row r="2655">
          <cell r="D2655">
            <v>27.92</v>
          </cell>
        </row>
        <row r="2656">
          <cell r="D2656">
            <v>27.93</v>
          </cell>
        </row>
        <row r="2657">
          <cell r="D2657">
            <v>27.94</v>
          </cell>
        </row>
        <row r="2658">
          <cell r="D2658">
            <v>27.95</v>
          </cell>
        </row>
        <row r="2659">
          <cell r="D2659">
            <v>27.96</v>
          </cell>
        </row>
        <row r="2660">
          <cell r="D2660">
            <v>27.97</v>
          </cell>
        </row>
        <row r="2661">
          <cell r="D2661">
            <v>27.98</v>
          </cell>
        </row>
        <row r="2662">
          <cell r="D2662">
            <v>27.99</v>
          </cell>
        </row>
        <row r="2663">
          <cell r="D2663">
            <v>28</v>
          </cell>
        </row>
        <row r="2664">
          <cell r="D2664">
            <v>28.01</v>
          </cell>
        </row>
        <row r="2665">
          <cell r="D2665">
            <v>28.02</v>
          </cell>
        </row>
        <row r="2666">
          <cell r="D2666">
            <v>28.03</v>
          </cell>
        </row>
        <row r="2667">
          <cell r="D2667">
            <v>28.04</v>
          </cell>
        </row>
        <row r="2668">
          <cell r="D2668">
            <v>28.05</v>
          </cell>
        </row>
        <row r="2669">
          <cell r="D2669">
            <v>28.06</v>
          </cell>
        </row>
        <row r="2670">
          <cell r="D2670">
            <v>28.07</v>
          </cell>
        </row>
        <row r="2671">
          <cell r="D2671">
            <v>28.08</v>
          </cell>
        </row>
        <row r="2672">
          <cell r="D2672">
            <v>28.09</v>
          </cell>
        </row>
        <row r="2673">
          <cell r="D2673">
            <v>28.1</v>
          </cell>
        </row>
        <row r="2674">
          <cell r="D2674">
            <v>28.11</v>
          </cell>
        </row>
        <row r="2675">
          <cell r="D2675">
            <v>28.12</v>
          </cell>
        </row>
        <row r="2676">
          <cell r="D2676">
            <v>28.13</v>
          </cell>
        </row>
        <row r="2677">
          <cell r="D2677">
            <v>28.14</v>
          </cell>
        </row>
        <row r="2678">
          <cell r="D2678">
            <v>28.15</v>
          </cell>
        </row>
        <row r="2679">
          <cell r="D2679">
            <v>28.16</v>
          </cell>
        </row>
        <row r="2680">
          <cell r="D2680">
            <v>28.17</v>
          </cell>
        </row>
        <row r="2681">
          <cell r="D2681">
            <v>28.18</v>
          </cell>
        </row>
        <row r="2682">
          <cell r="D2682">
            <v>28.19</v>
          </cell>
        </row>
        <row r="2683">
          <cell r="D2683">
            <v>28.2</v>
          </cell>
        </row>
        <row r="2684">
          <cell r="D2684">
            <v>28.21</v>
          </cell>
        </row>
        <row r="2685">
          <cell r="D2685">
            <v>28.22</v>
          </cell>
        </row>
        <row r="2686">
          <cell r="D2686">
            <v>28.23</v>
          </cell>
        </row>
        <row r="2687">
          <cell r="D2687">
            <v>28.24</v>
          </cell>
        </row>
        <row r="2688">
          <cell r="D2688">
            <v>28.25</v>
          </cell>
        </row>
        <row r="2689">
          <cell r="D2689">
            <v>28.26</v>
          </cell>
        </row>
        <row r="2690">
          <cell r="D2690">
            <v>28.27</v>
          </cell>
        </row>
        <row r="2691">
          <cell r="D2691">
            <v>28.28</v>
          </cell>
        </row>
        <row r="2692">
          <cell r="D2692">
            <v>28.29</v>
          </cell>
        </row>
        <row r="2693">
          <cell r="D2693">
            <v>28.3</v>
          </cell>
        </row>
        <row r="2694">
          <cell r="D2694">
            <v>28.31</v>
          </cell>
        </row>
        <row r="2695">
          <cell r="D2695">
            <v>28.32</v>
          </cell>
        </row>
        <row r="2696">
          <cell r="D2696">
            <v>28.33</v>
          </cell>
        </row>
        <row r="2697">
          <cell r="D2697">
            <v>28.34</v>
          </cell>
        </row>
        <row r="2698">
          <cell r="D2698">
            <v>28.35</v>
          </cell>
        </row>
        <row r="2699">
          <cell r="D2699">
            <v>28.36</v>
          </cell>
        </row>
        <row r="2700">
          <cell r="D2700">
            <v>28.37</v>
          </cell>
        </row>
        <row r="2701">
          <cell r="D2701">
            <v>28.38</v>
          </cell>
        </row>
        <row r="2702">
          <cell r="D2702">
            <v>28.39</v>
          </cell>
        </row>
        <row r="2703">
          <cell r="D2703">
            <v>28.4</v>
          </cell>
        </row>
        <row r="2704">
          <cell r="D2704">
            <v>28.41</v>
          </cell>
        </row>
        <row r="2705">
          <cell r="D2705">
            <v>28.42</v>
          </cell>
        </row>
        <row r="2706">
          <cell r="D2706">
            <v>28.43</v>
          </cell>
        </row>
        <row r="2707">
          <cell r="D2707">
            <v>28.44</v>
          </cell>
        </row>
        <row r="2708">
          <cell r="D2708">
            <v>28.45</v>
          </cell>
        </row>
        <row r="2709">
          <cell r="D2709">
            <v>28.46</v>
          </cell>
        </row>
        <row r="2710">
          <cell r="D2710">
            <v>28.47</v>
          </cell>
        </row>
        <row r="2711">
          <cell r="D2711">
            <v>28.48</v>
          </cell>
        </row>
        <row r="2712">
          <cell r="D2712">
            <v>28.49</v>
          </cell>
        </row>
        <row r="2713">
          <cell r="D2713">
            <v>28.5</v>
          </cell>
        </row>
        <row r="2714">
          <cell r="D2714">
            <v>28.51</v>
          </cell>
        </row>
        <row r="2715">
          <cell r="D2715">
            <v>28.52</v>
          </cell>
        </row>
        <row r="2716">
          <cell r="D2716">
            <v>28.53</v>
          </cell>
        </row>
        <row r="2717">
          <cell r="D2717">
            <v>28.54</v>
          </cell>
        </row>
        <row r="2718">
          <cell r="D2718">
            <v>28.55</v>
          </cell>
        </row>
        <row r="2719">
          <cell r="D2719">
            <v>28.56</v>
          </cell>
        </row>
        <row r="2720">
          <cell r="D2720">
            <v>28.57</v>
          </cell>
        </row>
        <row r="2721">
          <cell r="D2721">
            <v>28.58</v>
          </cell>
        </row>
        <row r="2722">
          <cell r="D2722">
            <v>28.59</v>
          </cell>
        </row>
        <row r="2723">
          <cell r="D2723">
            <v>28.6</v>
          </cell>
        </row>
        <row r="2724">
          <cell r="D2724">
            <v>28.61</v>
          </cell>
        </row>
        <row r="2725">
          <cell r="D2725">
            <v>28.62</v>
          </cell>
        </row>
        <row r="2726">
          <cell r="D2726">
            <v>28.63</v>
          </cell>
        </row>
        <row r="2727">
          <cell r="D2727">
            <v>28.64</v>
          </cell>
        </row>
        <row r="2728">
          <cell r="D2728">
            <v>28.65</v>
          </cell>
        </row>
        <row r="2729">
          <cell r="D2729">
            <v>28.66</v>
          </cell>
        </row>
        <row r="2730">
          <cell r="D2730">
            <v>28.67</v>
          </cell>
        </row>
        <row r="2731">
          <cell r="D2731">
            <v>28.68</v>
          </cell>
        </row>
        <row r="2732">
          <cell r="D2732">
            <v>28.69</v>
          </cell>
        </row>
        <row r="2733">
          <cell r="D2733">
            <v>28.7</v>
          </cell>
        </row>
        <row r="2734">
          <cell r="D2734">
            <v>28.71</v>
          </cell>
        </row>
        <row r="2735">
          <cell r="D2735">
            <v>28.72</v>
          </cell>
        </row>
        <row r="2736">
          <cell r="D2736">
            <v>28.73</v>
          </cell>
        </row>
        <row r="2737">
          <cell r="D2737">
            <v>28.74</v>
          </cell>
        </row>
        <row r="2738">
          <cell r="D2738">
            <v>28.75</v>
          </cell>
        </row>
        <row r="2739">
          <cell r="D2739">
            <v>28.76</v>
          </cell>
        </row>
        <row r="2740">
          <cell r="D2740">
            <v>28.77</v>
          </cell>
        </row>
        <row r="2741">
          <cell r="D2741">
            <v>28.78</v>
          </cell>
        </row>
        <row r="2742">
          <cell r="D2742">
            <v>28.79</v>
          </cell>
        </row>
        <row r="2743">
          <cell r="D2743">
            <v>28.8</v>
          </cell>
        </row>
        <row r="2744">
          <cell r="D2744">
            <v>28.81</v>
          </cell>
        </row>
        <row r="2745">
          <cell r="D2745">
            <v>28.82</v>
          </cell>
        </row>
        <row r="2746">
          <cell r="D2746">
            <v>28.83</v>
          </cell>
        </row>
        <row r="2747">
          <cell r="D2747">
            <v>28.84</v>
          </cell>
        </row>
        <row r="2748">
          <cell r="D2748">
            <v>28.85</v>
          </cell>
        </row>
        <row r="2749">
          <cell r="D2749">
            <v>28.86</v>
          </cell>
        </row>
        <row r="2750">
          <cell r="D2750">
            <v>28.87</v>
          </cell>
        </row>
        <row r="2751">
          <cell r="D2751">
            <v>28.88</v>
          </cell>
        </row>
        <row r="2752">
          <cell r="D2752">
            <v>28.89</v>
          </cell>
        </row>
        <row r="2753">
          <cell r="D2753">
            <v>28.9</v>
          </cell>
        </row>
        <row r="2754">
          <cell r="D2754">
            <v>28.91</v>
          </cell>
        </row>
        <row r="2755">
          <cell r="D2755">
            <v>28.92</v>
          </cell>
        </row>
        <row r="2756">
          <cell r="D2756">
            <v>28.93</v>
          </cell>
        </row>
        <row r="2757">
          <cell r="D2757">
            <v>28.94</v>
          </cell>
        </row>
        <row r="2758">
          <cell r="D2758">
            <v>28.95</v>
          </cell>
        </row>
        <row r="2759">
          <cell r="D2759">
            <v>28.96</v>
          </cell>
        </row>
        <row r="2760">
          <cell r="D2760">
            <v>28.97</v>
          </cell>
        </row>
        <row r="2761">
          <cell r="D2761">
            <v>28.98</v>
          </cell>
        </row>
        <row r="2762">
          <cell r="D2762">
            <v>28.99</v>
          </cell>
        </row>
        <row r="2763">
          <cell r="D2763">
            <v>29</v>
          </cell>
        </row>
        <row r="2764">
          <cell r="D2764">
            <v>29.01</v>
          </cell>
        </row>
        <row r="2765">
          <cell r="D2765">
            <v>29.02</v>
          </cell>
        </row>
        <row r="2766">
          <cell r="D2766">
            <v>29.03</v>
          </cell>
        </row>
        <row r="2767">
          <cell r="D2767">
            <v>29.04</v>
          </cell>
        </row>
        <row r="2768">
          <cell r="D2768">
            <v>29.05</v>
          </cell>
        </row>
        <row r="2769">
          <cell r="D2769">
            <v>29.06</v>
          </cell>
        </row>
        <row r="2770">
          <cell r="D2770">
            <v>29.07</v>
          </cell>
        </row>
        <row r="2771">
          <cell r="D2771">
            <v>29.08</v>
          </cell>
        </row>
        <row r="2772">
          <cell r="D2772">
            <v>29.09</v>
          </cell>
        </row>
        <row r="2773">
          <cell r="D2773">
            <v>29.1</v>
          </cell>
        </row>
        <row r="2774">
          <cell r="D2774">
            <v>29.11</v>
          </cell>
        </row>
        <row r="2775">
          <cell r="D2775">
            <v>29.12</v>
          </cell>
        </row>
        <row r="2776">
          <cell r="D2776">
            <v>29.13</v>
          </cell>
        </row>
        <row r="2777">
          <cell r="D2777">
            <v>29.14</v>
          </cell>
        </row>
        <row r="2778">
          <cell r="D2778">
            <v>29.15</v>
          </cell>
        </row>
        <row r="2779">
          <cell r="D2779">
            <v>29.16</v>
          </cell>
        </row>
        <row r="2780">
          <cell r="D2780">
            <v>29.17</v>
          </cell>
        </row>
        <row r="2781">
          <cell r="D2781">
            <v>29.18</v>
          </cell>
        </row>
        <row r="2782">
          <cell r="D2782">
            <v>29.19</v>
          </cell>
        </row>
        <row r="2783">
          <cell r="D2783">
            <v>29.2</v>
          </cell>
        </row>
        <row r="2784">
          <cell r="D2784">
            <v>29.21</v>
          </cell>
        </row>
        <row r="2785">
          <cell r="D2785">
            <v>29.22</v>
          </cell>
        </row>
        <row r="2786">
          <cell r="D2786">
            <v>29.23</v>
          </cell>
        </row>
        <row r="2787">
          <cell r="D2787">
            <v>29.24</v>
          </cell>
        </row>
        <row r="2788">
          <cell r="D2788">
            <v>29.25</v>
          </cell>
        </row>
        <row r="2789">
          <cell r="D2789">
            <v>29.26</v>
          </cell>
        </row>
        <row r="2790">
          <cell r="D2790">
            <v>29.27</v>
          </cell>
        </row>
        <row r="2791">
          <cell r="D2791">
            <v>29.28</v>
          </cell>
        </row>
        <row r="2792">
          <cell r="D2792">
            <v>29.29</v>
          </cell>
        </row>
        <row r="2793">
          <cell r="D2793">
            <v>29.3</v>
          </cell>
        </row>
        <row r="2794">
          <cell r="D2794">
            <v>29.31</v>
          </cell>
        </row>
        <row r="2795">
          <cell r="D2795">
            <v>29.32</v>
          </cell>
        </row>
        <row r="2796">
          <cell r="D2796">
            <v>29.33</v>
          </cell>
        </row>
        <row r="2797">
          <cell r="D2797">
            <v>29.34</v>
          </cell>
        </row>
        <row r="2798">
          <cell r="D2798">
            <v>29.35</v>
          </cell>
        </row>
        <row r="2799">
          <cell r="D2799">
            <v>29.36</v>
          </cell>
        </row>
        <row r="2800">
          <cell r="D2800">
            <v>29.37</v>
          </cell>
        </row>
        <row r="2801">
          <cell r="D2801">
            <v>29.38</v>
          </cell>
        </row>
        <row r="2802">
          <cell r="D2802">
            <v>29.39</v>
          </cell>
        </row>
        <row r="2803">
          <cell r="D2803">
            <v>29.4</v>
          </cell>
        </row>
        <row r="2804">
          <cell r="D2804">
            <v>29.41</v>
          </cell>
        </row>
        <row r="2805">
          <cell r="D2805">
            <v>29.42</v>
          </cell>
        </row>
        <row r="2806">
          <cell r="D2806">
            <v>29.43</v>
          </cell>
        </row>
        <row r="2807">
          <cell r="D2807">
            <v>29.44</v>
          </cell>
        </row>
        <row r="2808">
          <cell r="D2808">
            <v>29.45</v>
          </cell>
        </row>
        <row r="2809">
          <cell r="D2809">
            <v>29.46</v>
          </cell>
        </row>
        <row r="2810">
          <cell r="D2810">
            <v>29.47</v>
          </cell>
        </row>
        <row r="2811">
          <cell r="D2811">
            <v>29.48</v>
          </cell>
        </row>
        <row r="2812">
          <cell r="D2812">
            <v>29.49</v>
          </cell>
        </row>
        <row r="2813">
          <cell r="D2813">
            <v>29.5</v>
          </cell>
        </row>
        <row r="2814">
          <cell r="D2814">
            <v>29.51</v>
          </cell>
        </row>
        <row r="2815">
          <cell r="D2815">
            <v>29.52</v>
          </cell>
        </row>
        <row r="2816">
          <cell r="D2816">
            <v>29.53</v>
          </cell>
        </row>
        <row r="2817">
          <cell r="D2817">
            <v>29.54</v>
          </cell>
        </row>
        <row r="2818">
          <cell r="D2818">
            <v>29.55</v>
          </cell>
        </row>
        <row r="2819">
          <cell r="D2819">
            <v>29.56</v>
          </cell>
        </row>
        <row r="2820">
          <cell r="D2820">
            <v>29.57</v>
          </cell>
        </row>
        <row r="2821">
          <cell r="D2821">
            <v>29.58</v>
          </cell>
        </row>
        <row r="2822">
          <cell r="D2822">
            <v>29.59</v>
          </cell>
        </row>
        <row r="2823">
          <cell r="D2823">
            <v>29.6</v>
          </cell>
        </row>
        <row r="2824">
          <cell r="D2824">
            <v>29.61</v>
          </cell>
        </row>
        <row r="2825">
          <cell r="D2825">
            <v>29.62</v>
          </cell>
        </row>
        <row r="2826">
          <cell r="D2826">
            <v>29.63</v>
          </cell>
        </row>
        <row r="2827">
          <cell r="D2827">
            <v>29.64</v>
          </cell>
        </row>
        <row r="2828">
          <cell r="D2828">
            <v>29.65</v>
          </cell>
        </row>
        <row r="2829">
          <cell r="D2829">
            <v>29.66</v>
          </cell>
        </row>
        <row r="2830">
          <cell r="D2830">
            <v>29.67</v>
          </cell>
        </row>
        <row r="2831">
          <cell r="D2831">
            <v>29.68</v>
          </cell>
        </row>
        <row r="2832">
          <cell r="D2832">
            <v>29.69</v>
          </cell>
        </row>
        <row r="2833">
          <cell r="D2833">
            <v>29.7</v>
          </cell>
        </row>
        <row r="2834">
          <cell r="D2834">
            <v>29.71</v>
          </cell>
        </row>
        <row r="2835">
          <cell r="D2835">
            <v>29.72</v>
          </cell>
        </row>
        <row r="2836">
          <cell r="D2836">
            <v>29.73</v>
          </cell>
        </row>
        <row r="2837">
          <cell r="D2837">
            <v>29.74</v>
          </cell>
        </row>
        <row r="2838">
          <cell r="D2838">
            <v>29.75</v>
          </cell>
        </row>
        <row r="2839">
          <cell r="D2839">
            <v>29.76</v>
          </cell>
        </row>
        <row r="2840">
          <cell r="D2840">
            <v>29.77</v>
          </cell>
        </row>
        <row r="2841">
          <cell r="D2841">
            <v>29.78</v>
          </cell>
        </row>
        <row r="2842">
          <cell r="D2842">
            <v>29.79</v>
          </cell>
        </row>
        <row r="2843">
          <cell r="D2843">
            <v>29.8</v>
          </cell>
        </row>
        <row r="2844">
          <cell r="D2844">
            <v>29.81</v>
          </cell>
        </row>
        <row r="2845">
          <cell r="D2845">
            <v>29.82</v>
          </cell>
        </row>
        <row r="2846">
          <cell r="D2846">
            <v>29.83</v>
          </cell>
        </row>
        <row r="2847">
          <cell r="D2847">
            <v>29.84</v>
          </cell>
        </row>
        <row r="2848">
          <cell r="D2848">
            <v>29.85</v>
          </cell>
        </row>
        <row r="2849">
          <cell r="D2849">
            <v>29.86</v>
          </cell>
        </row>
        <row r="2850">
          <cell r="D2850">
            <v>29.87</v>
          </cell>
        </row>
        <row r="2851">
          <cell r="D2851">
            <v>29.88</v>
          </cell>
        </row>
        <row r="2852">
          <cell r="D2852">
            <v>29.89</v>
          </cell>
        </row>
        <row r="2853">
          <cell r="D2853">
            <v>29.9</v>
          </cell>
        </row>
        <row r="2854">
          <cell r="D2854">
            <v>29.91</v>
          </cell>
        </row>
        <row r="2855">
          <cell r="D2855">
            <v>29.92</v>
          </cell>
        </row>
        <row r="2856">
          <cell r="D2856">
            <v>29.93</v>
          </cell>
        </row>
        <row r="2857">
          <cell r="D2857">
            <v>29.94</v>
          </cell>
        </row>
        <row r="2858">
          <cell r="D2858">
            <v>29.95</v>
          </cell>
        </row>
        <row r="2859">
          <cell r="D2859">
            <v>29.96</v>
          </cell>
        </row>
        <row r="2860">
          <cell r="D2860">
            <v>29.97</v>
          </cell>
        </row>
        <row r="2861">
          <cell r="D2861">
            <v>29.98</v>
          </cell>
        </row>
        <row r="2862">
          <cell r="D2862">
            <v>29.99</v>
          </cell>
        </row>
        <row r="2863">
          <cell r="D2863">
            <v>30</v>
          </cell>
        </row>
        <row r="2864">
          <cell r="D2864">
            <v>30.01</v>
          </cell>
        </row>
        <row r="2865">
          <cell r="D2865">
            <v>30.02</v>
          </cell>
        </row>
        <row r="2866">
          <cell r="D2866">
            <v>30.03</v>
          </cell>
        </row>
        <row r="2867">
          <cell r="D2867">
            <v>30.04</v>
          </cell>
        </row>
        <row r="2868">
          <cell r="D2868">
            <v>30.05</v>
          </cell>
        </row>
        <row r="2869">
          <cell r="D2869">
            <v>30.06</v>
          </cell>
        </row>
        <row r="2870">
          <cell r="D2870">
            <v>30.07</v>
          </cell>
        </row>
        <row r="2871">
          <cell r="D2871">
            <v>30.08</v>
          </cell>
        </row>
        <row r="2872">
          <cell r="D2872">
            <v>30.09</v>
          </cell>
        </row>
        <row r="2873">
          <cell r="D2873">
            <v>30.1</v>
          </cell>
        </row>
        <row r="2874">
          <cell r="D2874">
            <v>30.11</v>
          </cell>
        </row>
        <row r="2875">
          <cell r="D2875">
            <v>30.12</v>
          </cell>
        </row>
        <row r="2876">
          <cell r="D2876">
            <v>30.13</v>
          </cell>
        </row>
        <row r="2877">
          <cell r="D2877">
            <v>30.14</v>
          </cell>
        </row>
        <row r="2878">
          <cell r="D2878">
            <v>30.15</v>
          </cell>
        </row>
        <row r="2879">
          <cell r="D2879">
            <v>30.16</v>
          </cell>
        </row>
        <row r="2880">
          <cell r="D2880">
            <v>30.17</v>
          </cell>
        </row>
        <row r="2881">
          <cell r="D2881">
            <v>30.18</v>
          </cell>
        </row>
        <row r="2882">
          <cell r="D2882">
            <v>30.19</v>
          </cell>
        </row>
        <row r="2883">
          <cell r="D2883">
            <v>30.2</v>
          </cell>
        </row>
        <row r="2884">
          <cell r="D2884">
            <v>30.21</v>
          </cell>
        </row>
        <row r="2885">
          <cell r="D2885">
            <v>30.22</v>
          </cell>
        </row>
        <row r="2886">
          <cell r="D2886">
            <v>30.23</v>
          </cell>
        </row>
        <row r="2887">
          <cell r="D2887">
            <v>30.24</v>
          </cell>
        </row>
        <row r="2888">
          <cell r="D2888">
            <v>30.25</v>
          </cell>
        </row>
        <row r="2889">
          <cell r="D2889">
            <v>30.26</v>
          </cell>
        </row>
        <row r="2890">
          <cell r="D2890">
            <v>30.27</v>
          </cell>
        </row>
        <row r="2891">
          <cell r="D2891">
            <v>30.28</v>
          </cell>
        </row>
        <row r="2892">
          <cell r="D2892">
            <v>30.29</v>
          </cell>
        </row>
        <row r="2893">
          <cell r="D2893">
            <v>30.3</v>
          </cell>
        </row>
        <row r="2894">
          <cell r="D2894">
            <v>30.31</v>
          </cell>
        </row>
        <row r="2895">
          <cell r="D2895">
            <v>30.32</v>
          </cell>
        </row>
        <row r="2896">
          <cell r="D2896">
            <v>30.33</v>
          </cell>
        </row>
        <row r="2897">
          <cell r="D2897">
            <v>30.34</v>
          </cell>
        </row>
        <row r="2898">
          <cell r="D2898">
            <v>30.35</v>
          </cell>
        </row>
        <row r="2899">
          <cell r="D2899">
            <v>30.36</v>
          </cell>
        </row>
        <row r="2900">
          <cell r="D2900">
            <v>30.37</v>
          </cell>
        </row>
        <row r="2901">
          <cell r="D2901">
            <v>30.38</v>
          </cell>
        </row>
        <row r="2902">
          <cell r="D2902">
            <v>30.39</v>
          </cell>
        </row>
        <row r="2903">
          <cell r="D2903">
            <v>30.4</v>
          </cell>
        </row>
        <row r="2904">
          <cell r="D2904">
            <v>30.41</v>
          </cell>
        </row>
        <row r="2905">
          <cell r="D2905">
            <v>30.42</v>
          </cell>
        </row>
        <row r="2906">
          <cell r="D2906">
            <v>30.43</v>
          </cell>
        </row>
        <row r="2907">
          <cell r="D2907">
            <v>30.44</v>
          </cell>
        </row>
        <row r="2908">
          <cell r="D2908">
            <v>30.45</v>
          </cell>
        </row>
        <row r="2909">
          <cell r="D2909">
            <v>30.46</v>
          </cell>
        </row>
        <row r="2910">
          <cell r="D2910">
            <v>30.47</v>
          </cell>
        </row>
        <row r="2911">
          <cell r="D2911">
            <v>30.48</v>
          </cell>
        </row>
        <row r="2912">
          <cell r="D2912">
            <v>30.49</v>
          </cell>
        </row>
        <row r="2913">
          <cell r="D2913">
            <v>30.5</v>
          </cell>
        </row>
        <row r="2914">
          <cell r="D2914">
            <v>30.51</v>
          </cell>
        </row>
        <row r="2915">
          <cell r="D2915">
            <v>30.52</v>
          </cell>
        </row>
        <row r="2916">
          <cell r="D2916">
            <v>30.53</v>
          </cell>
        </row>
        <row r="2917">
          <cell r="D2917">
            <v>30.54</v>
          </cell>
        </row>
        <row r="2918">
          <cell r="D2918">
            <v>30.55</v>
          </cell>
        </row>
        <row r="2919">
          <cell r="D2919">
            <v>30.56</v>
          </cell>
        </row>
        <row r="2920">
          <cell r="D2920">
            <v>30.57</v>
          </cell>
        </row>
        <row r="2921">
          <cell r="D2921">
            <v>30.58</v>
          </cell>
        </row>
        <row r="2922">
          <cell r="D2922">
            <v>30.59</v>
          </cell>
        </row>
        <row r="2923">
          <cell r="D2923">
            <v>30.6</v>
          </cell>
        </row>
        <row r="2924">
          <cell r="D2924">
            <v>30.61</v>
          </cell>
        </row>
        <row r="2925">
          <cell r="D2925">
            <v>30.62</v>
          </cell>
        </row>
        <row r="2926">
          <cell r="D2926">
            <v>30.63</v>
          </cell>
        </row>
        <row r="2927">
          <cell r="D2927">
            <v>30.64</v>
          </cell>
        </row>
        <row r="2928">
          <cell r="D2928">
            <v>30.65</v>
          </cell>
        </row>
        <row r="2929">
          <cell r="D2929">
            <v>30.66</v>
          </cell>
        </row>
        <row r="2930">
          <cell r="D2930">
            <v>30.67</v>
          </cell>
        </row>
        <row r="2931">
          <cell r="D2931">
            <v>30.68</v>
          </cell>
        </row>
        <row r="2932">
          <cell r="D2932">
            <v>30.69</v>
          </cell>
        </row>
        <row r="2933">
          <cell r="D2933">
            <v>30.7</v>
          </cell>
        </row>
        <row r="2934">
          <cell r="D2934">
            <v>30.71</v>
          </cell>
        </row>
        <row r="2935">
          <cell r="D2935">
            <v>30.72</v>
          </cell>
        </row>
        <row r="2936">
          <cell r="D2936">
            <v>30.73</v>
          </cell>
        </row>
        <row r="2937">
          <cell r="D2937">
            <v>30.74</v>
          </cell>
        </row>
        <row r="2938">
          <cell r="D2938">
            <v>30.75</v>
          </cell>
        </row>
        <row r="2939">
          <cell r="D2939">
            <v>30.76</v>
          </cell>
        </row>
        <row r="2940">
          <cell r="D2940">
            <v>30.77</v>
          </cell>
        </row>
        <row r="2941">
          <cell r="D2941">
            <v>30.78</v>
          </cell>
        </row>
        <row r="2942">
          <cell r="D2942">
            <v>30.79</v>
          </cell>
        </row>
        <row r="2943">
          <cell r="D2943">
            <v>30.8</v>
          </cell>
        </row>
        <row r="2944">
          <cell r="D2944">
            <v>30.81</v>
          </cell>
        </row>
        <row r="2945">
          <cell r="D2945">
            <v>30.82</v>
          </cell>
        </row>
        <row r="2946">
          <cell r="D2946">
            <v>30.83</v>
          </cell>
        </row>
        <row r="2947">
          <cell r="D2947">
            <v>30.84</v>
          </cell>
        </row>
        <row r="2948">
          <cell r="D2948">
            <v>30.85</v>
          </cell>
        </row>
        <row r="2949">
          <cell r="D2949">
            <v>30.86</v>
          </cell>
        </row>
        <row r="2950">
          <cell r="D2950">
            <v>30.87</v>
          </cell>
        </row>
        <row r="2951">
          <cell r="D2951">
            <v>30.88</v>
          </cell>
        </row>
        <row r="2952">
          <cell r="D2952">
            <v>30.89</v>
          </cell>
        </row>
        <row r="2953">
          <cell r="D2953">
            <v>30.9</v>
          </cell>
        </row>
        <row r="2954">
          <cell r="D2954">
            <v>30.91</v>
          </cell>
        </row>
        <row r="2955">
          <cell r="D2955">
            <v>30.92</v>
          </cell>
        </row>
        <row r="2956">
          <cell r="D2956">
            <v>30.93</v>
          </cell>
        </row>
        <row r="2957">
          <cell r="D2957">
            <v>30.94</v>
          </cell>
        </row>
        <row r="2958">
          <cell r="D2958">
            <v>30.95</v>
          </cell>
        </row>
        <row r="2959">
          <cell r="D2959">
            <v>30.96</v>
          </cell>
        </row>
        <row r="2960">
          <cell r="D2960">
            <v>30.97</v>
          </cell>
        </row>
        <row r="2961">
          <cell r="D2961">
            <v>30.98</v>
          </cell>
        </row>
        <row r="2962">
          <cell r="D2962">
            <v>30.99</v>
          </cell>
        </row>
        <row r="2963">
          <cell r="D2963">
            <v>31</v>
          </cell>
        </row>
        <row r="2964">
          <cell r="D2964">
            <v>31.01</v>
          </cell>
        </row>
        <row r="2965">
          <cell r="D2965">
            <v>31.02</v>
          </cell>
        </row>
        <row r="2966">
          <cell r="D2966">
            <v>31.03</v>
          </cell>
        </row>
        <row r="2967">
          <cell r="D2967">
            <v>31.04</v>
          </cell>
        </row>
        <row r="2968">
          <cell r="D2968">
            <v>31.05</v>
          </cell>
        </row>
        <row r="2969">
          <cell r="D2969">
            <v>31.06</v>
          </cell>
        </row>
        <row r="2970">
          <cell r="D2970">
            <v>31.07</v>
          </cell>
        </row>
        <row r="2971">
          <cell r="D2971">
            <v>31.08</v>
          </cell>
        </row>
        <row r="2972">
          <cell r="D2972">
            <v>31.09</v>
          </cell>
        </row>
        <row r="2973">
          <cell r="D2973">
            <v>31.1</v>
          </cell>
        </row>
        <row r="2974">
          <cell r="D2974">
            <v>31.11</v>
          </cell>
        </row>
        <row r="2975">
          <cell r="D2975">
            <v>31.12</v>
          </cell>
        </row>
        <row r="2976">
          <cell r="D2976">
            <v>31.13</v>
          </cell>
        </row>
        <row r="2977">
          <cell r="D2977">
            <v>31.14</v>
          </cell>
        </row>
        <row r="2978">
          <cell r="D2978">
            <v>31.15</v>
          </cell>
        </row>
        <row r="2979">
          <cell r="D2979">
            <v>31.16</v>
          </cell>
        </row>
        <row r="2980">
          <cell r="D2980">
            <v>31.17</v>
          </cell>
        </row>
        <row r="2981">
          <cell r="D2981">
            <v>31.18</v>
          </cell>
        </row>
        <row r="2982">
          <cell r="D2982">
            <v>31.19</v>
          </cell>
        </row>
        <row r="2983">
          <cell r="D2983">
            <v>31.2</v>
          </cell>
        </row>
        <row r="2984">
          <cell r="D2984">
            <v>31.21</v>
          </cell>
        </row>
        <row r="2985">
          <cell r="D2985">
            <v>31.22</v>
          </cell>
        </row>
        <row r="2986">
          <cell r="D2986">
            <v>31.23</v>
          </cell>
        </row>
        <row r="2987">
          <cell r="D2987">
            <v>31.24</v>
          </cell>
        </row>
        <row r="2988">
          <cell r="D2988">
            <v>31.25</v>
          </cell>
        </row>
        <row r="2989">
          <cell r="D2989">
            <v>31.26</v>
          </cell>
        </row>
        <row r="2990">
          <cell r="D2990">
            <v>31.27</v>
          </cell>
        </row>
        <row r="2991">
          <cell r="D2991">
            <v>31.28</v>
          </cell>
        </row>
        <row r="2992">
          <cell r="D2992">
            <v>31.29</v>
          </cell>
        </row>
        <row r="2993">
          <cell r="D2993">
            <v>31.3</v>
          </cell>
        </row>
        <row r="2994">
          <cell r="D2994">
            <v>31.31</v>
          </cell>
        </row>
        <row r="2995">
          <cell r="D2995">
            <v>31.32</v>
          </cell>
        </row>
        <row r="2996">
          <cell r="D2996">
            <v>31.33</v>
          </cell>
        </row>
        <row r="2997">
          <cell r="D2997">
            <v>31.34</v>
          </cell>
        </row>
        <row r="2998">
          <cell r="D2998">
            <v>31.35</v>
          </cell>
        </row>
        <row r="2999">
          <cell r="D2999">
            <v>31.36</v>
          </cell>
        </row>
        <row r="3000">
          <cell r="D3000">
            <v>31.37</v>
          </cell>
        </row>
        <row r="3001">
          <cell r="D3001">
            <v>31.38</v>
          </cell>
        </row>
        <row r="3002">
          <cell r="D3002">
            <v>31.39</v>
          </cell>
        </row>
        <row r="3003">
          <cell r="D3003">
            <v>31.4</v>
          </cell>
        </row>
        <row r="3004">
          <cell r="D3004">
            <v>31.41</v>
          </cell>
        </row>
        <row r="3005">
          <cell r="D3005">
            <v>31.42</v>
          </cell>
        </row>
        <row r="3006">
          <cell r="D3006">
            <v>31.43</v>
          </cell>
        </row>
        <row r="3007">
          <cell r="D3007">
            <v>31.44</v>
          </cell>
        </row>
        <row r="3008">
          <cell r="D3008">
            <v>31.45</v>
          </cell>
        </row>
        <row r="3009">
          <cell r="D3009">
            <v>31.46</v>
          </cell>
        </row>
        <row r="3010">
          <cell r="D3010">
            <v>31.47</v>
          </cell>
        </row>
        <row r="3011">
          <cell r="D3011">
            <v>31.48</v>
          </cell>
        </row>
        <row r="3012">
          <cell r="D3012">
            <v>31.49</v>
          </cell>
        </row>
        <row r="3013">
          <cell r="D3013">
            <v>31.5</v>
          </cell>
        </row>
        <row r="3014">
          <cell r="D3014">
            <v>31.51</v>
          </cell>
        </row>
        <row r="3015">
          <cell r="D3015">
            <v>31.52</v>
          </cell>
        </row>
        <row r="3016">
          <cell r="D3016">
            <v>31.53</v>
          </cell>
        </row>
        <row r="3017">
          <cell r="D3017">
            <v>31.54</v>
          </cell>
        </row>
        <row r="3018">
          <cell r="D3018">
            <v>31.55</v>
          </cell>
        </row>
        <row r="3019">
          <cell r="D3019">
            <v>31.56</v>
          </cell>
        </row>
        <row r="3020">
          <cell r="D3020">
            <v>31.57</v>
          </cell>
        </row>
        <row r="3021">
          <cell r="D3021">
            <v>31.58</v>
          </cell>
        </row>
        <row r="3022">
          <cell r="D3022">
            <v>31.59</v>
          </cell>
        </row>
        <row r="3023">
          <cell r="D3023">
            <v>31.6</v>
          </cell>
        </row>
        <row r="3024">
          <cell r="D3024">
            <v>31.61</v>
          </cell>
        </row>
        <row r="3025">
          <cell r="D3025">
            <v>31.62</v>
          </cell>
        </row>
        <row r="3026">
          <cell r="D3026">
            <v>31.63</v>
          </cell>
        </row>
        <row r="3027">
          <cell r="D3027">
            <v>31.64</v>
          </cell>
        </row>
        <row r="3028">
          <cell r="D3028">
            <v>31.65</v>
          </cell>
        </row>
        <row r="3029">
          <cell r="D3029">
            <v>31.66</v>
          </cell>
        </row>
        <row r="3030">
          <cell r="D3030">
            <v>31.67</v>
          </cell>
        </row>
        <row r="3031">
          <cell r="D3031">
            <v>31.68</v>
          </cell>
        </row>
        <row r="3032">
          <cell r="D3032">
            <v>31.69</v>
          </cell>
        </row>
        <row r="3033">
          <cell r="D3033">
            <v>31.7</v>
          </cell>
        </row>
        <row r="3034">
          <cell r="D3034">
            <v>31.71</v>
          </cell>
        </row>
        <row r="3035">
          <cell r="D3035">
            <v>31.72</v>
          </cell>
        </row>
        <row r="3036">
          <cell r="D3036">
            <v>31.73</v>
          </cell>
        </row>
        <row r="3037">
          <cell r="D3037">
            <v>31.74</v>
          </cell>
        </row>
        <row r="3038">
          <cell r="D3038">
            <v>31.75</v>
          </cell>
        </row>
        <row r="3039">
          <cell r="D3039">
            <v>31.76</v>
          </cell>
        </row>
        <row r="3040">
          <cell r="D3040">
            <v>31.77</v>
          </cell>
        </row>
        <row r="3041">
          <cell r="D3041">
            <v>31.78</v>
          </cell>
        </row>
        <row r="3042">
          <cell r="D3042">
            <v>31.79</v>
          </cell>
        </row>
        <row r="3043">
          <cell r="D3043">
            <v>31.8</v>
          </cell>
        </row>
        <row r="3044">
          <cell r="D3044">
            <v>31.81</v>
          </cell>
        </row>
        <row r="3045">
          <cell r="D3045">
            <v>31.82</v>
          </cell>
        </row>
        <row r="3046">
          <cell r="D3046">
            <v>31.83</v>
          </cell>
        </row>
        <row r="3047">
          <cell r="D3047">
            <v>31.84</v>
          </cell>
        </row>
        <row r="3048">
          <cell r="D3048">
            <v>31.85</v>
          </cell>
        </row>
        <row r="3049">
          <cell r="D3049">
            <v>31.86</v>
          </cell>
        </row>
        <row r="3050">
          <cell r="D3050">
            <v>31.87</v>
          </cell>
        </row>
        <row r="3051">
          <cell r="D3051">
            <v>31.88</v>
          </cell>
        </row>
        <row r="3052">
          <cell r="D3052">
            <v>31.89</v>
          </cell>
        </row>
        <row r="3053">
          <cell r="D3053">
            <v>31.9</v>
          </cell>
        </row>
        <row r="3054">
          <cell r="D3054">
            <v>31.91</v>
          </cell>
        </row>
        <row r="3055">
          <cell r="D3055">
            <v>31.92</v>
          </cell>
        </row>
        <row r="3056">
          <cell r="D3056">
            <v>31.93</v>
          </cell>
        </row>
        <row r="3057">
          <cell r="D3057">
            <v>31.94</v>
          </cell>
        </row>
        <row r="3058">
          <cell r="D3058">
            <v>31.95</v>
          </cell>
        </row>
        <row r="3059">
          <cell r="D3059">
            <v>31.96</v>
          </cell>
        </row>
        <row r="3060">
          <cell r="D3060">
            <v>31.97</v>
          </cell>
        </row>
        <row r="3061">
          <cell r="D3061">
            <v>31.98</v>
          </cell>
        </row>
        <row r="3062">
          <cell r="D3062">
            <v>31.99</v>
          </cell>
        </row>
        <row r="3063">
          <cell r="D3063">
            <v>32</v>
          </cell>
        </row>
        <row r="3064">
          <cell r="D3064">
            <v>32.01</v>
          </cell>
        </row>
        <row r="3065">
          <cell r="D3065">
            <v>32.020000000000003</v>
          </cell>
        </row>
        <row r="3066">
          <cell r="D3066">
            <v>32.03</v>
          </cell>
        </row>
        <row r="3067">
          <cell r="D3067">
            <v>32.04</v>
          </cell>
        </row>
        <row r="3068">
          <cell r="D3068">
            <v>32.049999999999997</v>
          </cell>
        </row>
        <row r="3069">
          <cell r="D3069">
            <v>32.06</v>
          </cell>
        </row>
        <row r="3070">
          <cell r="D3070">
            <v>32.07</v>
          </cell>
        </row>
        <row r="3071">
          <cell r="D3071">
            <v>32.08</v>
          </cell>
        </row>
        <row r="3072">
          <cell r="D3072">
            <v>32.090000000000003</v>
          </cell>
        </row>
        <row r="3073">
          <cell r="D3073">
            <v>32.1</v>
          </cell>
        </row>
        <row r="3074">
          <cell r="D3074">
            <v>32.11</v>
          </cell>
        </row>
        <row r="3075">
          <cell r="D3075">
            <v>32.119999999999997</v>
          </cell>
        </row>
        <row r="3076">
          <cell r="D3076">
            <v>32.130000000000003</v>
          </cell>
        </row>
        <row r="3077">
          <cell r="D3077">
            <v>32.14</v>
          </cell>
        </row>
        <row r="3078">
          <cell r="D3078">
            <v>32.15</v>
          </cell>
        </row>
        <row r="3079">
          <cell r="D3079">
            <v>32.159999999999997</v>
          </cell>
        </row>
        <row r="3080">
          <cell r="D3080">
            <v>32.17</v>
          </cell>
        </row>
        <row r="3081">
          <cell r="D3081">
            <v>32.18</v>
          </cell>
        </row>
        <row r="3082">
          <cell r="D3082">
            <v>32.19</v>
          </cell>
        </row>
        <row r="3083">
          <cell r="D3083">
            <v>32.200000000000003</v>
          </cell>
        </row>
        <row r="3084">
          <cell r="D3084">
            <v>32.21</v>
          </cell>
        </row>
        <row r="3085">
          <cell r="D3085">
            <v>32.22</v>
          </cell>
        </row>
        <row r="3086">
          <cell r="D3086">
            <v>32.229999999999997</v>
          </cell>
        </row>
        <row r="3087">
          <cell r="D3087">
            <v>32.24</v>
          </cell>
        </row>
        <row r="3088">
          <cell r="D3088">
            <v>32.25</v>
          </cell>
        </row>
        <row r="3089">
          <cell r="D3089">
            <v>32.26</v>
          </cell>
        </row>
        <row r="3090">
          <cell r="D3090">
            <v>32.270000000000003</v>
          </cell>
        </row>
        <row r="3091">
          <cell r="D3091">
            <v>32.28</v>
          </cell>
        </row>
        <row r="3092">
          <cell r="D3092">
            <v>32.29</v>
          </cell>
        </row>
        <row r="3093">
          <cell r="D3093">
            <v>32.299999999999997</v>
          </cell>
        </row>
        <row r="3094">
          <cell r="D3094">
            <v>32.31</v>
          </cell>
        </row>
        <row r="3095">
          <cell r="D3095">
            <v>32.32</v>
          </cell>
        </row>
        <row r="3096">
          <cell r="D3096">
            <v>32.33</v>
          </cell>
        </row>
        <row r="3097">
          <cell r="D3097">
            <v>32.340000000000003</v>
          </cell>
        </row>
        <row r="3098">
          <cell r="D3098">
            <v>32.35</v>
          </cell>
        </row>
        <row r="3099">
          <cell r="D3099">
            <v>32.36</v>
          </cell>
        </row>
        <row r="3100">
          <cell r="D3100">
            <v>32.369999999999997</v>
          </cell>
        </row>
        <row r="3101">
          <cell r="D3101">
            <v>32.380000000000003</v>
          </cell>
        </row>
        <row r="3102">
          <cell r="D3102">
            <v>32.39</v>
          </cell>
        </row>
        <row r="3103">
          <cell r="D3103">
            <v>32.4</v>
          </cell>
        </row>
        <row r="3104">
          <cell r="D3104">
            <v>32.409999999999997</v>
          </cell>
        </row>
        <row r="3105">
          <cell r="D3105">
            <v>32.42</v>
          </cell>
        </row>
        <row r="3106">
          <cell r="D3106">
            <v>32.43</v>
          </cell>
        </row>
        <row r="3107">
          <cell r="D3107">
            <v>32.44</v>
          </cell>
        </row>
        <row r="3108">
          <cell r="D3108">
            <v>32.450000000000003</v>
          </cell>
        </row>
        <row r="3109">
          <cell r="D3109">
            <v>32.46</v>
          </cell>
        </row>
        <row r="3110">
          <cell r="D3110">
            <v>32.47</v>
          </cell>
        </row>
        <row r="3111">
          <cell r="D3111">
            <v>32.479999999999997</v>
          </cell>
        </row>
        <row r="3112">
          <cell r="D3112">
            <v>32.49</v>
          </cell>
        </row>
        <row r="3113">
          <cell r="D3113">
            <v>32.5</v>
          </cell>
        </row>
        <row r="3114">
          <cell r="D3114">
            <v>32.51</v>
          </cell>
        </row>
        <row r="3115">
          <cell r="D3115">
            <v>32.520000000000003</v>
          </cell>
        </row>
        <row r="3116">
          <cell r="D3116">
            <v>32.53</v>
          </cell>
        </row>
        <row r="3117">
          <cell r="D3117">
            <v>32.54</v>
          </cell>
        </row>
        <row r="3118">
          <cell r="D3118">
            <v>32.549999999999997</v>
          </cell>
        </row>
        <row r="3119">
          <cell r="D3119">
            <v>32.56</v>
          </cell>
        </row>
        <row r="3120">
          <cell r="D3120">
            <v>32.57</v>
          </cell>
        </row>
        <row r="3121">
          <cell r="D3121">
            <v>32.58</v>
          </cell>
        </row>
        <row r="3122">
          <cell r="D3122">
            <v>32.590000000000003</v>
          </cell>
        </row>
        <row r="3123">
          <cell r="D3123">
            <v>32.6</v>
          </cell>
        </row>
        <row r="3124">
          <cell r="D3124">
            <v>32.61</v>
          </cell>
        </row>
        <row r="3125">
          <cell r="D3125">
            <v>32.619999999999997</v>
          </cell>
        </row>
        <row r="3126">
          <cell r="D3126">
            <v>32.630000000000003</v>
          </cell>
        </row>
        <row r="3127">
          <cell r="D3127">
            <v>32.64</v>
          </cell>
        </row>
        <row r="3128">
          <cell r="D3128">
            <v>32.65</v>
          </cell>
        </row>
        <row r="3129">
          <cell r="D3129">
            <v>32.659999999999997</v>
          </cell>
        </row>
        <row r="3130">
          <cell r="D3130">
            <v>32.67</v>
          </cell>
        </row>
        <row r="3131">
          <cell r="D3131">
            <v>32.68</v>
          </cell>
        </row>
        <row r="3132">
          <cell r="D3132">
            <v>32.69</v>
          </cell>
        </row>
        <row r="3133">
          <cell r="D3133">
            <v>32.700000000000003</v>
          </cell>
        </row>
        <row r="3134">
          <cell r="D3134">
            <v>32.71</v>
          </cell>
        </row>
        <row r="3135">
          <cell r="D3135">
            <v>32.72</v>
          </cell>
        </row>
        <row r="3136">
          <cell r="D3136">
            <v>32.729999999999997</v>
          </cell>
        </row>
        <row r="3137">
          <cell r="D3137">
            <v>32.74</v>
          </cell>
        </row>
        <row r="3138">
          <cell r="D3138">
            <v>32.75</v>
          </cell>
        </row>
        <row r="3139">
          <cell r="D3139">
            <v>32.76</v>
          </cell>
        </row>
        <row r="3140">
          <cell r="D3140">
            <v>32.770000000000003</v>
          </cell>
        </row>
        <row r="3141">
          <cell r="D3141">
            <v>32.78</v>
          </cell>
        </row>
        <row r="3142">
          <cell r="D3142">
            <v>32.79</v>
          </cell>
        </row>
        <row r="3143">
          <cell r="D3143">
            <v>32.799999999999997</v>
          </cell>
        </row>
        <row r="3144">
          <cell r="D3144">
            <v>32.81</v>
          </cell>
        </row>
        <row r="3145">
          <cell r="D3145">
            <v>32.82</v>
          </cell>
        </row>
        <row r="3146">
          <cell r="D3146">
            <v>32.83</v>
          </cell>
        </row>
        <row r="3147">
          <cell r="D3147">
            <v>32.840000000000003</v>
          </cell>
        </row>
        <row r="3148">
          <cell r="D3148">
            <v>32.85</v>
          </cell>
        </row>
        <row r="3149">
          <cell r="D3149">
            <v>32.86</v>
          </cell>
        </row>
        <row r="3150">
          <cell r="D3150">
            <v>32.869999999999997</v>
          </cell>
        </row>
        <row r="3151">
          <cell r="D3151">
            <v>32.880000000000003</v>
          </cell>
        </row>
        <row r="3152">
          <cell r="D3152">
            <v>32.89</v>
          </cell>
        </row>
        <row r="3153">
          <cell r="D3153">
            <v>32.9</v>
          </cell>
        </row>
        <row r="3154">
          <cell r="D3154">
            <v>32.909999999999997</v>
          </cell>
        </row>
        <row r="3155">
          <cell r="D3155">
            <v>32.92</v>
          </cell>
        </row>
        <row r="3156">
          <cell r="D3156">
            <v>32.93</v>
          </cell>
        </row>
        <row r="3157">
          <cell r="D3157">
            <v>32.94</v>
          </cell>
        </row>
        <row r="3158">
          <cell r="D3158">
            <v>32.950000000000003</v>
          </cell>
        </row>
        <row r="3159">
          <cell r="D3159">
            <v>32.96</v>
          </cell>
        </row>
        <row r="3160">
          <cell r="D3160">
            <v>32.97</v>
          </cell>
        </row>
        <row r="3161">
          <cell r="D3161">
            <v>32.979999999999997</v>
          </cell>
        </row>
        <row r="3162">
          <cell r="D3162">
            <v>32.99</v>
          </cell>
        </row>
        <row r="3163">
          <cell r="D3163">
            <v>33</v>
          </cell>
        </row>
        <row r="3164">
          <cell r="D3164">
            <v>33.01</v>
          </cell>
        </row>
        <row r="3165">
          <cell r="D3165">
            <v>33.020000000000003</v>
          </cell>
        </row>
        <row r="3166">
          <cell r="D3166">
            <v>33.03</v>
          </cell>
        </row>
        <row r="3167">
          <cell r="D3167">
            <v>33.04</v>
          </cell>
        </row>
        <row r="3168">
          <cell r="D3168">
            <v>33.049999999999997</v>
          </cell>
        </row>
        <row r="3169">
          <cell r="D3169">
            <v>33.06</v>
          </cell>
        </row>
        <row r="3170">
          <cell r="D3170">
            <v>33.07</v>
          </cell>
        </row>
        <row r="3171">
          <cell r="D3171">
            <v>33.08</v>
          </cell>
        </row>
        <row r="3172">
          <cell r="D3172">
            <v>33.090000000000003</v>
          </cell>
        </row>
        <row r="3173">
          <cell r="D3173">
            <v>33.1</v>
          </cell>
        </row>
        <row r="3174">
          <cell r="D3174">
            <v>33.11</v>
          </cell>
        </row>
        <row r="3175">
          <cell r="D3175">
            <v>33.119999999999997</v>
          </cell>
        </row>
        <row r="3176">
          <cell r="D3176">
            <v>33.130000000000003</v>
          </cell>
        </row>
        <row r="3177">
          <cell r="D3177">
            <v>33.14</v>
          </cell>
        </row>
        <row r="3178">
          <cell r="D3178">
            <v>33.15</v>
          </cell>
        </row>
        <row r="3179">
          <cell r="D3179">
            <v>33.159999999999997</v>
          </cell>
        </row>
        <row r="3180">
          <cell r="D3180">
            <v>33.17</v>
          </cell>
        </row>
        <row r="3181">
          <cell r="D3181">
            <v>33.18</v>
          </cell>
        </row>
        <row r="3182">
          <cell r="D3182">
            <v>33.19</v>
          </cell>
        </row>
        <row r="3183">
          <cell r="D3183">
            <v>33.200000000000003</v>
          </cell>
        </row>
        <row r="3184">
          <cell r="D3184">
            <v>33.21</v>
          </cell>
        </row>
        <row r="3185">
          <cell r="D3185">
            <v>33.22</v>
          </cell>
        </row>
        <row r="3186">
          <cell r="D3186">
            <v>33.229999999999997</v>
          </cell>
        </row>
        <row r="3187">
          <cell r="D3187">
            <v>33.24</v>
          </cell>
        </row>
        <row r="3188">
          <cell r="D3188">
            <v>33.25</v>
          </cell>
        </row>
        <row r="3189">
          <cell r="D3189">
            <v>33.26</v>
          </cell>
        </row>
        <row r="3190">
          <cell r="D3190">
            <v>33.270000000000003</v>
          </cell>
        </row>
        <row r="3191">
          <cell r="D3191">
            <v>33.28</v>
          </cell>
        </row>
        <row r="3192">
          <cell r="D3192">
            <v>33.29</v>
          </cell>
        </row>
        <row r="3193">
          <cell r="D3193">
            <v>33.299999999999997</v>
          </cell>
        </row>
        <row r="3194">
          <cell r="D3194">
            <v>33.31</v>
          </cell>
        </row>
        <row r="3195">
          <cell r="D3195">
            <v>33.32</v>
          </cell>
        </row>
        <row r="3196">
          <cell r="D3196">
            <v>33.33</v>
          </cell>
        </row>
        <row r="3197">
          <cell r="D3197">
            <v>33.340000000000003</v>
          </cell>
        </row>
        <row r="3198">
          <cell r="D3198">
            <v>33.35</v>
          </cell>
        </row>
        <row r="3199">
          <cell r="D3199">
            <v>33.36</v>
          </cell>
        </row>
        <row r="3200">
          <cell r="D3200">
            <v>33.369999999999997</v>
          </cell>
        </row>
        <row r="3201">
          <cell r="D3201">
            <v>33.380000000000003</v>
          </cell>
        </row>
        <row r="3202">
          <cell r="D3202">
            <v>33.39</v>
          </cell>
        </row>
        <row r="3203">
          <cell r="D3203">
            <v>33.4</v>
          </cell>
        </row>
        <row r="3204">
          <cell r="D3204">
            <v>33.409999999999997</v>
          </cell>
        </row>
        <row r="3205">
          <cell r="D3205">
            <v>33.42</v>
          </cell>
        </row>
        <row r="3206">
          <cell r="D3206">
            <v>33.43</v>
          </cell>
        </row>
        <row r="3207">
          <cell r="D3207">
            <v>33.44</v>
          </cell>
        </row>
        <row r="3208">
          <cell r="D3208">
            <v>33.450000000000003</v>
          </cell>
        </row>
        <row r="3209">
          <cell r="D3209">
            <v>33.46</v>
          </cell>
        </row>
        <row r="3210">
          <cell r="D3210">
            <v>33.47</v>
          </cell>
        </row>
        <row r="3211">
          <cell r="D3211">
            <v>33.479999999999997</v>
          </cell>
        </row>
        <row r="3212">
          <cell r="D3212">
            <v>33.49</v>
          </cell>
        </row>
        <row r="3213">
          <cell r="D3213">
            <v>33.5</v>
          </cell>
        </row>
        <row r="3214">
          <cell r="D3214">
            <v>33.51</v>
          </cell>
        </row>
        <row r="3215">
          <cell r="D3215">
            <v>33.520000000000003</v>
          </cell>
        </row>
        <row r="3216">
          <cell r="D3216">
            <v>33.53</v>
          </cell>
        </row>
        <row r="3217">
          <cell r="D3217">
            <v>33.54</v>
          </cell>
        </row>
        <row r="3218">
          <cell r="D3218">
            <v>33.549999999999997</v>
          </cell>
        </row>
        <row r="3219">
          <cell r="D3219">
            <v>33.56</v>
          </cell>
        </row>
        <row r="3220">
          <cell r="D3220">
            <v>33.57</v>
          </cell>
        </row>
        <row r="3221">
          <cell r="D3221">
            <v>33.58</v>
          </cell>
        </row>
        <row r="3222">
          <cell r="D3222">
            <v>33.590000000000003</v>
          </cell>
        </row>
        <row r="3223">
          <cell r="D3223">
            <v>33.6</v>
          </cell>
        </row>
        <row r="3224">
          <cell r="D3224">
            <v>33.61</v>
          </cell>
        </row>
        <row r="3225">
          <cell r="D3225">
            <v>33.619999999999997</v>
          </cell>
        </row>
        <row r="3226">
          <cell r="D3226">
            <v>33.630000000000003</v>
          </cell>
        </row>
        <row r="3227">
          <cell r="D3227">
            <v>33.64</v>
          </cell>
        </row>
        <row r="3228">
          <cell r="D3228">
            <v>33.65</v>
          </cell>
        </row>
        <row r="3229">
          <cell r="D3229">
            <v>33.659999999999997</v>
          </cell>
        </row>
        <row r="3230">
          <cell r="D3230">
            <v>33.67</v>
          </cell>
        </row>
        <row r="3231">
          <cell r="D3231">
            <v>33.68</v>
          </cell>
        </row>
        <row r="3232">
          <cell r="D3232">
            <v>33.69</v>
          </cell>
        </row>
        <row r="3233">
          <cell r="D3233">
            <v>33.700000000000003</v>
          </cell>
        </row>
        <row r="3234">
          <cell r="D3234">
            <v>33.71</v>
          </cell>
        </row>
        <row r="3235">
          <cell r="D3235">
            <v>33.72</v>
          </cell>
        </row>
        <row r="3236">
          <cell r="D3236">
            <v>33.729999999999997</v>
          </cell>
        </row>
        <row r="3237">
          <cell r="D3237">
            <v>33.74</v>
          </cell>
        </row>
        <row r="3238">
          <cell r="D3238">
            <v>33.75</v>
          </cell>
        </row>
        <row r="3239">
          <cell r="D3239">
            <v>33.76</v>
          </cell>
        </row>
        <row r="3240">
          <cell r="D3240">
            <v>33.770000000000003</v>
          </cell>
        </row>
        <row r="3241">
          <cell r="D3241">
            <v>33.78</v>
          </cell>
        </row>
        <row r="3242">
          <cell r="D3242">
            <v>33.79</v>
          </cell>
        </row>
        <row r="3243">
          <cell r="D3243">
            <v>33.799999999999997</v>
          </cell>
        </row>
        <row r="3244">
          <cell r="D3244">
            <v>33.81</v>
          </cell>
        </row>
        <row r="3245">
          <cell r="D3245">
            <v>33.82</v>
          </cell>
        </row>
        <row r="3246">
          <cell r="D3246">
            <v>33.83</v>
          </cell>
        </row>
        <row r="3247">
          <cell r="D3247">
            <v>33.840000000000003</v>
          </cell>
        </row>
        <row r="3248">
          <cell r="D3248">
            <v>33.85</v>
          </cell>
        </row>
        <row r="3249">
          <cell r="D3249">
            <v>33.86</v>
          </cell>
        </row>
        <row r="3250">
          <cell r="D3250">
            <v>33.869999999999997</v>
          </cell>
        </row>
        <row r="3251">
          <cell r="D3251">
            <v>33.880000000000003</v>
          </cell>
        </row>
        <row r="3252">
          <cell r="D3252">
            <v>33.89</v>
          </cell>
        </row>
        <row r="3253">
          <cell r="D3253">
            <v>33.9</v>
          </cell>
        </row>
        <row r="3254">
          <cell r="D3254">
            <v>33.909999999999997</v>
          </cell>
        </row>
        <row r="3255">
          <cell r="D3255">
            <v>33.92</v>
          </cell>
        </row>
        <row r="3256">
          <cell r="D3256">
            <v>33.93</v>
          </cell>
        </row>
        <row r="3257">
          <cell r="D3257">
            <v>33.94</v>
          </cell>
        </row>
        <row r="3258">
          <cell r="D3258">
            <v>33.950000000000003</v>
          </cell>
        </row>
        <row r="3259">
          <cell r="D3259">
            <v>33.96</v>
          </cell>
        </row>
        <row r="3260">
          <cell r="D3260">
            <v>33.97</v>
          </cell>
        </row>
        <row r="3261">
          <cell r="D3261">
            <v>33.979999999999997</v>
          </cell>
        </row>
        <row r="3262">
          <cell r="D3262">
            <v>33.99</v>
          </cell>
        </row>
        <row r="3263">
          <cell r="D3263">
            <v>34</v>
          </cell>
        </row>
        <row r="3264">
          <cell r="D3264">
            <v>34.01</v>
          </cell>
        </row>
        <row r="3265">
          <cell r="D3265">
            <v>34.020000000000003</v>
          </cell>
        </row>
        <row r="3266">
          <cell r="D3266">
            <v>34.03</v>
          </cell>
        </row>
        <row r="3267">
          <cell r="D3267">
            <v>34.04</v>
          </cell>
        </row>
        <row r="3268">
          <cell r="D3268">
            <v>34.049999999999997</v>
          </cell>
        </row>
        <row r="3269">
          <cell r="D3269">
            <v>34.06</v>
          </cell>
        </row>
        <row r="3270">
          <cell r="D3270">
            <v>34.07</v>
          </cell>
        </row>
        <row r="3271">
          <cell r="D3271">
            <v>34.08</v>
          </cell>
        </row>
        <row r="3272">
          <cell r="D3272">
            <v>34.090000000000003</v>
          </cell>
        </row>
        <row r="3273">
          <cell r="D3273">
            <v>34.1</v>
          </cell>
        </row>
        <row r="3274">
          <cell r="D3274">
            <v>34.11</v>
          </cell>
        </row>
        <row r="3275">
          <cell r="D3275">
            <v>34.119999999999997</v>
          </cell>
        </row>
        <row r="3276">
          <cell r="D3276">
            <v>34.130000000000003</v>
          </cell>
        </row>
        <row r="3277">
          <cell r="D3277">
            <v>34.14</v>
          </cell>
        </row>
        <row r="3278">
          <cell r="D3278">
            <v>34.15</v>
          </cell>
        </row>
        <row r="3279">
          <cell r="D3279">
            <v>34.159999999999997</v>
          </cell>
        </row>
        <row r="3280">
          <cell r="D3280">
            <v>34.17</v>
          </cell>
        </row>
        <row r="3281">
          <cell r="D3281">
            <v>34.18</v>
          </cell>
        </row>
        <row r="3282">
          <cell r="D3282">
            <v>34.19</v>
          </cell>
        </row>
        <row r="3283">
          <cell r="D3283">
            <v>34.200000000000003</v>
          </cell>
        </row>
        <row r="3284">
          <cell r="D3284">
            <v>34.21</v>
          </cell>
        </row>
        <row r="3285">
          <cell r="D3285">
            <v>34.22</v>
          </cell>
        </row>
        <row r="3286">
          <cell r="D3286">
            <v>34.229999999999997</v>
          </cell>
        </row>
        <row r="3287">
          <cell r="D3287">
            <v>34.24</v>
          </cell>
        </row>
        <row r="3288">
          <cell r="D3288">
            <v>34.25</v>
          </cell>
        </row>
        <row r="3289">
          <cell r="D3289">
            <v>34.26</v>
          </cell>
        </row>
        <row r="3290">
          <cell r="D3290">
            <v>34.270000000000003</v>
          </cell>
        </row>
        <row r="3291">
          <cell r="D3291">
            <v>34.28</v>
          </cell>
        </row>
        <row r="3292">
          <cell r="D3292">
            <v>34.29</v>
          </cell>
        </row>
        <row r="3293">
          <cell r="D3293">
            <v>34.299999999999997</v>
          </cell>
        </row>
        <row r="3294">
          <cell r="D3294">
            <v>34.31</v>
          </cell>
        </row>
        <row r="3295">
          <cell r="D3295">
            <v>34.32</v>
          </cell>
        </row>
        <row r="3296">
          <cell r="D3296">
            <v>34.33</v>
          </cell>
        </row>
        <row r="3297">
          <cell r="D3297">
            <v>34.340000000000003</v>
          </cell>
        </row>
        <row r="3298">
          <cell r="D3298">
            <v>34.35</v>
          </cell>
        </row>
        <row r="3299">
          <cell r="D3299">
            <v>34.36</v>
          </cell>
        </row>
        <row r="3300">
          <cell r="D3300">
            <v>34.369999999999997</v>
          </cell>
        </row>
        <row r="3301">
          <cell r="D3301">
            <v>34.380000000000003</v>
          </cell>
        </row>
        <row r="3302">
          <cell r="D3302">
            <v>34.39</v>
          </cell>
        </row>
        <row r="3303">
          <cell r="D3303">
            <v>34.4</v>
          </cell>
        </row>
        <row r="3304">
          <cell r="D3304">
            <v>34.409999999999997</v>
          </cell>
        </row>
        <row r="3305">
          <cell r="D3305">
            <v>34.42</v>
          </cell>
        </row>
        <row r="3306">
          <cell r="D3306">
            <v>34.43</v>
          </cell>
        </row>
        <row r="3307">
          <cell r="D3307">
            <v>34.44</v>
          </cell>
        </row>
        <row r="3308">
          <cell r="D3308">
            <v>34.450000000000003</v>
          </cell>
        </row>
        <row r="3309">
          <cell r="D3309">
            <v>34.46</v>
          </cell>
        </row>
        <row r="3310">
          <cell r="D3310">
            <v>34.47</v>
          </cell>
        </row>
        <row r="3311">
          <cell r="D3311">
            <v>34.479999999999997</v>
          </cell>
        </row>
        <row r="3312">
          <cell r="D3312">
            <v>34.49</v>
          </cell>
        </row>
        <row r="3313">
          <cell r="D3313">
            <v>34.5</v>
          </cell>
        </row>
        <row r="3314">
          <cell r="D3314">
            <v>34.51</v>
          </cell>
        </row>
        <row r="3315">
          <cell r="D3315">
            <v>34.520000000000003</v>
          </cell>
        </row>
        <row r="3316">
          <cell r="D3316">
            <v>34.53</v>
          </cell>
        </row>
        <row r="3317">
          <cell r="D3317">
            <v>34.54</v>
          </cell>
        </row>
        <row r="3318">
          <cell r="D3318">
            <v>34.549999999999997</v>
          </cell>
        </row>
        <row r="3319">
          <cell r="D3319">
            <v>34.56</v>
          </cell>
        </row>
        <row r="3320">
          <cell r="D3320">
            <v>34.57</v>
          </cell>
        </row>
        <row r="3321">
          <cell r="D3321">
            <v>34.58</v>
          </cell>
        </row>
        <row r="3322">
          <cell r="D3322">
            <v>34.590000000000003</v>
          </cell>
        </row>
        <row r="3323">
          <cell r="D3323">
            <v>34.6</v>
          </cell>
        </row>
        <row r="3324">
          <cell r="D3324">
            <v>34.61</v>
          </cell>
        </row>
        <row r="3325">
          <cell r="D3325">
            <v>34.619999999999997</v>
          </cell>
        </row>
        <row r="3326">
          <cell r="D3326">
            <v>34.630000000000003</v>
          </cell>
        </row>
        <row r="3327">
          <cell r="D3327">
            <v>34.64</v>
          </cell>
        </row>
        <row r="3328">
          <cell r="D3328">
            <v>34.65</v>
          </cell>
        </row>
        <row r="3329">
          <cell r="D3329">
            <v>34.659999999999997</v>
          </cell>
        </row>
        <row r="3330">
          <cell r="D3330">
            <v>34.67</v>
          </cell>
        </row>
        <row r="3331">
          <cell r="D3331">
            <v>34.68</v>
          </cell>
        </row>
        <row r="3332">
          <cell r="D3332">
            <v>34.69</v>
          </cell>
        </row>
        <row r="3333">
          <cell r="D3333">
            <v>34.700000000000003</v>
          </cell>
        </row>
        <row r="3334">
          <cell r="D3334">
            <v>34.71</v>
          </cell>
        </row>
        <row r="3335">
          <cell r="D3335">
            <v>34.72</v>
          </cell>
        </row>
        <row r="3336">
          <cell r="D3336">
            <v>34.729999999999997</v>
          </cell>
        </row>
        <row r="3337">
          <cell r="D3337">
            <v>34.74</v>
          </cell>
        </row>
        <row r="3338">
          <cell r="D3338">
            <v>34.75</v>
          </cell>
        </row>
        <row r="3339">
          <cell r="D3339">
            <v>34.76</v>
          </cell>
        </row>
        <row r="3340">
          <cell r="D3340">
            <v>34.770000000000003</v>
          </cell>
        </row>
        <row r="3341">
          <cell r="D3341">
            <v>34.78</v>
          </cell>
        </row>
        <row r="3342">
          <cell r="D3342">
            <v>34.79</v>
          </cell>
        </row>
        <row r="3343">
          <cell r="D3343">
            <v>34.799999999999997</v>
          </cell>
        </row>
        <row r="3344">
          <cell r="D3344">
            <v>34.81</v>
          </cell>
        </row>
        <row r="3345">
          <cell r="D3345">
            <v>34.82</v>
          </cell>
        </row>
        <row r="3346">
          <cell r="D3346">
            <v>34.83</v>
          </cell>
        </row>
        <row r="3347">
          <cell r="D3347">
            <v>34.840000000000003</v>
          </cell>
        </row>
        <row r="3348">
          <cell r="D3348">
            <v>34.85</v>
          </cell>
        </row>
        <row r="3349">
          <cell r="D3349">
            <v>34.86</v>
          </cell>
        </row>
        <row r="3350">
          <cell r="D3350">
            <v>34.869999999999997</v>
          </cell>
        </row>
        <row r="3351">
          <cell r="D3351">
            <v>34.880000000000003</v>
          </cell>
        </row>
        <row r="3352">
          <cell r="D3352">
            <v>34.89</v>
          </cell>
        </row>
        <row r="3353">
          <cell r="D3353">
            <v>34.9</v>
          </cell>
        </row>
        <row r="3354">
          <cell r="D3354">
            <v>34.909999999999997</v>
          </cell>
        </row>
        <row r="3355">
          <cell r="D3355">
            <v>34.92</v>
          </cell>
        </row>
        <row r="3356">
          <cell r="D3356">
            <v>34.93</v>
          </cell>
        </row>
        <row r="3357">
          <cell r="D3357">
            <v>34.94</v>
          </cell>
        </row>
        <row r="3358">
          <cell r="D3358">
            <v>34.950000000000003</v>
          </cell>
        </row>
        <row r="3359">
          <cell r="D3359">
            <v>34.96</v>
          </cell>
        </row>
        <row r="3360">
          <cell r="D3360">
            <v>34.97</v>
          </cell>
        </row>
        <row r="3361">
          <cell r="D3361">
            <v>34.979999999999997</v>
          </cell>
        </row>
        <row r="3362">
          <cell r="D3362">
            <v>34.99</v>
          </cell>
        </row>
        <row r="3363">
          <cell r="D3363">
            <v>35</v>
          </cell>
        </row>
        <row r="3364">
          <cell r="D3364">
            <v>35.01</v>
          </cell>
        </row>
        <row r="3365">
          <cell r="D3365">
            <v>35.020000000000003</v>
          </cell>
        </row>
        <row r="3366">
          <cell r="D3366">
            <v>35.03</v>
          </cell>
        </row>
        <row r="3367">
          <cell r="D3367">
            <v>35.04</v>
          </cell>
        </row>
        <row r="3368">
          <cell r="D3368">
            <v>35.049999999999997</v>
          </cell>
        </row>
        <row r="3369">
          <cell r="D3369">
            <v>35.06</v>
          </cell>
        </row>
        <row r="3370">
          <cell r="D3370">
            <v>35.07</v>
          </cell>
        </row>
        <row r="3371">
          <cell r="D3371">
            <v>35.08</v>
          </cell>
        </row>
        <row r="3372">
          <cell r="D3372">
            <v>35.090000000000003</v>
          </cell>
        </row>
        <row r="3373">
          <cell r="D3373">
            <v>35.1</v>
          </cell>
        </row>
        <row r="3374">
          <cell r="D3374">
            <v>35.11</v>
          </cell>
        </row>
        <row r="3375">
          <cell r="D3375">
            <v>35.119999999999997</v>
          </cell>
        </row>
        <row r="3376">
          <cell r="D3376">
            <v>35.130000000000003</v>
          </cell>
        </row>
        <row r="3377">
          <cell r="D3377">
            <v>35.14</v>
          </cell>
        </row>
        <row r="3378">
          <cell r="D3378">
            <v>35.15</v>
          </cell>
        </row>
        <row r="3379">
          <cell r="D3379">
            <v>35.159999999999997</v>
          </cell>
        </row>
        <row r="3380">
          <cell r="D3380">
            <v>35.17</v>
          </cell>
        </row>
        <row r="3381">
          <cell r="D3381">
            <v>35.18</v>
          </cell>
        </row>
        <row r="3382">
          <cell r="D3382">
            <v>35.19</v>
          </cell>
        </row>
        <row r="3383">
          <cell r="D3383">
            <v>35.200000000000003</v>
          </cell>
        </row>
        <row r="3384">
          <cell r="D3384">
            <v>35.21</v>
          </cell>
        </row>
        <row r="3385">
          <cell r="D3385">
            <v>35.22</v>
          </cell>
        </row>
        <row r="3386">
          <cell r="D3386">
            <v>35.229999999999997</v>
          </cell>
        </row>
        <row r="3387">
          <cell r="D3387">
            <v>35.24</v>
          </cell>
        </row>
        <row r="3388">
          <cell r="D3388">
            <v>35.25</v>
          </cell>
        </row>
        <row r="3389">
          <cell r="D3389">
            <v>35.26</v>
          </cell>
        </row>
        <row r="3390">
          <cell r="D3390">
            <v>35.270000000000003</v>
          </cell>
        </row>
        <row r="3391">
          <cell r="D3391">
            <v>35.28</v>
          </cell>
        </row>
        <row r="3392">
          <cell r="D3392">
            <v>35.29</v>
          </cell>
        </row>
        <row r="3393">
          <cell r="D3393">
            <v>35.299999999999997</v>
          </cell>
        </row>
        <row r="3394">
          <cell r="D3394">
            <v>35.31</v>
          </cell>
        </row>
        <row r="3395">
          <cell r="D3395">
            <v>35.32</v>
          </cell>
        </row>
        <row r="3396">
          <cell r="D3396">
            <v>35.33</v>
          </cell>
        </row>
        <row r="3397">
          <cell r="D3397">
            <v>35.340000000000003</v>
          </cell>
        </row>
        <row r="3398">
          <cell r="D3398">
            <v>35.35</v>
          </cell>
        </row>
        <row r="3399">
          <cell r="D3399">
            <v>35.36</v>
          </cell>
        </row>
        <row r="3400">
          <cell r="D3400">
            <v>35.369999999999997</v>
          </cell>
        </row>
        <row r="3401">
          <cell r="D3401">
            <v>35.380000000000003</v>
          </cell>
        </row>
        <row r="3402">
          <cell r="D3402">
            <v>35.39</v>
          </cell>
        </row>
        <row r="3403">
          <cell r="D3403">
            <v>35.4</v>
          </cell>
        </row>
        <row r="3404">
          <cell r="D3404">
            <v>35.409999999999997</v>
          </cell>
        </row>
        <row r="3405">
          <cell r="D3405">
            <v>35.42</v>
          </cell>
        </row>
        <row r="3406">
          <cell r="D3406">
            <v>35.43</v>
          </cell>
        </row>
        <row r="3407">
          <cell r="D3407">
            <v>35.44</v>
          </cell>
        </row>
        <row r="3408">
          <cell r="D3408">
            <v>35.450000000000003</v>
          </cell>
        </row>
        <row r="3409">
          <cell r="D3409">
            <v>35.46</v>
          </cell>
        </row>
        <row r="3410">
          <cell r="D3410">
            <v>35.47</v>
          </cell>
        </row>
        <row r="3411">
          <cell r="D3411">
            <v>35.479999999999997</v>
          </cell>
        </row>
        <row r="3412">
          <cell r="D3412">
            <v>35.49</v>
          </cell>
        </row>
        <row r="3413">
          <cell r="D3413">
            <v>35.5</v>
          </cell>
        </row>
        <row r="3414">
          <cell r="D3414">
            <v>35.51</v>
          </cell>
        </row>
        <row r="3415">
          <cell r="D3415">
            <v>35.520000000000003</v>
          </cell>
        </row>
        <row r="3416">
          <cell r="D3416">
            <v>35.53</v>
          </cell>
        </row>
        <row r="3417">
          <cell r="D3417">
            <v>35.54</v>
          </cell>
        </row>
        <row r="3418">
          <cell r="D3418">
            <v>35.549999999999997</v>
          </cell>
        </row>
        <row r="3419">
          <cell r="D3419">
            <v>35.56</v>
          </cell>
        </row>
        <row r="3420">
          <cell r="D3420">
            <v>35.57</v>
          </cell>
        </row>
        <row r="3421">
          <cell r="D3421">
            <v>35.58</v>
          </cell>
        </row>
        <row r="3422">
          <cell r="D3422">
            <v>35.590000000000003</v>
          </cell>
        </row>
        <row r="3423">
          <cell r="D3423">
            <v>35.6</v>
          </cell>
        </row>
        <row r="3424">
          <cell r="D3424">
            <v>35.61</v>
          </cell>
        </row>
        <row r="3425">
          <cell r="D3425">
            <v>35.619999999999997</v>
          </cell>
        </row>
        <row r="3426">
          <cell r="D3426">
            <v>35.630000000000003</v>
          </cell>
        </row>
        <row r="3427">
          <cell r="D3427">
            <v>35.64</v>
          </cell>
        </row>
        <row r="3428">
          <cell r="D3428">
            <v>35.65</v>
          </cell>
        </row>
        <row r="3429">
          <cell r="D3429">
            <v>35.659999999999997</v>
          </cell>
        </row>
        <row r="3430">
          <cell r="D3430">
            <v>35.67</v>
          </cell>
        </row>
        <row r="3431">
          <cell r="D3431">
            <v>35.68</v>
          </cell>
        </row>
        <row r="3432">
          <cell r="D3432">
            <v>35.69</v>
          </cell>
        </row>
        <row r="3433">
          <cell r="D3433">
            <v>35.700000000000003</v>
          </cell>
        </row>
        <row r="3434">
          <cell r="D3434">
            <v>35.71</v>
          </cell>
        </row>
        <row r="3435">
          <cell r="D3435">
            <v>35.72</v>
          </cell>
        </row>
        <row r="3436">
          <cell r="D3436">
            <v>35.729999999999997</v>
          </cell>
        </row>
        <row r="3437">
          <cell r="D3437">
            <v>35.74</v>
          </cell>
        </row>
        <row r="3438">
          <cell r="D3438">
            <v>35.75</v>
          </cell>
        </row>
        <row r="3439">
          <cell r="D3439">
            <v>35.76</v>
          </cell>
        </row>
        <row r="3440">
          <cell r="D3440">
            <v>35.770000000000003</v>
          </cell>
        </row>
        <row r="3441">
          <cell r="D3441">
            <v>35.78</v>
          </cell>
        </row>
        <row r="3442">
          <cell r="D3442">
            <v>35.79</v>
          </cell>
        </row>
        <row r="3443">
          <cell r="D3443">
            <v>35.799999999999997</v>
          </cell>
        </row>
        <row r="3444">
          <cell r="D3444">
            <v>35.81</v>
          </cell>
        </row>
        <row r="3445">
          <cell r="D3445">
            <v>35.82</v>
          </cell>
        </row>
        <row r="3446">
          <cell r="D3446">
            <v>35.83</v>
          </cell>
        </row>
        <row r="3447">
          <cell r="D3447">
            <v>35.840000000000003</v>
          </cell>
        </row>
        <row r="3448">
          <cell r="D3448">
            <v>35.85</v>
          </cell>
        </row>
        <row r="3449">
          <cell r="D3449">
            <v>35.86</v>
          </cell>
        </row>
        <row r="3450">
          <cell r="D3450">
            <v>35.869999999999997</v>
          </cell>
        </row>
        <row r="3451">
          <cell r="D3451">
            <v>35.880000000000003</v>
          </cell>
        </row>
        <row r="3452">
          <cell r="D3452">
            <v>35.89</v>
          </cell>
        </row>
        <row r="3453">
          <cell r="D3453">
            <v>35.9</v>
          </cell>
        </row>
        <row r="3454">
          <cell r="D3454">
            <v>35.909999999999997</v>
          </cell>
        </row>
        <row r="3455">
          <cell r="D3455">
            <v>35.92</v>
          </cell>
        </row>
        <row r="3456">
          <cell r="D3456">
            <v>35.93</v>
          </cell>
        </row>
        <row r="3457">
          <cell r="D3457">
            <v>35.94</v>
          </cell>
        </row>
        <row r="3458">
          <cell r="D3458">
            <v>35.950000000000003</v>
          </cell>
        </row>
        <row r="3459">
          <cell r="D3459">
            <v>35.96</v>
          </cell>
        </row>
        <row r="3460">
          <cell r="D3460">
            <v>35.97</v>
          </cell>
        </row>
        <row r="3461">
          <cell r="D3461">
            <v>35.979999999999997</v>
          </cell>
        </row>
        <row r="3462">
          <cell r="D3462">
            <v>35.99</v>
          </cell>
        </row>
        <row r="3463">
          <cell r="D3463">
            <v>36</v>
          </cell>
        </row>
        <row r="3464">
          <cell r="D3464">
            <v>36.01</v>
          </cell>
        </row>
        <row r="3465">
          <cell r="D3465">
            <v>36.020000000000003</v>
          </cell>
        </row>
        <row r="3466">
          <cell r="D3466">
            <v>36.03</v>
          </cell>
        </row>
        <row r="3467">
          <cell r="D3467">
            <v>36.04</v>
          </cell>
        </row>
        <row r="3468">
          <cell r="D3468">
            <v>36.049999999999997</v>
          </cell>
        </row>
        <row r="3469">
          <cell r="D3469">
            <v>36.06</v>
          </cell>
        </row>
        <row r="3470">
          <cell r="D3470">
            <v>36.07</v>
          </cell>
        </row>
        <row r="3471">
          <cell r="D3471">
            <v>36.08</v>
          </cell>
        </row>
        <row r="3472">
          <cell r="D3472">
            <v>36.090000000000003</v>
          </cell>
        </row>
        <row r="3473">
          <cell r="D3473">
            <v>36.1</v>
          </cell>
        </row>
        <row r="3474">
          <cell r="D3474">
            <v>36.11</v>
          </cell>
        </row>
        <row r="3475">
          <cell r="D3475">
            <v>36.119999999999997</v>
          </cell>
        </row>
        <row r="3476">
          <cell r="D3476">
            <v>36.130000000000003</v>
          </cell>
        </row>
        <row r="3477">
          <cell r="D3477">
            <v>36.14</v>
          </cell>
        </row>
        <row r="3478">
          <cell r="D3478">
            <v>36.15</v>
          </cell>
        </row>
        <row r="3479">
          <cell r="D3479">
            <v>36.159999999999997</v>
          </cell>
        </row>
        <row r="3480">
          <cell r="D3480">
            <v>36.17</v>
          </cell>
        </row>
        <row r="3481">
          <cell r="D3481">
            <v>36.18</v>
          </cell>
        </row>
        <row r="3482">
          <cell r="D3482">
            <v>36.19</v>
          </cell>
        </row>
        <row r="3483">
          <cell r="D3483">
            <v>36.200000000000003</v>
          </cell>
        </row>
        <row r="3484">
          <cell r="D3484">
            <v>36.21</v>
          </cell>
        </row>
        <row r="3485">
          <cell r="D3485">
            <v>36.22</v>
          </cell>
        </row>
        <row r="3486">
          <cell r="D3486">
            <v>36.229999999999997</v>
          </cell>
        </row>
        <row r="3487">
          <cell r="D3487">
            <v>36.24</v>
          </cell>
        </row>
        <row r="3488">
          <cell r="D3488">
            <v>36.25</v>
          </cell>
        </row>
        <row r="3489">
          <cell r="D3489">
            <v>36.26</v>
          </cell>
        </row>
        <row r="3490">
          <cell r="D3490">
            <v>36.270000000000003</v>
          </cell>
        </row>
        <row r="3491">
          <cell r="D3491">
            <v>36.28</v>
          </cell>
        </row>
        <row r="3492">
          <cell r="D3492">
            <v>36.29</v>
          </cell>
        </row>
        <row r="3493">
          <cell r="D3493">
            <v>36.299999999999997</v>
          </cell>
        </row>
        <row r="3494">
          <cell r="D3494">
            <v>36.31</v>
          </cell>
        </row>
        <row r="3495">
          <cell r="D3495">
            <v>36.32</v>
          </cell>
        </row>
        <row r="3496">
          <cell r="D3496">
            <v>36.33</v>
          </cell>
        </row>
        <row r="3497">
          <cell r="D3497">
            <v>36.340000000000003</v>
          </cell>
        </row>
        <row r="3498">
          <cell r="D3498">
            <v>36.35</v>
          </cell>
        </row>
        <row r="3499">
          <cell r="D3499">
            <v>36.36</v>
          </cell>
        </row>
        <row r="3500">
          <cell r="D3500">
            <v>36.369999999999997</v>
          </cell>
        </row>
        <row r="3501">
          <cell r="D3501">
            <v>36.380000000000003</v>
          </cell>
        </row>
        <row r="3502">
          <cell r="D3502">
            <v>36.39</v>
          </cell>
        </row>
        <row r="3503">
          <cell r="D3503">
            <v>36.4</v>
          </cell>
        </row>
        <row r="3504">
          <cell r="D3504">
            <v>36.409999999999997</v>
          </cell>
        </row>
        <row r="3505">
          <cell r="D3505">
            <v>36.42</v>
          </cell>
        </row>
        <row r="3506">
          <cell r="D3506">
            <v>36.43</v>
          </cell>
        </row>
        <row r="3507">
          <cell r="D3507">
            <v>36.44</v>
          </cell>
        </row>
        <row r="3508">
          <cell r="D3508">
            <v>36.450000000000003</v>
          </cell>
        </row>
        <row r="3509">
          <cell r="D3509">
            <v>36.46</v>
          </cell>
        </row>
        <row r="3510">
          <cell r="D3510">
            <v>36.47</v>
          </cell>
        </row>
        <row r="3511">
          <cell r="D3511">
            <v>36.479999999999997</v>
          </cell>
        </row>
        <row r="3512">
          <cell r="D3512">
            <v>36.49</v>
          </cell>
        </row>
        <row r="3513">
          <cell r="D3513">
            <v>36.5</v>
          </cell>
        </row>
        <row r="3514">
          <cell r="D3514">
            <v>36.51</v>
          </cell>
        </row>
        <row r="3515">
          <cell r="D3515">
            <v>36.520000000000003</v>
          </cell>
        </row>
        <row r="3516">
          <cell r="D3516">
            <v>36.53</v>
          </cell>
        </row>
        <row r="3517">
          <cell r="D3517">
            <v>36.54</v>
          </cell>
        </row>
        <row r="3518">
          <cell r="D3518">
            <v>36.549999999999997</v>
          </cell>
        </row>
        <row r="3519">
          <cell r="D3519">
            <v>36.56</v>
          </cell>
        </row>
        <row r="3520">
          <cell r="D3520">
            <v>36.57</v>
          </cell>
        </row>
        <row r="3521">
          <cell r="D3521">
            <v>36.58</v>
          </cell>
        </row>
        <row r="3522">
          <cell r="D3522">
            <v>36.590000000000003</v>
          </cell>
        </row>
        <row r="3523">
          <cell r="D3523">
            <v>36.6</v>
          </cell>
        </row>
        <row r="3524">
          <cell r="D3524">
            <v>36.61</v>
          </cell>
        </row>
        <row r="3525">
          <cell r="D3525">
            <v>36.619999999999997</v>
          </cell>
        </row>
        <row r="3526">
          <cell r="D3526">
            <v>36.630000000000003</v>
          </cell>
        </row>
        <row r="3527">
          <cell r="D3527">
            <v>36.64</v>
          </cell>
        </row>
        <row r="3528">
          <cell r="D3528">
            <v>36.65</v>
          </cell>
        </row>
        <row r="3529">
          <cell r="D3529">
            <v>36.659999999999997</v>
          </cell>
        </row>
        <row r="3530">
          <cell r="D3530">
            <v>36.67</v>
          </cell>
        </row>
        <row r="3531">
          <cell r="D3531">
            <v>36.68</v>
          </cell>
        </row>
        <row r="3532">
          <cell r="D3532">
            <v>36.69</v>
          </cell>
        </row>
        <row r="3533">
          <cell r="D3533">
            <v>36.700000000000003</v>
          </cell>
        </row>
        <row r="3534">
          <cell r="D3534">
            <v>36.71</v>
          </cell>
        </row>
        <row r="3535">
          <cell r="D3535">
            <v>36.72</v>
          </cell>
        </row>
        <row r="3536">
          <cell r="D3536">
            <v>36.729999999999997</v>
          </cell>
        </row>
        <row r="3537">
          <cell r="D3537">
            <v>36.74</v>
          </cell>
        </row>
        <row r="3538">
          <cell r="D3538">
            <v>36.75</v>
          </cell>
        </row>
        <row r="3539">
          <cell r="D3539">
            <v>36.76</v>
          </cell>
        </row>
        <row r="3540">
          <cell r="D3540">
            <v>36.770000000000003</v>
          </cell>
        </row>
        <row r="3541">
          <cell r="D3541">
            <v>36.78</v>
          </cell>
        </row>
        <row r="3542">
          <cell r="D3542">
            <v>36.79</v>
          </cell>
        </row>
        <row r="3543">
          <cell r="D3543">
            <v>36.799999999999997</v>
          </cell>
        </row>
        <row r="3544">
          <cell r="D3544">
            <v>36.81</v>
          </cell>
        </row>
        <row r="3545">
          <cell r="D3545">
            <v>36.82</v>
          </cell>
        </row>
        <row r="3546">
          <cell r="D3546">
            <v>36.83</v>
          </cell>
        </row>
        <row r="3547">
          <cell r="D3547">
            <v>36.840000000000003</v>
          </cell>
        </row>
        <row r="3548">
          <cell r="D3548">
            <v>36.85</v>
          </cell>
        </row>
        <row r="3549">
          <cell r="D3549">
            <v>36.86</v>
          </cell>
        </row>
        <row r="3550">
          <cell r="D3550">
            <v>36.869999999999997</v>
          </cell>
        </row>
        <row r="3551">
          <cell r="D3551">
            <v>36.880000000000003</v>
          </cell>
        </row>
        <row r="3552">
          <cell r="D3552">
            <v>36.89</v>
          </cell>
        </row>
        <row r="3553">
          <cell r="D3553">
            <v>36.9</v>
          </cell>
        </row>
        <row r="3554">
          <cell r="D3554">
            <v>36.909999999999997</v>
          </cell>
        </row>
        <row r="3555">
          <cell r="D3555">
            <v>36.92</v>
          </cell>
        </row>
        <row r="3556">
          <cell r="D3556">
            <v>36.93</v>
          </cell>
        </row>
        <row r="3557">
          <cell r="D3557">
            <v>36.94</v>
          </cell>
        </row>
        <row r="3558">
          <cell r="D3558">
            <v>36.950000000000003</v>
          </cell>
        </row>
        <row r="3559">
          <cell r="D3559">
            <v>36.96</v>
          </cell>
        </row>
        <row r="3560">
          <cell r="D3560">
            <v>36.97</v>
          </cell>
        </row>
        <row r="3561">
          <cell r="D3561">
            <v>36.979999999999997</v>
          </cell>
        </row>
        <row r="3562">
          <cell r="D3562">
            <v>36.99</v>
          </cell>
        </row>
        <row r="3563">
          <cell r="D3563">
            <v>37</v>
          </cell>
        </row>
        <row r="3564">
          <cell r="D3564">
            <v>37.01</v>
          </cell>
        </row>
        <row r="3565">
          <cell r="D3565">
            <v>37.020000000000003</v>
          </cell>
        </row>
        <row r="3566">
          <cell r="D3566">
            <v>37.03</v>
          </cell>
        </row>
        <row r="3567">
          <cell r="D3567">
            <v>37.04</v>
          </cell>
        </row>
        <row r="3568">
          <cell r="D3568">
            <v>37.049999999999997</v>
          </cell>
        </row>
        <row r="3569">
          <cell r="D3569">
            <v>37.06</v>
          </cell>
        </row>
        <row r="3570">
          <cell r="D3570">
            <v>37.07</v>
          </cell>
        </row>
        <row r="3571">
          <cell r="D3571">
            <v>37.08</v>
          </cell>
        </row>
        <row r="3572">
          <cell r="D3572">
            <v>37.090000000000003</v>
          </cell>
        </row>
        <row r="3573">
          <cell r="D3573">
            <v>37.1</v>
          </cell>
        </row>
        <row r="3574">
          <cell r="D3574">
            <v>37.11</v>
          </cell>
        </row>
        <row r="3575">
          <cell r="D3575">
            <v>37.119999999999997</v>
          </cell>
        </row>
        <row r="3576">
          <cell r="D3576">
            <v>37.130000000000003</v>
          </cell>
        </row>
        <row r="3577">
          <cell r="D3577">
            <v>37.14</v>
          </cell>
        </row>
        <row r="3578">
          <cell r="D3578">
            <v>37.15</v>
          </cell>
        </row>
        <row r="3579">
          <cell r="D3579">
            <v>37.159999999999997</v>
          </cell>
        </row>
        <row r="3580">
          <cell r="D3580">
            <v>37.17</v>
          </cell>
        </row>
        <row r="3581">
          <cell r="D3581">
            <v>37.18</v>
          </cell>
        </row>
        <row r="3582">
          <cell r="D3582">
            <v>37.19</v>
          </cell>
        </row>
        <row r="3583">
          <cell r="D3583">
            <v>37.200000000000003</v>
          </cell>
        </row>
        <row r="3584">
          <cell r="D3584">
            <v>37.21</v>
          </cell>
        </row>
        <row r="3585">
          <cell r="D3585">
            <v>37.22</v>
          </cell>
        </row>
        <row r="3586">
          <cell r="D3586">
            <v>37.229999999999997</v>
          </cell>
        </row>
        <row r="3587">
          <cell r="D3587">
            <v>37.24</v>
          </cell>
        </row>
        <row r="3588">
          <cell r="D3588">
            <v>37.25</v>
          </cell>
        </row>
        <row r="3589">
          <cell r="D3589">
            <v>37.26</v>
          </cell>
        </row>
        <row r="3590">
          <cell r="D3590">
            <v>37.270000000000003</v>
          </cell>
        </row>
        <row r="3591">
          <cell r="D3591">
            <v>37.28</v>
          </cell>
        </row>
        <row r="3592">
          <cell r="D3592">
            <v>37.29</v>
          </cell>
        </row>
        <row r="3593">
          <cell r="D3593">
            <v>37.299999999999997</v>
          </cell>
        </row>
        <row r="3594">
          <cell r="D3594">
            <v>37.31</v>
          </cell>
        </row>
        <row r="3595">
          <cell r="D3595">
            <v>37.32</v>
          </cell>
        </row>
        <row r="3596">
          <cell r="D3596">
            <v>37.33</v>
          </cell>
        </row>
        <row r="3597">
          <cell r="D3597">
            <v>37.340000000000003</v>
          </cell>
        </row>
        <row r="3598">
          <cell r="D3598">
            <v>37.35</v>
          </cell>
        </row>
        <row r="3599">
          <cell r="D3599">
            <v>37.36</v>
          </cell>
        </row>
        <row r="3600">
          <cell r="D3600">
            <v>37.369999999999997</v>
          </cell>
        </row>
        <row r="3601">
          <cell r="D3601">
            <v>37.380000000000003</v>
          </cell>
        </row>
        <row r="3602">
          <cell r="D3602">
            <v>37.39</v>
          </cell>
        </row>
        <row r="3603">
          <cell r="D3603">
            <v>37.4</v>
          </cell>
        </row>
        <row r="3604">
          <cell r="D3604">
            <v>37.409999999999997</v>
          </cell>
        </row>
        <row r="3605">
          <cell r="D3605">
            <v>37.42</v>
          </cell>
        </row>
        <row r="3606">
          <cell r="D3606">
            <v>37.43</v>
          </cell>
        </row>
        <row r="3607">
          <cell r="D3607">
            <v>37.44</v>
          </cell>
        </row>
        <row r="3608">
          <cell r="D3608">
            <v>37.450000000000003</v>
          </cell>
        </row>
        <row r="3609">
          <cell r="D3609">
            <v>37.46</v>
          </cell>
        </row>
        <row r="3610">
          <cell r="D3610">
            <v>37.47</v>
          </cell>
        </row>
        <row r="3611">
          <cell r="D3611">
            <v>37.479999999999997</v>
          </cell>
        </row>
        <row r="3612">
          <cell r="D3612">
            <v>37.49</v>
          </cell>
        </row>
        <row r="3613">
          <cell r="D3613">
            <v>37.5</v>
          </cell>
        </row>
        <row r="3614">
          <cell r="D3614">
            <v>37.51</v>
          </cell>
        </row>
        <row r="3615">
          <cell r="D3615">
            <v>37.520000000000003</v>
          </cell>
        </row>
        <row r="3616">
          <cell r="D3616">
            <v>37.53</v>
          </cell>
        </row>
        <row r="3617">
          <cell r="D3617">
            <v>37.54</v>
          </cell>
        </row>
        <row r="3618">
          <cell r="D3618">
            <v>37.549999999999997</v>
          </cell>
        </row>
        <row r="3619">
          <cell r="D3619">
            <v>37.56</v>
          </cell>
        </row>
        <row r="3620">
          <cell r="D3620">
            <v>37.57</v>
          </cell>
        </row>
        <row r="3621">
          <cell r="D3621">
            <v>37.58</v>
          </cell>
        </row>
        <row r="3622">
          <cell r="D3622">
            <v>37.590000000000003</v>
          </cell>
        </row>
        <row r="3623">
          <cell r="D3623">
            <v>37.6</v>
          </cell>
        </row>
        <row r="3624">
          <cell r="D3624">
            <v>37.61</v>
          </cell>
        </row>
        <row r="3625">
          <cell r="D3625">
            <v>37.619999999999997</v>
          </cell>
        </row>
        <row r="3626">
          <cell r="D3626">
            <v>37.630000000000003</v>
          </cell>
        </row>
        <row r="3627">
          <cell r="D3627">
            <v>37.64</v>
          </cell>
        </row>
        <row r="3628">
          <cell r="D3628">
            <v>37.65</v>
          </cell>
        </row>
        <row r="3629">
          <cell r="D3629">
            <v>37.659999999999997</v>
          </cell>
        </row>
        <row r="3630">
          <cell r="D3630">
            <v>37.67</v>
          </cell>
        </row>
        <row r="3631">
          <cell r="D3631">
            <v>37.68</v>
          </cell>
        </row>
        <row r="3632">
          <cell r="D3632">
            <v>37.69</v>
          </cell>
        </row>
        <row r="3633">
          <cell r="D3633">
            <v>37.700000000000003</v>
          </cell>
        </row>
        <row r="3634">
          <cell r="D3634">
            <v>37.71</v>
          </cell>
        </row>
        <row r="3635">
          <cell r="D3635">
            <v>37.72</v>
          </cell>
        </row>
        <row r="3636">
          <cell r="D3636">
            <v>37.729999999999997</v>
          </cell>
        </row>
        <row r="3637">
          <cell r="D3637">
            <v>37.74</v>
          </cell>
        </row>
        <row r="3638">
          <cell r="D3638">
            <v>37.75</v>
          </cell>
        </row>
        <row r="3639">
          <cell r="D3639">
            <v>37.76</v>
          </cell>
        </row>
        <row r="3640">
          <cell r="D3640">
            <v>37.770000000000003</v>
          </cell>
        </row>
        <row r="3641">
          <cell r="D3641">
            <v>37.78</v>
          </cell>
        </row>
        <row r="3642">
          <cell r="D3642">
            <v>37.79</v>
          </cell>
        </row>
        <row r="3643">
          <cell r="D3643">
            <v>37.799999999999997</v>
          </cell>
        </row>
        <row r="3644">
          <cell r="D3644">
            <v>37.81</v>
          </cell>
        </row>
        <row r="3645">
          <cell r="D3645">
            <v>37.82</v>
          </cell>
        </row>
        <row r="3646">
          <cell r="D3646">
            <v>37.83</v>
          </cell>
        </row>
        <row r="3647">
          <cell r="D3647">
            <v>37.840000000000003</v>
          </cell>
        </row>
        <row r="3648">
          <cell r="D3648">
            <v>37.85</v>
          </cell>
        </row>
        <row r="3649">
          <cell r="D3649">
            <v>37.86</v>
          </cell>
        </row>
        <row r="3650">
          <cell r="D3650">
            <v>37.869999999999997</v>
          </cell>
        </row>
        <row r="3651">
          <cell r="D3651">
            <v>37.880000000000003</v>
          </cell>
        </row>
        <row r="3652">
          <cell r="D3652">
            <v>37.89</v>
          </cell>
        </row>
        <row r="3653">
          <cell r="D3653">
            <v>37.9</v>
          </cell>
        </row>
        <row r="3654">
          <cell r="D3654">
            <v>37.909999999999997</v>
          </cell>
        </row>
        <row r="3655">
          <cell r="D3655">
            <v>37.92</v>
          </cell>
        </row>
        <row r="3656">
          <cell r="D3656">
            <v>37.93</v>
          </cell>
        </row>
        <row r="3657">
          <cell r="D3657">
            <v>37.94</v>
          </cell>
        </row>
        <row r="3658">
          <cell r="D3658">
            <v>37.950000000000003</v>
          </cell>
        </row>
        <row r="3659">
          <cell r="D3659">
            <v>37.96</v>
          </cell>
        </row>
        <row r="3660">
          <cell r="D3660">
            <v>37.97</v>
          </cell>
        </row>
        <row r="3661">
          <cell r="D3661">
            <v>37.979999999999997</v>
          </cell>
        </row>
        <row r="3662">
          <cell r="D3662">
            <v>37.99</v>
          </cell>
        </row>
        <row r="3663">
          <cell r="D3663">
            <v>38</v>
          </cell>
        </row>
        <row r="3664">
          <cell r="D3664">
            <v>38.01</v>
          </cell>
        </row>
        <row r="3665">
          <cell r="D3665">
            <v>38.020000000000003</v>
          </cell>
        </row>
        <row r="3666">
          <cell r="D3666">
            <v>38.03</v>
          </cell>
        </row>
        <row r="3667">
          <cell r="D3667">
            <v>38.04</v>
          </cell>
        </row>
        <row r="3668">
          <cell r="D3668">
            <v>38.049999999999997</v>
          </cell>
        </row>
        <row r="3669">
          <cell r="D3669">
            <v>38.06</v>
          </cell>
        </row>
        <row r="3670">
          <cell r="D3670">
            <v>38.07</v>
          </cell>
        </row>
        <row r="3671">
          <cell r="D3671">
            <v>38.08</v>
          </cell>
        </row>
        <row r="3672">
          <cell r="D3672">
            <v>38.090000000000003</v>
          </cell>
        </row>
        <row r="3673">
          <cell r="D3673">
            <v>38.1</v>
          </cell>
        </row>
        <row r="3674">
          <cell r="D3674">
            <v>38.11</v>
          </cell>
        </row>
        <row r="3675">
          <cell r="D3675">
            <v>38.119999999999997</v>
          </cell>
        </row>
        <row r="3676">
          <cell r="D3676">
            <v>38.130000000000003</v>
          </cell>
        </row>
        <row r="3677">
          <cell r="D3677">
            <v>38.14</v>
          </cell>
        </row>
        <row r="3678">
          <cell r="D3678">
            <v>38.15</v>
          </cell>
        </row>
        <row r="3679">
          <cell r="D3679">
            <v>38.159999999999997</v>
          </cell>
        </row>
        <row r="3680">
          <cell r="D3680">
            <v>38.17</v>
          </cell>
        </row>
        <row r="3681">
          <cell r="D3681">
            <v>38.18</v>
          </cell>
        </row>
        <row r="3682">
          <cell r="D3682">
            <v>38.19</v>
          </cell>
        </row>
        <row r="3683">
          <cell r="D3683">
            <v>38.200000000000003</v>
          </cell>
        </row>
        <row r="3684">
          <cell r="D3684">
            <v>38.21</v>
          </cell>
        </row>
        <row r="3685">
          <cell r="D3685">
            <v>38.22</v>
          </cell>
        </row>
        <row r="3686">
          <cell r="D3686">
            <v>38.229999999999997</v>
          </cell>
        </row>
        <row r="3687">
          <cell r="D3687">
            <v>38.24</v>
          </cell>
        </row>
        <row r="3688">
          <cell r="D3688">
            <v>38.25</v>
          </cell>
        </row>
        <row r="3689">
          <cell r="D3689">
            <v>38.26</v>
          </cell>
        </row>
        <row r="3690">
          <cell r="D3690">
            <v>38.270000000000003</v>
          </cell>
        </row>
        <row r="3691">
          <cell r="D3691">
            <v>38.28</v>
          </cell>
        </row>
        <row r="3692">
          <cell r="D3692">
            <v>38.29</v>
          </cell>
        </row>
        <row r="3693">
          <cell r="D3693">
            <v>38.299999999999997</v>
          </cell>
        </row>
        <row r="3694">
          <cell r="D3694">
            <v>38.31</v>
          </cell>
        </row>
        <row r="3695">
          <cell r="D3695">
            <v>38.32</v>
          </cell>
        </row>
        <row r="3696">
          <cell r="D3696">
            <v>38.33</v>
          </cell>
        </row>
        <row r="3697">
          <cell r="D3697">
            <v>38.340000000000003</v>
          </cell>
        </row>
        <row r="3698">
          <cell r="D3698">
            <v>38.35</v>
          </cell>
        </row>
        <row r="3699">
          <cell r="D3699">
            <v>38.36</v>
          </cell>
        </row>
        <row r="3700">
          <cell r="D3700">
            <v>38.369999999999997</v>
          </cell>
        </row>
        <row r="3701">
          <cell r="D3701">
            <v>38.380000000000003</v>
          </cell>
        </row>
        <row r="3702">
          <cell r="D3702">
            <v>38.39</v>
          </cell>
        </row>
        <row r="3703">
          <cell r="D3703">
            <v>38.4</v>
          </cell>
        </row>
        <row r="3704">
          <cell r="D3704">
            <v>38.409999999999997</v>
          </cell>
        </row>
        <row r="3705">
          <cell r="D3705">
            <v>38.42</v>
          </cell>
        </row>
        <row r="3706">
          <cell r="D3706">
            <v>38.43</v>
          </cell>
        </row>
        <row r="3707">
          <cell r="D3707">
            <v>38.44</v>
          </cell>
        </row>
        <row r="3708">
          <cell r="D3708">
            <v>38.450000000000003</v>
          </cell>
        </row>
        <row r="3709">
          <cell r="D3709">
            <v>38.46</v>
          </cell>
        </row>
        <row r="3710">
          <cell r="D3710">
            <v>38.47</v>
          </cell>
        </row>
        <row r="3711">
          <cell r="D3711">
            <v>38.479999999999997</v>
          </cell>
        </row>
        <row r="3712">
          <cell r="D3712">
            <v>38.49</v>
          </cell>
        </row>
        <row r="3713">
          <cell r="D3713">
            <v>38.5</v>
          </cell>
        </row>
        <row r="3714">
          <cell r="D3714">
            <v>38.51</v>
          </cell>
        </row>
        <row r="3715">
          <cell r="D3715">
            <v>38.520000000000003</v>
          </cell>
        </row>
        <row r="3716">
          <cell r="D3716">
            <v>38.53</v>
          </cell>
        </row>
        <row r="3717">
          <cell r="D3717">
            <v>38.54</v>
          </cell>
        </row>
        <row r="3718">
          <cell r="D3718">
            <v>38.549999999999997</v>
          </cell>
        </row>
        <row r="3719">
          <cell r="D3719">
            <v>38.56</v>
          </cell>
        </row>
        <row r="3720">
          <cell r="D3720">
            <v>38.57</v>
          </cell>
        </row>
        <row r="3721">
          <cell r="D3721">
            <v>38.58</v>
          </cell>
        </row>
        <row r="3722">
          <cell r="D3722">
            <v>38.590000000000003</v>
          </cell>
        </row>
        <row r="3723">
          <cell r="D3723">
            <v>38.6</v>
          </cell>
        </row>
        <row r="3724">
          <cell r="D3724">
            <v>38.61</v>
          </cell>
        </row>
        <row r="3725">
          <cell r="D3725">
            <v>38.619999999999997</v>
          </cell>
        </row>
        <row r="3726">
          <cell r="D3726">
            <v>38.630000000000003</v>
          </cell>
        </row>
        <row r="3727">
          <cell r="D3727">
            <v>38.64</v>
          </cell>
        </row>
        <row r="3728">
          <cell r="D3728">
            <v>38.65</v>
          </cell>
        </row>
        <row r="3729">
          <cell r="D3729">
            <v>38.659999999999997</v>
          </cell>
        </row>
        <row r="3730">
          <cell r="D3730">
            <v>38.67</v>
          </cell>
        </row>
        <row r="3731">
          <cell r="D3731">
            <v>38.68</v>
          </cell>
        </row>
        <row r="3732">
          <cell r="D3732">
            <v>38.69</v>
          </cell>
        </row>
        <row r="3733">
          <cell r="D3733">
            <v>38.700000000000003</v>
          </cell>
        </row>
        <row r="3734">
          <cell r="D3734">
            <v>38.71</v>
          </cell>
        </row>
        <row r="3735">
          <cell r="D3735">
            <v>38.72</v>
          </cell>
        </row>
        <row r="3736">
          <cell r="D3736">
            <v>38.729999999999997</v>
          </cell>
        </row>
        <row r="3737">
          <cell r="D3737">
            <v>38.74</v>
          </cell>
        </row>
        <row r="3738">
          <cell r="D3738">
            <v>38.75</v>
          </cell>
        </row>
        <row r="3739">
          <cell r="D3739">
            <v>38.76</v>
          </cell>
        </row>
        <row r="3740">
          <cell r="D3740">
            <v>38.770000000000003</v>
          </cell>
        </row>
        <row r="3741">
          <cell r="D3741">
            <v>38.78</v>
          </cell>
        </row>
        <row r="3742">
          <cell r="D3742">
            <v>38.79</v>
          </cell>
        </row>
        <row r="3743">
          <cell r="D3743">
            <v>38.799999999999997</v>
          </cell>
        </row>
        <row r="3744">
          <cell r="D3744">
            <v>38.81</v>
          </cell>
        </row>
        <row r="3745">
          <cell r="D3745">
            <v>38.82</v>
          </cell>
        </row>
        <row r="3746">
          <cell r="D3746">
            <v>38.83</v>
          </cell>
        </row>
        <row r="3747">
          <cell r="D3747">
            <v>38.840000000000003</v>
          </cell>
        </row>
        <row r="3748">
          <cell r="D3748">
            <v>38.85</v>
          </cell>
        </row>
        <row r="3749">
          <cell r="D3749">
            <v>38.86</v>
          </cell>
        </row>
        <row r="3750">
          <cell r="D3750">
            <v>38.869999999999997</v>
          </cell>
        </row>
        <row r="3751">
          <cell r="D3751">
            <v>38.880000000000003</v>
          </cell>
        </row>
        <row r="3752">
          <cell r="D3752">
            <v>38.89</v>
          </cell>
        </row>
        <row r="3753">
          <cell r="D3753">
            <v>38.9</v>
          </cell>
        </row>
        <row r="3754">
          <cell r="D3754">
            <v>38.909999999999997</v>
          </cell>
        </row>
        <row r="3755">
          <cell r="D3755">
            <v>38.92</v>
          </cell>
        </row>
        <row r="3756">
          <cell r="D3756">
            <v>38.93</v>
          </cell>
        </row>
        <row r="3757">
          <cell r="D3757">
            <v>38.94</v>
          </cell>
        </row>
        <row r="3758">
          <cell r="D3758">
            <v>38.950000000000003</v>
          </cell>
        </row>
        <row r="3759">
          <cell r="D3759">
            <v>38.96</v>
          </cell>
        </row>
        <row r="3760">
          <cell r="D3760">
            <v>38.97</v>
          </cell>
        </row>
        <row r="3761">
          <cell r="D3761">
            <v>38.979999999999997</v>
          </cell>
        </row>
        <row r="3762">
          <cell r="D3762">
            <v>38.99</v>
          </cell>
        </row>
        <row r="3763">
          <cell r="D3763">
            <v>39</v>
          </cell>
        </row>
        <row r="3764">
          <cell r="D3764">
            <v>39.01</v>
          </cell>
        </row>
        <row r="3765">
          <cell r="D3765">
            <v>39.020000000000003</v>
          </cell>
        </row>
        <row r="3766">
          <cell r="D3766">
            <v>39.03</v>
          </cell>
        </row>
        <row r="3767">
          <cell r="D3767">
            <v>39.04</v>
          </cell>
        </row>
        <row r="3768">
          <cell r="D3768">
            <v>39.049999999999997</v>
          </cell>
        </row>
        <row r="3769">
          <cell r="D3769">
            <v>39.06</v>
          </cell>
        </row>
        <row r="3770">
          <cell r="D3770">
            <v>39.07</v>
          </cell>
        </row>
        <row r="3771">
          <cell r="D3771">
            <v>39.08</v>
          </cell>
        </row>
        <row r="3772">
          <cell r="D3772">
            <v>39.090000000000003</v>
          </cell>
        </row>
        <row r="3773">
          <cell r="D3773">
            <v>39.1</v>
          </cell>
        </row>
        <row r="3774">
          <cell r="D3774">
            <v>39.11</v>
          </cell>
        </row>
        <row r="3775">
          <cell r="D3775">
            <v>39.119999999999997</v>
          </cell>
        </row>
        <row r="3776">
          <cell r="D3776">
            <v>39.130000000000003</v>
          </cell>
        </row>
        <row r="3777">
          <cell r="D3777">
            <v>39.14</v>
          </cell>
        </row>
        <row r="3778">
          <cell r="D3778">
            <v>39.15</v>
          </cell>
        </row>
        <row r="3779">
          <cell r="D3779">
            <v>39.159999999999997</v>
          </cell>
        </row>
        <row r="3780">
          <cell r="D3780">
            <v>39.17</v>
          </cell>
        </row>
        <row r="3781">
          <cell r="D3781">
            <v>39.18</v>
          </cell>
        </row>
        <row r="3782">
          <cell r="D3782">
            <v>39.19</v>
          </cell>
        </row>
        <row r="3783">
          <cell r="D3783">
            <v>39.200000000000003</v>
          </cell>
        </row>
        <row r="3784">
          <cell r="D3784">
            <v>39.21</v>
          </cell>
        </row>
        <row r="3785">
          <cell r="D3785">
            <v>39.22</v>
          </cell>
        </row>
        <row r="3786">
          <cell r="D3786">
            <v>39.229999999999997</v>
          </cell>
        </row>
        <row r="3787">
          <cell r="D3787">
            <v>39.24</v>
          </cell>
        </row>
        <row r="3788">
          <cell r="D3788">
            <v>39.25</v>
          </cell>
        </row>
        <row r="3789">
          <cell r="D3789">
            <v>39.26</v>
          </cell>
        </row>
        <row r="3790">
          <cell r="D3790">
            <v>39.270000000000003</v>
          </cell>
        </row>
        <row r="3791">
          <cell r="D3791">
            <v>39.28</v>
          </cell>
        </row>
        <row r="3792">
          <cell r="D3792">
            <v>39.29</v>
          </cell>
        </row>
        <row r="3793">
          <cell r="D3793">
            <v>39.299999999999997</v>
          </cell>
        </row>
        <row r="3794">
          <cell r="D3794">
            <v>39.31</v>
          </cell>
        </row>
        <row r="3795">
          <cell r="D3795">
            <v>39.32</v>
          </cell>
        </row>
        <row r="3796">
          <cell r="D3796">
            <v>39.33</v>
          </cell>
        </row>
        <row r="3797">
          <cell r="D3797">
            <v>39.340000000000003</v>
          </cell>
        </row>
        <row r="3798">
          <cell r="D3798">
            <v>39.35</v>
          </cell>
        </row>
        <row r="3799">
          <cell r="D3799">
            <v>39.36</v>
          </cell>
        </row>
        <row r="3800">
          <cell r="D3800">
            <v>39.369999999999997</v>
          </cell>
        </row>
        <row r="3801">
          <cell r="D3801">
            <v>39.380000000000003</v>
          </cell>
        </row>
        <row r="3802">
          <cell r="D3802">
            <v>39.39</v>
          </cell>
        </row>
        <row r="3803">
          <cell r="D3803">
            <v>39.4</v>
          </cell>
        </row>
        <row r="3804">
          <cell r="D3804">
            <v>39.409999999999997</v>
          </cell>
        </row>
        <row r="3805">
          <cell r="D3805">
            <v>39.42</v>
          </cell>
        </row>
        <row r="3806">
          <cell r="D3806">
            <v>39.43</v>
          </cell>
        </row>
        <row r="3807">
          <cell r="D3807">
            <v>39.44</v>
          </cell>
        </row>
        <row r="3808">
          <cell r="D3808">
            <v>39.450000000000003</v>
          </cell>
        </row>
        <row r="3809">
          <cell r="D3809">
            <v>39.46</v>
          </cell>
        </row>
        <row r="3810">
          <cell r="D3810">
            <v>39.47</v>
          </cell>
        </row>
        <row r="3811">
          <cell r="D3811">
            <v>39.479999999999997</v>
          </cell>
        </row>
        <row r="3812">
          <cell r="D3812">
            <v>39.49</v>
          </cell>
        </row>
        <row r="3813">
          <cell r="D3813">
            <v>39.5</v>
          </cell>
        </row>
        <row r="3814">
          <cell r="D3814">
            <v>39.51</v>
          </cell>
        </row>
        <row r="3815">
          <cell r="D3815">
            <v>39.520000000000003</v>
          </cell>
        </row>
        <row r="3816">
          <cell r="D3816">
            <v>39.53</v>
          </cell>
        </row>
        <row r="3817">
          <cell r="D3817">
            <v>39.54</v>
          </cell>
        </row>
        <row r="3818">
          <cell r="D3818">
            <v>39.549999999999997</v>
          </cell>
        </row>
        <row r="3819">
          <cell r="D3819">
            <v>39.56</v>
          </cell>
        </row>
        <row r="3820">
          <cell r="D3820">
            <v>39.57</v>
          </cell>
        </row>
        <row r="3821">
          <cell r="D3821">
            <v>39.58</v>
          </cell>
        </row>
        <row r="3822">
          <cell r="D3822">
            <v>39.590000000000003</v>
          </cell>
        </row>
        <row r="3823">
          <cell r="D3823">
            <v>39.6</v>
          </cell>
        </row>
        <row r="3824">
          <cell r="D3824">
            <v>39.61</v>
          </cell>
        </row>
        <row r="3825">
          <cell r="D3825">
            <v>39.619999999999997</v>
          </cell>
        </row>
        <row r="3826">
          <cell r="D3826">
            <v>39.630000000000003</v>
          </cell>
        </row>
        <row r="3827">
          <cell r="D3827">
            <v>39.64</v>
          </cell>
        </row>
        <row r="3828">
          <cell r="D3828">
            <v>39.65</v>
          </cell>
        </row>
        <row r="3829">
          <cell r="D3829">
            <v>39.659999999999997</v>
          </cell>
        </row>
        <row r="3830">
          <cell r="D3830">
            <v>39.67</v>
          </cell>
        </row>
        <row r="3831">
          <cell r="D3831">
            <v>39.68</v>
          </cell>
        </row>
        <row r="3832">
          <cell r="D3832">
            <v>39.69</v>
          </cell>
        </row>
        <row r="3833">
          <cell r="D3833">
            <v>39.700000000000003</v>
          </cell>
        </row>
        <row r="3834">
          <cell r="D3834">
            <v>39.71</v>
          </cell>
        </row>
        <row r="3835">
          <cell r="D3835">
            <v>39.72</v>
          </cell>
        </row>
        <row r="3836">
          <cell r="D3836">
            <v>39.729999999999997</v>
          </cell>
        </row>
        <row r="3837">
          <cell r="D3837">
            <v>39.74</v>
          </cell>
        </row>
        <row r="3838">
          <cell r="D3838">
            <v>39.75</v>
          </cell>
        </row>
        <row r="3839">
          <cell r="D3839">
            <v>39.76</v>
          </cell>
        </row>
        <row r="3840">
          <cell r="D3840">
            <v>39.770000000000003</v>
          </cell>
        </row>
        <row r="3841">
          <cell r="D3841">
            <v>39.78</v>
          </cell>
        </row>
        <row r="3842">
          <cell r="D3842">
            <v>39.79</v>
          </cell>
        </row>
        <row r="3843">
          <cell r="D3843">
            <v>39.799999999999997</v>
          </cell>
        </row>
        <row r="3844">
          <cell r="D3844">
            <v>39.81</v>
          </cell>
        </row>
        <row r="3845">
          <cell r="D3845">
            <v>39.82</v>
          </cell>
        </row>
        <row r="3846">
          <cell r="D3846">
            <v>39.83</v>
          </cell>
        </row>
        <row r="3847">
          <cell r="D3847">
            <v>39.840000000000003</v>
          </cell>
        </row>
        <row r="3848">
          <cell r="D3848">
            <v>39.85</v>
          </cell>
        </row>
        <row r="3849">
          <cell r="D3849">
            <v>39.86</v>
          </cell>
        </row>
        <row r="3850">
          <cell r="D3850">
            <v>39.869999999999997</v>
          </cell>
        </row>
        <row r="3851">
          <cell r="D3851">
            <v>39.880000000000003</v>
          </cell>
        </row>
        <row r="3852">
          <cell r="D3852">
            <v>39.89</v>
          </cell>
        </row>
        <row r="3853">
          <cell r="D3853">
            <v>39.9</v>
          </cell>
        </row>
        <row r="3854">
          <cell r="D3854">
            <v>39.909999999999997</v>
          </cell>
        </row>
        <row r="3855">
          <cell r="D3855">
            <v>39.92</v>
          </cell>
        </row>
        <row r="3856">
          <cell r="D3856">
            <v>39.93</v>
          </cell>
        </row>
        <row r="3857">
          <cell r="D3857">
            <v>39.94</v>
          </cell>
        </row>
        <row r="3858">
          <cell r="D3858">
            <v>39.950000000000003</v>
          </cell>
        </row>
        <row r="3859">
          <cell r="D3859">
            <v>39.96</v>
          </cell>
        </row>
        <row r="3860">
          <cell r="D3860">
            <v>39.97</v>
          </cell>
        </row>
        <row r="3861">
          <cell r="D3861">
            <v>39.979999999999997</v>
          </cell>
        </row>
        <row r="3862">
          <cell r="D3862">
            <v>39.99</v>
          </cell>
        </row>
        <row r="3863">
          <cell r="D3863">
            <v>40</v>
          </cell>
        </row>
        <row r="3864">
          <cell r="D3864">
            <v>40.01</v>
          </cell>
        </row>
        <row r="3865">
          <cell r="D3865">
            <v>40.020000000000003</v>
          </cell>
        </row>
        <row r="3866">
          <cell r="D3866">
            <v>40.03</v>
          </cell>
        </row>
        <row r="3867">
          <cell r="D3867">
            <v>40.04</v>
          </cell>
        </row>
        <row r="3868">
          <cell r="D3868">
            <v>40.049999999999997</v>
          </cell>
        </row>
        <row r="3869">
          <cell r="D3869">
            <v>40.06</v>
          </cell>
        </row>
        <row r="3870">
          <cell r="D3870">
            <v>40.07</v>
          </cell>
        </row>
        <row r="3871">
          <cell r="D3871">
            <v>40.08</v>
          </cell>
        </row>
        <row r="3872">
          <cell r="D3872">
            <v>40.090000000000003</v>
          </cell>
        </row>
        <row r="3873">
          <cell r="D3873">
            <v>40.1</v>
          </cell>
        </row>
        <row r="3874">
          <cell r="D3874">
            <v>40.11</v>
          </cell>
        </row>
        <row r="3875">
          <cell r="D3875">
            <v>40.119999999999997</v>
          </cell>
        </row>
        <row r="3876">
          <cell r="D3876">
            <v>40.130000000000003</v>
          </cell>
        </row>
        <row r="3877">
          <cell r="D3877">
            <v>40.14</v>
          </cell>
        </row>
        <row r="3878">
          <cell r="D3878">
            <v>40.15</v>
          </cell>
        </row>
        <row r="3879">
          <cell r="D3879">
            <v>40.159999999999997</v>
          </cell>
        </row>
        <row r="3880">
          <cell r="D3880">
            <v>40.17</v>
          </cell>
        </row>
        <row r="3881">
          <cell r="D3881">
            <v>40.18</v>
          </cell>
        </row>
        <row r="3882">
          <cell r="D3882">
            <v>40.19</v>
          </cell>
        </row>
        <row r="3883">
          <cell r="D3883">
            <v>40.200000000000003</v>
          </cell>
        </row>
        <row r="3884">
          <cell r="D3884">
            <v>40.21</v>
          </cell>
        </row>
        <row r="3885">
          <cell r="D3885">
            <v>40.22</v>
          </cell>
        </row>
        <row r="3886">
          <cell r="D3886">
            <v>40.229999999999997</v>
          </cell>
        </row>
        <row r="3887">
          <cell r="D3887">
            <v>40.24</v>
          </cell>
        </row>
        <row r="3888">
          <cell r="D3888">
            <v>40.25</v>
          </cell>
        </row>
        <row r="3889">
          <cell r="D3889">
            <v>40.26</v>
          </cell>
        </row>
        <row r="3890">
          <cell r="D3890">
            <v>40.270000000000003</v>
          </cell>
        </row>
        <row r="3891">
          <cell r="D3891">
            <v>40.28</v>
          </cell>
        </row>
        <row r="3892">
          <cell r="D3892">
            <v>40.29</v>
          </cell>
        </row>
        <row r="3893">
          <cell r="D3893">
            <v>40.299999999999997</v>
          </cell>
        </row>
        <row r="3894">
          <cell r="D3894">
            <v>40.31</v>
          </cell>
        </row>
        <row r="3895">
          <cell r="D3895">
            <v>40.32</v>
          </cell>
        </row>
        <row r="3896">
          <cell r="D3896">
            <v>40.33</v>
          </cell>
        </row>
        <row r="3897">
          <cell r="D3897">
            <v>40.340000000000003</v>
          </cell>
        </row>
        <row r="3898">
          <cell r="D3898">
            <v>40.35</v>
          </cell>
        </row>
        <row r="3899">
          <cell r="D3899">
            <v>40.36</v>
          </cell>
        </row>
        <row r="3900">
          <cell r="D3900">
            <v>40.369999999999997</v>
          </cell>
        </row>
        <row r="3901">
          <cell r="D3901">
            <v>40.380000000000003</v>
          </cell>
        </row>
        <row r="3902">
          <cell r="D3902">
            <v>40.39</v>
          </cell>
        </row>
        <row r="3903">
          <cell r="D3903">
            <v>40.4</v>
          </cell>
        </row>
        <row r="3904">
          <cell r="D3904">
            <v>40.409999999999997</v>
          </cell>
        </row>
        <row r="3905">
          <cell r="D3905">
            <v>40.42</v>
          </cell>
        </row>
        <row r="3906">
          <cell r="D3906">
            <v>40.43</v>
          </cell>
        </row>
        <row r="3907">
          <cell r="D3907">
            <v>40.44</v>
          </cell>
        </row>
        <row r="3908">
          <cell r="D3908">
            <v>40.450000000000003</v>
          </cell>
        </row>
        <row r="3909">
          <cell r="D3909">
            <v>40.46</v>
          </cell>
        </row>
        <row r="3910">
          <cell r="D3910">
            <v>40.47</v>
          </cell>
        </row>
        <row r="3911">
          <cell r="D3911">
            <v>40.479999999999997</v>
          </cell>
        </row>
        <row r="3912">
          <cell r="D3912">
            <v>40.49</v>
          </cell>
        </row>
        <row r="3913">
          <cell r="D3913">
            <v>40.5</v>
          </cell>
        </row>
        <row r="3914">
          <cell r="D3914">
            <v>40.51</v>
          </cell>
        </row>
        <row r="3915">
          <cell r="D3915">
            <v>40.520000000000003</v>
          </cell>
        </row>
        <row r="3916">
          <cell r="D3916">
            <v>40.53</v>
          </cell>
        </row>
        <row r="3917">
          <cell r="D3917">
            <v>40.54</v>
          </cell>
        </row>
        <row r="3918">
          <cell r="D3918">
            <v>40.549999999999997</v>
          </cell>
        </row>
        <row r="3919">
          <cell r="D3919">
            <v>40.56</v>
          </cell>
        </row>
        <row r="3920">
          <cell r="D3920">
            <v>40.57</v>
          </cell>
        </row>
        <row r="3921">
          <cell r="D3921">
            <v>40.58</v>
          </cell>
        </row>
        <row r="3922">
          <cell r="D3922">
            <v>40.590000000000003</v>
          </cell>
        </row>
        <row r="3923">
          <cell r="D3923">
            <v>40.6</v>
          </cell>
        </row>
        <row r="3924">
          <cell r="D3924">
            <v>40.61</v>
          </cell>
        </row>
        <row r="3925">
          <cell r="D3925">
            <v>40.619999999999997</v>
          </cell>
        </row>
        <row r="3926">
          <cell r="D3926">
            <v>40.630000000000003</v>
          </cell>
        </row>
        <row r="3927">
          <cell r="D3927">
            <v>40.64</v>
          </cell>
        </row>
        <row r="3928">
          <cell r="D3928">
            <v>40.65</v>
          </cell>
        </row>
        <row r="3929">
          <cell r="D3929">
            <v>40.659999999999997</v>
          </cell>
        </row>
        <row r="3930">
          <cell r="D3930">
            <v>40.67</v>
          </cell>
        </row>
        <row r="3931">
          <cell r="D3931">
            <v>40.68</v>
          </cell>
        </row>
        <row r="3932">
          <cell r="D3932">
            <v>40.69</v>
          </cell>
        </row>
        <row r="3933">
          <cell r="D3933">
            <v>40.700000000000003</v>
          </cell>
        </row>
        <row r="3934">
          <cell r="D3934">
            <v>40.71</v>
          </cell>
        </row>
        <row r="3935">
          <cell r="D3935">
            <v>40.72</v>
          </cell>
        </row>
        <row r="3936">
          <cell r="D3936">
            <v>40.729999999999997</v>
          </cell>
        </row>
        <row r="3937">
          <cell r="D3937">
            <v>40.74</v>
          </cell>
        </row>
        <row r="3938">
          <cell r="D3938">
            <v>40.75</v>
          </cell>
        </row>
        <row r="3939">
          <cell r="D3939">
            <v>40.76</v>
          </cell>
        </row>
        <row r="3940">
          <cell r="D3940">
            <v>40.770000000000003</v>
          </cell>
        </row>
        <row r="3941">
          <cell r="D3941">
            <v>40.78</v>
          </cell>
        </row>
        <row r="3942">
          <cell r="D3942">
            <v>40.79</v>
          </cell>
        </row>
        <row r="3943">
          <cell r="D3943">
            <v>40.799999999999997</v>
          </cell>
        </row>
        <row r="3944">
          <cell r="D3944">
            <v>40.81</v>
          </cell>
        </row>
        <row r="3945">
          <cell r="D3945">
            <v>40.82</v>
          </cell>
        </row>
        <row r="3946">
          <cell r="D3946">
            <v>40.83</v>
          </cell>
        </row>
        <row r="3947">
          <cell r="D3947">
            <v>40.840000000000003</v>
          </cell>
        </row>
        <row r="3948">
          <cell r="D3948">
            <v>40.85</v>
          </cell>
        </row>
        <row r="3949">
          <cell r="D3949">
            <v>40.86</v>
          </cell>
        </row>
        <row r="3950">
          <cell r="D3950">
            <v>40.869999999999997</v>
          </cell>
        </row>
        <row r="3951">
          <cell r="D3951">
            <v>40.880000000000003</v>
          </cell>
        </row>
        <row r="3952">
          <cell r="D3952">
            <v>40.89</v>
          </cell>
        </row>
        <row r="3953">
          <cell r="D3953">
            <v>40.9</v>
          </cell>
        </row>
        <row r="3954">
          <cell r="D3954">
            <v>40.909999999999997</v>
          </cell>
        </row>
        <row r="3955">
          <cell r="D3955">
            <v>40.92</v>
          </cell>
        </row>
        <row r="3956">
          <cell r="D3956">
            <v>40.93</v>
          </cell>
        </row>
        <row r="3957">
          <cell r="D3957">
            <v>40.94</v>
          </cell>
        </row>
        <row r="3958">
          <cell r="D3958">
            <v>40.950000000000003</v>
          </cell>
        </row>
        <row r="3959">
          <cell r="D3959">
            <v>40.96</v>
          </cell>
        </row>
        <row r="3960">
          <cell r="D3960">
            <v>40.97</v>
          </cell>
        </row>
        <row r="3961">
          <cell r="D3961">
            <v>40.98</v>
          </cell>
        </row>
        <row r="3962">
          <cell r="D3962">
            <v>40.99</v>
          </cell>
        </row>
        <row r="3963">
          <cell r="D3963">
            <v>41</v>
          </cell>
        </row>
        <row r="3964">
          <cell r="D3964">
            <v>41.01</v>
          </cell>
        </row>
        <row r="3965">
          <cell r="D3965">
            <v>41.02</v>
          </cell>
        </row>
        <row r="3966">
          <cell r="D3966">
            <v>41.03</v>
          </cell>
        </row>
        <row r="3967">
          <cell r="D3967">
            <v>41.04</v>
          </cell>
        </row>
        <row r="3968">
          <cell r="D3968">
            <v>41.05</v>
          </cell>
        </row>
        <row r="3969">
          <cell r="D3969">
            <v>41.06</v>
          </cell>
        </row>
        <row r="3970">
          <cell r="D3970">
            <v>41.07</v>
          </cell>
        </row>
        <row r="3971">
          <cell r="D3971">
            <v>41.08</v>
          </cell>
        </row>
        <row r="3972">
          <cell r="D3972">
            <v>41.09</v>
          </cell>
        </row>
        <row r="3973">
          <cell r="D3973">
            <v>41.1</v>
          </cell>
        </row>
        <row r="3974">
          <cell r="D3974">
            <v>41.11</v>
          </cell>
        </row>
        <row r="3975">
          <cell r="D3975">
            <v>41.12</v>
          </cell>
        </row>
        <row r="3976">
          <cell r="D3976">
            <v>41.13</v>
          </cell>
        </row>
        <row r="3977">
          <cell r="D3977">
            <v>41.14</v>
          </cell>
        </row>
        <row r="3978">
          <cell r="D3978">
            <v>41.15</v>
          </cell>
        </row>
        <row r="3979">
          <cell r="D3979">
            <v>41.16</v>
          </cell>
        </row>
        <row r="3980">
          <cell r="D3980">
            <v>41.17</v>
          </cell>
        </row>
        <row r="3981">
          <cell r="D3981">
            <v>41.18</v>
          </cell>
        </row>
        <row r="3982">
          <cell r="D3982">
            <v>41.19</v>
          </cell>
        </row>
        <row r="3983">
          <cell r="D3983">
            <v>41.2</v>
          </cell>
        </row>
        <row r="3984">
          <cell r="D3984">
            <v>41.21</v>
          </cell>
        </row>
        <row r="3985">
          <cell r="D3985">
            <v>41.22</v>
          </cell>
        </row>
        <row r="3986">
          <cell r="D3986">
            <v>41.23</v>
          </cell>
        </row>
        <row r="3987">
          <cell r="D3987">
            <v>41.24</v>
          </cell>
        </row>
        <row r="3988">
          <cell r="D3988">
            <v>41.25</v>
          </cell>
        </row>
        <row r="3989">
          <cell r="D3989">
            <v>41.26</v>
          </cell>
        </row>
        <row r="3990">
          <cell r="D3990">
            <v>41.27</v>
          </cell>
        </row>
        <row r="3991">
          <cell r="D3991">
            <v>41.28</v>
          </cell>
        </row>
        <row r="3992">
          <cell r="D3992">
            <v>41.29</v>
          </cell>
        </row>
        <row r="3993">
          <cell r="D3993">
            <v>41.3</v>
          </cell>
        </row>
        <row r="3994">
          <cell r="D3994">
            <v>41.31</v>
          </cell>
        </row>
        <row r="3995">
          <cell r="D3995">
            <v>41.32</v>
          </cell>
        </row>
        <row r="3996">
          <cell r="D3996">
            <v>41.33</v>
          </cell>
        </row>
        <row r="3997">
          <cell r="D3997">
            <v>41.34</v>
          </cell>
        </row>
        <row r="3998">
          <cell r="D3998">
            <v>41.35</v>
          </cell>
        </row>
        <row r="3999">
          <cell r="D3999">
            <v>41.36</v>
          </cell>
        </row>
        <row r="4000">
          <cell r="D4000">
            <v>41.37</v>
          </cell>
        </row>
        <row r="4001">
          <cell r="D4001">
            <v>41.38</v>
          </cell>
        </row>
        <row r="4002">
          <cell r="D4002">
            <v>41.39</v>
          </cell>
        </row>
        <row r="4003">
          <cell r="D4003">
            <v>41.4</v>
          </cell>
        </row>
        <row r="4004">
          <cell r="D4004">
            <v>41.41</v>
          </cell>
        </row>
        <row r="4005">
          <cell r="D4005">
            <v>41.42</v>
          </cell>
        </row>
        <row r="4006">
          <cell r="D4006">
            <v>41.43</v>
          </cell>
        </row>
        <row r="4007">
          <cell r="D4007">
            <v>41.44</v>
          </cell>
        </row>
        <row r="4008">
          <cell r="D4008">
            <v>41.45</v>
          </cell>
        </row>
        <row r="4009">
          <cell r="D4009">
            <v>41.46</v>
          </cell>
        </row>
        <row r="4010">
          <cell r="D4010">
            <v>41.47</v>
          </cell>
        </row>
        <row r="4011">
          <cell r="D4011">
            <v>41.48</v>
          </cell>
        </row>
        <row r="4012">
          <cell r="D4012">
            <v>41.49</v>
          </cell>
        </row>
        <row r="4013">
          <cell r="D4013">
            <v>41.5</v>
          </cell>
        </row>
        <row r="4014">
          <cell r="D4014">
            <v>41.51</v>
          </cell>
        </row>
        <row r="4015">
          <cell r="D4015">
            <v>41.52</v>
          </cell>
        </row>
        <row r="4016">
          <cell r="D4016">
            <v>41.53</v>
          </cell>
        </row>
        <row r="4017">
          <cell r="D4017">
            <v>41.54</v>
          </cell>
        </row>
        <row r="4018">
          <cell r="D4018">
            <v>41.55</v>
          </cell>
        </row>
        <row r="4019">
          <cell r="D4019">
            <v>41.56</v>
          </cell>
        </row>
        <row r="4020">
          <cell r="D4020">
            <v>41.57</v>
          </cell>
        </row>
        <row r="4021">
          <cell r="D4021">
            <v>41.58</v>
          </cell>
        </row>
        <row r="4022">
          <cell r="D4022">
            <v>41.59</v>
          </cell>
        </row>
        <row r="4023">
          <cell r="D4023">
            <v>41.6</v>
          </cell>
        </row>
        <row r="4024">
          <cell r="D4024">
            <v>41.61</v>
          </cell>
        </row>
        <row r="4025">
          <cell r="D4025">
            <v>41.62</v>
          </cell>
        </row>
        <row r="4026">
          <cell r="D4026">
            <v>41.63</v>
          </cell>
        </row>
        <row r="4027">
          <cell r="D4027">
            <v>41.64</v>
          </cell>
        </row>
        <row r="4028">
          <cell r="D4028">
            <v>41.65</v>
          </cell>
        </row>
        <row r="4029">
          <cell r="D4029">
            <v>41.66</v>
          </cell>
        </row>
        <row r="4030">
          <cell r="D4030">
            <v>41.67</v>
          </cell>
        </row>
        <row r="4031">
          <cell r="D4031">
            <v>41.68</v>
          </cell>
        </row>
        <row r="4032">
          <cell r="D4032">
            <v>41.69</v>
          </cell>
        </row>
        <row r="4033">
          <cell r="D4033">
            <v>41.7</v>
          </cell>
        </row>
        <row r="4034">
          <cell r="D4034">
            <v>41.71</v>
          </cell>
        </row>
        <row r="4035">
          <cell r="D4035">
            <v>41.72</v>
          </cell>
        </row>
        <row r="4036">
          <cell r="D4036">
            <v>41.73</v>
          </cell>
        </row>
        <row r="4037">
          <cell r="D4037">
            <v>41.74</v>
          </cell>
        </row>
        <row r="4038">
          <cell r="D4038">
            <v>41.75</v>
          </cell>
        </row>
        <row r="4039">
          <cell r="D4039">
            <v>41.76</v>
          </cell>
        </row>
        <row r="4040">
          <cell r="D4040">
            <v>41.77</v>
          </cell>
        </row>
        <row r="4041">
          <cell r="D4041">
            <v>41.78</v>
          </cell>
        </row>
        <row r="4042">
          <cell r="D4042">
            <v>41.79</v>
          </cell>
        </row>
        <row r="4043">
          <cell r="D4043">
            <v>41.8</v>
          </cell>
        </row>
        <row r="4044">
          <cell r="D4044">
            <v>41.81</v>
          </cell>
        </row>
        <row r="4045">
          <cell r="D4045">
            <v>41.82</v>
          </cell>
        </row>
        <row r="4046">
          <cell r="D4046">
            <v>41.83</v>
          </cell>
        </row>
        <row r="4047">
          <cell r="D4047">
            <v>41.84</v>
          </cell>
        </row>
        <row r="4048">
          <cell r="D4048">
            <v>41.85</v>
          </cell>
        </row>
        <row r="4049">
          <cell r="D4049">
            <v>41.86</v>
          </cell>
        </row>
        <row r="4050">
          <cell r="D4050">
            <v>41.87</v>
          </cell>
        </row>
        <row r="4051">
          <cell r="D4051">
            <v>41.88</v>
          </cell>
        </row>
        <row r="4052">
          <cell r="D4052">
            <v>41.89</v>
          </cell>
        </row>
        <row r="4053">
          <cell r="D4053">
            <v>41.9</v>
          </cell>
        </row>
        <row r="4054">
          <cell r="D4054">
            <v>41.91</v>
          </cell>
        </row>
        <row r="4055">
          <cell r="D4055">
            <v>41.92</v>
          </cell>
        </row>
        <row r="4056">
          <cell r="D4056">
            <v>41.93</v>
          </cell>
        </row>
        <row r="4057">
          <cell r="D4057">
            <v>41.94</v>
          </cell>
        </row>
        <row r="4058">
          <cell r="D4058">
            <v>41.95</v>
          </cell>
        </row>
        <row r="4059">
          <cell r="D4059">
            <v>41.96</v>
          </cell>
        </row>
        <row r="4060">
          <cell r="D4060">
            <v>41.97</v>
          </cell>
        </row>
        <row r="4061">
          <cell r="D4061">
            <v>41.98</v>
          </cell>
        </row>
        <row r="4062">
          <cell r="D4062">
            <v>41.99</v>
          </cell>
        </row>
        <row r="4063">
          <cell r="D4063">
            <v>42</v>
          </cell>
        </row>
        <row r="4064">
          <cell r="D4064">
            <v>42.01</v>
          </cell>
        </row>
        <row r="4065">
          <cell r="D4065">
            <v>42.02</v>
          </cell>
        </row>
        <row r="4066">
          <cell r="D4066">
            <v>42.03</v>
          </cell>
        </row>
        <row r="4067">
          <cell r="D4067">
            <v>42.04</v>
          </cell>
        </row>
        <row r="4068">
          <cell r="D4068">
            <v>42.05</v>
          </cell>
        </row>
        <row r="4069">
          <cell r="D4069">
            <v>42.06</v>
          </cell>
        </row>
        <row r="4070">
          <cell r="D4070">
            <v>42.07</v>
          </cell>
        </row>
        <row r="4071">
          <cell r="D4071">
            <v>42.08</v>
          </cell>
        </row>
        <row r="4072">
          <cell r="D4072">
            <v>42.09</v>
          </cell>
        </row>
        <row r="4073">
          <cell r="D4073">
            <v>42.1</v>
          </cell>
        </row>
        <row r="4074">
          <cell r="D4074">
            <v>42.11</v>
          </cell>
        </row>
        <row r="4075">
          <cell r="D4075">
            <v>42.12</v>
          </cell>
        </row>
        <row r="4076">
          <cell r="D4076">
            <v>42.13</v>
          </cell>
        </row>
        <row r="4077">
          <cell r="D4077">
            <v>42.14</v>
          </cell>
        </row>
        <row r="4078">
          <cell r="D4078">
            <v>42.15</v>
          </cell>
        </row>
        <row r="4079">
          <cell r="D4079">
            <v>42.16</v>
          </cell>
        </row>
        <row r="4080">
          <cell r="D4080">
            <v>42.17</v>
          </cell>
        </row>
        <row r="4081">
          <cell r="D4081">
            <v>42.18</v>
          </cell>
        </row>
        <row r="4082">
          <cell r="D4082">
            <v>42.19</v>
          </cell>
        </row>
        <row r="4083">
          <cell r="D4083">
            <v>42.2</v>
          </cell>
        </row>
        <row r="4084">
          <cell r="D4084">
            <v>42.21</v>
          </cell>
        </row>
        <row r="4085">
          <cell r="D4085">
            <v>42.22</v>
          </cell>
        </row>
        <row r="4086">
          <cell r="D4086">
            <v>42.23</v>
          </cell>
        </row>
        <row r="4087">
          <cell r="D4087">
            <v>42.24</v>
          </cell>
        </row>
        <row r="4088">
          <cell r="D4088">
            <v>42.25</v>
          </cell>
        </row>
        <row r="4089">
          <cell r="D4089">
            <v>42.26</v>
          </cell>
        </row>
        <row r="4090">
          <cell r="D4090">
            <v>42.27</v>
          </cell>
        </row>
        <row r="4091">
          <cell r="D4091">
            <v>42.28</v>
          </cell>
        </row>
        <row r="4092">
          <cell r="D4092">
            <v>42.29</v>
          </cell>
        </row>
        <row r="4093">
          <cell r="D4093">
            <v>42.3</v>
          </cell>
        </row>
        <row r="4094">
          <cell r="D4094">
            <v>42.31</v>
          </cell>
        </row>
        <row r="4095">
          <cell r="D4095">
            <v>42.32</v>
          </cell>
        </row>
        <row r="4096">
          <cell r="D4096">
            <v>42.33</v>
          </cell>
        </row>
        <row r="4097">
          <cell r="D4097">
            <v>42.34</v>
          </cell>
        </row>
        <row r="4098">
          <cell r="D4098">
            <v>42.35</v>
          </cell>
        </row>
        <row r="4099">
          <cell r="D4099">
            <v>42.36</v>
          </cell>
        </row>
        <row r="4100">
          <cell r="D4100">
            <v>42.37</v>
          </cell>
        </row>
        <row r="4101">
          <cell r="D4101">
            <v>42.38</v>
          </cell>
        </row>
        <row r="4102">
          <cell r="D4102">
            <v>42.39</v>
          </cell>
        </row>
        <row r="4103">
          <cell r="D4103">
            <v>42.4</v>
          </cell>
        </row>
        <row r="4104">
          <cell r="D4104">
            <v>42.41</v>
          </cell>
        </row>
        <row r="4105">
          <cell r="D4105">
            <v>42.42</v>
          </cell>
        </row>
        <row r="4106">
          <cell r="D4106">
            <v>42.43</v>
          </cell>
        </row>
        <row r="4107">
          <cell r="D4107">
            <v>42.44</v>
          </cell>
        </row>
        <row r="4108">
          <cell r="D4108">
            <v>42.45</v>
          </cell>
        </row>
        <row r="4109">
          <cell r="D4109">
            <v>42.46</v>
          </cell>
        </row>
        <row r="4110">
          <cell r="D4110">
            <v>42.47</v>
          </cell>
        </row>
        <row r="4111">
          <cell r="D4111">
            <v>42.48</v>
          </cell>
        </row>
        <row r="4112">
          <cell r="D4112">
            <v>42.49</v>
          </cell>
        </row>
        <row r="4113">
          <cell r="D4113">
            <v>42.5</v>
          </cell>
        </row>
        <row r="4114">
          <cell r="D4114">
            <v>42.51</v>
          </cell>
        </row>
        <row r="4115">
          <cell r="D4115">
            <v>42.52</v>
          </cell>
        </row>
        <row r="4116">
          <cell r="D4116">
            <v>42.53</v>
          </cell>
        </row>
        <row r="4117">
          <cell r="D4117">
            <v>42.54</v>
          </cell>
        </row>
        <row r="4118">
          <cell r="D4118">
            <v>42.55</v>
          </cell>
        </row>
        <row r="4119">
          <cell r="D4119">
            <v>42.56</v>
          </cell>
        </row>
        <row r="4120">
          <cell r="D4120">
            <v>42.57</v>
          </cell>
        </row>
        <row r="4121">
          <cell r="D4121">
            <v>42.58</v>
          </cell>
        </row>
        <row r="4122">
          <cell r="D4122">
            <v>42.59</v>
          </cell>
        </row>
        <row r="4123">
          <cell r="D4123">
            <v>42.6</v>
          </cell>
        </row>
        <row r="4124">
          <cell r="D4124">
            <v>42.61</v>
          </cell>
        </row>
        <row r="4125">
          <cell r="D4125">
            <v>42.62</v>
          </cell>
        </row>
        <row r="4126">
          <cell r="D4126">
            <v>42.63</v>
          </cell>
        </row>
        <row r="4127">
          <cell r="D4127">
            <v>42.64</v>
          </cell>
        </row>
        <row r="4128">
          <cell r="D4128">
            <v>42.65</v>
          </cell>
        </row>
        <row r="4129">
          <cell r="D4129">
            <v>42.66</v>
          </cell>
        </row>
        <row r="4130">
          <cell r="D4130">
            <v>42.67</v>
          </cell>
        </row>
        <row r="4131">
          <cell r="D4131">
            <v>42.68</v>
          </cell>
        </row>
        <row r="4132">
          <cell r="D4132">
            <v>42.69</v>
          </cell>
        </row>
        <row r="4133">
          <cell r="D4133">
            <v>42.7</v>
          </cell>
        </row>
        <row r="4134">
          <cell r="D4134">
            <v>42.71</v>
          </cell>
        </row>
        <row r="4135">
          <cell r="D4135">
            <v>42.72</v>
          </cell>
        </row>
        <row r="4136">
          <cell r="D4136">
            <v>42.73</v>
          </cell>
        </row>
        <row r="4137">
          <cell r="D4137">
            <v>42.74</v>
          </cell>
        </row>
        <row r="4138">
          <cell r="D4138">
            <v>42.75</v>
          </cell>
        </row>
        <row r="4139">
          <cell r="D4139">
            <v>42.76</v>
          </cell>
        </row>
        <row r="4140">
          <cell r="D4140">
            <v>42.77</v>
          </cell>
        </row>
        <row r="4141">
          <cell r="D4141">
            <v>42.78</v>
          </cell>
        </row>
        <row r="4142">
          <cell r="D4142">
            <v>42.79</v>
          </cell>
        </row>
        <row r="4143">
          <cell r="D4143">
            <v>42.8</v>
          </cell>
        </row>
        <row r="4144">
          <cell r="D4144">
            <v>42.81</v>
          </cell>
        </row>
        <row r="4145">
          <cell r="D4145">
            <v>42.82</v>
          </cell>
        </row>
        <row r="4146">
          <cell r="D4146">
            <v>42.83</v>
          </cell>
        </row>
        <row r="4147">
          <cell r="D4147">
            <v>42.84</v>
          </cell>
        </row>
        <row r="4148">
          <cell r="D4148">
            <v>42.85</v>
          </cell>
        </row>
        <row r="4149">
          <cell r="D4149">
            <v>42.86</v>
          </cell>
        </row>
        <row r="4150">
          <cell r="D4150">
            <v>42.87</v>
          </cell>
        </row>
        <row r="4151">
          <cell r="D4151">
            <v>42.88</v>
          </cell>
        </row>
        <row r="4152">
          <cell r="D4152">
            <v>42.89</v>
          </cell>
        </row>
        <row r="4153">
          <cell r="D4153">
            <v>42.9</v>
          </cell>
        </row>
        <row r="4154">
          <cell r="D4154">
            <v>42.91</v>
          </cell>
        </row>
        <row r="4155">
          <cell r="D4155">
            <v>42.92</v>
          </cell>
        </row>
        <row r="4156">
          <cell r="D4156">
            <v>42.93</v>
          </cell>
        </row>
        <row r="4157">
          <cell r="D4157">
            <v>42.94</v>
          </cell>
        </row>
        <row r="4158">
          <cell r="D4158">
            <v>42.95</v>
          </cell>
        </row>
        <row r="4159">
          <cell r="D4159">
            <v>42.96</v>
          </cell>
        </row>
        <row r="4160">
          <cell r="D4160">
            <v>42.97</v>
          </cell>
        </row>
        <row r="4161">
          <cell r="D4161">
            <v>42.98</v>
          </cell>
        </row>
        <row r="4162">
          <cell r="D4162">
            <v>42.99</v>
          </cell>
        </row>
        <row r="4163">
          <cell r="D4163">
            <v>43</v>
          </cell>
        </row>
        <row r="4164">
          <cell r="D4164">
            <v>43.01</v>
          </cell>
        </row>
        <row r="4165">
          <cell r="D4165">
            <v>43.02</v>
          </cell>
        </row>
        <row r="4166">
          <cell r="D4166">
            <v>43.03</v>
          </cell>
        </row>
        <row r="4167">
          <cell r="D4167">
            <v>43.04</v>
          </cell>
        </row>
        <row r="4168">
          <cell r="D4168">
            <v>43.05</v>
          </cell>
        </row>
        <row r="4169">
          <cell r="D4169">
            <v>43.06</v>
          </cell>
        </row>
        <row r="4170">
          <cell r="D4170">
            <v>43.07</v>
          </cell>
        </row>
        <row r="4171">
          <cell r="D4171">
            <v>43.08</v>
          </cell>
        </row>
        <row r="4172">
          <cell r="D4172">
            <v>43.09</v>
          </cell>
        </row>
        <row r="4173">
          <cell r="D4173">
            <v>43.1</v>
          </cell>
        </row>
        <row r="4174">
          <cell r="D4174">
            <v>43.11</v>
          </cell>
        </row>
        <row r="4175">
          <cell r="D4175">
            <v>43.12</v>
          </cell>
        </row>
        <row r="4176">
          <cell r="D4176">
            <v>43.13</v>
          </cell>
        </row>
        <row r="4177">
          <cell r="D4177">
            <v>43.14</v>
          </cell>
        </row>
        <row r="4178">
          <cell r="D4178">
            <v>43.15</v>
          </cell>
        </row>
        <row r="4179">
          <cell r="D4179">
            <v>43.16</v>
          </cell>
        </row>
        <row r="4180">
          <cell r="D4180">
            <v>43.17</v>
          </cell>
        </row>
        <row r="4181">
          <cell r="D4181">
            <v>43.18</v>
          </cell>
        </row>
        <row r="4182">
          <cell r="D4182">
            <v>43.19</v>
          </cell>
        </row>
        <row r="4183">
          <cell r="D4183">
            <v>43.2</v>
          </cell>
        </row>
        <row r="4184">
          <cell r="D4184">
            <v>43.21</v>
          </cell>
        </row>
        <row r="4185">
          <cell r="D4185">
            <v>43.22</v>
          </cell>
        </row>
        <row r="4186">
          <cell r="D4186">
            <v>43.23</v>
          </cell>
        </row>
        <row r="4187">
          <cell r="D4187">
            <v>43.24</v>
          </cell>
        </row>
        <row r="4188">
          <cell r="D4188">
            <v>43.25</v>
          </cell>
        </row>
        <row r="4189">
          <cell r="D4189">
            <v>43.26</v>
          </cell>
        </row>
        <row r="4190">
          <cell r="D4190">
            <v>43.27</v>
          </cell>
        </row>
        <row r="4191">
          <cell r="D4191">
            <v>43.28</v>
          </cell>
        </row>
        <row r="4192">
          <cell r="D4192">
            <v>43.29</v>
          </cell>
        </row>
        <row r="4193">
          <cell r="D4193">
            <v>43.3</v>
          </cell>
        </row>
        <row r="4194">
          <cell r="D4194">
            <v>43.31</v>
          </cell>
        </row>
        <row r="4195">
          <cell r="D4195">
            <v>43.32</v>
          </cell>
        </row>
        <row r="4196">
          <cell r="D4196">
            <v>43.33</v>
          </cell>
        </row>
        <row r="4197">
          <cell r="D4197">
            <v>43.34</v>
          </cell>
        </row>
        <row r="4198">
          <cell r="D4198">
            <v>43.35</v>
          </cell>
        </row>
        <row r="4199">
          <cell r="D4199">
            <v>43.36</v>
          </cell>
        </row>
        <row r="4200">
          <cell r="D4200">
            <v>43.37</v>
          </cell>
        </row>
        <row r="4201">
          <cell r="D4201">
            <v>43.38</v>
          </cell>
        </row>
        <row r="4202">
          <cell r="D4202">
            <v>43.39</v>
          </cell>
        </row>
        <row r="4203">
          <cell r="D4203">
            <v>43.4</v>
          </cell>
        </row>
        <row r="4204">
          <cell r="D4204">
            <v>43.41</v>
          </cell>
        </row>
        <row r="4205">
          <cell r="D4205">
            <v>43.42</v>
          </cell>
        </row>
        <row r="4206">
          <cell r="D4206">
            <v>43.43</v>
          </cell>
        </row>
        <row r="4207">
          <cell r="D4207">
            <v>43.44</v>
          </cell>
        </row>
        <row r="4208">
          <cell r="D4208">
            <v>43.45</v>
          </cell>
        </row>
        <row r="4209">
          <cell r="D4209">
            <v>43.46</v>
          </cell>
        </row>
        <row r="4210">
          <cell r="D4210">
            <v>43.47</v>
          </cell>
        </row>
        <row r="4211">
          <cell r="D4211">
            <v>43.48</v>
          </cell>
        </row>
        <row r="4212">
          <cell r="D4212">
            <v>43.49</v>
          </cell>
        </row>
        <row r="4213">
          <cell r="D4213">
            <v>43.5</v>
          </cell>
        </row>
        <row r="4214">
          <cell r="D4214">
            <v>43.51</v>
          </cell>
        </row>
        <row r="4215">
          <cell r="D4215">
            <v>43.52</v>
          </cell>
        </row>
        <row r="4216">
          <cell r="D4216">
            <v>43.53</v>
          </cell>
        </row>
        <row r="4217">
          <cell r="D4217">
            <v>43.54</v>
          </cell>
        </row>
        <row r="4218">
          <cell r="D4218">
            <v>43.55</v>
          </cell>
        </row>
        <row r="4219">
          <cell r="D4219">
            <v>43.56</v>
          </cell>
        </row>
        <row r="4220">
          <cell r="D4220">
            <v>43.57</v>
          </cell>
        </row>
        <row r="4221">
          <cell r="D4221">
            <v>43.58</v>
          </cell>
        </row>
        <row r="4222">
          <cell r="D4222">
            <v>43.59</v>
          </cell>
        </row>
        <row r="4223">
          <cell r="D4223">
            <v>43.6</v>
          </cell>
        </row>
        <row r="4224">
          <cell r="D4224">
            <v>43.61</v>
          </cell>
        </row>
        <row r="4225">
          <cell r="D4225">
            <v>43.62</v>
          </cell>
        </row>
        <row r="4226">
          <cell r="D4226">
            <v>43.63</v>
          </cell>
        </row>
        <row r="4227">
          <cell r="D4227">
            <v>43.64</v>
          </cell>
        </row>
        <row r="4228">
          <cell r="D4228">
            <v>43.65</v>
          </cell>
        </row>
        <row r="4229">
          <cell r="D4229">
            <v>43.66</v>
          </cell>
        </row>
        <row r="4230">
          <cell r="D4230">
            <v>43.67</v>
          </cell>
        </row>
        <row r="4231">
          <cell r="D4231">
            <v>43.68</v>
          </cell>
        </row>
        <row r="4232">
          <cell r="D4232">
            <v>43.69</v>
          </cell>
        </row>
        <row r="4233">
          <cell r="D4233">
            <v>43.7</v>
          </cell>
        </row>
        <row r="4234">
          <cell r="D4234">
            <v>43.71</v>
          </cell>
        </row>
        <row r="4235">
          <cell r="D4235">
            <v>43.72</v>
          </cell>
        </row>
        <row r="4236">
          <cell r="D4236">
            <v>43.73</v>
          </cell>
        </row>
        <row r="4237">
          <cell r="D4237">
            <v>43.74</v>
          </cell>
        </row>
        <row r="4238">
          <cell r="D4238">
            <v>43.75</v>
          </cell>
        </row>
        <row r="4239">
          <cell r="D4239">
            <v>43.76</v>
          </cell>
        </row>
        <row r="4240">
          <cell r="D4240">
            <v>43.77</v>
          </cell>
        </row>
        <row r="4241">
          <cell r="D4241">
            <v>43.78</v>
          </cell>
        </row>
        <row r="4242">
          <cell r="D4242">
            <v>43.79</v>
          </cell>
        </row>
        <row r="4243">
          <cell r="D4243">
            <v>43.8</v>
          </cell>
        </row>
        <row r="4244">
          <cell r="D4244">
            <v>43.81</v>
          </cell>
        </row>
        <row r="4245">
          <cell r="D4245">
            <v>43.82</v>
          </cell>
        </row>
        <row r="4246">
          <cell r="D4246">
            <v>43.83</v>
          </cell>
        </row>
        <row r="4247">
          <cell r="D4247">
            <v>43.84</v>
          </cell>
        </row>
        <row r="4248">
          <cell r="D4248">
            <v>43.85</v>
          </cell>
        </row>
        <row r="4249">
          <cell r="D4249">
            <v>43.86</v>
          </cell>
        </row>
        <row r="4250">
          <cell r="D4250">
            <v>43.87</v>
          </cell>
        </row>
        <row r="4251">
          <cell r="D4251">
            <v>43.88</v>
          </cell>
        </row>
        <row r="4252">
          <cell r="D4252">
            <v>43.89</v>
          </cell>
        </row>
        <row r="4253">
          <cell r="D4253">
            <v>43.9</v>
          </cell>
        </row>
        <row r="4254">
          <cell r="D4254">
            <v>43.91</v>
          </cell>
        </row>
        <row r="4255">
          <cell r="D4255">
            <v>43.92</v>
          </cell>
        </row>
        <row r="4256">
          <cell r="D4256">
            <v>43.93</v>
          </cell>
        </row>
        <row r="4257">
          <cell r="D4257">
            <v>43.94</v>
          </cell>
        </row>
        <row r="4258">
          <cell r="D4258">
            <v>43.95</v>
          </cell>
        </row>
        <row r="4259">
          <cell r="D4259">
            <v>43.96</v>
          </cell>
        </row>
        <row r="4260">
          <cell r="D4260">
            <v>43.97</v>
          </cell>
        </row>
        <row r="4261">
          <cell r="D4261">
            <v>43.98</v>
          </cell>
        </row>
        <row r="4262">
          <cell r="D4262">
            <v>43.99</v>
          </cell>
        </row>
        <row r="4263">
          <cell r="D4263">
            <v>44</v>
          </cell>
        </row>
        <row r="4264">
          <cell r="D4264">
            <v>44.01</v>
          </cell>
        </row>
        <row r="4265">
          <cell r="D4265">
            <v>44.02</v>
          </cell>
        </row>
        <row r="4266">
          <cell r="D4266">
            <v>44.03</v>
          </cell>
        </row>
        <row r="4267">
          <cell r="D4267">
            <v>44.04</v>
          </cell>
        </row>
        <row r="4268">
          <cell r="D4268">
            <v>44.05</v>
          </cell>
        </row>
        <row r="4269">
          <cell r="D4269">
            <v>44.06</v>
          </cell>
        </row>
        <row r="4270">
          <cell r="D4270">
            <v>44.07</v>
          </cell>
        </row>
        <row r="4271">
          <cell r="D4271">
            <v>44.08</v>
          </cell>
        </row>
        <row r="4272">
          <cell r="D4272">
            <v>44.09</v>
          </cell>
        </row>
        <row r="4273">
          <cell r="D4273">
            <v>44.1</v>
          </cell>
        </row>
        <row r="4274">
          <cell r="D4274">
            <v>44.11</v>
          </cell>
        </row>
        <row r="4275">
          <cell r="D4275">
            <v>44.12</v>
          </cell>
        </row>
        <row r="4276">
          <cell r="D4276">
            <v>44.13</v>
          </cell>
        </row>
        <row r="4277">
          <cell r="D4277">
            <v>44.14</v>
          </cell>
        </row>
        <row r="4278">
          <cell r="D4278">
            <v>44.15</v>
          </cell>
        </row>
        <row r="4279">
          <cell r="D4279">
            <v>44.16</v>
          </cell>
        </row>
        <row r="4280">
          <cell r="D4280">
            <v>44.17</v>
          </cell>
        </row>
        <row r="4281">
          <cell r="D4281">
            <v>44.18</v>
          </cell>
        </row>
        <row r="4282">
          <cell r="D4282">
            <v>44.19</v>
          </cell>
        </row>
        <row r="4283">
          <cell r="D4283">
            <v>44.2</v>
          </cell>
        </row>
        <row r="4284">
          <cell r="D4284">
            <v>44.21</v>
          </cell>
        </row>
        <row r="4285">
          <cell r="D4285">
            <v>44.22</v>
          </cell>
        </row>
        <row r="4286">
          <cell r="D4286">
            <v>44.23</v>
          </cell>
        </row>
        <row r="4287">
          <cell r="D4287">
            <v>44.24</v>
          </cell>
        </row>
        <row r="4288">
          <cell r="D4288">
            <v>44.25</v>
          </cell>
        </row>
        <row r="4289">
          <cell r="D4289">
            <v>44.26</v>
          </cell>
        </row>
        <row r="4290">
          <cell r="D4290">
            <v>44.27</v>
          </cell>
        </row>
        <row r="4291">
          <cell r="D4291">
            <v>44.28</v>
          </cell>
        </row>
        <row r="4292">
          <cell r="D4292">
            <v>44.29</v>
          </cell>
        </row>
        <row r="4293">
          <cell r="D4293">
            <v>44.3</v>
          </cell>
        </row>
        <row r="4294">
          <cell r="D4294">
            <v>44.31</v>
          </cell>
        </row>
        <row r="4295">
          <cell r="D4295">
            <v>44.32</v>
          </cell>
        </row>
        <row r="4296">
          <cell r="D4296">
            <v>44.33</v>
          </cell>
        </row>
        <row r="4297">
          <cell r="D4297">
            <v>44.34</v>
          </cell>
        </row>
        <row r="4298">
          <cell r="D4298">
            <v>44.35</v>
          </cell>
        </row>
        <row r="4299">
          <cell r="D4299">
            <v>44.36</v>
          </cell>
        </row>
        <row r="4300">
          <cell r="D4300">
            <v>44.37</v>
          </cell>
        </row>
        <row r="4301">
          <cell r="D4301">
            <v>44.38</v>
          </cell>
        </row>
        <row r="4302">
          <cell r="D4302">
            <v>44.39</v>
          </cell>
        </row>
        <row r="4303">
          <cell r="D4303">
            <v>44.4</v>
          </cell>
        </row>
        <row r="4304">
          <cell r="D4304">
            <v>44.41</v>
          </cell>
        </row>
        <row r="4305">
          <cell r="D4305">
            <v>44.42</v>
          </cell>
        </row>
        <row r="4306">
          <cell r="D4306">
            <v>44.43</v>
          </cell>
        </row>
        <row r="4307">
          <cell r="D4307">
            <v>44.44</v>
          </cell>
        </row>
        <row r="4308">
          <cell r="D4308">
            <v>44.45</v>
          </cell>
        </row>
        <row r="4309">
          <cell r="D4309">
            <v>44.46</v>
          </cell>
        </row>
        <row r="4310">
          <cell r="D4310">
            <v>44.47</v>
          </cell>
        </row>
        <row r="4311">
          <cell r="D4311">
            <v>44.48</v>
          </cell>
        </row>
        <row r="4312">
          <cell r="D4312">
            <v>44.49</v>
          </cell>
        </row>
        <row r="4313">
          <cell r="D4313">
            <v>44.5</v>
          </cell>
        </row>
        <row r="4314">
          <cell r="D4314">
            <v>44.51</v>
          </cell>
        </row>
        <row r="4315">
          <cell r="D4315">
            <v>44.52</v>
          </cell>
        </row>
        <row r="4316">
          <cell r="D4316">
            <v>44.53</v>
          </cell>
        </row>
        <row r="4317">
          <cell r="D4317">
            <v>44.54</v>
          </cell>
        </row>
        <row r="4318">
          <cell r="D4318">
            <v>44.55</v>
          </cell>
        </row>
        <row r="4319">
          <cell r="D4319">
            <v>44.56</v>
          </cell>
        </row>
        <row r="4320">
          <cell r="D4320">
            <v>44.57</v>
          </cell>
        </row>
        <row r="4321">
          <cell r="D4321">
            <v>44.58</v>
          </cell>
        </row>
        <row r="4322">
          <cell r="D4322">
            <v>44.59</v>
          </cell>
        </row>
        <row r="4323">
          <cell r="D4323">
            <v>44.6</v>
          </cell>
        </row>
        <row r="4324">
          <cell r="D4324">
            <v>44.61</v>
          </cell>
        </row>
        <row r="4325">
          <cell r="D4325">
            <v>44.62</v>
          </cell>
        </row>
        <row r="4326">
          <cell r="D4326">
            <v>44.63</v>
          </cell>
        </row>
        <row r="4327">
          <cell r="D4327">
            <v>44.64</v>
          </cell>
        </row>
        <row r="4328">
          <cell r="D4328">
            <v>44.65</v>
          </cell>
        </row>
        <row r="4329">
          <cell r="D4329">
            <v>44.66</v>
          </cell>
        </row>
        <row r="4330">
          <cell r="D4330">
            <v>44.67</v>
          </cell>
        </row>
        <row r="4331">
          <cell r="D4331">
            <v>44.68</v>
          </cell>
        </row>
        <row r="4332">
          <cell r="D4332">
            <v>44.69</v>
          </cell>
        </row>
        <row r="4333">
          <cell r="D4333">
            <v>44.7</v>
          </cell>
        </row>
        <row r="4334">
          <cell r="D4334">
            <v>44.71</v>
          </cell>
        </row>
        <row r="4335">
          <cell r="D4335">
            <v>44.72</v>
          </cell>
        </row>
        <row r="4336">
          <cell r="D4336">
            <v>44.73</v>
          </cell>
        </row>
        <row r="4337">
          <cell r="D4337">
            <v>44.74</v>
          </cell>
        </row>
        <row r="4338">
          <cell r="D4338">
            <v>44.75</v>
          </cell>
        </row>
        <row r="4339">
          <cell r="D4339">
            <v>44.76</v>
          </cell>
        </row>
        <row r="4340">
          <cell r="D4340">
            <v>44.77</v>
          </cell>
        </row>
        <row r="4341">
          <cell r="D4341">
            <v>44.78</v>
          </cell>
        </row>
        <row r="4342">
          <cell r="D4342">
            <v>44.79</v>
          </cell>
        </row>
        <row r="4343">
          <cell r="D4343">
            <v>44.8</v>
          </cell>
        </row>
        <row r="4344">
          <cell r="D4344">
            <v>44.81</v>
          </cell>
        </row>
        <row r="4345">
          <cell r="D4345">
            <v>44.82</v>
          </cell>
        </row>
        <row r="4346">
          <cell r="D4346">
            <v>44.83</v>
          </cell>
        </row>
        <row r="4347">
          <cell r="D4347">
            <v>44.84</v>
          </cell>
        </row>
        <row r="4348">
          <cell r="D4348">
            <v>44.85</v>
          </cell>
        </row>
        <row r="4349">
          <cell r="D4349">
            <v>44.86</v>
          </cell>
        </row>
        <row r="4350">
          <cell r="D4350">
            <v>44.87</v>
          </cell>
        </row>
        <row r="4351">
          <cell r="D4351">
            <v>44.88</v>
          </cell>
        </row>
        <row r="4352">
          <cell r="D4352">
            <v>44.89</v>
          </cell>
        </row>
        <row r="4353">
          <cell r="D4353">
            <v>44.9</v>
          </cell>
        </row>
        <row r="4354">
          <cell r="D4354">
            <v>44.91</v>
          </cell>
        </row>
        <row r="4355">
          <cell r="D4355">
            <v>44.92</v>
          </cell>
        </row>
        <row r="4356">
          <cell r="D4356">
            <v>44.93</v>
          </cell>
        </row>
        <row r="4357">
          <cell r="D4357">
            <v>44.94</v>
          </cell>
        </row>
        <row r="4358">
          <cell r="D4358">
            <v>44.95</v>
          </cell>
        </row>
        <row r="4359">
          <cell r="D4359">
            <v>44.96</v>
          </cell>
        </row>
        <row r="4360">
          <cell r="D4360">
            <v>44.97</v>
          </cell>
        </row>
        <row r="4361">
          <cell r="D4361">
            <v>44.98</v>
          </cell>
        </row>
        <row r="4362">
          <cell r="D4362">
            <v>44.99</v>
          </cell>
        </row>
        <row r="4363">
          <cell r="D4363">
            <v>45</v>
          </cell>
        </row>
        <row r="4364">
          <cell r="D4364">
            <v>45.01</v>
          </cell>
        </row>
        <row r="4365">
          <cell r="D4365">
            <v>45.02</v>
          </cell>
        </row>
        <row r="4366">
          <cell r="D4366">
            <v>45.03</v>
          </cell>
        </row>
        <row r="4367">
          <cell r="D4367">
            <v>45.04</v>
          </cell>
        </row>
        <row r="4368">
          <cell r="D4368">
            <v>45.05</v>
          </cell>
        </row>
        <row r="4369">
          <cell r="D4369">
            <v>45.06</v>
          </cell>
        </row>
        <row r="4370">
          <cell r="D4370">
            <v>45.07</v>
          </cell>
        </row>
        <row r="4371">
          <cell r="D4371">
            <v>45.08</v>
          </cell>
        </row>
        <row r="4372">
          <cell r="D4372">
            <v>45.09</v>
          </cell>
        </row>
        <row r="4373">
          <cell r="D4373">
            <v>45.1</v>
          </cell>
        </row>
        <row r="4374">
          <cell r="D4374">
            <v>45.11</v>
          </cell>
        </row>
        <row r="4375">
          <cell r="D4375">
            <v>45.12</v>
          </cell>
        </row>
        <row r="4376">
          <cell r="D4376">
            <v>45.13</v>
          </cell>
        </row>
        <row r="4377">
          <cell r="D4377">
            <v>45.14</v>
          </cell>
        </row>
        <row r="4378">
          <cell r="D4378">
            <v>45.15</v>
          </cell>
        </row>
        <row r="4379">
          <cell r="D4379">
            <v>45.16</v>
          </cell>
        </row>
        <row r="4380">
          <cell r="D4380">
            <v>45.17</v>
          </cell>
        </row>
        <row r="4381">
          <cell r="D4381">
            <v>45.18</v>
          </cell>
        </row>
        <row r="4382">
          <cell r="D4382">
            <v>45.19</v>
          </cell>
        </row>
        <row r="4383">
          <cell r="D4383">
            <v>45.2</v>
          </cell>
        </row>
        <row r="4384">
          <cell r="D4384">
            <v>45.21</v>
          </cell>
        </row>
        <row r="4385">
          <cell r="D4385">
            <v>45.22</v>
          </cell>
        </row>
        <row r="4386">
          <cell r="D4386">
            <v>45.23</v>
          </cell>
        </row>
        <row r="4387">
          <cell r="D4387">
            <v>45.24</v>
          </cell>
        </row>
        <row r="4388">
          <cell r="D4388">
            <v>45.25</v>
          </cell>
        </row>
        <row r="4389">
          <cell r="D4389">
            <v>45.26</v>
          </cell>
        </row>
        <row r="4390">
          <cell r="D4390">
            <v>45.27</v>
          </cell>
        </row>
        <row r="4391">
          <cell r="D4391">
            <v>45.28</v>
          </cell>
        </row>
        <row r="4392">
          <cell r="D4392">
            <v>45.29</v>
          </cell>
        </row>
        <row r="4393">
          <cell r="D4393">
            <v>45.3</v>
          </cell>
        </row>
        <row r="4394">
          <cell r="D4394">
            <v>45.31</v>
          </cell>
        </row>
        <row r="4395">
          <cell r="D4395">
            <v>45.32</v>
          </cell>
        </row>
        <row r="4396">
          <cell r="D4396">
            <v>45.33</v>
          </cell>
        </row>
        <row r="4397">
          <cell r="D4397">
            <v>45.34</v>
          </cell>
        </row>
        <row r="4398">
          <cell r="D4398">
            <v>45.35</v>
          </cell>
        </row>
        <row r="4399">
          <cell r="D4399">
            <v>45.36</v>
          </cell>
        </row>
        <row r="4400">
          <cell r="D4400">
            <v>45.37</v>
          </cell>
        </row>
        <row r="4401">
          <cell r="D4401">
            <v>45.38</v>
          </cell>
        </row>
        <row r="4402">
          <cell r="D4402">
            <v>45.39</v>
          </cell>
        </row>
        <row r="4403">
          <cell r="D4403">
            <v>45.4</v>
          </cell>
        </row>
        <row r="4404">
          <cell r="D4404">
            <v>45.41</v>
          </cell>
        </row>
        <row r="4405">
          <cell r="D4405">
            <v>45.42</v>
          </cell>
        </row>
        <row r="4406">
          <cell r="D4406">
            <v>45.43</v>
          </cell>
        </row>
        <row r="4407">
          <cell r="D4407">
            <v>45.44</v>
          </cell>
        </row>
        <row r="4408">
          <cell r="D4408">
            <v>45.45</v>
          </cell>
        </row>
        <row r="4409">
          <cell r="D4409">
            <v>45.46</v>
          </cell>
        </row>
        <row r="4410">
          <cell r="D4410">
            <v>45.47</v>
          </cell>
        </row>
        <row r="4411">
          <cell r="D4411">
            <v>45.48</v>
          </cell>
        </row>
        <row r="4412">
          <cell r="D4412">
            <v>45.49</v>
          </cell>
        </row>
        <row r="4413">
          <cell r="D4413">
            <v>45.5</v>
          </cell>
        </row>
        <row r="4414">
          <cell r="D4414">
            <v>45.51</v>
          </cell>
        </row>
        <row r="4415">
          <cell r="D4415">
            <v>45.52</v>
          </cell>
        </row>
        <row r="4416">
          <cell r="D4416">
            <v>45.53</v>
          </cell>
        </row>
        <row r="4417">
          <cell r="D4417">
            <v>45.54</v>
          </cell>
        </row>
        <row r="4418">
          <cell r="D4418">
            <v>45.55</v>
          </cell>
        </row>
        <row r="4419">
          <cell r="D4419">
            <v>45.56</v>
          </cell>
        </row>
        <row r="4420">
          <cell r="D4420">
            <v>45.57</v>
          </cell>
        </row>
        <row r="4421">
          <cell r="D4421">
            <v>45.58</v>
          </cell>
        </row>
        <row r="4422">
          <cell r="D4422">
            <v>45.59</v>
          </cell>
        </row>
        <row r="4423">
          <cell r="D4423">
            <v>45.6</v>
          </cell>
        </row>
        <row r="4424">
          <cell r="D4424">
            <v>45.61</v>
          </cell>
        </row>
        <row r="4425">
          <cell r="D4425">
            <v>45.62</v>
          </cell>
        </row>
        <row r="4426">
          <cell r="D4426">
            <v>45.63</v>
          </cell>
        </row>
        <row r="4427">
          <cell r="D4427">
            <v>45.64</v>
          </cell>
        </row>
        <row r="4428">
          <cell r="D4428">
            <v>45.65</v>
          </cell>
        </row>
        <row r="4429">
          <cell r="D4429">
            <v>45.66</v>
          </cell>
        </row>
        <row r="4430">
          <cell r="D4430">
            <v>45.67</v>
          </cell>
        </row>
        <row r="4431">
          <cell r="D4431">
            <v>45.68</v>
          </cell>
        </row>
        <row r="4432">
          <cell r="D4432">
            <v>45.69</v>
          </cell>
        </row>
        <row r="4433">
          <cell r="D4433">
            <v>45.7</v>
          </cell>
        </row>
        <row r="4434">
          <cell r="D4434">
            <v>45.71</v>
          </cell>
        </row>
        <row r="4435">
          <cell r="D4435">
            <v>45.72</v>
          </cell>
        </row>
        <row r="4436">
          <cell r="D4436">
            <v>45.73</v>
          </cell>
        </row>
        <row r="4437">
          <cell r="D4437">
            <v>45.74</v>
          </cell>
        </row>
        <row r="4438">
          <cell r="D4438">
            <v>45.75</v>
          </cell>
        </row>
        <row r="4439">
          <cell r="D4439">
            <v>45.76</v>
          </cell>
        </row>
        <row r="4440">
          <cell r="D4440">
            <v>45.77</v>
          </cell>
        </row>
        <row r="4441">
          <cell r="D4441">
            <v>45.78</v>
          </cell>
        </row>
        <row r="4442">
          <cell r="D4442">
            <v>45.79</v>
          </cell>
        </row>
        <row r="4443">
          <cell r="D4443">
            <v>45.8</v>
          </cell>
        </row>
        <row r="4444">
          <cell r="D4444">
            <v>45.81</v>
          </cell>
        </row>
        <row r="4445">
          <cell r="D4445">
            <v>45.82</v>
          </cell>
        </row>
        <row r="4446">
          <cell r="D4446">
            <v>45.83</v>
          </cell>
        </row>
        <row r="4447">
          <cell r="D4447">
            <v>45.84</v>
          </cell>
        </row>
        <row r="4448">
          <cell r="D4448">
            <v>45.85</v>
          </cell>
        </row>
        <row r="4449">
          <cell r="D4449">
            <v>45.86</v>
          </cell>
        </row>
        <row r="4450">
          <cell r="D4450">
            <v>45.87</v>
          </cell>
        </row>
        <row r="4451">
          <cell r="D4451">
            <v>45.88</v>
          </cell>
        </row>
        <row r="4452">
          <cell r="D4452">
            <v>45.89</v>
          </cell>
        </row>
        <row r="4453">
          <cell r="D4453">
            <v>45.9</v>
          </cell>
        </row>
        <row r="4454">
          <cell r="D4454">
            <v>45.91</v>
          </cell>
        </row>
        <row r="4455">
          <cell r="D4455">
            <v>45.92</v>
          </cell>
        </row>
        <row r="4456">
          <cell r="D4456">
            <v>45.93</v>
          </cell>
        </row>
        <row r="4457">
          <cell r="D4457">
            <v>45.94</v>
          </cell>
        </row>
        <row r="4458">
          <cell r="D4458">
            <v>45.95</v>
          </cell>
        </row>
        <row r="4459">
          <cell r="D4459">
            <v>45.96</v>
          </cell>
        </row>
        <row r="4460">
          <cell r="D4460">
            <v>45.97</v>
          </cell>
        </row>
        <row r="4461">
          <cell r="D4461">
            <v>45.98</v>
          </cell>
        </row>
        <row r="4462">
          <cell r="D4462">
            <v>45.99</v>
          </cell>
        </row>
        <row r="4463">
          <cell r="D4463">
            <v>46</v>
          </cell>
        </row>
        <row r="4464">
          <cell r="D4464">
            <v>46.01</v>
          </cell>
        </row>
        <row r="4465">
          <cell r="D4465">
            <v>46.02</v>
          </cell>
        </row>
        <row r="4466">
          <cell r="D4466">
            <v>46.03</v>
          </cell>
        </row>
        <row r="4467">
          <cell r="D4467">
            <v>46.04</v>
          </cell>
        </row>
        <row r="4468">
          <cell r="D4468">
            <v>46.05</v>
          </cell>
        </row>
        <row r="4469">
          <cell r="D4469">
            <v>46.06</v>
          </cell>
        </row>
        <row r="4470">
          <cell r="D4470">
            <v>46.07</v>
          </cell>
        </row>
        <row r="4471">
          <cell r="D4471">
            <v>46.08</v>
          </cell>
        </row>
        <row r="4472">
          <cell r="D4472">
            <v>46.09</v>
          </cell>
        </row>
        <row r="4473">
          <cell r="D4473">
            <v>46.1</v>
          </cell>
        </row>
        <row r="4474">
          <cell r="D4474">
            <v>46.11</v>
          </cell>
        </row>
        <row r="4475">
          <cell r="D4475">
            <v>46.12</v>
          </cell>
        </row>
        <row r="4476">
          <cell r="D4476">
            <v>46.13</v>
          </cell>
        </row>
        <row r="4477">
          <cell r="D4477">
            <v>46.14</v>
          </cell>
        </row>
        <row r="4478">
          <cell r="D4478">
            <v>46.15</v>
          </cell>
        </row>
        <row r="4479">
          <cell r="D4479">
            <v>46.16</v>
          </cell>
        </row>
        <row r="4480">
          <cell r="D4480">
            <v>46.17</v>
          </cell>
        </row>
        <row r="4481">
          <cell r="D4481">
            <v>46.18</v>
          </cell>
        </row>
        <row r="4482">
          <cell r="D4482">
            <v>46.19</v>
          </cell>
        </row>
        <row r="4483">
          <cell r="D4483">
            <v>46.2</v>
          </cell>
        </row>
        <row r="4484">
          <cell r="D4484">
            <v>46.21</v>
          </cell>
        </row>
        <row r="4485">
          <cell r="D4485">
            <v>46.22</v>
          </cell>
        </row>
        <row r="4486">
          <cell r="D4486">
            <v>46.23</v>
          </cell>
        </row>
        <row r="4487">
          <cell r="D4487">
            <v>46.24</v>
          </cell>
        </row>
        <row r="4488">
          <cell r="D4488">
            <v>46.25</v>
          </cell>
        </row>
        <row r="4489">
          <cell r="D4489">
            <v>46.26</v>
          </cell>
        </row>
        <row r="4490">
          <cell r="D4490">
            <v>46.27</v>
          </cell>
        </row>
        <row r="4491">
          <cell r="D4491">
            <v>46.28</v>
          </cell>
        </row>
        <row r="4492">
          <cell r="D4492">
            <v>46.29</v>
          </cell>
        </row>
        <row r="4493">
          <cell r="D4493">
            <v>46.3</v>
          </cell>
        </row>
        <row r="4494">
          <cell r="D4494">
            <v>46.31</v>
          </cell>
        </row>
        <row r="4495">
          <cell r="D4495">
            <v>46.32</v>
          </cell>
        </row>
        <row r="4496">
          <cell r="D4496">
            <v>46.33</v>
          </cell>
        </row>
        <row r="4497">
          <cell r="D4497">
            <v>46.34</v>
          </cell>
        </row>
        <row r="4498">
          <cell r="D4498">
            <v>46.35</v>
          </cell>
        </row>
        <row r="4499">
          <cell r="D4499">
            <v>46.36</v>
          </cell>
        </row>
        <row r="4500">
          <cell r="D4500">
            <v>46.37</v>
          </cell>
        </row>
        <row r="4501">
          <cell r="D4501">
            <v>46.38</v>
          </cell>
        </row>
        <row r="4502">
          <cell r="D4502">
            <v>46.39</v>
          </cell>
        </row>
        <row r="4503">
          <cell r="D4503">
            <v>46.4</v>
          </cell>
        </row>
        <row r="4504">
          <cell r="D4504">
            <v>46.41</v>
          </cell>
        </row>
        <row r="4505">
          <cell r="D4505">
            <v>46.42</v>
          </cell>
        </row>
        <row r="4506">
          <cell r="D4506">
            <v>46.43</v>
          </cell>
        </row>
        <row r="4507">
          <cell r="D4507">
            <v>46.44</v>
          </cell>
        </row>
        <row r="4508">
          <cell r="D4508">
            <v>46.45</v>
          </cell>
        </row>
        <row r="4509">
          <cell r="D4509">
            <v>46.46</v>
          </cell>
        </row>
        <row r="4510">
          <cell r="D4510">
            <v>46.47</v>
          </cell>
        </row>
        <row r="4511">
          <cell r="D4511">
            <v>46.48</v>
          </cell>
        </row>
        <row r="4512">
          <cell r="D4512">
            <v>46.49</v>
          </cell>
        </row>
        <row r="4513">
          <cell r="D4513">
            <v>46.5</v>
          </cell>
        </row>
        <row r="4514">
          <cell r="D4514">
            <v>46.51</v>
          </cell>
        </row>
        <row r="4515">
          <cell r="D4515">
            <v>46.52</v>
          </cell>
        </row>
        <row r="4516">
          <cell r="D4516">
            <v>46.53</v>
          </cell>
        </row>
        <row r="4517">
          <cell r="D4517">
            <v>46.54</v>
          </cell>
        </row>
        <row r="4518">
          <cell r="D4518">
            <v>46.55</v>
          </cell>
        </row>
        <row r="4519">
          <cell r="D4519">
            <v>46.56</v>
          </cell>
        </row>
        <row r="4520">
          <cell r="D4520">
            <v>46.57</v>
          </cell>
        </row>
        <row r="4521">
          <cell r="D4521">
            <v>46.58</v>
          </cell>
        </row>
        <row r="4522">
          <cell r="D4522">
            <v>46.59</v>
          </cell>
        </row>
        <row r="4523">
          <cell r="D4523">
            <v>46.6</v>
          </cell>
        </row>
        <row r="4524">
          <cell r="D4524">
            <v>46.61</v>
          </cell>
        </row>
        <row r="4525">
          <cell r="D4525">
            <v>46.62</v>
          </cell>
        </row>
        <row r="4526">
          <cell r="D4526">
            <v>46.63</v>
          </cell>
        </row>
        <row r="4527">
          <cell r="D4527">
            <v>46.64</v>
          </cell>
        </row>
        <row r="4528">
          <cell r="D4528">
            <v>46.65</v>
          </cell>
        </row>
        <row r="4529">
          <cell r="D4529">
            <v>46.66</v>
          </cell>
        </row>
        <row r="4530">
          <cell r="D4530">
            <v>46.67</v>
          </cell>
        </row>
        <row r="4531">
          <cell r="D4531">
            <v>46.68</v>
          </cell>
        </row>
        <row r="4532">
          <cell r="D4532">
            <v>46.69</v>
          </cell>
        </row>
        <row r="4533">
          <cell r="D4533">
            <v>46.7</v>
          </cell>
        </row>
        <row r="4534">
          <cell r="D4534">
            <v>46.71</v>
          </cell>
        </row>
        <row r="4535">
          <cell r="D4535">
            <v>46.72</v>
          </cell>
        </row>
        <row r="4536">
          <cell r="D4536">
            <v>46.73</v>
          </cell>
        </row>
        <row r="4537">
          <cell r="D4537">
            <v>46.74</v>
          </cell>
        </row>
        <row r="4538">
          <cell r="D4538">
            <v>46.75</v>
          </cell>
        </row>
        <row r="4539">
          <cell r="D4539">
            <v>46.76</v>
          </cell>
        </row>
        <row r="4540">
          <cell r="D4540">
            <v>46.77</v>
          </cell>
        </row>
        <row r="4541">
          <cell r="D4541">
            <v>46.78</v>
          </cell>
        </row>
        <row r="4542">
          <cell r="D4542">
            <v>46.79</v>
          </cell>
        </row>
        <row r="4543">
          <cell r="D4543">
            <v>46.8</v>
          </cell>
        </row>
        <row r="4544">
          <cell r="D4544">
            <v>46.81</v>
          </cell>
        </row>
        <row r="4545">
          <cell r="D4545">
            <v>46.82</v>
          </cell>
        </row>
        <row r="4546">
          <cell r="D4546">
            <v>46.83</v>
          </cell>
        </row>
        <row r="4547">
          <cell r="D4547">
            <v>46.84</v>
          </cell>
        </row>
        <row r="4548">
          <cell r="D4548">
            <v>46.85</v>
          </cell>
        </row>
        <row r="4549">
          <cell r="D4549">
            <v>46.86</v>
          </cell>
        </row>
        <row r="4550">
          <cell r="D4550">
            <v>46.87</v>
          </cell>
        </row>
        <row r="4551">
          <cell r="D4551">
            <v>46.88</v>
          </cell>
        </row>
        <row r="4552">
          <cell r="D4552">
            <v>46.89</v>
          </cell>
        </row>
        <row r="4553">
          <cell r="D4553">
            <v>46.9</v>
          </cell>
        </row>
        <row r="4554">
          <cell r="D4554">
            <v>46.91</v>
          </cell>
        </row>
        <row r="4555">
          <cell r="D4555">
            <v>46.92</v>
          </cell>
        </row>
        <row r="4556">
          <cell r="D4556">
            <v>46.93</v>
          </cell>
        </row>
        <row r="4557">
          <cell r="D4557">
            <v>46.94</v>
          </cell>
        </row>
        <row r="4558">
          <cell r="D4558">
            <v>46.95</v>
          </cell>
        </row>
        <row r="4559">
          <cell r="D4559">
            <v>46.96</v>
          </cell>
        </row>
        <row r="4560">
          <cell r="D4560">
            <v>46.97</v>
          </cell>
        </row>
        <row r="4561">
          <cell r="D4561">
            <v>46.98</v>
          </cell>
        </row>
        <row r="4562">
          <cell r="D4562">
            <v>46.99</v>
          </cell>
        </row>
        <row r="4563">
          <cell r="D4563">
            <v>47</v>
          </cell>
        </row>
        <row r="4564">
          <cell r="D4564">
            <v>47.01</v>
          </cell>
        </row>
        <row r="4565">
          <cell r="D4565">
            <v>47.02</v>
          </cell>
        </row>
        <row r="4566">
          <cell r="D4566">
            <v>47.03</v>
          </cell>
        </row>
        <row r="4567">
          <cell r="D4567">
            <v>47.04</v>
          </cell>
        </row>
        <row r="4568">
          <cell r="D4568">
            <v>47.05</v>
          </cell>
        </row>
        <row r="4569">
          <cell r="D4569">
            <v>47.06</v>
          </cell>
        </row>
        <row r="4570">
          <cell r="D4570">
            <v>47.07</v>
          </cell>
        </row>
        <row r="4571">
          <cell r="D4571">
            <v>47.08</v>
          </cell>
        </row>
        <row r="4572">
          <cell r="D4572">
            <v>47.09</v>
          </cell>
        </row>
        <row r="4573">
          <cell r="D4573">
            <v>47.1</v>
          </cell>
        </row>
        <row r="4574">
          <cell r="D4574">
            <v>47.11</v>
          </cell>
        </row>
        <row r="4575">
          <cell r="D4575">
            <v>47.12</v>
          </cell>
        </row>
        <row r="4576">
          <cell r="D4576">
            <v>47.13</v>
          </cell>
        </row>
        <row r="4577">
          <cell r="D4577">
            <v>47.14</v>
          </cell>
        </row>
        <row r="4578">
          <cell r="D4578">
            <v>47.15</v>
          </cell>
        </row>
        <row r="4579">
          <cell r="D4579">
            <v>47.16</v>
          </cell>
        </row>
        <row r="4580">
          <cell r="D4580">
            <v>47.17</v>
          </cell>
        </row>
        <row r="4581">
          <cell r="D4581">
            <v>47.18</v>
          </cell>
        </row>
        <row r="4582">
          <cell r="D4582">
            <v>47.19</v>
          </cell>
        </row>
        <row r="4583">
          <cell r="D4583">
            <v>47.2</v>
          </cell>
        </row>
        <row r="4584">
          <cell r="D4584">
            <v>47.21</v>
          </cell>
        </row>
        <row r="4585">
          <cell r="D4585">
            <v>47.22</v>
          </cell>
        </row>
        <row r="4586">
          <cell r="D4586">
            <v>47.23</v>
          </cell>
        </row>
        <row r="4587">
          <cell r="D4587">
            <v>47.24</v>
          </cell>
        </row>
        <row r="4588">
          <cell r="D4588">
            <v>47.25</v>
          </cell>
        </row>
        <row r="4589">
          <cell r="D4589">
            <v>47.26</v>
          </cell>
        </row>
        <row r="4590">
          <cell r="D4590">
            <v>47.27</v>
          </cell>
        </row>
        <row r="4591">
          <cell r="D4591">
            <v>47.28</v>
          </cell>
        </row>
        <row r="4592">
          <cell r="D4592">
            <v>47.29</v>
          </cell>
        </row>
        <row r="4593">
          <cell r="D4593">
            <v>47.3</v>
          </cell>
        </row>
        <row r="4594">
          <cell r="D4594">
            <v>47.31</v>
          </cell>
        </row>
        <row r="4595">
          <cell r="D4595">
            <v>47.32</v>
          </cell>
        </row>
        <row r="4596">
          <cell r="D4596">
            <v>47.33</v>
          </cell>
        </row>
        <row r="4597">
          <cell r="D4597">
            <v>47.34</v>
          </cell>
        </row>
        <row r="4598">
          <cell r="D4598">
            <v>47.35</v>
          </cell>
        </row>
        <row r="4599">
          <cell r="D4599">
            <v>47.36</v>
          </cell>
        </row>
        <row r="4600">
          <cell r="D4600">
            <v>47.37</v>
          </cell>
        </row>
        <row r="4601">
          <cell r="D4601">
            <v>47.38</v>
          </cell>
        </row>
        <row r="4602">
          <cell r="D4602">
            <v>47.39</v>
          </cell>
        </row>
        <row r="4603">
          <cell r="D4603">
            <v>47.4</v>
          </cell>
        </row>
        <row r="4604">
          <cell r="D4604">
            <v>47.41</v>
          </cell>
        </row>
        <row r="4605">
          <cell r="D4605">
            <v>47.42</v>
          </cell>
        </row>
        <row r="4606">
          <cell r="D4606">
            <v>47.43</v>
          </cell>
        </row>
        <row r="4607">
          <cell r="D4607">
            <v>47.44</v>
          </cell>
        </row>
        <row r="4608">
          <cell r="D4608">
            <v>47.45</v>
          </cell>
        </row>
        <row r="4609">
          <cell r="D4609">
            <v>47.46</v>
          </cell>
        </row>
        <row r="4610">
          <cell r="D4610">
            <v>47.47</v>
          </cell>
        </row>
        <row r="4611">
          <cell r="D4611">
            <v>47.48</v>
          </cell>
        </row>
        <row r="4612">
          <cell r="D4612">
            <v>47.49</v>
          </cell>
        </row>
        <row r="4613">
          <cell r="D4613">
            <v>47.5</v>
          </cell>
        </row>
        <row r="4614">
          <cell r="D4614">
            <v>47.51</v>
          </cell>
        </row>
        <row r="4615">
          <cell r="D4615">
            <v>47.52</v>
          </cell>
        </row>
        <row r="4616">
          <cell r="D4616">
            <v>47.53</v>
          </cell>
        </row>
        <row r="4617">
          <cell r="D4617">
            <v>47.54</v>
          </cell>
        </row>
        <row r="4618">
          <cell r="D4618">
            <v>47.55</v>
          </cell>
        </row>
        <row r="4619">
          <cell r="D4619">
            <v>47.56</v>
          </cell>
        </row>
        <row r="4620">
          <cell r="D4620">
            <v>47.57</v>
          </cell>
        </row>
        <row r="4621">
          <cell r="D4621">
            <v>47.58</v>
          </cell>
        </row>
        <row r="4622">
          <cell r="D4622">
            <v>47.59</v>
          </cell>
        </row>
        <row r="4623">
          <cell r="D4623">
            <v>47.6</v>
          </cell>
        </row>
        <row r="4624">
          <cell r="D4624">
            <v>47.61</v>
          </cell>
        </row>
        <row r="4625">
          <cell r="D4625">
            <v>47.62</v>
          </cell>
        </row>
        <row r="4626">
          <cell r="D4626">
            <v>47.63</v>
          </cell>
        </row>
        <row r="4627">
          <cell r="D4627">
            <v>47.64</v>
          </cell>
        </row>
        <row r="4628">
          <cell r="D4628">
            <v>47.65</v>
          </cell>
        </row>
        <row r="4629">
          <cell r="D4629">
            <v>47.66</v>
          </cell>
        </row>
        <row r="4630">
          <cell r="D4630">
            <v>47.67</v>
          </cell>
        </row>
        <row r="4631">
          <cell r="D4631">
            <v>47.68</v>
          </cell>
        </row>
        <row r="4632">
          <cell r="D4632">
            <v>47.69</v>
          </cell>
        </row>
        <row r="4633">
          <cell r="D4633">
            <v>47.7</v>
          </cell>
        </row>
        <row r="4634">
          <cell r="D4634">
            <v>47.71</v>
          </cell>
        </row>
        <row r="4635">
          <cell r="D4635">
            <v>47.72</v>
          </cell>
        </row>
        <row r="4636">
          <cell r="D4636">
            <v>47.73</v>
          </cell>
        </row>
        <row r="4637">
          <cell r="D4637">
            <v>47.74</v>
          </cell>
        </row>
        <row r="4638">
          <cell r="D4638">
            <v>47.75</v>
          </cell>
        </row>
        <row r="4639">
          <cell r="D4639">
            <v>47.76</v>
          </cell>
        </row>
        <row r="4640">
          <cell r="D4640">
            <v>47.77</v>
          </cell>
        </row>
        <row r="4641">
          <cell r="D4641">
            <v>47.78</v>
          </cell>
        </row>
        <row r="4642">
          <cell r="D4642">
            <v>47.79</v>
          </cell>
        </row>
        <row r="4643">
          <cell r="D4643">
            <v>47.8</v>
          </cell>
        </row>
        <row r="4644">
          <cell r="D4644">
            <v>47.81</v>
          </cell>
        </row>
        <row r="4645">
          <cell r="D4645">
            <v>47.82</v>
          </cell>
        </row>
        <row r="4646">
          <cell r="D4646">
            <v>47.83</v>
          </cell>
        </row>
        <row r="4647">
          <cell r="D4647">
            <v>47.84</v>
          </cell>
        </row>
        <row r="4648">
          <cell r="D4648">
            <v>47.85</v>
          </cell>
        </row>
        <row r="4649">
          <cell r="D4649">
            <v>47.86</v>
          </cell>
        </row>
        <row r="4650">
          <cell r="D4650">
            <v>47.87</v>
          </cell>
        </row>
        <row r="4651">
          <cell r="D4651">
            <v>47.88</v>
          </cell>
        </row>
        <row r="4652">
          <cell r="D4652">
            <v>47.89</v>
          </cell>
        </row>
        <row r="4653">
          <cell r="D4653">
            <v>47.9</v>
          </cell>
        </row>
        <row r="4654">
          <cell r="D4654">
            <v>47.91</v>
          </cell>
        </row>
        <row r="4655">
          <cell r="D4655">
            <v>47.92</v>
          </cell>
        </row>
        <row r="4656">
          <cell r="D4656">
            <v>47.93</v>
          </cell>
        </row>
        <row r="4657">
          <cell r="D4657">
            <v>47.94</v>
          </cell>
        </row>
        <row r="4658">
          <cell r="D4658">
            <v>47.95</v>
          </cell>
        </row>
        <row r="4659">
          <cell r="D4659">
            <v>47.96</v>
          </cell>
        </row>
        <row r="4660">
          <cell r="D4660">
            <v>47.97</v>
          </cell>
        </row>
        <row r="4661">
          <cell r="D4661">
            <v>47.98</v>
          </cell>
        </row>
        <row r="4662">
          <cell r="D4662">
            <v>47.99</v>
          </cell>
        </row>
        <row r="4663">
          <cell r="D4663">
            <v>48</v>
          </cell>
        </row>
        <row r="4664">
          <cell r="D4664">
            <v>48.01</v>
          </cell>
        </row>
        <row r="4665">
          <cell r="D4665">
            <v>48.02</v>
          </cell>
        </row>
        <row r="4666">
          <cell r="D4666">
            <v>48.03</v>
          </cell>
        </row>
        <row r="4667">
          <cell r="D4667">
            <v>48.04</v>
          </cell>
        </row>
        <row r="4668">
          <cell r="D4668">
            <v>48.05</v>
          </cell>
        </row>
        <row r="4669">
          <cell r="D4669">
            <v>48.06</v>
          </cell>
        </row>
        <row r="4670">
          <cell r="D4670">
            <v>48.07</v>
          </cell>
        </row>
        <row r="4671">
          <cell r="D4671">
            <v>48.08</v>
          </cell>
        </row>
        <row r="4672">
          <cell r="D4672">
            <v>48.09</v>
          </cell>
        </row>
        <row r="4673">
          <cell r="D4673">
            <v>48.1</v>
          </cell>
        </row>
        <row r="4674">
          <cell r="D4674">
            <v>48.11</v>
          </cell>
        </row>
        <row r="4675">
          <cell r="D4675">
            <v>48.12</v>
          </cell>
        </row>
        <row r="4676">
          <cell r="D4676">
            <v>48.13</v>
          </cell>
        </row>
        <row r="4677">
          <cell r="D4677">
            <v>48.14</v>
          </cell>
        </row>
        <row r="4678">
          <cell r="D4678">
            <v>48.15</v>
          </cell>
        </row>
        <row r="4679">
          <cell r="D4679">
            <v>48.16</v>
          </cell>
        </row>
        <row r="4680">
          <cell r="D4680">
            <v>48.17</v>
          </cell>
        </row>
        <row r="4681">
          <cell r="D4681">
            <v>48.18</v>
          </cell>
        </row>
        <row r="4682">
          <cell r="D4682">
            <v>48.19</v>
          </cell>
        </row>
        <row r="4683">
          <cell r="D4683">
            <v>48.2</v>
          </cell>
        </row>
        <row r="4684">
          <cell r="D4684">
            <v>48.21</v>
          </cell>
        </row>
        <row r="4685">
          <cell r="D4685">
            <v>48.22</v>
          </cell>
        </row>
        <row r="4686">
          <cell r="D4686">
            <v>48.23</v>
          </cell>
        </row>
        <row r="4687">
          <cell r="D4687">
            <v>48.24</v>
          </cell>
        </row>
        <row r="4688">
          <cell r="D4688">
            <v>48.25</v>
          </cell>
        </row>
        <row r="4689">
          <cell r="D4689">
            <v>48.26</v>
          </cell>
        </row>
        <row r="4690">
          <cell r="D4690">
            <v>48.27</v>
          </cell>
        </row>
        <row r="4691">
          <cell r="D4691">
            <v>48.28</v>
          </cell>
        </row>
        <row r="4692">
          <cell r="D4692">
            <v>48.29</v>
          </cell>
        </row>
        <row r="4693">
          <cell r="D4693">
            <v>48.3</v>
          </cell>
        </row>
        <row r="4694">
          <cell r="D4694">
            <v>48.31</v>
          </cell>
        </row>
        <row r="4695">
          <cell r="D4695">
            <v>48.32</v>
          </cell>
        </row>
        <row r="4696">
          <cell r="D4696">
            <v>48.33</v>
          </cell>
        </row>
        <row r="4697">
          <cell r="D4697">
            <v>48.34</v>
          </cell>
        </row>
        <row r="4698">
          <cell r="D4698">
            <v>48.35</v>
          </cell>
        </row>
        <row r="4699">
          <cell r="D4699">
            <v>48.36</v>
          </cell>
        </row>
        <row r="4700">
          <cell r="D4700">
            <v>48.37</v>
          </cell>
        </row>
        <row r="4701">
          <cell r="D4701">
            <v>48.38</v>
          </cell>
        </row>
        <row r="4702">
          <cell r="D4702">
            <v>48.39</v>
          </cell>
        </row>
        <row r="4703">
          <cell r="D4703">
            <v>48.4</v>
          </cell>
        </row>
        <row r="4704">
          <cell r="D4704">
            <v>48.41</v>
          </cell>
        </row>
        <row r="4705">
          <cell r="D4705">
            <v>48.42</v>
          </cell>
        </row>
        <row r="4706">
          <cell r="D4706">
            <v>48.43</v>
          </cell>
        </row>
        <row r="4707">
          <cell r="D4707">
            <v>48.44</v>
          </cell>
        </row>
        <row r="4708">
          <cell r="D4708">
            <v>48.45</v>
          </cell>
        </row>
        <row r="4709">
          <cell r="D4709">
            <v>48.46</v>
          </cell>
        </row>
        <row r="4710">
          <cell r="D4710">
            <v>48.47</v>
          </cell>
        </row>
        <row r="4711">
          <cell r="D4711">
            <v>48.48</v>
          </cell>
        </row>
        <row r="4712">
          <cell r="D4712">
            <v>48.49</v>
          </cell>
        </row>
        <row r="4713">
          <cell r="D4713">
            <v>48.5</v>
          </cell>
        </row>
        <row r="4714">
          <cell r="D4714">
            <v>48.51</v>
          </cell>
        </row>
        <row r="4715">
          <cell r="D4715">
            <v>48.52</v>
          </cell>
        </row>
        <row r="4716">
          <cell r="D4716">
            <v>48.53</v>
          </cell>
        </row>
        <row r="4717">
          <cell r="D4717">
            <v>48.54</v>
          </cell>
        </row>
        <row r="4718">
          <cell r="D4718">
            <v>48.55</v>
          </cell>
        </row>
        <row r="4719">
          <cell r="D4719">
            <v>48.56</v>
          </cell>
        </row>
        <row r="4720">
          <cell r="D4720">
            <v>48.57</v>
          </cell>
        </row>
        <row r="4721">
          <cell r="D4721">
            <v>48.58</v>
          </cell>
        </row>
        <row r="4722">
          <cell r="D4722">
            <v>48.59</v>
          </cell>
        </row>
        <row r="4723">
          <cell r="D4723">
            <v>48.6</v>
          </cell>
        </row>
        <row r="4724">
          <cell r="D4724">
            <v>48.61</v>
          </cell>
        </row>
        <row r="4725">
          <cell r="D4725">
            <v>48.62</v>
          </cell>
        </row>
        <row r="4726">
          <cell r="D4726">
            <v>48.63</v>
          </cell>
        </row>
        <row r="4727">
          <cell r="D4727">
            <v>48.64</v>
          </cell>
        </row>
        <row r="4728">
          <cell r="D4728">
            <v>48.65</v>
          </cell>
        </row>
        <row r="4729">
          <cell r="D4729">
            <v>48.66</v>
          </cell>
        </row>
        <row r="4730">
          <cell r="D4730">
            <v>48.67</v>
          </cell>
        </row>
        <row r="4731">
          <cell r="D4731">
            <v>48.68</v>
          </cell>
        </row>
        <row r="4732">
          <cell r="D4732">
            <v>48.69</v>
          </cell>
        </row>
        <row r="4733">
          <cell r="D4733">
            <v>48.7</v>
          </cell>
        </row>
        <row r="4734">
          <cell r="D4734">
            <v>48.71</v>
          </cell>
        </row>
        <row r="4735">
          <cell r="D4735">
            <v>48.72</v>
          </cell>
        </row>
        <row r="4736">
          <cell r="D4736">
            <v>48.73</v>
          </cell>
        </row>
        <row r="4737">
          <cell r="D4737">
            <v>48.74</v>
          </cell>
        </row>
        <row r="4738">
          <cell r="D4738">
            <v>48.75</v>
          </cell>
        </row>
        <row r="4739">
          <cell r="D4739">
            <v>48.76</v>
          </cell>
        </row>
        <row r="4740">
          <cell r="D4740">
            <v>48.77</v>
          </cell>
        </row>
        <row r="4741">
          <cell r="D4741">
            <v>48.78</v>
          </cell>
        </row>
        <row r="4742">
          <cell r="D4742">
            <v>48.79</v>
          </cell>
        </row>
        <row r="4743">
          <cell r="D4743">
            <v>48.8</v>
          </cell>
        </row>
        <row r="4744">
          <cell r="D4744">
            <v>48.81</v>
          </cell>
        </row>
        <row r="4745">
          <cell r="D4745">
            <v>48.82</v>
          </cell>
        </row>
        <row r="4746">
          <cell r="D4746">
            <v>48.83</v>
          </cell>
        </row>
        <row r="4747">
          <cell r="D4747">
            <v>48.84</v>
          </cell>
        </row>
        <row r="4748">
          <cell r="D4748">
            <v>48.85</v>
          </cell>
        </row>
        <row r="4749">
          <cell r="D4749">
            <v>48.86</v>
          </cell>
        </row>
        <row r="4750">
          <cell r="D4750">
            <v>48.87</v>
          </cell>
        </row>
        <row r="4751">
          <cell r="D4751">
            <v>48.88</v>
          </cell>
        </row>
        <row r="4752">
          <cell r="D4752">
            <v>48.89</v>
          </cell>
        </row>
        <row r="4753">
          <cell r="D4753">
            <v>48.9</v>
          </cell>
        </row>
        <row r="4754">
          <cell r="D4754">
            <v>48.91</v>
          </cell>
        </row>
        <row r="4755">
          <cell r="D4755">
            <v>48.92</v>
          </cell>
        </row>
        <row r="4756">
          <cell r="D4756">
            <v>48.93</v>
          </cell>
        </row>
        <row r="4757">
          <cell r="D4757">
            <v>48.94</v>
          </cell>
        </row>
        <row r="4758">
          <cell r="D4758">
            <v>48.95</v>
          </cell>
        </row>
        <row r="4759">
          <cell r="D4759">
            <v>48.96</v>
          </cell>
        </row>
        <row r="4760">
          <cell r="D4760">
            <v>48.97</v>
          </cell>
        </row>
        <row r="4761">
          <cell r="D4761">
            <v>48.98</v>
          </cell>
        </row>
        <row r="4762">
          <cell r="D4762">
            <v>48.99</v>
          </cell>
        </row>
        <row r="4763">
          <cell r="D4763">
            <v>49</v>
          </cell>
        </row>
        <row r="4764">
          <cell r="D4764">
            <v>49.01</v>
          </cell>
        </row>
        <row r="4765">
          <cell r="D4765">
            <v>49.02</v>
          </cell>
        </row>
        <row r="4766">
          <cell r="D4766">
            <v>49.03</v>
          </cell>
        </row>
        <row r="4767">
          <cell r="D4767">
            <v>49.04</v>
          </cell>
        </row>
        <row r="4768">
          <cell r="D4768">
            <v>49.05</v>
          </cell>
        </row>
        <row r="4769">
          <cell r="D4769">
            <v>49.06</v>
          </cell>
        </row>
        <row r="4770">
          <cell r="D4770">
            <v>49.07</v>
          </cell>
        </row>
        <row r="4771">
          <cell r="D4771">
            <v>49.08</v>
          </cell>
        </row>
        <row r="4772">
          <cell r="D4772">
            <v>49.09</v>
          </cell>
        </row>
        <row r="4773">
          <cell r="D4773">
            <v>49.1</v>
          </cell>
        </row>
        <row r="4774">
          <cell r="D4774">
            <v>49.11</v>
          </cell>
        </row>
        <row r="4775">
          <cell r="D4775">
            <v>49.12</v>
          </cell>
        </row>
        <row r="4776">
          <cell r="D4776">
            <v>49.13</v>
          </cell>
        </row>
        <row r="4777">
          <cell r="D4777">
            <v>49.14</v>
          </cell>
        </row>
        <row r="4778">
          <cell r="D4778">
            <v>49.15</v>
          </cell>
        </row>
        <row r="4779">
          <cell r="D4779">
            <v>49.16</v>
          </cell>
        </row>
        <row r="4780">
          <cell r="D4780">
            <v>49.17</v>
          </cell>
        </row>
        <row r="4781">
          <cell r="D4781">
            <v>49.18</v>
          </cell>
        </row>
        <row r="4782">
          <cell r="D4782">
            <v>49.19</v>
          </cell>
        </row>
        <row r="4783">
          <cell r="D4783">
            <v>49.2</v>
          </cell>
        </row>
        <row r="4784">
          <cell r="D4784">
            <v>49.21</v>
          </cell>
        </row>
        <row r="4785">
          <cell r="D4785">
            <v>49.22</v>
          </cell>
        </row>
        <row r="4786">
          <cell r="D4786">
            <v>49.23</v>
          </cell>
        </row>
        <row r="4787">
          <cell r="D4787">
            <v>49.24</v>
          </cell>
        </row>
        <row r="4788">
          <cell r="D4788">
            <v>49.25</v>
          </cell>
        </row>
        <row r="4789">
          <cell r="D4789">
            <v>49.26</v>
          </cell>
        </row>
        <row r="4790">
          <cell r="D4790">
            <v>49.27</v>
          </cell>
        </row>
        <row r="4791">
          <cell r="D4791">
            <v>49.28</v>
          </cell>
        </row>
        <row r="4792">
          <cell r="D4792">
            <v>49.29</v>
          </cell>
        </row>
        <row r="4793">
          <cell r="D4793">
            <v>49.3</v>
          </cell>
        </row>
        <row r="4794">
          <cell r="D4794">
            <v>49.31</v>
          </cell>
        </row>
        <row r="4795">
          <cell r="D4795">
            <v>49.32</v>
          </cell>
        </row>
        <row r="4796">
          <cell r="D4796">
            <v>49.33</v>
          </cell>
        </row>
        <row r="4797">
          <cell r="D4797">
            <v>49.34</v>
          </cell>
        </row>
        <row r="4798">
          <cell r="D4798">
            <v>49.35</v>
          </cell>
        </row>
        <row r="4799">
          <cell r="D4799">
            <v>49.36</v>
          </cell>
        </row>
        <row r="4800">
          <cell r="D4800">
            <v>49.37</v>
          </cell>
        </row>
        <row r="4801">
          <cell r="D4801">
            <v>49.38</v>
          </cell>
        </row>
        <row r="4802">
          <cell r="D4802">
            <v>49.39</v>
          </cell>
        </row>
        <row r="4803">
          <cell r="D4803">
            <v>49.4</v>
          </cell>
        </row>
        <row r="4804">
          <cell r="D4804">
            <v>49.41</v>
          </cell>
        </row>
        <row r="4805">
          <cell r="D4805">
            <v>49.42</v>
          </cell>
        </row>
        <row r="4806">
          <cell r="D4806">
            <v>49.43</v>
          </cell>
        </row>
        <row r="4807">
          <cell r="D4807">
            <v>49.44</v>
          </cell>
        </row>
        <row r="4808">
          <cell r="D4808">
            <v>49.45</v>
          </cell>
        </row>
        <row r="4809">
          <cell r="D4809">
            <v>49.46</v>
          </cell>
        </row>
        <row r="4810">
          <cell r="D4810">
            <v>49.47</v>
          </cell>
        </row>
        <row r="4811">
          <cell r="D4811">
            <v>49.48</v>
          </cell>
        </row>
        <row r="4812">
          <cell r="D4812">
            <v>49.49</v>
          </cell>
        </row>
        <row r="4813">
          <cell r="D4813">
            <v>49.5</v>
          </cell>
        </row>
        <row r="4814">
          <cell r="D4814">
            <v>49.51</v>
          </cell>
        </row>
        <row r="4815">
          <cell r="D4815">
            <v>49.52</v>
          </cell>
        </row>
        <row r="4816">
          <cell r="D4816">
            <v>49.53</v>
          </cell>
        </row>
        <row r="4817">
          <cell r="D4817">
            <v>49.54</v>
          </cell>
        </row>
        <row r="4818">
          <cell r="D4818">
            <v>49.55</v>
          </cell>
        </row>
        <row r="4819">
          <cell r="D4819">
            <v>49.56</v>
          </cell>
        </row>
        <row r="4820">
          <cell r="D4820">
            <v>49.57</v>
          </cell>
        </row>
        <row r="4821">
          <cell r="D4821">
            <v>49.58</v>
          </cell>
        </row>
        <row r="4822">
          <cell r="D4822">
            <v>49.59</v>
          </cell>
        </row>
        <row r="4823">
          <cell r="D4823">
            <v>49.6</v>
          </cell>
        </row>
        <row r="4824">
          <cell r="D4824">
            <v>49.61</v>
          </cell>
        </row>
        <row r="4825">
          <cell r="D4825">
            <v>49.62</v>
          </cell>
        </row>
        <row r="4826">
          <cell r="D4826">
            <v>49.63</v>
          </cell>
        </row>
        <row r="4827">
          <cell r="D4827">
            <v>49.64</v>
          </cell>
        </row>
        <row r="4828">
          <cell r="D4828">
            <v>49.65</v>
          </cell>
        </row>
        <row r="4829">
          <cell r="D4829">
            <v>49.66</v>
          </cell>
        </row>
        <row r="4830">
          <cell r="D4830">
            <v>49.67</v>
          </cell>
        </row>
        <row r="4831">
          <cell r="D4831">
            <v>49.68</v>
          </cell>
        </row>
        <row r="4832">
          <cell r="D4832">
            <v>49.69</v>
          </cell>
        </row>
        <row r="4833">
          <cell r="D4833">
            <v>49.7</v>
          </cell>
        </row>
        <row r="4834">
          <cell r="D4834">
            <v>49.71</v>
          </cell>
        </row>
        <row r="4835">
          <cell r="D4835">
            <v>49.72</v>
          </cell>
        </row>
        <row r="4836">
          <cell r="D4836">
            <v>49.73</v>
          </cell>
        </row>
        <row r="4837">
          <cell r="D4837">
            <v>49.74</v>
          </cell>
        </row>
        <row r="4838">
          <cell r="D4838">
            <v>49.75</v>
          </cell>
        </row>
        <row r="4839">
          <cell r="D4839">
            <v>49.76</v>
          </cell>
        </row>
        <row r="4840">
          <cell r="D4840">
            <v>49.77</v>
          </cell>
        </row>
        <row r="4841">
          <cell r="D4841">
            <v>49.78</v>
          </cell>
        </row>
        <row r="4842">
          <cell r="D4842">
            <v>49.79</v>
          </cell>
        </row>
        <row r="4843">
          <cell r="D4843">
            <v>49.8</v>
          </cell>
        </row>
        <row r="4844">
          <cell r="D4844">
            <v>49.81</v>
          </cell>
        </row>
        <row r="4845">
          <cell r="D4845">
            <v>49.82</v>
          </cell>
        </row>
        <row r="4846">
          <cell r="D4846">
            <v>49.83</v>
          </cell>
        </row>
        <row r="4847">
          <cell r="D4847">
            <v>49.84</v>
          </cell>
        </row>
        <row r="4848">
          <cell r="D4848">
            <v>49.85</v>
          </cell>
        </row>
        <row r="4849">
          <cell r="D4849">
            <v>49.86</v>
          </cell>
        </row>
        <row r="4850">
          <cell r="D4850">
            <v>49.87</v>
          </cell>
        </row>
        <row r="4851">
          <cell r="D4851">
            <v>49.88</v>
          </cell>
        </row>
        <row r="4852">
          <cell r="D4852">
            <v>49.89</v>
          </cell>
        </row>
        <row r="4853">
          <cell r="D4853">
            <v>49.9</v>
          </cell>
        </row>
        <row r="4854">
          <cell r="D4854">
            <v>49.91</v>
          </cell>
        </row>
        <row r="4855">
          <cell r="D4855">
            <v>49.92</v>
          </cell>
        </row>
        <row r="4856">
          <cell r="D4856">
            <v>49.93</v>
          </cell>
        </row>
        <row r="4857">
          <cell r="D4857">
            <v>49.94</v>
          </cell>
        </row>
        <row r="4858">
          <cell r="D4858">
            <v>49.95</v>
          </cell>
        </row>
        <row r="4859">
          <cell r="D4859">
            <v>49.96</v>
          </cell>
        </row>
        <row r="4860">
          <cell r="D4860">
            <v>49.97</v>
          </cell>
        </row>
        <row r="4861">
          <cell r="D4861">
            <v>49.98</v>
          </cell>
        </row>
        <row r="4862">
          <cell r="D4862">
            <v>49.99</v>
          </cell>
        </row>
        <row r="4863">
          <cell r="D4863">
            <v>50</v>
          </cell>
        </row>
        <row r="4864">
          <cell r="D4864" t="str">
            <v>N/A</v>
          </cell>
        </row>
      </sheetData>
      <sheetData sheetId="9"/>
      <sheetData sheetId="10"/>
      <sheetData sheetId="11"/>
      <sheetData sheetId="12"/>
      <sheetData sheetId="1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Logic"/>
      <sheetName val="Issues-Errors"/>
      <sheetName val="Tools"/>
      <sheetName val="CheckList"/>
      <sheetName val="Column Definitions"/>
      <sheetName val="Instructions"/>
      <sheetName val="Changes"/>
      <sheetName val="Selections"/>
      <sheetName val="FVE Validation"/>
      <sheetName val="FVE Table"/>
      <sheetName val="Resolution Doc"/>
      <sheetName val="MAOP Report"/>
    </sheetNames>
    <sheetDataSet>
      <sheetData sheetId="0"/>
      <sheetData sheetId="1"/>
      <sheetData sheetId="2"/>
      <sheetData sheetId="3"/>
      <sheetData sheetId="4"/>
      <sheetData sheetId="5"/>
      <sheetData sheetId="6"/>
      <sheetData sheetId="7"/>
      <sheetData sheetId="8"/>
      <sheetData sheetId="9">
        <row r="1">
          <cell r="L1" t="str">
            <v>fitting rating/MAOP</v>
          </cell>
        </row>
        <row r="2">
          <cell r="D2" t="str">
            <v>ODlong</v>
          </cell>
          <cell r="L2" t="str">
            <v>Fitting Rating</v>
          </cell>
          <cell r="R2" t="str">
            <v>HPR</v>
          </cell>
        </row>
        <row r="3">
          <cell r="L3" t="str">
            <v>ANSI 125 #</v>
          </cell>
          <cell r="O3" t="str">
            <v>1956_3inch_CS8040</v>
          </cell>
          <cell r="R3">
            <v>281095</v>
          </cell>
        </row>
        <row r="4">
          <cell r="C4">
            <v>42</v>
          </cell>
          <cell r="D4">
            <v>1.41</v>
          </cell>
          <cell r="L4" t="str">
            <v>ANSI 150 #</v>
          </cell>
          <cell r="O4" t="str">
            <v>1956_4inch_CS8040</v>
          </cell>
          <cell r="R4">
            <v>281337</v>
          </cell>
        </row>
        <row r="5">
          <cell r="C5">
            <v>36</v>
          </cell>
          <cell r="D5">
            <v>1.42</v>
          </cell>
          <cell r="L5" t="str">
            <v>ANSI 250 #</v>
          </cell>
          <cell r="O5" t="str">
            <v>1961_3inch_CS8040</v>
          </cell>
          <cell r="R5">
            <v>281421</v>
          </cell>
        </row>
        <row r="6">
          <cell r="C6">
            <v>34.5</v>
          </cell>
          <cell r="D6">
            <v>1.43</v>
          </cell>
          <cell r="L6" t="str">
            <v>ANSI 300 #</v>
          </cell>
          <cell r="O6" t="str">
            <v>1961_4inch_CS8040</v>
          </cell>
          <cell r="R6">
            <v>281462</v>
          </cell>
        </row>
        <row r="7">
          <cell r="C7">
            <v>34</v>
          </cell>
          <cell r="D7">
            <v>1.44</v>
          </cell>
          <cell r="L7" t="str">
            <v>ANSI 400 #</v>
          </cell>
          <cell r="O7" t="str">
            <v>1967_3inch_J-42.1</v>
          </cell>
          <cell r="R7">
            <v>282482</v>
          </cell>
        </row>
        <row r="8">
          <cell r="C8">
            <v>32</v>
          </cell>
          <cell r="D8">
            <v>1.45</v>
          </cell>
          <cell r="L8" t="str">
            <v>ANSI 600 #</v>
          </cell>
          <cell r="O8" t="str">
            <v>1967_4inch_J-42.1</v>
          </cell>
          <cell r="R8">
            <v>282484</v>
          </cell>
        </row>
        <row r="9">
          <cell r="C9">
            <v>30</v>
          </cell>
          <cell r="D9">
            <v>1.46</v>
          </cell>
          <cell r="L9" t="str">
            <v>ANSI 900 #</v>
          </cell>
          <cell r="O9" t="str">
            <v>1979_2inch_J-43</v>
          </cell>
          <cell r="R9">
            <v>282737</v>
          </cell>
        </row>
        <row r="10">
          <cell r="C10">
            <v>26</v>
          </cell>
          <cell r="D10">
            <v>1.47</v>
          </cell>
          <cell r="L10" t="str">
            <v>ANSI 1500 #</v>
          </cell>
          <cell r="O10" t="str">
            <v>1979_3inch_J-43</v>
          </cell>
          <cell r="R10">
            <v>282738</v>
          </cell>
        </row>
        <row r="11">
          <cell r="C11">
            <v>24</v>
          </cell>
          <cell r="D11">
            <v>1.48</v>
          </cell>
          <cell r="L11" t="str">
            <v>ANSI 2500#</v>
          </cell>
          <cell r="O11" t="str">
            <v>1979_4inch_J-43</v>
          </cell>
          <cell r="R11">
            <v>282760</v>
          </cell>
        </row>
        <row r="12">
          <cell r="C12">
            <v>22</v>
          </cell>
          <cell r="D12">
            <v>1.49</v>
          </cell>
          <cell r="L12" t="str">
            <v>ASA 125 #</v>
          </cell>
          <cell r="O12" t="str">
            <v>1979_6inch_J-43</v>
          </cell>
          <cell r="R12">
            <v>282793</v>
          </cell>
        </row>
        <row r="13">
          <cell r="C13">
            <v>20</v>
          </cell>
          <cell r="D13">
            <v>1.5</v>
          </cell>
          <cell r="L13" t="str">
            <v>ASA 150 #</v>
          </cell>
          <cell r="O13" t="str">
            <v>1989_2inch_J-45</v>
          </cell>
          <cell r="R13">
            <v>283203</v>
          </cell>
        </row>
        <row r="14">
          <cell r="C14">
            <v>18</v>
          </cell>
          <cell r="D14">
            <v>1.51</v>
          </cell>
          <cell r="L14" t="str">
            <v>ASA 250 #</v>
          </cell>
          <cell r="O14" t="str">
            <v>1989_3inch_J-45</v>
          </cell>
          <cell r="R14">
            <v>283204</v>
          </cell>
        </row>
        <row r="15">
          <cell r="C15">
            <v>16</v>
          </cell>
          <cell r="D15">
            <v>1.52</v>
          </cell>
          <cell r="L15" t="str">
            <v>ASA 300 #</v>
          </cell>
          <cell r="O15" t="str">
            <v>1989_4inch_J-45</v>
          </cell>
          <cell r="R15">
            <v>283205</v>
          </cell>
        </row>
        <row r="16">
          <cell r="C16">
            <v>14</v>
          </cell>
          <cell r="D16">
            <v>1.53</v>
          </cell>
          <cell r="L16" t="str">
            <v>ASA 400 #</v>
          </cell>
          <cell r="O16" t="str">
            <v>1989_6inch_J-45</v>
          </cell>
          <cell r="R16">
            <v>283475</v>
          </cell>
        </row>
        <row r="17">
          <cell r="C17">
            <v>12.75</v>
          </cell>
          <cell r="D17">
            <v>1.54</v>
          </cell>
          <cell r="L17" t="str">
            <v>ASA 600 #</v>
          </cell>
          <cell r="O17" t="str">
            <v>2008_3inch_J-45</v>
          </cell>
          <cell r="R17">
            <v>283473</v>
          </cell>
        </row>
        <row r="18">
          <cell r="C18">
            <v>10.75</v>
          </cell>
          <cell r="D18">
            <v>1.55</v>
          </cell>
          <cell r="L18" t="str">
            <v>ASA 900 #</v>
          </cell>
          <cell r="O18" t="str">
            <v>2008_4inch_J-45</v>
          </cell>
          <cell r="R18">
            <v>283458</v>
          </cell>
        </row>
        <row r="19">
          <cell r="C19">
            <v>8.625</v>
          </cell>
          <cell r="D19">
            <v>1.56</v>
          </cell>
          <cell r="L19" t="str">
            <v>ASA 1500 #</v>
          </cell>
          <cell r="O19" t="str">
            <v>2008_6inch_J-45</v>
          </cell>
          <cell r="R19" t="str">
            <v>H-10P</v>
          </cell>
        </row>
        <row r="20">
          <cell r="C20">
            <v>6.625</v>
          </cell>
          <cell r="D20">
            <v>1.57</v>
          </cell>
          <cell r="L20" t="str">
            <v>ASA 2500#</v>
          </cell>
          <cell r="R20" t="str">
            <v>H-10F</v>
          </cell>
        </row>
        <row r="21">
          <cell r="C21">
            <v>4.5</v>
          </cell>
          <cell r="D21">
            <v>1.58</v>
          </cell>
          <cell r="L21" t="str">
            <v>Class 125</v>
          </cell>
        </row>
        <row r="22">
          <cell r="C22">
            <v>3.5</v>
          </cell>
          <cell r="D22">
            <v>1.59</v>
          </cell>
          <cell r="L22" t="str">
            <v>Series 15</v>
          </cell>
        </row>
        <row r="23">
          <cell r="C23">
            <v>2.375</v>
          </cell>
          <cell r="D23">
            <v>1.6</v>
          </cell>
          <cell r="L23" t="str">
            <v>Series 30</v>
          </cell>
        </row>
        <row r="24">
          <cell r="C24">
            <v>1.9</v>
          </cell>
          <cell r="D24">
            <v>1.61</v>
          </cell>
          <cell r="L24" t="str">
            <v>Series 40</v>
          </cell>
        </row>
        <row r="25">
          <cell r="C25">
            <v>1.66</v>
          </cell>
          <cell r="D25">
            <v>1.62</v>
          </cell>
          <cell r="L25" t="str">
            <v>Series 60</v>
          </cell>
        </row>
        <row r="26">
          <cell r="C26">
            <v>1.3149999999999999</v>
          </cell>
          <cell r="D26">
            <v>1.63</v>
          </cell>
          <cell r="L26" t="str">
            <v>WOG 50#</v>
          </cell>
        </row>
        <row r="27">
          <cell r="C27">
            <v>1.05</v>
          </cell>
          <cell r="D27">
            <v>1.64</v>
          </cell>
          <cell r="L27" t="str">
            <v>WOG 100#</v>
          </cell>
        </row>
        <row r="28">
          <cell r="C28">
            <v>0.84</v>
          </cell>
          <cell r="D28">
            <v>1.65</v>
          </cell>
          <cell r="L28" t="str">
            <v>WOG 125#</v>
          </cell>
        </row>
        <row r="29">
          <cell r="C29">
            <v>0.5</v>
          </cell>
          <cell r="D29">
            <v>1.66</v>
          </cell>
          <cell r="L29" t="str">
            <v>WOG 150#</v>
          </cell>
        </row>
        <row r="30">
          <cell r="C30" t="str">
            <v>N/A</v>
          </cell>
          <cell r="D30">
            <v>1.67</v>
          </cell>
          <cell r="L30" t="str">
            <v>WOG 175#</v>
          </cell>
        </row>
        <row r="31">
          <cell r="D31">
            <v>1.68</v>
          </cell>
          <cell r="L31" t="str">
            <v>WOG 200#</v>
          </cell>
        </row>
        <row r="32">
          <cell r="D32">
            <v>1.69</v>
          </cell>
          <cell r="L32" t="str">
            <v>WOG 230#</v>
          </cell>
        </row>
        <row r="33">
          <cell r="D33">
            <v>1.7</v>
          </cell>
          <cell r="L33" t="str">
            <v>WOG 250#</v>
          </cell>
        </row>
        <row r="34">
          <cell r="D34">
            <v>1.71</v>
          </cell>
          <cell r="L34" t="str">
            <v>WOG 275#</v>
          </cell>
        </row>
        <row r="35">
          <cell r="D35">
            <v>1.72</v>
          </cell>
          <cell r="L35" t="str">
            <v>WOG 300#</v>
          </cell>
        </row>
        <row r="36">
          <cell r="D36">
            <v>1.73</v>
          </cell>
          <cell r="L36" t="str">
            <v>WOG 400#</v>
          </cell>
        </row>
        <row r="37">
          <cell r="D37">
            <v>1.74</v>
          </cell>
          <cell r="L37" t="str">
            <v>WOG 500#</v>
          </cell>
        </row>
        <row r="38">
          <cell r="D38">
            <v>1.75</v>
          </cell>
          <cell r="L38" t="str">
            <v>WOG 575#</v>
          </cell>
        </row>
        <row r="39">
          <cell r="D39">
            <v>1.76</v>
          </cell>
          <cell r="L39" t="str">
            <v>WOG 600#</v>
          </cell>
        </row>
        <row r="40">
          <cell r="D40">
            <v>1.77</v>
          </cell>
          <cell r="L40" t="str">
            <v>WOG 720#</v>
          </cell>
        </row>
        <row r="41">
          <cell r="D41">
            <v>1.78</v>
          </cell>
          <cell r="L41" t="str">
            <v>WOG 740#</v>
          </cell>
        </row>
        <row r="42">
          <cell r="D42">
            <v>1.79</v>
          </cell>
          <cell r="L42" t="str">
            <v>WOG 800#</v>
          </cell>
        </row>
        <row r="43">
          <cell r="D43">
            <v>1.8</v>
          </cell>
          <cell r="L43" t="str">
            <v>WOG 900#</v>
          </cell>
        </row>
        <row r="44">
          <cell r="D44">
            <v>1.81</v>
          </cell>
          <cell r="L44" t="str">
            <v>WOG 920#</v>
          </cell>
        </row>
        <row r="45">
          <cell r="D45">
            <v>1.82</v>
          </cell>
          <cell r="L45" t="str">
            <v>WOG 960#</v>
          </cell>
        </row>
        <row r="46">
          <cell r="D46">
            <v>1.83</v>
          </cell>
          <cell r="L46" t="str">
            <v>WOG 1000#</v>
          </cell>
        </row>
        <row r="47">
          <cell r="D47">
            <v>1.84</v>
          </cell>
          <cell r="L47" t="str">
            <v>WOG 1200#</v>
          </cell>
        </row>
        <row r="48">
          <cell r="D48">
            <v>1.85</v>
          </cell>
          <cell r="L48" t="str">
            <v>WOG 1290#</v>
          </cell>
        </row>
        <row r="49">
          <cell r="D49">
            <v>1.86</v>
          </cell>
          <cell r="L49" t="str">
            <v>WOG 1440#</v>
          </cell>
        </row>
        <row r="50">
          <cell r="D50">
            <v>1.87</v>
          </cell>
          <cell r="L50" t="str">
            <v>WOG 1480#</v>
          </cell>
        </row>
        <row r="51">
          <cell r="D51">
            <v>1.88</v>
          </cell>
          <cell r="L51" t="str">
            <v>WOG 1500#</v>
          </cell>
        </row>
        <row r="52">
          <cell r="D52">
            <v>1.89</v>
          </cell>
          <cell r="L52" t="str">
            <v>WOG 1800#</v>
          </cell>
        </row>
        <row r="53">
          <cell r="D53">
            <v>1.9</v>
          </cell>
          <cell r="L53" t="str">
            <v>WOG 2000#</v>
          </cell>
        </row>
        <row r="54">
          <cell r="D54">
            <v>1.91</v>
          </cell>
          <cell r="L54" t="str">
            <v>WOG 2160#</v>
          </cell>
        </row>
        <row r="55">
          <cell r="D55">
            <v>1.92</v>
          </cell>
          <cell r="L55" t="str">
            <v>WOG 2200#</v>
          </cell>
        </row>
        <row r="56">
          <cell r="D56">
            <v>1.93</v>
          </cell>
          <cell r="L56" t="str">
            <v>WOG 2500#</v>
          </cell>
        </row>
        <row r="57">
          <cell r="D57">
            <v>1.94</v>
          </cell>
          <cell r="L57" t="str">
            <v>WOG 3000#</v>
          </cell>
        </row>
        <row r="58">
          <cell r="D58">
            <v>1.95</v>
          </cell>
          <cell r="L58" t="str">
            <v>WOG 3600#</v>
          </cell>
        </row>
        <row r="59">
          <cell r="D59">
            <v>1.96</v>
          </cell>
          <cell r="L59" t="str">
            <v>WOG 4500#</v>
          </cell>
        </row>
        <row r="60">
          <cell r="D60">
            <v>1.97</v>
          </cell>
          <cell r="L60" t="str">
            <v>WOG 5000#</v>
          </cell>
        </row>
        <row r="61">
          <cell r="D61">
            <v>1.98</v>
          </cell>
          <cell r="L61" t="str">
            <v>WOG 6000#</v>
          </cell>
        </row>
        <row r="62">
          <cell r="D62">
            <v>1.99</v>
          </cell>
          <cell r="L62" t="str">
            <v>WOG 10000#</v>
          </cell>
        </row>
        <row r="63">
          <cell r="D63">
            <v>2</v>
          </cell>
          <cell r="L63" t="str">
            <v>Unknown</v>
          </cell>
        </row>
        <row r="64">
          <cell r="D64">
            <v>2.0099999999999998</v>
          </cell>
          <cell r="L64" t="str">
            <v>N/A</v>
          </cell>
        </row>
        <row r="65">
          <cell r="D65">
            <v>2.02</v>
          </cell>
        </row>
        <row r="66">
          <cell r="D66">
            <v>2.0299999999999998</v>
          </cell>
        </row>
        <row r="67">
          <cell r="D67">
            <v>2.04</v>
          </cell>
        </row>
        <row r="68">
          <cell r="D68">
            <v>2.0499999999999998</v>
          </cell>
        </row>
        <row r="69">
          <cell r="D69">
            <v>2.06</v>
          </cell>
        </row>
        <row r="70">
          <cell r="D70">
            <v>2.0699999999999998</v>
          </cell>
        </row>
        <row r="71">
          <cell r="D71">
            <v>2.08</v>
          </cell>
        </row>
        <row r="72">
          <cell r="D72">
            <v>2.09</v>
          </cell>
        </row>
        <row r="73">
          <cell r="D73">
            <v>2.1</v>
          </cell>
        </row>
        <row r="74">
          <cell r="D74">
            <v>2.11</v>
          </cell>
        </row>
        <row r="75">
          <cell r="D75">
            <v>2.12</v>
          </cell>
        </row>
        <row r="76">
          <cell r="D76">
            <v>2.13</v>
          </cell>
        </row>
        <row r="77">
          <cell r="D77">
            <v>2.14</v>
          </cell>
        </row>
        <row r="78">
          <cell r="D78">
            <v>2.15</v>
          </cell>
        </row>
        <row r="79">
          <cell r="D79">
            <v>2.16</v>
          </cell>
        </row>
        <row r="80">
          <cell r="D80">
            <v>2.17</v>
          </cell>
        </row>
        <row r="81">
          <cell r="D81">
            <v>2.1800000000000002</v>
          </cell>
        </row>
        <row r="82">
          <cell r="D82">
            <v>2.19</v>
          </cell>
        </row>
        <row r="83">
          <cell r="D83">
            <v>2.2000000000000002</v>
          </cell>
        </row>
        <row r="84">
          <cell r="D84">
            <v>2.21</v>
          </cell>
        </row>
        <row r="85">
          <cell r="D85">
            <v>2.2200000000000002</v>
          </cell>
        </row>
        <row r="86">
          <cell r="D86">
            <v>2.23</v>
          </cell>
        </row>
        <row r="87">
          <cell r="D87">
            <v>2.2400000000000002</v>
          </cell>
        </row>
        <row r="88">
          <cell r="D88">
            <v>2.25</v>
          </cell>
        </row>
        <row r="89">
          <cell r="D89">
            <v>2.2599999999999998</v>
          </cell>
        </row>
        <row r="90">
          <cell r="D90">
            <v>2.27</v>
          </cell>
        </row>
        <row r="91">
          <cell r="D91">
            <v>2.2799999999999998</v>
          </cell>
        </row>
        <row r="92">
          <cell r="D92">
            <v>2.29</v>
          </cell>
        </row>
        <row r="93">
          <cell r="D93">
            <v>2.2999999999999998</v>
          </cell>
        </row>
        <row r="94">
          <cell r="D94">
            <v>2.31</v>
          </cell>
        </row>
        <row r="95">
          <cell r="D95">
            <v>2.3199999999999998</v>
          </cell>
        </row>
        <row r="96">
          <cell r="D96">
            <v>2.33</v>
          </cell>
        </row>
        <row r="97">
          <cell r="D97">
            <v>2.34</v>
          </cell>
        </row>
        <row r="98">
          <cell r="D98">
            <v>2.35</v>
          </cell>
        </row>
        <row r="99">
          <cell r="D99">
            <v>2.36</v>
          </cell>
        </row>
        <row r="100">
          <cell r="D100">
            <v>2.37</v>
          </cell>
        </row>
        <row r="101">
          <cell r="D101">
            <v>2.38</v>
          </cell>
        </row>
        <row r="102">
          <cell r="D102">
            <v>2.39</v>
          </cell>
        </row>
        <row r="103">
          <cell r="D103">
            <v>2.4</v>
          </cell>
        </row>
        <row r="104">
          <cell r="D104">
            <v>2.41</v>
          </cell>
        </row>
        <row r="105">
          <cell r="D105">
            <v>2.42</v>
          </cell>
        </row>
        <row r="106">
          <cell r="D106">
            <v>2.4300000000000002</v>
          </cell>
        </row>
        <row r="107">
          <cell r="D107">
            <v>2.44</v>
          </cell>
        </row>
        <row r="108">
          <cell r="D108">
            <v>2.4500000000000002</v>
          </cell>
        </row>
        <row r="109">
          <cell r="D109">
            <v>2.46</v>
          </cell>
        </row>
        <row r="110">
          <cell r="D110">
            <v>2.4700000000000002</v>
          </cell>
        </row>
        <row r="111">
          <cell r="D111">
            <v>2.48</v>
          </cell>
        </row>
        <row r="112">
          <cell r="D112">
            <v>2.4900000000000002</v>
          </cell>
        </row>
        <row r="113">
          <cell r="D113">
            <v>2.5</v>
          </cell>
        </row>
        <row r="114">
          <cell r="D114">
            <v>2.5099999999999998</v>
          </cell>
        </row>
        <row r="115">
          <cell r="D115">
            <v>2.52</v>
          </cell>
        </row>
        <row r="116">
          <cell r="D116">
            <v>2.5299999999999998</v>
          </cell>
        </row>
        <row r="117">
          <cell r="D117">
            <v>2.54</v>
          </cell>
        </row>
        <row r="118">
          <cell r="D118">
            <v>2.5499999999999998</v>
          </cell>
        </row>
        <row r="119">
          <cell r="D119">
            <v>2.56</v>
          </cell>
        </row>
        <row r="120">
          <cell r="D120">
            <v>2.57</v>
          </cell>
        </row>
        <row r="121">
          <cell r="D121">
            <v>2.58</v>
          </cell>
        </row>
        <row r="122">
          <cell r="D122">
            <v>2.59</v>
          </cell>
        </row>
        <row r="123">
          <cell r="D123">
            <v>2.6</v>
          </cell>
        </row>
        <row r="124">
          <cell r="D124">
            <v>2.61</v>
          </cell>
        </row>
        <row r="125">
          <cell r="D125">
            <v>2.62</v>
          </cell>
        </row>
        <row r="126">
          <cell r="D126">
            <v>2.63</v>
          </cell>
        </row>
        <row r="127">
          <cell r="D127">
            <v>2.64</v>
          </cell>
        </row>
        <row r="128">
          <cell r="D128">
            <v>2.65</v>
          </cell>
        </row>
        <row r="129">
          <cell r="D129">
            <v>2.66</v>
          </cell>
        </row>
        <row r="130">
          <cell r="D130">
            <v>2.67</v>
          </cell>
        </row>
        <row r="131">
          <cell r="D131">
            <v>2.68</v>
          </cell>
        </row>
        <row r="132">
          <cell r="D132">
            <v>2.69</v>
          </cell>
        </row>
        <row r="133">
          <cell r="D133">
            <v>2.7</v>
          </cell>
        </row>
        <row r="134">
          <cell r="D134">
            <v>2.71</v>
          </cell>
        </row>
        <row r="135">
          <cell r="D135">
            <v>2.72</v>
          </cell>
        </row>
        <row r="136">
          <cell r="D136">
            <v>2.73</v>
          </cell>
        </row>
        <row r="137">
          <cell r="D137">
            <v>2.74</v>
          </cell>
        </row>
        <row r="138">
          <cell r="D138">
            <v>2.75</v>
          </cell>
        </row>
        <row r="139">
          <cell r="D139">
            <v>2.76</v>
          </cell>
        </row>
        <row r="140">
          <cell r="D140">
            <v>2.77</v>
          </cell>
        </row>
        <row r="141">
          <cell r="D141">
            <v>2.78</v>
          </cell>
        </row>
        <row r="142">
          <cell r="D142">
            <v>2.79</v>
          </cell>
        </row>
        <row r="143">
          <cell r="D143">
            <v>2.8</v>
          </cell>
        </row>
        <row r="144">
          <cell r="D144">
            <v>2.81</v>
          </cell>
        </row>
        <row r="145">
          <cell r="D145">
            <v>2.82</v>
          </cell>
        </row>
        <row r="146">
          <cell r="D146">
            <v>2.83</v>
          </cell>
        </row>
        <row r="147">
          <cell r="D147">
            <v>2.84</v>
          </cell>
        </row>
        <row r="148">
          <cell r="D148">
            <v>2.85</v>
          </cell>
        </row>
        <row r="149">
          <cell r="D149">
            <v>2.86</v>
          </cell>
        </row>
        <row r="150">
          <cell r="D150">
            <v>2.87</v>
          </cell>
        </row>
        <row r="151">
          <cell r="D151">
            <v>2.88</v>
          </cell>
        </row>
        <row r="152">
          <cell r="D152">
            <v>2.89</v>
          </cell>
        </row>
        <row r="153">
          <cell r="D153">
            <v>2.9</v>
          </cell>
        </row>
        <row r="154">
          <cell r="D154">
            <v>2.91</v>
          </cell>
        </row>
        <row r="155">
          <cell r="D155">
            <v>2.92</v>
          </cell>
        </row>
        <row r="156">
          <cell r="D156">
            <v>2.93</v>
          </cell>
        </row>
        <row r="157">
          <cell r="D157">
            <v>2.94</v>
          </cell>
        </row>
        <row r="158">
          <cell r="D158">
            <v>2.95</v>
          </cell>
        </row>
        <row r="159">
          <cell r="D159">
            <v>2.96</v>
          </cell>
        </row>
        <row r="160">
          <cell r="D160">
            <v>2.97</v>
          </cell>
        </row>
        <row r="161">
          <cell r="D161">
            <v>2.98</v>
          </cell>
        </row>
        <row r="162">
          <cell r="D162">
            <v>2.99</v>
          </cell>
        </row>
        <row r="163">
          <cell r="D163">
            <v>3</v>
          </cell>
        </row>
        <row r="164">
          <cell r="D164">
            <v>3.01</v>
          </cell>
        </row>
        <row r="165">
          <cell r="D165">
            <v>3.02</v>
          </cell>
        </row>
        <row r="166">
          <cell r="D166">
            <v>3.03</v>
          </cell>
        </row>
        <row r="167">
          <cell r="D167">
            <v>3.04</v>
          </cell>
        </row>
        <row r="168">
          <cell r="D168">
            <v>3.05</v>
          </cell>
        </row>
        <row r="169">
          <cell r="D169">
            <v>3.06</v>
          </cell>
        </row>
        <row r="170">
          <cell r="D170">
            <v>3.07</v>
          </cell>
        </row>
        <row r="171">
          <cell r="D171">
            <v>3.08</v>
          </cell>
        </row>
        <row r="172">
          <cell r="D172">
            <v>3.09</v>
          </cell>
        </row>
        <row r="173">
          <cell r="D173">
            <v>3.1</v>
          </cell>
        </row>
        <row r="174">
          <cell r="D174">
            <v>3.11</v>
          </cell>
        </row>
        <row r="175">
          <cell r="D175">
            <v>3.12</v>
          </cell>
        </row>
        <row r="176">
          <cell r="D176">
            <v>3.13</v>
          </cell>
        </row>
        <row r="177">
          <cell r="D177">
            <v>3.14</v>
          </cell>
        </row>
        <row r="178">
          <cell r="D178">
            <v>3.15</v>
          </cell>
        </row>
        <row r="179">
          <cell r="D179">
            <v>3.16</v>
          </cell>
        </row>
        <row r="180">
          <cell r="D180">
            <v>3.17</v>
          </cell>
        </row>
        <row r="181">
          <cell r="D181">
            <v>3.18</v>
          </cell>
        </row>
        <row r="182">
          <cell r="D182">
            <v>3.19</v>
          </cell>
        </row>
        <row r="183">
          <cell r="D183">
            <v>3.2</v>
          </cell>
        </row>
        <row r="184">
          <cell r="D184">
            <v>3.21</v>
          </cell>
        </row>
        <row r="185">
          <cell r="D185">
            <v>3.22</v>
          </cell>
        </row>
        <row r="186">
          <cell r="D186">
            <v>3.23</v>
          </cell>
        </row>
        <row r="187">
          <cell r="D187">
            <v>3.24</v>
          </cell>
        </row>
        <row r="188">
          <cell r="D188">
            <v>3.25</v>
          </cell>
        </row>
        <row r="189">
          <cell r="D189">
            <v>3.26</v>
          </cell>
        </row>
        <row r="190">
          <cell r="D190">
            <v>3.27</v>
          </cell>
        </row>
        <row r="191">
          <cell r="D191">
            <v>3.28</v>
          </cell>
        </row>
        <row r="192">
          <cell r="D192">
            <v>3.29</v>
          </cell>
        </row>
        <row r="193">
          <cell r="D193">
            <v>3.3</v>
          </cell>
        </row>
        <row r="194">
          <cell r="D194">
            <v>3.31</v>
          </cell>
        </row>
        <row r="195">
          <cell r="D195">
            <v>3.32</v>
          </cell>
        </row>
        <row r="196">
          <cell r="D196">
            <v>3.33</v>
          </cell>
        </row>
        <row r="197">
          <cell r="D197">
            <v>3.34</v>
          </cell>
        </row>
        <row r="198">
          <cell r="D198">
            <v>3.35</v>
          </cell>
        </row>
        <row r="199">
          <cell r="D199">
            <v>3.36</v>
          </cell>
        </row>
        <row r="200">
          <cell r="D200">
            <v>3.37</v>
          </cell>
        </row>
        <row r="201">
          <cell r="D201">
            <v>3.38</v>
          </cell>
        </row>
        <row r="202">
          <cell r="D202">
            <v>3.39</v>
          </cell>
        </row>
        <row r="203">
          <cell r="D203">
            <v>3.4</v>
          </cell>
        </row>
        <row r="204">
          <cell r="D204">
            <v>3.41</v>
          </cell>
        </row>
        <row r="205">
          <cell r="D205">
            <v>3.42</v>
          </cell>
        </row>
        <row r="206">
          <cell r="D206">
            <v>3.43</v>
          </cell>
        </row>
        <row r="207">
          <cell r="D207">
            <v>3.44</v>
          </cell>
        </row>
        <row r="208">
          <cell r="D208">
            <v>3.45</v>
          </cell>
        </row>
        <row r="209">
          <cell r="D209">
            <v>3.46</v>
          </cell>
        </row>
        <row r="210">
          <cell r="D210">
            <v>3.47</v>
          </cell>
        </row>
        <row r="211">
          <cell r="D211">
            <v>3.48</v>
          </cell>
        </row>
        <row r="212">
          <cell r="D212">
            <v>3.49</v>
          </cell>
        </row>
        <row r="213">
          <cell r="D213">
            <v>3.5</v>
          </cell>
        </row>
        <row r="214">
          <cell r="D214">
            <v>3.51</v>
          </cell>
        </row>
        <row r="215">
          <cell r="D215">
            <v>3.52</v>
          </cell>
        </row>
        <row r="216">
          <cell r="D216">
            <v>3.53</v>
          </cell>
        </row>
        <row r="217">
          <cell r="D217">
            <v>3.54</v>
          </cell>
        </row>
        <row r="218">
          <cell r="D218">
            <v>3.55</v>
          </cell>
        </row>
        <row r="219">
          <cell r="D219">
            <v>3.56</v>
          </cell>
        </row>
        <row r="220">
          <cell r="D220">
            <v>3.57</v>
          </cell>
        </row>
        <row r="221">
          <cell r="D221">
            <v>3.58</v>
          </cell>
        </row>
        <row r="222">
          <cell r="D222">
            <v>3.59</v>
          </cell>
        </row>
        <row r="223">
          <cell r="D223">
            <v>3.6</v>
          </cell>
        </row>
        <row r="224">
          <cell r="D224">
            <v>3.61</v>
          </cell>
        </row>
        <row r="225">
          <cell r="D225">
            <v>3.62</v>
          </cell>
        </row>
        <row r="226">
          <cell r="D226">
            <v>3.63</v>
          </cell>
        </row>
        <row r="227">
          <cell r="D227">
            <v>3.64</v>
          </cell>
        </row>
        <row r="228">
          <cell r="D228">
            <v>3.65</v>
          </cell>
        </row>
        <row r="229">
          <cell r="D229">
            <v>3.66</v>
          </cell>
        </row>
        <row r="230">
          <cell r="D230">
            <v>3.67</v>
          </cell>
        </row>
        <row r="231">
          <cell r="D231">
            <v>3.68</v>
          </cell>
        </row>
        <row r="232">
          <cell r="D232">
            <v>3.69</v>
          </cell>
        </row>
        <row r="233">
          <cell r="D233">
            <v>3.7</v>
          </cell>
        </row>
        <row r="234">
          <cell r="D234">
            <v>3.71</v>
          </cell>
        </row>
        <row r="235">
          <cell r="D235">
            <v>3.72</v>
          </cell>
        </row>
        <row r="236">
          <cell r="D236">
            <v>3.73</v>
          </cell>
        </row>
        <row r="237">
          <cell r="D237">
            <v>3.74</v>
          </cell>
        </row>
        <row r="238">
          <cell r="D238">
            <v>3.75</v>
          </cell>
        </row>
        <row r="239">
          <cell r="D239">
            <v>3.76</v>
          </cell>
        </row>
        <row r="240">
          <cell r="D240">
            <v>3.77</v>
          </cell>
        </row>
        <row r="241">
          <cell r="D241">
            <v>3.78</v>
          </cell>
        </row>
        <row r="242">
          <cell r="D242">
            <v>3.79</v>
          </cell>
        </row>
        <row r="243">
          <cell r="D243">
            <v>3.8</v>
          </cell>
        </row>
        <row r="244">
          <cell r="D244">
            <v>3.81</v>
          </cell>
        </row>
        <row r="245">
          <cell r="D245">
            <v>3.82</v>
          </cell>
        </row>
        <row r="246">
          <cell r="D246">
            <v>3.83</v>
          </cell>
        </row>
        <row r="247">
          <cell r="D247">
            <v>3.84</v>
          </cell>
        </row>
        <row r="248">
          <cell r="D248">
            <v>3.85</v>
          </cell>
        </row>
        <row r="249">
          <cell r="D249">
            <v>3.86</v>
          </cell>
        </row>
        <row r="250">
          <cell r="D250">
            <v>3.87</v>
          </cell>
        </row>
        <row r="251">
          <cell r="D251">
            <v>3.88</v>
          </cell>
        </row>
        <row r="252">
          <cell r="D252">
            <v>3.89</v>
          </cell>
        </row>
        <row r="253">
          <cell r="D253">
            <v>3.9</v>
          </cell>
        </row>
        <row r="254">
          <cell r="D254">
            <v>3.91</v>
          </cell>
        </row>
        <row r="255">
          <cell r="D255">
            <v>3.92</v>
          </cell>
        </row>
        <row r="256">
          <cell r="D256">
            <v>3.93</v>
          </cell>
        </row>
        <row r="257">
          <cell r="D257">
            <v>3.94</v>
          </cell>
        </row>
        <row r="258">
          <cell r="D258">
            <v>3.95</v>
          </cell>
        </row>
        <row r="259">
          <cell r="D259">
            <v>3.96</v>
          </cell>
        </row>
        <row r="260">
          <cell r="D260">
            <v>3.97</v>
          </cell>
        </row>
        <row r="261">
          <cell r="D261">
            <v>3.98</v>
          </cell>
        </row>
        <row r="262">
          <cell r="D262">
            <v>3.99</v>
          </cell>
        </row>
        <row r="263">
          <cell r="D263">
            <v>4</v>
          </cell>
        </row>
        <row r="264">
          <cell r="D264">
            <v>4.01</v>
          </cell>
        </row>
        <row r="265">
          <cell r="D265">
            <v>4.0199999999999996</v>
          </cell>
        </row>
        <row r="266">
          <cell r="D266">
            <v>4.03</v>
          </cell>
        </row>
        <row r="267">
          <cell r="D267">
            <v>4.04</v>
          </cell>
        </row>
        <row r="268">
          <cell r="D268">
            <v>4.05</v>
          </cell>
        </row>
        <row r="269">
          <cell r="D269">
            <v>4.0599999999999996</v>
          </cell>
        </row>
        <row r="270">
          <cell r="D270">
            <v>4.07</v>
          </cell>
        </row>
        <row r="271">
          <cell r="D271">
            <v>4.08</v>
          </cell>
        </row>
        <row r="272">
          <cell r="D272">
            <v>4.09</v>
          </cell>
        </row>
        <row r="273">
          <cell r="D273">
            <v>4.0999999999999996</v>
          </cell>
        </row>
        <row r="274">
          <cell r="D274">
            <v>4.1100000000000003</v>
          </cell>
        </row>
        <row r="275">
          <cell r="D275">
            <v>4.12</v>
          </cell>
        </row>
        <row r="276">
          <cell r="D276">
            <v>4.13</v>
          </cell>
        </row>
        <row r="277">
          <cell r="D277">
            <v>4.1399999999999997</v>
          </cell>
        </row>
        <row r="278">
          <cell r="D278">
            <v>4.1500000000000004</v>
          </cell>
        </row>
        <row r="279">
          <cell r="D279">
            <v>4.16</v>
          </cell>
        </row>
        <row r="280">
          <cell r="D280">
            <v>4.17</v>
          </cell>
        </row>
        <row r="281">
          <cell r="D281">
            <v>4.18</v>
          </cell>
        </row>
        <row r="282">
          <cell r="D282">
            <v>4.1900000000000004</v>
          </cell>
        </row>
        <row r="283">
          <cell r="D283">
            <v>4.2</v>
          </cell>
        </row>
        <row r="284">
          <cell r="D284">
            <v>4.21</v>
          </cell>
        </row>
        <row r="285">
          <cell r="D285">
            <v>4.22</v>
          </cell>
        </row>
        <row r="286">
          <cell r="D286">
            <v>4.2300000000000004</v>
          </cell>
        </row>
        <row r="287">
          <cell r="D287">
            <v>4.24</v>
          </cell>
        </row>
        <row r="288">
          <cell r="D288">
            <v>4.25</v>
          </cell>
        </row>
        <row r="289">
          <cell r="D289">
            <v>4.26</v>
          </cell>
        </row>
        <row r="290">
          <cell r="D290">
            <v>4.2699999999999996</v>
          </cell>
        </row>
        <row r="291">
          <cell r="D291">
            <v>4.28</v>
          </cell>
        </row>
        <row r="292">
          <cell r="D292">
            <v>4.29</v>
          </cell>
        </row>
        <row r="293">
          <cell r="D293">
            <v>4.3</v>
          </cell>
        </row>
        <row r="294">
          <cell r="D294">
            <v>4.3099999999999996</v>
          </cell>
        </row>
        <row r="295">
          <cell r="D295">
            <v>4.32</v>
          </cell>
        </row>
        <row r="296">
          <cell r="D296">
            <v>4.33</v>
          </cell>
        </row>
        <row r="297">
          <cell r="D297">
            <v>4.34</v>
          </cell>
        </row>
        <row r="298">
          <cell r="D298">
            <v>4.3499999999999996</v>
          </cell>
        </row>
        <row r="299">
          <cell r="D299">
            <v>4.3600000000000003</v>
          </cell>
        </row>
        <row r="300">
          <cell r="D300">
            <v>4.37</v>
          </cell>
        </row>
        <row r="301">
          <cell r="D301">
            <v>4.38</v>
          </cell>
        </row>
        <row r="302">
          <cell r="D302">
            <v>4.3899999999999997</v>
          </cell>
        </row>
        <row r="303">
          <cell r="D303">
            <v>4.4000000000000004</v>
          </cell>
        </row>
        <row r="304">
          <cell r="D304">
            <v>4.41</v>
          </cell>
        </row>
        <row r="305">
          <cell r="D305">
            <v>4.42</v>
          </cell>
        </row>
        <row r="306">
          <cell r="D306">
            <v>4.43</v>
          </cell>
        </row>
        <row r="307">
          <cell r="D307">
            <v>4.4400000000000004</v>
          </cell>
        </row>
        <row r="308">
          <cell r="D308">
            <v>4.45</v>
          </cell>
        </row>
        <row r="309">
          <cell r="D309">
            <v>4.46</v>
          </cell>
        </row>
        <row r="310">
          <cell r="D310">
            <v>4.47</v>
          </cell>
        </row>
        <row r="311">
          <cell r="D311">
            <v>4.4800000000000004</v>
          </cell>
        </row>
        <row r="312">
          <cell r="D312">
            <v>4.49</v>
          </cell>
        </row>
        <row r="313">
          <cell r="D313">
            <v>4.5</v>
          </cell>
        </row>
        <row r="314">
          <cell r="D314">
            <v>4.51</v>
          </cell>
        </row>
        <row r="315">
          <cell r="D315">
            <v>4.5199999999999996</v>
          </cell>
        </row>
        <row r="316">
          <cell r="D316">
            <v>4.53</v>
          </cell>
        </row>
        <row r="317">
          <cell r="D317">
            <v>4.54</v>
          </cell>
        </row>
        <row r="318">
          <cell r="D318">
            <v>4.55</v>
          </cell>
        </row>
        <row r="319">
          <cell r="D319">
            <v>4.5599999999999996</v>
          </cell>
        </row>
        <row r="320">
          <cell r="D320">
            <v>4.57</v>
          </cell>
        </row>
        <row r="321">
          <cell r="D321">
            <v>4.58</v>
          </cell>
        </row>
        <row r="322">
          <cell r="D322">
            <v>4.59</v>
          </cell>
        </row>
        <row r="323">
          <cell r="D323">
            <v>4.5999999999999996</v>
          </cell>
        </row>
        <row r="324">
          <cell r="D324">
            <v>4.6100000000000003</v>
          </cell>
        </row>
        <row r="325">
          <cell r="D325">
            <v>4.62</v>
          </cell>
        </row>
        <row r="326">
          <cell r="D326">
            <v>4.63</v>
          </cell>
        </row>
        <row r="327">
          <cell r="D327">
            <v>4.6399999999999997</v>
          </cell>
        </row>
        <row r="328">
          <cell r="D328">
            <v>4.6500000000000004</v>
          </cell>
        </row>
        <row r="329">
          <cell r="D329">
            <v>4.66</v>
          </cell>
        </row>
        <row r="330">
          <cell r="D330">
            <v>4.67</v>
          </cell>
        </row>
        <row r="331">
          <cell r="D331">
            <v>4.68</v>
          </cell>
        </row>
        <row r="332">
          <cell r="D332">
            <v>4.6900000000000004</v>
          </cell>
        </row>
        <row r="333">
          <cell r="D333">
            <v>4.7</v>
          </cell>
        </row>
        <row r="334">
          <cell r="D334">
            <v>4.71</v>
          </cell>
        </row>
        <row r="335">
          <cell r="D335">
            <v>4.72</v>
          </cell>
        </row>
        <row r="336">
          <cell r="D336">
            <v>4.7300000000000004</v>
          </cell>
        </row>
        <row r="337">
          <cell r="D337">
            <v>4.74</v>
          </cell>
        </row>
        <row r="338">
          <cell r="D338">
            <v>4.75</v>
          </cell>
        </row>
        <row r="339">
          <cell r="D339">
            <v>4.76</v>
          </cell>
        </row>
        <row r="340">
          <cell r="D340">
            <v>4.7699999999999996</v>
          </cell>
        </row>
        <row r="341">
          <cell r="D341">
            <v>4.78</v>
          </cell>
        </row>
        <row r="342">
          <cell r="D342">
            <v>4.79</v>
          </cell>
        </row>
        <row r="343">
          <cell r="D343">
            <v>4.8</v>
          </cell>
        </row>
        <row r="344">
          <cell r="D344">
            <v>4.8099999999999996</v>
          </cell>
        </row>
        <row r="345">
          <cell r="D345">
            <v>4.82</v>
          </cell>
        </row>
        <row r="346">
          <cell r="D346">
            <v>4.83</v>
          </cell>
        </row>
        <row r="347">
          <cell r="D347">
            <v>4.84</v>
          </cell>
        </row>
        <row r="348">
          <cell r="D348">
            <v>4.8499999999999996</v>
          </cell>
        </row>
        <row r="349">
          <cell r="D349">
            <v>4.8600000000000003</v>
          </cell>
        </row>
        <row r="350">
          <cell r="D350">
            <v>4.87</v>
          </cell>
        </row>
        <row r="351">
          <cell r="D351">
            <v>4.88</v>
          </cell>
        </row>
        <row r="352">
          <cell r="D352">
            <v>4.8899999999999997</v>
          </cell>
        </row>
        <row r="353">
          <cell r="D353">
            <v>4.9000000000000004</v>
          </cell>
        </row>
        <row r="354">
          <cell r="D354">
            <v>4.91</v>
          </cell>
        </row>
        <row r="355">
          <cell r="D355">
            <v>4.92</v>
          </cell>
        </row>
        <row r="356">
          <cell r="D356">
            <v>4.93</v>
          </cell>
        </row>
        <row r="357">
          <cell r="D357">
            <v>4.9400000000000004</v>
          </cell>
        </row>
        <row r="358">
          <cell r="D358">
            <v>4.95</v>
          </cell>
        </row>
        <row r="359">
          <cell r="D359">
            <v>4.96</v>
          </cell>
        </row>
        <row r="360">
          <cell r="D360">
            <v>4.97</v>
          </cell>
        </row>
        <row r="361">
          <cell r="D361">
            <v>4.9800000000000004</v>
          </cell>
        </row>
        <row r="362">
          <cell r="D362">
            <v>4.99</v>
          </cell>
        </row>
        <row r="363">
          <cell r="D363">
            <v>5</v>
          </cell>
        </row>
        <row r="364">
          <cell r="D364">
            <v>5.01</v>
          </cell>
        </row>
        <row r="365">
          <cell r="D365">
            <v>5.0199999999999996</v>
          </cell>
        </row>
        <row r="366">
          <cell r="D366">
            <v>5.03</v>
          </cell>
        </row>
        <row r="367">
          <cell r="D367">
            <v>5.04</v>
          </cell>
        </row>
        <row r="368">
          <cell r="D368">
            <v>5.05</v>
          </cell>
        </row>
        <row r="369">
          <cell r="D369">
            <v>5.0599999999999996</v>
          </cell>
        </row>
        <row r="370">
          <cell r="D370">
            <v>5.07</v>
          </cell>
        </row>
        <row r="371">
          <cell r="D371">
            <v>5.08</v>
          </cell>
        </row>
        <row r="372">
          <cell r="D372">
            <v>5.09</v>
          </cell>
        </row>
        <row r="373">
          <cell r="D373">
            <v>5.0999999999999996</v>
          </cell>
        </row>
        <row r="374">
          <cell r="D374">
            <v>5.1100000000000003</v>
          </cell>
        </row>
        <row r="375">
          <cell r="D375">
            <v>5.12</v>
          </cell>
        </row>
        <row r="376">
          <cell r="D376">
            <v>5.13</v>
          </cell>
        </row>
        <row r="377">
          <cell r="D377">
            <v>5.14</v>
          </cell>
        </row>
        <row r="378">
          <cell r="D378">
            <v>5.15</v>
          </cell>
        </row>
        <row r="379">
          <cell r="D379">
            <v>5.16</v>
          </cell>
        </row>
        <row r="380">
          <cell r="D380">
            <v>5.17</v>
          </cell>
        </row>
        <row r="381">
          <cell r="D381">
            <v>5.18</v>
          </cell>
        </row>
        <row r="382">
          <cell r="D382">
            <v>5.19</v>
          </cell>
        </row>
        <row r="383">
          <cell r="D383">
            <v>5.2</v>
          </cell>
        </row>
        <row r="384">
          <cell r="D384">
            <v>5.21</v>
          </cell>
        </row>
        <row r="385">
          <cell r="D385">
            <v>5.22</v>
          </cell>
        </row>
        <row r="386">
          <cell r="D386">
            <v>5.23</v>
          </cell>
        </row>
        <row r="387">
          <cell r="D387">
            <v>5.24</v>
          </cell>
        </row>
        <row r="388">
          <cell r="D388">
            <v>5.25</v>
          </cell>
        </row>
        <row r="389">
          <cell r="D389">
            <v>5.26</v>
          </cell>
        </row>
        <row r="390">
          <cell r="D390">
            <v>5.27</v>
          </cell>
        </row>
        <row r="391">
          <cell r="D391">
            <v>5.28</v>
          </cell>
        </row>
        <row r="392">
          <cell r="D392">
            <v>5.29</v>
          </cell>
        </row>
        <row r="393">
          <cell r="D393">
            <v>5.3</v>
          </cell>
        </row>
        <row r="394">
          <cell r="D394">
            <v>5.31</v>
          </cell>
        </row>
        <row r="395">
          <cell r="D395">
            <v>5.32</v>
          </cell>
        </row>
        <row r="396">
          <cell r="D396">
            <v>5.33</v>
          </cell>
        </row>
        <row r="397">
          <cell r="D397">
            <v>5.34</v>
          </cell>
        </row>
        <row r="398">
          <cell r="D398">
            <v>5.35</v>
          </cell>
        </row>
        <row r="399">
          <cell r="D399">
            <v>5.36</v>
          </cell>
        </row>
        <row r="400">
          <cell r="D400">
            <v>5.37</v>
          </cell>
        </row>
        <row r="401">
          <cell r="D401">
            <v>5.38</v>
          </cell>
        </row>
        <row r="402">
          <cell r="D402">
            <v>5.39</v>
          </cell>
        </row>
        <row r="403">
          <cell r="D403">
            <v>5.4</v>
          </cell>
        </row>
        <row r="404">
          <cell r="D404">
            <v>5.41</v>
          </cell>
        </row>
        <row r="405">
          <cell r="D405">
            <v>5.42</v>
          </cell>
        </row>
        <row r="406">
          <cell r="D406">
            <v>5.43</v>
          </cell>
        </row>
        <row r="407">
          <cell r="D407">
            <v>5.44</v>
          </cell>
        </row>
        <row r="408">
          <cell r="D408">
            <v>5.45</v>
          </cell>
        </row>
        <row r="409">
          <cell r="D409">
            <v>5.46</v>
          </cell>
        </row>
        <row r="410">
          <cell r="D410">
            <v>5.47</v>
          </cell>
        </row>
        <row r="411">
          <cell r="D411">
            <v>5.48</v>
          </cell>
        </row>
        <row r="412">
          <cell r="D412">
            <v>5.49</v>
          </cell>
        </row>
        <row r="413">
          <cell r="D413">
            <v>5.5</v>
          </cell>
        </row>
        <row r="414">
          <cell r="D414">
            <v>5.51</v>
          </cell>
        </row>
        <row r="415">
          <cell r="D415">
            <v>5.52</v>
          </cell>
        </row>
        <row r="416">
          <cell r="D416">
            <v>5.53</v>
          </cell>
        </row>
        <row r="417">
          <cell r="D417">
            <v>5.54</v>
          </cell>
        </row>
        <row r="418">
          <cell r="D418">
            <v>5.55</v>
          </cell>
        </row>
        <row r="419">
          <cell r="D419">
            <v>5.56</v>
          </cell>
        </row>
        <row r="420">
          <cell r="D420">
            <v>5.57</v>
          </cell>
        </row>
        <row r="421">
          <cell r="D421">
            <v>5.58</v>
          </cell>
        </row>
        <row r="422">
          <cell r="D422">
            <v>5.59</v>
          </cell>
        </row>
        <row r="423">
          <cell r="D423">
            <v>5.6</v>
          </cell>
        </row>
        <row r="424">
          <cell r="D424">
            <v>5.61</v>
          </cell>
        </row>
        <row r="425">
          <cell r="D425">
            <v>5.62</v>
          </cell>
        </row>
        <row r="426">
          <cell r="D426">
            <v>5.63</v>
          </cell>
        </row>
        <row r="427">
          <cell r="D427">
            <v>5.64</v>
          </cell>
        </row>
        <row r="428">
          <cell r="D428">
            <v>5.65</v>
          </cell>
        </row>
        <row r="429">
          <cell r="D429">
            <v>5.66</v>
          </cell>
        </row>
        <row r="430">
          <cell r="D430">
            <v>5.67</v>
          </cell>
        </row>
        <row r="431">
          <cell r="D431">
            <v>5.68</v>
          </cell>
        </row>
        <row r="432">
          <cell r="D432">
            <v>5.69</v>
          </cell>
        </row>
        <row r="433">
          <cell r="D433">
            <v>5.7</v>
          </cell>
        </row>
        <row r="434">
          <cell r="D434">
            <v>5.71</v>
          </cell>
        </row>
        <row r="435">
          <cell r="D435">
            <v>5.72</v>
          </cell>
        </row>
        <row r="436">
          <cell r="D436">
            <v>5.73</v>
          </cell>
        </row>
        <row r="437">
          <cell r="D437">
            <v>5.74</v>
          </cell>
        </row>
        <row r="438">
          <cell r="D438">
            <v>5.75</v>
          </cell>
        </row>
        <row r="439">
          <cell r="D439">
            <v>5.76</v>
          </cell>
        </row>
        <row r="440">
          <cell r="D440">
            <v>5.77</v>
          </cell>
        </row>
        <row r="441">
          <cell r="D441">
            <v>5.78</v>
          </cell>
        </row>
        <row r="442">
          <cell r="D442">
            <v>5.79</v>
          </cell>
        </row>
        <row r="443">
          <cell r="D443">
            <v>5.8</v>
          </cell>
        </row>
        <row r="444">
          <cell r="D444">
            <v>5.81</v>
          </cell>
        </row>
        <row r="445">
          <cell r="D445">
            <v>5.82</v>
          </cell>
        </row>
        <row r="446">
          <cell r="D446">
            <v>5.83</v>
          </cell>
        </row>
        <row r="447">
          <cell r="D447">
            <v>5.84</v>
          </cell>
        </row>
        <row r="448">
          <cell r="D448">
            <v>5.85</v>
          </cell>
        </row>
        <row r="449">
          <cell r="D449">
            <v>5.86</v>
          </cell>
        </row>
        <row r="450">
          <cell r="D450">
            <v>5.87</v>
          </cell>
        </row>
        <row r="451">
          <cell r="D451">
            <v>5.88</v>
          </cell>
        </row>
        <row r="452">
          <cell r="D452">
            <v>5.89</v>
          </cell>
        </row>
        <row r="453">
          <cell r="D453">
            <v>5.9</v>
          </cell>
        </row>
        <row r="454">
          <cell r="D454">
            <v>5.91</v>
          </cell>
        </row>
        <row r="455">
          <cell r="D455">
            <v>5.92</v>
          </cell>
        </row>
        <row r="456">
          <cell r="D456">
            <v>5.93</v>
          </cell>
        </row>
        <row r="457">
          <cell r="D457">
            <v>5.94</v>
          </cell>
        </row>
        <row r="458">
          <cell r="D458">
            <v>5.95</v>
          </cell>
        </row>
        <row r="459">
          <cell r="D459">
            <v>5.96</v>
          </cell>
        </row>
        <row r="460">
          <cell r="D460">
            <v>5.97</v>
          </cell>
        </row>
        <row r="461">
          <cell r="D461">
            <v>5.98</v>
          </cell>
        </row>
        <row r="462">
          <cell r="D462">
            <v>5.99</v>
          </cell>
        </row>
        <row r="463">
          <cell r="D463">
            <v>6</v>
          </cell>
        </row>
        <row r="464">
          <cell r="D464">
            <v>6.01</v>
          </cell>
        </row>
        <row r="465">
          <cell r="D465">
            <v>6.02</v>
          </cell>
        </row>
        <row r="466">
          <cell r="D466">
            <v>6.03</v>
          </cell>
        </row>
        <row r="467">
          <cell r="D467">
            <v>6.04</v>
          </cell>
        </row>
        <row r="468">
          <cell r="D468">
            <v>6.05</v>
          </cell>
        </row>
        <row r="469">
          <cell r="D469">
            <v>6.06</v>
          </cell>
        </row>
        <row r="470">
          <cell r="D470">
            <v>6.07</v>
          </cell>
        </row>
        <row r="471">
          <cell r="D471">
            <v>6.08</v>
          </cell>
        </row>
        <row r="472">
          <cell r="D472">
            <v>6.09</v>
          </cell>
        </row>
        <row r="473">
          <cell r="D473">
            <v>6.1</v>
          </cell>
        </row>
        <row r="474">
          <cell r="D474">
            <v>6.11</v>
          </cell>
        </row>
        <row r="475">
          <cell r="D475">
            <v>6.12</v>
          </cell>
        </row>
        <row r="476">
          <cell r="D476">
            <v>6.13</v>
          </cell>
        </row>
        <row r="477">
          <cell r="D477">
            <v>6.14</v>
          </cell>
        </row>
        <row r="478">
          <cell r="D478">
            <v>6.15</v>
          </cell>
        </row>
        <row r="479">
          <cell r="D479">
            <v>6.16</v>
          </cell>
        </row>
        <row r="480">
          <cell r="D480">
            <v>6.17</v>
          </cell>
        </row>
        <row r="481">
          <cell r="D481">
            <v>6.18</v>
          </cell>
        </row>
        <row r="482">
          <cell r="D482">
            <v>6.19</v>
          </cell>
        </row>
        <row r="483">
          <cell r="D483">
            <v>6.2</v>
          </cell>
        </row>
        <row r="484">
          <cell r="D484">
            <v>6.21</v>
          </cell>
        </row>
        <row r="485">
          <cell r="D485">
            <v>6.22</v>
          </cell>
        </row>
        <row r="486">
          <cell r="D486">
            <v>6.23</v>
          </cell>
        </row>
        <row r="487">
          <cell r="D487">
            <v>6.24</v>
          </cell>
        </row>
        <row r="488">
          <cell r="D488">
            <v>6.25</v>
          </cell>
        </row>
        <row r="489">
          <cell r="D489">
            <v>6.26</v>
          </cell>
        </row>
        <row r="490">
          <cell r="D490">
            <v>6.27</v>
          </cell>
        </row>
        <row r="491">
          <cell r="D491">
            <v>6.28</v>
          </cell>
        </row>
        <row r="492">
          <cell r="D492">
            <v>6.29</v>
          </cell>
        </row>
        <row r="493">
          <cell r="D493">
            <v>6.3</v>
          </cell>
        </row>
        <row r="494">
          <cell r="D494">
            <v>6.31</v>
          </cell>
        </row>
        <row r="495">
          <cell r="D495">
            <v>6.32</v>
          </cell>
        </row>
        <row r="496">
          <cell r="D496">
            <v>6.33</v>
          </cell>
        </row>
        <row r="497">
          <cell r="D497">
            <v>6.34</v>
          </cell>
        </row>
        <row r="498">
          <cell r="D498">
            <v>6.35</v>
          </cell>
        </row>
        <row r="499">
          <cell r="D499">
            <v>6.36</v>
          </cell>
        </row>
        <row r="500">
          <cell r="D500">
            <v>6.37</v>
          </cell>
        </row>
        <row r="501">
          <cell r="D501">
            <v>6.38</v>
          </cell>
        </row>
        <row r="502">
          <cell r="D502">
            <v>6.39</v>
          </cell>
        </row>
        <row r="503">
          <cell r="D503">
            <v>6.4</v>
          </cell>
        </row>
        <row r="504">
          <cell r="D504">
            <v>6.41</v>
          </cell>
        </row>
        <row r="505">
          <cell r="D505">
            <v>6.42</v>
          </cell>
        </row>
        <row r="506">
          <cell r="D506">
            <v>6.43</v>
          </cell>
        </row>
        <row r="507">
          <cell r="D507">
            <v>6.44</v>
          </cell>
        </row>
        <row r="508">
          <cell r="D508">
            <v>6.45</v>
          </cell>
        </row>
        <row r="509">
          <cell r="D509">
            <v>6.46</v>
          </cell>
        </row>
        <row r="510">
          <cell r="D510">
            <v>6.47</v>
          </cell>
        </row>
        <row r="511">
          <cell r="D511">
            <v>6.48</v>
          </cell>
        </row>
        <row r="512">
          <cell r="D512">
            <v>6.49</v>
          </cell>
        </row>
        <row r="513">
          <cell r="D513">
            <v>6.5</v>
          </cell>
        </row>
        <row r="514">
          <cell r="D514">
            <v>6.51</v>
          </cell>
        </row>
        <row r="515">
          <cell r="D515">
            <v>6.52</v>
          </cell>
        </row>
        <row r="516">
          <cell r="D516">
            <v>6.53</v>
          </cell>
        </row>
        <row r="517">
          <cell r="D517">
            <v>6.54</v>
          </cell>
        </row>
        <row r="518">
          <cell r="D518">
            <v>6.55</v>
          </cell>
        </row>
        <row r="519">
          <cell r="D519">
            <v>6.56</v>
          </cell>
        </row>
        <row r="520">
          <cell r="D520">
            <v>6.57</v>
          </cell>
        </row>
        <row r="521">
          <cell r="D521">
            <v>6.58</v>
          </cell>
        </row>
        <row r="522">
          <cell r="D522">
            <v>6.5900000000000096</v>
          </cell>
        </row>
        <row r="523">
          <cell r="D523">
            <v>6.6</v>
          </cell>
        </row>
        <row r="524">
          <cell r="D524">
            <v>6.61</v>
          </cell>
        </row>
        <row r="525">
          <cell r="D525">
            <v>6.62</v>
          </cell>
        </row>
        <row r="526">
          <cell r="D526">
            <v>6.63</v>
          </cell>
        </row>
        <row r="527">
          <cell r="D527">
            <v>6.64</v>
          </cell>
        </row>
        <row r="528">
          <cell r="D528">
            <v>6.65</v>
          </cell>
        </row>
        <row r="529">
          <cell r="D529">
            <v>6.66</v>
          </cell>
        </row>
        <row r="530">
          <cell r="D530">
            <v>6.6700000000000097</v>
          </cell>
        </row>
        <row r="531">
          <cell r="D531">
            <v>6.68</v>
          </cell>
        </row>
        <row r="532">
          <cell r="D532">
            <v>6.69</v>
          </cell>
        </row>
        <row r="533">
          <cell r="D533">
            <v>6.7</v>
          </cell>
        </row>
        <row r="534">
          <cell r="D534">
            <v>6.71</v>
          </cell>
        </row>
        <row r="535">
          <cell r="D535">
            <v>6.72</v>
          </cell>
        </row>
        <row r="536">
          <cell r="D536">
            <v>6.73</v>
          </cell>
        </row>
        <row r="537">
          <cell r="D537">
            <v>6.74</v>
          </cell>
        </row>
        <row r="538">
          <cell r="D538">
            <v>6.7500000000000098</v>
          </cell>
        </row>
        <row r="539">
          <cell r="D539">
            <v>6.76</v>
          </cell>
        </row>
        <row r="540">
          <cell r="D540">
            <v>6.77</v>
          </cell>
        </row>
        <row r="541">
          <cell r="D541">
            <v>6.78</v>
          </cell>
        </row>
        <row r="542">
          <cell r="D542">
            <v>6.79</v>
          </cell>
        </row>
        <row r="543">
          <cell r="D543">
            <v>6.8000000000000096</v>
          </cell>
        </row>
        <row r="544">
          <cell r="D544">
            <v>6.81</v>
          </cell>
        </row>
        <row r="545">
          <cell r="D545">
            <v>6.82</v>
          </cell>
        </row>
        <row r="546">
          <cell r="D546">
            <v>6.8300000000000098</v>
          </cell>
        </row>
        <row r="547">
          <cell r="D547">
            <v>6.8400000000000096</v>
          </cell>
        </row>
        <row r="548">
          <cell r="D548">
            <v>6.85</v>
          </cell>
        </row>
        <row r="549">
          <cell r="D549">
            <v>6.86</v>
          </cell>
        </row>
        <row r="550">
          <cell r="D550">
            <v>6.87</v>
          </cell>
        </row>
        <row r="551">
          <cell r="D551">
            <v>6.8800000000000097</v>
          </cell>
        </row>
        <row r="552">
          <cell r="D552">
            <v>6.89</v>
          </cell>
        </row>
        <row r="553">
          <cell r="D553">
            <v>6.9</v>
          </cell>
        </row>
        <row r="554">
          <cell r="D554">
            <v>6.9100000000000099</v>
          </cell>
        </row>
        <row r="555">
          <cell r="D555">
            <v>6.9200000000000097</v>
          </cell>
        </row>
        <row r="556">
          <cell r="D556">
            <v>6.93</v>
          </cell>
        </row>
        <row r="557">
          <cell r="D557">
            <v>6.94</v>
          </cell>
        </row>
        <row r="558">
          <cell r="D558">
            <v>6.95</v>
          </cell>
        </row>
        <row r="559">
          <cell r="D559">
            <v>6.9600000000000097</v>
          </cell>
        </row>
        <row r="560">
          <cell r="D560">
            <v>6.97</v>
          </cell>
        </row>
        <row r="561">
          <cell r="D561">
            <v>6.98</v>
          </cell>
        </row>
        <row r="562">
          <cell r="D562">
            <v>6.99000000000001</v>
          </cell>
        </row>
        <row r="563">
          <cell r="D563">
            <v>7.0000000000000098</v>
          </cell>
        </row>
        <row r="564">
          <cell r="D564">
            <v>7.01</v>
          </cell>
        </row>
        <row r="565">
          <cell r="D565">
            <v>7.02</v>
          </cell>
        </row>
        <row r="566">
          <cell r="D566">
            <v>7.03</v>
          </cell>
        </row>
        <row r="567">
          <cell r="D567">
            <v>7.0400000000000098</v>
          </cell>
        </row>
        <row r="568">
          <cell r="D568">
            <v>7.0500000000000096</v>
          </cell>
        </row>
        <row r="569">
          <cell r="D569">
            <v>7.06</v>
          </cell>
        </row>
        <row r="570">
          <cell r="D570">
            <v>7.0700000000000101</v>
          </cell>
        </row>
        <row r="571">
          <cell r="D571">
            <v>7.0800000000000098</v>
          </cell>
        </row>
        <row r="572">
          <cell r="D572">
            <v>7.0900000000000096</v>
          </cell>
        </row>
        <row r="573">
          <cell r="D573">
            <v>7.1</v>
          </cell>
        </row>
        <row r="574">
          <cell r="D574">
            <v>7.11</v>
          </cell>
        </row>
        <row r="575">
          <cell r="D575">
            <v>7.1200000000000099</v>
          </cell>
        </row>
        <row r="576">
          <cell r="D576">
            <v>7.1300000000000097</v>
          </cell>
        </row>
        <row r="577">
          <cell r="D577">
            <v>7.14</v>
          </cell>
        </row>
        <row r="578">
          <cell r="D578">
            <v>7.1500000000000101</v>
          </cell>
        </row>
        <row r="579">
          <cell r="D579">
            <v>7.1600000000000099</v>
          </cell>
        </row>
        <row r="580">
          <cell r="D580">
            <v>7.1700000000000097</v>
          </cell>
        </row>
        <row r="581">
          <cell r="D581">
            <v>7.18</v>
          </cell>
        </row>
        <row r="582">
          <cell r="D582">
            <v>7.19</v>
          </cell>
        </row>
        <row r="583">
          <cell r="D583">
            <v>7.2000000000000099</v>
          </cell>
        </row>
        <row r="584">
          <cell r="D584">
            <v>7.2100000000000097</v>
          </cell>
        </row>
        <row r="585">
          <cell r="D585">
            <v>7.22</v>
          </cell>
        </row>
        <row r="586">
          <cell r="D586">
            <v>7.2300000000000102</v>
          </cell>
        </row>
        <row r="587">
          <cell r="D587">
            <v>7.24000000000001</v>
          </cell>
        </row>
        <row r="588">
          <cell r="D588">
            <v>7.2500000000000098</v>
          </cell>
        </row>
        <row r="589">
          <cell r="D589">
            <v>7.26</v>
          </cell>
        </row>
        <row r="590">
          <cell r="D590">
            <v>7.27</v>
          </cell>
        </row>
        <row r="591">
          <cell r="D591">
            <v>7.28000000000001</v>
          </cell>
        </row>
        <row r="592">
          <cell r="D592">
            <v>7.2900000000000098</v>
          </cell>
        </row>
        <row r="593">
          <cell r="D593">
            <v>7.3000000000000096</v>
          </cell>
        </row>
        <row r="594">
          <cell r="D594">
            <v>7.3100000000000103</v>
          </cell>
        </row>
        <row r="595">
          <cell r="D595">
            <v>7.3200000000000101</v>
          </cell>
        </row>
        <row r="596">
          <cell r="D596">
            <v>7.3300000000000098</v>
          </cell>
        </row>
        <row r="597">
          <cell r="D597">
            <v>7.3400000000000096</v>
          </cell>
        </row>
        <row r="598">
          <cell r="D598">
            <v>7.35</v>
          </cell>
        </row>
        <row r="599">
          <cell r="D599">
            <v>7.3600000000000101</v>
          </cell>
        </row>
        <row r="600">
          <cell r="D600">
            <v>7.3700000000000099</v>
          </cell>
        </row>
        <row r="601">
          <cell r="D601">
            <v>7.3800000000000097</v>
          </cell>
        </row>
        <row r="602">
          <cell r="D602">
            <v>7.3900000000000103</v>
          </cell>
        </row>
        <row r="603">
          <cell r="D603">
            <v>7.4000000000000101</v>
          </cell>
        </row>
        <row r="604">
          <cell r="D604">
            <v>7.4100000000000099</v>
          </cell>
        </row>
        <row r="605">
          <cell r="D605">
            <v>7.4200000000000097</v>
          </cell>
        </row>
        <row r="606">
          <cell r="D606">
            <v>7.43</v>
          </cell>
        </row>
        <row r="607">
          <cell r="D607">
            <v>7.4400000000000102</v>
          </cell>
        </row>
        <row r="608">
          <cell r="D608">
            <v>7.4500000000000099</v>
          </cell>
        </row>
        <row r="609">
          <cell r="D609">
            <v>7.4600000000000097</v>
          </cell>
        </row>
        <row r="610">
          <cell r="D610">
            <v>7.4700000000000104</v>
          </cell>
        </row>
        <row r="611">
          <cell r="D611">
            <v>7.4800000000000102</v>
          </cell>
        </row>
        <row r="612">
          <cell r="D612">
            <v>7.49000000000001</v>
          </cell>
        </row>
        <row r="613">
          <cell r="D613">
            <v>7.5000000000000098</v>
          </cell>
        </row>
        <row r="614">
          <cell r="D614">
            <v>7.51</v>
          </cell>
        </row>
        <row r="615">
          <cell r="D615">
            <v>7.5200000000000102</v>
          </cell>
        </row>
        <row r="616">
          <cell r="D616">
            <v>7.53000000000001</v>
          </cell>
        </row>
        <row r="617">
          <cell r="D617">
            <v>7.5400000000000098</v>
          </cell>
        </row>
        <row r="618">
          <cell r="D618">
            <v>7.5500000000000096</v>
          </cell>
        </row>
        <row r="619">
          <cell r="D619">
            <v>7.5600000000000103</v>
          </cell>
        </row>
        <row r="620">
          <cell r="D620">
            <v>7.5700000000000101</v>
          </cell>
        </row>
        <row r="621">
          <cell r="D621">
            <v>7.5800000000000098</v>
          </cell>
        </row>
        <row r="622">
          <cell r="D622">
            <v>7.5900000000000096</v>
          </cell>
        </row>
        <row r="623">
          <cell r="D623">
            <v>7.6000000000000103</v>
          </cell>
        </row>
        <row r="624">
          <cell r="D624">
            <v>7.6100000000000101</v>
          </cell>
        </row>
        <row r="625">
          <cell r="D625">
            <v>7.6200000000000099</v>
          </cell>
        </row>
        <row r="626">
          <cell r="D626">
            <v>7.6300000000000097</v>
          </cell>
        </row>
        <row r="627">
          <cell r="D627">
            <v>7.6400000000000103</v>
          </cell>
        </row>
        <row r="628">
          <cell r="D628">
            <v>7.6500000000000101</v>
          </cell>
        </row>
        <row r="629">
          <cell r="D629">
            <v>7.6600000000000099</v>
          </cell>
        </row>
        <row r="630">
          <cell r="D630">
            <v>7.6700000000000097</v>
          </cell>
        </row>
        <row r="631">
          <cell r="D631">
            <v>7.6800000000000104</v>
          </cell>
        </row>
        <row r="632">
          <cell r="D632">
            <v>7.6900000000000102</v>
          </cell>
        </row>
        <row r="633">
          <cell r="D633">
            <v>7.7000000000000099</v>
          </cell>
        </row>
        <row r="634">
          <cell r="D634">
            <v>7.7100000000000097</v>
          </cell>
        </row>
        <row r="635">
          <cell r="D635">
            <v>7.7200000000000104</v>
          </cell>
        </row>
        <row r="636">
          <cell r="D636">
            <v>7.7300000000000102</v>
          </cell>
        </row>
        <row r="637">
          <cell r="D637">
            <v>7.74000000000001</v>
          </cell>
        </row>
        <row r="638">
          <cell r="D638">
            <v>7.7500000000000098</v>
          </cell>
        </row>
        <row r="639">
          <cell r="D639">
            <v>7.7600000000000096</v>
          </cell>
        </row>
        <row r="640">
          <cell r="D640">
            <v>7.7700000000000102</v>
          </cell>
        </row>
        <row r="641">
          <cell r="D641">
            <v>7.78000000000001</v>
          </cell>
        </row>
        <row r="642">
          <cell r="D642">
            <v>7.7900000000000098</v>
          </cell>
        </row>
        <row r="643">
          <cell r="D643">
            <v>7.8000000000000096</v>
          </cell>
        </row>
        <row r="644">
          <cell r="D644">
            <v>7.8100000000000103</v>
          </cell>
        </row>
        <row r="645">
          <cell r="D645">
            <v>7.8200000000000101</v>
          </cell>
        </row>
        <row r="646">
          <cell r="D646">
            <v>7.8300000000000098</v>
          </cell>
        </row>
        <row r="647">
          <cell r="D647">
            <v>7.8400000000000096</v>
          </cell>
        </row>
        <row r="648">
          <cell r="D648">
            <v>7.8500000000000103</v>
          </cell>
        </row>
        <row r="649">
          <cell r="D649">
            <v>7.8600000000000101</v>
          </cell>
        </row>
        <row r="650">
          <cell r="D650">
            <v>7.8700000000000099</v>
          </cell>
        </row>
        <row r="651">
          <cell r="D651">
            <v>7.8800000000000097</v>
          </cell>
        </row>
        <row r="652">
          <cell r="D652">
            <v>7.8900000000000103</v>
          </cell>
        </row>
        <row r="653">
          <cell r="D653">
            <v>7.9000000000000101</v>
          </cell>
        </row>
        <row r="654">
          <cell r="D654">
            <v>7.9100000000000099</v>
          </cell>
        </row>
        <row r="655">
          <cell r="D655">
            <v>7.9200000000000097</v>
          </cell>
        </row>
        <row r="656">
          <cell r="D656">
            <v>7.9300000000000104</v>
          </cell>
        </row>
        <row r="657">
          <cell r="D657">
            <v>7.9400000000000102</v>
          </cell>
        </row>
        <row r="658">
          <cell r="D658">
            <v>7.9500000000000099</v>
          </cell>
        </row>
        <row r="659">
          <cell r="D659">
            <v>7.9600000000000097</v>
          </cell>
        </row>
        <row r="660">
          <cell r="D660">
            <v>7.9700000000000104</v>
          </cell>
        </row>
        <row r="661">
          <cell r="D661">
            <v>7.9800000000000102</v>
          </cell>
        </row>
        <row r="662">
          <cell r="D662">
            <v>7.99000000000001</v>
          </cell>
        </row>
        <row r="663">
          <cell r="D663">
            <v>8.0000000000000107</v>
          </cell>
        </row>
        <row r="664">
          <cell r="D664">
            <v>8.0100000000000104</v>
          </cell>
        </row>
        <row r="665">
          <cell r="D665">
            <v>8.0200000000000102</v>
          </cell>
        </row>
        <row r="666">
          <cell r="D666">
            <v>8.03000000000001</v>
          </cell>
        </row>
        <row r="667">
          <cell r="D667">
            <v>8.0400000000000098</v>
          </cell>
        </row>
        <row r="668">
          <cell r="D668">
            <v>8.0500000000000096</v>
          </cell>
        </row>
        <row r="669">
          <cell r="D669">
            <v>8.0600000000000094</v>
          </cell>
        </row>
        <row r="670">
          <cell r="D670">
            <v>8.0700000000000092</v>
          </cell>
        </row>
        <row r="671">
          <cell r="D671">
            <v>8.0800000000000107</v>
          </cell>
        </row>
        <row r="672">
          <cell r="D672">
            <v>8.0900000000000105</v>
          </cell>
        </row>
        <row r="673">
          <cell r="D673">
            <v>8.1000000000000103</v>
          </cell>
        </row>
        <row r="674">
          <cell r="D674">
            <v>8.1100000000000101</v>
          </cell>
        </row>
        <row r="675">
          <cell r="D675">
            <v>8.1200000000000099</v>
          </cell>
        </row>
        <row r="676">
          <cell r="D676">
            <v>8.1300000000000097</v>
          </cell>
        </row>
        <row r="677">
          <cell r="D677">
            <v>8.1400000000000095</v>
          </cell>
        </row>
        <row r="678">
          <cell r="D678">
            <v>8.1500000000000092</v>
          </cell>
        </row>
        <row r="679">
          <cell r="D679">
            <v>8.1600000000000108</v>
          </cell>
        </row>
        <row r="680">
          <cell r="D680">
            <v>8.1700000000000106</v>
          </cell>
        </row>
        <row r="681">
          <cell r="D681">
            <v>8.1800000000000104</v>
          </cell>
        </row>
        <row r="682">
          <cell r="D682">
            <v>8.1900000000000102</v>
          </cell>
        </row>
        <row r="683">
          <cell r="D683">
            <v>8.2000000000000099</v>
          </cell>
        </row>
        <row r="684">
          <cell r="D684">
            <v>8.2100000000000097</v>
          </cell>
        </row>
        <row r="685">
          <cell r="D685">
            <v>8.2200000000000095</v>
          </cell>
        </row>
        <row r="686">
          <cell r="D686">
            <v>8.2300000000000093</v>
          </cell>
        </row>
        <row r="687">
          <cell r="D687">
            <v>8.2400000000000109</v>
          </cell>
        </row>
        <row r="688">
          <cell r="D688">
            <v>8.2500000000000107</v>
          </cell>
        </row>
        <row r="689">
          <cell r="D689">
            <v>8.2600000000000104</v>
          </cell>
        </row>
        <row r="690">
          <cell r="D690">
            <v>8.2700000000000102</v>
          </cell>
        </row>
        <row r="691">
          <cell r="D691">
            <v>8.28000000000001</v>
          </cell>
        </row>
        <row r="692">
          <cell r="D692">
            <v>8.2900000000000098</v>
          </cell>
        </row>
        <row r="693">
          <cell r="D693">
            <v>8.3000000000000096</v>
          </cell>
        </row>
        <row r="694">
          <cell r="D694">
            <v>8.3100000000000094</v>
          </cell>
        </row>
        <row r="695">
          <cell r="D695">
            <v>8.3200000000000092</v>
          </cell>
        </row>
        <row r="696">
          <cell r="D696">
            <v>8.3300000000000107</v>
          </cell>
        </row>
        <row r="697">
          <cell r="D697">
            <v>8.3400000000000105</v>
          </cell>
        </row>
        <row r="698">
          <cell r="D698">
            <v>8.3500000000000103</v>
          </cell>
        </row>
        <row r="699">
          <cell r="D699">
            <v>8.3600000000000101</v>
          </cell>
        </row>
        <row r="700">
          <cell r="D700">
            <v>8.3700000000000099</v>
          </cell>
        </row>
        <row r="701">
          <cell r="D701">
            <v>8.3800000000000097</v>
          </cell>
        </row>
        <row r="702">
          <cell r="D702">
            <v>8.3900000000000095</v>
          </cell>
        </row>
        <row r="703">
          <cell r="D703">
            <v>8.4000000000000092</v>
          </cell>
        </row>
        <row r="704">
          <cell r="D704">
            <v>8.4100000000000108</v>
          </cell>
        </row>
        <row r="705">
          <cell r="D705">
            <v>8.4200000000000106</v>
          </cell>
        </row>
        <row r="706">
          <cell r="D706">
            <v>8.4300000000000104</v>
          </cell>
        </row>
        <row r="707">
          <cell r="D707">
            <v>8.4400000000000102</v>
          </cell>
        </row>
        <row r="708">
          <cell r="D708">
            <v>8.4500000000000099</v>
          </cell>
        </row>
        <row r="709">
          <cell r="D709">
            <v>8.4600000000000097</v>
          </cell>
        </row>
        <row r="710">
          <cell r="D710">
            <v>8.4700000000000095</v>
          </cell>
        </row>
        <row r="711">
          <cell r="D711">
            <v>8.4800000000000093</v>
          </cell>
        </row>
        <row r="712">
          <cell r="D712">
            <v>8.4900000000000109</v>
          </cell>
        </row>
        <row r="713">
          <cell r="D713">
            <v>8.5000000000000107</v>
          </cell>
        </row>
        <row r="714">
          <cell r="D714">
            <v>8.5100000000000104</v>
          </cell>
        </row>
        <row r="715">
          <cell r="D715">
            <v>8.5200000000000102</v>
          </cell>
        </row>
        <row r="716">
          <cell r="D716">
            <v>8.53000000000001</v>
          </cell>
        </row>
        <row r="717">
          <cell r="D717">
            <v>8.5400000000000098</v>
          </cell>
        </row>
        <row r="718">
          <cell r="D718">
            <v>8.5500000000000096</v>
          </cell>
        </row>
        <row r="719">
          <cell r="D719">
            <v>8.5600000000000094</v>
          </cell>
        </row>
        <row r="720">
          <cell r="D720">
            <v>8.5700000000000092</v>
          </cell>
        </row>
        <row r="721">
          <cell r="D721">
            <v>8.5800000000000107</v>
          </cell>
        </row>
        <row r="722">
          <cell r="D722">
            <v>8.5900000000000105</v>
          </cell>
        </row>
        <row r="723">
          <cell r="D723">
            <v>8.6000000000000103</v>
          </cell>
        </row>
        <row r="724">
          <cell r="D724">
            <v>8.6100000000000101</v>
          </cell>
        </row>
        <row r="725">
          <cell r="D725">
            <v>8.6200000000000099</v>
          </cell>
        </row>
        <row r="726">
          <cell r="D726">
            <v>8.6300000000000097</v>
          </cell>
        </row>
        <row r="727">
          <cell r="D727">
            <v>8.6400000000000095</v>
          </cell>
        </row>
        <row r="728">
          <cell r="D728">
            <v>8.6500000000000092</v>
          </cell>
        </row>
        <row r="729">
          <cell r="D729">
            <v>8.6600000000000108</v>
          </cell>
        </row>
        <row r="730">
          <cell r="D730">
            <v>8.6700000000000106</v>
          </cell>
        </row>
        <row r="731">
          <cell r="D731">
            <v>8.6800000000000104</v>
          </cell>
        </row>
        <row r="732">
          <cell r="D732">
            <v>8.6900000000000102</v>
          </cell>
        </row>
        <row r="733">
          <cell r="D733">
            <v>8.7000000000000099</v>
          </cell>
        </row>
        <row r="734">
          <cell r="D734">
            <v>8.7100000000000097</v>
          </cell>
        </row>
        <row r="735">
          <cell r="D735">
            <v>8.7200000000000095</v>
          </cell>
        </row>
        <row r="736">
          <cell r="D736">
            <v>8.7300000000000093</v>
          </cell>
        </row>
        <row r="737">
          <cell r="D737">
            <v>8.7400000000000109</v>
          </cell>
        </row>
        <row r="738">
          <cell r="D738">
            <v>8.7500000000000107</v>
          </cell>
        </row>
        <row r="739">
          <cell r="D739">
            <v>8.7600000000000104</v>
          </cell>
        </row>
        <row r="740">
          <cell r="D740">
            <v>8.7700000000000102</v>
          </cell>
        </row>
        <row r="741">
          <cell r="D741">
            <v>8.78000000000001</v>
          </cell>
        </row>
        <row r="742">
          <cell r="D742">
            <v>8.7900000000000098</v>
          </cell>
        </row>
        <row r="743">
          <cell r="D743">
            <v>8.8000000000000096</v>
          </cell>
        </row>
        <row r="744">
          <cell r="D744">
            <v>8.8100000000000094</v>
          </cell>
        </row>
        <row r="745">
          <cell r="D745">
            <v>8.8200000000000092</v>
          </cell>
        </row>
        <row r="746">
          <cell r="D746">
            <v>8.8300000000000107</v>
          </cell>
        </row>
        <row r="747">
          <cell r="D747">
            <v>8.8400000000000105</v>
          </cell>
        </row>
        <row r="748">
          <cell r="D748">
            <v>8.8500000000000103</v>
          </cell>
        </row>
        <row r="749">
          <cell r="D749">
            <v>8.8600000000000101</v>
          </cell>
        </row>
        <row r="750">
          <cell r="D750">
            <v>8.8700000000000099</v>
          </cell>
        </row>
        <row r="751">
          <cell r="D751">
            <v>8.8800000000000097</v>
          </cell>
        </row>
        <row r="752">
          <cell r="D752">
            <v>8.8900000000000095</v>
          </cell>
        </row>
        <row r="753">
          <cell r="D753">
            <v>8.9000000000000092</v>
          </cell>
        </row>
        <row r="754">
          <cell r="D754">
            <v>8.9100000000000108</v>
          </cell>
        </row>
        <row r="755">
          <cell r="D755">
            <v>8.9200000000000106</v>
          </cell>
        </row>
        <row r="756">
          <cell r="D756">
            <v>8.9300000000000104</v>
          </cell>
        </row>
        <row r="757">
          <cell r="D757">
            <v>8.9400000000000102</v>
          </cell>
        </row>
        <row r="758">
          <cell r="D758">
            <v>8.9500000000000099</v>
          </cell>
        </row>
        <row r="759">
          <cell r="D759">
            <v>8.9600000000000097</v>
          </cell>
        </row>
        <row r="760">
          <cell r="D760">
            <v>8.9700000000000095</v>
          </cell>
        </row>
        <row r="761">
          <cell r="D761">
            <v>8.9800000000000093</v>
          </cell>
        </row>
        <row r="762">
          <cell r="D762">
            <v>8.9900000000000109</v>
          </cell>
        </row>
        <row r="763">
          <cell r="D763">
            <v>9.0000000000000107</v>
          </cell>
        </row>
        <row r="764">
          <cell r="D764">
            <v>9.0100000000000104</v>
          </cell>
        </row>
        <row r="765">
          <cell r="D765">
            <v>9.0200000000000102</v>
          </cell>
        </row>
        <row r="766">
          <cell r="D766">
            <v>9.03000000000001</v>
          </cell>
        </row>
        <row r="767">
          <cell r="D767">
            <v>9.0400000000000098</v>
          </cell>
        </row>
        <row r="768">
          <cell r="D768">
            <v>9.0500000000000096</v>
          </cell>
        </row>
        <row r="769">
          <cell r="D769">
            <v>9.0600000000000094</v>
          </cell>
        </row>
        <row r="770">
          <cell r="D770">
            <v>9.0700000000000092</v>
          </cell>
        </row>
        <row r="771">
          <cell r="D771">
            <v>9.0800000000000107</v>
          </cell>
        </row>
        <row r="772">
          <cell r="D772">
            <v>9.0900000000000105</v>
          </cell>
        </row>
        <row r="773">
          <cell r="D773">
            <v>9.1000000000000103</v>
          </cell>
        </row>
        <row r="774">
          <cell r="D774">
            <v>9.1100000000000101</v>
          </cell>
        </row>
        <row r="775">
          <cell r="D775">
            <v>9.1200000000000099</v>
          </cell>
        </row>
        <row r="776">
          <cell r="D776">
            <v>9.1300000000000097</v>
          </cell>
        </row>
        <row r="777">
          <cell r="D777">
            <v>9.1400000000000095</v>
          </cell>
        </row>
        <row r="778">
          <cell r="D778">
            <v>9.1500000000000092</v>
          </cell>
        </row>
        <row r="779">
          <cell r="D779">
            <v>9.1600000000000108</v>
          </cell>
        </row>
        <row r="780">
          <cell r="D780">
            <v>9.1700000000000106</v>
          </cell>
        </row>
        <row r="781">
          <cell r="D781">
            <v>9.1800000000000104</v>
          </cell>
        </row>
        <row r="782">
          <cell r="D782">
            <v>9.1900000000000102</v>
          </cell>
        </row>
        <row r="783">
          <cell r="D783">
            <v>9.2000000000000099</v>
          </cell>
        </row>
        <row r="784">
          <cell r="D784">
            <v>9.2100000000000097</v>
          </cell>
        </row>
        <row r="785">
          <cell r="D785">
            <v>9.2200000000000095</v>
          </cell>
        </row>
        <row r="786">
          <cell r="D786">
            <v>9.2300000000000093</v>
          </cell>
        </row>
        <row r="787">
          <cell r="D787">
            <v>9.2400000000000109</v>
          </cell>
        </row>
        <row r="788">
          <cell r="D788">
            <v>9.2500000000000107</v>
          </cell>
        </row>
        <row r="789">
          <cell r="D789">
            <v>9.2600000000000104</v>
          </cell>
        </row>
        <row r="790">
          <cell r="D790">
            <v>9.2700000000000102</v>
          </cell>
        </row>
        <row r="791">
          <cell r="D791">
            <v>9.28000000000001</v>
          </cell>
        </row>
        <row r="792">
          <cell r="D792">
            <v>9.2900000000000098</v>
          </cell>
        </row>
        <row r="793">
          <cell r="D793">
            <v>9.3000000000000096</v>
          </cell>
        </row>
        <row r="794">
          <cell r="D794">
            <v>9.3100000000000094</v>
          </cell>
        </row>
        <row r="795">
          <cell r="D795">
            <v>9.3200000000000092</v>
          </cell>
        </row>
        <row r="796">
          <cell r="D796">
            <v>9.3300000000000107</v>
          </cell>
        </row>
        <row r="797">
          <cell r="D797">
            <v>9.3400000000000105</v>
          </cell>
        </row>
        <row r="798">
          <cell r="D798">
            <v>9.3500000000000103</v>
          </cell>
        </row>
        <row r="799">
          <cell r="D799">
            <v>9.3600000000000101</v>
          </cell>
        </row>
        <row r="800">
          <cell r="D800">
            <v>9.3700000000000099</v>
          </cell>
        </row>
        <row r="801">
          <cell r="D801">
            <v>9.3800000000000097</v>
          </cell>
        </row>
        <row r="802">
          <cell r="D802">
            <v>9.3900000000000095</v>
          </cell>
        </row>
        <row r="803">
          <cell r="D803">
            <v>9.4000000000000092</v>
          </cell>
        </row>
        <row r="804">
          <cell r="D804">
            <v>9.4100000000000108</v>
          </cell>
        </row>
        <row r="805">
          <cell r="D805">
            <v>9.4200000000000106</v>
          </cell>
        </row>
        <row r="806">
          <cell r="D806">
            <v>9.4300000000000104</v>
          </cell>
        </row>
        <row r="807">
          <cell r="D807">
            <v>9.4400000000000102</v>
          </cell>
        </row>
        <row r="808">
          <cell r="D808">
            <v>9.4500000000000099</v>
          </cell>
        </row>
        <row r="809">
          <cell r="D809">
            <v>9.4600000000000097</v>
          </cell>
        </row>
        <row r="810">
          <cell r="D810">
            <v>9.4700000000000095</v>
          </cell>
        </row>
        <row r="811">
          <cell r="D811">
            <v>9.4800000000000093</v>
          </cell>
        </row>
        <row r="812">
          <cell r="D812">
            <v>9.4900000000000109</v>
          </cell>
        </row>
        <row r="813">
          <cell r="D813">
            <v>9.5000000000000107</v>
          </cell>
        </row>
        <row r="814">
          <cell r="D814">
            <v>9.5100000000000104</v>
          </cell>
        </row>
        <row r="815">
          <cell r="D815">
            <v>9.5200000000000102</v>
          </cell>
        </row>
        <row r="816">
          <cell r="D816">
            <v>9.53000000000001</v>
          </cell>
        </row>
        <row r="817">
          <cell r="D817">
            <v>9.5400000000000098</v>
          </cell>
        </row>
        <row r="818">
          <cell r="D818">
            <v>9.5500000000000096</v>
          </cell>
        </row>
        <row r="819">
          <cell r="D819">
            <v>9.5600000000000094</v>
          </cell>
        </row>
        <row r="820">
          <cell r="D820">
            <v>9.5700000000000092</v>
          </cell>
        </row>
        <row r="821">
          <cell r="D821">
            <v>9.5800000000000107</v>
          </cell>
        </row>
        <row r="822">
          <cell r="D822">
            <v>9.5900000000000105</v>
          </cell>
        </row>
        <row r="823">
          <cell r="D823">
            <v>9.6000000000000103</v>
          </cell>
        </row>
        <row r="824">
          <cell r="D824">
            <v>9.6100000000000101</v>
          </cell>
        </row>
        <row r="825">
          <cell r="D825">
            <v>9.6200000000000099</v>
          </cell>
        </row>
        <row r="826">
          <cell r="D826">
            <v>9.6300000000000097</v>
          </cell>
        </row>
        <row r="827">
          <cell r="D827">
            <v>9.6400000000000095</v>
          </cell>
        </row>
        <row r="828">
          <cell r="D828">
            <v>9.6500000000000092</v>
          </cell>
        </row>
        <row r="829">
          <cell r="D829">
            <v>9.6600000000000108</v>
          </cell>
        </row>
        <row r="830">
          <cell r="D830">
            <v>9.6700000000000106</v>
          </cell>
        </row>
        <row r="831">
          <cell r="D831">
            <v>9.6800000000000104</v>
          </cell>
        </row>
        <row r="832">
          <cell r="D832">
            <v>9.6900000000000102</v>
          </cell>
        </row>
        <row r="833">
          <cell r="D833">
            <v>9.7000000000000099</v>
          </cell>
        </row>
        <row r="834">
          <cell r="D834">
            <v>9.7100000000000097</v>
          </cell>
        </row>
        <row r="835">
          <cell r="D835">
            <v>9.7200000000000095</v>
          </cell>
        </row>
        <row r="836">
          <cell r="D836">
            <v>9.7300000000000093</v>
          </cell>
        </row>
        <row r="837">
          <cell r="D837">
            <v>9.7400000000000109</v>
          </cell>
        </row>
        <row r="838">
          <cell r="D838">
            <v>9.7500000000000107</v>
          </cell>
        </row>
        <row r="839">
          <cell r="D839">
            <v>9.7600000000000104</v>
          </cell>
        </row>
        <row r="840">
          <cell r="D840">
            <v>9.7700000000000102</v>
          </cell>
        </row>
        <row r="841">
          <cell r="D841">
            <v>9.78000000000001</v>
          </cell>
        </row>
        <row r="842">
          <cell r="D842">
            <v>9.7900000000000098</v>
          </cell>
        </row>
        <row r="843">
          <cell r="D843">
            <v>9.8000000000000096</v>
          </cell>
        </row>
        <row r="844">
          <cell r="D844">
            <v>9.8100000000000094</v>
          </cell>
        </row>
        <row r="845">
          <cell r="D845">
            <v>9.8200000000000092</v>
          </cell>
        </row>
        <row r="846">
          <cell r="D846">
            <v>9.8300000000000107</v>
          </cell>
        </row>
        <row r="847">
          <cell r="D847">
            <v>9.8400000000000105</v>
          </cell>
        </row>
        <row r="848">
          <cell r="D848">
            <v>9.8500000000000103</v>
          </cell>
        </row>
        <row r="849">
          <cell r="D849">
            <v>9.8600000000000101</v>
          </cell>
        </row>
        <row r="850">
          <cell r="D850">
            <v>9.8700000000000099</v>
          </cell>
        </row>
        <row r="851">
          <cell r="D851">
            <v>9.8800000000000097</v>
          </cell>
        </row>
        <row r="852">
          <cell r="D852">
            <v>9.8900000000000095</v>
          </cell>
        </row>
        <row r="853">
          <cell r="D853">
            <v>9.9000000000000092</v>
          </cell>
        </row>
        <row r="854">
          <cell r="D854">
            <v>9.9100000000000108</v>
          </cell>
        </row>
        <row r="855">
          <cell r="D855">
            <v>9.9200000000000106</v>
          </cell>
        </row>
        <row r="856">
          <cell r="D856">
            <v>9.9300000000000104</v>
          </cell>
        </row>
        <row r="857">
          <cell r="D857">
            <v>9.9400000000000102</v>
          </cell>
        </row>
        <row r="858">
          <cell r="D858">
            <v>9.9500000000000099</v>
          </cell>
        </row>
        <row r="859">
          <cell r="D859">
            <v>9.9600000000000097</v>
          </cell>
        </row>
        <row r="860">
          <cell r="D860">
            <v>9.9700000000000095</v>
          </cell>
        </row>
        <row r="861">
          <cell r="D861">
            <v>9.9800000000000093</v>
          </cell>
        </row>
        <row r="862">
          <cell r="D862">
            <v>9.9900000000000109</v>
          </cell>
        </row>
        <row r="863">
          <cell r="D863">
            <v>10</v>
          </cell>
        </row>
        <row r="864">
          <cell r="D864">
            <v>10.01</v>
          </cell>
        </row>
        <row r="865">
          <cell r="D865">
            <v>10.02</v>
          </cell>
        </row>
        <row r="866">
          <cell r="D866">
            <v>10.029999999999999</v>
          </cell>
        </row>
        <row r="867">
          <cell r="D867">
            <v>10.039999999999999</v>
          </cell>
        </row>
        <row r="868">
          <cell r="D868">
            <v>10.050000000000001</v>
          </cell>
        </row>
        <row r="869">
          <cell r="D869">
            <v>10.06</v>
          </cell>
        </row>
        <row r="870">
          <cell r="D870">
            <v>10.07</v>
          </cell>
        </row>
        <row r="871">
          <cell r="D871">
            <v>10.08</v>
          </cell>
        </row>
        <row r="872">
          <cell r="D872">
            <v>10.09</v>
          </cell>
        </row>
        <row r="873">
          <cell r="D873">
            <v>10.1</v>
          </cell>
        </row>
        <row r="874">
          <cell r="D874">
            <v>10.11</v>
          </cell>
        </row>
        <row r="875">
          <cell r="D875">
            <v>10.119999999999999</v>
          </cell>
        </row>
        <row r="876">
          <cell r="D876">
            <v>10.130000000000001</v>
          </cell>
        </row>
        <row r="877">
          <cell r="D877">
            <v>10.14</v>
          </cell>
        </row>
        <row r="878">
          <cell r="D878">
            <v>10.15</v>
          </cell>
        </row>
        <row r="879">
          <cell r="D879">
            <v>10.16</v>
          </cell>
        </row>
        <row r="880">
          <cell r="D880">
            <v>10.17</v>
          </cell>
        </row>
        <row r="881">
          <cell r="D881">
            <v>10.18</v>
          </cell>
        </row>
        <row r="882">
          <cell r="D882">
            <v>10.19</v>
          </cell>
        </row>
        <row r="883">
          <cell r="D883">
            <v>10.199999999999999</v>
          </cell>
        </row>
        <row r="884">
          <cell r="D884">
            <v>10.210000000000001</v>
          </cell>
        </row>
        <row r="885">
          <cell r="D885">
            <v>10.220000000000001</v>
          </cell>
        </row>
        <row r="886">
          <cell r="D886">
            <v>10.23</v>
          </cell>
        </row>
        <row r="887">
          <cell r="D887">
            <v>10.24</v>
          </cell>
        </row>
        <row r="888">
          <cell r="D888">
            <v>10.25</v>
          </cell>
        </row>
        <row r="889">
          <cell r="D889">
            <v>10.26</v>
          </cell>
        </row>
        <row r="890">
          <cell r="D890">
            <v>10.27</v>
          </cell>
        </row>
        <row r="891">
          <cell r="D891">
            <v>10.28</v>
          </cell>
        </row>
        <row r="892">
          <cell r="D892">
            <v>10.29</v>
          </cell>
        </row>
        <row r="893">
          <cell r="D893">
            <v>10.3</v>
          </cell>
        </row>
        <row r="894">
          <cell r="D894">
            <v>10.31</v>
          </cell>
        </row>
        <row r="895">
          <cell r="D895">
            <v>10.32</v>
          </cell>
        </row>
        <row r="896">
          <cell r="D896">
            <v>10.33</v>
          </cell>
        </row>
        <row r="897">
          <cell r="D897">
            <v>10.34</v>
          </cell>
        </row>
        <row r="898">
          <cell r="D898">
            <v>10.35</v>
          </cell>
        </row>
        <row r="899">
          <cell r="D899">
            <v>10.36</v>
          </cell>
        </row>
        <row r="900">
          <cell r="D900">
            <v>10.37</v>
          </cell>
        </row>
        <row r="901">
          <cell r="D901">
            <v>10.38</v>
          </cell>
        </row>
        <row r="902">
          <cell r="D902">
            <v>10.39</v>
          </cell>
        </row>
        <row r="903">
          <cell r="D903">
            <v>10.4</v>
          </cell>
        </row>
        <row r="904">
          <cell r="D904">
            <v>10.41</v>
          </cell>
        </row>
        <row r="905">
          <cell r="D905">
            <v>10.42</v>
          </cell>
        </row>
        <row r="906">
          <cell r="D906">
            <v>10.43</v>
          </cell>
        </row>
        <row r="907">
          <cell r="D907">
            <v>10.44</v>
          </cell>
        </row>
        <row r="908">
          <cell r="D908">
            <v>10.45</v>
          </cell>
        </row>
        <row r="909">
          <cell r="D909">
            <v>10.46</v>
          </cell>
        </row>
        <row r="910">
          <cell r="D910">
            <v>10.47</v>
          </cell>
        </row>
        <row r="911">
          <cell r="D911">
            <v>10.48</v>
          </cell>
        </row>
        <row r="912">
          <cell r="D912">
            <v>10.49</v>
          </cell>
        </row>
        <row r="913">
          <cell r="D913">
            <v>10.5</v>
          </cell>
        </row>
        <row r="914">
          <cell r="D914">
            <v>10.51</v>
          </cell>
        </row>
        <row r="915">
          <cell r="D915">
            <v>10.52</v>
          </cell>
        </row>
        <row r="916">
          <cell r="D916">
            <v>10.53</v>
          </cell>
        </row>
        <row r="917">
          <cell r="D917">
            <v>10.54</v>
          </cell>
        </row>
        <row r="918">
          <cell r="D918">
            <v>10.55</v>
          </cell>
        </row>
        <row r="919">
          <cell r="D919">
            <v>10.56</v>
          </cell>
        </row>
        <row r="920">
          <cell r="D920">
            <v>10.57</v>
          </cell>
        </row>
        <row r="921">
          <cell r="D921">
            <v>10.58</v>
          </cell>
        </row>
        <row r="922">
          <cell r="D922">
            <v>10.59</v>
          </cell>
        </row>
        <row r="923">
          <cell r="D923">
            <v>10.6</v>
          </cell>
        </row>
        <row r="924">
          <cell r="D924">
            <v>10.61</v>
          </cell>
        </row>
        <row r="925">
          <cell r="D925">
            <v>10.62</v>
          </cell>
        </row>
        <row r="926">
          <cell r="D926">
            <v>10.63</v>
          </cell>
        </row>
        <row r="927">
          <cell r="D927">
            <v>10.64</v>
          </cell>
        </row>
        <row r="928">
          <cell r="D928">
            <v>10.65</v>
          </cell>
        </row>
        <row r="929">
          <cell r="D929">
            <v>10.66</v>
          </cell>
        </row>
        <row r="930">
          <cell r="D930">
            <v>10.67</v>
          </cell>
        </row>
        <row r="931">
          <cell r="D931">
            <v>10.68</v>
          </cell>
        </row>
        <row r="932">
          <cell r="D932">
            <v>10.69</v>
          </cell>
        </row>
        <row r="933">
          <cell r="D933">
            <v>10.7</v>
          </cell>
        </row>
        <row r="934">
          <cell r="D934">
            <v>10.71</v>
          </cell>
        </row>
        <row r="935">
          <cell r="D935">
            <v>10.72</v>
          </cell>
        </row>
        <row r="936">
          <cell r="D936">
            <v>10.73</v>
          </cell>
        </row>
        <row r="937">
          <cell r="D937">
            <v>10.74</v>
          </cell>
        </row>
        <row r="938">
          <cell r="D938">
            <v>10.75</v>
          </cell>
        </row>
        <row r="939">
          <cell r="D939">
            <v>10.76</v>
          </cell>
        </row>
        <row r="940">
          <cell r="D940">
            <v>10.77</v>
          </cell>
        </row>
        <row r="941">
          <cell r="D941">
            <v>10.78</v>
          </cell>
        </row>
        <row r="942">
          <cell r="D942">
            <v>10.79</v>
          </cell>
        </row>
        <row r="943">
          <cell r="D943">
            <v>10.8</v>
          </cell>
        </row>
        <row r="944">
          <cell r="D944">
            <v>10.81</v>
          </cell>
        </row>
        <row r="945">
          <cell r="D945">
            <v>10.82</v>
          </cell>
        </row>
        <row r="946">
          <cell r="D946">
            <v>10.83</v>
          </cell>
        </row>
        <row r="947">
          <cell r="D947">
            <v>10.84</v>
          </cell>
        </row>
        <row r="948">
          <cell r="D948">
            <v>10.85</v>
          </cell>
        </row>
        <row r="949">
          <cell r="D949">
            <v>10.86</v>
          </cell>
        </row>
        <row r="950">
          <cell r="D950">
            <v>10.87</v>
          </cell>
        </row>
        <row r="951">
          <cell r="D951">
            <v>10.88</v>
          </cell>
        </row>
        <row r="952">
          <cell r="D952">
            <v>10.89</v>
          </cell>
        </row>
        <row r="953">
          <cell r="D953">
            <v>10.9</v>
          </cell>
        </row>
        <row r="954">
          <cell r="D954">
            <v>10.91</v>
          </cell>
        </row>
        <row r="955">
          <cell r="D955">
            <v>10.92</v>
          </cell>
        </row>
        <row r="956">
          <cell r="D956">
            <v>10.93</v>
          </cell>
        </row>
        <row r="957">
          <cell r="D957">
            <v>10.94</v>
          </cell>
        </row>
        <row r="958">
          <cell r="D958">
            <v>10.95</v>
          </cell>
        </row>
        <row r="959">
          <cell r="D959">
            <v>10.96</v>
          </cell>
        </row>
        <row r="960">
          <cell r="D960">
            <v>10.97</v>
          </cell>
        </row>
        <row r="961">
          <cell r="D961">
            <v>10.98</v>
          </cell>
        </row>
        <row r="962">
          <cell r="D962">
            <v>10.99</v>
          </cell>
        </row>
        <row r="963">
          <cell r="D963">
            <v>11</v>
          </cell>
        </row>
        <row r="964">
          <cell r="D964">
            <v>11.01</v>
          </cell>
        </row>
        <row r="965">
          <cell r="D965">
            <v>11.02</v>
          </cell>
        </row>
        <row r="966">
          <cell r="D966">
            <v>11.03</v>
          </cell>
        </row>
        <row r="967">
          <cell r="D967">
            <v>11.04</v>
          </cell>
        </row>
        <row r="968">
          <cell r="D968">
            <v>11.05</v>
          </cell>
        </row>
        <row r="969">
          <cell r="D969">
            <v>11.06</v>
          </cell>
        </row>
        <row r="970">
          <cell r="D970">
            <v>11.07</v>
          </cell>
        </row>
        <row r="971">
          <cell r="D971">
            <v>11.08</v>
          </cell>
        </row>
        <row r="972">
          <cell r="D972">
            <v>11.09</v>
          </cell>
        </row>
        <row r="973">
          <cell r="D973">
            <v>11.1</v>
          </cell>
        </row>
        <row r="974">
          <cell r="D974">
            <v>11.11</v>
          </cell>
        </row>
        <row r="975">
          <cell r="D975">
            <v>11.12</v>
          </cell>
        </row>
        <row r="976">
          <cell r="D976">
            <v>11.13</v>
          </cell>
        </row>
        <row r="977">
          <cell r="D977">
            <v>11.14</v>
          </cell>
        </row>
        <row r="978">
          <cell r="D978">
            <v>11.15</v>
          </cell>
        </row>
        <row r="979">
          <cell r="D979">
            <v>11.16</v>
          </cell>
        </row>
        <row r="980">
          <cell r="D980">
            <v>11.17</v>
          </cell>
        </row>
        <row r="981">
          <cell r="D981">
            <v>11.18</v>
          </cell>
        </row>
        <row r="982">
          <cell r="D982">
            <v>11.19</v>
          </cell>
        </row>
        <row r="983">
          <cell r="D983">
            <v>11.2</v>
          </cell>
        </row>
        <row r="984">
          <cell r="D984">
            <v>11.21</v>
          </cell>
        </row>
        <row r="985">
          <cell r="D985">
            <v>11.22</v>
          </cell>
        </row>
        <row r="986">
          <cell r="D986">
            <v>11.23</v>
          </cell>
        </row>
        <row r="987">
          <cell r="D987">
            <v>11.24</v>
          </cell>
        </row>
        <row r="988">
          <cell r="D988">
            <v>11.25</v>
          </cell>
        </row>
        <row r="989">
          <cell r="D989">
            <v>11.26</v>
          </cell>
        </row>
        <row r="990">
          <cell r="D990">
            <v>11.27</v>
          </cell>
        </row>
        <row r="991">
          <cell r="D991">
            <v>11.28</v>
          </cell>
        </row>
        <row r="992">
          <cell r="D992">
            <v>11.29</v>
          </cell>
        </row>
        <row r="993">
          <cell r="D993">
            <v>11.3</v>
          </cell>
        </row>
        <row r="994">
          <cell r="D994">
            <v>11.31</v>
          </cell>
        </row>
        <row r="995">
          <cell r="D995">
            <v>11.32</v>
          </cell>
        </row>
        <row r="996">
          <cell r="D996">
            <v>11.33</v>
          </cell>
        </row>
        <row r="997">
          <cell r="D997">
            <v>11.34</v>
          </cell>
        </row>
        <row r="998">
          <cell r="D998">
            <v>11.35</v>
          </cell>
        </row>
        <row r="999">
          <cell r="D999">
            <v>11.36</v>
          </cell>
        </row>
        <row r="1000">
          <cell r="D1000">
            <v>11.37</v>
          </cell>
        </row>
        <row r="1001">
          <cell r="D1001">
            <v>11.38</v>
          </cell>
        </row>
        <row r="1002">
          <cell r="D1002">
            <v>11.39</v>
          </cell>
        </row>
        <row r="1003">
          <cell r="D1003">
            <v>11.4</v>
          </cell>
        </row>
        <row r="1004">
          <cell r="D1004">
            <v>11.41</v>
          </cell>
        </row>
        <row r="1005">
          <cell r="D1005">
            <v>11.42</v>
          </cell>
        </row>
        <row r="1006">
          <cell r="D1006">
            <v>11.43</v>
          </cell>
        </row>
        <row r="1007">
          <cell r="D1007">
            <v>11.44</v>
          </cell>
        </row>
        <row r="1008">
          <cell r="D1008">
            <v>11.45</v>
          </cell>
        </row>
        <row r="1009">
          <cell r="D1009">
            <v>11.46</v>
          </cell>
        </row>
        <row r="1010">
          <cell r="D1010">
            <v>11.47</v>
          </cell>
        </row>
        <row r="1011">
          <cell r="D1011">
            <v>11.48</v>
          </cell>
        </row>
        <row r="1012">
          <cell r="D1012">
            <v>11.49</v>
          </cell>
        </row>
        <row r="1013">
          <cell r="D1013">
            <v>11.5</v>
          </cell>
        </row>
        <row r="1014">
          <cell r="D1014">
            <v>11.51</v>
          </cell>
        </row>
        <row r="1015">
          <cell r="D1015">
            <v>11.52</v>
          </cell>
        </row>
        <row r="1016">
          <cell r="D1016">
            <v>11.53</v>
          </cell>
        </row>
        <row r="1017">
          <cell r="D1017">
            <v>11.54</v>
          </cell>
        </row>
        <row r="1018">
          <cell r="D1018">
            <v>11.55</v>
          </cell>
        </row>
        <row r="1019">
          <cell r="D1019">
            <v>11.56</v>
          </cell>
        </row>
        <row r="1020">
          <cell r="D1020">
            <v>11.57</v>
          </cell>
        </row>
        <row r="1021">
          <cell r="D1021">
            <v>11.58</v>
          </cell>
        </row>
        <row r="1022">
          <cell r="D1022">
            <v>11.59</v>
          </cell>
        </row>
        <row r="1023">
          <cell r="D1023">
            <v>11.6</v>
          </cell>
        </row>
        <row r="1024">
          <cell r="D1024">
            <v>11.61</v>
          </cell>
        </row>
        <row r="1025">
          <cell r="D1025">
            <v>11.62</v>
          </cell>
        </row>
        <row r="1026">
          <cell r="D1026">
            <v>11.63</v>
          </cell>
        </row>
        <row r="1027">
          <cell r="D1027">
            <v>11.64</v>
          </cell>
        </row>
        <row r="1028">
          <cell r="D1028">
            <v>11.65</v>
          </cell>
        </row>
        <row r="1029">
          <cell r="D1029">
            <v>11.66</v>
          </cell>
        </row>
        <row r="1030">
          <cell r="D1030">
            <v>11.67</v>
          </cell>
        </row>
        <row r="1031">
          <cell r="D1031">
            <v>11.68</v>
          </cell>
        </row>
        <row r="1032">
          <cell r="D1032">
            <v>11.69</v>
          </cell>
        </row>
        <row r="1033">
          <cell r="D1033">
            <v>11.7</v>
          </cell>
        </row>
        <row r="1034">
          <cell r="D1034">
            <v>11.71</v>
          </cell>
        </row>
        <row r="1035">
          <cell r="D1035">
            <v>11.72</v>
          </cell>
        </row>
        <row r="1036">
          <cell r="D1036">
            <v>11.73</v>
          </cell>
        </row>
        <row r="1037">
          <cell r="D1037">
            <v>11.74</v>
          </cell>
        </row>
        <row r="1038">
          <cell r="D1038">
            <v>11.75</v>
          </cell>
        </row>
        <row r="1039">
          <cell r="D1039">
            <v>11.76</v>
          </cell>
        </row>
        <row r="1040">
          <cell r="D1040">
            <v>11.77</v>
          </cell>
        </row>
        <row r="1041">
          <cell r="D1041">
            <v>11.78</v>
          </cell>
        </row>
        <row r="1042">
          <cell r="D1042">
            <v>11.79</v>
          </cell>
        </row>
        <row r="1043">
          <cell r="D1043">
            <v>11.8</v>
          </cell>
        </row>
        <row r="1044">
          <cell r="D1044">
            <v>11.81</v>
          </cell>
        </row>
        <row r="1045">
          <cell r="D1045">
            <v>11.82</v>
          </cell>
        </row>
        <row r="1046">
          <cell r="D1046">
            <v>11.83</v>
          </cell>
        </row>
        <row r="1047">
          <cell r="D1047">
            <v>11.84</v>
          </cell>
        </row>
        <row r="1048">
          <cell r="D1048">
            <v>11.85</v>
          </cell>
        </row>
        <row r="1049">
          <cell r="D1049">
            <v>11.86</v>
          </cell>
        </row>
        <row r="1050">
          <cell r="D1050">
            <v>11.87</v>
          </cell>
        </row>
        <row r="1051">
          <cell r="D1051">
            <v>11.88</v>
          </cell>
        </row>
        <row r="1052">
          <cell r="D1052">
            <v>11.89</v>
          </cell>
        </row>
        <row r="1053">
          <cell r="D1053">
            <v>11.9</v>
          </cell>
        </row>
        <row r="1054">
          <cell r="D1054">
            <v>11.91</v>
          </cell>
        </row>
        <row r="1055">
          <cell r="D1055">
            <v>11.92</v>
          </cell>
        </row>
        <row r="1056">
          <cell r="D1056">
            <v>11.93</v>
          </cell>
        </row>
        <row r="1057">
          <cell r="D1057">
            <v>11.94</v>
          </cell>
        </row>
        <row r="1058">
          <cell r="D1058">
            <v>11.95</v>
          </cell>
        </row>
        <row r="1059">
          <cell r="D1059">
            <v>11.96</v>
          </cell>
        </row>
        <row r="1060">
          <cell r="D1060">
            <v>11.97</v>
          </cell>
        </row>
        <row r="1061">
          <cell r="D1061">
            <v>11.98</v>
          </cell>
        </row>
        <row r="1062">
          <cell r="D1062">
            <v>11.99</v>
          </cell>
        </row>
        <row r="1063">
          <cell r="D1063">
            <v>12</v>
          </cell>
        </row>
        <row r="1064">
          <cell r="D1064">
            <v>12.01</v>
          </cell>
        </row>
        <row r="1065">
          <cell r="D1065">
            <v>12.02</v>
          </cell>
        </row>
        <row r="1066">
          <cell r="D1066">
            <v>12.03</v>
          </cell>
        </row>
        <row r="1067">
          <cell r="D1067">
            <v>12.04</v>
          </cell>
        </row>
        <row r="1068">
          <cell r="D1068">
            <v>12.05</v>
          </cell>
        </row>
        <row r="1069">
          <cell r="D1069">
            <v>12.06</v>
          </cell>
        </row>
        <row r="1070">
          <cell r="D1070">
            <v>12.07</v>
          </cell>
        </row>
        <row r="1071">
          <cell r="D1071">
            <v>12.08</v>
          </cell>
        </row>
        <row r="1072">
          <cell r="D1072">
            <v>12.09</v>
          </cell>
        </row>
        <row r="1073">
          <cell r="D1073">
            <v>12.1</v>
          </cell>
        </row>
        <row r="1074">
          <cell r="D1074">
            <v>12.11</v>
          </cell>
        </row>
        <row r="1075">
          <cell r="D1075">
            <v>12.12</v>
          </cell>
        </row>
        <row r="1076">
          <cell r="D1076">
            <v>12.13</v>
          </cell>
        </row>
        <row r="1077">
          <cell r="D1077">
            <v>12.14</v>
          </cell>
        </row>
        <row r="1078">
          <cell r="D1078">
            <v>12.15</v>
          </cell>
        </row>
        <row r="1079">
          <cell r="D1079">
            <v>12.16</v>
          </cell>
        </row>
        <row r="1080">
          <cell r="D1080">
            <v>12.17</v>
          </cell>
        </row>
        <row r="1081">
          <cell r="D1081">
            <v>12.18</v>
          </cell>
        </row>
        <row r="1082">
          <cell r="D1082">
            <v>12.19</v>
          </cell>
        </row>
        <row r="1083">
          <cell r="D1083">
            <v>12.2</v>
          </cell>
        </row>
        <row r="1084">
          <cell r="D1084">
            <v>12.21</v>
          </cell>
        </row>
        <row r="1085">
          <cell r="D1085">
            <v>12.22</v>
          </cell>
        </row>
        <row r="1086">
          <cell r="D1086">
            <v>12.23</v>
          </cell>
        </row>
        <row r="1087">
          <cell r="D1087">
            <v>12.24</v>
          </cell>
        </row>
        <row r="1088">
          <cell r="D1088">
            <v>12.25</v>
          </cell>
        </row>
        <row r="1089">
          <cell r="D1089">
            <v>12.26</v>
          </cell>
        </row>
        <row r="1090">
          <cell r="D1090">
            <v>12.27</v>
          </cell>
        </row>
        <row r="1091">
          <cell r="D1091">
            <v>12.28</v>
          </cell>
        </row>
        <row r="1092">
          <cell r="D1092">
            <v>12.29</v>
          </cell>
        </row>
        <row r="1093">
          <cell r="D1093">
            <v>12.3</v>
          </cell>
        </row>
        <row r="1094">
          <cell r="D1094">
            <v>12.31</v>
          </cell>
        </row>
        <row r="1095">
          <cell r="D1095">
            <v>12.32</v>
          </cell>
        </row>
        <row r="1096">
          <cell r="D1096">
            <v>12.33</v>
          </cell>
        </row>
        <row r="1097">
          <cell r="D1097">
            <v>12.34</v>
          </cell>
        </row>
        <row r="1098">
          <cell r="D1098">
            <v>12.35</v>
          </cell>
        </row>
        <row r="1099">
          <cell r="D1099">
            <v>12.36</v>
          </cell>
        </row>
        <row r="1100">
          <cell r="D1100">
            <v>12.37</v>
          </cell>
        </row>
        <row r="1101">
          <cell r="D1101">
            <v>12.38</v>
          </cell>
        </row>
        <row r="1102">
          <cell r="D1102">
            <v>12.39</v>
          </cell>
        </row>
        <row r="1103">
          <cell r="D1103">
            <v>12.4</v>
          </cell>
        </row>
        <row r="1104">
          <cell r="D1104">
            <v>12.41</v>
          </cell>
        </row>
        <row r="1105">
          <cell r="D1105">
            <v>12.42</v>
          </cell>
        </row>
        <row r="1106">
          <cell r="D1106">
            <v>12.43</v>
          </cell>
        </row>
        <row r="1107">
          <cell r="D1107">
            <v>12.44</v>
          </cell>
        </row>
        <row r="1108">
          <cell r="D1108">
            <v>12.45</v>
          </cell>
        </row>
        <row r="1109">
          <cell r="D1109">
            <v>12.46</v>
          </cell>
        </row>
        <row r="1110">
          <cell r="D1110">
            <v>12.47</v>
          </cell>
        </row>
        <row r="1111">
          <cell r="D1111">
            <v>12.48</v>
          </cell>
        </row>
        <row r="1112">
          <cell r="D1112">
            <v>12.49</v>
          </cell>
        </row>
        <row r="1113">
          <cell r="D1113">
            <v>12.5</v>
          </cell>
        </row>
        <row r="1114">
          <cell r="D1114">
            <v>12.51</v>
          </cell>
        </row>
        <row r="1115">
          <cell r="D1115">
            <v>12.52</v>
          </cell>
        </row>
        <row r="1116">
          <cell r="D1116">
            <v>12.53</v>
          </cell>
        </row>
        <row r="1117">
          <cell r="D1117">
            <v>12.54</v>
          </cell>
        </row>
        <row r="1118">
          <cell r="D1118">
            <v>12.55</v>
          </cell>
        </row>
        <row r="1119">
          <cell r="D1119">
            <v>12.56</v>
          </cell>
        </row>
        <row r="1120">
          <cell r="D1120">
            <v>12.57</v>
          </cell>
        </row>
        <row r="1121">
          <cell r="D1121">
            <v>12.58</v>
          </cell>
        </row>
        <row r="1122">
          <cell r="D1122">
            <v>12.59</v>
          </cell>
        </row>
        <row r="1123">
          <cell r="D1123">
            <v>12.6</v>
          </cell>
        </row>
        <row r="1124">
          <cell r="D1124">
            <v>12.61</v>
          </cell>
        </row>
        <row r="1125">
          <cell r="D1125">
            <v>12.62</v>
          </cell>
        </row>
        <row r="1126">
          <cell r="D1126">
            <v>12.63</v>
          </cell>
        </row>
        <row r="1127">
          <cell r="D1127">
            <v>12.64</v>
          </cell>
        </row>
        <row r="1128">
          <cell r="D1128">
            <v>12.65</v>
          </cell>
        </row>
        <row r="1129">
          <cell r="D1129">
            <v>12.66</v>
          </cell>
        </row>
        <row r="1130">
          <cell r="D1130">
            <v>12.67</v>
          </cell>
        </row>
        <row r="1131">
          <cell r="D1131">
            <v>12.68</v>
          </cell>
        </row>
        <row r="1132">
          <cell r="D1132">
            <v>12.69</v>
          </cell>
        </row>
        <row r="1133">
          <cell r="D1133">
            <v>12.7</v>
          </cell>
        </row>
        <row r="1134">
          <cell r="D1134">
            <v>12.71</v>
          </cell>
        </row>
        <row r="1135">
          <cell r="D1135">
            <v>12.72</v>
          </cell>
        </row>
        <row r="1136">
          <cell r="D1136">
            <v>12.73</v>
          </cell>
        </row>
        <row r="1137">
          <cell r="D1137">
            <v>12.74</v>
          </cell>
        </row>
        <row r="1138">
          <cell r="D1138">
            <v>12.75</v>
          </cell>
        </row>
        <row r="1139">
          <cell r="D1139">
            <v>12.76</v>
          </cell>
        </row>
        <row r="1140">
          <cell r="D1140">
            <v>12.77</v>
          </cell>
        </row>
        <row r="1141">
          <cell r="D1141">
            <v>12.78</v>
          </cell>
        </row>
        <row r="1142">
          <cell r="D1142">
            <v>12.79</v>
          </cell>
        </row>
        <row r="1143">
          <cell r="D1143">
            <v>12.8</v>
          </cell>
        </row>
        <row r="1144">
          <cell r="D1144">
            <v>12.81</v>
          </cell>
        </row>
        <row r="1145">
          <cell r="D1145">
            <v>12.82</v>
          </cell>
        </row>
        <row r="1146">
          <cell r="D1146">
            <v>12.83</v>
          </cell>
        </row>
        <row r="1147">
          <cell r="D1147">
            <v>12.84</v>
          </cell>
        </row>
        <row r="1148">
          <cell r="D1148">
            <v>12.85</v>
          </cell>
        </row>
        <row r="1149">
          <cell r="D1149">
            <v>12.86</v>
          </cell>
        </row>
        <row r="1150">
          <cell r="D1150">
            <v>12.87</v>
          </cell>
        </row>
        <row r="1151">
          <cell r="D1151">
            <v>12.88</v>
          </cell>
        </row>
        <row r="1152">
          <cell r="D1152">
            <v>12.89</v>
          </cell>
        </row>
        <row r="1153">
          <cell r="D1153">
            <v>12.9</v>
          </cell>
        </row>
        <row r="1154">
          <cell r="D1154">
            <v>12.91</v>
          </cell>
        </row>
        <row r="1155">
          <cell r="D1155">
            <v>12.92</v>
          </cell>
        </row>
        <row r="1156">
          <cell r="D1156">
            <v>12.93</v>
          </cell>
        </row>
        <row r="1157">
          <cell r="D1157">
            <v>12.94</v>
          </cell>
        </row>
        <row r="1158">
          <cell r="D1158">
            <v>12.95</v>
          </cell>
        </row>
        <row r="1159">
          <cell r="D1159">
            <v>12.96</v>
          </cell>
        </row>
        <row r="1160">
          <cell r="D1160">
            <v>12.97</v>
          </cell>
        </row>
        <row r="1161">
          <cell r="D1161">
            <v>12.98</v>
          </cell>
        </row>
        <row r="1162">
          <cell r="D1162">
            <v>12.99</v>
          </cell>
        </row>
        <row r="1163">
          <cell r="D1163">
            <v>13</v>
          </cell>
        </row>
        <row r="1164">
          <cell r="D1164">
            <v>13.01</v>
          </cell>
        </row>
        <row r="1165">
          <cell r="D1165">
            <v>13.02</v>
          </cell>
        </row>
        <row r="1166">
          <cell r="D1166">
            <v>13.03</v>
          </cell>
        </row>
        <row r="1167">
          <cell r="D1167">
            <v>13.04</v>
          </cell>
        </row>
        <row r="1168">
          <cell r="D1168">
            <v>13.05</v>
          </cell>
        </row>
        <row r="1169">
          <cell r="D1169">
            <v>13.06</v>
          </cell>
        </row>
        <row r="1170">
          <cell r="D1170">
            <v>13.07</v>
          </cell>
        </row>
        <row r="1171">
          <cell r="D1171">
            <v>13.08</v>
          </cell>
        </row>
        <row r="1172">
          <cell r="D1172">
            <v>13.09</v>
          </cell>
        </row>
        <row r="1173">
          <cell r="D1173">
            <v>13.1</v>
          </cell>
        </row>
        <row r="1174">
          <cell r="D1174">
            <v>13.11</v>
          </cell>
        </row>
        <row r="1175">
          <cell r="D1175">
            <v>13.12</v>
          </cell>
        </row>
        <row r="1176">
          <cell r="D1176">
            <v>13.13</v>
          </cell>
        </row>
        <row r="1177">
          <cell r="D1177">
            <v>13.14</v>
          </cell>
        </row>
        <row r="1178">
          <cell r="D1178">
            <v>13.15</v>
          </cell>
        </row>
        <row r="1179">
          <cell r="D1179">
            <v>13.16</v>
          </cell>
        </row>
        <row r="1180">
          <cell r="D1180">
            <v>13.17</v>
          </cell>
        </row>
        <row r="1181">
          <cell r="D1181">
            <v>13.18</v>
          </cell>
        </row>
        <row r="1182">
          <cell r="D1182">
            <v>13.19</v>
          </cell>
        </row>
        <row r="1183">
          <cell r="D1183">
            <v>13.2</v>
          </cell>
        </row>
        <row r="1184">
          <cell r="D1184">
            <v>13.21</v>
          </cell>
        </row>
        <row r="1185">
          <cell r="D1185">
            <v>13.22</v>
          </cell>
        </row>
        <row r="1186">
          <cell r="D1186">
            <v>13.23</v>
          </cell>
        </row>
        <row r="1187">
          <cell r="D1187">
            <v>13.24</v>
          </cell>
        </row>
        <row r="1188">
          <cell r="D1188">
            <v>13.25</v>
          </cell>
        </row>
        <row r="1189">
          <cell r="D1189">
            <v>13.26</v>
          </cell>
        </row>
        <row r="1190">
          <cell r="D1190">
            <v>13.27</v>
          </cell>
        </row>
        <row r="1191">
          <cell r="D1191">
            <v>13.28</v>
          </cell>
        </row>
        <row r="1192">
          <cell r="D1192">
            <v>13.29</v>
          </cell>
        </row>
        <row r="1193">
          <cell r="D1193">
            <v>13.3</v>
          </cell>
        </row>
        <row r="1194">
          <cell r="D1194">
            <v>13.31</v>
          </cell>
        </row>
        <row r="1195">
          <cell r="D1195">
            <v>13.32</v>
          </cell>
        </row>
        <row r="1196">
          <cell r="D1196">
            <v>13.33</v>
          </cell>
        </row>
        <row r="1197">
          <cell r="D1197">
            <v>13.34</v>
          </cell>
        </row>
        <row r="1198">
          <cell r="D1198">
            <v>13.35</v>
          </cell>
        </row>
        <row r="1199">
          <cell r="D1199">
            <v>13.36</v>
          </cell>
        </row>
        <row r="1200">
          <cell r="D1200">
            <v>13.37</v>
          </cell>
        </row>
        <row r="1201">
          <cell r="D1201">
            <v>13.38</v>
          </cell>
        </row>
        <row r="1202">
          <cell r="D1202">
            <v>13.39</v>
          </cell>
        </row>
        <row r="1203">
          <cell r="D1203">
            <v>13.4</v>
          </cell>
        </row>
        <row r="1204">
          <cell r="D1204">
            <v>13.41</v>
          </cell>
        </row>
        <row r="1205">
          <cell r="D1205">
            <v>13.42</v>
          </cell>
        </row>
        <row r="1206">
          <cell r="D1206">
            <v>13.43</v>
          </cell>
        </row>
        <row r="1207">
          <cell r="D1207">
            <v>13.44</v>
          </cell>
        </row>
        <row r="1208">
          <cell r="D1208">
            <v>13.45</v>
          </cell>
        </row>
        <row r="1209">
          <cell r="D1209">
            <v>13.46</v>
          </cell>
        </row>
        <row r="1210">
          <cell r="D1210">
            <v>13.47</v>
          </cell>
        </row>
        <row r="1211">
          <cell r="D1211">
            <v>13.48</v>
          </cell>
        </row>
        <row r="1212">
          <cell r="D1212">
            <v>13.49</v>
          </cell>
        </row>
        <row r="1213">
          <cell r="D1213">
            <v>13.5</v>
          </cell>
        </row>
        <row r="1214">
          <cell r="D1214">
            <v>13.51</v>
          </cell>
        </row>
        <row r="1215">
          <cell r="D1215">
            <v>13.52</v>
          </cell>
        </row>
        <row r="1216">
          <cell r="D1216">
            <v>13.53</v>
          </cell>
        </row>
        <row r="1217">
          <cell r="D1217">
            <v>13.54</v>
          </cell>
        </row>
        <row r="1218">
          <cell r="D1218">
            <v>13.55</v>
          </cell>
        </row>
        <row r="1219">
          <cell r="D1219">
            <v>13.56</v>
          </cell>
        </row>
        <row r="1220">
          <cell r="D1220">
            <v>13.57</v>
          </cell>
        </row>
        <row r="1221">
          <cell r="D1221">
            <v>13.58</v>
          </cell>
        </row>
        <row r="1222">
          <cell r="D1222">
            <v>13.59</v>
          </cell>
        </row>
        <row r="1223">
          <cell r="D1223">
            <v>13.6</v>
          </cell>
        </row>
        <row r="1224">
          <cell r="D1224">
            <v>13.61</v>
          </cell>
        </row>
        <row r="1225">
          <cell r="D1225">
            <v>13.62</v>
          </cell>
        </row>
        <row r="1226">
          <cell r="D1226">
            <v>13.63</v>
          </cell>
        </row>
        <row r="1227">
          <cell r="D1227">
            <v>13.64</v>
          </cell>
        </row>
        <row r="1228">
          <cell r="D1228">
            <v>13.65</v>
          </cell>
        </row>
        <row r="1229">
          <cell r="D1229">
            <v>13.66</v>
          </cell>
        </row>
        <row r="1230">
          <cell r="D1230">
            <v>13.67</v>
          </cell>
        </row>
        <row r="1231">
          <cell r="D1231">
            <v>13.68</v>
          </cell>
        </row>
        <row r="1232">
          <cell r="D1232">
            <v>13.69</v>
          </cell>
        </row>
        <row r="1233">
          <cell r="D1233">
            <v>13.7</v>
          </cell>
        </row>
        <row r="1234">
          <cell r="D1234">
            <v>13.71</v>
          </cell>
        </row>
        <row r="1235">
          <cell r="D1235">
            <v>13.72</v>
          </cell>
        </row>
        <row r="1236">
          <cell r="D1236">
            <v>13.73</v>
          </cell>
        </row>
        <row r="1237">
          <cell r="D1237">
            <v>13.74</v>
          </cell>
        </row>
        <row r="1238">
          <cell r="D1238">
            <v>13.75</v>
          </cell>
        </row>
        <row r="1239">
          <cell r="D1239">
            <v>13.76</v>
          </cell>
        </row>
        <row r="1240">
          <cell r="D1240">
            <v>13.77</v>
          </cell>
        </row>
        <row r="1241">
          <cell r="D1241">
            <v>13.78</v>
          </cell>
        </row>
        <row r="1242">
          <cell r="D1242">
            <v>13.79</v>
          </cell>
        </row>
        <row r="1243">
          <cell r="D1243">
            <v>13.8</v>
          </cell>
        </row>
        <row r="1244">
          <cell r="D1244">
            <v>13.81</v>
          </cell>
        </row>
        <row r="1245">
          <cell r="D1245">
            <v>13.82</v>
          </cell>
        </row>
        <row r="1246">
          <cell r="D1246">
            <v>13.83</v>
          </cell>
        </row>
        <row r="1247">
          <cell r="D1247">
            <v>13.84</v>
          </cell>
        </row>
        <row r="1248">
          <cell r="D1248">
            <v>13.85</v>
          </cell>
        </row>
        <row r="1249">
          <cell r="D1249">
            <v>13.86</v>
          </cell>
        </row>
        <row r="1250">
          <cell r="D1250">
            <v>13.87</v>
          </cell>
        </row>
        <row r="1251">
          <cell r="D1251">
            <v>13.88</v>
          </cell>
        </row>
        <row r="1252">
          <cell r="D1252">
            <v>13.89</v>
          </cell>
        </row>
        <row r="1253">
          <cell r="D1253">
            <v>13.9</v>
          </cell>
        </row>
        <row r="1254">
          <cell r="D1254">
            <v>13.91</v>
          </cell>
        </row>
        <row r="1255">
          <cell r="D1255">
            <v>13.92</v>
          </cell>
        </row>
        <row r="1256">
          <cell r="D1256">
            <v>13.93</v>
          </cell>
        </row>
        <row r="1257">
          <cell r="D1257">
            <v>13.94</v>
          </cell>
        </row>
        <row r="1258">
          <cell r="D1258">
            <v>13.95</v>
          </cell>
        </row>
        <row r="1259">
          <cell r="D1259">
            <v>13.96</v>
          </cell>
        </row>
        <row r="1260">
          <cell r="D1260">
            <v>13.97</v>
          </cell>
        </row>
        <row r="1261">
          <cell r="D1261">
            <v>13.98</v>
          </cell>
        </row>
        <row r="1262">
          <cell r="D1262">
            <v>13.99</v>
          </cell>
        </row>
        <row r="1263">
          <cell r="D1263">
            <v>14</v>
          </cell>
        </row>
        <row r="1264">
          <cell r="D1264">
            <v>14.01</v>
          </cell>
        </row>
        <row r="1265">
          <cell r="D1265">
            <v>14.02</v>
          </cell>
        </row>
        <row r="1266">
          <cell r="D1266">
            <v>14.03</v>
          </cell>
        </row>
        <row r="1267">
          <cell r="D1267">
            <v>14.04</v>
          </cell>
        </row>
        <row r="1268">
          <cell r="D1268">
            <v>14.05</v>
          </cell>
        </row>
        <row r="1269">
          <cell r="D1269">
            <v>14.06</v>
          </cell>
        </row>
        <row r="1270">
          <cell r="D1270">
            <v>14.07</v>
          </cell>
        </row>
        <row r="1271">
          <cell r="D1271">
            <v>14.08</v>
          </cell>
        </row>
        <row r="1272">
          <cell r="D1272">
            <v>14.09</v>
          </cell>
        </row>
        <row r="1273">
          <cell r="D1273">
            <v>14.1</v>
          </cell>
        </row>
        <row r="1274">
          <cell r="D1274">
            <v>14.11</v>
          </cell>
        </row>
        <row r="1275">
          <cell r="D1275">
            <v>14.12</v>
          </cell>
        </row>
        <row r="1276">
          <cell r="D1276">
            <v>14.13</v>
          </cell>
        </row>
        <row r="1277">
          <cell r="D1277">
            <v>14.14</v>
          </cell>
        </row>
        <row r="1278">
          <cell r="D1278">
            <v>14.15</v>
          </cell>
        </row>
        <row r="1279">
          <cell r="D1279">
            <v>14.16</v>
          </cell>
        </row>
        <row r="1280">
          <cell r="D1280">
            <v>14.17</v>
          </cell>
        </row>
        <row r="1281">
          <cell r="D1281">
            <v>14.18</v>
          </cell>
        </row>
        <row r="1282">
          <cell r="D1282">
            <v>14.19</v>
          </cell>
        </row>
        <row r="1283">
          <cell r="D1283">
            <v>14.2</v>
          </cell>
        </row>
        <row r="1284">
          <cell r="D1284">
            <v>14.21</v>
          </cell>
        </row>
        <row r="1285">
          <cell r="D1285">
            <v>14.22</v>
          </cell>
        </row>
        <row r="1286">
          <cell r="D1286">
            <v>14.23</v>
          </cell>
        </row>
        <row r="1287">
          <cell r="D1287">
            <v>14.24</v>
          </cell>
        </row>
        <row r="1288">
          <cell r="D1288">
            <v>14.25</v>
          </cell>
        </row>
        <row r="1289">
          <cell r="D1289">
            <v>14.26</v>
          </cell>
        </row>
        <row r="1290">
          <cell r="D1290">
            <v>14.27</v>
          </cell>
        </row>
        <row r="1291">
          <cell r="D1291">
            <v>14.28</v>
          </cell>
        </row>
        <row r="1292">
          <cell r="D1292">
            <v>14.29</v>
          </cell>
        </row>
        <row r="1293">
          <cell r="D1293">
            <v>14.3</v>
          </cell>
        </row>
        <row r="1294">
          <cell r="D1294">
            <v>14.31</v>
          </cell>
        </row>
        <row r="1295">
          <cell r="D1295">
            <v>14.32</v>
          </cell>
        </row>
        <row r="1296">
          <cell r="D1296">
            <v>14.33</v>
          </cell>
        </row>
        <row r="1297">
          <cell r="D1297">
            <v>14.34</v>
          </cell>
        </row>
        <row r="1298">
          <cell r="D1298">
            <v>14.35</v>
          </cell>
        </row>
        <row r="1299">
          <cell r="D1299">
            <v>14.36</v>
          </cell>
        </row>
        <row r="1300">
          <cell r="D1300">
            <v>14.37</v>
          </cell>
        </row>
        <row r="1301">
          <cell r="D1301">
            <v>14.38</v>
          </cell>
        </row>
        <row r="1302">
          <cell r="D1302">
            <v>14.39</v>
          </cell>
        </row>
        <row r="1303">
          <cell r="D1303">
            <v>14.4</v>
          </cell>
        </row>
        <row r="1304">
          <cell r="D1304">
            <v>14.41</v>
          </cell>
        </row>
        <row r="1305">
          <cell r="D1305">
            <v>14.42</v>
          </cell>
        </row>
        <row r="1306">
          <cell r="D1306">
            <v>14.43</v>
          </cell>
        </row>
        <row r="1307">
          <cell r="D1307">
            <v>14.44</v>
          </cell>
        </row>
        <row r="1308">
          <cell r="D1308">
            <v>14.45</v>
          </cell>
        </row>
        <row r="1309">
          <cell r="D1309">
            <v>14.46</v>
          </cell>
        </row>
        <row r="1310">
          <cell r="D1310">
            <v>14.47</v>
          </cell>
        </row>
        <row r="1311">
          <cell r="D1311">
            <v>14.48</v>
          </cell>
        </row>
        <row r="1312">
          <cell r="D1312">
            <v>14.49</v>
          </cell>
        </row>
        <row r="1313">
          <cell r="D1313">
            <v>14.5</v>
          </cell>
        </row>
        <row r="1314">
          <cell r="D1314">
            <v>14.51</v>
          </cell>
        </row>
        <row r="1315">
          <cell r="D1315">
            <v>14.52</v>
          </cell>
        </row>
        <row r="1316">
          <cell r="D1316">
            <v>14.53</v>
          </cell>
        </row>
        <row r="1317">
          <cell r="D1317">
            <v>14.54</v>
          </cell>
        </row>
        <row r="1318">
          <cell r="D1318">
            <v>14.55</v>
          </cell>
        </row>
        <row r="1319">
          <cell r="D1319">
            <v>14.56</v>
          </cell>
        </row>
        <row r="1320">
          <cell r="D1320">
            <v>14.57</v>
          </cell>
        </row>
        <row r="1321">
          <cell r="D1321">
            <v>14.58</v>
          </cell>
        </row>
        <row r="1322">
          <cell r="D1322">
            <v>14.59</v>
          </cell>
        </row>
        <row r="1323">
          <cell r="D1323">
            <v>14.6</v>
          </cell>
        </row>
        <row r="1324">
          <cell r="D1324">
            <v>14.61</v>
          </cell>
        </row>
        <row r="1325">
          <cell r="D1325">
            <v>14.62</v>
          </cell>
        </row>
        <row r="1326">
          <cell r="D1326">
            <v>14.63</v>
          </cell>
        </row>
        <row r="1327">
          <cell r="D1327">
            <v>14.64</v>
          </cell>
        </row>
        <row r="1328">
          <cell r="D1328">
            <v>14.65</v>
          </cell>
        </row>
        <row r="1329">
          <cell r="D1329">
            <v>14.66</v>
          </cell>
        </row>
        <row r="1330">
          <cell r="D1330">
            <v>14.67</v>
          </cell>
        </row>
        <row r="1331">
          <cell r="D1331">
            <v>14.68</v>
          </cell>
        </row>
        <row r="1332">
          <cell r="D1332">
            <v>14.69</v>
          </cell>
        </row>
        <row r="1333">
          <cell r="D1333">
            <v>14.7</v>
          </cell>
        </row>
        <row r="1334">
          <cell r="D1334">
            <v>14.71</v>
          </cell>
        </row>
        <row r="1335">
          <cell r="D1335">
            <v>14.72</v>
          </cell>
        </row>
        <row r="1336">
          <cell r="D1336">
            <v>14.73</v>
          </cell>
        </row>
        <row r="1337">
          <cell r="D1337">
            <v>14.74</v>
          </cell>
        </row>
        <row r="1338">
          <cell r="D1338">
            <v>14.75</v>
          </cell>
        </row>
        <row r="1339">
          <cell r="D1339">
            <v>14.76</v>
          </cell>
        </row>
        <row r="1340">
          <cell r="D1340">
            <v>14.77</v>
          </cell>
        </row>
        <row r="1341">
          <cell r="D1341">
            <v>14.78</v>
          </cell>
        </row>
        <row r="1342">
          <cell r="D1342">
            <v>14.79</v>
          </cell>
        </row>
        <row r="1343">
          <cell r="D1343">
            <v>14.8</v>
          </cell>
        </row>
        <row r="1344">
          <cell r="D1344">
            <v>14.81</v>
          </cell>
        </row>
        <row r="1345">
          <cell r="D1345">
            <v>14.82</v>
          </cell>
        </row>
        <row r="1346">
          <cell r="D1346">
            <v>14.83</v>
          </cell>
        </row>
        <row r="1347">
          <cell r="D1347">
            <v>14.84</v>
          </cell>
        </row>
        <row r="1348">
          <cell r="D1348">
            <v>14.85</v>
          </cell>
        </row>
        <row r="1349">
          <cell r="D1349">
            <v>14.86</v>
          </cell>
        </row>
        <row r="1350">
          <cell r="D1350">
            <v>14.87</v>
          </cell>
        </row>
        <row r="1351">
          <cell r="D1351">
            <v>14.88</v>
          </cell>
        </row>
        <row r="1352">
          <cell r="D1352">
            <v>14.89</v>
          </cell>
        </row>
        <row r="1353">
          <cell r="D1353">
            <v>14.9</v>
          </cell>
        </row>
        <row r="1354">
          <cell r="D1354">
            <v>14.91</v>
          </cell>
        </row>
        <row r="1355">
          <cell r="D1355">
            <v>14.92</v>
          </cell>
        </row>
        <row r="1356">
          <cell r="D1356">
            <v>14.93</v>
          </cell>
        </row>
        <row r="1357">
          <cell r="D1357">
            <v>14.94</v>
          </cell>
        </row>
        <row r="1358">
          <cell r="D1358">
            <v>14.95</v>
          </cell>
        </row>
        <row r="1359">
          <cell r="D1359">
            <v>14.96</v>
          </cell>
        </row>
        <row r="1360">
          <cell r="D1360">
            <v>14.97</v>
          </cell>
        </row>
        <row r="1361">
          <cell r="D1361">
            <v>14.98</v>
          </cell>
        </row>
        <row r="1362">
          <cell r="D1362">
            <v>14.99</v>
          </cell>
        </row>
        <row r="1363">
          <cell r="D1363">
            <v>15</v>
          </cell>
        </row>
        <row r="1364">
          <cell r="D1364">
            <v>15.01</v>
          </cell>
        </row>
        <row r="1365">
          <cell r="D1365">
            <v>15.02</v>
          </cell>
        </row>
        <row r="1366">
          <cell r="D1366">
            <v>15.03</v>
          </cell>
        </row>
        <row r="1367">
          <cell r="D1367">
            <v>15.04</v>
          </cell>
        </row>
        <row r="1368">
          <cell r="D1368">
            <v>15.05</v>
          </cell>
        </row>
        <row r="1369">
          <cell r="D1369">
            <v>15.06</v>
          </cell>
        </row>
        <row r="1370">
          <cell r="D1370">
            <v>15.07</v>
          </cell>
        </row>
        <row r="1371">
          <cell r="D1371">
            <v>15.08</v>
          </cell>
        </row>
        <row r="1372">
          <cell r="D1372">
            <v>15.09</v>
          </cell>
        </row>
        <row r="1373">
          <cell r="D1373">
            <v>15.1</v>
          </cell>
        </row>
        <row r="1374">
          <cell r="D1374">
            <v>15.11</v>
          </cell>
        </row>
        <row r="1375">
          <cell r="D1375">
            <v>15.12</v>
          </cell>
        </row>
        <row r="1376">
          <cell r="D1376">
            <v>15.13</v>
          </cell>
        </row>
        <row r="1377">
          <cell r="D1377">
            <v>15.14</v>
          </cell>
        </row>
        <row r="1378">
          <cell r="D1378">
            <v>15.15</v>
          </cell>
        </row>
        <row r="1379">
          <cell r="D1379">
            <v>15.16</v>
          </cell>
        </row>
        <row r="1380">
          <cell r="D1380">
            <v>15.17</v>
          </cell>
        </row>
        <row r="1381">
          <cell r="D1381">
            <v>15.18</v>
          </cell>
        </row>
        <row r="1382">
          <cell r="D1382">
            <v>15.19</v>
          </cell>
        </row>
        <row r="1383">
          <cell r="D1383">
            <v>15.2</v>
          </cell>
        </row>
        <row r="1384">
          <cell r="D1384">
            <v>15.21</v>
          </cell>
        </row>
        <row r="1385">
          <cell r="D1385">
            <v>15.22</v>
          </cell>
        </row>
        <row r="1386">
          <cell r="D1386">
            <v>15.23</v>
          </cell>
        </row>
        <row r="1387">
          <cell r="D1387">
            <v>15.24</v>
          </cell>
        </row>
        <row r="1388">
          <cell r="D1388">
            <v>15.25</v>
          </cell>
        </row>
        <row r="1389">
          <cell r="D1389">
            <v>15.26</v>
          </cell>
        </row>
        <row r="1390">
          <cell r="D1390">
            <v>15.27</v>
          </cell>
        </row>
        <row r="1391">
          <cell r="D1391">
            <v>15.28</v>
          </cell>
        </row>
        <row r="1392">
          <cell r="D1392">
            <v>15.29</v>
          </cell>
        </row>
        <row r="1393">
          <cell r="D1393">
            <v>15.3</v>
          </cell>
        </row>
        <row r="1394">
          <cell r="D1394">
            <v>15.31</v>
          </cell>
        </row>
        <row r="1395">
          <cell r="D1395">
            <v>15.32</v>
          </cell>
        </row>
        <row r="1396">
          <cell r="D1396">
            <v>15.33</v>
          </cell>
        </row>
        <row r="1397">
          <cell r="D1397">
            <v>15.34</v>
          </cell>
        </row>
        <row r="1398">
          <cell r="D1398">
            <v>15.35</v>
          </cell>
        </row>
        <row r="1399">
          <cell r="D1399">
            <v>15.36</v>
          </cell>
        </row>
        <row r="1400">
          <cell r="D1400">
            <v>15.37</v>
          </cell>
        </row>
        <row r="1401">
          <cell r="D1401">
            <v>15.38</v>
          </cell>
        </row>
        <row r="1402">
          <cell r="D1402">
            <v>15.39</v>
          </cell>
        </row>
        <row r="1403">
          <cell r="D1403">
            <v>15.4</v>
          </cell>
        </row>
        <row r="1404">
          <cell r="D1404">
            <v>15.41</v>
          </cell>
        </row>
        <row r="1405">
          <cell r="D1405">
            <v>15.42</v>
          </cell>
        </row>
        <row r="1406">
          <cell r="D1406">
            <v>15.43</v>
          </cell>
        </row>
        <row r="1407">
          <cell r="D1407">
            <v>15.44</v>
          </cell>
        </row>
        <row r="1408">
          <cell r="D1408">
            <v>15.45</v>
          </cell>
        </row>
        <row r="1409">
          <cell r="D1409">
            <v>15.46</v>
          </cell>
        </row>
        <row r="1410">
          <cell r="D1410">
            <v>15.47</v>
          </cell>
        </row>
        <row r="1411">
          <cell r="D1411">
            <v>15.48</v>
          </cell>
        </row>
        <row r="1412">
          <cell r="D1412">
            <v>15.49</v>
          </cell>
        </row>
        <row r="1413">
          <cell r="D1413">
            <v>15.5</v>
          </cell>
        </row>
        <row r="1414">
          <cell r="D1414">
            <v>15.51</v>
          </cell>
        </row>
        <row r="1415">
          <cell r="D1415">
            <v>15.52</v>
          </cell>
        </row>
        <row r="1416">
          <cell r="D1416">
            <v>15.53</v>
          </cell>
        </row>
        <row r="1417">
          <cell r="D1417">
            <v>15.54</v>
          </cell>
        </row>
        <row r="1418">
          <cell r="D1418">
            <v>15.55</v>
          </cell>
        </row>
        <row r="1419">
          <cell r="D1419">
            <v>15.56</v>
          </cell>
        </row>
        <row r="1420">
          <cell r="D1420">
            <v>15.57</v>
          </cell>
        </row>
        <row r="1421">
          <cell r="D1421">
            <v>15.58</v>
          </cell>
        </row>
        <row r="1422">
          <cell r="D1422">
            <v>15.59</v>
          </cell>
        </row>
        <row r="1423">
          <cell r="D1423">
            <v>15.6</v>
          </cell>
        </row>
        <row r="1424">
          <cell r="D1424">
            <v>15.61</v>
          </cell>
        </row>
        <row r="1425">
          <cell r="D1425">
            <v>15.62</v>
          </cell>
        </row>
        <row r="1426">
          <cell r="D1426">
            <v>15.63</v>
          </cell>
        </row>
        <row r="1427">
          <cell r="D1427">
            <v>15.64</v>
          </cell>
        </row>
        <row r="1428">
          <cell r="D1428">
            <v>15.65</v>
          </cell>
        </row>
        <row r="1429">
          <cell r="D1429">
            <v>15.66</v>
          </cell>
        </row>
        <row r="1430">
          <cell r="D1430">
            <v>15.67</v>
          </cell>
        </row>
        <row r="1431">
          <cell r="D1431">
            <v>15.68</v>
          </cell>
        </row>
        <row r="1432">
          <cell r="D1432">
            <v>15.69</v>
          </cell>
        </row>
        <row r="1433">
          <cell r="D1433">
            <v>15.7</v>
          </cell>
        </row>
        <row r="1434">
          <cell r="D1434">
            <v>15.71</v>
          </cell>
        </row>
        <row r="1435">
          <cell r="D1435">
            <v>15.72</v>
          </cell>
        </row>
        <row r="1436">
          <cell r="D1436">
            <v>15.73</v>
          </cell>
        </row>
        <row r="1437">
          <cell r="D1437">
            <v>15.74</v>
          </cell>
        </row>
        <row r="1438">
          <cell r="D1438">
            <v>15.75</v>
          </cell>
        </row>
        <row r="1439">
          <cell r="D1439">
            <v>15.76</v>
          </cell>
        </row>
        <row r="1440">
          <cell r="D1440">
            <v>15.77</v>
          </cell>
        </row>
        <row r="1441">
          <cell r="D1441">
            <v>15.78</v>
          </cell>
        </row>
        <row r="1442">
          <cell r="D1442">
            <v>15.79</v>
          </cell>
        </row>
        <row r="1443">
          <cell r="D1443">
            <v>15.8</v>
          </cell>
        </row>
        <row r="1444">
          <cell r="D1444">
            <v>15.81</v>
          </cell>
        </row>
        <row r="1445">
          <cell r="D1445">
            <v>15.82</v>
          </cell>
        </row>
        <row r="1446">
          <cell r="D1446">
            <v>15.83</v>
          </cell>
        </row>
        <row r="1447">
          <cell r="D1447">
            <v>15.84</v>
          </cell>
        </row>
        <row r="1448">
          <cell r="D1448">
            <v>15.85</v>
          </cell>
        </row>
        <row r="1449">
          <cell r="D1449">
            <v>15.86</v>
          </cell>
        </row>
        <row r="1450">
          <cell r="D1450">
            <v>15.87</v>
          </cell>
        </row>
        <row r="1451">
          <cell r="D1451">
            <v>15.88</v>
          </cell>
        </row>
        <row r="1452">
          <cell r="D1452">
            <v>15.89</v>
          </cell>
        </row>
        <row r="1453">
          <cell r="D1453">
            <v>15.9</v>
          </cell>
        </row>
        <row r="1454">
          <cell r="D1454">
            <v>15.91</v>
          </cell>
        </row>
        <row r="1455">
          <cell r="D1455">
            <v>15.92</v>
          </cell>
        </row>
        <row r="1456">
          <cell r="D1456">
            <v>15.93</v>
          </cell>
        </row>
        <row r="1457">
          <cell r="D1457">
            <v>15.94</v>
          </cell>
        </row>
        <row r="1458">
          <cell r="D1458">
            <v>15.95</v>
          </cell>
        </row>
        <row r="1459">
          <cell r="D1459">
            <v>15.96</v>
          </cell>
        </row>
        <row r="1460">
          <cell r="D1460">
            <v>15.97</v>
          </cell>
        </row>
        <row r="1461">
          <cell r="D1461">
            <v>15.98</v>
          </cell>
        </row>
        <row r="1462">
          <cell r="D1462">
            <v>15.99</v>
          </cell>
        </row>
        <row r="1463">
          <cell r="D1463">
            <v>16</v>
          </cell>
        </row>
        <row r="1464">
          <cell r="D1464">
            <v>16.010000000000002</v>
          </cell>
        </row>
        <row r="1465">
          <cell r="D1465">
            <v>16.02</v>
          </cell>
        </row>
        <row r="1466">
          <cell r="D1466">
            <v>16.03</v>
          </cell>
        </row>
        <row r="1467">
          <cell r="D1467">
            <v>16.04</v>
          </cell>
        </row>
        <row r="1468">
          <cell r="D1468">
            <v>16.05</v>
          </cell>
        </row>
        <row r="1469">
          <cell r="D1469">
            <v>16.059999999999999</v>
          </cell>
        </row>
        <row r="1470">
          <cell r="D1470">
            <v>16.07</v>
          </cell>
        </row>
        <row r="1471">
          <cell r="D1471">
            <v>16.079999999999998</v>
          </cell>
        </row>
        <row r="1472">
          <cell r="D1472">
            <v>16.09</v>
          </cell>
        </row>
        <row r="1473">
          <cell r="D1473">
            <v>16.100000000000001</v>
          </cell>
        </row>
        <row r="1474">
          <cell r="D1474">
            <v>16.11</v>
          </cell>
        </row>
        <row r="1475">
          <cell r="D1475">
            <v>16.12</v>
          </cell>
        </row>
        <row r="1476">
          <cell r="D1476">
            <v>16.13</v>
          </cell>
        </row>
        <row r="1477">
          <cell r="D1477">
            <v>16.14</v>
          </cell>
        </row>
        <row r="1478">
          <cell r="D1478">
            <v>16.149999999999999</v>
          </cell>
        </row>
        <row r="1479">
          <cell r="D1479">
            <v>16.16</v>
          </cell>
        </row>
        <row r="1480">
          <cell r="D1480">
            <v>16.170000000000002</v>
          </cell>
        </row>
        <row r="1481">
          <cell r="D1481">
            <v>16.18</v>
          </cell>
        </row>
        <row r="1482">
          <cell r="D1482">
            <v>16.190000000000001</v>
          </cell>
        </row>
        <row r="1483">
          <cell r="D1483">
            <v>16.2</v>
          </cell>
        </row>
        <row r="1484">
          <cell r="D1484">
            <v>16.21</v>
          </cell>
        </row>
        <row r="1485">
          <cell r="D1485">
            <v>16.22</v>
          </cell>
        </row>
        <row r="1486">
          <cell r="D1486">
            <v>16.23</v>
          </cell>
        </row>
        <row r="1487">
          <cell r="D1487">
            <v>16.239999999999998</v>
          </cell>
        </row>
        <row r="1488">
          <cell r="D1488">
            <v>16.25</v>
          </cell>
        </row>
        <row r="1489">
          <cell r="D1489">
            <v>16.260000000000002</v>
          </cell>
        </row>
        <row r="1490">
          <cell r="D1490">
            <v>16.27</v>
          </cell>
        </row>
        <row r="1491">
          <cell r="D1491">
            <v>16.28</v>
          </cell>
        </row>
        <row r="1492">
          <cell r="D1492">
            <v>16.29</v>
          </cell>
        </row>
        <row r="1493">
          <cell r="D1493">
            <v>16.3</v>
          </cell>
        </row>
        <row r="1494">
          <cell r="D1494">
            <v>16.309999999999999</v>
          </cell>
        </row>
        <row r="1495">
          <cell r="D1495">
            <v>16.32</v>
          </cell>
        </row>
        <row r="1496">
          <cell r="D1496">
            <v>16.329999999999998</v>
          </cell>
        </row>
        <row r="1497">
          <cell r="D1497">
            <v>16.34</v>
          </cell>
        </row>
        <row r="1498">
          <cell r="D1498">
            <v>16.350000000000001</v>
          </cell>
        </row>
        <row r="1499">
          <cell r="D1499">
            <v>16.36</v>
          </cell>
        </row>
        <row r="1500">
          <cell r="D1500">
            <v>16.37</v>
          </cell>
        </row>
        <row r="1501">
          <cell r="D1501">
            <v>16.38</v>
          </cell>
        </row>
        <row r="1502">
          <cell r="D1502">
            <v>16.39</v>
          </cell>
        </row>
        <row r="1503">
          <cell r="D1503">
            <v>16.399999999999999</v>
          </cell>
        </row>
        <row r="1504">
          <cell r="D1504">
            <v>16.41</v>
          </cell>
        </row>
        <row r="1505">
          <cell r="D1505">
            <v>16.420000000000002</v>
          </cell>
        </row>
        <row r="1506">
          <cell r="D1506">
            <v>16.43</v>
          </cell>
        </row>
        <row r="1507">
          <cell r="D1507">
            <v>16.440000000000001</v>
          </cell>
        </row>
        <row r="1508">
          <cell r="D1508">
            <v>16.45</v>
          </cell>
        </row>
        <row r="1509">
          <cell r="D1509">
            <v>16.46</v>
          </cell>
        </row>
        <row r="1510">
          <cell r="D1510">
            <v>16.47</v>
          </cell>
        </row>
        <row r="1511">
          <cell r="D1511">
            <v>16.48</v>
          </cell>
        </row>
        <row r="1512">
          <cell r="D1512">
            <v>16.489999999999998</v>
          </cell>
        </row>
        <row r="1513">
          <cell r="D1513">
            <v>16.5</v>
          </cell>
        </row>
        <row r="1514">
          <cell r="D1514">
            <v>16.510000000000002</v>
          </cell>
        </row>
        <row r="1515">
          <cell r="D1515">
            <v>16.52</v>
          </cell>
        </row>
        <row r="1516">
          <cell r="D1516">
            <v>16.53</v>
          </cell>
        </row>
        <row r="1517">
          <cell r="D1517">
            <v>16.54</v>
          </cell>
        </row>
        <row r="1518">
          <cell r="D1518">
            <v>16.55</v>
          </cell>
        </row>
        <row r="1519">
          <cell r="D1519">
            <v>16.559999999999999</v>
          </cell>
        </row>
        <row r="1520">
          <cell r="D1520">
            <v>16.57</v>
          </cell>
        </row>
        <row r="1521">
          <cell r="D1521">
            <v>16.579999999999998</v>
          </cell>
        </row>
        <row r="1522">
          <cell r="D1522">
            <v>16.59</v>
          </cell>
        </row>
        <row r="1523">
          <cell r="D1523">
            <v>16.600000000000001</v>
          </cell>
        </row>
        <row r="1524">
          <cell r="D1524">
            <v>16.61</v>
          </cell>
        </row>
        <row r="1525">
          <cell r="D1525">
            <v>16.62</v>
          </cell>
        </row>
        <row r="1526">
          <cell r="D1526">
            <v>16.63</v>
          </cell>
        </row>
        <row r="1527">
          <cell r="D1527">
            <v>16.64</v>
          </cell>
        </row>
        <row r="1528">
          <cell r="D1528">
            <v>16.649999999999999</v>
          </cell>
        </row>
        <row r="1529">
          <cell r="D1529">
            <v>16.66</v>
          </cell>
        </row>
        <row r="1530">
          <cell r="D1530">
            <v>16.670000000000002</v>
          </cell>
        </row>
        <row r="1531">
          <cell r="D1531">
            <v>16.68</v>
          </cell>
        </row>
        <row r="1532">
          <cell r="D1532">
            <v>16.690000000000001</v>
          </cell>
        </row>
        <row r="1533">
          <cell r="D1533">
            <v>16.7</v>
          </cell>
        </row>
        <row r="1534">
          <cell r="D1534">
            <v>16.71</v>
          </cell>
        </row>
        <row r="1535">
          <cell r="D1535">
            <v>16.72</v>
          </cell>
        </row>
        <row r="1536">
          <cell r="D1536">
            <v>16.73</v>
          </cell>
        </row>
        <row r="1537">
          <cell r="D1537">
            <v>16.739999999999998</v>
          </cell>
        </row>
        <row r="1538">
          <cell r="D1538">
            <v>16.75</v>
          </cell>
        </row>
        <row r="1539">
          <cell r="D1539">
            <v>16.760000000000002</v>
          </cell>
        </row>
        <row r="1540">
          <cell r="D1540">
            <v>16.77</v>
          </cell>
        </row>
        <row r="1541">
          <cell r="D1541">
            <v>16.78</v>
          </cell>
        </row>
        <row r="1542">
          <cell r="D1542">
            <v>16.79</v>
          </cell>
        </row>
        <row r="1543">
          <cell r="D1543">
            <v>16.8</v>
          </cell>
        </row>
        <row r="1544">
          <cell r="D1544">
            <v>16.809999999999999</v>
          </cell>
        </row>
        <row r="1545">
          <cell r="D1545">
            <v>16.82</v>
          </cell>
        </row>
        <row r="1546">
          <cell r="D1546">
            <v>16.829999999999998</v>
          </cell>
        </row>
        <row r="1547">
          <cell r="D1547">
            <v>16.84</v>
          </cell>
        </row>
        <row r="1548">
          <cell r="D1548">
            <v>16.850000000000001</v>
          </cell>
        </row>
        <row r="1549">
          <cell r="D1549">
            <v>16.86</v>
          </cell>
        </row>
        <row r="1550">
          <cell r="D1550">
            <v>16.87</v>
          </cell>
        </row>
        <row r="1551">
          <cell r="D1551">
            <v>16.88</v>
          </cell>
        </row>
        <row r="1552">
          <cell r="D1552">
            <v>16.89</v>
          </cell>
        </row>
        <row r="1553">
          <cell r="D1553">
            <v>16.899999999999999</v>
          </cell>
        </row>
        <row r="1554">
          <cell r="D1554">
            <v>16.91</v>
          </cell>
        </row>
        <row r="1555">
          <cell r="D1555">
            <v>16.920000000000002</v>
          </cell>
        </row>
        <row r="1556">
          <cell r="D1556">
            <v>16.93</v>
          </cell>
        </row>
        <row r="1557">
          <cell r="D1557">
            <v>16.940000000000001</v>
          </cell>
        </row>
        <row r="1558">
          <cell r="D1558">
            <v>16.95</v>
          </cell>
        </row>
        <row r="1559">
          <cell r="D1559">
            <v>16.96</v>
          </cell>
        </row>
        <row r="1560">
          <cell r="D1560">
            <v>16.97</v>
          </cell>
        </row>
        <row r="1561">
          <cell r="D1561">
            <v>16.98</v>
          </cell>
        </row>
        <row r="1562">
          <cell r="D1562">
            <v>16.989999999999998</v>
          </cell>
        </row>
        <row r="1563">
          <cell r="D1563">
            <v>17</v>
          </cell>
        </row>
        <row r="1564">
          <cell r="D1564">
            <v>17.010000000000002</v>
          </cell>
        </row>
        <row r="1565">
          <cell r="D1565">
            <v>17.02</v>
          </cell>
        </row>
        <row r="1566">
          <cell r="D1566">
            <v>17.03</v>
          </cell>
        </row>
        <row r="1567">
          <cell r="D1567">
            <v>17.04</v>
          </cell>
        </row>
        <row r="1568">
          <cell r="D1568">
            <v>17.05</v>
          </cell>
        </row>
        <row r="1569">
          <cell r="D1569">
            <v>17.059999999999999</v>
          </cell>
        </row>
        <row r="1570">
          <cell r="D1570">
            <v>17.07</v>
          </cell>
        </row>
        <row r="1571">
          <cell r="D1571">
            <v>17.079999999999998</v>
          </cell>
        </row>
        <row r="1572">
          <cell r="D1572">
            <v>17.09</v>
          </cell>
        </row>
        <row r="1573">
          <cell r="D1573">
            <v>17.100000000000001</v>
          </cell>
        </row>
        <row r="1574">
          <cell r="D1574">
            <v>17.11</v>
          </cell>
        </row>
        <row r="1575">
          <cell r="D1575">
            <v>17.12</v>
          </cell>
        </row>
        <row r="1576">
          <cell r="D1576">
            <v>17.13</v>
          </cell>
        </row>
        <row r="1577">
          <cell r="D1577">
            <v>17.14</v>
          </cell>
        </row>
        <row r="1578">
          <cell r="D1578">
            <v>17.149999999999999</v>
          </cell>
        </row>
        <row r="1579">
          <cell r="D1579">
            <v>17.16</v>
          </cell>
        </row>
        <row r="1580">
          <cell r="D1580">
            <v>17.170000000000002</v>
          </cell>
        </row>
        <row r="1581">
          <cell r="D1581">
            <v>17.18</v>
          </cell>
        </row>
        <row r="1582">
          <cell r="D1582">
            <v>17.190000000000001</v>
          </cell>
        </row>
        <row r="1583">
          <cell r="D1583">
            <v>17.2</v>
          </cell>
        </row>
        <row r="1584">
          <cell r="D1584">
            <v>17.21</v>
          </cell>
        </row>
        <row r="1585">
          <cell r="D1585">
            <v>17.22</v>
          </cell>
        </row>
        <row r="1586">
          <cell r="D1586">
            <v>17.23</v>
          </cell>
        </row>
        <row r="1587">
          <cell r="D1587">
            <v>17.239999999999998</v>
          </cell>
        </row>
        <row r="1588">
          <cell r="D1588">
            <v>17.25</v>
          </cell>
        </row>
        <row r="1589">
          <cell r="D1589">
            <v>17.260000000000002</v>
          </cell>
        </row>
        <row r="1590">
          <cell r="D1590">
            <v>17.27</v>
          </cell>
        </row>
        <row r="1591">
          <cell r="D1591">
            <v>17.28</v>
          </cell>
        </row>
        <row r="1592">
          <cell r="D1592">
            <v>17.29</v>
          </cell>
        </row>
        <row r="1593">
          <cell r="D1593">
            <v>17.3</v>
          </cell>
        </row>
        <row r="1594">
          <cell r="D1594">
            <v>17.309999999999999</v>
          </cell>
        </row>
        <row r="1595">
          <cell r="D1595">
            <v>17.32</v>
          </cell>
        </row>
        <row r="1596">
          <cell r="D1596">
            <v>17.329999999999998</v>
          </cell>
        </row>
        <row r="1597">
          <cell r="D1597">
            <v>17.34</v>
          </cell>
        </row>
        <row r="1598">
          <cell r="D1598">
            <v>17.350000000000001</v>
          </cell>
        </row>
        <row r="1599">
          <cell r="D1599">
            <v>17.36</v>
          </cell>
        </row>
        <row r="1600">
          <cell r="D1600">
            <v>17.37</v>
          </cell>
        </row>
        <row r="1601">
          <cell r="D1601">
            <v>17.38</v>
          </cell>
        </row>
        <row r="1602">
          <cell r="D1602">
            <v>17.39</v>
          </cell>
        </row>
        <row r="1603">
          <cell r="D1603">
            <v>17.399999999999999</v>
          </cell>
        </row>
        <row r="1604">
          <cell r="D1604">
            <v>17.41</v>
          </cell>
        </row>
        <row r="1605">
          <cell r="D1605">
            <v>17.420000000000002</v>
          </cell>
        </row>
        <row r="1606">
          <cell r="D1606">
            <v>17.43</v>
          </cell>
        </row>
        <row r="1607">
          <cell r="D1607">
            <v>17.440000000000001</v>
          </cell>
        </row>
        <row r="1608">
          <cell r="D1608">
            <v>17.45</v>
          </cell>
        </row>
        <row r="1609">
          <cell r="D1609">
            <v>17.46</v>
          </cell>
        </row>
        <row r="1610">
          <cell r="D1610">
            <v>17.47</v>
          </cell>
        </row>
        <row r="1611">
          <cell r="D1611">
            <v>17.48</v>
          </cell>
        </row>
        <row r="1612">
          <cell r="D1612">
            <v>17.489999999999998</v>
          </cell>
        </row>
        <row r="1613">
          <cell r="D1613">
            <v>17.5</v>
          </cell>
        </row>
        <row r="1614">
          <cell r="D1614">
            <v>17.510000000000002</v>
          </cell>
        </row>
        <row r="1615">
          <cell r="D1615">
            <v>17.52</v>
          </cell>
        </row>
        <row r="1616">
          <cell r="D1616">
            <v>17.53</v>
          </cell>
        </row>
        <row r="1617">
          <cell r="D1617">
            <v>17.54</v>
          </cell>
        </row>
        <row r="1618">
          <cell r="D1618">
            <v>17.55</v>
          </cell>
        </row>
        <row r="1619">
          <cell r="D1619">
            <v>17.559999999999999</v>
          </cell>
        </row>
        <row r="1620">
          <cell r="D1620">
            <v>17.57</v>
          </cell>
        </row>
        <row r="1621">
          <cell r="D1621">
            <v>17.579999999999998</v>
          </cell>
        </row>
        <row r="1622">
          <cell r="D1622">
            <v>17.59</v>
          </cell>
        </row>
        <row r="1623">
          <cell r="D1623">
            <v>17.600000000000001</v>
          </cell>
        </row>
        <row r="1624">
          <cell r="D1624">
            <v>17.61</v>
          </cell>
        </row>
        <row r="1625">
          <cell r="D1625">
            <v>17.62</v>
          </cell>
        </row>
        <row r="1626">
          <cell r="D1626">
            <v>17.63</v>
          </cell>
        </row>
        <row r="1627">
          <cell r="D1627">
            <v>17.64</v>
          </cell>
        </row>
        <row r="1628">
          <cell r="D1628">
            <v>17.649999999999999</v>
          </cell>
        </row>
        <row r="1629">
          <cell r="D1629">
            <v>17.66</v>
          </cell>
        </row>
        <row r="1630">
          <cell r="D1630">
            <v>17.670000000000002</v>
          </cell>
        </row>
        <row r="1631">
          <cell r="D1631">
            <v>17.68</v>
          </cell>
        </row>
        <row r="1632">
          <cell r="D1632">
            <v>17.690000000000001</v>
          </cell>
        </row>
        <row r="1633">
          <cell r="D1633">
            <v>17.7</v>
          </cell>
        </row>
        <row r="1634">
          <cell r="D1634">
            <v>17.71</v>
          </cell>
        </row>
        <row r="1635">
          <cell r="D1635">
            <v>17.72</v>
          </cell>
        </row>
        <row r="1636">
          <cell r="D1636">
            <v>17.73</v>
          </cell>
        </row>
        <row r="1637">
          <cell r="D1637">
            <v>17.739999999999998</v>
          </cell>
        </row>
        <row r="1638">
          <cell r="D1638">
            <v>17.75</v>
          </cell>
        </row>
        <row r="1639">
          <cell r="D1639">
            <v>17.760000000000002</v>
          </cell>
        </row>
        <row r="1640">
          <cell r="D1640">
            <v>17.77</v>
          </cell>
        </row>
        <row r="1641">
          <cell r="D1641">
            <v>17.78</v>
          </cell>
        </row>
        <row r="1642">
          <cell r="D1642">
            <v>17.79</v>
          </cell>
        </row>
        <row r="1643">
          <cell r="D1643">
            <v>17.8</v>
          </cell>
        </row>
        <row r="1644">
          <cell r="D1644">
            <v>17.809999999999999</v>
          </cell>
        </row>
        <row r="1645">
          <cell r="D1645">
            <v>17.82</v>
          </cell>
        </row>
        <row r="1646">
          <cell r="D1646">
            <v>17.829999999999998</v>
          </cell>
        </row>
        <row r="1647">
          <cell r="D1647">
            <v>17.84</v>
          </cell>
        </row>
        <row r="1648">
          <cell r="D1648">
            <v>17.850000000000001</v>
          </cell>
        </row>
        <row r="1649">
          <cell r="D1649">
            <v>17.86</v>
          </cell>
        </row>
        <row r="1650">
          <cell r="D1650">
            <v>17.87</v>
          </cell>
        </row>
        <row r="1651">
          <cell r="D1651">
            <v>17.88</v>
          </cell>
        </row>
        <row r="1652">
          <cell r="D1652">
            <v>17.89</v>
          </cell>
        </row>
        <row r="1653">
          <cell r="D1653">
            <v>17.899999999999999</v>
          </cell>
        </row>
        <row r="1654">
          <cell r="D1654">
            <v>17.91</v>
          </cell>
        </row>
        <row r="1655">
          <cell r="D1655">
            <v>17.920000000000002</v>
          </cell>
        </row>
        <row r="1656">
          <cell r="D1656">
            <v>17.93</v>
          </cell>
        </row>
        <row r="1657">
          <cell r="D1657">
            <v>17.940000000000001</v>
          </cell>
        </row>
        <row r="1658">
          <cell r="D1658">
            <v>17.95</v>
          </cell>
        </row>
        <row r="1659">
          <cell r="D1659">
            <v>17.96</v>
          </cell>
        </row>
        <row r="1660">
          <cell r="D1660">
            <v>17.97</v>
          </cell>
        </row>
        <row r="1661">
          <cell r="D1661">
            <v>17.98</v>
          </cell>
        </row>
        <row r="1662">
          <cell r="D1662">
            <v>17.989999999999998</v>
          </cell>
        </row>
        <row r="1663">
          <cell r="D1663">
            <v>18</v>
          </cell>
        </row>
        <row r="1664">
          <cell r="D1664">
            <v>18.010000000000002</v>
          </cell>
        </row>
        <row r="1665">
          <cell r="D1665">
            <v>18.02</v>
          </cell>
        </row>
        <row r="1666">
          <cell r="D1666">
            <v>18.03</v>
          </cell>
        </row>
        <row r="1667">
          <cell r="D1667">
            <v>18.04</v>
          </cell>
        </row>
        <row r="1668">
          <cell r="D1668">
            <v>18.05</v>
          </cell>
        </row>
        <row r="1669">
          <cell r="D1669">
            <v>18.059999999999999</v>
          </cell>
        </row>
        <row r="1670">
          <cell r="D1670">
            <v>18.07</v>
          </cell>
        </row>
        <row r="1671">
          <cell r="D1671">
            <v>18.079999999999998</v>
          </cell>
        </row>
        <row r="1672">
          <cell r="D1672">
            <v>18.09</v>
          </cell>
        </row>
        <row r="1673">
          <cell r="D1673">
            <v>18.100000000000001</v>
          </cell>
        </row>
        <row r="1674">
          <cell r="D1674">
            <v>18.11</v>
          </cell>
        </row>
        <row r="1675">
          <cell r="D1675">
            <v>18.12</v>
          </cell>
        </row>
        <row r="1676">
          <cell r="D1676">
            <v>18.13</v>
          </cell>
        </row>
        <row r="1677">
          <cell r="D1677">
            <v>18.14</v>
          </cell>
        </row>
        <row r="1678">
          <cell r="D1678">
            <v>18.149999999999999</v>
          </cell>
        </row>
        <row r="1679">
          <cell r="D1679">
            <v>18.16</v>
          </cell>
        </row>
        <row r="1680">
          <cell r="D1680">
            <v>18.170000000000002</v>
          </cell>
        </row>
        <row r="1681">
          <cell r="D1681">
            <v>18.18</v>
          </cell>
        </row>
        <row r="1682">
          <cell r="D1682">
            <v>18.190000000000001</v>
          </cell>
        </row>
        <row r="1683">
          <cell r="D1683">
            <v>18.2</v>
          </cell>
        </row>
        <row r="1684">
          <cell r="D1684">
            <v>18.21</v>
          </cell>
        </row>
        <row r="1685">
          <cell r="D1685">
            <v>18.22</v>
          </cell>
        </row>
        <row r="1686">
          <cell r="D1686">
            <v>18.23</v>
          </cell>
        </row>
        <row r="1687">
          <cell r="D1687">
            <v>18.239999999999998</v>
          </cell>
        </row>
        <row r="1688">
          <cell r="D1688">
            <v>18.25</v>
          </cell>
        </row>
        <row r="1689">
          <cell r="D1689">
            <v>18.260000000000002</v>
          </cell>
        </row>
        <row r="1690">
          <cell r="D1690">
            <v>18.27</v>
          </cell>
        </row>
        <row r="1691">
          <cell r="D1691">
            <v>18.28</v>
          </cell>
        </row>
        <row r="1692">
          <cell r="D1692">
            <v>18.29</v>
          </cell>
        </row>
        <row r="1693">
          <cell r="D1693">
            <v>18.3</v>
          </cell>
        </row>
        <row r="1694">
          <cell r="D1694">
            <v>18.309999999999999</v>
          </cell>
        </row>
        <row r="1695">
          <cell r="D1695">
            <v>18.32</v>
          </cell>
        </row>
        <row r="1696">
          <cell r="D1696">
            <v>18.329999999999998</v>
          </cell>
        </row>
        <row r="1697">
          <cell r="D1697">
            <v>18.34</v>
          </cell>
        </row>
        <row r="1698">
          <cell r="D1698">
            <v>18.350000000000001</v>
          </cell>
        </row>
        <row r="1699">
          <cell r="D1699">
            <v>18.36</v>
          </cell>
        </row>
        <row r="1700">
          <cell r="D1700">
            <v>18.37</v>
          </cell>
        </row>
        <row r="1701">
          <cell r="D1701">
            <v>18.38</v>
          </cell>
        </row>
        <row r="1702">
          <cell r="D1702">
            <v>18.39</v>
          </cell>
        </row>
        <row r="1703">
          <cell r="D1703">
            <v>18.399999999999999</v>
          </cell>
        </row>
        <row r="1704">
          <cell r="D1704">
            <v>18.41</v>
          </cell>
        </row>
        <row r="1705">
          <cell r="D1705">
            <v>18.420000000000002</v>
          </cell>
        </row>
        <row r="1706">
          <cell r="D1706">
            <v>18.43</v>
          </cell>
        </row>
        <row r="1707">
          <cell r="D1707">
            <v>18.440000000000001</v>
          </cell>
        </row>
        <row r="1708">
          <cell r="D1708">
            <v>18.45</v>
          </cell>
        </row>
        <row r="1709">
          <cell r="D1709">
            <v>18.46</v>
          </cell>
        </row>
        <row r="1710">
          <cell r="D1710">
            <v>18.47</v>
          </cell>
        </row>
        <row r="1711">
          <cell r="D1711">
            <v>18.48</v>
          </cell>
        </row>
        <row r="1712">
          <cell r="D1712">
            <v>18.489999999999998</v>
          </cell>
        </row>
        <row r="1713">
          <cell r="D1713">
            <v>18.5</v>
          </cell>
        </row>
        <row r="1714">
          <cell r="D1714">
            <v>18.510000000000002</v>
          </cell>
        </row>
        <row r="1715">
          <cell r="D1715">
            <v>18.52</v>
          </cell>
        </row>
        <row r="1716">
          <cell r="D1716">
            <v>18.53</v>
          </cell>
        </row>
        <row r="1717">
          <cell r="D1717">
            <v>18.54</v>
          </cell>
        </row>
        <row r="1718">
          <cell r="D1718">
            <v>18.55</v>
          </cell>
        </row>
        <row r="1719">
          <cell r="D1719">
            <v>18.559999999999999</v>
          </cell>
        </row>
        <row r="1720">
          <cell r="D1720">
            <v>18.57</v>
          </cell>
        </row>
        <row r="1721">
          <cell r="D1721">
            <v>18.579999999999998</v>
          </cell>
        </row>
        <row r="1722">
          <cell r="D1722">
            <v>18.59</v>
          </cell>
        </row>
        <row r="1723">
          <cell r="D1723">
            <v>18.600000000000001</v>
          </cell>
        </row>
        <row r="1724">
          <cell r="D1724">
            <v>18.61</v>
          </cell>
        </row>
        <row r="1725">
          <cell r="D1725">
            <v>18.62</v>
          </cell>
        </row>
        <row r="1726">
          <cell r="D1726">
            <v>18.63</v>
          </cell>
        </row>
        <row r="1727">
          <cell r="D1727">
            <v>18.64</v>
          </cell>
        </row>
        <row r="1728">
          <cell r="D1728">
            <v>18.649999999999999</v>
          </cell>
        </row>
        <row r="1729">
          <cell r="D1729">
            <v>18.66</v>
          </cell>
        </row>
        <row r="1730">
          <cell r="D1730">
            <v>18.670000000000002</v>
          </cell>
        </row>
        <row r="1731">
          <cell r="D1731">
            <v>18.68</v>
          </cell>
        </row>
        <row r="1732">
          <cell r="D1732">
            <v>18.690000000000001</v>
          </cell>
        </row>
        <row r="1733">
          <cell r="D1733">
            <v>18.7</v>
          </cell>
        </row>
        <row r="1734">
          <cell r="D1734">
            <v>18.71</v>
          </cell>
        </row>
        <row r="1735">
          <cell r="D1735">
            <v>18.72</v>
          </cell>
        </row>
        <row r="1736">
          <cell r="D1736">
            <v>18.73</v>
          </cell>
        </row>
        <row r="1737">
          <cell r="D1737">
            <v>18.739999999999998</v>
          </cell>
        </row>
        <row r="1738">
          <cell r="D1738">
            <v>18.75</v>
          </cell>
        </row>
        <row r="1739">
          <cell r="D1739">
            <v>18.760000000000002</v>
          </cell>
        </row>
        <row r="1740">
          <cell r="D1740">
            <v>18.77</v>
          </cell>
        </row>
        <row r="1741">
          <cell r="D1741">
            <v>18.78</v>
          </cell>
        </row>
        <row r="1742">
          <cell r="D1742">
            <v>18.79</v>
          </cell>
        </row>
        <row r="1743">
          <cell r="D1743">
            <v>18.8</v>
          </cell>
        </row>
        <row r="1744">
          <cell r="D1744">
            <v>18.809999999999999</v>
          </cell>
        </row>
        <row r="1745">
          <cell r="D1745">
            <v>18.82</v>
          </cell>
        </row>
        <row r="1746">
          <cell r="D1746">
            <v>18.829999999999998</v>
          </cell>
        </row>
        <row r="1747">
          <cell r="D1747">
            <v>18.84</v>
          </cell>
        </row>
        <row r="1748">
          <cell r="D1748">
            <v>18.850000000000001</v>
          </cell>
        </row>
        <row r="1749">
          <cell r="D1749">
            <v>18.86</v>
          </cell>
        </row>
        <row r="1750">
          <cell r="D1750">
            <v>18.87</v>
          </cell>
        </row>
        <row r="1751">
          <cell r="D1751">
            <v>18.88</v>
          </cell>
        </row>
        <row r="1752">
          <cell r="D1752">
            <v>18.89</v>
          </cell>
        </row>
        <row r="1753">
          <cell r="D1753">
            <v>18.899999999999999</v>
          </cell>
        </row>
        <row r="1754">
          <cell r="D1754">
            <v>18.91</v>
          </cell>
        </row>
        <row r="1755">
          <cell r="D1755">
            <v>18.920000000000002</v>
          </cell>
        </row>
        <row r="1756">
          <cell r="D1756">
            <v>18.93</v>
          </cell>
        </row>
        <row r="1757">
          <cell r="D1757">
            <v>18.940000000000001</v>
          </cell>
        </row>
        <row r="1758">
          <cell r="D1758">
            <v>18.95</v>
          </cell>
        </row>
        <row r="1759">
          <cell r="D1759">
            <v>18.96</v>
          </cell>
        </row>
        <row r="1760">
          <cell r="D1760">
            <v>18.97</v>
          </cell>
        </row>
        <row r="1761">
          <cell r="D1761">
            <v>18.98</v>
          </cell>
        </row>
        <row r="1762">
          <cell r="D1762">
            <v>18.989999999999998</v>
          </cell>
        </row>
        <row r="1763">
          <cell r="D1763">
            <v>19</v>
          </cell>
        </row>
        <row r="1764">
          <cell r="D1764">
            <v>19.010000000000002</v>
          </cell>
        </row>
        <row r="1765">
          <cell r="D1765">
            <v>19.02</v>
          </cell>
        </row>
        <row r="1766">
          <cell r="D1766">
            <v>19.03</v>
          </cell>
        </row>
        <row r="1767">
          <cell r="D1767">
            <v>19.04</v>
          </cell>
        </row>
        <row r="1768">
          <cell r="D1768">
            <v>19.05</v>
          </cell>
        </row>
        <row r="1769">
          <cell r="D1769">
            <v>19.059999999999999</v>
          </cell>
        </row>
        <row r="1770">
          <cell r="D1770">
            <v>19.07</v>
          </cell>
        </row>
        <row r="1771">
          <cell r="D1771">
            <v>19.079999999999998</v>
          </cell>
        </row>
        <row r="1772">
          <cell r="D1772">
            <v>19.09</v>
          </cell>
        </row>
        <row r="1773">
          <cell r="D1773">
            <v>19.100000000000001</v>
          </cell>
        </row>
        <row r="1774">
          <cell r="D1774">
            <v>19.11</v>
          </cell>
        </row>
        <row r="1775">
          <cell r="D1775">
            <v>19.12</v>
          </cell>
        </row>
        <row r="1776">
          <cell r="D1776">
            <v>19.13</v>
          </cell>
        </row>
        <row r="1777">
          <cell r="D1777">
            <v>19.14</v>
          </cell>
        </row>
        <row r="1778">
          <cell r="D1778">
            <v>19.149999999999999</v>
          </cell>
        </row>
        <row r="1779">
          <cell r="D1779">
            <v>19.16</v>
          </cell>
        </row>
        <row r="1780">
          <cell r="D1780">
            <v>19.170000000000002</v>
          </cell>
        </row>
        <row r="1781">
          <cell r="D1781">
            <v>19.18</v>
          </cell>
        </row>
        <row r="1782">
          <cell r="D1782">
            <v>19.190000000000001</v>
          </cell>
        </row>
        <row r="1783">
          <cell r="D1783">
            <v>19.2</v>
          </cell>
        </row>
        <row r="1784">
          <cell r="D1784">
            <v>19.21</v>
          </cell>
        </row>
        <row r="1785">
          <cell r="D1785">
            <v>19.22</v>
          </cell>
        </row>
        <row r="1786">
          <cell r="D1786">
            <v>19.23</v>
          </cell>
        </row>
        <row r="1787">
          <cell r="D1787">
            <v>19.239999999999998</v>
          </cell>
        </row>
        <row r="1788">
          <cell r="D1788">
            <v>19.25</v>
          </cell>
        </row>
        <row r="1789">
          <cell r="D1789">
            <v>19.260000000000002</v>
          </cell>
        </row>
        <row r="1790">
          <cell r="D1790">
            <v>19.27</v>
          </cell>
        </row>
        <row r="1791">
          <cell r="D1791">
            <v>19.28</v>
          </cell>
        </row>
        <row r="1792">
          <cell r="D1792">
            <v>19.29</v>
          </cell>
        </row>
        <row r="1793">
          <cell r="D1793">
            <v>19.3</v>
          </cell>
        </row>
        <row r="1794">
          <cell r="D1794">
            <v>19.309999999999999</v>
          </cell>
        </row>
        <row r="1795">
          <cell r="D1795">
            <v>19.32</v>
          </cell>
        </row>
        <row r="1796">
          <cell r="D1796">
            <v>19.329999999999998</v>
          </cell>
        </row>
        <row r="1797">
          <cell r="D1797">
            <v>19.34</v>
          </cell>
        </row>
        <row r="1798">
          <cell r="D1798">
            <v>19.350000000000001</v>
          </cell>
        </row>
        <row r="1799">
          <cell r="D1799">
            <v>19.36</v>
          </cell>
        </row>
        <row r="1800">
          <cell r="D1800">
            <v>19.37</v>
          </cell>
        </row>
        <row r="1801">
          <cell r="D1801">
            <v>19.38</v>
          </cell>
        </row>
        <row r="1802">
          <cell r="D1802">
            <v>19.39</v>
          </cell>
        </row>
        <row r="1803">
          <cell r="D1803">
            <v>19.399999999999999</v>
          </cell>
        </row>
        <row r="1804">
          <cell r="D1804">
            <v>19.41</v>
          </cell>
        </row>
        <row r="1805">
          <cell r="D1805">
            <v>19.420000000000002</v>
          </cell>
        </row>
        <row r="1806">
          <cell r="D1806">
            <v>19.43</v>
          </cell>
        </row>
        <row r="1807">
          <cell r="D1807">
            <v>19.440000000000001</v>
          </cell>
        </row>
        <row r="1808">
          <cell r="D1808">
            <v>19.45</v>
          </cell>
        </row>
        <row r="1809">
          <cell r="D1809">
            <v>19.46</v>
          </cell>
        </row>
        <row r="1810">
          <cell r="D1810">
            <v>19.47</v>
          </cell>
        </row>
        <row r="1811">
          <cell r="D1811">
            <v>19.48</v>
          </cell>
        </row>
        <row r="1812">
          <cell r="D1812">
            <v>19.489999999999998</v>
          </cell>
        </row>
        <row r="1813">
          <cell r="D1813">
            <v>19.5</v>
          </cell>
        </row>
        <row r="1814">
          <cell r="D1814">
            <v>19.510000000000002</v>
          </cell>
        </row>
        <row r="1815">
          <cell r="D1815">
            <v>19.52</v>
          </cell>
        </row>
        <row r="1816">
          <cell r="D1816">
            <v>19.53</v>
          </cell>
        </row>
        <row r="1817">
          <cell r="D1817">
            <v>19.54</v>
          </cell>
        </row>
        <row r="1818">
          <cell r="D1818">
            <v>19.55</v>
          </cell>
        </row>
        <row r="1819">
          <cell r="D1819">
            <v>19.559999999999999</v>
          </cell>
        </row>
        <row r="1820">
          <cell r="D1820">
            <v>19.57</v>
          </cell>
        </row>
        <row r="1821">
          <cell r="D1821">
            <v>19.579999999999998</v>
          </cell>
        </row>
        <row r="1822">
          <cell r="D1822">
            <v>19.59</v>
          </cell>
        </row>
        <row r="1823">
          <cell r="D1823">
            <v>19.600000000000001</v>
          </cell>
        </row>
        <row r="1824">
          <cell r="D1824">
            <v>19.61</v>
          </cell>
        </row>
        <row r="1825">
          <cell r="D1825">
            <v>19.62</v>
          </cell>
        </row>
        <row r="1826">
          <cell r="D1826">
            <v>19.63</v>
          </cell>
        </row>
        <row r="1827">
          <cell r="D1827">
            <v>19.64</v>
          </cell>
        </row>
        <row r="1828">
          <cell r="D1828">
            <v>19.649999999999999</v>
          </cell>
        </row>
        <row r="1829">
          <cell r="D1829">
            <v>19.66</v>
          </cell>
        </row>
        <row r="1830">
          <cell r="D1830">
            <v>19.670000000000002</v>
          </cell>
        </row>
        <row r="1831">
          <cell r="D1831">
            <v>19.68</v>
          </cell>
        </row>
        <row r="1832">
          <cell r="D1832">
            <v>19.690000000000001</v>
          </cell>
        </row>
        <row r="1833">
          <cell r="D1833">
            <v>19.7</v>
          </cell>
        </row>
        <row r="1834">
          <cell r="D1834">
            <v>19.71</v>
          </cell>
        </row>
        <row r="1835">
          <cell r="D1835">
            <v>19.72</v>
          </cell>
        </row>
        <row r="1836">
          <cell r="D1836">
            <v>19.73</v>
          </cell>
        </row>
        <row r="1837">
          <cell r="D1837">
            <v>19.739999999999998</v>
          </cell>
        </row>
        <row r="1838">
          <cell r="D1838">
            <v>19.75</v>
          </cell>
        </row>
        <row r="1839">
          <cell r="D1839">
            <v>19.760000000000002</v>
          </cell>
        </row>
        <row r="1840">
          <cell r="D1840">
            <v>19.77</v>
          </cell>
        </row>
        <row r="1841">
          <cell r="D1841">
            <v>19.78</v>
          </cell>
        </row>
        <row r="1842">
          <cell r="D1842">
            <v>19.79</v>
          </cell>
        </row>
        <row r="1843">
          <cell r="D1843">
            <v>19.8</v>
          </cell>
        </row>
        <row r="1844">
          <cell r="D1844">
            <v>19.809999999999999</v>
          </cell>
        </row>
        <row r="1845">
          <cell r="D1845">
            <v>19.82</v>
          </cell>
        </row>
        <row r="1846">
          <cell r="D1846">
            <v>19.829999999999998</v>
          </cell>
        </row>
        <row r="1847">
          <cell r="D1847">
            <v>19.84</v>
          </cell>
        </row>
        <row r="1848">
          <cell r="D1848">
            <v>19.850000000000001</v>
          </cell>
        </row>
        <row r="1849">
          <cell r="D1849">
            <v>19.86</v>
          </cell>
        </row>
        <row r="1850">
          <cell r="D1850">
            <v>19.87</v>
          </cell>
        </row>
        <row r="1851">
          <cell r="D1851">
            <v>19.88</v>
          </cell>
        </row>
        <row r="1852">
          <cell r="D1852">
            <v>19.89</v>
          </cell>
        </row>
        <row r="1853">
          <cell r="D1853">
            <v>19.899999999999999</v>
          </cell>
        </row>
        <row r="1854">
          <cell r="D1854">
            <v>19.91</v>
          </cell>
        </row>
        <row r="1855">
          <cell r="D1855">
            <v>19.920000000000002</v>
          </cell>
        </row>
        <row r="1856">
          <cell r="D1856">
            <v>19.93</v>
          </cell>
        </row>
        <row r="1857">
          <cell r="D1857">
            <v>19.940000000000001</v>
          </cell>
        </row>
        <row r="1858">
          <cell r="D1858">
            <v>19.95</v>
          </cell>
        </row>
        <row r="1859">
          <cell r="D1859">
            <v>19.96</v>
          </cell>
        </row>
        <row r="1860">
          <cell r="D1860">
            <v>19.97</v>
          </cell>
        </row>
        <row r="1861">
          <cell r="D1861">
            <v>19.98</v>
          </cell>
        </row>
        <row r="1862">
          <cell r="D1862">
            <v>19.989999999999998</v>
          </cell>
        </row>
        <row r="1863">
          <cell r="D1863">
            <v>20</v>
          </cell>
        </row>
        <row r="1864">
          <cell r="D1864">
            <v>20.010000000000002</v>
          </cell>
        </row>
        <row r="1865">
          <cell r="D1865">
            <v>20.02</v>
          </cell>
        </row>
        <row r="1866">
          <cell r="D1866">
            <v>20.03</v>
          </cell>
        </row>
        <row r="1867">
          <cell r="D1867">
            <v>20.04</v>
          </cell>
        </row>
        <row r="1868">
          <cell r="D1868">
            <v>20.05</v>
          </cell>
        </row>
        <row r="1869">
          <cell r="D1869">
            <v>20.059999999999999</v>
          </cell>
        </row>
        <row r="1870">
          <cell r="D1870">
            <v>20.07</v>
          </cell>
        </row>
        <row r="1871">
          <cell r="D1871">
            <v>20.079999999999998</v>
          </cell>
        </row>
        <row r="1872">
          <cell r="D1872">
            <v>20.09</v>
          </cell>
        </row>
        <row r="1873">
          <cell r="D1873">
            <v>20.100000000000001</v>
          </cell>
        </row>
        <row r="1874">
          <cell r="D1874">
            <v>20.11</v>
          </cell>
        </row>
        <row r="1875">
          <cell r="D1875">
            <v>20.12</v>
          </cell>
        </row>
        <row r="1876">
          <cell r="D1876">
            <v>20.13</v>
          </cell>
        </row>
        <row r="1877">
          <cell r="D1877">
            <v>20.14</v>
          </cell>
        </row>
        <row r="1878">
          <cell r="D1878">
            <v>20.149999999999999</v>
          </cell>
        </row>
        <row r="1879">
          <cell r="D1879">
            <v>20.16</v>
          </cell>
        </row>
        <row r="1880">
          <cell r="D1880">
            <v>20.170000000000002</v>
          </cell>
        </row>
        <row r="1881">
          <cell r="D1881">
            <v>20.18</v>
          </cell>
        </row>
        <row r="1882">
          <cell r="D1882">
            <v>20.190000000000001</v>
          </cell>
        </row>
        <row r="1883">
          <cell r="D1883">
            <v>20.2</v>
          </cell>
        </row>
        <row r="1884">
          <cell r="D1884">
            <v>20.21</v>
          </cell>
        </row>
        <row r="1885">
          <cell r="D1885">
            <v>20.22</v>
          </cell>
        </row>
        <row r="1886">
          <cell r="D1886">
            <v>20.23</v>
          </cell>
        </row>
        <row r="1887">
          <cell r="D1887">
            <v>20.239999999999998</v>
          </cell>
        </row>
        <row r="1888">
          <cell r="D1888">
            <v>20.25</v>
          </cell>
        </row>
        <row r="1889">
          <cell r="D1889">
            <v>20.260000000000002</v>
          </cell>
        </row>
        <row r="1890">
          <cell r="D1890">
            <v>20.27</v>
          </cell>
        </row>
        <row r="1891">
          <cell r="D1891">
            <v>20.28</v>
          </cell>
        </row>
        <row r="1892">
          <cell r="D1892">
            <v>20.29</v>
          </cell>
        </row>
        <row r="1893">
          <cell r="D1893">
            <v>20.3</v>
          </cell>
        </row>
        <row r="1894">
          <cell r="D1894">
            <v>20.309999999999999</v>
          </cell>
        </row>
        <row r="1895">
          <cell r="D1895">
            <v>20.32</v>
          </cell>
        </row>
        <row r="1896">
          <cell r="D1896">
            <v>20.329999999999998</v>
          </cell>
        </row>
        <row r="1897">
          <cell r="D1897">
            <v>20.34</v>
          </cell>
        </row>
        <row r="1898">
          <cell r="D1898">
            <v>20.350000000000001</v>
          </cell>
        </row>
        <row r="1899">
          <cell r="D1899">
            <v>20.36</v>
          </cell>
        </row>
        <row r="1900">
          <cell r="D1900">
            <v>20.37</v>
          </cell>
        </row>
        <row r="1901">
          <cell r="D1901">
            <v>20.38</v>
          </cell>
        </row>
        <row r="1902">
          <cell r="D1902">
            <v>20.39</v>
          </cell>
        </row>
        <row r="1903">
          <cell r="D1903">
            <v>20.399999999999999</v>
          </cell>
        </row>
        <row r="1904">
          <cell r="D1904">
            <v>20.41</v>
          </cell>
        </row>
        <row r="1905">
          <cell r="D1905">
            <v>20.420000000000002</v>
          </cell>
        </row>
        <row r="1906">
          <cell r="D1906">
            <v>20.43</v>
          </cell>
        </row>
        <row r="1907">
          <cell r="D1907">
            <v>20.440000000000001</v>
          </cell>
        </row>
        <row r="1908">
          <cell r="D1908">
            <v>20.45</v>
          </cell>
        </row>
        <row r="1909">
          <cell r="D1909">
            <v>20.46</v>
          </cell>
        </row>
        <row r="1910">
          <cell r="D1910">
            <v>20.47</v>
          </cell>
        </row>
        <row r="1911">
          <cell r="D1911">
            <v>20.48</v>
          </cell>
        </row>
        <row r="1912">
          <cell r="D1912">
            <v>20.49</v>
          </cell>
        </row>
        <row r="1913">
          <cell r="D1913">
            <v>20.5</v>
          </cell>
        </row>
        <row r="1914">
          <cell r="D1914">
            <v>20.51</v>
          </cell>
        </row>
        <row r="1915">
          <cell r="D1915">
            <v>20.52</v>
          </cell>
        </row>
        <row r="1916">
          <cell r="D1916">
            <v>20.53</v>
          </cell>
        </row>
        <row r="1917">
          <cell r="D1917">
            <v>20.54</v>
          </cell>
        </row>
        <row r="1918">
          <cell r="D1918">
            <v>20.55</v>
          </cell>
        </row>
        <row r="1919">
          <cell r="D1919">
            <v>20.56</v>
          </cell>
        </row>
        <row r="1920">
          <cell r="D1920">
            <v>20.57</v>
          </cell>
        </row>
        <row r="1921">
          <cell r="D1921">
            <v>20.58</v>
          </cell>
        </row>
        <row r="1922">
          <cell r="D1922">
            <v>20.59</v>
          </cell>
        </row>
        <row r="1923">
          <cell r="D1923">
            <v>20.6</v>
          </cell>
        </row>
        <row r="1924">
          <cell r="D1924">
            <v>20.61</v>
          </cell>
        </row>
        <row r="1925">
          <cell r="D1925">
            <v>20.62</v>
          </cell>
        </row>
        <row r="1926">
          <cell r="D1926">
            <v>20.63</v>
          </cell>
        </row>
        <row r="1927">
          <cell r="D1927">
            <v>20.64</v>
          </cell>
        </row>
        <row r="1928">
          <cell r="D1928">
            <v>20.65</v>
          </cell>
        </row>
        <row r="1929">
          <cell r="D1929">
            <v>20.66</v>
          </cell>
        </row>
        <row r="1930">
          <cell r="D1930">
            <v>20.67</v>
          </cell>
        </row>
        <row r="1931">
          <cell r="D1931">
            <v>20.68</v>
          </cell>
        </row>
        <row r="1932">
          <cell r="D1932">
            <v>20.69</v>
          </cell>
        </row>
        <row r="1933">
          <cell r="D1933">
            <v>20.7</v>
          </cell>
        </row>
        <row r="1934">
          <cell r="D1934">
            <v>20.71</v>
          </cell>
        </row>
        <row r="1935">
          <cell r="D1935">
            <v>20.72</v>
          </cell>
        </row>
        <row r="1936">
          <cell r="D1936">
            <v>20.73</v>
          </cell>
        </row>
        <row r="1937">
          <cell r="D1937">
            <v>20.74</v>
          </cell>
        </row>
        <row r="1938">
          <cell r="D1938">
            <v>20.75</v>
          </cell>
        </row>
        <row r="1939">
          <cell r="D1939">
            <v>20.76</v>
          </cell>
        </row>
        <row r="1940">
          <cell r="D1940">
            <v>20.77</v>
          </cell>
        </row>
        <row r="1941">
          <cell r="D1941">
            <v>20.78</v>
          </cell>
        </row>
        <row r="1942">
          <cell r="D1942">
            <v>20.79</v>
          </cell>
        </row>
        <row r="1943">
          <cell r="D1943">
            <v>20.8</v>
          </cell>
        </row>
        <row r="1944">
          <cell r="D1944">
            <v>20.81</v>
          </cell>
        </row>
        <row r="1945">
          <cell r="D1945">
            <v>20.82</v>
          </cell>
        </row>
        <row r="1946">
          <cell r="D1946">
            <v>20.83</v>
          </cell>
        </row>
        <row r="1947">
          <cell r="D1947">
            <v>20.84</v>
          </cell>
        </row>
        <row r="1948">
          <cell r="D1948">
            <v>20.85</v>
          </cell>
        </row>
        <row r="1949">
          <cell r="D1949">
            <v>20.86</v>
          </cell>
        </row>
        <row r="1950">
          <cell r="D1950">
            <v>20.87</v>
          </cell>
        </row>
        <row r="1951">
          <cell r="D1951">
            <v>20.88</v>
          </cell>
        </row>
        <row r="1952">
          <cell r="D1952">
            <v>20.89</v>
          </cell>
        </row>
        <row r="1953">
          <cell r="D1953">
            <v>20.9</v>
          </cell>
        </row>
        <row r="1954">
          <cell r="D1954">
            <v>20.91</v>
          </cell>
        </row>
        <row r="1955">
          <cell r="D1955">
            <v>20.92</v>
          </cell>
        </row>
        <row r="1956">
          <cell r="D1956">
            <v>20.93</v>
          </cell>
        </row>
        <row r="1957">
          <cell r="D1957">
            <v>20.94</v>
          </cell>
        </row>
        <row r="1958">
          <cell r="D1958">
            <v>20.95</v>
          </cell>
        </row>
        <row r="1959">
          <cell r="D1959">
            <v>20.96</v>
          </cell>
        </row>
        <row r="1960">
          <cell r="D1960">
            <v>20.97</v>
          </cell>
        </row>
        <row r="1961">
          <cell r="D1961">
            <v>20.98</v>
          </cell>
        </row>
        <row r="1962">
          <cell r="D1962">
            <v>20.99</v>
          </cell>
        </row>
        <row r="1963">
          <cell r="D1963">
            <v>21</v>
          </cell>
        </row>
        <row r="1964">
          <cell r="D1964">
            <v>21.01</v>
          </cell>
        </row>
        <row r="1965">
          <cell r="D1965">
            <v>21.02</v>
          </cell>
        </row>
        <row r="1966">
          <cell r="D1966">
            <v>21.03</v>
          </cell>
        </row>
        <row r="1967">
          <cell r="D1967">
            <v>21.04</v>
          </cell>
        </row>
        <row r="1968">
          <cell r="D1968">
            <v>21.05</v>
          </cell>
        </row>
        <row r="1969">
          <cell r="D1969">
            <v>21.06</v>
          </cell>
        </row>
        <row r="1970">
          <cell r="D1970">
            <v>21.07</v>
          </cell>
        </row>
        <row r="1971">
          <cell r="D1971">
            <v>21.08</v>
          </cell>
        </row>
        <row r="1972">
          <cell r="D1972">
            <v>21.09</v>
          </cell>
        </row>
        <row r="1973">
          <cell r="D1973">
            <v>21.1</v>
          </cell>
        </row>
        <row r="1974">
          <cell r="D1974">
            <v>21.11</v>
          </cell>
        </row>
        <row r="1975">
          <cell r="D1975">
            <v>21.12</v>
          </cell>
        </row>
        <row r="1976">
          <cell r="D1976">
            <v>21.13</v>
          </cell>
        </row>
        <row r="1977">
          <cell r="D1977">
            <v>21.14</v>
          </cell>
        </row>
        <row r="1978">
          <cell r="D1978">
            <v>21.15</v>
          </cell>
        </row>
        <row r="1979">
          <cell r="D1979">
            <v>21.16</v>
          </cell>
        </row>
        <row r="1980">
          <cell r="D1980">
            <v>21.17</v>
          </cell>
        </row>
        <row r="1981">
          <cell r="D1981">
            <v>21.18</v>
          </cell>
        </row>
        <row r="1982">
          <cell r="D1982">
            <v>21.19</v>
          </cell>
        </row>
        <row r="1983">
          <cell r="D1983">
            <v>21.2</v>
          </cell>
        </row>
        <row r="1984">
          <cell r="D1984">
            <v>21.21</v>
          </cell>
        </row>
        <row r="1985">
          <cell r="D1985">
            <v>21.22</v>
          </cell>
        </row>
        <row r="1986">
          <cell r="D1986">
            <v>21.23</v>
          </cell>
        </row>
        <row r="1987">
          <cell r="D1987">
            <v>21.24</v>
          </cell>
        </row>
        <row r="1988">
          <cell r="D1988">
            <v>21.25</v>
          </cell>
        </row>
        <row r="1989">
          <cell r="D1989">
            <v>21.26</v>
          </cell>
        </row>
        <row r="1990">
          <cell r="D1990">
            <v>21.27</v>
          </cell>
        </row>
        <row r="1991">
          <cell r="D1991">
            <v>21.28</v>
          </cell>
        </row>
        <row r="1992">
          <cell r="D1992">
            <v>21.29</v>
          </cell>
        </row>
        <row r="1993">
          <cell r="D1993">
            <v>21.3</v>
          </cell>
        </row>
        <row r="1994">
          <cell r="D1994">
            <v>21.31</v>
          </cell>
        </row>
        <row r="1995">
          <cell r="D1995">
            <v>21.32</v>
          </cell>
        </row>
        <row r="1996">
          <cell r="D1996">
            <v>21.33</v>
          </cell>
        </row>
        <row r="1997">
          <cell r="D1997">
            <v>21.34</v>
          </cell>
        </row>
        <row r="1998">
          <cell r="D1998">
            <v>21.35</v>
          </cell>
        </row>
        <row r="1999">
          <cell r="D1999">
            <v>21.36</v>
          </cell>
        </row>
        <row r="2000">
          <cell r="D2000">
            <v>21.37</v>
          </cell>
        </row>
        <row r="2001">
          <cell r="D2001">
            <v>21.38</v>
          </cell>
        </row>
        <row r="2002">
          <cell r="D2002">
            <v>21.39</v>
          </cell>
        </row>
        <row r="2003">
          <cell r="D2003">
            <v>21.4</v>
          </cell>
        </row>
        <row r="2004">
          <cell r="D2004">
            <v>21.41</v>
          </cell>
        </row>
        <row r="2005">
          <cell r="D2005">
            <v>21.42</v>
          </cell>
        </row>
        <row r="2006">
          <cell r="D2006">
            <v>21.43</v>
          </cell>
        </row>
        <row r="2007">
          <cell r="D2007">
            <v>21.44</v>
          </cell>
        </row>
        <row r="2008">
          <cell r="D2008">
            <v>21.45</v>
          </cell>
        </row>
        <row r="2009">
          <cell r="D2009">
            <v>21.46</v>
          </cell>
        </row>
        <row r="2010">
          <cell r="D2010">
            <v>21.47</v>
          </cell>
        </row>
        <row r="2011">
          <cell r="D2011">
            <v>21.48</v>
          </cell>
        </row>
        <row r="2012">
          <cell r="D2012">
            <v>21.49</v>
          </cell>
        </row>
        <row r="2013">
          <cell r="D2013">
            <v>21.5</v>
          </cell>
        </row>
        <row r="2014">
          <cell r="D2014">
            <v>21.51</v>
          </cell>
        </row>
        <row r="2015">
          <cell r="D2015">
            <v>21.52</v>
          </cell>
        </row>
        <row r="2016">
          <cell r="D2016">
            <v>21.53</v>
          </cell>
        </row>
        <row r="2017">
          <cell r="D2017">
            <v>21.54</v>
          </cell>
        </row>
        <row r="2018">
          <cell r="D2018">
            <v>21.55</v>
          </cell>
        </row>
        <row r="2019">
          <cell r="D2019">
            <v>21.56</v>
          </cell>
        </row>
        <row r="2020">
          <cell r="D2020">
            <v>21.57</v>
          </cell>
        </row>
        <row r="2021">
          <cell r="D2021">
            <v>21.58</v>
          </cell>
        </row>
        <row r="2022">
          <cell r="D2022">
            <v>21.59</v>
          </cell>
        </row>
        <row r="2023">
          <cell r="D2023">
            <v>21.6</v>
          </cell>
        </row>
        <row r="2024">
          <cell r="D2024">
            <v>21.61</v>
          </cell>
        </row>
        <row r="2025">
          <cell r="D2025">
            <v>21.62</v>
          </cell>
        </row>
        <row r="2026">
          <cell r="D2026">
            <v>21.63</v>
          </cell>
        </row>
        <row r="2027">
          <cell r="D2027">
            <v>21.64</v>
          </cell>
        </row>
        <row r="2028">
          <cell r="D2028">
            <v>21.65</v>
          </cell>
        </row>
        <row r="2029">
          <cell r="D2029">
            <v>21.66</v>
          </cell>
        </row>
        <row r="2030">
          <cell r="D2030">
            <v>21.67</v>
          </cell>
        </row>
        <row r="2031">
          <cell r="D2031">
            <v>21.68</v>
          </cell>
        </row>
        <row r="2032">
          <cell r="D2032">
            <v>21.69</v>
          </cell>
        </row>
        <row r="2033">
          <cell r="D2033">
            <v>21.7</v>
          </cell>
        </row>
        <row r="2034">
          <cell r="D2034">
            <v>21.71</v>
          </cell>
        </row>
        <row r="2035">
          <cell r="D2035">
            <v>21.72</v>
          </cell>
        </row>
        <row r="2036">
          <cell r="D2036">
            <v>21.73</v>
          </cell>
        </row>
        <row r="2037">
          <cell r="D2037">
            <v>21.74</v>
          </cell>
        </row>
        <row r="2038">
          <cell r="D2038">
            <v>21.75</v>
          </cell>
        </row>
        <row r="2039">
          <cell r="D2039">
            <v>21.76</v>
          </cell>
        </row>
        <row r="2040">
          <cell r="D2040">
            <v>21.77</v>
          </cell>
        </row>
        <row r="2041">
          <cell r="D2041">
            <v>21.78</v>
          </cell>
        </row>
        <row r="2042">
          <cell r="D2042">
            <v>21.79</v>
          </cell>
        </row>
        <row r="2043">
          <cell r="D2043">
            <v>21.8</v>
          </cell>
        </row>
        <row r="2044">
          <cell r="D2044">
            <v>21.81</v>
          </cell>
        </row>
        <row r="2045">
          <cell r="D2045">
            <v>21.82</v>
          </cell>
        </row>
        <row r="2046">
          <cell r="D2046">
            <v>21.83</v>
          </cell>
        </row>
        <row r="2047">
          <cell r="D2047">
            <v>21.84</v>
          </cell>
        </row>
        <row r="2048">
          <cell r="D2048">
            <v>21.85</v>
          </cell>
        </row>
        <row r="2049">
          <cell r="D2049">
            <v>21.86</v>
          </cell>
        </row>
        <row r="2050">
          <cell r="D2050">
            <v>21.87</v>
          </cell>
        </row>
        <row r="2051">
          <cell r="D2051">
            <v>21.88</v>
          </cell>
        </row>
        <row r="2052">
          <cell r="D2052">
            <v>21.89</v>
          </cell>
        </row>
        <row r="2053">
          <cell r="D2053">
            <v>21.9</v>
          </cell>
        </row>
        <row r="2054">
          <cell r="D2054">
            <v>21.91</v>
          </cell>
        </row>
        <row r="2055">
          <cell r="D2055">
            <v>21.92</v>
          </cell>
        </row>
        <row r="2056">
          <cell r="D2056">
            <v>21.93</v>
          </cell>
        </row>
        <row r="2057">
          <cell r="D2057">
            <v>21.94</v>
          </cell>
        </row>
        <row r="2058">
          <cell r="D2058">
            <v>21.95</v>
          </cell>
        </row>
        <row r="2059">
          <cell r="D2059">
            <v>21.96</v>
          </cell>
        </row>
        <row r="2060">
          <cell r="D2060">
            <v>21.97</v>
          </cell>
        </row>
        <row r="2061">
          <cell r="D2061">
            <v>21.98</v>
          </cell>
        </row>
        <row r="2062">
          <cell r="D2062">
            <v>21.99</v>
          </cell>
        </row>
        <row r="2063">
          <cell r="D2063">
            <v>22</v>
          </cell>
        </row>
        <row r="2064">
          <cell r="D2064">
            <v>22.01</v>
          </cell>
        </row>
        <row r="2065">
          <cell r="D2065">
            <v>22.02</v>
          </cell>
        </row>
        <row r="2066">
          <cell r="D2066">
            <v>22.03</v>
          </cell>
        </row>
        <row r="2067">
          <cell r="D2067">
            <v>22.04</v>
          </cell>
        </row>
        <row r="2068">
          <cell r="D2068">
            <v>22.05</v>
          </cell>
        </row>
        <row r="2069">
          <cell r="D2069">
            <v>22.06</v>
          </cell>
        </row>
        <row r="2070">
          <cell r="D2070">
            <v>22.07</v>
          </cell>
        </row>
        <row r="2071">
          <cell r="D2071">
            <v>22.08</v>
          </cell>
        </row>
        <row r="2072">
          <cell r="D2072">
            <v>22.09</v>
          </cell>
        </row>
        <row r="2073">
          <cell r="D2073">
            <v>22.1</v>
          </cell>
        </row>
        <row r="2074">
          <cell r="D2074">
            <v>22.11</v>
          </cell>
        </row>
        <row r="2075">
          <cell r="D2075">
            <v>22.12</v>
          </cell>
        </row>
        <row r="2076">
          <cell r="D2076">
            <v>22.13</v>
          </cell>
        </row>
        <row r="2077">
          <cell r="D2077">
            <v>22.14</v>
          </cell>
        </row>
        <row r="2078">
          <cell r="D2078">
            <v>22.15</v>
          </cell>
        </row>
        <row r="2079">
          <cell r="D2079">
            <v>22.16</v>
          </cell>
        </row>
        <row r="2080">
          <cell r="D2080">
            <v>22.17</v>
          </cell>
        </row>
        <row r="2081">
          <cell r="D2081">
            <v>22.18</v>
          </cell>
        </row>
        <row r="2082">
          <cell r="D2082">
            <v>22.19</v>
          </cell>
        </row>
        <row r="2083">
          <cell r="D2083">
            <v>22.2</v>
          </cell>
        </row>
        <row r="2084">
          <cell r="D2084">
            <v>22.21</v>
          </cell>
        </row>
        <row r="2085">
          <cell r="D2085">
            <v>22.22</v>
          </cell>
        </row>
        <row r="2086">
          <cell r="D2086">
            <v>22.23</v>
          </cell>
        </row>
        <row r="2087">
          <cell r="D2087">
            <v>22.24</v>
          </cell>
        </row>
        <row r="2088">
          <cell r="D2088">
            <v>22.25</v>
          </cell>
        </row>
        <row r="2089">
          <cell r="D2089">
            <v>22.26</v>
          </cell>
        </row>
        <row r="2090">
          <cell r="D2090">
            <v>22.27</v>
          </cell>
        </row>
        <row r="2091">
          <cell r="D2091">
            <v>22.28</v>
          </cell>
        </row>
        <row r="2092">
          <cell r="D2092">
            <v>22.29</v>
          </cell>
        </row>
        <row r="2093">
          <cell r="D2093">
            <v>22.3</v>
          </cell>
        </row>
        <row r="2094">
          <cell r="D2094">
            <v>22.31</v>
          </cell>
        </row>
        <row r="2095">
          <cell r="D2095">
            <v>22.32</v>
          </cell>
        </row>
        <row r="2096">
          <cell r="D2096">
            <v>22.33</v>
          </cell>
        </row>
        <row r="2097">
          <cell r="D2097">
            <v>22.34</v>
          </cell>
        </row>
        <row r="2098">
          <cell r="D2098">
            <v>22.35</v>
          </cell>
        </row>
        <row r="2099">
          <cell r="D2099">
            <v>22.36</v>
          </cell>
        </row>
        <row r="2100">
          <cell r="D2100">
            <v>22.37</v>
          </cell>
        </row>
        <row r="2101">
          <cell r="D2101">
            <v>22.38</v>
          </cell>
        </row>
        <row r="2102">
          <cell r="D2102">
            <v>22.39</v>
          </cell>
        </row>
        <row r="2103">
          <cell r="D2103">
            <v>22.4</v>
          </cell>
        </row>
        <row r="2104">
          <cell r="D2104">
            <v>22.41</v>
          </cell>
        </row>
        <row r="2105">
          <cell r="D2105">
            <v>22.42</v>
          </cell>
        </row>
        <row r="2106">
          <cell r="D2106">
            <v>22.43</v>
          </cell>
        </row>
        <row r="2107">
          <cell r="D2107">
            <v>22.44</v>
          </cell>
        </row>
        <row r="2108">
          <cell r="D2108">
            <v>22.45</v>
          </cell>
        </row>
        <row r="2109">
          <cell r="D2109">
            <v>22.46</v>
          </cell>
        </row>
        <row r="2110">
          <cell r="D2110">
            <v>22.47</v>
          </cell>
        </row>
        <row r="2111">
          <cell r="D2111">
            <v>22.48</v>
          </cell>
        </row>
        <row r="2112">
          <cell r="D2112">
            <v>22.49</v>
          </cell>
        </row>
        <row r="2113">
          <cell r="D2113">
            <v>22.5</v>
          </cell>
        </row>
        <row r="2114">
          <cell r="D2114">
            <v>22.51</v>
          </cell>
        </row>
        <row r="2115">
          <cell r="D2115">
            <v>22.52</v>
          </cell>
        </row>
        <row r="2116">
          <cell r="D2116">
            <v>22.53</v>
          </cell>
        </row>
        <row r="2117">
          <cell r="D2117">
            <v>22.54</v>
          </cell>
        </row>
        <row r="2118">
          <cell r="D2118">
            <v>22.55</v>
          </cell>
        </row>
        <row r="2119">
          <cell r="D2119">
            <v>22.56</v>
          </cell>
        </row>
        <row r="2120">
          <cell r="D2120">
            <v>22.57</v>
          </cell>
        </row>
        <row r="2121">
          <cell r="D2121">
            <v>22.58</v>
          </cell>
        </row>
        <row r="2122">
          <cell r="D2122">
            <v>22.59</v>
          </cell>
        </row>
        <row r="2123">
          <cell r="D2123">
            <v>22.6</v>
          </cell>
        </row>
        <row r="2124">
          <cell r="D2124">
            <v>22.61</v>
          </cell>
        </row>
        <row r="2125">
          <cell r="D2125">
            <v>22.62</v>
          </cell>
        </row>
        <row r="2126">
          <cell r="D2126">
            <v>22.63</v>
          </cell>
        </row>
        <row r="2127">
          <cell r="D2127">
            <v>22.64</v>
          </cell>
        </row>
        <row r="2128">
          <cell r="D2128">
            <v>22.65</v>
          </cell>
        </row>
        <row r="2129">
          <cell r="D2129">
            <v>22.66</v>
          </cell>
        </row>
        <row r="2130">
          <cell r="D2130">
            <v>22.67</v>
          </cell>
        </row>
        <row r="2131">
          <cell r="D2131">
            <v>22.68</v>
          </cell>
        </row>
        <row r="2132">
          <cell r="D2132">
            <v>22.69</v>
          </cell>
        </row>
        <row r="2133">
          <cell r="D2133">
            <v>22.7</v>
          </cell>
        </row>
        <row r="2134">
          <cell r="D2134">
            <v>22.71</v>
          </cell>
        </row>
        <row r="2135">
          <cell r="D2135">
            <v>22.72</v>
          </cell>
        </row>
        <row r="2136">
          <cell r="D2136">
            <v>22.73</v>
          </cell>
        </row>
        <row r="2137">
          <cell r="D2137">
            <v>22.74</v>
          </cell>
        </row>
        <row r="2138">
          <cell r="D2138">
            <v>22.75</v>
          </cell>
        </row>
        <row r="2139">
          <cell r="D2139">
            <v>22.76</v>
          </cell>
        </row>
        <row r="2140">
          <cell r="D2140">
            <v>22.77</v>
          </cell>
        </row>
        <row r="2141">
          <cell r="D2141">
            <v>22.78</v>
          </cell>
        </row>
        <row r="2142">
          <cell r="D2142">
            <v>22.79</v>
          </cell>
        </row>
        <row r="2143">
          <cell r="D2143">
            <v>22.8</v>
          </cell>
        </row>
        <row r="2144">
          <cell r="D2144">
            <v>22.81</v>
          </cell>
        </row>
        <row r="2145">
          <cell r="D2145">
            <v>22.82</v>
          </cell>
        </row>
        <row r="2146">
          <cell r="D2146">
            <v>22.83</v>
          </cell>
        </row>
        <row r="2147">
          <cell r="D2147">
            <v>22.84</v>
          </cell>
        </row>
        <row r="2148">
          <cell r="D2148">
            <v>22.85</v>
          </cell>
        </row>
        <row r="2149">
          <cell r="D2149">
            <v>22.86</v>
          </cell>
        </row>
        <row r="2150">
          <cell r="D2150">
            <v>22.87</v>
          </cell>
        </row>
        <row r="2151">
          <cell r="D2151">
            <v>22.88</v>
          </cell>
        </row>
        <row r="2152">
          <cell r="D2152">
            <v>22.89</v>
          </cell>
        </row>
        <row r="2153">
          <cell r="D2153">
            <v>22.9</v>
          </cell>
        </row>
        <row r="2154">
          <cell r="D2154">
            <v>22.91</v>
          </cell>
        </row>
        <row r="2155">
          <cell r="D2155">
            <v>22.92</v>
          </cell>
        </row>
        <row r="2156">
          <cell r="D2156">
            <v>22.93</v>
          </cell>
        </row>
        <row r="2157">
          <cell r="D2157">
            <v>22.94</v>
          </cell>
        </row>
        <row r="2158">
          <cell r="D2158">
            <v>22.95</v>
          </cell>
        </row>
        <row r="2159">
          <cell r="D2159">
            <v>22.96</v>
          </cell>
        </row>
        <row r="2160">
          <cell r="D2160">
            <v>22.97</v>
          </cell>
        </row>
        <row r="2161">
          <cell r="D2161">
            <v>22.98</v>
          </cell>
        </row>
        <row r="2162">
          <cell r="D2162">
            <v>22.99</v>
          </cell>
        </row>
        <row r="2163">
          <cell r="D2163">
            <v>23</v>
          </cell>
        </row>
        <row r="2164">
          <cell r="D2164">
            <v>23.01</v>
          </cell>
        </row>
        <row r="2165">
          <cell r="D2165">
            <v>23.02</v>
          </cell>
        </row>
        <row r="2166">
          <cell r="D2166">
            <v>23.03</v>
          </cell>
        </row>
        <row r="2167">
          <cell r="D2167">
            <v>23.04</v>
          </cell>
        </row>
        <row r="2168">
          <cell r="D2168">
            <v>23.05</v>
          </cell>
        </row>
        <row r="2169">
          <cell r="D2169">
            <v>23.06</v>
          </cell>
        </row>
        <row r="2170">
          <cell r="D2170">
            <v>23.07</v>
          </cell>
        </row>
        <row r="2171">
          <cell r="D2171">
            <v>23.08</v>
          </cell>
        </row>
        <row r="2172">
          <cell r="D2172">
            <v>23.09</v>
          </cell>
        </row>
        <row r="2173">
          <cell r="D2173">
            <v>23.1</v>
          </cell>
        </row>
        <row r="2174">
          <cell r="D2174">
            <v>23.11</v>
          </cell>
        </row>
        <row r="2175">
          <cell r="D2175">
            <v>23.12</v>
          </cell>
        </row>
        <row r="2176">
          <cell r="D2176">
            <v>23.13</v>
          </cell>
        </row>
        <row r="2177">
          <cell r="D2177">
            <v>23.14</v>
          </cell>
        </row>
        <row r="2178">
          <cell r="D2178">
            <v>23.15</v>
          </cell>
        </row>
        <row r="2179">
          <cell r="D2179">
            <v>23.16</v>
          </cell>
        </row>
        <row r="2180">
          <cell r="D2180">
            <v>23.17</v>
          </cell>
        </row>
        <row r="2181">
          <cell r="D2181">
            <v>23.18</v>
          </cell>
        </row>
        <row r="2182">
          <cell r="D2182">
            <v>23.19</v>
          </cell>
        </row>
        <row r="2183">
          <cell r="D2183">
            <v>23.2</v>
          </cell>
        </row>
        <row r="2184">
          <cell r="D2184">
            <v>23.21</v>
          </cell>
        </row>
        <row r="2185">
          <cell r="D2185">
            <v>23.22</v>
          </cell>
        </row>
        <row r="2186">
          <cell r="D2186">
            <v>23.23</v>
          </cell>
        </row>
        <row r="2187">
          <cell r="D2187">
            <v>23.24</v>
          </cell>
        </row>
        <row r="2188">
          <cell r="D2188">
            <v>23.25</v>
          </cell>
        </row>
        <row r="2189">
          <cell r="D2189">
            <v>23.26</v>
          </cell>
        </row>
        <row r="2190">
          <cell r="D2190">
            <v>23.27</v>
          </cell>
        </row>
        <row r="2191">
          <cell r="D2191">
            <v>23.28</v>
          </cell>
        </row>
        <row r="2192">
          <cell r="D2192">
            <v>23.29</v>
          </cell>
        </row>
        <row r="2193">
          <cell r="D2193">
            <v>23.3</v>
          </cell>
        </row>
        <row r="2194">
          <cell r="D2194">
            <v>23.31</v>
          </cell>
        </row>
        <row r="2195">
          <cell r="D2195">
            <v>23.32</v>
          </cell>
        </row>
        <row r="2196">
          <cell r="D2196">
            <v>23.33</v>
          </cell>
        </row>
        <row r="2197">
          <cell r="D2197">
            <v>23.34</v>
          </cell>
        </row>
        <row r="2198">
          <cell r="D2198">
            <v>23.35</v>
          </cell>
        </row>
        <row r="2199">
          <cell r="D2199">
            <v>23.36</v>
          </cell>
        </row>
        <row r="2200">
          <cell r="D2200">
            <v>23.37</v>
          </cell>
        </row>
        <row r="2201">
          <cell r="D2201">
            <v>23.38</v>
          </cell>
        </row>
        <row r="2202">
          <cell r="D2202">
            <v>23.39</v>
          </cell>
        </row>
        <row r="2203">
          <cell r="D2203">
            <v>23.4</v>
          </cell>
        </row>
        <row r="2204">
          <cell r="D2204">
            <v>23.41</v>
          </cell>
        </row>
        <row r="2205">
          <cell r="D2205">
            <v>23.42</v>
          </cell>
        </row>
        <row r="2206">
          <cell r="D2206">
            <v>23.43</v>
          </cell>
        </row>
        <row r="2207">
          <cell r="D2207">
            <v>23.44</v>
          </cell>
        </row>
        <row r="2208">
          <cell r="D2208">
            <v>23.45</v>
          </cell>
        </row>
        <row r="2209">
          <cell r="D2209">
            <v>23.46</v>
          </cell>
        </row>
        <row r="2210">
          <cell r="D2210">
            <v>23.47</v>
          </cell>
        </row>
        <row r="2211">
          <cell r="D2211">
            <v>23.48</v>
          </cell>
        </row>
        <row r="2212">
          <cell r="D2212">
            <v>23.49</v>
          </cell>
        </row>
        <row r="2213">
          <cell r="D2213">
            <v>23.5</v>
          </cell>
        </row>
        <row r="2214">
          <cell r="D2214">
            <v>23.51</v>
          </cell>
        </row>
        <row r="2215">
          <cell r="D2215">
            <v>23.52</v>
          </cell>
        </row>
        <row r="2216">
          <cell r="D2216">
            <v>23.53</v>
          </cell>
        </row>
        <row r="2217">
          <cell r="D2217">
            <v>23.54</v>
          </cell>
        </row>
        <row r="2218">
          <cell r="D2218">
            <v>23.55</v>
          </cell>
        </row>
        <row r="2219">
          <cell r="D2219">
            <v>23.56</v>
          </cell>
        </row>
        <row r="2220">
          <cell r="D2220">
            <v>23.57</v>
          </cell>
        </row>
        <row r="2221">
          <cell r="D2221">
            <v>23.58</v>
          </cell>
        </row>
        <row r="2222">
          <cell r="D2222">
            <v>23.59</v>
          </cell>
        </row>
        <row r="2223">
          <cell r="D2223">
            <v>23.6</v>
          </cell>
        </row>
        <row r="2224">
          <cell r="D2224">
            <v>23.61</v>
          </cell>
        </row>
        <row r="2225">
          <cell r="D2225">
            <v>23.62</v>
          </cell>
        </row>
        <row r="2226">
          <cell r="D2226">
            <v>23.63</v>
          </cell>
        </row>
        <row r="2227">
          <cell r="D2227">
            <v>23.64</v>
          </cell>
        </row>
        <row r="2228">
          <cell r="D2228">
            <v>23.65</v>
          </cell>
        </row>
        <row r="2229">
          <cell r="D2229">
            <v>23.66</v>
          </cell>
        </row>
        <row r="2230">
          <cell r="D2230">
            <v>23.67</v>
          </cell>
        </row>
        <row r="2231">
          <cell r="D2231">
            <v>23.68</v>
          </cell>
        </row>
        <row r="2232">
          <cell r="D2232">
            <v>23.69</v>
          </cell>
        </row>
        <row r="2233">
          <cell r="D2233">
            <v>23.7</v>
          </cell>
        </row>
        <row r="2234">
          <cell r="D2234">
            <v>23.71</v>
          </cell>
        </row>
        <row r="2235">
          <cell r="D2235">
            <v>23.72</v>
          </cell>
        </row>
        <row r="2236">
          <cell r="D2236">
            <v>23.73</v>
          </cell>
        </row>
        <row r="2237">
          <cell r="D2237">
            <v>23.74</v>
          </cell>
        </row>
        <row r="2238">
          <cell r="D2238">
            <v>23.75</v>
          </cell>
        </row>
        <row r="2239">
          <cell r="D2239">
            <v>23.76</v>
          </cell>
        </row>
        <row r="2240">
          <cell r="D2240">
            <v>23.77</v>
          </cell>
        </row>
        <row r="2241">
          <cell r="D2241">
            <v>23.78</v>
          </cell>
        </row>
        <row r="2242">
          <cell r="D2242">
            <v>23.79</v>
          </cell>
        </row>
        <row r="2243">
          <cell r="D2243">
            <v>23.8</v>
          </cell>
        </row>
        <row r="2244">
          <cell r="D2244">
            <v>23.81</v>
          </cell>
        </row>
        <row r="2245">
          <cell r="D2245">
            <v>23.82</v>
          </cell>
        </row>
        <row r="2246">
          <cell r="D2246">
            <v>23.83</v>
          </cell>
        </row>
        <row r="2247">
          <cell r="D2247">
            <v>23.84</v>
          </cell>
        </row>
        <row r="2248">
          <cell r="D2248">
            <v>23.85</v>
          </cell>
        </row>
        <row r="2249">
          <cell r="D2249">
            <v>23.86</v>
          </cell>
        </row>
        <row r="2250">
          <cell r="D2250">
            <v>23.87</v>
          </cell>
        </row>
        <row r="2251">
          <cell r="D2251">
            <v>23.88</v>
          </cell>
        </row>
        <row r="2252">
          <cell r="D2252">
            <v>23.89</v>
          </cell>
        </row>
        <row r="2253">
          <cell r="D2253">
            <v>23.9</v>
          </cell>
        </row>
        <row r="2254">
          <cell r="D2254">
            <v>23.91</v>
          </cell>
        </row>
        <row r="2255">
          <cell r="D2255">
            <v>23.92</v>
          </cell>
        </row>
        <row r="2256">
          <cell r="D2256">
            <v>23.93</v>
          </cell>
        </row>
        <row r="2257">
          <cell r="D2257">
            <v>23.94</v>
          </cell>
        </row>
        <row r="2258">
          <cell r="D2258">
            <v>23.95</v>
          </cell>
        </row>
        <row r="2259">
          <cell r="D2259">
            <v>23.96</v>
          </cell>
        </row>
        <row r="2260">
          <cell r="D2260">
            <v>23.97</v>
          </cell>
        </row>
        <row r="2261">
          <cell r="D2261">
            <v>23.98</v>
          </cell>
        </row>
        <row r="2262">
          <cell r="D2262">
            <v>23.99</v>
          </cell>
        </row>
        <row r="2263">
          <cell r="D2263">
            <v>24</v>
          </cell>
        </row>
        <row r="2264">
          <cell r="D2264">
            <v>24.01</v>
          </cell>
        </row>
        <row r="2265">
          <cell r="D2265">
            <v>24.02</v>
          </cell>
        </row>
        <row r="2266">
          <cell r="D2266">
            <v>24.03</v>
          </cell>
        </row>
        <row r="2267">
          <cell r="D2267">
            <v>24.04</v>
          </cell>
        </row>
        <row r="2268">
          <cell r="D2268">
            <v>24.05</v>
          </cell>
        </row>
        <row r="2269">
          <cell r="D2269">
            <v>24.06</v>
          </cell>
        </row>
        <row r="2270">
          <cell r="D2270">
            <v>24.07</v>
          </cell>
        </row>
        <row r="2271">
          <cell r="D2271">
            <v>24.08</v>
          </cell>
        </row>
        <row r="2272">
          <cell r="D2272">
            <v>24.09</v>
          </cell>
        </row>
        <row r="2273">
          <cell r="D2273">
            <v>24.1</v>
          </cell>
        </row>
        <row r="2274">
          <cell r="D2274">
            <v>24.11</v>
          </cell>
        </row>
        <row r="2275">
          <cell r="D2275">
            <v>24.12</v>
          </cell>
        </row>
        <row r="2276">
          <cell r="D2276">
            <v>24.13</v>
          </cell>
        </row>
        <row r="2277">
          <cell r="D2277">
            <v>24.14</v>
          </cell>
        </row>
        <row r="2278">
          <cell r="D2278">
            <v>24.15</v>
          </cell>
        </row>
        <row r="2279">
          <cell r="D2279">
            <v>24.16</v>
          </cell>
        </row>
        <row r="2280">
          <cell r="D2280">
            <v>24.17</v>
          </cell>
        </row>
        <row r="2281">
          <cell r="D2281">
            <v>24.18</v>
          </cell>
        </row>
        <row r="2282">
          <cell r="D2282">
            <v>24.19</v>
          </cell>
        </row>
        <row r="2283">
          <cell r="D2283">
            <v>24.2</v>
          </cell>
        </row>
        <row r="2284">
          <cell r="D2284">
            <v>24.21</v>
          </cell>
        </row>
        <row r="2285">
          <cell r="D2285">
            <v>24.22</v>
          </cell>
        </row>
        <row r="2286">
          <cell r="D2286">
            <v>24.23</v>
          </cell>
        </row>
        <row r="2287">
          <cell r="D2287">
            <v>24.24</v>
          </cell>
        </row>
        <row r="2288">
          <cell r="D2288">
            <v>24.25</v>
          </cell>
        </row>
        <row r="2289">
          <cell r="D2289">
            <v>24.26</v>
          </cell>
        </row>
        <row r="2290">
          <cell r="D2290">
            <v>24.27</v>
          </cell>
        </row>
        <row r="2291">
          <cell r="D2291">
            <v>24.28</v>
          </cell>
        </row>
        <row r="2292">
          <cell r="D2292">
            <v>24.29</v>
          </cell>
        </row>
        <row r="2293">
          <cell r="D2293">
            <v>24.3</v>
          </cell>
        </row>
        <row r="2294">
          <cell r="D2294">
            <v>24.31</v>
          </cell>
        </row>
        <row r="2295">
          <cell r="D2295">
            <v>24.32</v>
          </cell>
        </row>
        <row r="2296">
          <cell r="D2296">
            <v>24.33</v>
          </cell>
        </row>
        <row r="2297">
          <cell r="D2297">
            <v>24.34</v>
          </cell>
        </row>
        <row r="2298">
          <cell r="D2298">
            <v>24.35</v>
          </cell>
        </row>
        <row r="2299">
          <cell r="D2299">
            <v>24.36</v>
          </cell>
        </row>
        <row r="2300">
          <cell r="D2300">
            <v>24.37</v>
          </cell>
        </row>
        <row r="2301">
          <cell r="D2301">
            <v>24.38</v>
          </cell>
        </row>
        <row r="2302">
          <cell r="D2302">
            <v>24.39</v>
          </cell>
        </row>
        <row r="2303">
          <cell r="D2303">
            <v>24.4</v>
          </cell>
        </row>
        <row r="2304">
          <cell r="D2304">
            <v>24.41</v>
          </cell>
        </row>
        <row r="2305">
          <cell r="D2305">
            <v>24.42</v>
          </cell>
        </row>
        <row r="2306">
          <cell r="D2306">
            <v>24.43</v>
          </cell>
        </row>
        <row r="2307">
          <cell r="D2307">
            <v>24.44</v>
          </cell>
        </row>
        <row r="2308">
          <cell r="D2308">
            <v>24.45</v>
          </cell>
        </row>
        <row r="2309">
          <cell r="D2309">
            <v>24.46</v>
          </cell>
        </row>
        <row r="2310">
          <cell r="D2310">
            <v>24.47</v>
          </cell>
        </row>
        <row r="2311">
          <cell r="D2311">
            <v>24.48</v>
          </cell>
        </row>
        <row r="2312">
          <cell r="D2312">
            <v>24.49</v>
          </cell>
        </row>
        <row r="2313">
          <cell r="D2313">
            <v>24.5</v>
          </cell>
        </row>
        <row r="2314">
          <cell r="D2314">
            <v>24.51</v>
          </cell>
        </row>
        <row r="2315">
          <cell r="D2315">
            <v>24.52</v>
          </cell>
        </row>
        <row r="2316">
          <cell r="D2316">
            <v>24.53</v>
          </cell>
        </row>
        <row r="2317">
          <cell r="D2317">
            <v>24.54</v>
          </cell>
        </row>
        <row r="2318">
          <cell r="D2318">
            <v>24.55</v>
          </cell>
        </row>
        <row r="2319">
          <cell r="D2319">
            <v>24.56</v>
          </cell>
        </row>
        <row r="2320">
          <cell r="D2320">
            <v>24.57</v>
          </cell>
        </row>
        <row r="2321">
          <cell r="D2321">
            <v>24.58</v>
          </cell>
        </row>
        <row r="2322">
          <cell r="D2322">
            <v>24.59</v>
          </cell>
        </row>
        <row r="2323">
          <cell r="D2323">
            <v>24.6</v>
          </cell>
        </row>
        <row r="2324">
          <cell r="D2324">
            <v>24.61</v>
          </cell>
        </row>
        <row r="2325">
          <cell r="D2325">
            <v>24.62</v>
          </cell>
        </row>
        <row r="2326">
          <cell r="D2326">
            <v>24.63</v>
          </cell>
        </row>
        <row r="2327">
          <cell r="D2327">
            <v>24.64</v>
          </cell>
        </row>
        <row r="2328">
          <cell r="D2328">
            <v>24.65</v>
          </cell>
        </row>
        <row r="2329">
          <cell r="D2329">
            <v>24.66</v>
          </cell>
        </row>
        <row r="2330">
          <cell r="D2330">
            <v>24.67</v>
          </cell>
        </row>
        <row r="2331">
          <cell r="D2331">
            <v>24.68</v>
          </cell>
        </row>
        <row r="2332">
          <cell r="D2332">
            <v>24.69</v>
          </cell>
        </row>
        <row r="2333">
          <cell r="D2333">
            <v>24.7</v>
          </cell>
        </row>
        <row r="2334">
          <cell r="D2334">
            <v>24.71</v>
          </cell>
        </row>
        <row r="2335">
          <cell r="D2335">
            <v>24.72</v>
          </cell>
        </row>
        <row r="2336">
          <cell r="D2336">
            <v>24.73</v>
          </cell>
        </row>
        <row r="2337">
          <cell r="D2337">
            <v>24.74</v>
          </cell>
        </row>
        <row r="2338">
          <cell r="D2338">
            <v>24.75</v>
          </cell>
        </row>
        <row r="2339">
          <cell r="D2339">
            <v>24.76</v>
          </cell>
        </row>
        <row r="2340">
          <cell r="D2340">
            <v>24.77</v>
          </cell>
        </row>
        <row r="2341">
          <cell r="D2341">
            <v>24.78</v>
          </cell>
        </row>
        <row r="2342">
          <cell r="D2342">
            <v>24.79</v>
          </cell>
        </row>
        <row r="2343">
          <cell r="D2343">
            <v>24.8</v>
          </cell>
        </row>
        <row r="2344">
          <cell r="D2344">
            <v>24.81</v>
          </cell>
        </row>
        <row r="2345">
          <cell r="D2345">
            <v>24.82</v>
          </cell>
        </row>
        <row r="2346">
          <cell r="D2346">
            <v>24.83</v>
          </cell>
        </row>
        <row r="2347">
          <cell r="D2347">
            <v>24.84</v>
          </cell>
        </row>
        <row r="2348">
          <cell r="D2348">
            <v>24.85</v>
          </cell>
        </row>
        <row r="2349">
          <cell r="D2349">
            <v>24.86</v>
          </cell>
        </row>
        <row r="2350">
          <cell r="D2350">
            <v>24.87</v>
          </cell>
        </row>
        <row r="2351">
          <cell r="D2351">
            <v>24.88</v>
          </cell>
        </row>
        <row r="2352">
          <cell r="D2352">
            <v>24.89</v>
          </cell>
        </row>
        <row r="2353">
          <cell r="D2353">
            <v>24.9</v>
          </cell>
        </row>
        <row r="2354">
          <cell r="D2354">
            <v>24.91</v>
          </cell>
        </row>
        <row r="2355">
          <cell r="D2355">
            <v>24.92</v>
          </cell>
        </row>
        <row r="2356">
          <cell r="D2356">
            <v>24.93</v>
          </cell>
        </row>
        <row r="2357">
          <cell r="D2357">
            <v>24.94</v>
          </cell>
        </row>
        <row r="2358">
          <cell r="D2358">
            <v>24.95</v>
          </cell>
        </row>
        <row r="2359">
          <cell r="D2359">
            <v>24.96</v>
          </cell>
        </row>
        <row r="2360">
          <cell r="D2360">
            <v>24.97</v>
          </cell>
        </row>
        <row r="2361">
          <cell r="D2361">
            <v>24.98</v>
          </cell>
        </row>
        <row r="2362">
          <cell r="D2362">
            <v>24.99</v>
          </cell>
        </row>
        <row r="2363">
          <cell r="D2363">
            <v>25</v>
          </cell>
        </row>
        <row r="2364">
          <cell r="D2364">
            <v>25.01</v>
          </cell>
        </row>
        <row r="2365">
          <cell r="D2365">
            <v>25.02</v>
          </cell>
        </row>
        <row r="2366">
          <cell r="D2366">
            <v>25.03</v>
          </cell>
        </row>
        <row r="2367">
          <cell r="D2367">
            <v>25.04</v>
          </cell>
        </row>
        <row r="2368">
          <cell r="D2368">
            <v>25.05</v>
          </cell>
        </row>
        <row r="2369">
          <cell r="D2369">
            <v>25.06</v>
          </cell>
        </row>
        <row r="2370">
          <cell r="D2370">
            <v>25.07</v>
          </cell>
        </row>
        <row r="2371">
          <cell r="D2371">
            <v>25.08</v>
          </cell>
        </row>
        <row r="2372">
          <cell r="D2372">
            <v>25.09</v>
          </cell>
        </row>
        <row r="2373">
          <cell r="D2373">
            <v>25.1</v>
          </cell>
        </row>
        <row r="2374">
          <cell r="D2374">
            <v>25.11</v>
          </cell>
        </row>
        <row r="2375">
          <cell r="D2375">
            <v>25.12</v>
          </cell>
        </row>
        <row r="2376">
          <cell r="D2376">
            <v>25.13</v>
          </cell>
        </row>
        <row r="2377">
          <cell r="D2377">
            <v>25.14</v>
          </cell>
        </row>
        <row r="2378">
          <cell r="D2378">
            <v>25.15</v>
          </cell>
        </row>
        <row r="2379">
          <cell r="D2379">
            <v>25.16</v>
          </cell>
        </row>
        <row r="2380">
          <cell r="D2380">
            <v>25.17</v>
          </cell>
        </row>
        <row r="2381">
          <cell r="D2381">
            <v>25.18</v>
          </cell>
        </row>
        <row r="2382">
          <cell r="D2382">
            <v>25.19</v>
          </cell>
        </row>
        <row r="2383">
          <cell r="D2383">
            <v>25.2</v>
          </cell>
        </row>
        <row r="2384">
          <cell r="D2384">
            <v>25.21</v>
          </cell>
        </row>
        <row r="2385">
          <cell r="D2385">
            <v>25.22</v>
          </cell>
        </row>
        <row r="2386">
          <cell r="D2386">
            <v>25.23</v>
          </cell>
        </row>
        <row r="2387">
          <cell r="D2387">
            <v>25.24</v>
          </cell>
        </row>
        <row r="2388">
          <cell r="D2388">
            <v>25.25</v>
          </cell>
        </row>
        <row r="2389">
          <cell r="D2389">
            <v>25.26</v>
          </cell>
        </row>
        <row r="2390">
          <cell r="D2390">
            <v>25.27</v>
          </cell>
        </row>
        <row r="2391">
          <cell r="D2391">
            <v>25.28</v>
          </cell>
        </row>
        <row r="2392">
          <cell r="D2392">
            <v>25.29</v>
          </cell>
        </row>
        <row r="2393">
          <cell r="D2393">
            <v>25.3</v>
          </cell>
        </row>
        <row r="2394">
          <cell r="D2394">
            <v>25.31</v>
          </cell>
        </row>
        <row r="2395">
          <cell r="D2395">
            <v>25.32</v>
          </cell>
        </row>
        <row r="2396">
          <cell r="D2396">
            <v>25.33</v>
          </cell>
        </row>
        <row r="2397">
          <cell r="D2397">
            <v>25.34</v>
          </cell>
        </row>
        <row r="2398">
          <cell r="D2398">
            <v>25.35</v>
          </cell>
        </row>
        <row r="2399">
          <cell r="D2399">
            <v>25.36</v>
          </cell>
        </row>
        <row r="2400">
          <cell r="D2400">
            <v>25.37</v>
          </cell>
        </row>
        <row r="2401">
          <cell r="D2401">
            <v>25.38</v>
          </cell>
        </row>
        <row r="2402">
          <cell r="D2402">
            <v>25.39</v>
          </cell>
        </row>
        <row r="2403">
          <cell r="D2403">
            <v>25.4</v>
          </cell>
        </row>
        <row r="2404">
          <cell r="D2404">
            <v>25.41</v>
          </cell>
        </row>
        <row r="2405">
          <cell r="D2405">
            <v>25.42</v>
          </cell>
        </row>
        <row r="2406">
          <cell r="D2406">
            <v>25.43</v>
          </cell>
        </row>
        <row r="2407">
          <cell r="D2407">
            <v>25.44</v>
          </cell>
        </row>
        <row r="2408">
          <cell r="D2408">
            <v>25.45</v>
          </cell>
        </row>
        <row r="2409">
          <cell r="D2409">
            <v>25.46</v>
          </cell>
        </row>
        <row r="2410">
          <cell r="D2410">
            <v>25.47</v>
          </cell>
        </row>
        <row r="2411">
          <cell r="D2411">
            <v>25.48</v>
          </cell>
        </row>
        <row r="2412">
          <cell r="D2412">
            <v>25.49</v>
          </cell>
        </row>
        <row r="2413">
          <cell r="D2413">
            <v>25.5</v>
          </cell>
        </row>
        <row r="2414">
          <cell r="D2414">
            <v>25.51</v>
          </cell>
        </row>
        <row r="2415">
          <cell r="D2415">
            <v>25.52</v>
          </cell>
        </row>
        <row r="2416">
          <cell r="D2416">
            <v>25.53</v>
          </cell>
        </row>
        <row r="2417">
          <cell r="D2417">
            <v>25.54</v>
          </cell>
        </row>
        <row r="2418">
          <cell r="D2418">
            <v>25.55</v>
          </cell>
        </row>
        <row r="2419">
          <cell r="D2419">
            <v>25.56</v>
          </cell>
        </row>
        <row r="2420">
          <cell r="D2420">
            <v>25.57</v>
          </cell>
        </row>
        <row r="2421">
          <cell r="D2421">
            <v>25.58</v>
          </cell>
        </row>
        <row r="2422">
          <cell r="D2422">
            <v>25.59</v>
          </cell>
        </row>
        <row r="2423">
          <cell r="D2423">
            <v>25.6</v>
          </cell>
        </row>
        <row r="2424">
          <cell r="D2424">
            <v>25.61</v>
          </cell>
        </row>
        <row r="2425">
          <cell r="D2425">
            <v>25.62</v>
          </cell>
        </row>
        <row r="2426">
          <cell r="D2426">
            <v>25.63</v>
          </cell>
        </row>
        <row r="2427">
          <cell r="D2427">
            <v>25.64</v>
          </cell>
        </row>
        <row r="2428">
          <cell r="D2428">
            <v>25.65</v>
          </cell>
        </row>
        <row r="2429">
          <cell r="D2429">
            <v>25.66</v>
          </cell>
        </row>
        <row r="2430">
          <cell r="D2430">
            <v>25.67</v>
          </cell>
        </row>
        <row r="2431">
          <cell r="D2431">
            <v>25.68</v>
          </cell>
        </row>
        <row r="2432">
          <cell r="D2432">
            <v>25.69</v>
          </cell>
        </row>
        <row r="2433">
          <cell r="D2433">
            <v>25.7</v>
          </cell>
        </row>
        <row r="2434">
          <cell r="D2434">
            <v>25.71</v>
          </cell>
        </row>
        <row r="2435">
          <cell r="D2435">
            <v>25.72</v>
          </cell>
        </row>
        <row r="2436">
          <cell r="D2436">
            <v>25.73</v>
          </cell>
        </row>
        <row r="2437">
          <cell r="D2437">
            <v>25.74</v>
          </cell>
        </row>
        <row r="2438">
          <cell r="D2438">
            <v>25.75</v>
          </cell>
        </row>
        <row r="2439">
          <cell r="D2439">
            <v>25.76</v>
          </cell>
        </row>
        <row r="2440">
          <cell r="D2440">
            <v>25.77</v>
          </cell>
        </row>
        <row r="2441">
          <cell r="D2441">
            <v>25.78</v>
          </cell>
        </row>
        <row r="2442">
          <cell r="D2442">
            <v>25.79</v>
          </cell>
        </row>
        <row r="2443">
          <cell r="D2443">
            <v>25.8</v>
          </cell>
        </row>
        <row r="2444">
          <cell r="D2444">
            <v>25.81</v>
          </cell>
        </row>
        <row r="2445">
          <cell r="D2445">
            <v>25.82</v>
          </cell>
        </row>
        <row r="2446">
          <cell r="D2446">
            <v>25.83</v>
          </cell>
        </row>
        <row r="2447">
          <cell r="D2447">
            <v>25.84</v>
          </cell>
        </row>
        <row r="2448">
          <cell r="D2448">
            <v>25.85</v>
          </cell>
        </row>
        <row r="2449">
          <cell r="D2449">
            <v>25.86</v>
          </cell>
        </row>
        <row r="2450">
          <cell r="D2450">
            <v>25.87</v>
          </cell>
        </row>
        <row r="2451">
          <cell r="D2451">
            <v>25.88</v>
          </cell>
        </row>
        <row r="2452">
          <cell r="D2452">
            <v>25.89</v>
          </cell>
        </row>
        <row r="2453">
          <cell r="D2453">
            <v>25.9</v>
          </cell>
        </row>
        <row r="2454">
          <cell r="D2454">
            <v>25.91</v>
          </cell>
        </row>
        <row r="2455">
          <cell r="D2455">
            <v>25.92</v>
          </cell>
        </row>
        <row r="2456">
          <cell r="D2456">
            <v>25.93</v>
          </cell>
        </row>
        <row r="2457">
          <cell r="D2457">
            <v>25.94</v>
          </cell>
        </row>
        <row r="2458">
          <cell r="D2458">
            <v>25.95</v>
          </cell>
        </row>
        <row r="2459">
          <cell r="D2459">
            <v>25.96</v>
          </cell>
        </row>
        <row r="2460">
          <cell r="D2460">
            <v>25.97</v>
          </cell>
        </row>
        <row r="2461">
          <cell r="D2461">
            <v>25.98</v>
          </cell>
        </row>
        <row r="2462">
          <cell r="D2462">
            <v>25.99</v>
          </cell>
        </row>
        <row r="2463">
          <cell r="D2463">
            <v>26</v>
          </cell>
        </row>
        <row r="2464">
          <cell r="D2464">
            <v>26.01</v>
          </cell>
        </row>
        <row r="2465">
          <cell r="D2465">
            <v>26.02</v>
          </cell>
        </row>
        <row r="2466">
          <cell r="D2466">
            <v>26.03</v>
          </cell>
        </row>
        <row r="2467">
          <cell r="D2467">
            <v>26.04</v>
          </cell>
        </row>
        <row r="2468">
          <cell r="D2468">
            <v>26.05</v>
          </cell>
        </row>
        <row r="2469">
          <cell r="D2469">
            <v>26.06</v>
          </cell>
        </row>
        <row r="2470">
          <cell r="D2470">
            <v>26.07</v>
          </cell>
        </row>
        <row r="2471">
          <cell r="D2471">
            <v>26.08</v>
          </cell>
        </row>
        <row r="2472">
          <cell r="D2472">
            <v>26.09</v>
          </cell>
        </row>
        <row r="2473">
          <cell r="D2473">
            <v>26.1</v>
          </cell>
        </row>
        <row r="2474">
          <cell r="D2474">
            <v>26.11</v>
          </cell>
        </row>
        <row r="2475">
          <cell r="D2475">
            <v>26.12</v>
          </cell>
        </row>
        <row r="2476">
          <cell r="D2476">
            <v>26.13</v>
          </cell>
        </row>
        <row r="2477">
          <cell r="D2477">
            <v>26.14</v>
          </cell>
        </row>
        <row r="2478">
          <cell r="D2478">
            <v>26.15</v>
          </cell>
        </row>
        <row r="2479">
          <cell r="D2479">
            <v>26.16</v>
          </cell>
        </row>
        <row r="2480">
          <cell r="D2480">
            <v>26.17</v>
          </cell>
        </row>
        <row r="2481">
          <cell r="D2481">
            <v>26.18</v>
          </cell>
        </row>
        <row r="2482">
          <cell r="D2482">
            <v>26.19</v>
          </cell>
        </row>
        <row r="2483">
          <cell r="D2483">
            <v>26.2</v>
          </cell>
        </row>
        <row r="2484">
          <cell r="D2484">
            <v>26.21</v>
          </cell>
        </row>
        <row r="2485">
          <cell r="D2485">
            <v>26.22</v>
          </cell>
        </row>
        <row r="2486">
          <cell r="D2486">
            <v>26.23</v>
          </cell>
        </row>
        <row r="2487">
          <cell r="D2487">
            <v>26.24</v>
          </cell>
        </row>
        <row r="2488">
          <cell r="D2488">
            <v>26.25</v>
          </cell>
        </row>
        <row r="2489">
          <cell r="D2489">
            <v>26.26</v>
          </cell>
        </row>
        <row r="2490">
          <cell r="D2490">
            <v>26.27</v>
          </cell>
        </row>
        <row r="2491">
          <cell r="D2491">
            <v>26.28</v>
          </cell>
        </row>
        <row r="2492">
          <cell r="D2492">
            <v>26.29</v>
          </cell>
        </row>
        <row r="2493">
          <cell r="D2493">
            <v>26.3</v>
          </cell>
        </row>
        <row r="2494">
          <cell r="D2494">
            <v>26.31</v>
          </cell>
        </row>
        <row r="2495">
          <cell r="D2495">
            <v>26.32</v>
          </cell>
        </row>
        <row r="2496">
          <cell r="D2496">
            <v>26.33</v>
          </cell>
        </row>
        <row r="2497">
          <cell r="D2497">
            <v>26.34</v>
          </cell>
        </row>
        <row r="2498">
          <cell r="D2498">
            <v>26.35</v>
          </cell>
        </row>
        <row r="2499">
          <cell r="D2499">
            <v>26.36</v>
          </cell>
        </row>
        <row r="2500">
          <cell r="D2500">
            <v>26.37</v>
          </cell>
        </row>
        <row r="2501">
          <cell r="D2501">
            <v>26.38</v>
          </cell>
        </row>
        <row r="2502">
          <cell r="D2502">
            <v>26.39</v>
          </cell>
        </row>
        <row r="2503">
          <cell r="D2503">
            <v>26.4</v>
          </cell>
        </row>
        <row r="2504">
          <cell r="D2504">
            <v>26.41</v>
          </cell>
        </row>
        <row r="2505">
          <cell r="D2505">
            <v>26.42</v>
          </cell>
        </row>
        <row r="2506">
          <cell r="D2506">
            <v>26.43</v>
          </cell>
        </row>
        <row r="2507">
          <cell r="D2507">
            <v>26.44</v>
          </cell>
        </row>
        <row r="2508">
          <cell r="D2508">
            <v>26.45</v>
          </cell>
        </row>
        <row r="2509">
          <cell r="D2509">
            <v>26.46</v>
          </cell>
        </row>
        <row r="2510">
          <cell r="D2510">
            <v>26.47</v>
          </cell>
        </row>
        <row r="2511">
          <cell r="D2511">
            <v>26.48</v>
          </cell>
        </row>
        <row r="2512">
          <cell r="D2512">
            <v>26.49</v>
          </cell>
        </row>
        <row r="2513">
          <cell r="D2513">
            <v>26.5</v>
          </cell>
        </row>
        <row r="2514">
          <cell r="D2514">
            <v>26.51</v>
          </cell>
        </row>
        <row r="2515">
          <cell r="D2515">
            <v>26.52</v>
          </cell>
        </row>
        <row r="2516">
          <cell r="D2516">
            <v>26.53</v>
          </cell>
        </row>
        <row r="2517">
          <cell r="D2517">
            <v>26.54</v>
          </cell>
        </row>
        <row r="2518">
          <cell r="D2518">
            <v>26.55</v>
          </cell>
        </row>
        <row r="2519">
          <cell r="D2519">
            <v>26.56</v>
          </cell>
        </row>
        <row r="2520">
          <cell r="D2520">
            <v>26.57</v>
          </cell>
        </row>
        <row r="2521">
          <cell r="D2521">
            <v>26.58</v>
          </cell>
        </row>
        <row r="2522">
          <cell r="D2522">
            <v>26.59</v>
          </cell>
        </row>
        <row r="2523">
          <cell r="D2523">
            <v>26.6</v>
          </cell>
        </row>
        <row r="2524">
          <cell r="D2524">
            <v>26.61</v>
          </cell>
        </row>
        <row r="2525">
          <cell r="D2525">
            <v>26.62</v>
          </cell>
        </row>
        <row r="2526">
          <cell r="D2526">
            <v>26.63</v>
          </cell>
        </row>
        <row r="2527">
          <cell r="D2527">
            <v>26.64</v>
          </cell>
        </row>
        <row r="2528">
          <cell r="D2528">
            <v>26.65</v>
          </cell>
        </row>
        <row r="2529">
          <cell r="D2529">
            <v>26.66</v>
          </cell>
        </row>
        <row r="2530">
          <cell r="D2530">
            <v>26.67</v>
          </cell>
        </row>
        <row r="2531">
          <cell r="D2531">
            <v>26.68</v>
          </cell>
        </row>
        <row r="2532">
          <cell r="D2532">
            <v>26.69</v>
          </cell>
        </row>
        <row r="2533">
          <cell r="D2533">
            <v>26.7</v>
          </cell>
        </row>
        <row r="2534">
          <cell r="D2534">
            <v>26.71</v>
          </cell>
        </row>
        <row r="2535">
          <cell r="D2535">
            <v>26.72</v>
          </cell>
        </row>
        <row r="2536">
          <cell r="D2536">
            <v>26.73</v>
          </cell>
        </row>
        <row r="2537">
          <cell r="D2537">
            <v>26.74</v>
          </cell>
        </row>
        <row r="2538">
          <cell r="D2538">
            <v>26.75</v>
          </cell>
        </row>
        <row r="2539">
          <cell r="D2539">
            <v>26.76</v>
          </cell>
        </row>
        <row r="2540">
          <cell r="D2540">
            <v>26.77</v>
          </cell>
        </row>
        <row r="2541">
          <cell r="D2541">
            <v>26.78</v>
          </cell>
        </row>
        <row r="2542">
          <cell r="D2542">
            <v>26.79</v>
          </cell>
        </row>
        <row r="2543">
          <cell r="D2543">
            <v>26.8</v>
          </cell>
        </row>
        <row r="2544">
          <cell r="D2544">
            <v>26.81</v>
          </cell>
        </row>
        <row r="2545">
          <cell r="D2545">
            <v>26.82</v>
          </cell>
        </row>
        <row r="2546">
          <cell r="D2546">
            <v>26.83</v>
          </cell>
        </row>
        <row r="2547">
          <cell r="D2547">
            <v>26.84</v>
          </cell>
        </row>
        <row r="2548">
          <cell r="D2548">
            <v>26.85</v>
          </cell>
        </row>
        <row r="2549">
          <cell r="D2549">
            <v>26.86</v>
          </cell>
        </row>
        <row r="2550">
          <cell r="D2550">
            <v>26.87</v>
          </cell>
        </row>
        <row r="2551">
          <cell r="D2551">
            <v>26.88</v>
          </cell>
        </row>
        <row r="2552">
          <cell r="D2552">
            <v>26.89</v>
          </cell>
        </row>
        <row r="2553">
          <cell r="D2553">
            <v>26.9</v>
          </cell>
        </row>
        <row r="2554">
          <cell r="D2554">
            <v>26.91</v>
          </cell>
        </row>
        <row r="2555">
          <cell r="D2555">
            <v>26.92</v>
          </cell>
        </row>
        <row r="2556">
          <cell r="D2556">
            <v>26.93</v>
          </cell>
        </row>
        <row r="2557">
          <cell r="D2557">
            <v>26.94</v>
          </cell>
        </row>
        <row r="2558">
          <cell r="D2558">
            <v>26.95</v>
          </cell>
        </row>
        <row r="2559">
          <cell r="D2559">
            <v>26.96</v>
          </cell>
        </row>
        <row r="2560">
          <cell r="D2560">
            <v>26.97</v>
          </cell>
        </row>
        <row r="2561">
          <cell r="D2561">
            <v>26.98</v>
          </cell>
        </row>
        <row r="2562">
          <cell r="D2562">
            <v>26.99</v>
          </cell>
        </row>
        <row r="2563">
          <cell r="D2563">
            <v>27</v>
          </cell>
        </row>
        <row r="2564">
          <cell r="D2564">
            <v>27.01</v>
          </cell>
        </row>
        <row r="2565">
          <cell r="D2565">
            <v>27.02</v>
          </cell>
        </row>
        <row r="2566">
          <cell r="D2566">
            <v>27.03</v>
          </cell>
        </row>
        <row r="2567">
          <cell r="D2567">
            <v>27.04</v>
          </cell>
        </row>
        <row r="2568">
          <cell r="D2568">
            <v>27.05</v>
          </cell>
        </row>
        <row r="2569">
          <cell r="D2569">
            <v>27.06</v>
          </cell>
        </row>
        <row r="2570">
          <cell r="D2570">
            <v>27.07</v>
          </cell>
        </row>
        <row r="2571">
          <cell r="D2571">
            <v>27.08</v>
          </cell>
        </row>
        <row r="2572">
          <cell r="D2572">
            <v>27.09</v>
          </cell>
        </row>
        <row r="2573">
          <cell r="D2573">
            <v>27.1</v>
          </cell>
        </row>
        <row r="2574">
          <cell r="D2574">
            <v>27.11</v>
          </cell>
        </row>
        <row r="2575">
          <cell r="D2575">
            <v>27.12</v>
          </cell>
        </row>
        <row r="2576">
          <cell r="D2576">
            <v>27.13</v>
          </cell>
        </row>
        <row r="2577">
          <cell r="D2577">
            <v>27.14</v>
          </cell>
        </row>
        <row r="2578">
          <cell r="D2578">
            <v>27.15</v>
          </cell>
        </row>
        <row r="2579">
          <cell r="D2579">
            <v>27.16</v>
          </cell>
        </row>
        <row r="2580">
          <cell r="D2580">
            <v>27.17</v>
          </cell>
        </row>
        <row r="2581">
          <cell r="D2581">
            <v>27.18</v>
          </cell>
        </row>
        <row r="2582">
          <cell r="D2582">
            <v>27.19</v>
          </cell>
        </row>
        <row r="2583">
          <cell r="D2583">
            <v>27.2</v>
          </cell>
        </row>
        <row r="2584">
          <cell r="D2584">
            <v>27.21</v>
          </cell>
        </row>
        <row r="2585">
          <cell r="D2585">
            <v>27.22</v>
          </cell>
        </row>
        <row r="2586">
          <cell r="D2586">
            <v>27.23</v>
          </cell>
        </row>
        <row r="2587">
          <cell r="D2587">
            <v>27.24</v>
          </cell>
        </row>
        <row r="2588">
          <cell r="D2588">
            <v>27.25</v>
          </cell>
        </row>
        <row r="2589">
          <cell r="D2589">
            <v>27.26</v>
          </cell>
        </row>
        <row r="2590">
          <cell r="D2590">
            <v>27.27</v>
          </cell>
        </row>
        <row r="2591">
          <cell r="D2591">
            <v>27.28</v>
          </cell>
        </row>
        <row r="2592">
          <cell r="D2592">
            <v>27.29</v>
          </cell>
        </row>
        <row r="2593">
          <cell r="D2593">
            <v>27.3</v>
          </cell>
        </row>
        <row r="2594">
          <cell r="D2594">
            <v>27.31</v>
          </cell>
        </row>
        <row r="2595">
          <cell r="D2595">
            <v>27.32</v>
          </cell>
        </row>
        <row r="2596">
          <cell r="D2596">
            <v>27.33</v>
          </cell>
        </row>
        <row r="2597">
          <cell r="D2597">
            <v>27.34</v>
          </cell>
        </row>
        <row r="2598">
          <cell r="D2598">
            <v>27.35</v>
          </cell>
        </row>
        <row r="2599">
          <cell r="D2599">
            <v>27.36</v>
          </cell>
        </row>
        <row r="2600">
          <cell r="D2600">
            <v>27.37</v>
          </cell>
        </row>
        <row r="2601">
          <cell r="D2601">
            <v>27.38</v>
          </cell>
        </row>
        <row r="2602">
          <cell r="D2602">
            <v>27.39</v>
          </cell>
        </row>
        <row r="2603">
          <cell r="D2603">
            <v>27.4</v>
          </cell>
        </row>
        <row r="2604">
          <cell r="D2604">
            <v>27.41</v>
          </cell>
        </row>
        <row r="2605">
          <cell r="D2605">
            <v>27.42</v>
          </cell>
        </row>
        <row r="2606">
          <cell r="D2606">
            <v>27.43</v>
          </cell>
        </row>
        <row r="2607">
          <cell r="D2607">
            <v>27.44</v>
          </cell>
        </row>
        <row r="2608">
          <cell r="D2608">
            <v>27.45</v>
          </cell>
        </row>
        <row r="2609">
          <cell r="D2609">
            <v>27.46</v>
          </cell>
        </row>
        <row r="2610">
          <cell r="D2610">
            <v>27.47</v>
          </cell>
        </row>
        <row r="2611">
          <cell r="D2611">
            <v>27.48</v>
          </cell>
        </row>
        <row r="2612">
          <cell r="D2612">
            <v>27.49</v>
          </cell>
        </row>
        <row r="2613">
          <cell r="D2613">
            <v>27.5</v>
          </cell>
        </row>
        <row r="2614">
          <cell r="D2614">
            <v>27.51</v>
          </cell>
        </row>
        <row r="2615">
          <cell r="D2615">
            <v>27.52</v>
          </cell>
        </row>
        <row r="2616">
          <cell r="D2616">
            <v>27.53</v>
          </cell>
        </row>
        <row r="2617">
          <cell r="D2617">
            <v>27.54</v>
          </cell>
        </row>
        <row r="2618">
          <cell r="D2618">
            <v>27.55</v>
          </cell>
        </row>
        <row r="2619">
          <cell r="D2619">
            <v>27.56</v>
          </cell>
        </row>
        <row r="2620">
          <cell r="D2620">
            <v>27.57</v>
          </cell>
        </row>
        <row r="2621">
          <cell r="D2621">
            <v>27.58</v>
          </cell>
        </row>
        <row r="2622">
          <cell r="D2622">
            <v>27.59</v>
          </cell>
        </row>
        <row r="2623">
          <cell r="D2623">
            <v>27.6</v>
          </cell>
        </row>
        <row r="2624">
          <cell r="D2624">
            <v>27.61</v>
          </cell>
        </row>
        <row r="2625">
          <cell r="D2625">
            <v>27.62</v>
          </cell>
        </row>
        <row r="2626">
          <cell r="D2626">
            <v>27.63</v>
          </cell>
        </row>
        <row r="2627">
          <cell r="D2627">
            <v>27.64</v>
          </cell>
        </row>
        <row r="2628">
          <cell r="D2628">
            <v>27.65</v>
          </cell>
        </row>
        <row r="2629">
          <cell r="D2629">
            <v>27.66</v>
          </cell>
        </row>
        <row r="2630">
          <cell r="D2630">
            <v>27.67</v>
          </cell>
        </row>
        <row r="2631">
          <cell r="D2631">
            <v>27.68</v>
          </cell>
        </row>
        <row r="2632">
          <cell r="D2632">
            <v>27.69</v>
          </cell>
        </row>
        <row r="2633">
          <cell r="D2633">
            <v>27.7</v>
          </cell>
        </row>
        <row r="2634">
          <cell r="D2634">
            <v>27.71</v>
          </cell>
        </row>
        <row r="2635">
          <cell r="D2635">
            <v>27.72</v>
          </cell>
        </row>
        <row r="2636">
          <cell r="D2636">
            <v>27.73</v>
          </cell>
        </row>
        <row r="2637">
          <cell r="D2637">
            <v>27.74</v>
          </cell>
        </row>
        <row r="2638">
          <cell r="D2638">
            <v>27.75</v>
          </cell>
        </row>
        <row r="2639">
          <cell r="D2639">
            <v>27.76</v>
          </cell>
        </row>
        <row r="2640">
          <cell r="D2640">
            <v>27.77</v>
          </cell>
        </row>
        <row r="2641">
          <cell r="D2641">
            <v>27.78</v>
          </cell>
        </row>
        <row r="2642">
          <cell r="D2642">
            <v>27.79</v>
          </cell>
        </row>
        <row r="2643">
          <cell r="D2643">
            <v>27.8</v>
          </cell>
        </row>
        <row r="2644">
          <cell r="D2644">
            <v>27.81</v>
          </cell>
        </row>
        <row r="2645">
          <cell r="D2645">
            <v>27.82</v>
          </cell>
        </row>
        <row r="2646">
          <cell r="D2646">
            <v>27.83</v>
          </cell>
        </row>
        <row r="2647">
          <cell r="D2647">
            <v>27.84</v>
          </cell>
        </row>
        <row r="2648">
          <cell r="D2648">
            <v>27.85</v>
          </cell>
        </row>
        <row r="2649">
          <cell r="D2649">
            <v>27.86</v>
          </cell>
        </row>
        <row r="2650">
          <cell r="D2650">
            <v>27.87</v>
          </cell>
        </row>
        <row r="2651">
          <cell r="D2651">
            <v>27.88</v>
          </cell>
        </row>
        <row r="2652">
          <cell r="D2652">
            <v>27.89</v>
          </cell>
        </row>
        <row r="2653">
          <cell r="D2653">
            <v>27.9</v>
          </cell>
        </row>
        <row r="2654">
          <cell r="D2654">
            <v>27.91</v>
          </cell>
        </row>
        <row r="2655">
          <cell r="D2655">
            <v>27.92</v>
          </cell>
        </row>
        <row r="2656">
          <cell r="D2656">
            <v>27.93</v>
          </cell>
        </row>
        <row r="2657">
          <cell r="D2657">
            <v>27.94</v>
          </cell>
        </row>
        <row r="2658">
          <cell r="D2658">
            <v>27.95</v>
          </cell>
        </row>
        <row r="2659">
          <cell r="D2659">
            <v>27.96</v>
          </cell>
        </row>
        <row r="2660">
          <cell r="D2660">
            <v>27.97</v>
          </cell>
        </row>
        <row r="2661">
          <cell r="D2661">
            <v>27.98</v>
          </cell>
        </row>
        <row r="2662">
          <cell r="D2662">
            <v>27.99</v>
          </cell>
        </row>
        <row r="2663">
          <cell r="D2663">
            <v>28</v>
          </cell>
        </row>
        <row r="2664">
          <cell r="D2664">
            <v>28.01</v>
          </cell>
        </row>
        <row r="2665">
          <cell r="D2665">
            <v>28.02</v>
          </cell>
        </row>
        <row r="2666">
          <cell r="D2666">
            <v>28.03</v>
          </cell>
        </row>
        <row r="2667">
          <cell r="D2667">
            <v>28.04</v>
          </cell>
        </row>
        <row r="2668">
          <cell r="D2668">
            <v>28.05</v>
          </cell>
        </row>
        <row r="2669">
          <cell r="D2669">
            <v>28.06</v>
          </cell>
        </row>
        <row r="2670">
          <cell r="D2670">
            <v>28.07</v>
          </cell>
        </row>
        <row r="2671">
          <cell r="D2671">
            <v>28.08</v>
          </cell>
        </row>
        <row r="2672">
          <cell r="D2672">
            <v>28.09</v>
          </cell>
        </row>
        <row r="2673">
          <cell r="D2673">
            <v>28.1</v>
          </cell>
        </row>
        <row r="2674">
          <cell r="D2674">
            <v>28.11</v>
          </cell>
        </row>
        <row r="2675">
          <cell r="D2675">
            <v>28.12</v>
          </cell>
        </row>
        <row r="2676">
          <cell r="D2676">
            <v>28.13</v>
          </cell>
        </row>
        <row r="2677">
          <cell r="D2677">
            <v>28.14</v>
          </cell>
        </row>
        <row r="2678">
          <cell r="D2678">
            <v>28.15</v>
          </cell>
        </row>
        <row r="2679">
          <cell r="D2679">
            <v>28.16</v>
          </cell>
        </row>
        <row r="2680">
          <cell r="D2680">
            <v>28.17</v>
          </cell>
        </row>
        <row r="2681">
          <cell r="D2681">
            <v>28.18</v>
          </cell>
        </row>
        <row r="2682">
          <cell r="D2682">
            <v>28.19</v>
          </cell>
        </row>
        <row r="2683">
          <cell r="D2683">
            <v>28.2</v>
          </cell>
        </row>
        <row r="2684">
          <cell r="D2684">
            <v>28.21</v>
          </cell>
        </row>
        <row r="2685">
          <cell r="D2685">
            <v>28.22</v>
          </cell>
        </row>
        <row r="2686">
          <cell r="D2686">
            <v>28.23</v>
          </cell>
        </row>
        <row r="2687">
          <cell r="D2687">
            <v>28.24</v>
          </cell>
        </row>
        <row r="2688">
          <cell r="D2688">
            <v>28.25</v>
          </cell>
        </row>
        <row r="2689">
          <cell r="D2689">
            <v>28.26</v>
          </cell>
        </row>
        <row r="2690">
          <cell r="D2690">
            <v>28.27</v>
          </cell>
        </row>
        <row r="2691">
          <cell r="D2691">
            <v>28.28</v>
          </cell>
        </row>
        <row r="2692">
          <cell r="D2692">
            <v>28.29</v>
          </cell>
        </row>
        <row r="2693">
          <cell r="D2693">
            <v>28.3</v>
          </cell>
        </row>
        <row r="2694">
          <cell r="D2694">
            <v>28.31</v>
          </cell>
        </row>
        <row r="2695">
          <cell r="D2695">
            <v>28.32</v>
          </cell>
        </row>
        <row r="2696">
          <cell r="D2696">
            <v>28.33</v>
          </cell>
        </row>
        <row r="2697">
          <cell r="D2697">
            <v>28.34</v>
          </cell>
        </row>
        <row r="2698">
          <cell r="D2698">
            <v>28.35</v>
          </cell>
        </row>
        <row r="2699">
          <cell r="D2699">
            <v>28.36</v>
          </cell>
        </row>
        <row r="2700">
          <cell r="D2700">
            <v>28.37</v>
          </cell>
        </row>
        <row r="2701">
          <cell r="D2701">
            <v>28.38</v>
          </cell>
        </row>
        <row r="2702">
          <cell r="D2702">
            <v>28.39</v>
          </cell>
        </row>
        <row r="2703">
          <cell r="D2703">
            <v>28.4</v>
          </cell>
        </row>
        <row r="2704">
          <cell r="D2704">
            <v>28.41</v>
          </cell>
        </row>
        <row r="2705">
          <cell r="D2705">
            <v>28.42</v>
          </cell>
        </row>
        <row r="2706">
          <cell r="D2706">
            <v>28.43</v>
          </cell>
        </row>
        <row r="2707">
          <cell r="D2707">
            <v>28.44</v>
          </cell>
        </row>
        <row r="2708">
          <cell r="D2708">
            <v>28.45</v>
          </cell>
        </row>
        <row r="2709">
          <cell r="D2709">
            <v>28.46</v>
          </cell>
        </row>
        <row r="2710">
          <cell r="D2710">
            <v>28.47</v>
          </cell>
        </row>
        <row r="2711">
          <cell r="D2711">
            <v>28.48</v>
          </cell>
        </row>
        <row r="2712">
          <cell r="D2712">
            <v>28.49</v>
          </cell>
        </row>
        <row r="2713">
          <cell r="D2713">
            <v>28.5</v>
          </cell>
        </row>
        <row r="2714">
          <cell r="D2714">
            <v>28.51</v>
          </cell>
        </row>
        <row r="2715">
          <cell r="D2715">
            <v>28.52</v>
          </cell>
        </row>
        <row r="2716">
          <cell r="D2716">
            <v>28.53</v>
          </cell>
        </row>
        <row r="2717">
          <cell r="D2717">
            <v>28.54</v>
          </cell>
        </row>
        <row r="2718">
          <cell r="D2718">
            <v>28.55</v>
          </cell>
        </row>
        <row r="2719">
          <cell r="D2719">
            <v>28.56</v>
          </cell>
        </row>
        <row r="2720">
          <cell r="D2720">
            <v>28.57</v>
          </cell>
        </row>
        <row r="2721">
          <cell r="D2721">
            <v>28.58</v>
          </cell>
        </row>
        <row r="2722">
          <cell r="D2722">
            <v>28.59</v>
          </cell>
        </row>
        <row r="2723">
          <cell r="D2723">
            <v>28.6</v>
          </cell>
        </row>
        <row r="2724">
          <cell r="D2724">
            <v>28.61</v>
          </cell>
        </row>
        <row r="2725">
          <cell r="D2725">
            <v>28.62</v>
          </cell>
        </row>
        <row r="2726">
          <cell r="D2726">
            <v>28.63</v>
          </cell>
        </row>
        <row r="2727">
          <cell r="D2727">
            <v>28.64</v>
          </cell>
        </row>
        <row r="2728">
          <cell r="D2728">
            <v>28.65</v>
          </cell>
        </row>
        <row r="2729">
          <cell r="D2729">
            <v>28.66</v>
          </cell>
        </row>
        <row r="2730">
          <cell r="D2730">
            <v>28.67</v>
          </cell>
        </row>
        <row r="2731">
          <cell r="D2731">
            <v>28.68</v>
          </cell>
        </row>
        <row r="2732">
          <cell r="D2732">
            <v>28.69</v>
          </cell>
        </row>
        <row r="2733">
          <cell r="D2733">
            <v>28.7</v>
          </cell>
        </row>
        <row r="2734">
          <cell r="D2734">
            <v>28.71</v>
          </cell>
        </row>
        <row r="2735">
          <cell r="D2735">
            <v>28.72</v>
          </cell>
        </row>
        <row r="2736">
          <cell r="D2736">
            <v>28.73</v>
          </cell>
        </row>
        <row r="2737">
          <cell r="D2737">
            <v>28.74</v>
          </cell>
        </row>
        <row r="2738">
          <cell r="D2738">
            <v>28.75</v>
          </cell>
        </row>
        <row r="2739">
          <cell r="D2739">
            <v>28.76</v>
          </cell>
        </row>
        <row r="2740">
          <cell r="D2740">
            <v>28.77</v>
          </cell>
        </row>
        <row r="2741">
          <cell r="D2741">
            <v>28.78</v>
          </cell>
        </row>
        <row r="2742">
          <cell r="D2742">
            <v>28.79</v>
          </cell>
        </row>
        <row r="2743">
          <cell r="D2743">
            <v>28.8</v>
          </cell>
        </row>
        <row r="2744">
          <cell r="D2744">
            <v>28.81</v>
          </cell>
        </row>
        <row r="2745">
          <cell r="D2745">
            <v>28.82</v>
          </cell>
        </row>
        <row r="2746">
          <cell r="D2746">
            <v>28.83</v>
          </cell>
        </row>
        <row r="2747">
          <cell r="D2747">
            <v>28.84</v>
          </cell>
        </row>
        <row r="2748">
          <cell r="D2748">
            <v>28.85</v>
          </cell>
        </row>
        <row r="2749">
          <cell r="D2749">
            <v>28.86</v>
          </cell>
        </row>
        <row r="2750">
          <cell r="D2750">
            <v>28.87</v>
          </cell>
        </row>
        <row r="2751">
          <cell r="D2751">
            <v>28.88</v>
          </cell>
        </row>
        <row r="2752">
          <cell r="D2752">
            <v>28.89</v>
          </cell>
        </row>
        <row r="2753">
          <cell r="D2753">
            <v>28.9</v>
          </cell>
        </row>
        <row r="2754">
          <cell r="D2754">
            <v>28.91</v>
          </cell>
        </row>
        <row r="2755">
          <cell r="D2755">
            <v>28.92</v>
          </cell>
        </row>
        <row r="2756">
          <cell r="D2756">
            <v>28.93</v>
          </cell>
        </row>
        <row r="2757">
          <cell r="D2757">
            <v>28.94</v>
          </cell>
        </row>
        <row r="2758">
          <cell r="D2758">
            <v>28.95</v>
          </cell>
        </row>
        <row r="2759">
          <cell r="D2759">
            <v>28.96</v>
          </cell>
        </row>
        <row r="2760">
          <cell r="D2760">
            <v>28.97</v>
          </cell>
        </row>
        <row r="2761">
          <cell r="D2761">
            <v>28.98</v>
          </cell>
        </row>
        <row r="2762">
          <cell r="D2762">
            <v>28.99</v>
          </cell>
        </row>
        <row r="2763">
          <cell r="D2763">
            <v>29</v>
          </cell>
        </row>
        <row r="2764">
          <cell r="D2764">
            <v>29.01</v>
          </cell>
        </row>
        <row r="2765">
          <cell r="D2765">
            <v>29.02</v>
          </cell>
        </row>
        <row r="2766">
          <cell r="D2766">
            <v>29.03</v>
          </cell>
        </row>
        <row r="2767">
          <cell r="D2767">
            <v>29.04</v>
          </cell>
        </row>
        <row r="2768">
          <cell r="D2768">
            <v>29.05</v>
          </cell>
        </row>
        <row r="2769">
          <cell r="D2769">
            <v>29.06</v>
          </cell>
        </row>
        <row r="2770">
          <cell r="D2770">
            <v>29.07</v>
          </cell>
        </row>
        <row r="2771">
          <cell r="D2771">
            <v>29.08</v>
          </cell>
        </row>
        <row r="2772">
          <cell r="D2772">
            <v>29.09</v>
          </cell>
        </row>
        <row r="2773">
          <cell r="D2773">
            <v>29.1</v>
          </cell>
        </row>
        <row r="2774">
          <cell r="D2774">
            <v>29.11</v>
          </cell>
        </row>
        <row r="2775">
          <cell r="D2775">
            <v>29.12</v>
          </cell>
        </row>
        <row r="2776">
          <cell r="D2776">
            <v>29.13</v>
          </cell>
        </row>
        <row r="2777">
          <cell r="D2777">
            <v>29.14</v>
          </cell>
        </row>
        <row r="2778">
          <cell r="D2778">
            <v>29.15</v>
          </cell>
        </row>
        <row r="2779">
          <cell r="D2779">
            <v>29.16</v>
          </cell>
        </row>
        <row r="2780">
          <cell r="D2780">
            <v>29.17</v>
          </cell>
        </row>
        <row r="2781">
          <cell r="D2781">
            <v>29.18</v>
          </cell>
        </row>
        <row r="2782">
          <cell r="D2782">
            <v>29.19</v>
          </cell>
        </row>
        <row r="2783">
          <cell r="D2783">
            <v>29.2</v>
          </cell>
        </row>
        <row r="2784">
          <cell r="D2784">
            <v>29.21</v>
          </cell>
        </row>
        <row r="2785">
          <cell r="D2785">
            <v>29.22</v>
          </cell>
        </row>
        <row r="2786">
          <cell r="D2786">
            <v>29.23</v>
          </cell>
        </row>
        <row r="2787">
          <cell r="D2787">
            <v>29.24</v>
          </cell>
        </row>
        <row r="2788">
          <cell r="D2788">
            <v>29.25</v>
          </cell>
        </row>
        <row r="2789">
          <cell r="D2789">
            <v>29.26</v>
          </cell>
        </row>
        <row r="2790">
          <cell r="D2790">
            <v>29.27</v>
          </cell>
        </row>
        <row r="2791">
          <cell r="D2791">
            <v>29.28</v>
          </cell>
        </row>
        <row r="2792">
          <cell r="D2792">
            <v>29.29</v>
          </cell>
        </row>
        <row r="2793">
          <cell r="D2793">
            <v>29.3</v>
          </cell>
        </row>
        <row r="2794">
          <cell r="D2794">
            <v>29.31</v>
          </cell>
        </row>
        <row r="2795">
          <cell r="D2795">
            <v>29.32</v>
          </cell>
        </row>
        <row r="2796">
          <cell r="D2796">
            <v>29.33</v>
          </cell>
        </row>
        <row r="2797">
          <cell r="D2797">
            <v>29.34</v>
          </cell>
        </row>
        <row r="2798">
          <cell r="D2798">
            <v>29.35</v>
          </cell>
        </row>
        <row r="2799">
          <cell r="D2799">
            <v>29.36</v>
          </cell>
        </row>
        <row r="2800">
          <cell r="D2800">
            <v>29.37</v>
          </cell>
        </row>
        <row r="2801">
          <cell r="D2801">
            <v>29.38</v>
          </cell>
        </row>
        <row r="2802">
          <cell r="D2802">
            <v>29.39</v>
          </cell>
        </row>
        <row r="2803">
          <cell r="D2803">
            <v>29.4</v>
          </cell>
        </row>
        <row r="2804">
          <cell r="D2804">
            <v>29.41</v>
          </cell>
        </row>
        <row r="2805">
          <cell r="D2805">
            <v>29.42</v>
          </cell>
        </row>
        <row r="2806">
          <cell r="D2806">
            <v>29.43</v>
          </cell>
        </row>
        <row r="2807">
          <cell r="D2807">
            <v>29.44</v>
          </cell>
        </row>
        <row r="2808">
          <cell r="D2808">
            <v>29.45</v>
          </cell>
        </row>
        <row r="2809">
          <cell r="D2809">
            <v>29.46</v>
          </cell>
        </row>
        <row r="2810">
          <cell r="D2810">
            <v>29.47</v>
          </cell>
        </row>
        <row r="2811">
          <cell r="D2811">
            <v>29.48</v>
          </cell>
        </row>
        <row r="2812">
          <cell r="D2812">
            <v>29.49</v>
          </cell>
        </row>
        <row r="2813">
          <cell r="D2813">
            <v>29.5</v>
          </cell>
        </row>
        <row r="2814">
          <cell r="D2814">
            <v>29.51</v>
          </cell>
        </row>
        <row r="2815">
          <cell r="D2815">
            <v>29.52</v>
          </cell>
        </row>
        <row r="2816">
          <cell r="D2816">
            <v>29.53</v>
          </cell>
        </row>
        <row r="2817">
          <cell r="D2817">
            <v>29.54</v>
          </cell>
        </row>
        <row r="2818">
          <cell r="D2818">
            <v>29.55</v>
          </cell>
        </row>
        <row r="2819">
          <cell r="D2819">
            <v>29.56</v>
          </cell>
        </row>
        <row r="2820">
          <cell r="D2820">
            <v>29.57</v>
          </cell>
        </row>
        <row r="2821">
          <cell r="D2821">
            <v>29.58</v>
          </cell>
        </row>
        <row r="2822">
          <cell r="D2822">
            <v>29.59</v>
          </cell>
        </row>
        <row r="2823">
          <cell r="D2823">
            <v>29.6</v>
          </cell>
        </row>
        <row r="2824">
          <cell r="D2824">
            <v>29.61</v>
          </cell>
        </row>
        <row r="2825">
          <cell r="D2825">
            <v>29.62</v>
          </cell>
        </row>
        <row r="2826">
          <cell r="D2826">
            <v>29.63</v>
          </cell>
        </row>
        <row r="2827">
          <cell r="D2827">
            <v>29.64</v>
          </cell>
        </row>
        <row r="2828">
          <cell r="D2828">
            <v>29.65</v>
          </cell>
        </row>
        <row r="2829">
          <cell r="D2829">
            <v>29.66</v>
          </cell>
        </row>
        <row r="2830">
          <cell r="D2830">
            <v>29.67</v>
          </cell>
        </row>
        <row r="2831">
          <cell r="D2831">
            <v>29.68</v>
          </cell>
        </row>
        <row r="2832">
          <cell r="D2832">
            <v>29.69</v>
          </cell>
        </row>
        <row r="2833">
          <cell r="D2833">
            <v>29.7</v>
          </cell>
        </row>
        <row r="2834">
          <cell r="D2834">
            <v>29.71</v>
          </cell>
        </row>
        <row r="2835">
          <cell r="D2835">
            <v>29.72</v>
          </cell>
        </row>
        <row r="2836">
          <cell r="D2836">
            <v>29.73</v>
          </cell>
        </row>
        <row r="2837">
          <cell r="D2837">
            <v>29.74</v>
          </cell>
        </row>
        <row r="2838">
          <cell r="D2838">
            <v>29.75</v>
          </cell>
        </row>
        <row r="2839">
          <cell r="D2839">
            <v>29.76</v>
          </cell>
        </row>
        <row r="2840">
          <cell r="D2840">
            <v>29.77</v>
          </cell>
        </row>
        <row r="2841">
          <cell r="D2841">
            <v>29.78</v>
          </cell>
        </row>
        <row r="2842">
          <cell r="D2842">
            <v>29.79</v>
          </cell>
        </row>
        <row r="2843">
          <cell r="D2843">
            <v>29.8</v>
          </cell>
        </row>
        <row r="2844">
          <cell r="D2844">
            <v>29.81</v>
          </cell>
        </row>
        <row r="2845">
          <cell r="D2845">
            <v>29.82</v>
          </cell>
        </row>
        <row r="2846">
          <cell r="D2846">
            <v>29.83</v>
          </cell>
        </row>
        <row r="2847">
          <cell r="D2847">
            <v>29.84</v>
          </cell>
        </row>
        <row r="2848">
          <cell r="D2848">
            <v>29.85</v>
          </cell>
        </row>
        <row r="2849">
          <cell r="D2849">
            <v>29.86</v>
          </cell>
        </row>
        <row r="2850">
          <cell r="D2850">
            <v>29.87</v>
          </cell>
        </row>
        <row r="2851">
          <cell r="D2851">
            <v>29.88</v>
          </cell>
        </row>
        <row r="2852">
          <cell r="D2852">
            <v>29.89</v>
          </cell>
        </row>
        <row r="2853">
          <cell r="D2853">
            <v>29.9</v>
          </cell>
        </row>
        <row r="2854">
          <cell r="D2854">
            <v>29.91</v>
          </cell>
        </row>
        <row r="2855">
          <cell r="D2855">
            <v>29.92</v>
          </cell>
        </row>
        <row r="2856">
          <cell r="D2856">
            <v>29.93</v>
          </cell>
        </row>
        <row r="2857">
          <cell r="D2857">
            <v>29.94</v>
          </cell>
        </row>
        <row r="2858">
          <cell r="D2858">
            <v>29.95</v>
          </cell>
        </row>
        <row r="2859">
          <cell r="D2859">
            <v>29.96</v>
          </cell>
        </row>
        <row r="2860">
          <cell r="D2860">
            <v>29.97</v>
          </cell>
        </row>
        <row r="2861">
          <cell r="D2861">
            <v>29.98</v>
          </cell>
        </row>
        <row r="2862">
          <cell r="D2862">
            <v>29.99</v>
          </cell>
        </row>
        <row r="2863">
          <cell r="D2863">
            <v>30</v>
          </cell>
        </row>
        <row r="2864">
          <cell r="D2864">
            <v>30.01</v>
          </cell>
        </row>
        <row r="2865">
          <cell r="D2865">
            <v>30.02</v>
          </cell>
        </row>
        <row r="2866">
          <cell r="D2866">
            <v>30.03</v>
          </cell>
        </row>
        <row r="2867">
          <cell r="D2867">
            <v>30.04</v>
          </cell>
        </row>
        <row r="2868">
          <cell r="D2868">
            <v>30.05</v>
          </cell>
        </row>
        <row r="2869">
          <cell r="D2869">
            <v>30.06</v>
          </cell>
        </row>
        <row r="2870">
          <cell r="D2870">
            <v>30.07</v>
          </cell>
        </row>
        <row r="2871">
          <cell r="D2871">
            <v>30.08</v>
          </cell>
        </row>
        <row r="2872">
          <cell r="D2872">
            <v>30.09</v>
          </cell>
        </row>
        <row r="2873">
          <cell r="D2873">
            <v>30.1</v>
          </cell>
        </row>
        <row r="2874">
          <cell r="D2874">
            <v>30.11</v>
          </cell>
        </row>
        <row r="2875">
          <cell r="D2875">
            <v>30.12</v>
          </cell>
        </row>
        <row r="2876">
          <cell r="D2876">
            <v>30.13</v>
          </cell>
        </row>
        <row r="2877">
          <cell r="D2877">
            <v>30.14</v>
          </cell>
        </row>
        <row r="2878">
          <cell r="D2878">
            <v>30.15</v>
          </cell>
        </row>
        <row r="2879">
          <cell r="D2879">
            <v>30.16</v>
          </cell>
        </row>
        <row r="2880">
          <cell r="D2880">
            <v>30.17</v>
          </cell>
        </row>
        <row r="2881">
          <cell r="D2881">
            <v>30.18</v>
          </cell>
        </row>
        <row r="2882">
          <cell r="D2882">
            <v>30.19</v>
          </cell>
        </row>
        <row r="2883">
          <cell r="D2883">
            <v>30.2</v>
          </cell>
        </row>
        <row r="2884">
          <cell r="D2884">
            <v>30.21</v>
          </cell>
        </row>
        <row r="2885">
          <cell r="D2885">
            <v>30.22</v>
          </cell>
        </row>
        <row r="2886">
          <cell r="D2886">
            <v>30.23</v>
          </cell>
        </row>
        <row r="2887">
          <cell r="D2887">
            <v>30.24</v>
          </cell>
        </row>
        <row r="2888">
          <cell r="D2888">
            <v>30.25</v>
          </cell>
        </row>
        <row r="2889">
          <cell r="D2889">
            <v>30.26</v>
          </cell>
        </row>
        <row r="2890">
          <cell r="D2890">
            <v>30.27</v>
          </cell>
        </row>
        <row r="2891">
          <cell r="D2891">
            <v>30.28</v>
          </cell>
        </row>
        <row r="2892">
          <cell r="D2892">
            <v>30.29</v>
          </cell>
        </row>
        <row r="2893">
          <cell r="D2893">
            <v>30.3</v>
          </cell>
        </row>
        <row r="2894">
          <cell r="D2894">
            <v>30.31</v>
          </cell>
        </row>
        <row r="2895">
          <cell r="D2895">
            <v>30.32</v>
          </cell>
        </row>
        <row r="2896">
          <cell r="D2896">
            <v>30.33</v>
          </cell>
        </row>
        <row r="2897">
          <cell r="D2897">
            <v>30.34</v>
          </cell>
        </row>
        <row r="2898">
          <cell r="D2898">
            <v>30.35</v>
          </cell>
        </row>
        <row r="2899">
          <cell r="D2899">
            <v>30.36</v>
          </cell>
        </row>
        <row r="2900">
          <cell r="D2900">
            <v>30.37</v>
          </cell>
        </row>
        <row r="2901">
          <cell r="D2901">
            <v>30.38</v>
          </cell>
        </row>
        <row r="2902">
          <cell r="D2902">
            <v>30.39</v>
          </cell>
        </row>
        <row r="2903">
          <cell r="D2903">
            <v>30.4</v>
          </cell>
        </row>
        <row r="2904">
          <cell r="D2904">
            <v>30.41</v>
          </cell>
        </row>
        <row r="2905">
          <cell r="D2905">
            <v>30.42</v>
          </cell>
        </row>
        <row r="2906">
          <cell r="D2906">
            <v>30.43</v>
          </cell>
        </row>
        <row r="2907">
          <cell r="D2907">
            <v>30.44</v>
          </cell>
        </row>
        <row r="2908">
          <cell r="D2908">
            <v>30.45</v>
          </cell>
        </row>
        <row r="2909">
          <cell r="D2909">
            <v>30.46</v>
          </cell>
        </row>
        <row r="2910">
          <cell r="D2910">
            <v>30.47</v>
          </cell>
        </row>
        <row r="2911">
          <cell r="D2911">
            <v>30.48</v>
          </cell>
        </row>
        <row r="2912">
          <cell r="D2912">
            <v>30.49</v>
          </cell>
        </row>
        <row r="2913">
          <cell r="D2913">
            <v>30.5</v>
          </cell>
        </row>
        <row r="2914">
          <cell r="D2914">
            <v>30.51</v>
          </cell>
        </row>
        <row r="2915">
          <cell r="D2915">
            <v>30.52</v>
          </cell>
        </row>
        <row r="2916">
          <cell r="D2916">
            <v>30.53</v>
          </cell>
        </row>
        <row r="2917">
          <cell r="D2917">
            <v>30.54</v>
          </cell>
        </row>
        <row r="2918">
          <cell r="D2918">
            <v>30.55</v>
          </cell>
        </row>
        <row r="2919">
          <cell r="D2919">
            <v>30.56</v>
          </cell>
        </row>
        <row r="2920">
          <cell r="D2920">
            <v>30.57</v>
          </cell>
        </row>
        <row r="2921">
          <cell r="D2921">
            <v>30.58</v>
          </cell>
        </row>
        <row r="2922">
          <cell r="D2922">
            <v>30.59</v>
          </cell>
        </row>
        <row r="2923">
          <cell r="D2923">
            <v>30.6</v>
          </cell>
        </row>
        <row r="2924">
          <cell r="D2924">
            <v>30.61</v>
          </cell>
        </row>
        <row r="2925">
          <cell r="D2925">
            <v>30.62</v>
          </cell>
        </row>
        <row r="2926">
          <cell r="D2926">
            <v>30.63</v>
          </cell>
        </row>
        <row r="2927">
          <cell r="D2927">
            <v>30.64</v>
          </cell>
        </row>
        <row r="2928">
          <cell r="D2928">
            <v>30.65</v>
          </cell>
        </row>
        <row r="2929">
          <cell r="D2929">
            <v>30.66</v>
          </cell>
        </row>
        <row r="2930">
          <cell r="D2930">
            <v>30.67</v>
          </cell>
        </row>
        <row r="2931">
          <cell r="D2931">
            <v>30.68</v>
          </cell>
        </row>
        <row r="2932">
          <cell r="D2932">
            <v>30.69</v>
          </cell>
        </row>
        <row r="2933">
          <cell r="D2933">
            <v>30.7</v>
          </cell>
        </row>
        <row r="2934">
          <cell r="D2934">
            <v>30.71</v>
          </cell>
        </row>
        <row r="2935">
          <cell r="D2935">
            <v>30.72</v>
          </cell>
        </row>
        <row r="2936">
          <cell r="D2936">
            <v>30.73</v>
          </cell>
        </row>
        <row r="2937">
          <cell r="D2937">
            <v>30.74</v>
          </cell>
        </row>
        <row r="2938">
          <cell r="D2938">
            <v>30.75</v>
          </cell>
        </row>
        <row r="2939">
          <cell r="D2939">
            <v>30.76</v>
          </cell>
        </row>
        <row r="2940">
          <cell r="D2940">
            <v>30.77</v>
          </cell>
        </row>
        <row r="2941">
          <cell r="D2941">
            <v>30.78</v>
          </cell>
        </row>
        <row r="2942">
          <cell r="D2942">
            <v>30.79</v>
          </cell>
        </row>
        <row r="2943">
          <cell r="D2943">
            <v>30.8</v>
          </cell>
        </row>
        <row r="2944">
          <cell r="D2944">
            <v>30.81</v>
          </cell>
        </row>
        <row r="2945">
          <cell r="D2945">
            <v>30.82</v>
          </cell>
        </row>
        <row r="2946">
          <cell r="D2946">
            <v>30.83</v>
          </cell>
        </row>
        <row r="2947">
          <cell r="D2947">
            <v>30.84</v>
          </cell>
        </row>
        <row r="2948">
          <cell r="D2948">
            <v>30.85</v>
          </cell>
        </row>
        <row r="2949">
          <cell r="D2949">
            <v>30.86</v>
          </cell>
        </row>
        <row r="2950">
          <cell r="D2950">
            <v>30.87</v>
          </cell>
        </row>
        <row r="2951">
          <cell r="D2951">
            <v>30.88</v>
          </cell>
        </row>
        <row r="2952">
          <cell r="D2952">
            <v>30.89</v>
          </cell>
        </row>
        <row r="2953">
          <cell r="D2953">
            <v>30.9</v>
          </cell>
        </row>
        <row r="2954">
          <cell r="D2954">
            <v>30.91</v>
          </cell>
        </row>
        <row r="2955">
          <cell r="D2955">
            <v>30.92</v>
          </cell>
        </row>
        <row r="2956">
          <cell r="D2956">
            <v>30.93</v>
          </cell>
        </row>
        <row r="2957">
          <cell r="D2957">
            <v>30.94</v>
          </cell>
        </row>
        <row r="2958">
          <cell r="D2958">
            <v>30.95</v>
          </cell>
        </row>
        <row r="2959">
          <cell r="D2959">
            <v>30.96</v>
          </cell>
        </row>
        <row r="2960">
          <cell r="D2960">
            <v>30.97</v>
          </cell>
        </row>
        <row r="2961">
          <cell r="D2961">
            <v>30.98</v>
          </cell>
        </row>
        <row r="2962">
          <cell r="D2962">
            <v>30.99</v>
          </cell>
        </row>
        <row r="2963">
          <cell r="D2963">
            <v>31</v>
          </cell>
        </row>
        <row r="2964">
          <cell r="D2964">
            <v>31.01</v>
          </cell>
        </row>
        <row r="2965">
          <cell r="D2965">
            <v>31.02</v>
          </cell>
        </row>
        <row r="2966">
          <cell r="D2966">
            <v>31.03</v>
          </cell>
        </row>
        <row r="2967">
          <cell r="D2967">
            <v>31.04</v>
          </cell>
        </row>
        <row r="2968">
          <cell r="D2968">
            <v>31.05</v>
          </cell>
        </row>
        <row r="2969">
          <cell r="D2969">
            <v>31.06</v>
          </cell>
        </row>
        <row r="2970">
          <cell r="D2970">
            <v>31.07</v>
          </cell>
        </row>
        <row r="2971">
          <cell r="D2971">
            <v>31.08</v>
          </cell>
        </row>
        <row r="2972">
          <cell r="D2972">
            <v>31.09</v>
          </cell>
        </row>
        <row r="2973">
          <cell r="D2973">
            <v>31.1</v>
          </cell>
        </row>
        <row r="2974">
          <cell r="D2974">
            <v>31.11</v>
          </cell>
        </row>
        <row r="2975">
          <cell r="D2975">
            <v>31.12</v>
          </cell>
        </row>
        <row r="2976">
          <cell r="D2976">
            <v>31.13</v>
          </cell>
        </row>
        <row r="2977">
          <cell r="D2977">
            <v>31.14</v>
          </cell>
        </row>
        <row r="2978">
          <cell r="D2978">
            <v>31.15</v>
          </cell>
        </row>
        <row r="2979">
          <cell r="D2979">
            <v>31.16</v>
          </cell>
        </row>
        <row r="2980">
          <cell r="D2980">
            <v>31.17</v>
          </cell>
        </row>
        <row r="2981">
          <cell r="D2981">
            <v>31.18</v>
          </cell>
        </row>
        <row r="2982">
          <cell r="D2982">
            <v>31.19</v>
          </cell>
        </row>
        <row r="2983">
          <cell r="D2983">
            <v>31.2</v>
          </cell>
        </row>
        <row r="2984">
          <cell r="D2984">
            <v>31.21</v>
          </cell>
        </row>
        <row r="2985">
          <cell r="D2985">
            <v>31.22</v>
          </cell>
        </row>
        <row r="2986">
          <cell r="D2986">
            <v>31.23</v>
          </cell>
        </row>
        <row r="2987">
          <cell r="D2987">
            <v>31.24</v>
          </cell>
        </row>
        <row r="2988">
          <cell r="D2988">
            <v>31.25</v>
          </cell>
        </row>
        <row r="2989">
          <cell r="D2989">
            <v>31.26</v>
          </cell>
        </row>
        <row r="2990">
          <cell r="D2990">
            <v>31.27</v>
          </cell>
        </row>
        <row r="2991">
          <cell r="D2991">
            <v>31.28</v>
          </cell>
        </row>
        <row r="2992">
          <cell r="D2992">
            <v>31.29</v>
          </cell>
        </row>
        <row r="2993">
          <cell r="D2993">
            <v>31.3</v>
          </cell>
        </row>
        <row r="2994">
          <cell r="D2994">
            <v>31.31</v>
          </cell>
        </row>
        <row r="2995">
          <cell r="D2995">
            <v>31.32</v>
          </cell>
        </row>
        <row r="2996">
          <cell r="D2996">
            <v>31.33</v>
          </cell>
        </row>
        <row r="2997">
          <cell r="D2997">
            <v>31.34</v>
          </cell>
        </row>
        <row r="2998">
          <cell r="D2998">
            <v>31.35</v>
          </cell>
        </row>
        <row r="2999">
          <cell r="D2999">
            <v>31.36</v>
          </cell>
        </row>
        <row r="3000">
          <cell r="D3000">
            <v>31.37</v>
          </cell>
        </row>
        <row r="3001">
          <cell r="D3001">
            <v>31.38</v>
          </cell>
        </row>
        <row r="3002">
          <cell r="D3002">
            <v>31.39</v>
          </cell>
        </row>
        <row r="3003">
          <cell r="D3003">
            <v>31.4</v>
          </cell>
        </row>
        <row r="3004">
          <cell r="D3004">
            <v>31.41</v>
          </cell>
        </row>
        <row r="3005">
          <cell r="D3005">
            <v>31.42</v>
          </cell>
        </row>
        <row r="3006">
          <cell r="D3006">
            <v>31.43</v>
          </cell>
        </row>
        <row r="3007">
          <cell r="D3007">
            <v>31.44</v>
          </cell>
        </row>
        <row r="3008">
          <cell r="D3008">
            <v>31.45</v>
          </cell>
        </row>
        <row r="3009">
          <cell r="D3009">
            <v>31.46</v>
          </cell>
        </row>
        <row r="3010">
          <cell r="D3010">
            <v>31.47</v>
          </cell>
        </row>
        <row r="3011">
          <cell r="D3011">
            <v>31.48</v>
          </cell>
        </row>
        <row r="3012">
          <cell r="D3012">
            <v>31.49</v>
          </cell>
        </row>
        <row r="3013">
          <cell r="D3013">
            <v>31.5</v>
          </cell>
        </row>
        <row r="3014">
          <cell r="D3014">
            <v>31.51</v>
          </cell>
        </row>
        <row r="3015">
          <cell r="D3015">
            <v>31.52</v>
          </cell>
        </row>
        <row r="3016">
          <cell r="D3016">
            <v>31.53</v>
          </cell>
        </row>
        <row r="3017">
          <cell r="D3017">
            <v>31.54</v>
          </cell>
        </row>
        <row r="3018">
          <cell r="D3018">
            <v>31.55</v>
          </cell>
        </row>
        <row r="3019">
          <cell r="D3019">
            <v>31.56</v>
          </cell>
        </row>
        <row r="3020">
          <cell r="D3020">
            <v>31.57</v>
          </cell>
        </row>
        <row r="3021">
          <cell r="D3021">
            <v>31.58</v>
          </cell>
        </row>
        <row r="3022">
          <cell r="D3022">
            <v>31.59</v>
          </cell>
        </row>
        <row r="3023">
          <cell r="D3023">
            <v>31.6</v>
          </cell>
        </row>
        <row r="3024">
          <cell r="D3024">
            <v>31.61</v>
          </cell>
        </row>
        <row r="3025">
          <cell r="D3025">
            <v>31.62</v>
          </cell>
        </row>
        <row r="3026">
          <cell r="D3026">
            <v>31.63</v>
          </cell>
        </row>
        <row r="3027">
          <cell r="D3027">
            <v>31.64</v>
          </cell>
        </row>
        <row r="3028">
          <cell r="D3028">
            <v>31.65</v>
          </cell>
        </row>
        <row r="3029">
          <cell r="D3029">
            <v>31.66</v>
          </cell>
        </row>
        <row r="3030">
          <cell r="D3030">
            <v>31.67</v>
          </cell>
        </row>
        <row r="3031">
          <cell r="D3031">
            <v>31.68</v>
          </cell>
        </row>
        <row r="3032">
          <cell r="D3032">
            <v>31.69</v>
          </cell>
        </row>
        <row r="3033">
          <cell r="D3033">
            <v>31.7</v>
          </cell>
        </row>
        <row r="3034">
          <cell r="D3034">
            <v>31.71</v>
          </cell>
        </row>
        <row r="3035">
          <cell r="D3035">
            <v>31.72</v>
          </cell>
        </row>
        <row r="3036">
          <cell r="D3036">
            <v>31.73</v>
          </cell>
        </row>
        <row r="3037">
          <cell r="D3037">
            <v>31.74</v>
          </cell>
        </row>
        <row r="3038">
          <cell r="D3038">
            <v>31.75</v>
          </cell>
        </row>
        <row r="3039">
          <cell r="D3039">
            <v>31.76</v>
          </cell>
        </row>
        <row r="3040">
          <cell r="D3040">
            <v>31.77</v>
          </cell>
        </row>
        <row r="3041">
          <cell r="D3041">
            <v>31.78</v>
          </cell>
        </row>
        <row r="3042">
          <cell r="D3042">
            <v>31.79</v>
          </cell>
        </row>
        <row r="3043">
          <cell r="D3043">
            <v>31.8</v>
          </cell>
        </row>
        <row r="3044">
          <cell r="D3044">
            <v>31.81</v>
          </cell>
        </row>
        <row r="3045">
          <cell r="D3045">
            <v>31.82</v>
          </cell>
        </row>
        <row r="3046">
          <cell r="D3046">
            <v>31.83</v>
          </cell>
        </row>
        <row r="3047">
          <cell r="D3047">
            <v>31.84</v>
          </cell>
        </row>
        <row r="3048">
          <cell r="D3048">
            <v>31.85</v>
          </cell>
        </row>
        <row r="3049">
          <cell r="D3049">
            <v>31.86</v>
          </cell>
        </row>
        <row r="3050">
          <cell r="D3050">
            <v>31.87</v>
          </cell>
        </row>
        <row r="3051">
          <cell r="D3051">
            <v>31.88</v>
          </cell>
        </row>
        <row r="3052">
          <cell r="D3052">
            <v>31.89</v>
          </cell>
        </row>
        <row r="3053">
          <cell r="D3053">
            <v>31.9</v>
          </cell>
        </row>
        <row r="3054">
          <cell r="D3054">
            <v>31.91</v>
          </cell>
        </row>
        <row r="3055">
          <cell r="D3055">
            <v>31.92</v>
          </cell>
        </row>
        <row r="3056">
          <cell r="D3056">
            <v>31.93</v>
          </cell>
        </row>
        <row r="3057">
          <cell r="D3057">
            <v>31.94</v>
          </cell>
        </row>
        <row r="3058">
          <cell r="D3058">
            <v>31.95</v>
          </cell>
        </row>
        <row r="3059">
          <cell r="D3059">
            <v>31.96</v>
          </cell>
        </row>
        <row r="3060">
          <cell r="D3060">
            <v>31.97</v>
          </cell>
        </row>
        <row r="3061">
          <cell r="D3061">
            <v>31.98</v>
          </cell>
        </row>
        <row r="3062">
          <cell r="D3062">
            <v>31.99</v>
          </cell>
        </row>
        <row r="3063">
          <cell r="D3063">
            <v>32</v>
          </cell>
        </row>
        <row r="3064">
          <cell r="D3064">
            <v>32.01</v>
          </cell>
        </row>
        <row r="3065">
          <cell r="D3065">
            <v>32.020000000000003</v>
          </cell>
        </row>
        <row r="3066">
          <cell r="D3066">
            <v>32.03</v>
          </cell>
        </row>
        <row r="3067">
          <cell r="D3067">
            <v>32.04</v>
          </cell>
        </row>
        <row r="3068">
          <cell r="D3068">
            <v>32.049999999999997</v>
          </cell>
        </row>
        <row r="3069">
          <cell r="D3069">
            <v>32.06</v>
          </cell>
        </row>
        <row r="3070">
          <cell r="D3070">
            <v>32.07</v>
          </cell>
        </row>
        <row r="3071">
          <cell r="D3071">
            <v>32.08</v>
          </cell>
        </row>
        <row r="3072">
          <cell r="D3072">
            <v>32.090000000000003</v>
          </cell>
        </row>
        <row r="3073">
          <cell r="D3073">
            <v>32.1</v>
          </cell>
        </row>
        <row r="3074">
          <cell r="D3074">
            <v>32.11</v>
          </cell>
        </row>
        <row r="3075">
          <cell r="D3075">
            <v>32.119999999999997</v>
          </cell>
        </row>
        <row r="3076">
          <cell r="D3076">
            <v>32.130000000000003</v>
          </cell>
        </row>
        <row r="3077">
          <cell r="D3077">
            <v>32.14</v>
          </cell>
        </row>
        <row r="3078">
          <cell r="D3078">
            <v>32.15</v>
          </cell>
        </row>
        <row r="3079">
          <cell r="D3079">
            <v>32.159999999999997</v>
          </cell>
        </row>
        <row r="3080">
          <cell r="D3080">
            <v>32.17</v>
          </cell>
        </row>
        <row r="3081">
          <cell r="D3081">
            <v>32.18</v>
          </cell>
        </row>
        <row r="3082">
          <cell r="D3082">
            <v>32.19</v>
          </cell>
        </row>
        <row r="3083">
          <cell r="D3083">
            <v>32.200000000000003</v>
          </cell>
        </row>
        <row r="3084">
          <cell r="D3084">
            <v>32.21</v>
          </cell>
        </row>
        <row r="3085">
          <cell r="D3085">
            <v>32.22</v>
          </cell>
        </row>
        <row r="3086">
          <cell r="D3086">
            <v>32.229999999999997</v>
          </cell>
        </row>
        <row r="3087">
          <cell r="D3087">
            <v>32.24</v>
          </cell>
        </row>
        <row r="3088">
          <cell r="D3088">
            <v>32.25</v>
          </cell>
        </row>
        <row r="3089">
          <cell r="D3089">
            <v>32.26</v>
          </cell>
        </row>
        <row r="3090">
          <cell r="D3090">
            <v>32.270000000000003</v>
          </cell>
        </row>
        <row r="3091">
          <cell r="D3091">
            <v>32.28</v>
          </cell>
        </row>
        <row r="3092">
          <cell r="D3092">
            <v>32.29</v>
          </cell>
        </row>
        <row r="3093">
          <cell r="D3093">
            <v>32.299999999999997</v>
          </cell>
        </row>
        <row r="3094">
          <cell r="D3094">
            <v>32.31</v>
          </cell>
        </row>
        <row r="3095">
          <cell r="D3095">
            <v>32.32</v>
          </cell>
        </row>
        <row r="3096">
          <cell r="D3096">
            <v>32.33</v>
          </cell>
        </row>
        <row r="3097">
          <cell r="D3097">
            <v>32.340000000000003</v>
          </cell>
        </row>
        <row r="3098">
          <cell r="D3098">
            <v>32.35</v>
          </cell>
        </row>
        <row r="3099">
          <cell r="D3099">
            <v>32.36</v>
          </cell>
        </row>
        <row r="3100">
          <cell r="D3100">
            <v>32.369999999999997</v>
          </cell>
        </row>
        <row r="3101">
          <cell r="D3101">
            <v>32.380000000000003</v>
          </cell>
        </row>
        <row r="3102">
          <cell r="D3102">
            <v>32.39</v>
          </cell>
        </row>
        <row r="3103">
          <cell r="D3103">
            <v>32.4</v>
          </cell>
        </row>
        <row r="3104">
          <cell r="D3104">
            <v>32.409999999999997</v>
          </cell>
        </row>
        <row r="3105">
          <cell r="D3105">
            <v>32.42</v>
          </cell>
        </row>
        <row r="3106">
          <cell r="D3106">
            <v>32.43</v>
          </cell>
        </row>
        <row r="3107">
          <cell r="D3107">
            <v>32.44</v>
          </cell>
        </row>
        <row r="3108">
          <cell r="D3108">
            <v>32.450000000000003</v>
          </cell>
        </row>
        <row r="3109">
          <cell r="D3109">
            <v>32.46</v>
          </cell>
        </row>
        <row r="3110">
          <cell r="D3110">
            <v>32.47</v>
          </cell>
        </row>
        <row r="3111">
          <cell r="D3111">
            <v>32.479999999999997</v>
          </cell>
        </row>
        <row r="3112">
          <cell r="D3112">
            <v>32.49</v>
          </cell>
        </row>
        <row r="3113">
          <cell r="D3113">
            <v>32.5</v>
          </cell>
        </row>
        <row r="3114">
          <cell r="D3114">
            <v>32.51</v>
          </cell>
        </row>
        <row r="3115">
          <cell r="D3115">
            <v>32.520000000000003</v>
          </cell>
        </row>
        <row r="3116">
          <cell r="D3116">
            <v>32.53</v>
          </cell>
        </row>
        <row r="3117">
          <cell r="D3117">
            <v>32.54</v>
          </cell>
        </row>
        <row r="3118">
          <cell r="D3118">
            <v>32.549999999999997</v>
          </cell>
        </row>
        <row r="3119">
          <cell r="D3119">
            <v>32.56</v>
          </cell>
        </row>
        <row r="3120">
          <cell r="D3120">
            <v>32.57</v>
          </cell>
        </row>
        <row r="3121">
          <cell r="D3121">
            <v>32.58</v>
          </cell>
        </row>
        <row r="3122">
          <cell r="D3122">
            <v>32.590000000000003</v>
          </cell>
        </row>
        <row r="3123">
          <cell r="D3123">
            <v>32.6</v>
          </cell>
        </row>
        <row r="3124">
          <cell r="D3124">
            <v>32.61</v>
          </cell>
        </row>
        <row r="3125">
          <cell r="D3125">
            <v>32.619999999999997</v>
          </cell>
        </row>
        <row r="3126">
          <cell r="D3126">
            <v>32.630000000000003</v>
          </cell>
        </row>
        <row r="3127">
          <cell r="D3127">
            <v>32.64</v>
          </cell>
        </row>
        <row r="3128">
          <cell r="D3128">
            <v>32.65</v>
          </cell>
        </row>
        <row r="3129">
          <cell r="D3129">
            <v>32.659999999999997</v>
          </cell>
        </row>
        <row r="3130">
          <cell r="D3130">
            <v>32.67</v>
          </cell>
        </row>
        <row r="3131">
          <cell r="D3131">
            <v>32.68</v>
          </cell>
        </row>
        <row r="3132">
          <cell r="D3132">
            <v>32.69</v>
          </cell>
        </row>
        <row r="3133">
          <cell r="D3133">
            <v>32.700000000000003</v>
          </cell>
        </row>
        <row r="3134">
          <cell r="D3134">
            <v>32.71</v>
          </cell>
        </row>
        <row r="3135">
          <cell r="D3135">
            <v>32.72</v>
          </cell>
        </row>
        <row r="3136">
          <cell r="D3136">
            <v>32.729999999999997</v>
          </cell>
        </row>
        <row r="3137">
          <cell r="D3137">
            <v>32.74</v>
          </cell>
        </row>
        <row r="3138">
          <cell r="D3138">
            <v>32.75</v>
          </cell>
        </row>
        <row r="3139">
          <cell r="D3139">
            <v>32.76</v>
          </cell>
        </row>
        <row r="3140">
          <cell r="D3140">
            <v>32.770000000000003</v>
          </cell>
        </row>
        <row r="3141">
          <cell r="D3141">
            <v>32.78</v>
          </cell>
        </row>
        <row r="3142">
          <cell r="D3142">
            <v>32.79</v>
          </cell>
        </row>
        <row r="3143">
          <cell r="D3143">
            <v>32.799999999999997</v>
          </cell>
        </row>
        <row r="3144">
          <cell r="D3144">
            <v>32.81</v>
          </cell>
        </row>
        <row r="3145">
          <cell r="D3145">
            <v>32.82</v>
          </cell>
        </row>
        <row r="3146">
          <cell r="D3146">
            <v>32.83</v>
          </cell>
        </row>
        <row r="3147">
          <cell r="D3147">
            <v>32.840000000000003</v>
          </cell>
        </row>
        <row r="3148">
          <cell r="D3148">
            <v>32.85</v>
          </cell>
        </row>
        <row r="3149">
          <cell r="D3149">
            <v>32.86</v>
          </cell>
        </row>
        <row r="3150">
          <cell r="D3150">
            <v>32.869999999999997</v>
          </cell>
        </row>
        <row r="3151">
          <cell r="D3151">
            <v>32.880000000000003</v>
          </cell>
        </row>
        <row r="3152">
          <cell r="D3152">
            <v>32.89</v>
          </cell>
        </row>
        <row r="3153">
          <cell r="D3153">
            <v>32.9</v>
          </cell>
        </row>
        <row r="3154">
          <cell r="D3154">
            <v>32.909999999999997</v>
          </cell>
        </row>
        <row r="3155">
          <cell r="D3155">
            <v>32.92</v>
          </cell>
        </row>
        <row r="3156">
          <cell r="D3156">
            <v>32.93</v>
          </cell>
        </row>
        <row r="3157">
          <cell r="D3157">
            <v>32.94</v>
          </cell>
        </row>
        <row r="3158">
          <cell r="D3158">
            <v>32.950000000000003</v>
          </cell>
        </row>
        <row r="3159">
          <cell r="D3159">
            <v>32.96</v>
          </cell>
        </row>
        <row r="3160">
          <cell r="D3160">
            <v>32.97</v>
          </cell>
        </row>
        <row r="3161">
          <cell r="D3161">
            <v>32.979999999999997</v>
          </cell>
        </row>
        <row r="3162">
          <cell r="D3162">
            <v>32.99</v>
          </cell>
        </row>
        <row r="3163">
          <cell r="D3163">
            <v>33</v>
          </cell>
        </row>
        <row r="3164">
          <cell r="D3164">
            <v>33.01</v>
          </cell>
        </row>
        <row r="3165">
          <cell r="D3165">
            <v>33.020000000000003</v>
          </cell>
        </row>
        <row r="3166">
          <cell r="D3166">
            <v>33.03</v>
          </cell>
        </row>
        <row r="3167">
          <cell r="D3167">
            <v>33.04</v>
          </cell>
        </row>
        <row r="3168">
          <cell r="D3168">
            <v>33.049999999999997</v>
          </cell>
        </row>
        <row r="3169">
          <cell r="D3169">
            <v>33.06</v>
          </cell>
        </row>
        <row r="3170">
          <cell r="D3170">
            <v>33.07</v>
          </cell>
        </row>
        <row r="3171">
          <cell r="D3171">
            <v>33.08</v>
          </cell>
        </row>
        <row r="3172">
          <cell r="D3172">
            <v>33.090000000000003</v>
          </cell>
        </row>
        <row r="3173">
          <cell r="D3173">
            <v>33.1</v>
          </cell>
        </row>
        <row r="3174">
          <cell r="D3174">
            <v>33.11</v>
          </cell>
        </row>
        <row r="3175">
          <cell r="D3175">
            <v>33.119999999999997</v>
          </cell>
        </row>
        <row r="3176">
          <cell r="D3176">
            <v>33.130000000000003</v>
          </cell>
        </row>
        <row r="3177">
          <cell r="D3177">
            <v>33.14</v>
          </cell>
        </row>
        <row r="3178">
          <cell r="D3178">
            <v>33.15</v>
          </cell>
        </row>
        <row r="3179">
          <cell r="D3179">
            <v>33.159999999999997</v>
          </cell>
        </row>
        <row r="3180">
          <cell r="D3180">
            <v>33.17</v>
          </cell>
        </row>
        <row r="3181">
          <cell r="D3181">
            <v>33.18</v>
          </cell>
        </row>
        <row r="3182">
          <cell r="D3182">
            <v>33.19</v>
          </cell>
        </row>
        <row r="3183">
          <cell r="D3183">
            <v>33.200000000000003</v>
          </cell>
        </row>
        <row r="3184">
          <cell r="D3184">
            <v>33.21</v>
          </cell>
        </row>
        <row r="3185">
          <cell r="D3185">
            <v>33.22</v>
          </cell>
        </row>
        <row r="3186">
          <cell r="D3186">
            <v>33.229999999999997</v>
          </cell>
        </row>
        <row r="3187">
          <cell r="D3187">
            <v>33.24</v>
          </cell>
        </row>
        <row r="3188">
          <cell r="D3188">
            <v>33.25</v>
          </cell>
        </row>
        <row r="3189">
          <cell r="D3189">
            <v>33.26</v>
          </cell>
        </row>
        <row r="3190">
          <cell r="D3190">
            <v>33.270000000000003</v>
          </cell>
        </row>
        <row r="3191">
          <cell r="D3191">
            <v>33.28</v>
          </cell>
        </row>
        <row r="3192">
          <cell r="D3192">
            <v>33.29</v>
          </cell>
        </row>
        <row r="3193">
          <cell r="D3193">
            <v>33.299999999999997</v>
          </cell>
        </row>
        <row r="3194">
          <cell r="D3194">
            <v>33.31</v>
          </cell>
        </row>
        <row r="3195">
          <cell r="D3195">
            <v>33.32</v>
          </cell>
        </row>
        <row r="3196">
          <cell r="D3196">
            <v>33.33</v>
          </cell>
        </row>
        <row r="3197">
          <cell r="D3197">
            <v>33.340000000000003</v>
          </cell>
        </row>
        <row r="3198">
          <cell r="D3198">
            <v>33.35</v>
          </cell>
        </row>
        <row r="3199">
          <cell r="D3199">
            <v>33.36</v>
          </cell>
        </row>
        <row r="3200">
          <cell r="D3200">
            <v>33.369999999999997</v>
          </cell>
        </row>
        <row r="3201">
          <cell r="D3201">
            <v>33.380000000000003</v>
          </cell>
        </row>
        <row r="3202">
          <cell r="D3202">
            <v>33.39</v>
          </cell>
        </row>
        <row r="3203">
          <cell r="D3203">
            <v>33.4</v>
          </cell>
        </row>
        <row r="3204">
          <cell r="D3204">
            <v>33.409999999999997</v>
          </cell>
        </row>
        <row r="3205">
          <cell r="D3205">
            <v>33.42</v>
          </cell>
        </row>
        <row r="3206">
          <cell r="D3206">
            <v>33.43</v>
          </cell>
        </row>
        <row r="3207">
          <cell r="D3207">
            <v>33.44</v>
          </cell>
        </row>
        <row r="3208">
          <cell r="D3208">
            <v>33.450000000000003</v>
          </cell>
        </row>
        <row r="3209">
          <cell r="D3209">
            <v>33.46</v>
          </cell>
        </row>
        <row r="3210">
          <cell r="D3210">
            <v>33.47</v>
          </cell>
        </row>
        <row r="3211">
          <cell r="D3211">
            <v>33.479999999999997</v>
          </cell>
        </row>
        <row r="3212">
          <cell r="D3212">
            <v>33.49</v>
          </cell>
        </row>
        <row r="3213">
          <cell r="D3213">
            <v>33.5</v>
          </cell>
        </row>
        <row r="3214">
          <cell r="D3214">
            <v>33.51</v>
          </cell>
        </row>
        <row r="3215">
          <cell r="D3215">
            <v>33.520000000000003</v>
          </cell>
        </row>
        <row r="3216">
          <cell r="D3216">
            <v>33.53</v>
          </cell>
        </row>
        <row r="3217">
          <cell r="D3217">
            <v>33.54</v>
          </cell>
        </row>
        <row r="3218">
          <cell r="D3218">
            <v>33.549999999999997</v>
          </cell>
        </row>
        <row r="3219">
          <cell r="D3219">
            <v>33.56</v>
          </cell>
        </row>
        <row r="3220">
          <cell r="D3220">
            <v>33.57</v>
          </cell>
        </row>
        <row r="3221">
          <cell r="D3221">
            <v>33.58</v>
          </cell>
        </row>
        <row r="3222">
          <cell r="D3222">
            <v>33.590000000000003</v>
          </cell>
        </row>
        <row r="3223">
          <cell r="D3223">
            <v>33.6</v>
          </cell>
        </row>
        <row r="3224">
          <cell r="D3224">
            <v>33.61</v>
          </cell>
        </row>
        <row r="3225">
          <cell r="D3225">
            <v>33.619999999999997</v>
          </cell>
        </row>
        <row r="3226">
          <cell r="D3226">
            <v>33.630000000000003</v>
          </cell>
        </row>
        <row r="3227">
          <cell r="D3227">
            <v>33.64</v>
          </cell>
        </row>
        <row r="3228">
          <cell r="D3228">
            <v>33.65</v>
          </cell>
        </row>
        <row r="3229">
          <cell r="D3229">
            <v>33.659999999999997</v>
          </cell>
        </row>
        <row r="3230">
          <cell r="D3230">
            <v>33.67</v>
          </cell>
        </row>
        <row r="3231">
          <cell r="D3231">
            <v>33.68</v>
          </cell>
        </row>
        <row r="3232">
          <cell r="D3232">
            <v>33.69</v>
          </cell>
        </row>
        <row r="3233">
          <cell r="D3233">
            <v>33.700000000000003</v>
          </cell>
        </row>
        <row r="3234">
          <cell r="D3234">
            <v>33.71</v>
          </cell>
        </row>
        <row r="3235">
          <cell r="D3235">
            <v>33.72</v>
          </cell>
        </row>
        <row r="3236">
          <cell r="D3236">
            <v>33.729999999999997</v>
          </cell>
        </row>
        <row r="3237">
          <cell r="D3237">
            <v>33.74</v>
          </cell>
        </row>
        <row r="3238">
          <cell r="D3238">
            <v>33.75</v>
          </cell>
        </row>
        <row r="3239">
          <cell r="D3239">
            <v>33.76</v>
          </cell>
        </row>
        <row r="3240">
          <cell r="D3240">
            <v>33.770000000000003</v>
          </cell>
        </row>
        <row r="3241">
          <cell r="D3241">
            <v>33.78</v>
          </cell>
        </row>
        <row r="3242">
          <cell r="D3242">
            <v>33.79</v>
          </cell>
        </row>
        <row r="3243">
          <cell r="D3243">
            <v>33.799999999999997</v>
          </cell>
        </row>
        <row r="3244">
          <cell r="D3244">
            <v>33.81</v>
          </cell>
        </row>
        <row r="3245">
          <cell r="D3245">
            <v>33.82</v>
          </cell>
        </row>
        <row r="3246">
          <cell r="D3246">
            <v>33.83</v>
          </cell>
        </row>
        <row r="3247">
          <cell r="D3247">
            <v>33.840000000000003</v>
          </cell>
        </row>
        <row r="3248">
          <cell r="D3248">
            <v>33.85</v>
          </cell>
        </row>
        <row r="3249">
          <cell r="D3249">
            <v>33.86</v>
          </cell>
        </row>
        <row r="3250">
          <cell r="D3250">
            <v>33.869999999999997</v>
          </cell>
        </row>
        <row r="3251">
          <cell r="D3251">
            <v>33.880000000000003</v>
          </cell>
        </row>
        <row r="3252">
          <cell r="D3252">
            <v>33.89</v>
          </cell>
        </row>
        <row r="3253">
          <cell r="D3253">
            <v>33.9</v>
          </cell>
        </row>
        <row r="3254">
          <cell r="D3254">
            <v>33.909999999999997</v>
          </cell>
        </row>
        <row r="3255">
          <cell r="D3255">
            <v>33.92</v>
          </cell>
        </row>
        <row r="3256">
          <cell r="D3256">
            <v>33.93</v>
          </cell>
        </row>
        <row r="3257">
          <cell r="D3257">
            <v>33.94</v>
          </cell>
        </row>
        <row r="3258">
          <cell r="D3258">
            <v>33.950000000000003</v>
          </cell>
        </row>
        <row r="3259">
          <cell r="D3259">
            <v>33.96</v>
          </cell>
        </row>
        <row r="3260">
          <cell r="D3260">
            <v>33.97</v>
          </cell>
        </row>
        <row r="3261">
          <cell r="D3261">
            <v>33.979999999999997</v>
          </cell>
        </row>
        <row r="3262">
          <cell r="D3262">
            <v>33.99</v>
          </cell>
        </row>
        <row r="3263">
          <cell r="D3263">
            <v>34</v>
          </cell>
        </row>
        <row r="3264">
          <cell r="D3264">
            <v>34.01</v>
          </cell>
        </row>
        <row r="3265">
          <cell r="D3265">
            <v>34.020000000000003</v>
          </cell>
        </row>
        <row r="3266">
          <cell r="D3266">
            <v>34.03</v>
          </cell>
        </row>
        <row r="3267">
          <cell r="D3267">
            <v>34.04</v>
          </cell>
        </row>
        <row r="3268">
          <cell r="D3268">
            <v>34.049999999999997</v>
          </cell>
        </row>
        <row r="3269">
          <cell r="D3269">
            <v>34.06</v>
          </cell>
        </row>
        <row r="3270">
          <cell r="D3270">
            <v>34.07</v>
          </cell>
        </row>
        <row r="3271">
          <cell r="D3271">
            <v>34.08</v>
          </cell>
        </row>
        <row r="3272">
          <cell r="D3272">
            <v>34.090000000000003</v>
          </cell>
        </row>
        <row r="3273">
          <cell r="D3273">
            <v>34.1</v>
          </cell>
        </row>
        <row r="3274">
          <cell r="D3274">
            <v>34.11</v>
          </cell>
        </row>
        <row r="3275">
          <cell r="D3275">
            <v>34.119999999999997</v>
          </cell>
        </row>
        <row r="3276">
          <cell r="D3276">
            <v>34.130000000000003</v>
          </cell>
        </row>
        <row r="3277">
          <cell r="D3277">
            <v>34.14</v>
          </cell>
        </row>
        <row r="3278">
          <cell r="D3278">
            <v>34.15</v>
          </cell>
        </row>
        <row r="3279">
          <cell r="D3279">
            <v>34.159999999999997</v>
          </cell>
        </row>
        <row r="3280">
          <cell r="D3280">
            <v>34.17</v>
          </cell>
        </row>
        <row r="3281">
          <cell r="D3281">
            <v>34.18</v>
          </cell>
        </row>
        <row r="3282">
          <cell r="D3282">
            <v>34.19</v>
          </cell>
        </row>
        <row r="3283">
          <cell r="D3283">
            <v>34.200000000000003</v>
          </cell>
        </row>
        <row r="3284">
          <cell r="D3284">
            <v>34.21</v>
          </cell>
        </row>
        <row r="3285">
          <cell r="D3285">
            <v>34.22</v>
          </cell>
        </row>
        <row r="3286">
          <cell r="D3286">
            <v>34.229999999999997</v>
          </cell>
        </row>
        <row r="3287">
          <cell r="D3287">
            <v>34.24</v>
          </cell>
        </row>
        <row r="3288">
          <cell r="D3288">
            <v>34.25</v>
          </cell>
        </row>
        <row r="3289">
          <cell r="D3289">
            <v>34.26</v>
          </cell>
        </row>
        <row r="3290">
          <cell r="D3290">
            <v>34.270000000000003</v>
          </cell>
        </row>
        <row r="3291">
          <cell r="D3291">
            <v>34.28</v>
          </cell>
        </row>
        <row r="3292">
          <cell r="D3292">
            <v>34.29</v>
          </cell>
        </row>
        <row r="3293">
          <cell r="D3293">
            <v>34.299999999999997</v>
          </cell>
        </row>
        <row r="3294">
          <cell r="D3294">
            <v>34.31</v>
          </cell>
        </row>
        <row r="3295">
          <cell r="D3295">
            <v>34.32</v>
          </cell>
        </row>
        <row r="3296">
          <cell r="D3296">
            <v>34.33</v>
          </cell>
        </row>
        <row r="3297">
          <cell r="D3297">
            <v>34.340000000000003</v>
          </cell>
        </row>
        <row r="3298">
          <cell r="D3298">
            <v>34.35</v>
          </cell>
        </row>
        <row r="3299">
          <cell r="D3299">
            <v>34.36</v>
          </cell>
        </row>
        <row r="3300">
          <cell r="D3300">
            <v>34.369999999999997</v>
          </cell>
        </row>
        <row r="3301">
          <cell r="D3301">
            <v>34.380000000000003</v>
          </cell>
        </row>
        <row r="3302">
          <cell r="D3302">
            <v>34.39</v>
          </cell>
        </row>
        <row r="3303">
          <cell r="D3303">
            <v>34.4</v>
          </cell>
        </row>
        <row r="3304">
          <cell r="D3304">
            <v>34.409999999999997</v>
          </cell>
        </row>
        <row r="3305">
          <cell r="D3305">
            <v>34.42</v>
          </cell>
        </row>
        <row r="3306">
          <cell r="D3306">
            <v>34.43</v>
          </cell>
        </row>
        <row r="3307">
          <cell r="D3307">
            <v>34.44</v>
          </cell>
        </row>
        <row r="3308">
          <cell r="D3308">
            <v>34.450000000000003</v>
          </cell>
        </row>
        <row r="3309">
          <cell r="D3309">
            <v>34.46</v>
          </cell>
        </row>
        <row r="3310">
          <cell r="D3310">
            <v>34.47</v>
          </cell>
        </row>
        <row r="3311">
          <cell r="D3311">
            <v>34.479999999999997</v>
          </cell>
        </row>
        <row r="3312">
          <cell r="D3312">
            <v>34.49</v>
          </cell>
        </row>
        <row r="3313">
          <cell r="D3313">
            <v>34.5</v>
          </cell>
        </row>
        <row r="3314">
          <cell r="D3314">
            <v>34.51</v>
          </cell>
        </row>
        <row r="3315">
          <cell r="D3315">
            <v>34.520000000000003</v>
          </cell>
        </row>
        <row r="3316">
          <cell r="D3316">
            <v>34.53</v>
          </cell>
        </row>
        <row r="3317">
          <cell r="D3317">
            <v>34.54</v>
          </cell>
        </row>
        <row r="3318">
          <cell r="D3318">
            <v>34.549999999999997</v>
          </cell>
        </row>
        <row r="3319">
          <cell r="D3319">
            <v>34.56</v>
          </cell>
        </row>
        <row r="3320">
          <cell r="D3320">
            <v>34.57</v>
          </cell>
        </row>
        <row r="3321">
          <cell r="D3321">
            <v>34.58</v>
          </cell>
        </row>
        <row r="3322">
          <cell r="D3322">
            <v>34.590000000000003</v>
          </cell>
        </row>
        <row r="3323">
          <cell r="D3323">
            <v>34.6</v>
          </cell>
        </row>
        <row r="3324">
          <cell r="D3324">
            <v>34.61</v>
          </cell>
        </row>
        <row r="3325">
          <cell r="D3325">
            <v>34.619999999999997</v>
          </cell>
        </row>
        <row r="3326">
          <cell r="D3326">
            <v>34.630000000000003</v>
          </cell>
        </row>
        <row r="3327">
          <cell r="D3327">
            <v>34.64</v>
          </cell>
        </row>
        <row r="3328">
          <cell r="D3328">
            <v>34.65</v>
          </cell>
        </row>
        <row r="3329">
          <cell r="D3329">
            <v>34.659999999999997</v>
          </cell>
        </row>
        <row r="3330">
          <cell r="D3330">
            <v>34.67</v>
          </cell>
        </row>
        <row r="3331">
          <cell r="D3331">
            <v>34.68</v>
          </cell>
        </row>
        <row r="3332">
          <cell r="D3332">
            <v>34.69</v>
          </cell>
        </row>
        <row r="3333">
          <cell r="D3333">
            <v>34.700000000000003</v>
          </cell>
        </row>
        <row r="3334">
          <cell r="D3334">
            <v>34.71</v>
          </cell>
        </row>
        <row r="3335">
          <cell r="D3335">
            <v>34.72</v>
          </cell>
        </row>
        <row r="3336">
          <cell r="D3336">
            <v>34.729999999999997</v>
          </cell>
        </row>
        <row r="3337">
          <cell r="D3337">
            <v>34.74</v>
          </cell>
        </row>
        <row r="3338">
          <cell r="D3338">
            <v>34.75</v>
          </cell>
        </row>
        <row r="3339">
          <cell r="D3339">
            <v>34.76</v>
          </cell>
        </row>
        <row r="3340">
          <cell r="D3340">
            <v>34.770000000000003</v>
          </cell>
        </row>
        <row r="3341">
          <cell r="D3341">
            <v>34.78</v>
          </cell>
        </row>
        <row r="3342">
          <cell r="D3342">
            <v>34.79</v>
          </cell>
        </row>
        <row r="3343">
          <cell r="D3343">
            <v>34.799999999999997</v>
          </cell>
        </row>
        <row r="3344">
          <cell r="D3344">
            <v>34.81</v>
          </cell>
        </row>
        <row r="3345">
          <cell r="D3345">
            <v>34.82</v>
          </cell>
        </row>
        <row r="3346">
          <cell r="D3346">
            <v>34.83</v>
          </cell>
        </row>
        <row r="3347">
          <cell r="D3347">
            <v>34.840000000000003</v>
          </cell>
        </row>
        <row r="3348">
          <cell r="D3348">
            <v>34.85</v>
          </cell>
        </row>
        <row r="3349">
          <cell r="D3349">
            <v>34.86</v>
          </cell>
        </row>
        <row r="3350">
          <cell r="D3350">
            <v>34.869999999999997</v>
          </cell>
        </row>
        <row r="3351">
          <cell r="D3351">
            <v>34.880000000000003</v>
          </cell>
        </row>
        <row r="3352">
          <cell r="D3352">
            <v>34.89</v>
          </cell>
        </row>
        <row r="3353">
          <cell r="D3353">
            <v>34.9</v>
          </cell>
        </row>
        <row r="3354">
          <cell r="D3354">
            <v>34.909999999999997</v>
          </cell>
        </row>
        <row r="3355">
          <cell r="D3355">
            <v>34.92</v>
          </cell>
        </row>
        <row r="3356">
          <cell r="D3356">
            <v>34.93</v>
          </cell>
        </row>
        <row r="3357">
          <cell r="D3357">
            <v>34.94</v>
          </cell>
        </row>
        <row r="3358">
          <cell r="D3358">
            <v>34.950000000000003</v>
          </cell>
        </row>
        <row r="3359">
          <cell r="D3359">
            <v>34.96</v>
          </cell>
        </row>
        <row r="3360">
          <cell r="D3360">
            <v>34.97</v>
          </cell>
        </row>
        <row r="3361">
          <cell r="D3361">
            <v>34.979999999999997</v>
          </cell>
        </row>
        <row r="3362">
          <cell r="D3362">
            <v>34.99</v>
          </cell>
        </row>
        <row r="3363">
          <cell r="D3363">
            <v>35</v>
          </cell>
        </row>
        <row r="3364">
          <cell r="D3364">
            <v>35.01</v>
          </cell>
        </row>
        <row r="3365">
          <cell r="D3365">
            <v>35.020000000000003</v>
          </cell>
        </row>
        <row r="3366">
          <cell r="D3366">
            <v>35.03</v>
          </cell>
        </row>
        <row r="3367">
          <cell r="D3367">
            <v>35.04</v>
          </cell>
        </row>
        <row r="3368">
          <cell r="D3368">
            <v>35.049999999999997</v>
          </cell>
        </row>
        <row r="3369">
          <cell r="D3369">
            <v>35.06</v>
          </cell>
        </row>
        <row r="3370">
          <cell r="D3370">
            <v>35.07</v>
          </cell>
        </row>
        <row r="3371">
          <cell r="D3371">
            <v>35.08</v>
          </cell>
        </row>
        <row r="3372">
          <cell r="D3372">
            <v>35.090000000000003</v>
          </cell>
        </row>
        <row r="3373">
          <cell r="D3373">
            <v>35.1</v>
          </cell>
        </row>
        <row r="3374">
          <cell r="D3374">
            <v>35.11</v>
          </cell>
        </row>
        <row r="3375">
          <cell r="D3375">
            <v>35.119999999999997</v>
          </cell>
        </row>
        <row r="3376">
          <cell r="D3376">
            <v>35.130000000000003</v>
          </cell>
        </row>
        <row r="3377">
          <cell r="D3377">
            <v>35.14</v>
          </cell>
        </row>
        <row r="3378">
          <cell r="D3378">
            <v>35.15</v>
          </cell>
        </row>
        <row r="3379">
          <cell r="D3379">
            <v>35.159999999999997</v>
          </cell>
        </row>
        <row r="3380">
          <cell r="D3380">
            <v>35.17</v>
          </cell>
        </row>
        <row r="3381">
          <cell r="D3381">
            <v>35.18</v>
          </cell>
        </row>
        <row r="3382">
          <cell r="D3382">
            <v>35.19</v>
          </cell>
        </row>
        <row r="3383">
          <cell r="D3383">
            <v>35.200000000000003</v>
          </cell>
        </row>
        <row r="3384">
          <cell r="D3384">
            <v>35.21</v>
          </cell>
        </row>
        <row r="3385">
          <cell r="D3385">
            <v>35.22</v>
          </cell>
        </row>
        <row r="3386">
          <cell r="D3386">
            <v>35.229999999999997</v>
          </cell>
        </row>
        <row r="3387">
          <cell r="D3387">
            <v>35.24</v>
          </cell>
        </row>
        <row r="3388">
          <cell r="D3388">
            <v>35.25</v>
          </cell>
        </row>
        <row r="3389">
          <cell r="D3389">
            <v>35.26</v>
          </cell>
        </row>
        <row r="3390">
          <cell r="D3390">
            <v>35.270000000000003</v>
          </cell>
        </row>
        <row r="3391">
          <cell r="D3391">
            <v>35.28</v>
          </cell>
        </row>
        <row r="3392">
          <cell r="D3392">
            <v>35.29</v>
          </cell>
        </row>
        <row r="3393">
          <cell r="D3393">
            <v>35.299999999999997</v>
          </cell>
        </row>
        <row r="3394">
          <cell r="D3394">
            <v>35.31</v>
          </cell>
        </row>
        <row r="3395">
          <cell r="D3395">
            <v>35.32</v>
          </cell>
        </row>
        <row r="3396">
          <cell r="D3396">
            <v>35.33</v>
          </cell>
        </row>
        <row r="3397">
          <cell r="D3397">
            <v>35.340000000000003</v>
          </cell>
        </row>
        <row r="3398">
          <cell r="D3398">
            <v>35.35</v>
          </cell>
        </row>
        <row r="3399">
          <cell r="D3399">
            <v>35.36</v>
          </cell>
        </row>
        <row r="3400">
          <cell r="D3400">
            <v>35.369999999999997</v>
          </cell>
        </row>
        <row r="3401">
          <cell r="D3401">
            <v>35.380000000000003</v>
          </cell>
        </row>
        <row r="3402">
          <cell r="D3402">
            <v>35.39</v>
          </cell>
        </row>
        <row r="3403">
          <cell r="D3403">
            <v>35.4</v>
          </cell>
        </row>
        <row r="3404">
          <cell r="D3404">
            <v>35.409999999999997</v>
          </cell>
        </row>
        <row r="3405">
          <cell r="D3405">
            <v>35.42</v>
          </cell>
        </row>
        <row r="3406">
          <cell r="D3406">
            <v>35.43</v>
          </cell>
        </row>
        <row r="3407">
          <cell r="D3407">
            <v>35.44</v>
          </cell>
        </row>
        <row r="3408">
          <cell r="D3408">
            <v>35.450000000000003</v>
          </cell>
        </row>
        <row r="3409">
          <cell r="D3409">
            <v>35.46</v>
          </cell>
        </row>
        <row r="3410">
          <cell r="D3410">
            <v>35.47</v>
          </cell>
        </row>
        <row r="3411">
          <cell r="D3411">
            <v>35.479999999999997</v>
          </cell>
        </row>
        <row r="3412">
          <cell r="D3412">
            <v>35.49</v>
          </cell>
        </row>
        <row r="3413">
          <cell r="D3413">
            <v>35.5</v>
          </cell>
        </row>
        <row r="3414">
          <cell r="D3414">
            <v>35.51</v>
          </cell>
        </row>
        <row r="3415">
          <cell r="D3415">
            <v>35.520000000000003</v>
          </cell>
        </row>
        <row r="3416">
          <cell r="D3416">
            <v>35.53</v>
          </cell>
        </row>
        <row r="3417">
          <cell r="D3417">
            <v>35.54</v>
          </cell>
        </row>
        <row r="3418">
          <cell r="D3418">
            <v>35.549999999999997</v>
          </cell>
        </row>
        <row r="3419">
          <cell r="D3419">
            <v>35.56</v>
          </cell>
        </row>
        <row r="3420">
          <cell r="D3420">
            <v>35.57</v>
          </cell>
        </row>
        <row r="3421">
          <cell r="D3421">
            <v>35.58</v>
          </cell>
        </row>
        <row r="3422">
          <cell r="D3422">
            <v>35.590000000000003</v>
          </cell>
        </row>
        <row r="3423">
          <cell r="D3423">
            <v>35.6</v>
          </cell>
        </row>
        <row r="3424">
          <cell r="D3424">
            <v>35.61</v>
          </cell>
        </row>
        <row r="3425">
          <cell r="D3425">
            <v>35.619999999999997</v>
          </cell>
        </row>
        <row r="3426">
          <cell r="D3426">
            <v>35.630000000000003</v>
          </cell>
        </row>
        <row r="3427">
          <cell r="D3427">
            <v>35.64</v>
          </cell>
        </row>
        <row r="3428">
          <cell r="D3428">
            <v>35.65</v>
          </cell>
        </row>
        <row r="3429">
          <cell r="D3429">
            <v>35.659999999999997</v>
          </cell>
        </row>
        <row r="3430">
          <cell r="D3430">
            <v>35.67</v>
          </cell>
        </row>
        <row r="3431">
          <cell r="D3431">
            <v>35.68</v>
          </cell>
        </row>
        <row r="3432">
          <cell r="D3432">
            <v>35.69</v>
          </cell>
        </row>
        <row r="3433">
          <cell r="D3433">
            <v>35.700000000000003</v>
          </cell>
        </row>
        <row r="3434">
          <cell r="D3434">
            <v>35.71</v>
          </cell>
        </row>
        <row r="3435">
          <cell r="D3435">
            <v>35.72</v>
          </cell>
        </row>
        <row r="3436">
          <cell r="D3436">
            <v>35.729999999999997</v>
          </cell>
        </row>
        <row r="3437">
          <cell r="D3437">
            <v>35.74</v>
          </cell>
        </row>
        <row r="3438">
          <cell r="D3438">
            <v>35.75</v>
          </cell>
        </row>
        <row r="3439">
          <cell r="D3439">
            <v>35.76</v>
          </cell>
        </row>
        <row r="3440">
          <cell r="D3440">
            <v>35.770000000000003</v>
          </cell>
        </row>
        <row r="3441">
          <cell r="D3441">
            <v>35.78</v>
          </cell>
        </row>
        <row r="3442">
          <cell r="D3442">
            <v>35.79</v>
          </cell>
        </row>
        <row r="3443">
          <cell r="D3443">
            <v>35.799999999999997</v>
          </cell>
        </row>
        <row r="3444">
          <cell r="D3444">
            <v>35.81</v>
          </cell>
        </row>
        <row r="3445">
          <cell r="D3445">
            <v>35.82</v>
          </cell>
        </row>
        <row r="3446">
          <cell r="D3446">
            <v>35.83</v>
          </cell>
        </row>
        <row r="3447">
          <cell r="D3447">
            <v>35.840000000000003</v>
          </cell>
        </row>
        <row r="3448">
          <cell r="D3448">
            <v>35.85</v>
          </cell>
        </row>
        <row r="3449">
          <cell r="D3449">
            <v>35.86</v>
          </cell>
        </row>
        <row r="3450">
          <cell r="D3450">
            <v>35.869999999999997</v>
          </cell>
        </row>
        <row r="3451">
          <cell r="D3451">
            <v>35.880000000000003</v>
          </cell>
        </row>
        <row r="3452">
          <cell r="D3452">
            <v>35.89</v>
          </cell>
        </row>
        <row r="3453">
          <cell r="D3453">
            <v>35.9</v>
          </cell>
        </row>
        <row r="3454">
          <cell r="D3454">
            <v>35.909999999999997</v>
          </cell>
        </row>
        <row r="3455">
          <cell r="D3455">
            <v>35.92</v>
          </cell>
        </row>
        <row r="3456">
          <cell r="D3456">
            <v>35.93</v>
          </cell>
        </row>
        <row r="3457">
          <cell r="D3457">
            <v>35.94</v>
          </cell>
        </row>
        <row r="3458">
          <cell r="D3458">
            <v>35.950000000000003</v>
          </cell>
        </row>
        <row r="3459">
          <cell r="D3459">
            <v>35.96</v>
          </cell>
        </row>
        <row r="3460">
          <cell r="D3460">
            <v>35.97</v>
          </cell>
        </row>
        <row r="3461">
          <cell r="D3461">
            <v>35.979999999999997</v>
          </cell>
        </row>
        <row r="3462">
          <cell r="D3462">
            <v>35.99</v>
          </cell>
        </row>
        <row r="3463">
          <cell r="D3463">
            <v>36</v>
          </cell>
        </row>
        <row r="3464">
          <cell r="D3464">
            <v>36.01</v>
          </cell>
        </row>
        <row r="3465">
          <cell r="D3465">
            <v>36.020000000000003</v>
          </cell>
        </row>
        <row r="3466">
          <cell r="D3466">
            <v>36.03</v>
          </cell>
        </row>
        <row r="3467">
          <cell r="D3467">
            <v>36.04</v>
          </cell>
        </row>
        <row r="3468">
          <cell r="D3468">
            <v>36.049999999999997</v>
          </cell>
        </row>
        <row r="3469">
          <cell r="D3469">
            <v>36.06</v>
          </cell>
        </row>
        <row r="3470">
          <cell r="D3470">
            <v>36.07</v>
          </cell>
        </row>
        <row r="3471">
          <cell r="D3471">
            <v>36.08</v>
          </cell>
        </row>
        <row r="3472">
          <cell r="D3472">
            <v>36.090000000000003</v>
          </cell>
        </row>
        <row r="3473">
          <cell r="D3473">
            <v>36.1</v>
          </cell>
        </row>
        <row r="3474">
          <cell r="D3474">
            <v>36.11</v>
          </cell>
        </row>
        <row r="3475">
          <cell r="D3475">
            <v>36.119999999999997</v>
          </cell>
        </row>
        <row r="3476">
          <cell r="D3476">
            <v>36.130000000000003</v>
          </cell>
        </row>
        <row r="3477">
          <cell r="D3477">
            <v>36.14</v>
          </cell>
        </row>
        <row r="3478">
          <cell r="D3478">
            <v>36.15</v>
          </cell>
        </row>
        <row r="3479">
          <cell r="D3479">
            <v>36.159999999999997</v>
          </cell>
        </row>
        <row r="3480">
          <cell r="D3480">
            <v>36.17</v>
          </cell>
        </row>
        <row r="3481">
          <cell r="D3481">
            <v>36.18</v>
          </cell>
        </row>
        <row r="3482">
          <cell r="D3482">
            <v>36.19</v>
          </cell>
        </row>
        <row r="3483">
          <cell r="D3483">
            <v>36.200000000000003</v>
          </cell>
        </row>
        <row r="3484">
          <cell r="D3484">
            <v>36.21</v>
          </cell>
        </row>
        <row r="3485">
          <cell r="D3485">
            <v>36.22</v>
          </cell>
        </row>
        <row r="3486">
          <cell r="D3486">
            <v>36.229999999999997</v>
          </cell>
        </row>
        <row r="3487">
          <cell r="D3487">
            <v>36.24</v>
          </cell>
        </row>
        <row r="3488">
          <cell r="D3488">
            <v>36.25</v>
          </cell>
        </row>
        <row r="3489">
          <cell r="D3489">
            <v>36.26</v>
          </cell>
        </row>
        <row r="3490">
          <cell r="D3490">
            <v>36.270000000000003</v>
          </cell>
        </row>
        <row r="3491">
          <cell r="D3491">
            <v>36.28</v>
          </cell>
        </row>
        <row r="3492">
          <cell r="D3492">
            <v>36.29</v>
          </cell>
        </row>
        <row r="3493">
          <cell r="D3493">
            <v>36.299999999999997</v>
          </cell>
        </row>
        <row r="3494">
          <cell r="D3494">
            <v>36.31</v>
          </cell>
        </row>
        <row r="3495">
          <cell r="D3495">
            <v>36.32</v>
          </cell>
        </row>
        <row r="3496">
          <cell r="D3496">
            <v>36.33</v>
          </cell>
        </row>
        <row r="3497">
          <cell r="D3497">
            <v>36.340000000000003</v>
          </cell>
        </row>
        <row r="3498">
          <cell r="D3498">
            <v>36.35</v>
          </cell>
        </row>
        <row r="3499">
          <cell r="D3499">
            <v>36.36</v>
          </cell>
        </row>
        <row r="3500">
          <cell r="D3500">
            <v>36.369999999999997</v>
          </cell>
        </row>
        <row r="3501">
          <cell r="D3501">
            <v>36.380000000000003</v>
          </cell>
        </row>
        <row r="3502">
          <cell r="D3502">
            <v>36.39</v>
          </cell>
        </row>
        <row r="3503">
          <cell r="D3503">
            <v>36.4</v>
          </cell>
        </row>
        <row r="3504">
          <cell r="D3504">
            <v>36.409999999999997</v>
          </cell>
        </row>
        <row r="3505">
          <cell r="D3505">
            <v>36.42</v>
          </cell>
        </row>
        <row r="3506">
          <cell r="D3506">
            <v>36.43</v>
          </cell>
        </row>
        <row r="3507">
          <cell r="D3507">
            <v>36.44</v>
          </cell>
        </row>
        <row r="3508">
          <cell r="D3508">
            <v>36.450000000000003</v>
          </cell>
        </row>
        <row r="3509">
          <cell r="D3509">
            <v>36.46</v>
          </cell>
        </row>
        <row r="3510">
          <cell r="D3510">
            <v>36.47</v>
          </cell>
        </row>
        <row r="3511">
          <cell r="D3511">
            <v>36.479999999999997</v>
          </cell>
        </row>
        <row r="3512">
          <cell r="D3512">
            <v>36.49</v>
          </cell>
        </row>
        <row r="3513">
          <cell r="D3513">
            <v>36.5</v>
          </cell>
        </row>
        <row r="3514">
          <cell r="D3514">
            <v>36.51</v>
          </cell>
        </row>
        <row r="3515">
          <cell r="D3515">
            <v>36.520000000000003</v>
          </cell>
        </row>
        <row r="3516">
          <cell r="D3516">
            <v>36.53</v>
          </cell>
        </row>
        <row r="3517">
          <cell r="D3517">
            <v>36.54</v>
          </cell>
        </row>
        <row r="3518">
          <cell r="D3518">
            <v>36.549999999999997</v>
          </cell>
        </row>
        <row r="3519">
          <cell r="D3519">
            <v>36.56</v>
          </cell>
        </row>
        <row r="3520">
          <cell r="D3520">
            <v>36.57</v>
          </cell>
        </row>
        <row r="3521">
          <cell r="D3521">
            <v>36.58</v>
          </cell>
        </row>
        <row r="3522">
          <cell r="D3522">
            <v>36.590000000000003</v>
          </cell>
        </row>
        <row r="3523">
          <cell r="D3523">
            <v>36.6</v>
          </cell>
        </row>
        <row r="3524">
          <cell r="D3524">
            <v>36.61</v>
          </cell>
        </row>
        <row r="3525">
          <cell r="D3525">
            <v>36.619999999999997</v>
          </cell>
        </row>
        <row r="3526">
          <cell r="D3526">
            <v>36.630000000000003</v>
          </cell>
        </row>
        <row r="3527">
          <cell r="D3527">
            <v>36.64</v>
          </cell>
        </row>
        <row r="3528">
          <cell r="D3528">
            <v>36.65</v>
          </cell>
        </row>
        <row r="3529">
          <cell r="D3529">
            <v>36.659999999999997</v>
          </cell>
        </row>
        <row r="3530">
          <cell r="D3530">
            <v>36.67</v>
          </cell>
        </row>
        <row r="3531">
          <cell r="D3531">
            <v>36.68</v>
          </cell>
        </row>
        <row r="3532">
          <cell r="D3532">
            <v>36.69</v>
          </cell>
        </row>
        <row r="3533">
          <cell r="D3533">
            <v>36.700000000000003</v>
          </cell>
        </row>
        <row r="3534">
          <cell r="D3534">
            <v>36.71</v>
          </cell>
        </row>
        <row r="3535">
          <cell r="D3535">
            <v>36.72</v>
          </cell>
        </row>
        <row r="3536">
          <cell r="D3536">
            <v>36.729999999999997</v>
          </cell>
        </row>
        <row r="3537">
          <cell r="D3537">
            <v>36.74</v>
          </cell>
        </row>
        <row r="3538">
          <cell r="D3538">
            <v>36.75</v>
          </cell>
        </row>
        <row r="3539">
          <cell r="D3539">
            <v>36.76</v>
          </cell>
        </row>
        <row r="3540">
          <cell r="D3540">
            <v>36.770000000000003</v>
          </cell>
        </row>
        <row r="3541">
          <cell r="D3541">
            <v>36.78</v>
          </cell>
        </row>
        <row r="3542">
          <cell r="D3542">
            <v>36.79</v>
          </cell>
        </row>
        <row r="3543">
          <cell r="D3543">
            <v>36.799999999999997</v>
          </cell>
        </row>
        <row r="3544">
          <cell r="D3544">
            <v>36.81</v>
          </cell>
        </row>
        <row r="3545">
          <cell r="D3545">
            <v>36.82</v>
          </cell>
        </row>
        <row r="3546">
          <cell r="D3546">
            <v>36.83</v>
          </cell>
        </row>
        <row r="3547">
          <cell r="D3547">
            <v>36.840000000000003</v>
          </cell>
        </row>
        <row r="3548">
          <cell r="D3548">
            <v>36.85</v>
          </cell>
        </row>
        <row r="3549">
          <cell r="D3549">
            <v>36.86</v>
          </cell>
        </row>
        <row r="3550">
          <cell r="D3550">
            <v>36.869999999999997</v>
          </cell>
        </row>
        <row r="3551">
          <cell r="D3551">
            <v>36.880000000000003</v>
          </cell>
        </row>
        <row r="3552">
          <cell r="D3552">
            <v>36.89</v>
          </cell>
        </row>
        <row r="3553">
          <cell r="D3553">
            <v>36.9</v>
          </cell>
        </row>
        <row r="3554">
          <cell r="D3554">
            <v>36.909999999999997</v>
          </cell>
        </row>
        <row r="3555">
          <cell r="D3555">
            <v>36.92</v>
          </cell>
        </row>
        <row r="3556">
          <cell r="D3556">
            <v>36.93</v>
          </cell>
        </row>
        <row r="3557">
          <cell r="D3557">
            <v>36.94</v>
          </cell>
        </row>
        <row r="3558">
          <cell r="D3558">
            <v>36.950000000000003</v>
          </cell>
        </row>
        <row r="3559">
          <cell r="D3559">
            <v>36.96</v>
          </cell>
        </row>
        <row r="3560">
          <cell r="D3560">
            <v>36.97</v>
          </cell>
        </row>
        <row r="3561">
          <cell r="D3561">
            <v>36.979999999999997</v>
          </cell>
        </row>
        <row r="3562">
          <cell r="D3562">
            <v>36.99</v>
          </cell>
        </row>
        <row r="3563">
          <cell r="D3563">
            <v>37</v>
          </cell>
        </row>
        <row r="3564">
          <cell r="D3564">
            <v>37.01</v>
          </cell>
        </row>
        <row r="3565">
          <cell r="D3565">
            <v>37.020000000000003</v>
          </cell>
        </row>
        <row r="3566">
          <cell r="D3566">
            <v>37.03</v>
          </cell>
        </row>
        <row r="3567">
          <cell r="D3567">
            <v>37.04</v>
          </cell>
        </row>
        <row r="3568">
          <cell r="D3568">
            <v>37.049999999999997</v>
          </cell>
        </row>
        <row r="3569">
          <cell r="D3569">
            <v>37.06</v>
          </cell>
        </row>
        <row r="3570">
          <cell r="D3570">
            <v>37.07</v>
          </cell>
        </row>
        <row r="3571">
          <cell r="D3571">
            <v>37.08</v>
          </cell>
        </row>
        <row r="3572">
          <cell r="D3572">
            <v>37.090000000000003</v>
          </cell>
        </row>
        <row r="3573">
          <cell r="D3573">
            <v>37.1</v>
          </cell>
        </row>
        <row r="3574">
          <cell r="D3574">
            <v>37.11</v>
          </cell>
        </row>
        <row r="3575">
          <cell r="D3575">
            <v>37.119999999999997</v>
          </cell>
        </row>
        <row r="3576">
          <cell r="D3576">
            <v>37.130000000000003</v>
          </cell>
        </row>
        <row r="3577">
          <cell r="D3577">
            <v>37.14</v>
          </cell>
        </row>
        <row r="3578">
          <cell r="D3578">
            <v>37.15</v>
          </cell>
        </row>
        <row r="3579">
          <cell r="D3579">
            <v>37.159999999999997</v>
          </cell>
        </row>
        <row r="3580">
          <cell r="D3580">
            <v>37.17</v>
          </cell>
        </row>
        <row r="3581">
          <cell r="D3581">
            <v>37.18</v>
          </cell>
        </row>
        <row r="3582">
          <cell r="D3582">
            <v>37.19</v>
          </cell>
        </row>
        <row r="3583">
          <cell r="D3583">
            <v>37.200000000000003</v>
          </cell>
        </row>
        <row r="3584">
          <cell r="D3584">
            <v>37.21</v>
          </cell>
        </row>
        <row r="3585">
          <cell r="D3585">
            <v>37.22</v>
          </cell>
        </row>
        <row r="3586">
          <cell r="D3586">
            <v>37.229999999999997</v>
          </cell>
        </row>
        <row r="3587">
          <cell r="D3587">
            <v>37.24</v>
          </cell>
        </row>
        <row r="3588">
          <cell r="D3588">
            <v>37.25</v>
          </cell>
        </row>
        <row r="3589">
          <cell r="D3589">
            <v>37.26</v>
          </cell>
        </row>
        <row r="3590">
          <cell r="D3590">
            <v>37.270000000000003</v>
          </cell>
        </row>
        <row r="3591">
          <cell r="D3591">
            <v>37.28</v>
          </cell>
        </row>
        <row r="3592">
          <cell r="D3592">
            <v>37.29</v>
          </cell>
        </row>
        <row r="3593">
          <cell r="D3593">
            <v>37.299999999999997</v>
          </cell>
        </row>
        <row r="3594">
          <cell r="D3594">
            <v>37.31</v>
          </cell>
        </row>
        <row r="3595">
          <cell r="D3595">
            <v>37.32</v>
          </cell>
        </row>
        <row r="3596">
          <cell r="D3596">
            <v>37.33</v>
          </cell>
        </row>
        <row r="3597">
          <cell r="D3597">
            <v>37.340000000000003</v>
          </cell>
        </row>
        <row r="3598">
          <cell r="D3598">
            <v>37.35</v>
          </cell>
        </row>
        <row r="3599">
          <cell r="D3599">
            <v>37.36</v>
          </cell>
        </row>
        <row r="3600">
          <cell r="D3600">
            <v>37.369999999999997</v>
          </cell>
        </row>
        <row r="3601">
          <cell r="D3601">
            <v>37.380000000000003</v>
          </cell>
        </row>
        <row r="3602">
          <cell r="D3602">
            <v>37.39</v>
          </cell>
        </row>
        <row r="3603">
          <cell r="D3603">
            <v>37.4</v>
          </cell>
        </row>
        <row r="3604">
          <cell r="D3604">
            <v>37.409999999999997</v>
          </cell>
        </row>
        <row r="3605">
          <cell r="D3605">
            <v>37.42</v>
          </cell>
        </row>
        <row r="3606">
          <cell r="D3606">
            <v>37.43</v>
          </cell>
        </row>
        <row r="3607">
          <cell r="D3607">
            <v>37.44</v>
          </cell>
        </row>
        <row r="3608">
          <cell r="D3608">
            <v>37.450000000000003</v>
          </cell>
        </row>
        <row r="3609">
          <cell r="D3609">
            <v>37.46</v>
          </cell>
        </row>
        <row r="3610">
          <cell r="D3610">
            <v>37.47</v>
          </cell>
        </row>
        <row r="3611">
          <cell r="D3611">
            <v>37.479999999999997</v>
          </cell>
        </row>
        <row r="3612">
          <cell r="D3612">
            <v>37.49</v>
          </cell>
        </row>
        <row r="3613">
          <cell r="D3613">
            <v>37.5</v>
          </cell>
        </row>
        <row r="3614">
          <cell r="D3614">
            <v>37.51</v>
          </cell>
        </row>
        <row r="3615">
          <cell r="D3615">
            <v>37.520000000000003</v>
          </cell>
        </row>
        <row r="3616">
          <cell r="D3616">
            <v>37.53</v>
          </cell>
        </row>
        <row r="3617">
          <cell r="D3617">
            <v>37.54</v>
          </cell>
        </row>
        <row r="3618">
          <cell r="D3618">
            <v>37.549999999999997</v>
          </cell>
        </row>
        <row r="3619">
          <cell r="D3619">
            <v>37.56</v>
          </cell>
        </row>
        <row r="3620">
          <cell r="D3620">
            <v>37.57</v>
          </cell>
        </row>
        <row r="3621">
          <cell r="D3621">
            <v>37.58</v>
          </cell>
        </row>
        <row r="3622">
          <cell r="D3622">
            <v>37.590000000000003</v>
          </cell>
        </row>
        <row r="3623">
          <cell r="D3623">
            <v>37.6</v>
          </cell>
        </row>
        <row r="3624">
          <cell r="D3624">
            <v>37.61</v>
          </cell>
        </row>
        <row r="3625">
          <cell r="D3625">
            <v>37.619999999999997</v>
          </cell>
        </row>
        <row r="3626">
          <cell r="D3626">
            <v>37.630000000000003</v>
          </cell>
        </row>
        <row r="3627">
          <cell r="D3627">
            <v>37.64</v>
          </cell>
        </row>
        <row r="3628">
          <cell r="D3628">
            <v>37.65</v>
          </cell>
        </row>
        <row r="3629">
          <cell r="D3629">
            <v>37.659999999999997</v>
          </cell>
        </row>
        <row r="3630">
          <cell r="D3630">
            <v>37.67</v>
          </cell>
        </row>
        <row r="3631">
          <cell r="D3631">
            <v>37.68</v>
          </cell>
        </row>
        <row r="3632">
          <cell r="D3632">
            <v>37.69</v>
          </cell>
        </row>
        <row r="3633">
          <cell r="D3633">
            <v>37.700000000000003</v>
          </cell>
        </row>
        <row r="3634">
          <cell r="D3634">
            <v>37.71</v>
          </cell>
        </row>
        <row r="3635">
          <cell r="D3635">
            <v>37.72</v>
          </cell>
        </row>
        <row r="3636">
          <cell r="D3636">
            <v>37.729999999999997</v>
          </cell>
        </row>
        <row r="3637">
          <cell r="D3637">
            <v>37.74</v>
          </cell>
        </row>
        <row r="3638">
          <cell r="D3638">
            <v>37.75</v>
          </cell>
        </row>
        <row r="3639">
          <cell r="D3639">
            <v>37.76</v>
          </cell>
        </row>
        <row r="3640">
          <cell r="D3640">
            <v>37.770000000000003</v>
          </cell>
        </row>
        <row r="3641">
          <cell r="D3641">
            <v>37.78</v>
          </cell>
        </row>
        <row r="3642">
          <cell r="D3642">
            <v>37.79</v>
          </cell>
        </row>
        <row r="3643">
          <cell r="D3643">
            <v>37.799999999999997</v>
          </cell>
        </row>
        <row r="3644">
          <cell r="D3644">
            <v>37.81</v>
          </cell>
        </row>
        <row r="3645">
          <cell r="D3645">
            <v>37.82</v>
          </cell>
        </row>
        <row r="3646">
          <cell r="D3646">
            <v>37.83</v>
          </cell>
        </row>
        <row r="3647">
          <cell r="D3647">
            <v>37.840000000000003</v>
          </cell>
        </row>
        <row r="3648">
          <cell r="D3648">
            <v>37.85</v>
          </cell>
        </row>
        <row r="3649">
          <cell r="D3649">
            <v>37.86</v>
          </cell>
        </row>
        <row r="3650">
          <cell r="D3650">
            <v>37.869999999999997</v>
          </cell>
        </row>
        <row r="3651">
          <cell r="D3651">
            <v>37.880000000000003</v>
          </cell>
        </row>
        <row r="3652">
          <cell r="D3652">
            <v>37.89</v>
          </cell>
        </row>
        <row r="3653">
          <cell r="D3653">
            <v>37.9</v>
          </cell>
        </row>
        <row r="3654">
          <cell r="D3654">
            <v>37.909999999999997</v>
          </cell>
        </row>
        <row r="3655">
          <cell r="D3655">
            <v>37.92</v>
          </cell>
        </row>
        <row r="3656">
          <cell r="D3656">
            <v>37.93</v>
          </cell>
        </row>
        <row r="3657">
          <cell r="D3657">
            <v>37.94</v>
          </cell>
        </row>
        <row r="3658">
          <cell r="D3658">
            <v>37.950000000000003</v>
          </cell>
        </row>
        <row r="3659">
          <cell r="D3659">
            <v>37.96</v>
          </cell>
        </row>
        <row r="3660">
          <cell r="D3660">
            <v>37.97</v>
          </cell>
        </row>
        <row r="3661">
          <cell r="D3661">
            <v>37.979999999999997</v>
          </cell>
        </row>
        <row r="3662">
          <cell r="D3662">
            <v>37.99</v>
          </cell>
        </row>
        <row r="3663">
          <cell r="D3663">
            <v>38</v>
          </cell>
        </row>
        <row r="3664">
          <cell r="D3664">
            <v>38.01</v>
          </cell>
        </row>
        <row r="3665">
          <cell r="D3665">
            <v>38.020000000000003</v>
          </cell>
        </row>
        <row r="3666">
          <cell r="D3666">
            <v>38.03</v>
          </cell>
        </row>
        <row r="3667">
          <cell r="D3667">
            <v>38.04</v>
          </cell>
        </row>
        <row r="3668">
          <cell r="D3668">
            <v>38.049999999999997</v>
          </cell>
        </row>
        <row r="3669">
          <cell r="D3669">
            <v>38.06</v>
          </cell>
        </row>
        <row r="3670">
          <cell r="D3670">
            <v>38.07</v>
          </cell>
        </row>
        <row r="3671">
          <cell r="D3671">
            <v>38.08</v>
          </cell>
        </row>
        <row r="3672">
          <cell r="D3672">
            <v>38.090000000000003</v>
          </cell>
        </row>
        <row r="3673">
          <cell r="D3673">
            <v>38.1</v>
          </cell>
        </row>
        <row r="3674">
          <cell r="D3674">
            <v>38.11</v>
          </cell>
        </row>
        <row r="3675">
          <cell r="D3675">
            <v>38.119999999999997</v>
          </cell>
        </row>
        <row r="3676">
          <cell r="D3676">
            <v>38.130000000000003</v>
          </cell>
        </row>
        <row r="3677">
          <cell r="D3677">
            <v>38.14</v>
          </cell>
        </row>
        <row r="3678">
          <cell r="D3678">
            <v>38.15</v>
          </cell>
        </row>
        <row r="3679">
          <cell r="D3679">
            <v>38.159999999999997</v>
          </cell>
        </row>
        <row r="3680">
          <cell r="D3680">
            <v>38.17</v>
          </cell>
        </row>
        <row r="3681">
          <cell r="D3681">
            <v>38.18</v>
          </cell>
        </row>
        <row r="3682">
          <cell r="D3682">
            <v>38.19</v>
          </cell>
        </row>
        <row r="3683">
          <cell r="D3683">
            <v>38.200000000000003</v>
          </cell>
        </row>
        <row r="3684">
          <cell r="D3684">
            <v>38.21</v>
          </cell>
        </row>
        <row r="3685">
          <cell r="D3685">
            <v>38.22</v>
          </cell>
        </row>
        <row r="3686">
          <cell r="D3686">
            <v>38.229999999999997</v>
          </cell>
        </row>
        <row r="3687">
          <cell r="D3687">
            <v>38.24</v>
          </cell>
        </row>
        <row r="3688">
          <cell r="D3688">
            <v>38.25</v>
          </cell>
        </row>
        <row r="3689">
          <cell r="D3689">
            <v>38.26</v>
          </cell>
        </row>
        <row r="3690">
          <cell r="D3690">
            <v>38.270000000000003</v>
          </cell>
        </row>
        <row r="3691">
          <cell r="D3691">
            <v>38.28</v>
          </cell>
        </row>
        <row r="3692">
          <cell r="D3692">
            <v>38.29</v>
          </cell>
        </row>
        <row r="3693">
          <cell r="D3693">
            <v>38.299999999999997</v>
          </cell>
        </row>
        <row r="3694">
          <cell r="D3694">
            <v>38.31</v>
          </cell>
        </row>
        <row r="3695">
          <cell r="D3695">
            <v>38.32</v>
          </cell>
        </row>
        <row r="3696">
          <cell r="D3696">
            <v>38.33</v>
          </cell>
        </row>
        <row r="3697">
          <cell r="D3697">
            <v>38.340000000000003</v>
          </cell>
        </row>
        <row r="3698">
          <cell r="D3698">
            <v>38.35</v>
          </cell>
        </row>
        <row r="3699">
          <cell r="D3699">
            <v>38.36</v>
          </cell>
        </row>
        <row r="3700">
          <cell r="D3700">
            <v>38.369999999999997</v>
          </cell>
        </row>
        <row r="3701">
          <cell r="D3701">
            <v>38.380000000000003</v>
          </cell>
        </row>
        <row r="3702">
          <cell r="D3702">
            <v>38.39</v>
          </cell>
        </row>
        <row r="3703">
          <cell r="D3703">
            <v>38.4</v>
          </cell>
        </row>
        <row r="3704">
          <cell r="D3704">
            <v>38.409999999999997</v>
          </cell>
        </row>
        <row r="3705">
          <cell r="D3705">
            <v>38.42</v>
          </cell>
        </row>
        <row r="3706">
          <cell r="D3706">
            <v>38.43</v>
          </cell>
        </row>
        <row r="3707">
          <cell r="D3707">
            <v>38.44</v>
          </cell>
        </row>
        <row r="3708">
          <cell r="D3708">
            <v>38.450000000000003</v>
          </cell>
        </row>
        <row r="3709">
          <cell r="D3709">
            <v>38.46</v>
          </cell>
        </row>
        <row r="3710">
          <cell r="D3710">
            <v>38.47</v>
          </cell>
        </row>
        <row r="3711">
          <cell r="D3711">
            <v>38.479999999999997</v>
          </cell>
        </row>
        <row r="3712">
          <cell r="D3712">
            <v>38.49</v>
          </cell>
        </row>
        <row r="3713">
          <cell r="D3713">
            <v>38.5</v>
          </cell>
        </row>
        <row r="3714">
          <cell r="D3714">
            <v>38.51</v>
          </cell>
        </row>
        <row r="3715">
          <cell r="D3715">
            <v>38.520000000000003</v>
          </cell>
        </row>
        <row r="3716">
          <cell r="D3716">
            <v>38.53</v>
          </cell>
        </row>
        <row r="3717">
          <cell r="D3717">
            <v>38.54</v>
          </cell>
        </row>
        <row r="3718">
          <cell r="D3718">
            <v>38.549999999999997</v>
          </cell>
        </row>
        <row r="3719">
          <cell r="D3719">
            <v>38.56</v>
          </cell>
        </row>
        <row r="3720">
          <cell r="D3720">
            <v>38.57</v>
          </cell>
        </row>
        <row r="3721">
          <cell r="D3721">
            <v>38.58</v>
          </cell>
        </row>
        <row r="3722">
          <cell r="D3722">
            <v>38.590000000000003</v>
          </cell>
        </row>
        <row r="3723">
          <cell r="D3723">
            <v>38.6</v>
          </cell>
        </row>
        <row r="3724">
          <cell r="D3724">
            <v>38.61</v>
          </cell>
        </row>
        <row r="3725">
          <cell r="D3725">
            <v>38.619999999999997</v>
          </cell>
        </row>
        <row r="3726">
          <cell r="D3726">
            <v>38.630000000000003</v>
          </cell>
        </row>
        <row r="3727">
          <cell r="D3727">
            <v>38.64</v>
          </cell>
        </row>
        <row r="3728">
          <cell r="D3728">
            <v>38.65</v>
          </cell>
        </row>
        <row r="3729">
          <cell r="D3729">
            <v>38.659999999999997</v>
          </cell>
        </row>
        <row r="3730">
          <cell r="D3730">
            <v>38.67</v>
          </cell>
        </row>
        <row r="3731">
          <cell r="D3731">
            <v>38.68</v>
          </cell>
        </row>
        <row r="3732">
          <cell r="D3732">
            <v>38.69</v>
          </cell>
        </row>
        <row r="3733">
          <cell r="D3733">
            <v>38.700000000000003</v>
          </cell>
        </row>
        <row r="3734">
          <cell r="D3734">
            <v>38.71</v>
          </cell>
        </row>
        <row r="3735">
          <cell r="D3735">
            <v>38.72</v>
          </cell>
        </row>
        <row r="3736">
          <cell r="D3736">
            <v>38.729999999999997</v>
          </cell>
        </row>
        <row r="3737">
          <cell r="D3737">
            <v>38.74</v>
          </cell>
        </row>
        <row r="3738">
          <cell r="D3738">
            <v>38.75</v>
          </cell>
        </row>
        <row r="3739">
          <cell r="D3739">
            <v>38.76</v>
          </cell>
        </row>
        <row r="3740">
          <cell r="D3740">
            <v>38.770000000000003</v>
          </cell>
        </row>
        <row r="3741">
          <cell r="D3741">
            <v>38.78</v>
          </cell>
        </row>
        <row r="3742">
          <cell r="D3742">
            <v>38.79</v>
          </cell>
        </row>
        <row r="3743">
          <cell r="D3743">
            <v>38.799999999999997</v>
          </cell>
        </row>
        <row r="3744">
          <cell r="D3744">
            <v>38.81</v>
          </cell>
        </row>
        <row r="3745">
          <cell r="D3745">
            <v>38.82</v>
          </cell>
        </row>
        <row r="3746">
          <cell r="D3746">
            <v>38.83</v>
          </cell>
        </row>
        <row r="3747">
          <cell r="D3747">
            <v>38.840000000000003</v>
          </cell>
        </row>
        <row r="3748">
          <cell r="D3748">
            <v>38.85</v>
          </cell>
        </row>
        <row r="3749">
          <cell r="D3749">
            <v>38.86</v>
          </cell>
        </row>
        <row r="3750">
          <cell r="D3750">
            <v>38.869999999999997</v>
          </cell>
        </row>
        <row r="3751">
          <cell r="D3751">
            <v>38.880000000000003</v>
          </cell>
        </row>
        <row r="3752">
          <cell r="D3752">
            <v>38.89</v>
          </cell>
        </row>
        <row r="3753">
          <cell r="D3753">
            <v>38.9</v>
          </cell>
        </row>
        <row r="3754">
          <cell r="D3754">
            <v>38.909999999999997</v>
          </cell>
        </row>
        <row r="3755">
          <cell r="D3755">
            <v>38.92</v>
          </cell>
        </row>
        <row r="3756">
          <cell r="D3756">
            <v>38.93</v>
          </cell>
        </row>
        <row r="3757">
          <cell r="D3757">
            <v>38.94</v>
          </cell>
        </row>
        <row r="3758">
          <cell r="D3758">
            <v>38.950000000000003</v>
          </cell>
        </row>
        <row r="3759">
          <cell r="D3759">
            <v>38.96</v>
          </cell>
        </row>
        <row r="3760">
          <cell r="D3760">
            <v>38.97</v>
          </cell>
        </row>
        <row r="3761">
          <cell r="D3761">
            <v>38.979999999999997</v>
          </cell>
        </row>
        <row r="3762">
          <cell r="D3762">
            <v>38.99</v>
          </cell>
        </row>
        <row r="3763">
          <cell r="D3763">
            <v>39</v>
          </cell>
        </row>
        <row r="3764">
          <cell r="D3764">
            <v>39.01</v>
          </cell>
        </row>
        <row r="3765">
          <cell r="D3765">
            <v>39.020000000000003</v>
          </cell>
        </row>
        <row r="3766">
          <cell r="D3766">
            <v>39.03</v>
          </cell>
        </row>
        <row r="3767">
          <cell r="D3767">
            <v>39.04</v>
          </cell>
        </row>
        <row r="3768">
          <cell r="D3768">
            <v>39.049999999999997</v>
          </cell>
        </row>
        <row r="3769">
          <cell r="D3769">
            <v>39.06</v>
          </cell>
        </row>
        <row r="3770">
          <cell r="D3770">
            <v>39.07</v>
          </cell>
        </row>
        <row r="3771">
          <cell r="D3771">
            <v>39.08</v>
          </cell>
        </row>
        <row r="3772">
          <cell r="D3772">
            <v>39.090000000000003</v>
          </cell>
        </row>
        <row r="3773">
          <cell r="D3773">
            <v>39.1</v>
          </cell>
        </row>
        <row r="3774">
          <cell r="D3774">
            <v>39.11</v>
          </cell>
        </row>
        <row r="3775">
          <cell r="D3775">
            <v>39.119999999999997</v>
          </cell>
        </row>
        <row r="3776">
          <cell r="D3776">
            <v>39.130000000000003</v>
          </cell>
        </row>
        <row r="3777">
          <cell r="D3777">
            <v>39.14</v>
          </cell>
        </row>
        <row r="3778">
          <cell r="D3778">
            <v>39.15</v>
          </cell>
        </row>
        <row r="3779">
          <cell r="D3779">
            <v>39.159999999999997</v>
          </cell>
        </row>
        <row r="3780">
          <cell r="D3780">
            <v>39.17</v>
          </cell>
        </row>
        <row r="3781">
          <cell r="D3781">
            <v>39.18</v>
          </cell>
        </row>
        <row r="3782">
          <cell r="D3782">
            <v>39.19</v>
          </cell>
        </row>
        <row r="3783">
          <cell r="D3783">
            <v>39.200000000000003</v>
          </cell>
        </row>
        <row r="3784">
          <cell r="D3784">
            <v>39.21</v>
          </cell>
        </row>
        <row r="3785">
          <cell r="D3785">
            <v>39.22</v>
          </cell>
        </row>
        <row r="3786">
          <cell r="D3786">
            <v>39.229999999999997</v>
          </cell>
        </row>
        <row r="3787">
          <cell r="D3787">
            <v>39.24</v>
          </cell>
        </row>
        <row r="3788">
          <cell r="D3788">
            <v>39.25</v>
          </cell>
        </row>
        <row r="3789">
          <cell r="D3789">
            <v>39.26</v>
          </cell>
        </row>
        <row r="3790">
          <cell r="D3790">
            <v>39.270000000000003</v>
          </cell>
        </row>
        <row r="3791">
          <cell r="D3791">
            <v>39.28</v>
          </cell>
        </row>
        <row r="3792">
          <cell r="D3792">
            <v>39.29</v>
          </cell>
        </row>
        <row r="3793">
          <cell r="D3793">
            <v>39.299999999999997</v>
          </cell>
        </row>
        <row r="3794">
          <cell r="D3794">
            <v>39.31</v>
          </cell>
        </row>
        <row r="3795">
          <cell r="D3795">
            <v>39.32</v>
          </cell>
        </row>
        <row r="3796">
          <cell r="D3796">
            <v>39.33</v>
          </cell>
        </row>
        <row r="3797">
          <cell r="D3797">
            <v>39.340000000000003</v>
          </cell>
        </row>
        <row r="3798">
          <cell r="D3798">
            <v>39.35</v>
          </cell>
        </row>
        <row r="3799">
          <cell r="D3799">
            <v>39.36</v>
          </cell>
        </row>
        <row r="3800">
          <cell r="D3800">
            <v>39.369999999999997</v>
          </cell>
        </row>
        <row r="3801">
          <cell r="D3801">
            <v>39.380000000000003</v>
          </cell>
        </row>
        <row r="3802">
          <cell r="D3802">
            <v>39.39</v>
          </cell>
        </row>
        <row r="3803">
          <cell r="D3803">
            <v>39.4</v>
          </cell>
        </row>
        <row r="3804">
          <cell r="D3804">
            <v>39.409999999999997</v>
          </cell>
        </row>
        <row r="3805">
          <cell r="D3805">
            <v>39.42</v>
          </cell>
        </row>
        <row r="3806">
          <cell r="D3806">
            <v>39.43</v>
          </cell>
        </row>
        <row r="3807">
          <cell r="D3807">
            <v>39.44</v>
          </cell>
        </row>
        <row r="3808">
          <cell r="D3808">
            <v>39.450000000000003</v>
          </cell>
        </row>
        <row r="3809">
          <cell r="D3809">
            <v>39.46</v>
          </cell>
        </row>
        <row r="3810">
          <cell r="D3810">
            <v>39.47</v>
          </cell>
        </row>
        <row r="3811">
          <cell r="D3811">
            <v>39.479999999999997</v>
          </cell>
        </row>
        <row r="3812">
          <cell r="D3812">
            <v>39.49</v>
          </cell>
        </row>
        <row r="3813">
          <cell r="D3813">
            <v>39.5</v>
          </cell>
        </row>
        <row r="3814">
          <cell r="D3814">
            <v>39.51</v>
          </cell>
        </row>
        <row r="3815">
          <cell r="D3815">
            <v>39.520000000000003</v>
          </cell>
        </row>
        <row r="3816">
          <cell r="D3816">
            <v>39.53</v>
          </cell>
        </row>
        <row r="3817">
          <cell r="D3817">
            <v>39.54</v>
          </cell>
        </row>
        <row r="3818">
          <cell r="D3818">
            <v>39.549999999999997</v>
          </cell>
        </row>
        <row r="3819">
          <cell r="D3819">
            <v>39.56</v>
          </cell>
        </row>
        <row r="3820">
          <cell r="D3820">
            <v>39.57</v>
          </cell>
        </row>
        <row r="3821">
          <cell r="D3821">
            <v>39.58</v>
          </cell>
        </row>
        <row r="3822">
          <cell r="D3822">
            <v>39.590000000000003</v>
          </cell>
        </row>
        <row r="3823">
          <cell r="D3823">
            <v>39.6</v>
          </cell>
        </row>
        <row r="3824">
          <cell r="D3824">
            <v>39.61</v>
          </cell>
        </row>
        <row r="3825">
          <cell r="D3825">
            <v>39.619999999999997</v>
          </cell>
        </row>
        <row r="3826">
          <cell r="D3826">
            <v>39.630000000000003</v>
          </cell>
        </row>
        <row r="3827">
          <cell r="D3827">
            <v>39.64</v>
          </cell>
        </row>
        <row r="3828">
          <cell r="D3828">
            <v>39.65</v>
          </cell>
        </row>
        <row r="3829">
          <cell r="D3829">
            <v>39.659999999999997</v>
          </cell>
        </row>
        <row r="3830">
          <cell r="D3830">
            <v>39.67</v>
          </cell>
        </row>
        <row r="3831">
          <cell r="D3831">
            <v>39.68</v>
          </cell>
        </row>
        <row r="3832">
          <cell r="D3832">
            <v>39.69</v>
          </cell>
        </row>
        <row r="3833">
          <cell r="D3833">
            <v>39.700000000000003</v>
          </cell>
        </row>
        <row r="3834">
          <cell r="D3834">
            <v>39.71</v>
          </cell>
        </row>
        <row r="3835">
          <cell r="D3835">
            <v>39.72</v>
          </cell>
        </row>
        <row r="3836">
          <cell r="D3836">
            <v>39.729999999999997</v>
          </cell>
        </row>
        <row r="3837">
          <cell r="D3837">
            <v>39.74</v>
          </cell>
        </row>
        <row r="3838">
          <cell r="D3838">
            <v>39.75</v>
          </cell>
        </row>
        <row r="3839">
          <cell r="D3839">
            <v>39.76</v>
          </cell>
        </row>
        <row r="3840">
          <cell r="D3840">
            <v>39.770000000000003</v>
          </cell>
        </row>
        <row r="3841">
          <cell r="D3841">
            <v>39.78</v>
          </cell>
        </row>
        <row r="3842">
          <cell r="D3842">
            <v>39.79</v>
          </cell>
        </row>
        <row r="3843">
          <cell r="D3843">
            <v>39.799999999999997</v>
          </cell>
        </row>
        <row r="3844">
          <cell r="D3844">
            <v>39.81</v>
          </cell>
        </row>
        <row r="3845">
          <cell r="D3845">
            <v>39.82</v>
          </cell>
        </row>
        <row r="3846">
          <cell r="D3846">
            <v>39.83</v>
          </cell>
        </row>
        <row r="3847">
          <cell r="D3847">
            <v>39.840000000000003</v>
          </cell>
        </row>
        <row r="3848">
          <cell r="D3848">
            <v>39.85</v>
          </cell>
        </row>
        <row r="3849">
          <cell r="D3849">
            <v>39.86</v>
          </cell>
        </row>
        <row r="3850">
          <cell r="D3850">
            <v>39.869999999999997</v>
          </cell>
        </row>
        <row r="3851">
          <cell r="D3851">
            <v>39.880000000000003</v>
          </cell>
        </row>
        <row r="3852">
          <cell r="D3852">
            <v>39.89</v>
          </cell>
        </row>
        <row r="3853">
          <cell r="D3853">
            <v>39.9</v>
          </cell>
        </row>
        <row r="3854">
          <cell r="D3854">
            <v>39.909999999999997</v>
          </cell>
        </row>
        <row r="3855">
          <cell r="D3855">
            <v>39.92</v>
          </cell>
        </row>
        <row r="3856">
          <cell r="D3856">
            <v>39.93</v>
          </cell>
        </row>
        <row r="3857">
          <cell r="D3857">
            <v>39.94</v>
          </cell>
        </row>
        <row r="3858">
          <cell r="D3858">
            <v>39.950000000000003</v>
          </cell>
        </row>
        <row r="3859">
          <cell r="D3859">
            <v>39.96</v>
          </cell>
        </row>
        <row r="3860">
          <cell r="D3860">
            <v>39.97</v>
          </cell>
        </row>
        <row r="3861">
          <cell r="D3861">
            <v>39.979999999999997</v>
          </cell>
        </row>
        <row r="3862">
          <cell r="D3862">
            <v>39.99</v>
          </cell>
        </row>
        <row r="3863">
          <cell r="D3863">
            <v>40</v>
          </cell>
        </row>
        <row r="3864">
          <cell r="D3864">
            <v>40.01</v>
          </cell>
        </row>
        <row r="3865">
          <cell r="D3865">
            <v>40.020000000000003</v>
          </cell>
        </row>
        <row r="3866">
          <cell r="D3866">
            <v>40.03</v>
          </cell>
        </row>
        <row r="3867">
          <cell r="D3867">
            <v>40.04</v>
          </cell>
        </row>
        <row r="3868">
          <cell r="D3868">
            <v>40.049999999999997</v>
          </cell>
        </row>
        <row r="3869">
          <cell r="D3869">
            <v>40.06</v>
          </cell>
        </row>
        <row r="3870">
          <cell r="D3870">
            <v>40.07</v>
          </cell>
        </row>
        <row r="3871">
          <cell r="D3871">
            <v>40.08</v>
          </cell>
        </row>
        <row r="3872">
          <cell r="D3872">
            <v>40.090000000000003</v>
          </cell>
        </row>
        <row r="3873">
          <cell r="D3873">
            <v>40.1</v>
          </cell>
        </row>
        <row r="3874">
          <cell r="D3874">
            <v>40.11</v>
          </cell>
        </row>
        <row r="3875">
          <cell r="D3875">
            <v>40.119999999999997</v>
          </cell>
        </row>
        <row r="3876">
          <cell r="D3876">
            <v>40.130000000000003</v>
          </cell>
        </row>
        <row r="3877">
          <cell r="D3877">
            <v>40.14</v>
          </cell>
        </row>
        <row r="3878">
          <cell r="D3878">
            <v>40.15</v>
          </cell>
        </row>
        <row r="3879">
          <cell r="D3879">
            <v>40.159999999999997</v>
          </cell>
        </row>
        <row r="3880">
          <cell r="D3880">
            <v>40.17</v>
          </cell>
        </row>
        <row r="3881">
          <cell r="D3881">
            <v>40.18</v>
          </cell>
        </row>
        <row r="3882">
          <cell r="D3882">
            <v>40.19</v>
          </cell>
        </row>
        <row r="3883">
          <cell r="D3883">
            <v>40.200000000000003</v>
          </cell>
        </row>
        <row r="3884">
          <cell r="D3884">
            <v>40.21</v>
          </cell>
        </row>
        <row r="3885">
          <cell r="D3885">
            <v>40.22</v>
          </cell>
        </row>
        <row r="3886">
          <cell r="D3886">
            <v>40.229999999999997</v>
          </cell>
        </row>
        <row r="3887">
          <cell r="D3887">
            <v>40.24</v>
          </cell>
        </row>
        <row r="3888">
          <cell r="D3888">
            <v>40.25</v>
          </cell>
        </row>
        <row r="3889">
          <cell r="D3889">
            <v>40.26</v>
          </cell>
        </row>
        <row r="3890">
          <cell r="D3890">
            <v>40.270000000000003</v>
          </cell>
        </row>
        <row r="3891">
          <cell r="D3891">
            <v>40.28</v>
          </cell>
        </row>
        <row r="3892">
          <cell r="D3892">
            <v>40.29</v>
          </cell>
        </row>
        <row r="3893">
          <cell r="D3893">
            <v>40.299999999999997</v>
          </cell>
        </row>
        <row r="3894">
          <cell r="D3894">
            <v>40.31</v>
          </cell>
        </row>
        <row r="3895">
          <cell r="D3895">
            <v>40.32</v>
          </cell>
        </row>
        <row r="3896">
          <cell r="D3896">
            <v>40.33</v>
          </cell>
        </row>
        <row r="3897">
          <cell r="D3897">
            <v>40.340000000000003</v>
          </cell>
        </row>
        <row r="3898">
          <cell r="D3898">
            <v>40.35</v>
          </cell>
        </row>
        <row r="3899">
          <cell r="D3899">
            <v>40.36</v>
          </cell>
        </row>
        <row r="3900">
          <cell r="D3900">
            <v>40.369999999999997</v>
          </cell>
        </row>
        <row r="3901">
          <cell r="D3901">
            <v>40.380000000000003</v>
          </cell>
        </row>
        <row r="3902">
          <cell r="D3902">
            <v>40.39</v>
          </cell>
        </row>
        <row r="3903">
          <cell r="D3903">
            <v>40.4</v>
          </cell>
        </row>
        <row r="3904">
          <cell r="D3904">
            <v>40.409999999999997</v>
          </cell>
        </row>
        <row r="3905">
          <cell r="D3905">
            <v>40.42</v>
          </cell>
        </row>
        <row r="3906">
          <cell r="D3906">
            <v>40.43</v>
          </cell>
        </row>
        <row r="3907">
          <cell r="D3907">
            <v>40.44</v>
          </cell>
        </row>
        <row r="3908">
          <cell r="D3908">
            <v>40.450000000000003</v>
          </cell>
        </row>
        <row r="3909">
          <cell r="D3909">
            <v>40.46</v>
          </cell>
        </row>
        <row r="3910">
          <cell r="D3910">
            <v>40.47</v>
          </cell>
        </row>
        <row r="3911">
          <cell r="D3911">
            <v>40.479999999999997</v>
          </cell>
        </row>
        <row r="3912">
          <cell r="D3912">
            <v>40.49</v>
          </cell>
        </row>
        <row r="3913">
          <cell r="D3913">
            <v>40.5</v>
          </cell>
        </row>
        <row r="3914">
          <cell r="D3914">
            <v>40.51</v>
          </cell>
        </row>
        <row r="3915">
          <cell r="D3915">
            <v>40.520000000000003</v>
          </cell>
        </row>
        <row r="3916">
          <cell r="D3916">
            <v>40.53</v>
          </cell>
        </row>
        <row r="3917">
          <cell r="D3917">
            <v>40.54</v>
          </cell>
        </row>
        <row r="3918">
          <cell r="D3918">
            <v>40.549999999999997</v>
          </cell>
        </row>
        <row r="3919">
          <cell r="D3919">
            <v>40.56</v>
          </cell>
        </row>
        <row r="3920">
          <cell r="D3920">
            <v>40.57</v>
          </cell>
        </row>
        <row r="3921">
          <cell r="D3921">
            <v>40.58</v>
          </cell>
        </row>
        <row r="3922">
          <cell r="D3922">
            <v>40.590000000000003</v>
          </cell>
        </row>
        <row r="3923">
          <cell r="D3923">
            <v>40.6</v>
          </cell>
        </row>
        <row r="3924">
          <cell r="D3924">
            <v>40.61</v>
          </cell>
        </row>
        <row r="3925">
          <cell r="D3925">
            <v>40.619999999999997</v>
          </cell>
        </row>
        <row r="3926">
          <cell r="D3926">
            <v>40.630000000000003</v>
          </cell>
        </row>
        <row r="3927">
          <cell r="D3927">
            <v>40.64</v>
          </cell>
        </row>
        <row r="3928">
          <cell r="D3928">
            <v>40.65</v>
          </cell>
        </row>
        <row r="3929">
          <cell r="D3929">
            <v>40.659999999999997</v>
          </cell>
        </row>
        <row r="3930">
          <cell r="D3930">
            <v>40.67</v>
          </cell>
        </row>
        <row r="3931">
          <cell r="D3931">
            <v>40.68</v>
          </cell>
        </row>
        <row r="3932">
          <cell r="D3932">
            <v>40.69</v>
          </cell>
        </row>
        <row r="3933">
          <cell r="D3933">
            <v>40.700000000000003</v>
          </cell>
        </row>
        <row r="3934">
          <cell r="D3934">
            <v>40.71</v>
          </cell>
        </row>
        <row r="3935">
          <cell r="D3935">
            <v>40.72</v>
          </cell>
        </row>
        <row r="3936">
          <cell r="D3936">
            <v>40.729999999999997</v>
          </cell>
        </row>
        <row r="3937">
          <cell r="D3937">
            <v>40.74</v>
          </cell>
        </row>
        <row r="3938">
          <cell r="D3938">
            <v>40.75</v>
          </cell>
        </row>
        <row r="3939">
          <cell r="D3939">
            <v>40.76</v>
          </cell>
        </row>
        <row r="3940">
          <cell r="D3940">
            <v>40.770000000000003</v>
          </cell>
        </row>
        <row r="3941">
          <cell r="D3941">
            <v>40.78</v>
          </cell>
        </row>
        <row r="3942">
          <cell r="D3942">
            <v>40.79</v>
          </cell>
        </row>
        <row r="3943">
          <cell r="D3943">
            <v>40.799999999999997</v>
          </cell>
        </row>
        <row r="3944">
          <cell r="D3944">
            <v>40.81</v>
          </cell>
        </row>
        <row r="3945">
          <cell r="D3945">
            <v>40.82</v>
          </cell>
        </row>
        <row r="3946">
          <cell r="D3946">
            <v>40.83</v>
          </cell>
        </row>
        <row r="3947">
          <cell r="D3947">
            <v>40.840000000000003</v>
          </cell>
        </row>
        <row r="3948">
          <cell r="D3948">
            <v>40.85</v>
          </cell>
        </row>
        <row r="3949">
          <cell r="D3949">
            <v>40.86</v>
          </cell>
        </row>
        <row r="3950">
          <cell r="D3950">
            <v>40.869999999999997</v>
          </cell>
        </row>
        <row r="3951">
          <cell r="D3951">
            <v>40.880000000000003</v>
          </cell>
        </row>
        <row r="3952">
          <cell r="D3952">
            <v>40.89</v>
          </cell>
        </row>
        <row r="3953">
          <cell r="D3953">
            <v>40.9</v>
          </cell>
        </row>
        <row r="3954">
          <cell r="D3954">
            <v>40.909999999999997</v>
          </cell>
        </row>
        <row r="3955">
          <cell r="D3955">
            <v>40.92</v>
          </cell>
        </row>
        <row r="3956">
          <cell r="D3956">
            <v>40.93</v>
          </cell>
        </row>
        <row r="3957">
          <cell r="D3957">
            <v>40.94</v>
          </cell>
        </row>
        <row r="3958">
          <cell r="D3958">
            <v>40.950000000000003</v>
          </cell>
        </row>
        <row r="3959">
          <cell r="D3959">
            <v>40.96</v>
          </cell>
        </row>
        <row r="3960">
          <cell r="D3960">
            <v>40.97</v>
          </cell>
        </row>
        <row r="3961">
          <cell r="D3961">
            <v>40.98</v>
          </cell>
        </row>
        <row r="3962">
          <cell r="D3962">
            <v>40.99</v>
          </cell>
        </row>
        <row r="3963">
          <cell r="D3963">
            <v>41</v>
          </cell>
        </row>
        <row r="3964">
          <cell r="D3964">
            <v>41.01</v>
          </cell>
        </row>
        <row r="3965">
          <cell r="D3965">
            <v>41.02</v>
          </cell>
        </row>
        <row r="3966">
          <cell r="D3966">
            <v>41.03</v>
          </cell>
        </row>
        <row r="3967">
          <cell r="D3967">
            <v>41.04</v>
          </cell>
        </row>
        <row r="3968">
          <cell r="D3968">
            <v>41.05</v>
          </cell>
        </row>
        <row r="3969">
          <cell r="D3969">
            <v>41.06</v>
          </cell>
        </row>
        <row r="3970">
          <cell r="D3970">
            <v>41.07</v>
          </cell>
        </row>
        <row r="3971">
          <cell r="D3971">
            <v>41.08</v>
          </cell>
        </row>
        <row r="3972">
          <cell r="D3972">
            <v>41.09</v>
          </cell>
        </row>
        <row r="3973">
          <cell r="D3973">
            <v>41.1</v>
          </cell>
        </row>
        <row r="3974">
          <cell r="D3974">
            <v>41.11</v>
          </cell>
        </row>
        <row r="3975">
          <cell r="D3975">
            <v>41.12</v>
          </cell>
        </row>
        <row r="3976">
          <cell r="D3976">
            <v>41.13</v>
          </cell>
        </row>
        <row r="3977">
          <cell r="D3977">
            <v>41.14</v>
          </cell>
        </row>
        <row r="3978">
          <cell r="D3978">
            <v>41.15</v>
          </cell>
        </row>
        <row r="3979">
          <cell r="D3979">
            <v>41.16</v>
          </cell>
        </row>
        <row r="3980">
          <cell r="D3980">
            <v>41.17</v>
          </cell>
        </row>
        <row r="3981">
          <cell r="D3981">
            <v>41.18</v>
          </cell>
        </row>
        <row r="3982">
          <cell r="D3982">
            <v>41.19</v>
          </cell>
        </row>
        <row r="3983">
          <cell r="D3983">
            <v>41.2</v>
          </cell>
        </row>
        <row r="3984">
          <cell r="D3984">
            <v>41.21</v>
          </cell>
        </row>
        <row r="3985">
          <cell r="D3985">
            <v>41.22</v>
          </cell>
        </row>
        <row r="3986">
          <cell r="D3986">
            <v>41.23</v>
          </cell>
        </row>
        <row r="3987">
          <cell r="D3987">
            <v>41.24</v>
          </cell>
        </row>
        <row r="3988">
          <cell r="D3988">
            <v>41.25</v>
          </cell>
        </row>
        <row r="3989">
          <cell r="D3989">
            <v>41.26</v>
          </cell>
        </row>
        <row r="3990">
          <cell r="D3990">
            <v>41.27</v>
          </cell>
        </row>
        <row r="3991">
          <cell r="D3991">
            <v>41.28</v>
          </cell>
        </row>
        <row r="3992">
          <cell r="D3992">
            <v>41.29</v>
          </cell>
        </row>
        <row r="3993">
          <cell r="D3993">
            <v>41.3</v>
          </cell>
        </row>
        <row r="3994">
          <cell r="D3994">
            <v>41.31</v>
          </cell>
        </row>
        <row r="3995">
          <cell r="D3995">
            <v>41.32</v>
          </cell>
        </row>
        <row r="3996">
          <cell r="D3996">
            <v>41.33</v>
          </cell>
        </row>
        <row r="3997">
          <cell r="D3997">
            <v>41.34</v>
          </cell>
        </row>
        <row r="3998">
          <cell r="D3998">
            <v>41.35</v>
          </cell>
        </row>
        <row r="3999">
          <cell r="D3999">
            <v>41.36</v>
          </cell>
        </row>
        <row r="4000">
          <cell r="D4000">
            <v>41.37</v>
          </cell>
        </row>
        <row r="4001">
          <cell r="D4001">
            <v>41.38</v>
          </cell>
        </row>
        <row r="4002">
          <cell r="D4002">
            <v>41.39</v>
          </cell>
        </row>
        <row r="4003">
          <cell r="D4003">
            <v>41.4</v>
          </cell>
        </row>
        <row r="4004">
          <cell r="D4004">
            <v>41.41</v>
          </cell>
        </row>
        <row r="4005">
          <cell r="D4005">
            <v>41.42</v>
          </cell>
        </row>
        <row r="4006">
          <cell r="D4006">
            <v>41.43</v>
          </cell>
        </row>
        <row r="4007">
          <cell r="D4007">
            <v>41.44</v>
          </cell>
        </row>
        <row r="4008">
          <cell r="D4008">
            <v>41.45</v>
          </cell>
        </row>
        <row r="4009">
          <cell r="D4009">
            <v>41.46</v>
          </cell>
        </row>
        <row r="4010">
          <cell r="D4010">
            <v>41.47</v>
          </cell>
        </row>
        <row r="4011">
          <cell r="D4011">
            <v>41.48</v>
          </cell>
        </row>
        <row r="4012">
          <cell r="D4012">
            <v>41.49</v>
          </cell>
        </row>
        <row r="4013">
          <cell r="D4013">
            <v>41.5</v>
          </cell>
        </row>
        <row r="4014">
          <cell r="D4014">
            <v>41.51</v>
          </cell>
        </row>
        <row r="4015">
          <cell r="D4015">
            <v>41.52</v>
          </cell>
        </row>
        <row r="4016">
          <cell r="D4016">
            <v>41.53</v>
          </cell>
        </row>
        <row r="4017">
          <cell r="D4017">
            <v>41.54</v>
          </cell>
        </row>
        <row r="4018">
          <cell r="D4018">
            <v>41.55</v>
          </cell>
        </row>
        <row r="4019">
          <cell r="D4019">
            <v>41.56</v>
          </cell>
        </row>
        <row r="4020">
          <cell r="D4020">
            <v>41.57</v>
          </cell>
        </row>
        <row r="4021">
          <cell r="D4021">
            <v>41.58</v>
          </cell>
        </row>
        <row r="4022">
          <cell r="D4022">
            <v>41.59</v>
          </cell>
        </row>
        <row r="4023">
          <cell r="D4023">
            <v>41.6</v>
          </cell>
        </row>
        <row r="4024">
          <cell r="D4024">
            <v>41.61</v>
          </cell>
        </row>
        <row r="4025">
          <cell r="D4025">
            <v>41.62</v>
          </cell>
        </row>
        <row r="4026">
          <cell r="D4026">
            <v>41.63</v>
          </cell>
        </row>
        <row r="4027">
          <cell r="D4027">
            <v>41.64</v>
          </cell>
        </row>
        <row r="4028">
          <cell r="D4028">
            <v>41.65</v>
          </cell>
        </row>
        <row r="4029">
          <cell r="D4029">
            <v>41.66</v>
          </cell>
        </row>
        <row r="4030">
          <cell r="D4030">
            <v>41.67</v>
          </cell>
        </row>
        <row r="4031">
          <cell r="D4031">
            <v>41.68</v>
          </cell>
        </row>
        <row r="4032">
          <cell r="D4032">
            <v>41.69</v>
          </cell>
        </row>
        <row r="4033">
          <cell r="D4033">
            <v>41.7</v>
          </cell>
        </row>
        <row r="4034">
          <cell r="D4034">
            <v>41.71</v>
          </cell>
        </row>
        <row r="4035">
          <cell r="D4035">
            <v>41.72</v>
          </cell>
        </row>
        <row r="4036">
          <cell r="D4036">
            <v>41.73</v>
          </cell>
        </row>
        <row r="4037">
          <cell r="D4037">
            <v>41.74</v>
          </cell>
        </row>
        <row r="4038">
          <cell r="D4038">
            <v>41.75</v>
          </cell>
        </row>
        <row r="4039">
          <cell r="D4039">
            <v>41.76</v>
          </cell>
        </row>
        <row r="4040">
          <cell r="D4040">
            <v>41.77</v>
          </cell>
        </row>
        <row r="4041">
          <cell r="D4041">
            <v>41.78</v>
          </cell>
        </row>
        <row r="4042">
          <cell r="D4042">
            <v>41.79</v>
          </cell>
        </row>
        <row r="4043">
          <cell r="D4043">
            <v>41.8</v>
          </cell>
        </row>
        <row r="4044">
          <cell r="D4044">
            <v>41.81</v>
          </cell>
        </row>
        <row r="4045">
          <cell r="D4045">
            <v>41.82</v>
          </cell>
        </row>
        <row r="4046">
          <cell r="D4046">
            <v>41.83</v>
          </cell>
        </row>
        <row r="4047">
          <cell r="D4047">
            <v>41.84</v>
          </cell>
        </row>
        <row r="4048">
          <cell r="D4048">
            <v>41.85</v>
          </cell>
        </row>
        <row r="4049">
          <cell r="D4049">
            <v>41.86</v>
          </cell>
        </row>
        <row r="4050">
          <cell r="D4050">
            <v>41.87</v>
          </cell>
        </row>
        <row r="4051">
          <cell r="D4051">
            <v>41.88</v>
          </cell>
        </row>
        <row r="4052">
          <cell r="D4052">
            <v>41.89</v>
          </cell>
        </row>
        <row r="4053">
          <cell r="D4053">
            <v>41.9</v>
          </cell>
        </row>
        <row r="4054">
          <cell r="D4054">
            <v>41.91</v>
          </cell>
        </row>
        <row r="4055">
          <cell r="D4055">
            <v>41.92</v>
          </cell>
        </row>
        <row r="4056">
          <cell r="D4056">
            <v>41.93</v>
          </cell>
        </row>
        <row r="4057">
          <cell r="D4057">
            <v>41.94</v>
          </cell>
        </row>
        <row r="4058">
          <cell r="D4058">
            <v>41.95</v>
          </cell>
        </row>
        <row r="4059">
          <cell r="D4059">
            <v>41.96</v>
          </cell>
        </row>
        <row r="4060">
          <cell r="D4060">
            <v>41.97</v>
          </cell>
        </row>
        <row r="4061">
          <cell r="D4061">
            <v>41.98</v>
          </cell>
        </row>
        <row r="4062">
          <cell r="D4062">
            <v>41.99</v>
          </cell>
        </row>
        <row r="4063">
          <cell r="D4063">
            <v>42</v>
          </cell>
        </row>
        <row r="4064">
          <cell r="D4064">
            <v>42.01</v>
          </cell>
        </row>
        <row r="4065">
          <cell r="D4065">
            <v>42.02</v>
          </cell>
        </row>
        <row r="4066">
          <cell r="D4066">
            <v>42.03</v>
          </cell>
        </row>
        <row r="4067">
          <cell r="D4067">
            <v>42.04</v>
          </cell>
        </row>
        <row r="4068">
          <cell r="D4068">
            <v>42.05</v>
          </cell>
        </row>
        <row r="4069">
          <cell r="D4069">
            <v>42.06</v>
          </cell>
        </row>
        <row r="4070">
          <cell r="D4070">
            <v>42.07</v>
          </cell>
        </row>
        <row r="4071">
          <cell r="D4071">
            <v>42.08</v>
          </cell>
        </row>
        <row r="4072">
          <cell r="D4072">
            <v>42.09</v>
          </cell>
        </row>
        <row r="4073">
          <cell r="D4073">
            <v>42.1</v>
          </cell>
        </row>
        <row r="4074">
          <cell r="D4074">
            <v>42.11</v>
          </cell>
        </row>
        <row r="4075">
          <cell r="D4075">
            <v>42.12</v>
          </cell>
        </row>
        <row r="4076">
          <cell r="D4076">
            <v>42.13</v>
          </cell>
        </row>
        <row r="4077">
          <cell r="D4077">
            <v>42.14</v>
          </cell>
        </row>
        <row r="4078">
          <cell r="D4078">
            <v>42.15</v>
          </cell>
        </row>
        <row r="4079">
          <cell r="D4079">
            <v>42.16</v>
          </cell>
        </row>
        <row r="4080">
          <cell r="D4080">
            <v>42.17</v>
          </cell>
        </row>
        <row r="4081">
          <cell r="D4081">
            <v>42.18</v>
          </cell>
        </row>
        <row r="4082">
          <cell r="D4082">
            <v>42.19</v>
          </cell>
        </row>
        <row r="4083">
          <cell r="D4083">
            <v>42.2</v>
          </cell>
        </row>
        <row r="4084">
          <cell r="D4084">
            <v>42.21</v>
          </cell>
        </row>
        <row r="4085">
          <cell r="D4085">
            <v>42.22</v>
          </cell>
        </row>
        <row r="4086">
          <cell r="D4086">
            <v>42.23</v>
          </cell>
        </row>
        <row r="4087">
          <cell r="D4087">
            <v>42.24</v>
          </cell>
        </row>
        <row r="4088">
          <cell r="D4088">
            <v>42.25</v>
          </cell>
        </row>
        <row r="4089">
          <cell r="D4089">
            <v>42.26</v>
          </cell>
        </row>
        <row r="4090">
          <cell r="D4090">
            <v>42.27</v>
          </cell>
        </row>
        <row r="4091">
          <cell r="D4091">
            <v>42.28</v>
          </cell>
        </row>
        <row r="4092">
          <cell r="D4092">
            <v>42.29</v>
          </cell>
        </row>
        <row r="4093">
          <cell r="D4093">
            <v>42.3</v>
          </cell>
        </row>
        <row r="4094">
          <cell r="D4094">
            <v>42.31</v>
          </cell>
        </row>
        <row r="4095">
          <cell r="D4095">
            <v>42.32</v>
          </cell>
        </row>
        <row r="4096">
          <cell r="D4096">
            <v>42.33</v>
          </cell>
        </row>
        <row r="4097">
          <cell r="D4097">
            <v>42.34</v>
          </cell>
        </row>
        <row r="4098">
          <cell r="D4098">
            <v>42.35</v>
          </cell>
        </row>
        <row r="4099">
          <cell r="D4099">
            <v>42.36</v>
          </cell>
        </row>
        <row r="4100">
          <cell r="D4100">
            <v>42.37</v>
          </cell>
        </row>
        <row r="4101">
          <cell r="D4101">
            <v>42.38</v>
          </cell>
        </row>
        <row r="4102">
          <cell r="D4102">
            <v>42.39</v>
          </cell>
        </row>
        <row r="4103">
          <cell r="D4103">
            <v>42.4</v>
          </cell>
        </row>
        <row r="4104">
          <cell r="D4104">
            <v>42.41</v>
          </cell>
        </row>
        <row r="4105">
          <cell r="D4105">
            <v>42.42</v>
          </cell>
        </row>
        <row r="4106">
          <cell r="D4106">
            <v>42.43</v>
          </cell>
        </row>
        <row r="4107">
          <cell r="D4107">
            <v>42.44</v>
          </cell>
        </row>
        <row r="4108">
          <cell r="D4108">
            <v>42.45</v>
          </cell>
        </row>
        <row r="4109">
          <cell r="D4109">
            <v>42.46</v>
          </cell>
        </row>
        <row r="4110">
          <cell r="D4110">
            <v>42.47</v>
          </cell>
        </row>
        <row r="4111">
          <cell r="D4111">
            <v>42.48</v>
          </cell>
        </row>
        <row r="4112">
          <cell r="D4112">
            <v>42.49</v>
          </cell>
        </row>
        <row r="4113">
          <cell r="D4113">
            <v>42.5</v>
          </cell>
        </row>
        <row r="4114">
          <cell r="D4114">
            <v>42.51</v>
          </cell>
        </row>
        <row r="4115">
          <cell r="D4115">
            <v>42.52</v>
          </cell>
        </row>
        <row r="4116">
          <cell r="D4116">
            <v>42.53</v>
          </cell>
        </row>
        <row r="4117">
          <cell r="D4117">
            <v>42.54</v>
          </cell>
        </row>
        <row r="4118">
          <cell r="D4118">
            <v>42.55</v>
          </cell>
        </row>
        <row r="4119">
          <cell r="D4119">
            <v>42.56</v>
          </cell>
        </row>
        <row r="4120">
          <cell r="D4120">
            <v>42.57</v>
          </cell>
        </row>
        <row r="4121">
          <cell r="D4121">
            <v>42.58</v>
          </cell>
        </row>
        <row r="4122">
          <cell r="D4122">
            <v>42.59</v>
          </cell>
        </row>
        <row r="4123">
          <cell r="D4123">
            <v>42.6</v>
          </cell>
        </row>
        <row r="4124">
          <cell r="D4124">
            <v>42.61</v>
          </cell>
        </row>
        <row r="4125">
          <cell r="D4125">
            <v>42.62</v>
          </cell>
        </row>
        <row r="4126">
          <cell r="D4126">
            <v>42.63</v>
          </cell>
        </row>
        <row r="4127">
          <cell r="D4127">
            <v>42.64</v>
          </cell>
        </row>
        <row r="4128">
          <cell r="D4128">
            <v>42.65</v>
          </cell>
        </row>
        <row r="4129">
          <cell r="D4129">
            <v>42.66</v>
          </cell>
        </row>
        <row r="4130">
          <cell r="D4130">
            <v>42.67</v>
          </cell>
        </row>
        <row r="4131">
          <cell r="D4131">
            <v>42.68</v>
          </cell>
        </row>
        <row r="4132">
          <cell r="D4132">
            <v>42.69</v>
          </cell>
        </row>
        <row r="4133">
          <cell r="D4133">
            <v>42.7</v>
          </cell>
        </row>
        <row r="4134">
          <cell r="D4134">
            <v>42.71</v>
          </cell>
        </row>
        <row r="4135">
          <cell r="D4135">
            <v>42.72</v>
          </cell>
        </row>
        <row r="4136">
          <cell r="D4136">
            <v>42.73</v>
          </cell>
        </row>
        <row r="4137">
          <cell r="D4137">
            <v>42.74</v>
          </cell>
        </row>
        <row r="4138">
          <cell r="D4138">
            <v>42.75</v>
          </cell>
        </row>
        <row r="4139">
          <cell r="D4139">
            <v>42.76</v>
          </cell>
        </row>
        <row r="4140">
          <cell r="D4140">
            <v>42.77</v>
          </cell>
        </row>
        <row r="4141">
          <cell r="D4141">
            <v>42.78</v>
          </cell>
        </row>
        <row r="4142">
          <cell r="D4142">
            <v>42.79</v>
          </cell>
        </row>
        <row r="4143">
          <cell r="D4143">
            <v>42.8</v>
          </cell>
        </row>
        <row r="4144">
          <cell r="D4144">
            <v>42.81</v>
          </cell>
        </row>
        <row r="4145">
          <cell r="D4145">
            <v>42.82</v>
          </cell>
        </row>
        <row r="4146">
          <cell r="D4146">
            <v>42.83</v>
          </cell>
        </row>
        <row r="4147">
          <cell r="D4147">
            <v>42.84</v>
          </cell>
        </row>
        <row r="4148">
          <cell r="D4148">
            <v>42.85</v>
          </cell>
        </row>
        <row r="4149">
          <cell r="D4149">
            <v>42.86</v>
          </cell>
        </row>
        <row r="4150">
          <cell r="D4150">
            <v>42.87</v>
          </cell>
        </row>
        <row r="4151">
          <cell r="D4151">
            <v>42.88</v>
          </cell>
        </row>
        <row r="4152">
          <cell r="D4152">
            <v>42.89</v>
          </cell>
        </row>
        <row r="4153">
          <cell r="D4153">
            <v>42.9</v>
          </cell>
        </row>
        <row r="4154">
          <cell r="D4154">
            <v>42.91</v>
          </cell>
        </row>
        <row r="4155">
          <cell r="D4155">
            <v>42.92</v>
          </cell>
        </row>
        <row r="4156">
          <cell r="D4156">
            <v>42.93</v>
          </cell>
        </row>
        <row r="4157">
          <cell r="D4157">
            <v>42.94</v>
          </cell>
        </row>
        <row r="4158">
          <cell r="D4158">
            <v>42.95</v>
          </cell>
        </row>
        <row r="4159">
          <cell r="D4159">
            <v>42.96</v>
          </cell>
        </row>
        <row r="4160">
          <cell r="D4160">
            <v>42.97</v>
          </cell>
        </row>
        <row r="4161">
          <cell r="D4161">
            <v>42.98</v>
          </cell>
        </row>
        <row r="4162">
          <cell r="D4162">
            <v>42.99</v>
          </cell>
        </row>
        <row r="4163">
          <cell r="D4163">
            <v>43</v>
          </cell>
        </row>
        <row r="4164">
          <cell r="D4164">
            <v>43.01</v>
          </cell>
        </row>
        <row r="4165">
          <cell r="D4165">
            <v>43.02</v>
          </cell>
        </row>
        <row r="4166">
          <cell r="D4166">
            <v>43.03</v>
          </cell>
        </row>
        <row r="4167">
          <cell r="D4167">
            <v>43.04</v>
          </cell>
        </row>
        <row r="4168">
          <cell r="D4168">
            <v>43.05</v>
          </cell>
        </row>
        <row r="4169">
          <cell r="D4169">
            <v>43.06</v>
          </cell>
        </row>
        <row r="4170">
          <cell r="D4170">
            <v>43.07</v>
          </cell>
        </row>
        <row r="4171">
          <cell r="D4171">
            <v>43.08</v>
          </cell>
        </row>
        <row r="4172">
          <cell r="D4172">
            <v>43.09</v>
          </cell>
        </row>
        <row r="4173">
          <cell r="D4173">
            <v>43.1</v>
          </cell>
        </row>
        <row r="4174">
          <cell r="D4174">
            <v>43.11</v>
          </cell>
        </row>
        <row r="4175">
          <cell r="D4175">
            <v>43.12</v>
          </cell>
        </row>
        <row r="4176">
          <cell r="D4176">
            <v>43.13</v>
          </cell>
        </row>
        <row r="4177">
          <cell r="D4177">
            <v>43.14</v>
          </cell>
        </row>
        <row r="4178">
          <cell r="D4178">
            <v>43.15</v>
          </cell>
        </row>
        <row r="4179">
          <cell r="D4179">
            <v>43.16</v>
          </cell>
        </row>
        <row r="4180">
          <cell r="D4180">
            <v>43.17</v>
          </cell>
        </row>
        <row r="4181">
          <cell r="D4181">
            <v>43.18</v>
          </cell>
        </row>
        <row r="4182">
          <cell r="D4182">
            <v>43.19</v>
          </cell>
        </row>
        <row r="4183">
          <cell r="D4183">
            <v>43.2</v>
          </cell>
        </row>
        <row r="4184">
          <cell r="D4184">
            <v>43.21</v>
          </cell>
        </row>
        <row r="4185">
          <cell r="D4185">
            <v>43.22</v>
          </cell>
        </row>
        <row r="4186">
          <cell r="D4186">
            <v>43.23</v>
          </cell>
        </row>
        <row r="4187">
          <cell r="D4187">
            <v>43.24</v>
          </cell>
        </row>
        <row r="4188">
          <cell r="D4188">
            <v>43.25</v>
          </cell>
        </row>
        <row r="4189">
          <cell r="D4189">
            <v>43.26</v>
          </cell>
        </row>
        <row r="4190">
          <cell r="D4190">
            <v>43.27</v>
          </cell>
        </row>
        <row r="4191">
          <cell r="D4191">
            <v>43.28</v>
          </cell>
        </row>
        <row r="4192">
          <cell r="D4192">
            <v>43.29</v>
          </cell>
        </row>
        <row r="4193">
          <cell r="D4193">
            <v>43.3</v>
          </cell>
        </row>
        <row r="4194">
          <cell r="D4194">
            <v>43.31</v>
          </cell>
        </row>
        <row r="4195">
          <cell r="D4195">
            <v>43.32</v>
          </cell>
        </row>
        <row r="4196">
          <cell r="D4196">
            <v>43.33</v>
          </cell>
        </row>
        <row r="4197">
          <cell r="D4197">
            <v>43.34</v>
          </cell>
        </row>
        <row r="4198">
          <cell r="D4198">
            <v>43.35</v>
          </cell>
        </row>
        <row r="4199">
          <cell r="D4199">
            <v>43.36</v>
          </cell>
        </row>
        <row r="4200">
          <cell r="D4200">
            <v>43.37</v>
          </cell>
        </row>
        <row r="4201">
          <cell r="D4201">
            <v>43.38</v>
          </cell>
        </row>
        <row r="4202">
          <cell r="D4202">
            <v>43.39</v>
          </cell>
        </row>
        <row r="4203">
          <cell r="D4203">
            <v>43.4</v>
          </cell>
        </row>
        <row r="4204">
          <cell r="D4204">
            <v>43.41</v>
          </cell>
        </row>
        <row r="4205">
          <cell r="D4205">
            <v>43.42</v>
          </cell>
        </row>
        <row r="4206">
          <cell r="D4206">
            <v>43.43</v>
          </cell>
        </row>
        <row r="4207">
          <cell r="D4207">
            <v>43.44</v>
          </cell>
        </row>
        <row r="4208">
          <cell r="D4208">
            <v>43.45</v>
          </cell>
        </row>
        <row r="4209">
          <cell r="D4209">
            <v>43.46</v>
          </cell>
        </row>
        <row r="4210">
          <cell r="D4210">
            <v>43.47</v>
          </cell>
        </row>
        <row r="4211">
          <cell r="D4211">
            <v>43.48</v>
          </cell>
        </row>
        <row r="4212">
          <cell r="D4212">
            <v>43.49</v>
          </cell>
        </row>
        <row r="4213">
          <cell r="D4213">
            <v>43.5</v>
          </cell>
        </row>
        <row r="4214">
          <cell r="D4214">
            <v>43.51</v>
          </cell>
        </row>
        <row r="4215">
          <cell r="D4215">
            <v>43.52</v>
          </cell>
        </row>
        <row r="4216">
          <cell r="D4216">
            <v>43.53</v>
          </cell>
        </row>
        <row r="4217">
          <cell r="D4217">
            <v>43.54</v>
          </cell>
        </row>
        <row r="4218">
          <cell r="D4218">
            <v>43.55</v>
          </cell>
        </row>
        <row r="4219">
          <cell r="D4219">
            <v>43.56</v>
          </cell>
        </row>
        <row r="4220">
          <cell r="D4220">
            <v>43.57</v>
          </cell>
        </row>
        <row r="4221">
          <cell r="D4221">
            <v>43.58</v>
          </cell>
        </row>
        <row r="4222">
          <cell r="D4222">
            <v>43.59</v>
          </cell>
        </row>
        <row r="4223">
          <cell r="D4223">
            <v>43.6</v>
          </cell>
        </row>
        <row r="4224">
          <cell r="D4224">
            <v>43.61</v>
          </cell>
        </row>
        <row r="4225">
          <cell r="D4225">
            <v>43.62</v>
          </cell>
        </row>
        <row r="4226">
          <cell r="D4226">
            <v>43.63</v>
          </cell>
        </row>
        <row r="4227">
          <cell r="D4227">
            <v>43.64</v>
          </cell>
        </row>
        <row r="4228">
          <cell r="D4228">
            <v>43.65</v>
          </cell>
        </row>
        <row r="4229">
          <cell r="D4229">
            <v>43.66</v>
          </cell>
        </row>
        <row r="4230">
          <cell r="D4230">
            <v>43.67</v>
          </cell>
        </row>
        <row r="4231">
          <cell r="D4231">
            <v>43.68</v>
          </cell>
        </row>
        <row r="4232">
          <cell r="D4232">
            <v>43.69</v>
          </cell>
        </row>
        <row r="4233">
          <cell r="D4233">
            <v>43.7</v>
          </cell>
        </row>
        <row r="4234">
          <cell r="D4234">
            <v>43.71</v>
          </cell>
        </row>
        <row r="4235">
          <cell r="D4235">
            <v>43.72</v>
          </cell>
        </row>
        <row r="4236">
          <cell r="D4236">
            <v>43.73</v>
          </cell>
        </row>
        <row r="4237">
          <cell r="D4237">
            <v>43.74</v>
          </cell>
        </row>
        <row r="4238">
          <cell r="D4238">
            <v>43.75</v>
          </cell>
        </row>
        <row r="4239">
          <cell r="D4239">
            <v>43.76</v>
          </cell>
        </row>
        <row r="4240">
          <cell r="D4240">
            <v>43.77</v>
          </cell>
        </row>
        <row r="4241">
          <cell r="D4241">
            <v>43.78</v>
          </cell>
        </row>
        <row r="4242">
          <cell r="D4242">
            <v>43.79</v>
          </cell>
        </row>
        <row r="4243">
          <cell r="D4243">
            <v>43.8</v>
          </cell>
        </row>
        <row r="4244">
          <cell r="D4244">
            <v>43.81</v>
          </cell>
        </row>
        <row r="4245">
          <cell r="D4245">
            <v>43.82</v>
          </cell>
        </row>
        <row r="4246">
          <cell r="D4246">
            <v>43.83</v>
          </cell>
        </row>
        <row r="4247">
          <cell r="D4247">
            <v>43.84</v>
          </cell>
        </row>
        <row r="4248">
          <cell r="D4248">
            <v>43.85</v>
          </cell>
        </row>
        <row r="4249">
          <cell r="D4249">
            <v>43.86</v>
          </cell>
        </row>
        <row r="4250">
          <cell r="D4250">
            <v>43.87</v>
          </cell>
        </row>
        <row r="4251">
          <cell r="D4251">
            <v>43.88</v>
          </cell>
        </row>
        <row r="4252">
          <cell r="D4252">
            <v>43.89</v>
          </cell>
        </row>
        <row r="4253">
          <cell r="D4253">
            <v>43.9</v>
          </cell>
        </row>
        <row r="4254">
          <cell r="D4254">
            <v>43.91</v>
          </cell>
        </row>
        <row r="4255">
          <cell r="D4255">
            <v>43.92</v>
          </cell>
        </row>
        <row r="4256">
          <cell r="D4256">
            <v>43.93</v>
          </cell>
        </row>
        <row r="4257">
          <cell r="D4257">
            <v>43.94</v>
          </cell>
        </row>
        <row r="4258">
          <cell r="D4258">
            <v>43.95</v>
          </cell>
        </row>
        <row r="4259">
          <cell r="D4259">
            <v>43.96</v>
          </cell>
        </row>
        <row r="4260">
          <cell r="D4260">
            <v>43.97</v>
          </cell>
        </row>
        <row r="4261">
          <cell r="D4261">
            <v>43.98</v>
          </cell>
        </row>
        <row r="4262">
          <cell r="D4262">
            <v>43.99</v>
          </cell>
        </row>
        <row r="4263">
          <cell r="D4263">
            <v>44</v>
          </cell>
        </row>
        <row r="4264">
          <cell r="D4264">
            <v>44.01</v>
          </cell>
        </row>
        <row r="4265">
          <cell r="D4265">
            <v>44.02</v>
          </cell>
        </row>
        <row r="4266">
          <cell r="D4266">
            <v>44.03</v>
          </cell>
        </row>
        <row r="4267">
          <cell r="D4267">
            <v>44.04</v>
          </cell>
        </row>
        <row r="4268">
          <cell r="D4268">
            <v>44.05</v>
          </cell>
        </row>
        <row r="4269">
          <cell r="D4269">
            <v>44.06</v>
          </cell>
        </row>
        <row r="4270">
          <cell r="D4270">
            <v>44.07</v>
          </cell>
        </row>
        <row r="4271">
          <cell r="D4271">
            <v>44.08</v>
          </cell>
        </row>
        <row r="4272">
          <cell r="D4272">
            <v>44.09</v>
          </cell>
        </row>
        <row r="4273">
          <cell r="D4273">
            <v>44.1</v>
          </cell>
        </row>
        <row r="4274">
          <cell r="D4274">
            <v>44.11</v>
          </cell>
        </row>
        <row r="4275">
          <cell r="D4275">
            <v>44.12</v>
          </cell>
        </row>
        <row r="4276">
          <cell r="D4276">
            <v>44.13</v>
          </cell>
        </row>
        <row r="4277">
          <cell r="D4277">
            <v>44.14</v>
          </cell>
        </row>
        <row r="4278">
          <cell r="D4278">
            <v>44.15</v>
          </cell>
        </row>
        <row r="4279">
          <cell r="D4279">
            <v>44.16</v>
          </cell>
        </row>
        <row r="4280">
          <cell r="D4280">
            <v>44.17</v>
          </cell>
        </row>
        <row r="4281">
          <cell r="D4281">
            <v>44.18</v>
          </cell>
        </row>
        <row r="4282">
          <cell r="D4282">
            <v>44.19</v>
          </cell>
        </row>
        <row r="4283">
          <cell r="D4283">
            <v>44.2</v>
          </cell>
        </row>
        <row r="4284">
          <cell r="D4284">
            <v>44.21</v>
          </cell>
        </row>
        <row r="4285">
          <cell r="D4285">
            <v>44.22</v>
          </cell>
        </row>
        <row r="4286">
          <cell r="D4286">
            <v>44.23</v>
          </cell>
        </row>
        <row r="4287">
          <cell r="D4287">
            <v>44.24</v>
          </cell>
        </row>
        <row r="4288">
          <cell r="D4288">
            <v>44.25</v>
          </cell>
        </row>
        <row r="4289">
          <cell r="D4289">
            <v>44.26</v>
          </cell>
        </row>
        <row r="4290">
          <cell r="D4290">
            <v>44.27</v>
          </cell>
        </row>
        <row r="4291">
          <cell r="D4291">
            <v>44.28</v>
          </cell>
        </row>
        <row r="4292">
          <cell r="D4292">
            <v>44.29</v>
          </cell>
        </row>
        <row r="4293">
          <cell r="D4293">
            <v>44.3</v>
          </cell>
        </row>
        <row r="4294">
          <cell r="D4294">
            <v>44.31</v>
          </cell>
        </row>
        <row r="4295">
          <cell r="D4295">
            <v>44.32</v>
          </cell>
        </row>
        <row r="4296">
          <cell r="D4296">
            <v>44.33</v>
          </cell>
        </row>
        <row r="4297">
          <cell r="D4297">
            <v>44.34</v>
          </cell>
        </row>
        <row r="4298">
          <cell r="D4298">
            <v>44.35</v>
          </cell>
        </row>
        <row r="4299">
          <cell r="D4299">
            <v>44.36</v>
          </cell>
        </row>
        <row r="4300">
          <cell r="D4300">
            <v>44.37</v>
          </cell>
        </row>
        <row r="4301">
          <cell r="D4301">
            <v>44.38</v>
          </cell>
        </row>
        <row r="4302">
          <cell r="D4302">
            <v>44.39</v>
          </cell>
        </row>
        <row r="4303">
          <cell r="D4303">
            <v>44.4</v>
          </cell>
        </row>
        <row r="4304">
          <cell r="D4304">
            <v>44.41</v>
          </cell>
        </row>
        <row r="4305">
          <cell r="D4305">
            <v>44.42</v>
          </cell>
        </row>
        <row r="4306">
          <cell r="D4306">
            <v>44.43</v>
          </cell>
        </row>
        <row r="4307">
          <cell r="D4307">
            <v>44.44</v>
          </cell>
        </row>
        <row r="4308">
          <cell r="D4308">
            <v>44.45</v>
          </cell>
        </row>
        <row r="4309">
          <cell r="D4309">
            <v>44.46</v>
          </cell>
        </row>
        <row r="4310">
          <cell r="D4310">
            <v>44.47</v>
          </cell>
        </row>
        <row r="4311">
          <cell r="D4311">
            <v>44.48</v>
          </cell>
        </row>
        <row r="4312">
          <cell r="D4312">
            <v>44.49</v>
          </cell>
        </row>
        <row r="4313">
          <cell r="D4313">
            <v>44.5</v>
          </cell>
        </row>
        <row r="4314">
          <cell r="D4314">
            <v>44.51</v>
          </cell>
        </row>
        <row r="4315">
          <cell r="D4315">
            <v>44.52</v>
          </cell>
        </row>
        <row r="4316">
          <cell r="D4316">
            <v>44.53</v>
          </cell>
        </row>
        <row r="4317">
          <cell r="D4317">
            <v>44.54</v>
          </cell>
        </row>
        <row r="4318">
          <cell r="D4318">
            <v>44.55</v>
          </cell>
        </row>
        <row r="4319">
          <cell r="D4319">
            <v>44.56</v>
          </cell>
        </row>
        <row r="4320">
          <cell r="D4320">
            <v>44.57</v>
          </cell>
        </row>
        <row r="4321">
          <cell r="D4321">
            <v>44.58</v>
          </cell>
        </row>
        <row r="4322">
          <cell r="D4322">
            <v>44.59</v>
          </cell>
        </row>
        <row r="4323">
          <cell r="D4323">
            <v>44.6</v>
          </cell>
        </row>
        <row r="4324">
          <cell r="D4324">
            <v>44.61</v>
          </cell>
        </row>
        <row r="4325">
          <cell r="D4325">
            <v>44.62</v>
          </cell>
        </row>
        <row r="4326">
          <cell r="D4326">
            <v>44.63</v>
          </cell>
        </row>
        <row r="4327">
          <cell r="D4327">
            <v>44.64</v>
          </cell>
        </row>
        <row r="4328">
          <cell r="D4328">
            <v>44.65</v>
          </cell>
        </row>
        <row r="4329">
          <cell r="D4329">
            <v>44.66</v>
          </cell>
        </row>
        <row r="4330">
          <cell r="D4330">
            <v>44.67</v>
          </cell>
        </row>
        <row r="4331">
          <cell r="D4331">
            <v>44.68</v>
          </cell>
        </row>
        <row r="4332">
          <cell r="D4332">
            <v>44.69</v>
          </cell>
        </row>
        <row r="4333">
          <cell r="D4333">
            <v>44.7</v>
          </cell>
        </row>
        <row r="4334">
          <cell r="D4334">
            <v>44.71</v>
          </cell>
        </row>
        <row r="4335">
          <cell r="D4335">
            <v>44.72</v>
          </cell>
        </row>
        <row r="4336">
          <cell r="D4336">
            <v>44.73</v>
          </cell>
        </row>
        <row r="4337">
          <cell r="D4337">
            <v>44.74</v>
          </cell>
        </row>
        <row r="4338">
          <cell r="D4338">
            <v>44.75</v>
          </cell>
        </row>
        <row r="4339">
          <cell r="D4339">
            <v>44.76</v>
          </cell>
        </row>
        <row r="4340">
          <cell r="D4340">
            <v>44.77</v>
          </cell>
        </row>
        <row r="4341">
          <cell r="D4341">
            <v>44.78</v>
          </cell>
        </row>
        <row r="4342">
          <cell r="D4342">
            <v>44.79</v>
          </cell>
        </row>
        <row r="4343">
          <cell r="D4343">
            <v>44.8</v>
          </cell>
        </row>
        <row r="4344">
          <cell r="D4344">
            <v>44.81</v>
          </cell>
        </row>
        <row r="4345">
          <cell r="D4345">
            <v>44.82</v>
          </cell>
        </row>
        <row r="4346">
          <cell r="D4346">
            <v>44.83</v>
          </cell>
        </row>
        <row r="4347">
          <cell r="D4347">
            <v>44.84</v>
          </cell>
        </row>
        <row r="4348">
          <cell r="D4348">
            <v>44.85</v>
          </cell>
        </row>
        <row r="4349">
          <cell r="D4349">
            <v>44.86</v>
          </cell>
        </row>
        <row r="4350">
          <cell r="D4350">
            <v>44.87</v>
          </cell>
        </row>
        <row r="4351">
          <cell r="D4351">
            <v>44.88</v>
          </cell>
        </row>
        <row r="4352">
          <cell r="D4352">
            <v>44.89</v>
          </cell>
        </row>
        <row r="4353">
          <cell r="D4353">
            <v>44.9</v>
          </cell>
        </row>
        <row r="4354">
          <cell r="D4354">
            <v>44.91</v>
          </cell>
        </row>
        <row r="4355">
          <cell r="D4355">
            <v>44.92</v>
          </cell>
        </row>
        <row r="4356">
          <cell r="D4356">
            <v>44.93</v>
          </cell>
        </row>
        <row r="4357">
          <cell r="D4357">
            <v>44.94</v>
          </cell>
        </row>
        <row r="4358">
          <cell r="D4358">
            <v>44.95</v>
          </cell>
        </row>
        <row r="4359">
          <cell r="D4359">
            <v>44.96</v>
          </cell>
        </row>
        <row r="4360">
          <cell r="D4360">
            <v>44.97</v>
          </cell>
        </row>
        <row r="4361">
          <cell r="D4361">
            <v>44.98</v>
          </cell>
        </row>
        <row r="4362">
          <cell r="D4362">
            <v>44.99</v>
          </cell>
        </row>
        <row r="4363">
          <cell r="D4363">
            <v>45</v>
          </cell>
        </row>
        <row r="4364">
          <cell r="D4364">
            <v>45.01</v>
          </cell>
        </row>
        <row r="4365">
          <cell r="D4365">
            <v>45.02</v>
          </cell>
        </row>
        <row r="4366">
          <cell r="D4366">
            <v>45.03</v>
          </cell>
        </row>
        <row r="4367">
          <cell r="D4367">
            <v>45.04</v>
          </cell>
        </row>
        <row r="4368">
          <cell r="D4368">
            <v>45.05</v>
          </cell>
        </row>
        <row r="4369">
          <cell r="D4369">
            <v>45.06</v>
          </cell>
        </row>
        <row r="4370">
          <cell r="D4370">
            <v>45.07</v>
          </cell>
        </row>
        <row r="4371">
          <cell r="D4371">
            <v>45.08</v>
          </cell>
        </row>
        <row r="4372">
          <cell r="D4372">
            <v>45.09</v>
          </cell>
        </row>
        <row r="4373">
          <cell r="D4373">
            <v>45.1</v>
          </cell>
        </row>
        <row r="4374">
          <cell r="D4374">
            <v>45.11</v>
          </cell>
        </row>
        <row r="4375">
          <cell r="D4375">
            <v>45.12</v>
          </cell>
        </row>
        <row r="4376">
          <cell r="D4376">
            <v>45.13</v>
          </cell>
        </row>
        <row r="4377">
          <cell r="D4377">
            <v>45.14</v>
          </cell>
        </row>
        <row r="4378">
          <cell r="D4378">
            <v>45.15</v>
          </cell>
        </row>
        <row r="4379">
          <cell r="D4379">
            <v>45.16</v>
          </cell>
        </row>
        <row r="4380">
          <cell r="D4380">
            <v>45.17</v>
          </cell>
        </row>
        <row r="4381">
          <cell r="D4381">
            <v>45.18</v>
          </cell>
        </row>
        <row r="4382">
          <cell r="D4382">
            <v>45.19</v>
          </cell>
        </row>
        <row r="4383">
          <cell r="D4383">
            <v>45.2</v>
          </cell>
        </row>
        <row r="4384">
          <cell r="D4384">
            <v>45.21</v>
          </cell>
        </row>
        <row r="4385">
          <cell r="D4385">
            <v>45.22</v>
          </cell>
        </row>
        <row r="4386">
          <cell r="D4386">
            <v>45.23</v>
          </cell>
        </row>
        <row r="4387">
          <cell r="D4387">
            <v>45.24</v>
          </cell>
        </row>
        <row r="4388">
          <cell r="D4388">
            <v>45.25</v>
          </cell>
        </row>
        <row r="4389">
          <cell r="D4389">
            <v>45.26</v>
          </cell>
        </row>
        <row r="4390">
          <cell r="D4390">
            <v>45.27</v>
          </cell>
        </row>
        <row r="4391">
          <cell r="D4391">
            <v>45.28</v>
          </cell>
        </row>
        <row r="4392">
          <cell r="D4392">
            <v>45.29</v>
          </cell>
        </row>
        <row r="4393">
          <cell r="D4393">
            <v>45.3</v>
          </cell>
        </row>
        <row r="4394">
          <cell r="D4394">
            <v>45.31</v>
          </cell>
        </row>
        <row r="4395">
          <cell r="D4395">
            <v>45.32</v>
          </cell>
        </row>
        <row r="4396">
          <cell r="D4396">
            <v>45.33</v>
          </cell>
        </row>
        <row r="4397">
          <cell r="D4397">
            <v>45.34</v>
          </cell>
        </row>
        <row r="4398">
          <cell r="D4398">
            <v>45.35</v>
          </cell>
        </row>
        <row r="4399">
          <cell r="D4399">
            <v>45.36</v>
          </cell>
        </row>
        <row r="4400">
          <cell r="D4400">
            <v>45.37</v>
          </cell>
        </row>
        <row r="4401">
          <cell r="D4401">
            <v>45.38</v>
          </cell>
        </row>
        <row r="4402">
          <cell r="D4402">
            <v>45.39</v>
          </cell>
        </row>
        <row r="4403">
          <cell r="D4403">
            <v>45.4</v>
          </cell>
        </row>
        <row r="4404">
          <cell r="D4404">
            <v>45.41</v>
          </cell>
        </row>
        <row r="4405">
          <cell r="D4405">
            <v>45.42</v>
          </cell>
        </row>
        <row r="4406">
          <cell r="D4406">
            <v>45.43</v>
          </cell>
        </row>
        <row r="4407">
          <cell r="D4407">
            <v>45.44</v>
          </cell>
        </row>
        <row r="4408">
          <cell r="D4408">
            <v>45.45</v>
          </cell>
        </row>
        <row r="4409">
          <cell r="D4409">
            <v>45.46</v>
          </cell>
        </row>
        <row r="4410">
          <cell r="D4410">
            <v>45.47</v>
          </cell>
        </row>
        <row r="4411">
          <cell r="D4411">
            <v>45.48</v>
          </cell>
        </row>
        <row r="4412">
          <cell r="D4412">
            <v>45.49</v>
          </cell>
        </row>
        <row r="4413">
          <cell r="D4413">
            <v>45.5</v>
          </cell>
        </row>
        <row r="4414">
          <cell r="D4414">
            <v>45.51</v>
          </cell>
        </row>
        <row r="4415">
          <cell r="D4415">
            <v>45.52</v>
          </cell>
        </row>
        <row r="4416">
          <cell r="D4416">
            <v>45.53</v>
          </cell>
        </row>
        <row r="4417">
          <cell r="D4417">
            <v>45.54</v>
          </cell>
        </row>
        <row r="4418">
          <cell r="D4418">
            <v>45.55</v>
          </cell>
        </row>
        <row r="4419">
          <cell r="D4419">
            <v>45.56</v>
          </cell>
        </row>
        <row r="4420">
          <cell r="D4420">
            <v>45.57</v>
          </cell>
        </row>
        <row r="4421">
          <cell r="D4421">
            <v>45.58</v>
          </cell>
        </row>
        <row r="4422">
          <cell r="D4422">
            <v>45.59</v>
          </cell>
        </row>
        <row r="4423">
          <cell r="D4423">
            <v>45.6</v>
          </cell>
        </row>
        <row r="4424">
          <cell r="D4424">
            <v>45.61</v>
          </cell>
        </row>
        <row r="4425">
          <cell r="D4425">
            <v>45.62</v>
          </cell>
        </row>
        <row r="4426">
          <cell r="D4426">
            <v>45.63</v>
          </cell>
        </row>
        <row r="4427">
          <cell r="D4427">
            <v>45.64</v>
          </cell>
        </row>
        <row r="4428">
          <cell r="D4428">
            <v>45.65</v>
          </cell>
        </row>
        <row r="4429">
          <cell r="D4429">
            <v>45.66</v>
          </cell>
        </row>
        <row r="4430">
          <cell r="D4430">
            <v>45.67</v>
          </cell>
        </row>
        <row r="4431">
          <cell r="D4431">
            <v>45.68</v>
          </cell>
        </row>
        <row r="4432">
          <cell r="D4432">
            <v>45.69</v>
          </cell>
        </row>
        <row r="4433">
          <cell r="D4433">
            <v>45.7</v>
          </cell>
        </row>
        <row r="4434">
          <cell r="D4434">
            <v>45.71</v>
          </cell>
        </row>
        <row r="4435">
          <cell r="D4435">
            <v>45.72</v>
          </cell>
        </row>
        <row r="4436">
          <cell r="D4436">
            <v>45.73</v>
          </cell>
        </row>
        <row r="4437">
          <cell r="D4437">
            <v>45.74</v>
          </cell>
        </row>
        <row r="4438">
          <cell r="D4438">
            <v>45.75</v>
          </cell>
        </row>
        <row r="4439">
          <cell r="D4439">
            <v>45.76</v>
          </cell>
        </row>
        <row r="4440">
          <cell r="D4440">
            <v>45.77</v>
          </cell>
        </row>
        <row r="4441">
          <cell r="D4441">
            <v>45.78</v>
          </cell>
        </row>
        <row r="4442">
          <cell r="D4442">
            <v>45.79</v>
          </cell>
        </row>
        <row r="4443">
          <cell r="D4443">
            <v>45.8</v>
          </cell>
        </row>
        <row r="4444">
          <cell r="D4444">
            <v>45.81</v>
          </cell>
        </row>
        <row r="4445">
          <cell r="D4445">
            <v>45.82</v>
          </cell>
        </row>
        <row r="4446">
          <cell r="D4446">
            <v>45.83</v>
          </cell>
        </row>
        <row r="4447">
          <cell r="D4447">
            <v>45.84</v>
          </cell>
        </row>
        <row r="4448">
          <cell r="D4448">
            <v>45.85</v>
          </cell>
        </row>
        <row r="4449">
          <cell r="D4449">
            <v>45.86</v>
          </cell>
        </row>
        <row r="4450">
          <cell r="D4450">
            <v>45.87</v>
          </cell>
        </row>
        <row r="4451">
          <cell r="D4451">
            <v>45.88</v>
          </cell>
        </row>
        <row r="4452">
          <cell r="D4452">
            <v>45.89</v>
          </cell>
        </row>
        <row r="4453">
          <cell r="D4453">
            <v>45.9</v>
          </cell>
        </row>
        <row r="4454">
          <cell r="D4454">
            <v>45.91</v>
          </cell>
        </row>
        <row r="4455">
          <cell r="D4455">
            <v>45.92</v>
          </cell>
        </row>
        <row r="4456">
          <cell r="D4456">
            <v>45.93</v>
          </cell>
        </row>
        <row r="4457">
          <cell r="D4457">
            <v>45.94</v>
          </cell>
        </row>
        <row r="4458">
          <cell r="D4458">
            <v>45.95</v>
          </cell>
        </row>
        <row r="4459">
          <cell r="D4459">
            <v>45.96</v>
          </cell>
        </row>
        <row r="4460">
          <cell r="D4460">
            <v>45.97</v>
          </cell>
        </row>
        <row r="4461">
          <cell r="D4461">
            <v>45.98</v>
          </cell>
        </row>
        <row r="4462">
          <cell r="D4462">
            <v>45.99</v>
          </cell>
        </row>
        <row r="4463">
          <cell r="D4463">
            <v>46</v>
          </cell>
        </row>
        <row r="4464">
          <cell r="D4464">
            <v>46.01</v>
          </cell>
        </row>
        <row r="4465">
          <cell r="D4465">
            <v>46.02</v>
          </cell>
        </row>
        <row r="4466">
          <cell r="D4466">
            <v>46.03</v>
          </cell>
        </row>
        <row r="4467">
          <cell r="D4467">
            <v>46.04</v>
          </cell>
        </row>
        <row r="4468">
          <cell r="D4468">
            <v>46.05</v>
          </cell>
        </row>
        <row r="4469">
          <cell r="D4469">
            <v>46.06</v>
          </cell>
        </row>
        <row r="4470">
          <cell r="D4470">
            <v>46.07</v>
          </cell>
        </row>
        <row r="4471">
          <cell r="D4471">
            <v>46.08</v>
          </cell>
        </row>
        <row r="4472">
          <cell r="D4472">
            <v>46.09</v>
          </cell>
        </row>
        <row r="4473">
          <cell r="D4473">
            <v>46.1</v>
          </cell>
        </row>
        <row r="4474">
          <cell r="D4474">
            <v>46.11</v>
          </cell>
        </row>
        <row r="4475">
          <cell r="D4475">
            <v>46.12</v>
          </cell>
        </row>
        <row r="4476">
          <cell r="D4476">
            <v>46.13</v>
          </cell>
        </row>
        <row r="4477">
          <cell r="D4477">
            <v>46.14</v>
          </cell>
        </row>
        <row r="4478">
          <cell r="D4478">
            <v>46.15</v>
          </cell>
        </row>
        <row r="4479">
          <cell r="D4479">
            <v>46.16</v>
          </cell>
        </row>
        <row r="4480">
          <cell r="D4480">
            <v>46.17</v>
          </cell>
        </row>
        <row r="4481">
          <cell r="D4481">
            <v>46.18</v>
          </cell>
        </row>
        <row r="4482">
          <cell r="D4482">
            <v>46.19</v>
          </cell>
        </row>
        <row r="4483">
          <cell r="D4483">
            <v>46.2</v>
          </cell>
        </row>
        <row r="4484">
          <cell r="D4484">
            <v>46.21</v>
          </cell>
        </row>
        <row r="4485">
          <cell r="D4485">
            <v>46.22</v>
          </cell>
        </row>
        <row r="4486">
          <cell r="D4486">
            <v>46.23</v>
          </cell>
        </row>
        <row r="4487">
          <cell r="D4487">
            <v>46.24</v>
          </cell>
        </row>
        <row r="4488">
          <cell r="D4488">
            <v>46.25</v>
          </cell>
        </row>
        <row r="4489">
          <cell r="D4489">
            <v>46.26</v>
          </cell>
        </row>
        <row r="4490">
          <cell r="D4490">
            <v>46.27</v>
          </cell>
        </row>
        <row r="4491">
          <cell r="D4491">
            <v>46.28</v>
          </cell>
        </row>
        <row r="4492">
          <cell r="D4492">
            <v>46.29</v>
          </cell>
        </row>
        <row r="4493">
          <cell r="D4493">
            <v>46.3</v>
          </cell>
        </row>
        <row r="4494">
          <cell r="D4494">
            <v>46.31</v>
          </cell>
        </row>
        <row r="4495">
          <cell r="D4495">
            <v>46.32</v>
          </cell>
        </row>
        <row r="4496">
          <cell r="D4496">
            <v>46.33</v>
          </cell>
        </row>
        <row r="4497">
          <cell r="D4497">
            <v>46.34</v>
          </cell>
        </row>
        <row r="4498">
          <cell r="D4498">
            <v>46.35</v>
          </cell>
        </row>
        <row r="4499">
          <cell r="D4499">
            <v>46.36</v>
          </cell>
        </row>
        <row r="4500">
          <cell r="D4500">
            <v>46.37</v>
          </cell>
        </row>
        <row r="4501">
          <cell r="D4501">
            <v>46.38</v>
          </cell>
        </row>
        <row r="4502">
          <cell r="D4502">
            <v>46.39</v>
          </cell>
        </row>
        <row r="4503">
          <cell r="D4503">
            <v>46.4</v>
          </cell>
        </row>
        <row r="4504">
          <cell r="D4504">
            <v>46.41</v>
          </cell>
        </row>
        <row r="4505">
          <cell r="D4505">
            <v>46.42</v>
          </cell>
        </row>
        <row r="4506">
          <cell r="D4506">
            <v>46.43</v>
          </cell>
        </row>
        <row r="4507">
          <cell r="D4507">
            <v>46.44</v>
          </cell>
        </row>
        <row r="4508">
          <cell r="D4508">
            <v>46.45</v>
          </cell>
        </row>
        <row r="4509">
          <cell r="D4509">
            <v>46.46</v>
          </cell>
        </row>
        <row r="4510">
          <cell r="D4510">
            <v>46.47</v>
          </cell>
        </row>
        <row r="4511">
          <cell r="D4511">
            <v>46.48</v>
          </cell>
        </row>
        <row r="4512">
          <cell r="D4512">
            <v>46.49</v>
          </cell>
        </row>
        <row r="4513">
          <cell r="D4513">
            <v>46.5</v>
          </cell>
        </row>
        <row r="4514">
          <cell r="D4514">
            <v>46.51</v>
          </cell>
        </row>
        <row r="4515">
          <cell r="D4515">
            <v>46.52</v>
          </cell>
        </row>
        <row r="4516">
          <cell r="D4516">
            <v>46.53</v>
          </cell>
        </row>
        <row r="4517">
          <cell r="D4517">
            <v>46.54</v>
          </cell>
        </row>
        <row r="4518">
          <cell r="D4518">
            <v>46.55</v>
          </cell>
        </row>
        <row r="4519">
          <cell r="D4519">
            <v>46.56</v>
          </cell>
        </row>
        <row r="4520">
          <cell r="D4520">
            <v>46.57</v>
          </cell>
        </row>
        <row r="4521">
          <cell r="D4521">
            <v>46.58</v>
          </cell>
        </row>
        <row r="4522">
          <cell r="D4522">
            <v>46.59</v>
          </cell>
        </row>
        <row r="4523">
          <cell r="D4523">
            <v>46.6</v>
          </cell>
        </row>
        <row r="4524">
          <cell r="D4524">
            <v>46.61</v>
          </cell>
        </row>
        <row r="4525">
          <cell r="D4525">
            <v>46.62</v>
          </cell>
        </row>
        <row r="4526">
          <cell r="D4526">
            <v>46.63</v>
          </cell>
        </row>
        <row r="4527">
          <cell r="D4527">
            <v>46.64</v>
          </cell>
        </row>
        <row r="4528">
          <cell r="D4528">
            <v>46.65</v>
          </cell>
        </row>
        <row r="4529">
          <cell r="D4529">
            <v>46.66</v>
          </cell>
        </row>
        <row r="4530">
          <cell r="D4530">
            <v>46.67</v>
          </cell>
        </row>
        <row r="4531">
          <cell r="D4531">
            <v>46.68</v>
          </cell>
        </row>
        <row r="4532">
          <cell r="D4532">
            <v>46.69</v>
          </cell>
        </row>
        <row r="4533">
          <cell r="D4533">
            <v>46.7</v>
          </cell>
        </row>
        <row r="4534">
          <cell r="D4534">
            <v>46.71</v>
          </cell>
        </row>
        <row r="4535">
          <cell r="D4535">
            <v>46.72</v>
          </cell>
        </row>
        <row r="4536">
          <cell r="D4536">
            <v>46.73</v>
          </cell>
        </row>
        <row r="4537">
          <cell r="D4537">
            <v>46.74</v>
          </cell>
        </row>
        <row r="4538">
          <cell r="D4538">
            <v>46.75</v>
          </cell>
        </row>
        <row r="4539">
          <cell r="D4539">
            <v>46.76</v>
          </cell>
        </row>
        <row r="4540">
          <cell r="D4540">
            <v>46.77</v>
          </cell>
        </row>
        <row r="4541">
          <cell r="D4541">
            <v>46.78</v>
          </cell>
        </row>
        <row r="4542">
          <cell r="D4542">
            <v>46.79</v>
          </cell>
        </row>
        <row r="4543">
          <cell r="D4543">
            <v>46.8</v>
          </cell>
        </row>
        <row r="4544">
          <cell r="D4544">
            <v>46.81</v>
          </cell>
        </row>
        <row r="4545">
          <cell r="D4545">
            <v>46.82</v>
          </cell>
        </row>
        <row r="4546">
          <cell r="D4546">
            <v>46.83</v>
          </cell>
        </row>
        <row r="4547">
          <cell r="D4547">
            <v>46.84</v>
          </cell>
        </row>
        <row r="4548">
          <cell r="D4548">
            <v>46.85</v>
          </cell>
        </row>
        <row r="4549">
          <cell r="D4549">
            <v>46.86</v>
          </cell>
        </row>
        <row r="4550">
          <cell r="D4550">
            <v>46.87</v>
          </cell>
        </row>
        <row r="4551">
          <cell r="D4551">
            <v>46.88</v>
          </cell>
        </row>
        <row r="4552">
          <cell r="D4552">
            <v>46.89</v>
          </cell>
        </row>
        <row r="4553">
          <cell r="D4553">
            <v>46.9</v>
          </cell>
        </row>
        <row r="4554">
          <cell r="D4554">
            <v>46.91</v>
          </cell>
        </row>
        <row r="4555">
          <cell r="D4555">
            <v>46.92</v>
          </cell>
        </row>
        <row r="4556">
          <cell r="D4556">
            <v>46.93</v>
          </cell>
        </row>
        <row r="4557">
          <cell r="D4557">
            <v>46.94</v>
          </cell>
        </row>
        <row r="4558">
          <cell r="D4558">
            <v>46.95</v>
          </cell>
        </row>
        <row r="4559">
          <cell r="D4559">
            <v>46.96</v>
          </cell>
        </row>
        <row r="4560">
          <cell r="D4560">
            <v>46.97</v>
          </cell>
        </row>
        <row r="4561">
          <cell r="D4561">
            <v>46.98</v>
          </cell>
        </row>
        <row r="4562">
          <cell r="D4562">
            <v>46.99</v>
          </cell>
        </row>
        <row r="4563">
          <cell r="D4563">
            <v>47</v>
          </cell>
        </row>
        <row r="4564">
          <cell r="D4564">
            <v>47.01</v>
          </cell>
        </row>
        <row r="4565">
          <cell r="D4565">
            <v>47.02</v>
          </cell>
        </row>
        <row r="4566">
          <cell r="D4566">
            <v>47.03</v>
          </cell>
        </row>
        <row r="4567">
          <cell r="D4567">
            <v>47.04</v>
          </cell>
        </row>
        <row r="4568">
          <cell r="D4568">
            <v>47.05</v>
          </cell>
        </row>
        <row r="4569">
          <cell r="D4569">
            <v>47.06</v>
          </cell>
        </row>
        <row r="4570">
          <cell r="D4570">
            <v>47.07</v>
          </cell>
        </row>
        <row r="4571">
          <cell r="D4571">
            <v>47.08</v>
          </cell>
        </row>
        <row r="4572">
          <cell r="D4572">
            <v>47.09</v>
          </cell>
        </row>
        <row r="4573">
          <cell r="D4573">
            <v>47.1</v>
          </cell>
        </row>
        <row r="4574">
          <cell r="D4574">
            <v>47.11</v>
          </cell>
        </row>
        <row r="4575">
          <cell r="D4575">
            <v>47.12</v>
          </cell>
        </row>
        <row r="4576">
          <cell r="D4576">
            <v>47.13</v>
          </cell>
        </row>
        <row r="4577">
          <cell r="D4577">
            <v>47.14</v>
          </cell>
        </row>
        <row r="4578">
          <cell r="D4578">
            <v>47.15</v>
          </cell>
        </row>
        <row r="4579">
          <cell r="D4579">
            <v>47.16</v>
          </cell>
        </row>
        <row r="4580">
          <cell r="D4580">
            <v>47.17</v>
          </cell>
        </row>
        <row r="4581">
          <cell r="D4581">
            <v>47.18</v>
          </cell>
        </row>
        <row r="4582">
          <cell r="D4582">
            <v>47.19</v>
          </cell>
        </row>
        <row r="4583">
          <cell r="D4583">
            <v>47.2</v>
          </cell>
        </row>
        <row r="4584">
          <cell r="D4584">
            <v>47.21</v>
          </cell>
        </row>
        <row r="4585">
          <cell r="D4585">
            <v>47.22</v>
          </cell>
        </row>
        <row r="4586">
          <cell r="D4586">
            <v>47.23</v>
          </cell>
        </row>
        <row r="4587">
          <cell r="D4587">
            <v>47.24</v>
          </cell>
        </row>
        <row r="4588">
          <cell r="D4588">
            <v>47.25</v>
          </cell>
        </row>
        <row r="4589">
          <cell r="D4589">
            <v>47.26</v>
          </cell>
        </row>
        <row r="4590">
          <cell r="D4590">
            <v>47.27</v>
          </cell>
        </row>
        <row r="4591">
          <cell r="D4591">
            <v>47.28</v>
          </cell>
        </row>
        <row r="4592">
          <cell r="D4592">
            <v>47.29</v>
          </cell>
        </row>
        <row r="4593">
          <cell r="D4593">
            <v>47.3</v>
          </cell>
        </row>
        <row r="4594">
          <cell r="D4594">
            <v>47.31</v>
          </cell>
        </row>
        <row r="4595">
          <cell r="D4595">
            <v>47.32</v>
          </cell>
        </row>
        <row r="4596">
          <cell r="D4596">
            <v>47.33</v>
          </cell>
        </row>
        <row r="4597">
          <cell r="D4597">
            <v>47.34</v>
          </cell>
        </row>
        <row r="4598">
          <cell r="D4598">
            <v>47.35</v>
          </cell>
        </row>
        <row r="4599">
          <cell r="D4599">
            <v>47.36</v>
          </cell>
        </row>
        <row r="4600">
          <cell r="D4600">
            <v>47.37</v>
          </cell>
        </row>
        <row r="4601">
          <cell r="D4601">
            <v>47.38</v>
          </cell>
        </row>
        <row r="4602">
          <cell r="D4602">
            <v>47.39</v>
          </cell>
        </row>
        <row r="4603">
          <cell r="D4603">
            <v>47.4</v>
          </cell>
        </row>
        <row r="4604">
          <cell r="D4604">
            <v>47.41</v>
          </cell>
        </row>
        <row r="4605">
          <cell r="D4605">
            <v>47.42</v>
          </cell>
        </row>
        <row r="4606">
          <cell r="D4606">
            <v>47.43</v>
          </cell>
        </row>
        <row r="4607">
          <cell r="D4607">
            <v>47.44</v>
          </cell>
        </row>
        <row r="4608">
          <cell r="D4608">
            <v>47.45</v>
          </cell>
        </row>
        <row r="4609">
          <cell r="D4609">
            <v>47.46</v>
          </cell>
        </row>
        <row r="4610">
          <cell r="D4610">
            <v>47.47</v>
          </cell>
        </row>
        <row r="4611">
          <cell r="D4611">
            <v>47.48</v>
          </cell>
        </row>
        <row r="4612">
          <cell r="D4612">
            <v>47.49</v>
          </cell>
        </row>
        <row r="4613">
          <cell r="D4613">
            <v>47.5</v>
          </cell>
        </row>
        <row r="4614">
          <cell r="D4614">
            <v>47.51</v>
          </cell>
        </row>
        <row r="4615">
          <cell r="D4615">
            <v>47.52</v>
          </cell>
        </row>
        <row r="4616">
          <cell r="D4616">
            <v>47.53</v>
          </cell>
        </row>
        <row r="4617">
          <cell r="D4617">
            <v>47.54</v>
          </cell>
        </row>
        <row r="4618">
          <cell r="D4618">
            <v>47.55</v>
          </cell>
        </row>
        <row r="4619">
          <cell r="D4619">
            <v>47.56</v>
          </cell>
        </row>
        <row r="4620">
          <cell r="D4620">
            <v>47.57</v>
          </cell>
        </row>
        <row r="4621">
          <cell r="D4621">
            <v>47.58</v>
          </cell>
        </row>
        <row r="4622">
          <cell r="D4622">
            <v>47.59</v>
          </cell>
        </row>
        <row r="4623">
          <cell r="D4623">
            <v>47.6</v>
          </cell>
        </row>
        <row r="4624">
          <cell r="D4624">
            <v>47.61</v>
          </cell>
        </row>
        <row r="4625">
          <cell r="D4625">
            <v>47.62</v>
          </cell>
        </row>
        <row r="4626">
          <cell r="D4626">
            <v>47.63</v>
          </cell>
        </row>
        <row r="4627">
          <cell r="D4627">
            <v>47.64</v>
          </cell>
        </row>
        <row r="4628">
          <cell r="D4628">
            <v>47.65</v>
          </cell>
        </row>
        <row r="4629">
          <cell r="D4629">
            <v>47.66</v>
          </cell>
        </row>
        <row r="4630">
          <cell r="D4630">
            <v>47.67</v>
          </cell>
        </row>
        <row r="4631">
          <cell r="D4631">
            <v>47.68</v>
          </cell>
        </row>
        <row r="4632">
          <cell r="D4632">
            <v>47.69</v>
          </cell>
        </row>
        <row r="4633">
          <cell r="D4633">
            <v>47.7</v>
          </cell>
        </row>
        <row r="4634">
          <cell r="D4634">
            <v>47.71</v>
          </cell>
        </row>
        <row r="4635">
          <cell r="D4635">
            <v>47.72</v>
          </cell>
        </row>
        <row r="4636">
          <cell r="D4636">
            <v>47.73</v>
          </cell>
        </row>
        <row r="4637">
          <cell r="D4637">
            <v>47.74</v>
          </cell>
        </row>
        <row r="4638">
          <cell r="D4638">
            <v>47.75</v>
          </cell>
        </row>
        <row r="4639">
          <cell r="D4639">
            <v>47.76</v>
          </cell>
        </row>
        <row r="4640">
          <cell r="D4640">
            <v>47.77</v>
          </cell>
        </row>
        <row r="4641">
          <cell r="D4641">
            <v>47.78</v>
          </cell>
        </row>
        <row r="4642">
          <cell r="D4642">
            <v>47.79</v>
          </cell>
        </row>
        <row r="4643">
          <cell r="D4643">
            <v>47.8</v>
          </cell>
        </row>
        <row r="4644">
          <cell r="D4644">
            <v>47.81</v>
          </cell>
        </row>
        <row r="4645">
          <cell r="D4645">
            <v>47.82</v>
          </cell>
        </row>
        <row r="4646">
          <cell r="D4646">
            <v>47.83</v>
          </cell>
        </row>
        <row r="4647">
          <cell r="D4647">
            <v>47.84</v>
          </cell>
        </row>
        <row r="4648">
          <cell r="D4648">
            <v>47.85</v>
          </cell>
        </row>
        <row r="4649">
          <cell r="D4649">
            <v>47.86</v>
          </cell>
        </row>
        <row r="4650">
          <cell r="D4650">
            <v>47.87</v>
          </cell>
        </row>
        <row r="4651">
          <cell r="D4651">
            <v>47.88</v>
          </cell>
        </row>
        <row r="4652">
          <cell r="D4652">
            <v>47.89</v>
          </cell>
        </row>
        <row r="4653">
          <cell r="D4653">
            <v>47.9</v>
          </cell>
        </row>
        <row r="4654">
          <cell r="D4654">
            <v>47.91</v>
          </cell>
        </row>
        <row r="4655">
          <cell r="D4655">
            <v>47.92</v>
          </cell>
        </row>
        <row r="4656">
          <cell r="D4656">
            <v>47.93</v>
          </cell>
        </row>
        <row r="4657">
          <cell r="D4657">
            <v>47.94</v>
          </cell>
        </row>
        <row r="4658">
          <cell r="D4658">
            <v>47.95</v>
          </cell>
        </row>
        <row r="4659">
          <cell r="D4659">
            <v>47.96</v>
          </cell>
        </row>
        <row r="4660">
          <cell r="D4660">
            <v>47.97</v>
          </cell>
        </row>
        <row r="4661">
          <cell r="D4661">
            <v>47.98</v>
          </cell>
        </row>
        <row r="4662">
          <cell r="D4662">
            <v>47.99</v>
          </cell>
        </row>
        <row r="4663">
          <cell r="D4663">
            <v>48</v>
          </cell>
        </row>
        <row r="4664">
          <cell r="D4664">
            <v>48.01</v>
          </cell>
        </row>
        <row r="4665">
          <cell r="D4665">
            <v>48.02</v>
          </cell>
        </row>
        <row r="4666">
          <cell r="D4666">
            <v>48.03</v>
          </cell>
        </row>
        <row r="4667">
          <cell r="D4667">
            <v>48.04</v>
          </cell>
        </row>
        <row r="4668">
          <cell r="D4668">
            <v>48.05</v>
          </cell>
        </row>
        <row r="4669">
          <cell r="D4669">
            <v>48.06</v>
          </cell>
        </row>
        <row r="4670">
          <cell r="D4670">
            <v>48.07</v>
          </cell>
        </row>
        <row r="4671">
          <cell r="D4671">
            <v>48.08</v>
          </cell>
        </row>
        <row r="4672">
          <cell r="D4672">
            <v>48.09</v>
          </cell>
        </row>
        <row r="4673">
          <cell r="D4673">
            <v>48.1</v>
          </cell>
        </row>
        <row r="4674">
          <cell r="D4674">
            <v>48.11</v>
          </cell>
        </row>
        <row r="4675">
          <cell r="D4675">
            <v>48.12</v>
          </cell>
        </row>
        <row r="4676">
          <cell r="D4676">
            <v>48.13</v>
          </cell>
        </row>
        <row r="4677">
          <cell r="D4677">
            <v>48.14</v>
          </cell>
        </row>
        <row r="4678">
          <cell r="D4678">
            <v>48.15</v>
          </cell>
        </row>
        <row r="4679">
          <cell r="D4679">
            <v>48.16</v>
          </cell>
        </row>
        <row r="4680">
          <cell r="D4680">
            <v>48.17</v>
          </cell>
        </row>
        <row r="4681">
          <cell r="D4681">
            <v>48.18</v>
          </cell>
        </row>
        <row r="4682">
          <cell r="D4682">
            <v>48.19</v>
          </cell>
        </row>
        <row r="4683">
          <cell r="D4683">
            <v>48.2</v>
          </cell>
        </row>
        <row r="4684">
          <cell r="D4684">
            <v>48.21</v>
          </cell>
        </row>
        <row r="4685">
          <cell r="D4685">
            <v>48.22</v>
          </cell>
        </row>
        <row r="4686">
          <cell r="D4686">
            <v>48.23</v>
          </cell>
        </row>
        <row r="4687">
          <cell r="D4687">
            <v>48.24</v>
          </cell>
        </row>
        <row r="4688">
          <cell r="D4688">
            <v>48.25</v>
          </cell>
        </row>
        <row r="4689">
          <cell r="D4689">
            <v>48.26</v>
          </cell>
        </row>
        <row r="4690">
          <cell r="D4690">
            <v>48.27</v>
          </cell>
        </row>
        <row r="4691">
          <cell r="D4691">
            <v>48.28</v>
          </cell>
        </row>
        <row r="4692">
          <cell r="D4692">
            <v>48.29</v>
          </cell>
        </row>
        <row r="4693">
          <cell r="D4693">
            <v>48.3</v>
          </cell>
        </row>
        <row r="4694">
          <cell r="D4694">
            <v>48.31</v>
          </cell>
        </row>
        <row r="4695">
          <cell r="D4695">
            <v>48.32</v>
          </cell>
        </row>
        <row r="4696">
          <cell r="D4696">
            <v>48.33</v>
          </cell>
        </row>
        <row r="4697">
          <cell r="D4697">
            <v>48.34</v>
          </cell>
        </row>
        <row r="4698">
          <cell r="D4698">
            <v>48.35</v>
          </cell>
        </row>
        <row r="4699">
          <cell r="D4699">
            <v>48.36</v>
          </cell>
        </row>
        <row r="4700">
          <cell r="D4700">
            <v>48.37</v>
          </cell>
        </row>
        <row r="4701">
          <cell r="D4701">
            <v>48.38</v>
          </cell>
        </row>
        <row r="4702">
          <cell r="D4702">
            <v>48.39</v>
          </cell>
        </row>
        <row r="4703">
          <cell r="D4703">
            <v>48.4</v>
          </cell>
        </row>
        <row r="4704">
          <cell r="D4704">
            <v>48.41</v>
          </cell>
        </row>
        <row r="4705">
          <cell r="D4705">
            <v>48.42</v>
          </cell>
        </row>
        <row r="4706">
          <cell r="D4706">
            <v>48.43</v>
          </cell>
        </row>
        <row r="4707">
          <cell r="D4707">
            <v>48.44</v>
          </cell>
        </row>
        <row r="4708">
          <cell r="D4708">
            <v>48.45</v>
          </cell>
        </row>
        <row r="4709">
          <cell r="D4709">
            <v>48.46</v>
          </cell>
        </row>
        <row r="4710">
          <cell r="D4710">
            <v>48.47</v>
          </cell>
        </row>
        <row r="4711">
          <cell r="D4711">
            <v>48.48</v>
          </cell>
        </row>
        <row r="4712">
          <cell r="D4712">
            <v>48.49</v>
          </cell>
        </row>
        <row r="4713">
          <cell r="D4713">
            <v>48.5</v>
          </cell>
        </row>
        <row r="4714">
          <cell r="D4714">
            <v>48.51</v>
          </cell>
        </row>
        <row r="4715">
          <cell r="D4715">
            <v>48.52</v>
          </cell>
        </row>
        <row r="4716">
          <cell r="D4716">
            <v>48.53</v>
          </cell>
        </row>
        <row r="4717">
          <cell r="D4717">
            <v>48.54</v>
          </cell>
        </row>
        <row r="4718">
          <cell r="D4718">
            <v>48.55</v>
          </cell>
        </row>
        <row r="4719">
          <cell r="D4719">
            <v>48.56</v>
          </cell>
        </row>
        <row r="4720">
          <cell r="D4720">
            <v>48.57</v>
          </cell>
        </row>
        <row r="4721">
          <cell r="D4721">
            <v>48.58</v>
          </cell>
        </row>
        <row r="4722">
          <cell r="D4722">
            <v>48.59</v>
          </cell>
        </row>
        <row r="4723">
          <cell r="D4723">
            <v>48.6</v>
          </cell>
        </row>
        <row r="4724">
          <cell r="D4724">
            <v>48.61</v>
          </cell>
        </row>
        <row r="4725">
          <cell r="D4725">
            <v>48.62</v>
          </cell>
        </row>
        <row r="4726">
          <cell r="D4726">
            <v>48.63</v>
          </cell>
        </row>
        <row r="4727">
          <cell r="D4727">
            <v>48.64</v>
          </cell>
        </row>
        <row r="4728">
          <cell r="D4728">
            <v>48.65</v>
          </cell>
        </row>
        <row r="4729">
          <cell r="D4729">
            <v>48.66</v>
          </cell>
        </row>
        <row r="4730">
          <cell r="D4730">
            <v>48.67</v>
          </cell>
        </row>
        <row r="4731">
          <cell r="D4731">
            <v>48.68</v>
          </cell>
        </row>
        <row r="4732">
          <cell r="D4732">
            <v>48.69</v>
          </cell>
        </row>
        <row r="4733">
          <cell r="D4733">
            <v>48.7</v>
          </cell>
        </row>
        <row r="4734">
          <cell r="D4734">
            <v>48.71</v>
          </cell>
        </row>
        <row r="4735">
          <cell r="D4735">
            <v>48.72</v>
          </cell>
        </row>
        <row r="4736">
          <cell r="D4736">
            <v>48.73</v>
          </cell>
        </row>
        <row r="4737">
          <cell r="D4737">
            <v>48.74</v>
          </cell>
        </row>
        <row r="4738">
          <cell r="D4738">
            <v>48.75</v>
          </cell>
        </row>
        <row r="4739">
          <cell r="D4739">
            <v>48.76</v>
          </cell>
        </row>
        <row r="4740">
          <cell r="D4740">
            <v>48.77</v>
          </cell>
        </row>
        <row r="4741">
          <cell r="D4741">
            <v>48.78</v>
          </cell>
        </row>
        <row r="4742">
          <cell r="D4742">
            <v>48.79</v>
          </cell>
        </row>
        <row r="4743">
          <cell r="D4743">
            <v>48.8</v>
          </cell>
        </row>
        <row r="4744">
          <cell r="D4744">
            <v>48.81</v>
          </cell>
        </row>
        <row r="4745">
          <cell r="D4745">
            <v>48.82</v>
          </cell>
        </row>
        <row r="4746">
          <cell r="D4746">
            <v>48.83</v>
          </cell>
        </row>
        <row r="4747">
          <cell r="D4747">
            <v>48.84</v>
          </cell>
        </row>
        <row r="4748">
          <cell r="D4748">
            <v>48.85</v>
          </cell>
        </row>
        <row r="4749">
          <cell r="D4749">
            <v>48.86</v>
          </cell>
        </row>
        <row r="4750">
          <cell r="D4750">
            <v>48.87</v>
          </cell>
        </row>
        <row r="4751">
          <cell r="D4751">
            <v>48.88</v>
          </cell>
        </row>
        <row r="4752">
          <cell r="D4752">
            <v>48.89</v>
          </cell>
        </row>
        <row r="4753">
          <cell r="D4753">
            <v>48.9</v>
          </cell>
        </row>
        <row r="4754">
          <cell r="D4754">
            <v>48.91</v>
          </cell>
        </row>
        <row r="4755">
          <cell r="D4755">
            <v>48.92</v>
          </cell>
        </row>
        <row r="4756">
          <cell r="D4756">
            <v>48.93</v>
          </cell>
        </row>
        <row r="4757">
          <cell r="D4757">
            <v>48.94</v>
          </cell>
        </row>
        <row r="4758">
          <cell r="D4758">
            <v>48.95</v>
          </cell>
        </row>
        <row r="4759">
          <cell r="D4759">
            <v>48.96</v>
          </cell>
        </row>
        <row r="4760">
          <cell r="D4760">
            <v>48.97</v>
          </cell>
        </row>
        <row r="4761">
          <cell r="D4761">
            <v>48.98</v>
          </cell>
        </row>
        <row r="4762">
          <cell r="D4762">
            <v>48.99</v>
          </cell>
        </row>
        <row r="4763">
          <cell r="D4763">
            <v>49</v>
          </cell>
        </row>
        <row r="4764">
          <cell r="D4764">
            <v>49.01</v>
          </cell>
        </row>
        <row r="4765">
          <cell r="D4765">
            <v>49.02</v>
          </cell>
        </row>
        <row r="4766">
          <cell r="D4766">
            <v>49.03</v>
          </cell>
        </row>
        <row r="4767">
          <cell r="D4767">
            <v>49.04</v>
          </cell>
        </row>
        <row r="4768">
          <cell r="D4768">
            <v>49.05</v>
          </cell>
        </row>
        <row r="4769">
          <cell r="D4769">
            <v>49.06</v>
          </cell>
        </row>
        <row r="4770">
          <cell r="D4770">
            <v>49.07</v>
          </cell>
        </row>
        <row r="4771">
          <cell r="D4771">
            <v>49.08</v>
          </cell>
        </row>
        <row r="4772">
          <cell r="D4772">
            <v>49.09</v>
          </cell>
        </row>
        <row r="4773">
          <cell r="D4773">
            <v>49.1</v>
          </cell>
        </row>
        <row r="4774">
          <cell r="D4774">
            <v>49.11</v>
          </cell>
        </row>
        <row r="4775">
          <cell r="D4775">
            <v>49.12</v>
          </cell>
        </row>
        <row r="4776">
          <cell r="D4776">
            <v>49.13</v>
          </cell>
        </row>
        <row r="4777">
          <cell r="D4777">
            <v>49.14</v>
          </cell>
        </row>
        <row r="4778">
          <cell r="D4778">
            <v>49.15</v>
          </cell>
        </row>
        <row r="4779">
          <cell r="D4779">
            <v>49.16</v>
          </cell>
        </row>
        <row r="4780">
          <cell r="D4780">
            <v>49.17</v>
          </cell>
        </row>
        <row r="4781">
          <cell r="D4781">
            <v>49.18</v>
          </cell>
        </row>
        <row r="4782">
          <cell r="D4782">
            <v>49.19</v>
          </cell>
        </row>
        <row r="4783">
          <cell r="D4783">
            <v>49.2</v>
          </cell>
        </row>
        <row r="4784">
          <cell r="D4784">
            <v>49.21</v>
          </cell>
        </row>
        <row r="4785">
          <cell r="D4785">
            <v>49.22</v>
          </cell>
        </row>
        <row r="4786">
          <cell r="D4786">
            <v>49.23</v>
          </cell>
        </row>
        <row r="4787">
          <cell r="D4787">
            <v>49.24</v>
          </cell>
        </row>
        <row r="4788">
          <cell r="D4788">
            <v>49.25</v>
          </cell>
        </row>
        <row r="4789">
          <cell r="D4789">
            <v>49.26</v>
          </cell>
        </row>
        <row r="4790">
          <cell r="D4790">
            <v>49.27</v>
          </cell>
        </row>
        <row r="4791">
          <cell r="D4791">
            <v>49.28</v>
          </cell>
        </row>
        <row r="4792">
          <cell r="D4792">
            <v>49.29</v>
          </cell>
        </row>
        <row r="4793">
          <cell r="D4793">
            <v>49.3</v>
          </cell>
        </row>
        <row r="4794">
          <cell r="D4794">
            <v>49.31</v>
          </cell>
        </row>
        <row r="4795">
          <cell r="D4795">
            <v>49.32</v>
          </cell>
        </row>
        <row r="4796">
          <cell r="D4796">
            <v>49.33</v>
          </cell>
        </row>
        <row r="4797">
          <cell r="D4797">
            <v>49.34</v>
          </cell>
        </row>
        <row r="4798">
          <cell r="D4798">
            <v>49.35</v>
          </cell>
        </row>
        <row r="4799">
          <cell r="D4799">
            <v>49.36</v>
          </cell>
        </row>
        <row r="4800">
          <cell r="D4800">
            <v>49.37</v>
          </cell>
        </row>
        <row r="4801">
          <cell r="D4801">
            <v>49.38</v>
          </cell>
        </row>
        <row r="4802">
          <cell r="D4802">
            <v>49.39</v>
          </cell>
        </row>
        <row r="4803">
          <cell r="D4803">
            <v>49.4</v>
          </cell>
        </row>
        <row r="4804">
          <cell r="D4804">
            <v>49.41</v>
          </cell>
        </row>
        <row r="4805">
          <cell r="D4805">
            <v>49.42</v>
          </cell>
        </row>
        <row r="4806">
          <cell r="D4806">
            <v>49.43</v>
          </cell>
        </row>
        <row r="4807">
          <cell r="D4807">
            <v>49.44</v>
          </cell>
        </row>
        <row r="4808">
          <cell r="D4808">
            <v>49.45</v>
          </cell>
        </row>
        <row r="4809">
          <cell r="D4809">
            <v>49.46</v>
          </cell>
        </row>
        <row r="4810">
          <cell r="D4810">
            <v>49.47</v>
          </cell>
        </row>
        <row r="4811">
          <cell r="D4811">
            <v>49.48</v>
          </cell>
        </row>
        <row r="4812">
          <cell r="D4812">
            <v>49.49</v>
          </cell>
        </row>
        <row r="4813">
          <cell r="D4813">
            <v>49.5</v>
          </cell>
        </row>
        <row r="4814">
          <cell r="D4814">
            <v>49.51</v>
          </cell>
        </row>
        <row r="4815">
          <cell r="D4815">
            <v>49.52</v>
          </cell>
        </row>
        <row r="4816">
          <cell r="D4816">
            <v>49.53</v>
          </cell>
        </row>
        <row r="4817">
          <cell r="D4817">
            <v>49.54</v>
          </cell>
        </row>
        <row r="4818">
          <cell r="D4818">
            <v>49.55</v>
          </cell>
        </row>
        <row r="4819">
          <cell r="D4819">
            <v>49.56</v>
          </cell>
        </row>
        <row r="4820">
          <cell r="D4820">
            <v>49.57</v>
          </cell>
        </row>
        <row r="4821">
          <cell r="D4821">
            <v>49.58</v>
          </cell>
        </row>
        <row r="4822">
          <cell r="D4822">
            <v>49.59</v>
          </cell>
        </row>
        <row r="4823">
          <cell r="D4823">
            <v>49.6</v>
          </cell>
        </row>
        <row r="4824">
          <cell r="D4824">
            <v>49.61</v>
          </cell>
        </row>
        <row r="4825">
          <cell r="D4825">
            <v>49.62</v>
          </cell>
        </row>
        <row r="4826">
          <cell r="D4826">
            <v>49.63</v>
          </cell>
        </row>
        <row r="4827">
          <cell r="D4827">
            <v>49.64</v>
          </cell>
        </row>
        <row r="4828">
          <cell r="D4828">
            <v>49.65</v>
          </cell>
        </row>
        <row r="4829">
          <cell r="D4829">
            <v>49.66</v>
          </cell>
        </row>
        <row r="4830">
          <cell r="D4830">
            <v>49.67</v>
          </cell>
        </row>
        <row r="4831">
          <cell r="D4831">
            <v>49.68</v>
          </cell>
        </row>
        <row r="4832">
          <cell r="D4832">
            <v>49.69</v>
          </cell>
        </row>
        <row r="4833">
          <cell r="D4833">
            <v>49.7</v>
          </cell>
        </row>
        <row r="4834">
          <cell r="D4834">
            <v>49.71</v>
          </cell>
        </row>
        <row r="4835">
          <cell r="D4835">
            <v>49.72</v>
          </cell>
        </row>
        <row r="4836">
          <cell r="D4836">
            <v>49.73</v>
          </cell>
        </row>
        <row r="4837">
          <cell r="D4837">
            <v>49.74</v>
          </cell>
        </row>
        <row r="4838">
          <cell r="D4838">
            <v>49.75</v>
          </cell>
        </row>
        <row r="4839">
          <cell r="D4839">
            <v>49.76</v>
          </cell>
        </row>
        <row r="4840">
          <cell r="D4840">
            <v>49.77</v>
          </cell>
        </row>
        <row r="4841">
          <cell r="D4841">
            <v>49.78</v>
          </cell>
        </row>
        <row r="4842">
          <cell r="D4842">
            <v>49.79</v>
          </cell>
        </row>
        <row r="4843">
          <cell r="D4843">
            <v>49.8</v>
          </cell>
        </row>
        <row r="4844">
          <cell r="D4844">
            <v>49.81</v>
          </cell>
        </row>
        <row r="4845">
          <cell r="D4845">
            <v>49.82</v>
          </cell>
        </row>
        <row r="4846">
          <cell r="D4846">
            <v>49.83</v>
          </cell>
        </row>
        <row r="4847">
          <cell r="D4847">
            <v>49.84</v>
          </cell>
        </row>
        <row r="4848">
          <cell r="D4848">
            <v>49.85</v>
          </cell>
        </row>
        <row r="4849">
          <cell r="D4849">
            <v>49.86</v>
          </cell>
        </row>
        <row r="4850">
          <cell r="D4850">
            <v>49.87</v>
          </cell>
        </row>
        <row r="4851">
          <cell r="D4851">
            <v>49.88</v>
          </cell>
        </row>
        <row r="4852">
          <cell r="D4852">
            <v>49.89</v>
          </cell>
        </row>
        <row r="4853">
          <cell r="D4853">
            <v>49.9</v>
          </cell>
        </row>
        <row r="4854">
          <cell r="D4854">
            <v>49.91</v>
          </cell>
        </row>
        <row r="4855">
          <cell r="D4855">
            <v>49.92</v>
          </cell>
        </row>
        <row r="4856">
          <cell r="D4856">
            <v>49.93</v>
          </cell>
        </row>
        <row r="4857">
          <cell r="D4857">
            <v>49.94</v>
          </cell>
        </row>
        <row r="4858">
          <cell r="D4858">
            <v>49.95</v>
          </cell>
        </row>
        <row r="4859">
          <cell r="D4859">
            <v>49.96</v>
          </cell>
        </row>
        <row r="4860">
          <cell r="D4860">
            <v>49.97</v>
          </cell>
        </row>
        <row r="4861">
          <cell r="D4861">
            <v>49.98</v>
          </cell>
        </row>
        <row r="4862">
          <cell r="D4862">
            <v>49.99</v>
          </cell>
        </row>
        <row r="4863">
          <cell r="D4863">
            <v>50</v>
          </cell>
        </row>
        <row r="4864">
          <cell r="D4864" t="str">
            <v>N/A</v>
          </cell>
        </row>
      </sheetData>
      <sheetData sheetId="10"/>
      <sheetData sheetId="11"/>
      <sheetData sheetId="12"/>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pe Data"/>
      <sheetName val="Logic"/>
      <sheetName val="Issues-Errors"/>
      <sheetName val="Tools"/>
      <sheetName val="CheckList"/>
      <sheetName val="Column Definitions"/>
      <sheetName val="Instructions"/>
      <sheetName val="Changes"/>
      <sheetName val="Selections"/>
      <sheetName val="FVE Validation"/>
      <sheetName val="FVE Table"/>
      <sheetName val="Resolution Doc"/>
      <sheetName val="MAOP Report"/>
      <sheetName val="Sheet1"/>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791">
          <cell r="A791" t="str">
            <v>Gary Collins</v>
          </cell>
        </row>
        <row r="792">
          <cell r="A792" t="str">
            <v>Phil Ornelas</v>
          </cell>
        </row>
        <row r="793">
          <cell r="A793" t="str">
            <v>Joel Mannie</v>
          </cell>
        </row>
        <row r="794">
          <cell r="A794" t="str">
            <v>Clem Holst</v>
          </cell>
        </row>
        <row r="795">
          <cell r="A795" t="str">
            <v>Tom Copriviza</v>
          </cell>
        </row>
        <row r="796">
          <cell r="A796" t="str">
            <v>Lisa Moreno</v>
          </cell>
        </row>
        <row r="797">
          <cell r="A797" t="str">
            <v>Shane Doong</v>
          </cell>
        </row>
        <row r="798">
          <cell r="A798" t="str">
            <v>Jason Bruni</v>
          </cell>
        </row>
        <row r="799">
          <cell r="A799" t="str">
            <v>Pat Wilhoit</v>
          </cell>
        </row>
        <row r="800">
          <cell r="A800" t="str">
            <v>Joey Mathews</v>
          </cell>
        </row>
        <row r="801">
          <cell r="A801" t="str">
            <v>Mike Hernandez</v>
          </cell>
        </row>
        <row r="802">
          <cell r="A802" t="str">
            <v>Timothy Mcknight</v>
          </cell>
        </row>
        <row r="803">
          <cell r="A803" t="str">
            <v>Perry Johnson</v>
          </cell>
        </row>
        <row r="804">
          <cell r="A804" t="str">
            <v>Tom Van Boxtel</v>
          </cell>
        </row>
        <row r="805">
          <cell r="A805" t="str">
            <v>Randy Mclain</v>
          </cell>
        </row>
      </sheetData>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file:///\\maoplobdat01\GTDataValidation\PFL\DREG\DREG4496\B-MAOP16506908.PDF" TargetMode="External"/><Relationship Id="rId117" Type="http://schemas.openxmlformats.org/officeDocument/2006/relationships/hyperlink" Target="file:///\\maoplobdat01\GTDataValidation\PFL\DREG\DREG4496\B-MAOP16306515.PDF" TargetMode="External"/><Relationship Id="rId21" Type="http://schemas.openxmlformats.org/officeDocument/2006/relationships/hyperlink" Target="file:///\\maoplobdat01\GTDataValidation\PFL\DREG\DREG4496\B-MAOP16506908.PDF" TargetMode="External"/><Relationship Id="rId42" Type="http://schemas.openxmlformats.org/officeDocument/2006/relationships/hyperlink" Target="file:///\\maoplobdat01\GTDataValidation\PFL\DREG\DREG4496\B-MAOP16306512.PDF" TargetMode="External"/><Relationship Id="rId47" Type="http://schemas.openxmlformats.org/officeDocument/2006/relationships/hyperlink" Target="file:///\\maoplobdat01\GTDataValidation\PFL\DREG\DREG4496\B-MAOP16306514.PDF" TargetMode="External"/><Relationship Id="rId63" Type="http://schemas.openxmlformats.org/officeDocument/2006/relationships/hyperlink" Target="file:///\\maoplobdat01\GTDataValidation\PFL\DREG\DREG4496\B-MAOP16306545.PDF" TargetMode="External"/><Relationship Id="rId68" Type="http://schemas.openxmlformats.org/officeDocument/2006/relationships/hyperlink" Target="file:///\\maoplobdat01\GTDataValidation\PFL\DREG\DREG4496\B-MAOP15317877.PDF" TargetMode="External"/><Relationship Id="rId84" Type="http://schemas.openxmlformats.org/officeDocument/2006/relationships/hyperlink" Target="file:///\\maoplobdat01\GTDataValidation\PFL\DREG\DREG4496\B-MAOP16306544.PDF" TargetMode="External"/><Relationship Id="rId89" Type="http://schemas.openxmlformats.org/officeDocument/2006/relationships/hyperlink" Target="file:///\\maoplobdat01\GTDataValidation\PFL\DREG\DREG4496\B-MAOP16306546.PDF" TargetMode="External"/><Relationship Id="rId112" Type="http://schemas.openxmlformats.org/officeDocument/2006/relationships/hyperlink" Target="file:///\\maoplobdat01\GTDataValidation\PFL\DREG\DREG4496\B-MAOP16306513.PDF" TargetMode="External"/><Relationship Id="rId133" Type="http://schemas.openxmlformats.org/officeDocument/2006/relationships/hyperlink" Target="file:///\\maoplobdat01\GTDataValidation\PFL\DREG\DREG4496\B-MAOP16306540.PDF" TargetMode="External"/><Relationship Id="rId138" Type="http://schemas.openxmlformats.org/officeDocument/2006/relationships/hyperlink" Target="file:///\\maoplobdat01\GTDataValidation\PFL\DREG\DREG4496\B-MAOP16306540.PDF" TargetMode="External"/><Relationship Id="rId154" Type="http://schemas.openxmlformats.org/officeDocument/2006/relationships/vmlDrawing" Target="../drawings/vmlDrawing1.vml"/><Relationship Id="rId16" Type="http://schemas.openxmlformats.org/officeDocument/2006/relationships/hyperlink" Target="file:///\\maoplobdat01\GTDataValidation\PFL\DREG\DREG4496\B-MAOP16306519.PDF" TargetMode="External"/><Relationship Id="rId107" Type="http://schemas.openxmlformats.org/officeDocument/2006/relationships/hyperlink" Target="file:///\\maoplobdat01\GTDataValidation\PFL\DREG\DREG4496\B-MAOP16306543.PDF" TargetMode="External"/><Relationship Id="rId11" Type="http://schemas.openxmlformats.org/officeDocument/2006/relationships/hyperlink" Target="file:///\\maoplobdat01\GTDataValidation\PFL\DREG\DREG4496\B-MAOP16306519.PDF" TargetMode="External"/><Relationship Id="rId32" Type="http://schemas.openxmlformats.org/officeDocument/2006/relationships/hyperlink" Target="file:///\\maoplobdat01\GTDataValidation\PFL\DREG\DREG4496\MAOP16506728.PDF" TargetMode="External"/><Relationship Id="rId37" Type="http://schemas.openxmlformats.org/officeDocument/2006/relationships/hyperlink" Target="file:///\\maoplobdat01\GTDataValidation\PFL\DREG\DREG4496\B-MAOP16506771.PDF" TargetMode="External"/><Relationship Id="rId53" Type="http://schemas.openxmlformats.org/officeDocument/2006/relationships/hyperlink" Target="file:///\\maoplobdat01\GTDataValidation\PFL\DREG\DREG4496\B-MAOP16306514.PDF" TargetMode="External"/><Relationship Id="rId58" Type="http://schemas.openxmlformats.org/officeDocument/2006/relationships/hyperlink" Target="file:///\\maoplobdat01\GTDataValidation\PFL\DREG\DREG4496\B-MAOP16306514.PDF" TargetMode="External"/><Relationship Id="rId74" Type="http://schemas.openxmlformats.org/officeDocument/2006/relationships/hyperlink" Target="file:///\\maoplobdat01\GTDataValidation\PFL\DREG\DREG4496\B-MAOP16306544.PDF" TargetMode="External"/><Relationship Id="rId79" Type="http://schemas.openxmlformats.org/officeDocument/2006/relationships/hyperlink" Target="file:///\\maoplobdat01\GTDataValidation\PFL\DREG\DREG4496\B-MAOP16306544.PDF" TargetMode="External"/><Relationship Id="rId102" Type="http://schemas.openxmlformats.org/officeDocument/2006/relationships/hyperlink" Target="file:///\\maoplobdat01\GTDataValidation\PFL\DREG\DREG4496\B-MAOP16306543.PDF" TargetMode="External"/><Relationship Id="rId123" Type="http://schemas.openxmlformats.org/officeDocument/2006/relationships/hyperlink" Target="file:///\\maoplobdat01\GTDataValidation\PFL\DREG\DREG4496\B-MAOP16306515.PDF" TargetMode="External"/><Relationship Id="rId128" Type="http://schemas.openxmlformats.org/officeDocument/2006/relationships/hyperlink" Target="file:///\\maoplobdat01\GTDataValidation\PFL\DREG\DREG4496\B-MAOP16306515.PDF" TargetMode="External"/><Relationship Id="rId144" Type="http://schemas.openxmlformats.org/officeDocument/2006/relationships/hyperlink" Target="file:///\\maoplobdat01\GTDataValidation\PFL\DREG\DREG4496\B-MAOP16306540.PDF" TargetMode="External"/><Relationship Id="rId149" Type="http://schemas.openxmlformats.org/officeDocument/2006/relationships/hyperlink" Target="file:///\\maoplobdat01\GTDataValidation\PFL\DREG\DREG4496\B-MAOP16306540.PDF" TargetMode="External"/><Relationship Id="rId5" Type="http://schemas.openxmlformats.org/officeDocument/2006/relationships/hyperlink" Target="file:///\\maoplobdat01\GTDataValidation\PFL\DREG\DREG4496\B-MAOP16306519.PDF" TargetMode="External"/><Relationship Id="rId90" Type="http://schemas.openxmlformats.org/officeDocument/2006/relationships/hyperlink" Target="file:///\\maoplobdat01\GTDataValidation\PFL\DREG\DREG4496\B-MAOP16306546.PDF" TargetMode="External"/><Relationship Id="rId95" Type="http://schemas.openxmlformats.org/officeDocument/2006/relationships/hyperlink" Target="file:///\\maoplobdat01\GTDataValidation\PFL\DREG\DREG4496\B-MAOP16306543.PDF" TargetMode="External"/><Relationship Id="rId22" Type="http://schemas.openxmlformats.org/officeDocument/2006/relationships/hyperlink" Target="file:///\\maoplobdat01\GTDataValidation\PFL\DREG\DREG4496\B-MAOP16506908.PDF" TargetMode="External"/><Relationship Id="rId27" Type="http://schemas.openxmlformats.org/officeDocument/2006/relationships/hyperlink" Target="file:///\\maoplobdat01\GTDataValidation\PFL\DREG\DREG4496\B-MAOP16506908.PDF" TargetMode="External"/><Relationship Id="rId43" Type="http://schemas.openxmlformats.org/officeDocument/2006/relationships/hyperlink" Target="file:///\\maoplobdat01\GTDataValidation\PFL\DREG\DREG4496\B-MAOP16306512.PDF" TargetMode="External"/><Relationship Id="rId48" Type="http://schemas.openxmlformats.org/officeDocument/2006/relationships/hyperlink" Target="file:///\\maoplobdat01\GTDataValidation\PFL\DREG\DREG4496\B-MAOP16306514.PDF" TargetMode="External"/><Relationship Id="rId64" Type="http://schemas.openxmlformats.org/officeDocument/2006/relationships/hyperlink" Target="file:///\\maoplobdat01\GTDataValidation\PFL\DREG\DREG4496\B-MAOP16306545.PDF" TargetMode="External"/><Relationship Id="rId69" Type="http://schemas.openxmlformats.org/officeDocument/2006/relationships/hyperlink" Target="file:///\\maoplobdat01\GTDataValidation\PFL\DREG\DREG4496\B-MAOP15317877.PDF" TargetMode="External"/><Relationship Id="rId113" Type="http://schemas.openxmlformats.org/officeDocument/2006/relationships/hyperlink" Target="file:///\\maoplobdat01\GTDataValidation\PFL\DREG\DREG4496\B-MAOP16306513.PDF" TargetMode="External"/><Relationship Id="rId118" Type="http://schemas.openxmlformats.org/officeDocument/2006/relationships/hyperlink" Target="file:///\\maoplobdat01\GTDataValidation\PFL\DREG\DREG4496\B-MAOP16306515.PDF" TargetMode="External"/><Relationship Id="rId134" Type="http://schemas.openxmlformats.org/officeDocument/2006/relationships/hyperlink" Target="file:///\\maoplobdat01\GTDataValidation\PFL\DREG\DREG4496\B-MAOP16306540.PDF" TargetMode="External"/><Relationship Id="rId139" Type="http://schemas.openxmlformats.org/officeDocument/2006/relationships/hyperlink" Target="file:///\\maoplobdat01\GTDataValidation\PFL\DREG\DREG4496\B-MAOP16306540.PDF" TargetMode="External"/><Relationship Id="rId80" Type="http://schemas.openxmlformats.org/officeDocument/2006/relationships/hyperlink" Target="file:///\\maoplobdat01\GTDataValidation\PFL\DREG\DREG4496\B-MAOP16306544.PDF" TargetMode="External"/><Relationship Id="rId85" Type="http://schemas.openxmlformats.org/officeDocument/2006/relationships/hyperlink" Target="file:///\\maoplobdat01\GTDataValidation\PFL\DREG\DREG4496\B-MAOP16306546.PDF" TargetMode="External"/><Relationship Id="rId150" Type="http://schemas.openxmlformats.org/officeDocument/2006/relationships/hyperlink" Target="file:///\\maoplobdat01\GTDataValidation\PFL\DREG\DREG4496\B-MAOP16306540.PDF" TargetMode="External"/><Relationship Id="rId155" Type="http://schemas.openxmlformats.org/officeDocument/2006/relationships/ctrlProp" Target="../ctrlProps/ctrlProp1.xml"/><Relationship Id="rId12" Type="http://schemas.openxmlformats.org/officeDocument/2006/relationships/hyperlink" Target="file:///\\maoplobdat01\GTDataValidation\PFL\DREG\DREG4496\B-MAOP16306519.PDF" TargetMode="External"/><Relationship Id="rId17" Type="http://schemas.openxmlformats.org/officeDocument/2006/relationships/hyperlink" Target="file:///\\maoplobdat01\GTDataValidation\PFL\DREG\DREG4496\B-MAOP16306519.PDF" TargetMode="External"/><Relationship Id="rId33" Type="http://schemas.openxmlformats.org/officeDocument/2006/relationships/hyperlink" Target="file:///\\maoplobdat01\GTDataValidation\PFL\DREG\DREG4496\MAOP16506728.PDF" TargetMode="External"/><Relationship Id="rId38" Type="http://schemas.openxmlformats.org/officeDocument/2006/relationships/hyperlink" Target="file:///\\maoplobdat01\GTDataValidation\PFL\DREG\DREG4496\B-MAOP16506771.PDF" TargetMode="External"/><Relationship Id="rId59" Type="http://schemas.openxmlformats.org/officeDocument/2006/relationships/hyperlink" Target="file:///\\maoplobdat01\GTDataValidation\PFL\DREG\DREG4496\B-MAOP16306514.PDF" TargetMode="External"/><Relationship Id="rId103" Type="http://schemas.openxmlformats.org/officeDocument/2006/relationships/hyperlink" Target="file:///\\maoplobdat01\GTDataValidation\PFL\DREG\DREG4496\B-MAOP16306543.PDF" TargetMode="External"/><Relationship Id="rId108" Type="http://schemas.openxmlformats.org/officeDocument/2006/relationships/hyperlink" Target="file:///\\maoplobdat01\GTDataValidation\PFL\DREG\DREG4496\B-MAOP16306543.PDF" TargetMode="External"/><Relationship Id="rId124" Type="http://schemas.openxmlformats.org/officeDocument/2006/relationships/hyperlink" Target="file:///\\maoplobdat01\GTDataValidation\PFL\DREG\DREG4496\B-MAOP16306515.PDF" TargetMode="External"/><Relationship Id="rId129" Type="http://schemas.openxmlformats.org/officeDocument/2006/relationships/hyperlink" Target="file:///\\maoplobdat01\GTDataValidation\PFL\DREG\DREG4496\B-MAOP16306515.PDF" TargetMode="External"/><Relationship Id="rId20" Type="http://schemas.openxmlformats.org/officeDocument/2006/relationships/hyperlink" Target="file:///\\maoplobdat01\GTDataValidation\PFL\DREG\DREG4496\B-MAOP16306519.PDF" TargetMode="External"/><Relationship Id="rId41" Type="http://schemas.openxmlformats.org/officeDocument/2006/relationships/hyperlink" Target="file:///\\maoplobdat01\GTDataValidation\PFL\DREG\DREG4496\B-MAOP16306512.PDF" TargetMode="External"/><Relationship Id="rId54" Type="http://schemas.openxmlformats.org/officeDocument/2006/relationships/hyperlink" Target="file:///\\maoplobdat01\GTDataValidation\PFL\DREG\DREG4496\B-MAOP16306514.PDF" TargetMode="External"/><Relationship Id="rId62" Type="http://schemas.openxmlformats.org/officeDocument/2006/relationships/hyperlink" Target="file:///\\maoplobdat01\GTDataValidation\PFL\DREG\DREG4496\B-MAOP16306545.PDF" TargetMode="External"/><Relationship Id="rId70" Type="http://schemas.openxmlformats.org/officeDocument/2006/relationships/hyperlink" Target="file:///\\maoplobdat01\GTDataValidation\PFL\DREG\DREG4496\B-MAOP16306544.PDF" TargetMode="External"/><Relationship Id="rId75" Type="http://schemas.openxmlformats.org/officeDocument/2006/relationships/hyperlink" Target="file:///\\maoplobdat01\GTDataValidation\PFL\DREG\DREG4496\B-MAOP16306544.PDF" TargetMode="External"/><Relationship Id="rId83" Type="http://schemas.openxmlformats.org/officeDocument/2006/relationships/hyperlink" Target="file:///\\maoplobdat01\GTDataValidation\PFL\DREG\DREG4496\B-MAOP16306544.PDF" TargetMode="External"/><Relationship Id="rId88" Type="http://schemas.openxmlformats.org/officeDocument/2006/relationships/hyperlink" Target="file:///\\maoplobdat01\GTDataValidation\PFL\DREG\DREG4496\B-MAOP16306546.PDF" TargetMode="External"/><Relationship Id="rId91" Type="http://schemas.openxmlformats.org/officeDocument/2006/relationships/hyperlink" Target="file:///\\maoplobdat01\GTDataValidation\PFL\DREG\DREG4496\B-MAOP15317878.PDF" TargetMode="External"/><Relationship Id="rId96" Type="http://schemas.openxmlformats.org/officeDocument/2006/relationships/hyperlink" Target="file:///\\maoplobdat01\GTDataValidation\PFL\DREG\DREG4496\B-MAOP16306543.PDF" TargetMode="External"/><Relationship Id="rId111" Type="http://schemas.openxmlformats.org/officeDocument/2006/relationships/hyperlink" Target="file:///\\maoplobdat01\GTDataValidation\PFL\DREG\DREG4496\B-MAOP16306513.PDF" TargetMode="External"/><Relationship Id="rId132" Type="http://schemas.openxmlformats.org/officeDocument/2006/relationships/hyperlink" Target="file:///\\maoplobdat01\GTDataValidation\PFL\DREG\DREG4496\B-MAOP16306540.PDF" TargetMode="External"/><Relationship Id="rId140" Type="http://schemas.openxmlformats.org/officeDocument/2006/relationships/hyperlink" Target="file:///\\maoplobdat01\GTDataValidation\PFL\DREG\DREG4496\B-MAOP16306540.PDF" TargetMode="External"/><Relationship Id="rId145" Type="http://schemas.openxmlformats.org/officeDocument/2006/relationships/hyperlink" Target="file:///\\maoplobdat01\GTDataValidation\PFL\DREG\DREG4496\B-MAOP16306540.PDF" TargetMode="External"/><Relationship Id="rId153" Type="http://schemas.openxmlformats.org/officeDocument/2006/relationships/drawing" Target="../drawings/drawing1.xml"/><Relationship Id="rId1" Type="http://schemas.openxmlformats.org/officeDocument/2006/relationships/hyperlink" Target="file:///\\maoplobdat01\GTDataValidation\PFL\DREG\DREG4496\B-MAOP16306519.PDF" TargetMode="External"/><Relationship Id="rId6" Type="http://schemas.openxmlformats.org/officeDocument/2006/relationships/hyperlink" Target="file:///\\maoplobdat01\GTDataValidation\PFL\DREG\DREG4496\B-MAOP16306519.PDF" TargetMode="External"/><Relationship Id="rId15" Type="http://schemas.openxmlformats.org/officeDocument/2006/relationships/hyperlink" Target="file:///\\maoplobdat01\GTDataValidation\PFL\DREG\DREG4496\B-MAOP16306519.PDF" TargetMode="External"/><Relationship Id="rId23" Type="http://schemas.openxmlformats.org/officeDocument/2006/relationships/hyperlink" Target="file:///\\maoplobdat01\GTDataValidation\PFL\DREG\DREG4496\B-MAOP16506908.PDF" TargetMode="External"/><Relationship Id="rId28" Type="http://schemas.openxmlformats.org/officeDocument/2006/relationships/hyperlink" Target="file:///\\maoplobdat01\GTDataValidation\PFL\DREG\DREG4496\B-MAOP16506908.PDF" TargetMode="External"/><Relationship Id="rId36" Type="http://schemas.openxmlformats.org/officeDocument/2006/relationships/hyperlink" Target="file:///\\maoplobdat01\GTDataValidation\PFL\DREG\DREG4496\B-MAOP08810072.PDF" TargetMode="External"/><Relationship Id="rId49" Type="http://schemas.openxmlformats.org/officeDocument/2006/relationships/hyperlink" Target="file:///\\maoplobdat01\GTDataValidation\PFL\DREG\DREG4496\B-MAOP16306514.PDF" TargetMode="External"/><Relationship Id="rId57" Type="http://schemas.openxmlformats.org/officeDocument/2006/relationships/hyperlink" Target="file:///\\maoplobdat01\GTDataValidation\PFL\DREG\DREG4496\B-MAOP16306514.PDF" TargetMode="External"/><Relationship Id="rId106" Type="http://schemas.openxmlformats.org/officeDocument/2006/relationships/hyperlink" Target="file:///\\maoplobdat01\GTDataValidation\PFL\DREG\DREG4496\B-MAOP16306543.PDF" TargetMode="External"/><Relationship Id="rId114" Type="http://schemas.openxmlformats.org/officeDocument/2006/relationships/hyperlink" Target="file:///\\maoplobdat01\GTDataValidation\PFL\DREG\DREG4496\B-MAOP16306513.PDF" TargetMode="External"/><Relationship Id="rId119" Type="http://schemas.openxmlformats.org/officeDocument/2006/relationships/hyperlink" Target="file:///\\maoplobdat01\GTDataValidation\PFL\DREG\DREG4496\B-MAOP16306515.PDF" TargetMode="External"/><Relationship Id="rId127" Type="http://schemas.openxmlformats.org/officeDocument/2006/relationships/hyperlink" Target="file:///\\maoplobdat01\GTDataValidation\PFL\DREG\DREG4496\B-MAOP16306515.PDF" TargetMode="External"/><Relationship Id="rId10" Type="http://schemas.openxmlformats.org/officeDocument/2006/relationships/hyperlink" Target="file:///\\maoplobdat01\GTDataValidation\PFL\DREG\DREG4496\B-MAOP16306519.PDF" TargetMode="External"/><Relationship Id="rId31" Type="http://schemas.openxmlformats.org/officeDocument/2006/relationships/hyperlink" Target="file:///\\maoplobdat01\GTDataValidation\PFL\DREG\DREG4496\MAOP16506728.PDF" TargetMode="External"/><Relationship Id="rId44" Type="http://schemas.openxmlformats.org/officeDocument/2006/relationships/hyperlink" Target="file:///\\maoplobdat01\GTDataValidation\PFL\DREG\DREG4496\B-MAOP16306512.PDF" TargetMode="External"/><Relationship Id="rId52" Type="http://schemas.openxmlformats.org/officeDocument/2006/relationships/hyperlink" Target="file:///\\maoplobdat01\GTDataValidation\PFL\DREG\DREG4496\B-MAOP16306514.PDF" TargetMode="External"/><Relationship Id="rId60" Type="http://schemas.openxmlformats.org/officeDocument/2006/relationships/hyperlink" Target="file:///\\maoplobdat01\GTDataValidation\PFL\DREG\DREG4496\B-MAOP16306514.PDF" TargetMode="External"/><Relationship Id="rId65" Type="http://schemas.openxmlformats.org/officeDocument/2006/relationships/hyperlink" Target="file:///\\maoplobdat01\GTDataValidation\PFL\DREG\DREG4496\B-MAOP16306545.PDF" TargetMode="External"/><Relationship Id="rId73" Type="http://schemas.openxmlformats.org/officeDocument/2006/relationships/hyperlink" Target="file:///\\maoplobdat01\GTDataValidation\PFL\DREG\DREG4496\B-MAOP16306544.PDF" TargetMode="External"/><Relationship Id="rId78" Type="http://schemas.openxmlformats.org/officeDocument/2006/relationships/hyperlink" Target="file:///\\maoplobdat01\GTDataValidation\PFL\DREG\DREG4496\B-MAOP16306544.PDF" TargetMode="External"/><Relationship Id="rId81" Type="http://schemas.openxmlformats.org/officeDocument/2006/relationships/hyperlink" Target="file:///\\maoplobdat01\GTDataValidation\PFL\DREG\DREG4496\B-MAOP16306544.PDF" TargetMode="External"/><Relationship Id="rId86" Type="http://schemas.openxmlformats.org/officeDocument/2006/relationships/hyperlink" Target="file:///\\maoplobdat01\GTDataValidation\PFL\DREG\DREG4496\B-MAOP16306546.PDF" TargetMode="External"/><Relationship Id="rId94" Type="http://schemas.openxmlformats.org/officeDocument/2006/relationships/hyperlink" Target="file:///\\maoplobdat01\GTDataValidation\PFL\DREG\DREG4496\B-MAOP16306543.PDF" TargetMode="External"/><Relationship Id="rId99" Type="http://schemas.openxmlformats.org/officeDocument/2006/relationships/hyperlink" Target="file:///\\maoplobdat01\GTDataValidation\PFL\DREG\DREG4496\B-MAOP16306543.PDF" TargetMode="External"/><Relationship Id="rId101" Type="http://schemas.openxmlformats.org/officeDocument/2006/relationships/hyperlink" Target="file:///\\maoplobdat01\GTDataValidation\PFL\DREG\DREG4496\B-MAOP16306543.PDF" TargetMode="External"/><Relationship Id="rId122" Type="http://schemas.openxmlformats.org/officeDocument/2006/relationships/hyperlink" Target="file:///\\maoplobdat01\GTDataValidation\PFL\DREG\DREG4496\B-MAOP16306515.PDF" TargetMode="External"/><Relationship Id="rId130" Type="http://schemas.openxmlformats.org/officeDocument/2006/relationships/hyperlink" Target="file:///\\maoplobdat01\GTDataValidation\PFL\DREG\DREG4496\B-MAOP16306540.PDF" TargetMode="External"/><Relationship Id="rId135" Type="http://schemas.openxmlformats.org/officeDocument/2006/relationships/hyperlink" Target="file:///\\maoplobdat01\GTDataValidation\PFL\DREG\DREG4496\B-MAOP16306540.PDF" TargetMode="External"/><Relationship Id="rId143" Type="http://schemas.openxmlformats.org/officeDocument/2006/relationships/hyperlink" Target="file:///\\maoplobdat01\GTDataValidation\PFL\DREG\DREG4496\B-MAOP16306540.PDF" TargetMode="External"/><Relationship Id="rId148" Type="http://schemas.openxmlformats.org/officeDocument/2006/relationships/hyperlink" Target="file:///\\maoplobdat01\GTDataValidation\PFL\DREG\DREG4496\B-MAOP16306540.PDF" TargetMode="External"/><Relationship Id="rId151" Type="http://schemas.openxmlformats.org/officeDocument/2006/relationships/hyperlink" Target="file:///\\maoplobdat01\GTDataValidation\PFL\DREG\DREG4496\B-MAOP16306540.PDF" TargetMode="External"/><Relationship Id="rId156" Type="http://schemas.openxmlformats.org/officeDocument/2006/relationships/ctrlProp" Target="../ctrlProps/ctrlProp2.xml"/><Relationship Id="rId4" Type="http://schemas.openxmlformats.org/officeDocument/2006/relationships/hyperlink" Target="file:///\\maoplobdat01\GTDataValidation\PFL\DREG\DREG4496\B-MAOP16306519.PDF" TargetMode="External"/><Relationship Id="rId9" Type="http://schemas.openxmlformats.org/officeDocument/2006/relationships/hyperlink" Target="file:///\\maoplobdat01\GTDataValidation\PFL\DREG\DREG4496\B-MAOP16306519.PDF" TargetMode="External"/><Relationship Id="rId13" Type="http://schemas.openxmlformats.org/officeDocument/2006/relationships/hyperlink" Target="file:///\\maoplobdat01\GTDataValidation\PFL\DREG\DREG4496\B-MAOP16306519.PDF" TargetMode="External"/><Relationship Id="rId18" Type="http://schemas.openxmlformats.org/officeDocument/2006/relationships/hyperlink" Target="file:///\\maoplobdat01\GTDataValidation\PFL\DREG\DREG4496\B-MAOP16306519.PDF" TargetMode="External"/><Relationship Id="rId39" Type="http://schemas.openxmlformats.org/officeDocument/2006/relationships/hyperlink" Target="file:///\\maoplobdat01\GTDataValidation\PFL\DREG\DREG4496\B-MAOP08810072.PDF" TargetMode="External"/><Relationship Id="rId109" Type="http://schemas.openxmlformats.org/officeDocument/2006/relationships/hyperlink" Target="file:///\\maoplobdat01\GTDataValidation\PFL\DREG\DREG4496\B-MAOP16306513.PDF" TargetMode="External"/><Relationship Id="rId34" Type="http://schemas.openxmlformats.org/officeDocument/2006/relationships/hyperlink" Target="file:///\\maoplobdat01\GTDataValidation\PFL\DREG\DREG4496\B-MAOP16506908.PDF" TargetMode="External"/><Relationship Id="rId50" Type="http://schemas.openxmlformats.org/officeDocument/2006/relationships/hyperlink" Target="file:///\\maoplobdat01\GTDataValidation\PFL\DREG\DREG4496\B-MAOP16306514.PDF" TargetMode="External"/><Relationship Id="rId55" Type="http://schemas.openxmlformats.org/officeDocument/2006/relationships/hyperlink" Target="file:///\\maoplobdat01\GTDataValidation\PFL\DREG\DREG4496\B-MAOP16306514.PDF" TargetMode="External"/><Relationship Id="rId76" Type="http://schemas.openxmlformats.org/officeDocument/2006/relationships/hyperlink" Target="file:///\\maoplobdat01\GTDataValidation\PFL\DREG\DREG4496\B-MAOP16306544.PDF" TargetMode="External"/><Relationship Id="rId97" Type="http://schemas.openxmlformats.org/officeDocument/2006/relationships/hyperlink" Target="file:///\\maoplobdat01\GTDataValidation\PFL\DREG\DREG4496\B-MAOP16306543.PDF" TargetMode="External"/><Relationship Id="rId104" Type="http://schemas.openxmlformats.org/officeDocument/2006/relationships/hyperlink" Target="file:///\\maoplobdat01\GTDataValidation\PFL\DREG\DREG4496\B-MAOP16306543.PDF" TargetMode="External"/><Relationship Id="rId120" Type="http://schemas.openxmlformats.org/officeDocument/2006/relationships/hyperlink" Target="file:///\\maoplobdat01\GTDataValidation\PFL\DREG\DREG4496\B-MAOP16306515.PDF" TargetMode="External"/><Relationship Id="rId125" Type="http://schemas.openxmlformats.org/officeDocument/2006/relationships/hyperlink" Target="file:///\\maoplobdat01\GTDataValidation\PFL\DREG\DREG4496\B-MAOP16306515.PDF" TargetMode="External"/><Relationship Id="rId141" Type="http://schemas.openxmlformats.org/officeDocument/2006/relationships/hyperlink" Target="file:///\\maoplobdat01\GTDataValidation\PFL\DREG\DREG4496\B-MAOP16306540.PDF" TargetMode="External"/><Relationship Id="rId146" Type="http://schemas.openxmlformats.org/officeDocument/2006/relationships/hyperlink" Target="file:///\\maoplobdat01\GTDataValidation\PFL\DREG\DREG4496\B-MAOP16306540.PDF" TargetMode="External"/><Relationship Id="rId7" Type="http://schemas.openxmlformats.org/officeDocument/2006/relationships/hyperlink" Target="file:///\\maoplobdat01\GTDataValidation\PFL\DREG\DREG4496\B-MAOP16306519.PDF" TargetMode="External"/><Relationship Id="rId71" Type="http://schemas.openxmlformats.org/officeDocument/2006/relationships/hyperlink" Target="file:///\\maoplobdat01\GTDataValidation\PFL\DREG\DREG4496\B-MAOP16306544.PDF" TargetMode="External"/><Relationship Id="rId92" Type="http://schemas.openxmlformats.org/officeDocument/2006/relationships/hyperlink" Target="file:///\\maoplobdat01\GTDataValidation\PFL\DREG\DREG4496\B-MAOP15317878.PDF" TargetMode="External"/><Relationship Id="rId2" Type="http://schemas.openxmlformats.org/officeDocument/2006/relationships/hyperlink" Target="file:///\\maoplobdat01\GTDataValidation\PFL\DREG\DREG4496\B-MAOP16306519.PDF" TargetMode="External"/><Relationship Id="rId29" Type="http://schemas.openxmlformats.org/officeDocument/2006/relationships/hyperlink" Target="file:///\\maoplobdat01\GTDataValidation\PFL\DREG\DREG4496\B-MAOP16506908.PDF" TargetMode="External"/><Relationship Id="rId24" Type="http://schemas.openxmlformats.org/officeDocument/2006/relationships/hyperlink" Target="file:///\\maoplobdat01\GTDataValidation\PFL\DREG\DREG4496\B-MAOP16506908.PDF" TargetMode="External"/><Relationship Id="rId40" Type="http://schemas.openxmlformats.org/officeDocument/2006/relationships/hyperlink" Target="file:///\\maoplobdat01\GTDataValidation\PFL\DREG\DREG4496\B-MAOP16306512.PDF" TargetMode="External"/><Relationship Id="rId45" Type="http://schemas.openxmlformats.org/officeDocument/2006/relationships/hyperlink" Target="file:///\\maoplobdat01\GTDataValidation\PFL\DREG\DREG4496\B-MAOP16306512.PDF" TargetMode="External"/><Relationship Id="rId66" Type="http://schemas.openxmlformats.org/officeDocument/2006/relationships/hyperlink" Target="file:///\\maoplobdat01\GTDataValidation\PFL\DREG\DREG4496\B-MAOP16306545.PDF" TargetMode="External"/><Relationship Id="rId87" Type="http://schemas.openxmlformats.org/officeDocument/2006/relationships/hyperlink" Target="file:///\\maoplobdat01\GTDataValidation\PFL\DREG\DREG4496\B-MAOP16306546.PDF" TargetMode="External"/><Relationship Id="rId110" Type="http://schemas.openxmlformats.org/officeDocument/2006/relationships/hyperlink" Target="file:///\\maoplobdat01\GTDataValidation\PFL\DREG\DREG4496\B-MAOP16306513.PDF" TargetMode="External"/><Relationship Id="rId115" Type="http://schemas.openxmlformats.org/officeDocument/2006/relationships/hyperlink" Target="file:///\\maoplobdat01\GTDataValidation\PFL\DREG\DREG4496\B-MAOP16306515.PDF" TargetMode="External"/><Relationship Id="rId131" Type="http://schemas.openxmlformats.org/officeDocument/2006/relationships/hyperlink" Target="file:///\\maoplobdat01\GTDataValidation\PFL\DREG\DREG4496\B-MAOP16306540.PDF" TargetMode="External"/><Relationship Id="rId136" Type="http://schemas.openxmlformats.org/officeDocument/2006/relationships/hyperlink" Target="file:///\\maoplobdat01\GTDataValidation\PFL\DREG\DREG4496\B-MAOP16306540.PDF" TargetMode="External"/><Relationship Id="rId157" Type="http://schemas.openxmlformats.org/officeDocument/2006/relationships/ctrlProp" Target="../ctrlProps/ctrlProp3.xml"/><Relationship Id="rId61" Type="http://schemas.openxmlformats.org/officeDocument/2006/relationships/hyperlink" Target="file:///\\maoplobdat01\GTDataValidation\PFL\DREG\DREG4496\B-MAOP16306545.PDF" TargetMode="External"/><Relationship Id="rId82" Type="http://schemas.openxmlformats.org/officeDocument/2006/relationships/hyperlink" Target="file:///\\maoplobdat01\GTDataValidation\PFL\DREG\DREG4496\B-MAOP16306544.PDF" TargetMode="External"/><Relationship Id="rId152" Type="http://schemas.openxmlformats.org/officeDocument/2006/relationships/printerSettings" Target="../printerSettings/printerSettings1.bin"/><Relationship Id="rId19" Type="http://schemas.openxmlformats.org/officeDocument/2006/relationships/hyperlink" Target="file:///\\maoplobdat01\GTDataValidation\PFL\DREG\DREG4496\B-MAOP16306519.PDF" TargetMode="External"/><Relationship Id="rId14" Type="http://schemas.openxmlformats.org/officeDocument/2006/relationships/hyperlink" Target="file:///\\maoplobdat01\GTDataValidation\PFL\DREG\DREG4496\B-MAOP16306519.PDF" TargetMode="External"/><Relationship Id="rId30" Type="http://schemas.openxmlformats.org/officeDocument/2006/relationships/hyperlink" Target="file:///\\maoplobdat01\GTDataValidation\PFL\DREG\DREG4496\MAOP16506728.PDF" TargetMode="External"/><Relationship Id="rId35" Type="http://schemas.openxmlformats.org/officeDocument/2006/relationships/hyperlink" Target="file:///\\maoplobdat01\GTDataValidation\PFL\DREG\DREG4496\B-MAOP16506908.PDF" TargetMode="External"/><Relationship Id="rId56" Type="http://schemas.openxmlformats.org/officeDocument/2006/relationships/hyperlink" Target="file:///\\maoplobdat01\GTDataValidation\PFL\DREG\DREG4496\B-MAOP16306514.PDF" TargetMode="External"/><Relationship Id="rId77" Type="http://schemas.openxmlformats.org/officeDocument/2006/relationships/hyperlink" Target="file:///\\maoplobdat01\GTDataValidation\PFL\DREG\DREG4496\B-MAOP16306544.PDF" TargetMode="External"/><Relationship Id="rId100" Type="http://schemas.openxmlformats.org/officeDocument/2006/relationships/hyperlink" Target="file:///\\maoplobdat01\GTDataValidation\PFL\DREG\DREG4496\B-MAOP16306543.PDF" TargetMode="External"/><Relationship Id="rId105" Type="http://schemas.openxmlformats.org/officeDocument/2006/relationships/hyperlink" Target="file:///\\maoplobdat01\GTDataValidation\PFL\DREG\DREG4496\B-MAOP16306543.PDF" TargetMode="External"/><Relationship Id="rId126" Type="http://schemas.openxmlformats.org/officeDocument/2006/relationships/hyperlink" Target="file:///\\maoplobdat01\GTDataValidation\PFL\DREG\DREG4496\B-MAOP16306515.PDF" TargetMode="External"/><Relationship Id="rId147" Type="http://schemas.openxmlformats.org/officeDocument/2006/relationships/hyperlink" Target="file:///\\maoplobdat01\GTDataValidation\PFL\DREG\DREG4496\B-MAOP16306540.PDF" TargetMode="External"/><Relationship Id="rId8" Type="http://schemas.openxmlformats.org/officeDocument/2006/relationships/hyperlink" Target="file:///\\maoplobdat01\GTDataValidation\PFL\DREG\DREG4496\B-MAOP16306519.PDF" TargetMode="External"/><Relationship Id="rId51" Type="http://schemas.openxmlformats.org/officeDocument/2006/relationships/hyperlink" Target="file:///\\maoplobdat01\GTDataValidation\PFL\DREG\DREG4496\B-MAOP16306514.PDF" TargetMode="External"/><Relationship Id="rId72" Type="http://schemas.openxmlformats.org/officeDocument/2006/relationships/hyperlink" Target="file:///\\maoplobdat01\GTDataValidation\PFL\DREG\DREG4496\B-MAOP16306544.PDF" TargetMode="External"/><Relationship Id="rId93" Type="http://schemas.openxmlformats.org/officeDocument/2006/relationships/hyperlink" Target="file:///\\maoplobdat01\GTDataValidation\PFL\DREG\DREG4496\B-MAOP15317878.PDF" TargetMode="External"/><Relationship Id="rId98" Type="http://schemas.openxmlformats.org/officeDocument/2006/relationships/hyperlink" Target="file:///\\maoplobdat01\GTDataValidation\PFL\DREG\DREG4496\B-MAOP16306543.PDF" TargetMode="External"/><Relationship Id="rId121" Type="http://schemas.openxmlformats.org/officeDocument/2006/relationships/hyperlink" Target="file:///\\maoplobdat01\GTDataValidation\PFL\DREG\DREG4496\B-MAOP16306515.PDF" TargetMode="External"/><Relationship Id="rId142" Type="http://schemas.openxmlformats.org/officeDocument/2006/relationships/hyperlink" Target="file:///\\maoplobdat01\GTDataValidation\PFL\DREG\DREG4496\B-MAOP16306540.PDF" TargetMode="External"/><Relationship Id="rId3" Type="http://schemas.openxmlformats.org/officeDocument/2006/relationships/hyperlink" Target="file:///\\maoplobdat01\GTDataValidation\PFL\DREG\DREG4496\B-MAOP16306519.PDF" TargetMode="External"/><Relationship Id="rId25" Type="http://schemas.openxmlformats.org/officeDocument/2006/relationships/hyperlink" Target="file:///\\maoplobdat01\GTDataValidation\PFL\DREG\DREG4496\B-MAOP16506908.PDF" TargetMode="External"/><Relationship Id="rId46" Type="http://schemas.openxmlformats.org/officeDocument/2006/relationships/hyperlink" Target="file:///\\maoplobdat01\GTDataValidation\PFL\DREG\DREG4496\B-MAOP16306514.PDF" TargetMode="External"/><Relationship Id="rId67" Type="http://schemas.openxmlformats.org/officeDocument/2006/relationships/hyperlink" Target="file:///\\maoplobdat01\GTDataValidation\PFL\DREG\DREG4496\B-MAOP15317877.PDF" TargetMode="External"/><Relationship Id="rId116" Type="http://schemas.openxmlformats.org/officeDocument/2006/relationships/hyperlink" Target="file:///\\maoplobdat01\GTDataValidation\PFL\DREG\DREG4496\B-MAOP16306515.PDF" TargetMode="External"/><Relationship Id="rId137" Type="http://schemas.openxmlformats.org/officeDocument/2006/relationships/hyperlink" Target="file:///\\maoplobdat01\GTDataValidation\PFL\DREG\DREG4496\B-MAOP16306540.PDF" TargetMode="External"/><Relationship Id="rId158"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122.xml"/><Relationship Id="rId21" Type="http://schemas.openxmlformats.org/officeDocument/2006/relationships/ctrlProp" Target="../ctrlProps/ctrlProp26.xml"/><Relationship Id="rId42" Type="http://schemas.openxmlformats.org/officeDocument/2006/relationships/ctrlProp" Target="../ctrlProps/ctrlProp47.xml"/><Relationship Id="rId63" Type="http://schemas.openxmlformats.org/officeDocument/2006/relationships/ctrlProp" Target="../ctrlProps/ctrlProp68.xml"/><Relationship Id="rId84" Type="http://schemas.openxmlformats.org/officeDocument/2006/relationships/ctrlProp" Target="../ctrlProps/ctrlProp89.xml"/><Relationship Id="rId138" Type="http://schemas.openxmlformats.org/officeDocument/2006/relationships/ctrlProp" Target="../ctrlProps/ctrlProp143.xml"/><Relationship Id="rId159" Type="http://schemas.openxmlformats.org/officeDocument/2006/relationships/ctrlProp" Target="../ctrlProps/ctrlProp164.xml"/><Relationship Id="rId170" Type="http://schemas.openxmlformats.org/officeDocument/2006/relationships/ctrlProp" Target="../ctrlProps/ctrlProp175.xml"/><Relationship Id="rId191" Type="http://schemas.openxmlformats.org/officeDocument/2006/relationships/ctrlProp" Target="../ctrlProps/ctrlProp196.xml"/><Relationship Id="rId205" Type="http://schemas.openxmlformats.org/officeDocument/2006/relationships/ctrlProp" Target="../ctrlProps/ctrlProp210.xml"/><Relationship Id="rId226" Type="http://schemas.openxmlformats.org/officeDocument/2006/relationships/ctrlProp" Target="../ctrlProps/ctrlProp231.xml"/><Relationship Id="rId107" Type="http://schemas.openxmlformats.org/officeDocument/2006/relationships/ctrlProp" Target="../ctrlProps/ctrlProp112.xml"/><Relationship Id="rId11" Type="http://schemas.openxmlformats.org/officeDocument/2006/relationships/ctrlProp" Target="../ctrlProps/ctrlProp16.xml"/><Relationship Id="rId32" Type="http://schemas.openxmlformats.org/officeDocument/2006/relationships/ctrlProp" Target="../ctrlProps/ctrlProp37.xml"/><Relationship Id="rId53" Type="http://schemas.openxmlformats.org/officeDocument/2006/relationships/ctrlProp" Target="../ctrlProps/ctrlProp58.xml"/><Relationship Id="rId74" Type="http://schemas.openxmlformats.org/officeDocument/2006/relationships/ctrlProp" Target="../ctrlProps/ctrlProp79.xml"/><Relationship Id="rId128" Type="http://schemas.openxmlformats.org/officeDocument/2006/relationships/ctrlProp" Target="../ctrlProps/ctrlProp133.xml"/><Relationship Id="rId149" Type="http://schemas.openxmlformats.org/officeDocument/2006/relationships/ctrlProp" Target="../ctrlProps/ctrlProp154.xml"/><Relationship Id="rId5" Type="http://schemas.openxmlformats.org/officeDocument/2006/relationships/vmlDrawing" Target="../drawings/vmlDrawing4.vml"/><Relationship Id="rId95" Type="http://schemas.openxmlformats.org/officeDocument/2006/relationships/ctrlProp" Target="../ctrlProps/ctrlProp100.xml"/><Relationship Id="rId160" Type="http://schemas.openxmlformats.org/officeDocument/2006/relationships/ctrlProp" Target="../ctrlProps/ctrlProp165.xml"/><Relationship Id="rId181" Type="http://schemas.openxmlformats.org/officeDocument/2006/relationships/ctrlProp" Target="../ctrlProps/ctrlProp186.xml"/><Relationship Id="rId216" Type="http://schemas.openxmlformats.org/officeDocument/2006/relationships/ctrlProp" Target="../ctrlProps/ctrlProp221.xml"/><Relationship Id="rId211" Type="http://schemas.openxmlformats.org/officeDocument/2006/relationships/ctrlProp" Target="../ctrlProps/ctrlProp216.xml"/><Relationship Id="rId22" Type="http://schemas.openxmlformats.org/officeDocument/2006/relationships/ctrlProp" Target="../ctrlProps/ctrlProp27.xml"/><Relationship Id="rId27" Type="http://schemas.openxmlformats.org/officeDocument/2006/relationships/ctrlProp" Target="../ctrlProps/ctrlProp32.xml"/><Relationship Id="rId43" Type="http://schemas.openxmlformats.org/officeDocument/2006/relationships/ctrlProp" Target="../ctrlProps/ctrlProp48.xml"/><Relationship Id="rId48" Type="http://schemas.openxmlformats.org/officeDocument/2006/relationships/ctrlProp" Target="../ctrlProps/ctrlProp53.xml"/><Relationship Id="rId64" Type="http://schemas.openxmlformats.org/officeDocument/2006/relationships/ctrlProp" Target="../ctrlProps/ctrlProp69.xml"/><Relationship Id="rId69" Type="http://schemas.openxmlformats.org/officeDocument/2006/relationships/ctrlProp" Target="../ctrlProps/ctrlProp74.xml"/><Relationship Id="rId113" Type="http://schemas.openxmlformats.org/officeDocument/2006/relationships/ctrlProp" Target="../ctrlProps/ctrlProp118.xml"/><Relationship Id="rId118" Type="http://schemas.openxmlformats.org/officeDocument/2006/relationships/ctrlProp" Target="../ctrlProps/ctrlProp123.xml"/><Relationship Id="rId134" Type="http://schemas.openxmlformats.org/officeDocument/2006/relationships/ctrlProp" Target="../ctrlProps/ctrlProp139.xml"/><Relationship Id="rId139" Type="http://schemas.openxmlformats.org/officeDocument/2006/relationships/ctrlProp" Target="../ctrlProps/ctrlProp144.xml"/><Relationship Id="rId80" Type="http://schemas.openxmlformats.org/officeDocument/2006/relationships/ctrlProp" Target="../ctrlProps/ctrlProp85.xml"/><Relationship Id="rId85" Type="http://schemas.openxmlformats.org/officeDocument/2006/relationships/ctrlProp" Target="../ctrlProps/ctrlProp90.xml"/><Relationship Id="rId150" Type="http://schemas.openxmlformats.org/officeDocument/2006/relationships/ctrlProp" Target="../ctrlProps/ctrlProp155.xml"/><Relationship Id="rId155" Type="http://schemas.openxmlformats.org/officeDocument/2006/relationships/ctrlProp" Target="../ctrlProps/ctrlProp160.xml"/><Relationship Id="rId171" Type="http://schemas.openxmlformats.org/officeDocument/2006/relationships/ctrlProp" Target="../ctrlProps/ctrlProp176.xml"/><Relationship Id="rId176" Type="http://schemas.openxmlformats.org/officeDocument/2006/relationships/ctrlProp" Target="../ctrlProps/ctrlProp181.xml"/><Relationship Id="rId192" Type="http://schemas.openxmlformats.org/officeDocument/2006/relationships/ctrlProp" Target="../ctrlProps/ctrlProp197.xml"/><Relationship Id="rId197" Type="http://schemas.openxmlformats.org/officeDocument/2006/relationships/ctrlProp" Target="../ctrlProps/ctrlProp202.xml"/><Relationship Id="rId206" Type="http://schemas.openxmlformats.org/officeDocument/2006/relationships/ctrlProp" Target="../ctrlProps/ctrlProp211.xml"/><Relationship Id="rId201" Type="http://schemas.openxmlformats.org/officeDocument/2006/relationships/ctrlProp" Target="../ctrlProps/ctrlProp206.xml"/><Relationship Id="rId222" Type="http://schemas.openxmlformats.org/officeDocument/2006/relationships/ctrlProp" Target="../ctrlProps/ctrlProp227.xml"/><Relationship Id="rId12" Type="http://schemas.openxmlformats.org/officeDocument/2006/relationships/ctrlProp" Target="../ctrlProps/ctrlProp17.xml"/><Relationship Id="rId17" Type="http://schemas.openxmlformats.org/officeDocument/2006/relationships/ctrlProp" Target="../ctrlProps/ctrlProp22.xml"/><Relationship Id="rId33" Type="http://schemas.openxmlformats.org/officeDocument/2006/relationships/ctrlProp" Target="../ctrlProps/ctrlProp38.xml"/><Relationship Id="rId38" Type="http://schemas.openxmlformats.org/officeDocument/2006/relationships/ctrlProp" Target="../ctrlProps/ctrlProp43.xml"/><Relationship Id="rId59" Type="http://schemas.openxmlformats.org/officeDocument/2006/relationships/ctrlProp" Target="../ctrlProps/ctrlProp64.xml"/><Relationship Id="rId103" Type="http://schemas.openxmlformats.org/officeDocument/2006/relationships/ctrlProp" Target="../ctrlProps/ctrlProp108.xml"/><Relationship Id="rId108" Type="http://schemas.openxmlformats.org/officeDocument/2006/relationships/ctrlProp" Target="../ctrlProps/ctrlProp113.xml"/><Relationship Id="rId124" Type="http://schemas.openxmlformats.org/officeDocument/2006/relationships/ctrlProp" Target="../ctrlProps/ctrlProp129.xml"/><Relationship Id="rId129" Type="http://schemas.openxmlformats.org/officeDocument/2006/relationships/ctrlProp" Target="../ctrlProps/ctrlProp134.xml"/><Relationship Id="rId54" Type="http://schemas.openxmlformats.org/officeDocument/2006/relationships/ctrlProp" Target="../ctrlProps/ctrlProp59.xml"/><Relationship Id="rId70" Type="http://schemas.openxmlformats.org/officeDocument/2006/relationships/ctrlProp" Target="../ctrlProps/ctrlProp75.xml"/><Relationship Id="rId75" Type="http://schemas.openxmlformats.org/officeDocument/2006/relationships/ctrlProp" Target="../ctrlProps/ctrlProp80.xml"/><Relationship Id="rId91" Type="http://schemas.openxmlformats.org/officeDocument/2006/relationships/ctrlProp" Target="../ctrlProps/ctrlProp96.xml"/><Relationship Id="rId96" Type="http://schemas.openxmlformats.org/officeDocument/2006/relationships/ctrlProp" Target="../ctrlProps/ctrlProp101.xml"/><Relationship Id="rId140" Type="http://schemas.openxmlformats.org/officeDocument/2006/relationships/ctrlProp" Target="../ctrlProps/ctrlProp145.xml"/><Relationship Id="rId145" Type="http://schemas.openxmlformats.org/officeDocument/2006/relationships/ctrlProp" Target="../ctrlProps/ctrlProp150.xml"/><Relationship Id="rId161" Type="http://schemas.openxmlformats.org/officeDocument/2006/relationships/ctrlProp" Target="../ctrlProps/ctrlProp166.xml"/><Relationship Id="rId166" Type="http://schemas.openxmlformats.org/officeDocument/2006/relationships/ctrlProp" Target="../ctrlProps/ctrlProp171.xml"/><Relationship Id="rId182" Type="http://schemas.openxmlformats.org/officeDocument/2006/relationships/ctrlProp" Target="../ctrlProps/ctrlProp187.xml"/><Relationship Id="rId187" Type="http://schemas.openxmlformats.org/officeDocument/2006/relationships/ctrlProp" Target="../ctrlProps/ctrlProp192.xml"/><Relationship Id="rId217" Type="http://schemas.openxmlformats.org/officeDocument/2006/relationships/ctrlProp" Target="../ctrlProps/ctrlProp222.xml"/><Relationship Id="rId1" Type="http://schemas.openxmlformats.org/officeDocument/2006/relationships/hyperlink" Target="http://wss/QC_Team/Tools%20and%20References/Job%20Aids/Checklist/PGE%20Build%20%20QC%20Checklist%20-%20Rev%201.pdf" TargetMode="External"/><Relationship Id="rId6" Type="http://schemas.openxmlformats.org/officeDocument/2006/relationships/ctrlProp" Target="../ctrlProps/ctrlProp11.xml"/><Relationship Id="rId212" Type="http://schemas.openxmlformats.org/officeDocument/2006/relationships/ctrlProp" Target="../ctrlProps/ctrlProp217.xml"/><Relationship Id="rId23" Type="http://schemas.openxmlformats.org/officeDocument/2006/relationships/ctrlProp" Target="../ctrlProps/ctrlProp28.xml"/><Relationship Id="rId28" Type="http://schemas.openxmlformats.org/officeDocument/2006/relationships/ctrlProp" Target="../ctrlProps/ctrlProp33.xml"/><Relationship Id="rId49" Type="http://schemas.openxmlformats.org/officeDocument/2006/relationships/ctrlProp" Target="../ctrlProps/ctrlProp54.xml"/><Relationship Id="rId114" Type="http://schemas.openxmlformats.org/officeDocument/2006/relationships/ctrlProp" Target="../ctrlProps/ctrlProp119.xml"/><Relationship Id="rId119" Type="http://schemas.openxmlformats.org/officeDocument/2006/relationships/ctrlProp" Target="../ctrlProps/ctrlProp124.xml"/><Relationship Id="rId44" Type="http://schemas.openxmlformats.org/officeDocument/2006/relationships/ctrlProp" Target="../ctrlProps/ctrlProp49.xml"/><Relationship Id="rId60" Type="http://schemas.openxmlformats.org/officeDocument/2006/relationships/ctrlProp" Target="../ctrlProps/ctrlProp65.xml"/><Relationship Id="rId65" Type="http://schemas.openxmlformats.org/officeDocument/2006/relationships/ctrlProp" Target="../ctrlProps/ctrlProp70.xml"/><Relationship Id="rId81" Type="http://schemas.openxmlformats.org/officeDocument/2006/relationships/ctrlProp" Target="../ctrlProps/ctrlProp86.xml"/><Relationship Id="rId86" Type="http://schemas.openxmlformats.org/officeDocument/2006/relationships/ctrlProp" Target="../ctrlProps/ctrlProp91.xml"/><Relationship Id="rId130" Type="http://schemas.openxmlformats.org/officeDocument/2006/relationships/ctrlProp" Target="../ctrlProps/ctrlProp135.xml"/><Relationship Id="rId135" Type="http://schemas.openxmlformats.org/officeDocument/2006/relationships/ctrlProp" Target="../ctrlProps/ctrlProp140.xml"/><Relationship Id="rId151" Type="http://schemas.openxmlformats.org/officeDocument/2006/relationships/ctrlProp" Target="../ctrlProps/ctrlProp156.xml"/><Relationship Id="rId156" Type="http://schemas.openxmlformats.org/officeDocument/2006/relationships/ctrlProp" Target="../ctrlProps/ctrlProp161.xml"/><Relationship Id="rId177" Type="http://schemas.openxmlformats.org/officeDocument/2006/relationships/ctrlProp" Target="../ctrlProps/ctrlProp182.xml"/><Relationship Id="rId198" Type="http://schemas.openxmlformats.org/officeDocument/2006/relationships/ctrlProp" Target="../ctrlProps/ctrlProp203.xml"/><Relationship Id="rId172" Type="http://schemas.openxmlformats.org/officeDocument/2006/relationships/ctrlProp" Target="../ctrlProps/ctrlProp177.xml"/><Relationship Id="rId193" Type="http://schemas.openxmlformats.org/officeDocument/2006/relationships/ctrlProp" Target="../ctrlProps/ctrlProp198.xml"/><Relationship Id="rId202" Type="http://schemas.openxmlformats.org/officeDocument/2006/relationships/ctrlProp" Target="../ctrlProps/ctrlProp207.xml"/><Relationship Id="rId207" Type="http://schemas.openxmlformats.org/officeDocument/2006/relationships/ctrlProp" Target="../ctrlProps/ctrlProp212.xml"/><Relationship Id="rId223" Type="http://schemas.openxmlformats.org/officeDocument/2006/relationships/ctrlProp" Target="../ctrlProps/ctrlProp228.xml"/><Relationship Id="rId13" Type="http://schemas.openxmlformats.org/officeDocument/2006/relationships/ctrlProp" Target="../ctrlProps/ctrlProp18.xml"/><Relationship Id="rId18" Type="http://schemas.openxmlformats.org/officeDocument/2006/relationships/ctrlProp" Target="../ctrlProps/ctrlProp23.xml"/><Relationship Id="rId39" Type="http://schemas.openxmlformats.org/officeDocument/2006/relationships/ctrlProp" Target="../ctrlProps/ctrlProp44.xml"/><Relationship Id="rId109" Type="http://schemas.openxmlformats.org/officeDocument/2006/relationships/ctrlProp" Target="../ctrlProps/ctrlProp114.xml"/><Relationship Id="rId34" Type="http://schemas.openxmlformats.org/officeDocument/2006/relationships/ctrlProp" Target="../ctrlProps/ctrlProp39.xml"/><Relationship Id="rId50" Type="http://schemas.openxmlformats.org/officeDocument/2006/relationships/ctrlProp" Target="../ctrlProps/ctrlProp55.xml"/><Relationship Id="rId55" Type="http://schemas.openxmlformats.org/officeDocument/2006/relationships/ctrlProp" Target="../ctrlProps/ctrlProp60.xml"/><Relationship Id="rId76" Type="http://schemas.openxmlformats.org/officeDocument/2006/relationships/ctrlProp" Target="../ctrlProps/ctrlProp81.xml"/><Relationship Id="rId97" Type="http://schemas.openxmlformats.org/officeDocument/2006/relationships/ctrlProp" Target="../ctrlProps/ctrlProp102.xml"/><Relationship Id="rId104" Type="http://schemas.openxmlformats.org/officeDocument/2006/relationships/ctrlProp" Target="../ctrlProps/ctrlProp109.xml"/><Relationship Id="rId120" Type="http://schemas.openxmlformats.org/officeDocument/2006/relationships/ctrlProp" Target="../ctrlProps/ctrlProp125.xml"/><Relationship Id="rId125" Type="http://schemas.openxmlformats.org/officeDocument/2006/relationships/ctrlProp" Target="../ctrlProps/ctrlProp130.xml"/><Relationship Id="rId141" Type="http://schemas.openxmlformats.org/officeDocument/2006/relationships/ctrlProp" Target="../ctrlProps/ctrlProp146.xml"/><Relationship Id="rId146" Type="http://schemas.openxmlformats.org/officeDocument/2006/relationships/ctrlProp" Target="../ctrlProps/ctrlProp151.xml"/><Relationship Id="rId167" Type="http://schemas.openxmlformats.org/officeDocument/2006/relationships/ctrlProp" Target="../ctrlProps/ctrlProp172.xml"/><Relationship Id="rId188" Type="http://schemas.openxmlformats.org/officeDocument/2006/relationships/ctrlProp" Target="../ctrlProps/ctrlProp193.xml"/><Relationship Id="rId7" Type="http://schemas.openxmlformats.org/officeDocument/2006/relationships/ctrlProp" Target="../ctrlProps/ctrlProp12.xml"/><Relationship Id="rId71" Type="http://schemas.openxmlformats.org/officeDocument/2006/relationships/ctrlProp" Target="../ctrlProps/ctrlProp76.xml"/><Relationship Id="rId92" Type="http://schemas.openxmlformats.org/officeDocument/2006/relationships/ctrlProp" Target="../ctrlProps/ctrlProp97.xml"/><Relationship Id="rId162" Type="http://schemas.openxmlformats.org/officeDocument/2006/relationships/ctrlProp" Target="../ctrlProps/ctrlProp167.xml"/><Relationship Id="rId183" Type="http://schemas.openxmlformats.org/officeDocument/2006/relationships/ctrlProp" Target="../ctrlProps/ctrlProp188.xml"/><Relationship Id="rId213" Type="http://schemas.openxmlformats.org/officeDocument/2006/relationships/ctrlProp" Target="../ctrlProps/ctrlProp218.xml"/><Relationship Id="rId218" Type="http://schemas.openxmlformats.org/officeDocument/2006/relationships/ctrlProp" Target="../ctrlProps/ctrlProp223.xml"/><Relationship Id="rId2" Type="http://schemas.openxmlformats.org/officeDocument/2006/relationships/hyperlink" Target="http://wss/Admin%20Shared/Tools/2%20Job%20Aids%20%5bCommentary%5d/Current%20PGE%20Build%20QC%20Checklist.pdf.lnk" TargetMode="External"/><Relationship Id="rId29" Type="http://schemas.openxmlformats.org/officeDocument/2006/relationships/ctrlProp" Target="../ctrlProps/ctrlProp34.xml"/><Relationship Id="rId24" Type="http://schemas.openxmlformats.org/officeDocument/2006/relationships/ctrlProp" Target="../ctrlProps/ctrlProp29.xml"/><Relationship Id="rId40" Type="http://schemas.openxmlformats.org/officeDocument/2006/relationships/ctrlProp" Target="../ctrlProps/ctrlProp45.xml"/><Relationship Id="rId45" Type="http://schemas.openxmlformats.org/officeDocument/2006/relationships/ctrlProp" Target="../ctrlProps/ctrlProp50.xml"/><Relationship Id="rId66" Type="http://schemas.openxmlformats.org/officeDocument/2006/relationships/ctrlProp" Target="../ctrlProps/ctrlProp71.xml"/><Relationship Id="rId87" Type="http://schemas.openxmlformats.org/officeDocument/2006/relationships/ctrlProp" Target="../ctrlProps/ctrlProp92.xml"/><Relationship Id="rId110" Type="http://schemas.openxmlformats.org/officeDocument/2006/relationships/ctrlProp" Target="../ctrlProps/ctrlProp115.xml"/><Relationship Id="rId115" Type="http://schemas.openxmlformats.org/officeDocument/2006/relationships/ctrlProp" Target="../ctrlProps/ctrlProp120.xml"/><Relationship Id="rId131" Type="http://schemas.openxmlformats.org/officeDocument/2006/relationships/ctrlProp" Target="../ctrlProps/ctrlProp136.xml"/><Relationship Id="rId136" Type="http://schemas.openxmlformats.org/officeDocument/2006/relationships/ctrlProp" Target="../ctrlProps/ctrlProp141.xml"/><Relationship Id="rId157" Type="http://schemas.openxmlformats.org/officeDocument/2006/relationships/ctrlProp" Target="../ctrlProps/ctrlProp162.xml"/><Relationship Id="rId178" Type="http://schemas.openxmlformats.org/officeDocument/2006/relationships/ctrlProp" Target="../ctrlProps/ctrlProp183.xml"/><Relationship Id="rId61" Type="http://schemas.openxmlformats.org/officeDocument/2006/relationships/ctrlProp" Target="../ctrlProps/ctrlProp66.xml"/><Relationship Id="rId82" Type="http://schemas.openxmlformats.org/officeDocument/2006/relationships/ctrlProp" Target="../ctrlProps/ctrlProp87.xml"/><Relationship Id="rId152" Type="http://schemas.openxmlformats.org/officeDocument/2006/relationships/ctrlProp" Target="../ctrlProps/ctrlProp157.xml"/><Relationship Id="rId173" Type="http://schemas.openxmlformats.org/officeDocument/2006/relationships/ctrlProp" Target="../ctrlProps/ctrlProp178.xml"/><Relationship Id="rId194" Type="http://schemas.openxmlformats.org/officeDocument/2006/relationships/ctrlProp" Target="../ctrlProps/ctrlProp199.xml"/><Relationship Id="rId199" Type="http://schemas.openxmlformats.org/officeDocument/2006/relationships/ctrlProp" Target="../ctrlProps/ctrlProp204.xml"/><Relationship Id="rId203" Type="http://schemas.openxmlformats.org/officeDocument/2006/relationships/ctrlProp" Target="../ctrlProps/ctrlProp208.xml"/><Relationship Id="rId208" Type="http://schemas.openxmlformats.org/officeDocument/2006/relationships/ctrlProp" Target="../ctrlProps/ctrlProp213.xml"/><Relationship Id="rId19" Type="http://schemas.openxmlformats.org/officeDocument/2006/relationships/ctrlProp" Target="../ctrlProps/ctrlProp24.xml"/><Relationship Id="rId224" Type="http://schemas.openxmlformats.org/officeDocument/2006/relationships/ctrlProp" Target="../ctrlProps/ctrlProp229.xml"/><Relationship Id="rId14" Type="http://schemas.openxmlformats.org/officeDocument/2006/relationships/ctrlProp" Target="../ctrlProps/ctrlProp19.xml"/><Relationship Id="rId30" Type="http://schemas.openxmlformats.org/officeDocument/2006/relationships/ctrlProp" Target="../ctrlProps/ctrlProp35.xml"/><Relationship Id="rId35" Type="http://schemas.openxmlformats.org/officeDocument/2006/relationships/ctrlProp" Target="../ctrlProps/ctrlProp40.xml"/><Relationship Id="rId56" Type="http://schemas.openxmlformats.org/officeDocument/2006/relationships/ctrlProp" Target="../ctrlProps/ctrlProp61.xml"/><Relationship Id="rId77" Type="http://schemas.openxmlformats.org/officeDocument/2006/relationships/ctrlProp" Target="../ctrlProps/ctrlProp82.xml"/><Relationship Id="rId100" Type="http://schemas.openxmlformats.org/officeDocument/2006/relationships/ctrlProp" Target="../ctrlProps/ctrlProp105.xml"/><Relationship Id="rId105" Type="http://schemas.openxmlformats.org/officeDocument/2006/relationships/ctrlProp" Target="../ctrlProps/ctrlProp110.xml"/><Relationship Id="rId126" Type="http://schemas.openxmlformats.org/officeDocument/2006/relationships/ctrlProp" Target="../ctrlProps/ctrlProp131.xml"/><Relationship Id="rId147" Type="http://schemas.openxmlformats.org/officeDocument/2006/relationships/ctrlProp" Target="../ctrlProps/ctrlProp152.xml"/><Relationship Id="rId168" Type="http://schemas.openxmlformats.org/officeDocument/2006/relationships/ctrlProp" Target="../ctrlProps/ctrlProp173.xml"/><Relationship Id="rId8" Type="http://schemas.openxmlformats.org/officeDocument/2006/relationships/ctrlProp" Target="../ctrlProps/ctrlProp13.xml"/><Relationship Id="rId51" Type="http://schemas.openxmlformats.org/officeDocument/2006/relationships/ctrlProp" Target="../ctrlProps/ctrlProp56.xml"/><Relationship Id="rId72" Type="http://schemas.openxmlformats.org/officeDocument/2006/relationships/ctrlProp" Target="../ctrlProps/ctrlProp77.xml"/><Relationship Id="rId93" Type="http://schemas.openxmlformats.org/officeDocument/2006/relationships/ctrlProp" Target="../ctrlProps/ctrlProp98.xml"/><Relationship Id="rId98" Type="http://schemas.openxmlformats.org/officeDocument/2006/relationships/ctrlProp" Target="../ctrlProps/ctrlProp103.xml"/><Relationship Id="rId121" Type="http://schemas.openxmlformats.org/officeDocument/2006/relationships/ctrlProp" Target="../ctrlProps/ctrlProp126.xml"/><Relationship Id="rId142" Type="http://schemas.openxmlformats.org/officeDocument/2006/relationships/ctrlProp" Target="../ctrlProps/ctrlProp147.xml"/><Relationship Id="rId163" Type="http://schemas.openxmlformats.org/officeDocument/2006/relationships/ctrlProp" Target="../ctrlProps/ctrlProp168.xml"/><Relationship Id="rId184" Type="http://schemas.openxmlformats.org/officeDocument/2006/relationships/ctrlProp" Target="../ctrlProps/ctrlProp189.xml"/><Relationship Id="rId189" Type="http://schemas.openxmlformats.org/officeDocument/2006/relationships/ctrlProp" Target="../ctrlProps/ctrlProp194.xml"/><Relationship Id="rId219" Type="http://schemas.openxmlformats.org/officeDocument/2006/relationships/ctrlProp" Target="../ctrlProps/ctrlProp224.xml"/><Relationship Id="rId3" Type="http://schemas.openxmlformats.org/officeDocument/2006/relationships/printerSettings" Target="../printerSettings/printerSettings5.bin"/><Relationship Id="rId214" Type="http://schemas.openxmlformats.org/officeDocument/2006/relationships/ctrlProp" Target="../ctrlProps/ctrlProp219.xml"/><Relationship Id="rId25" Type="http://schemas.openxmlformats.org/officeDocument/2006/relationships/ctrlProp" Target="../ctrlProps/ctrlProp30.xml"/><Relationship Id="rId46" Type="http://schemas.openxmlformats.org/officeDocument/2006/relationships/ctrlProp" Target="../ctrlProps/ctrlProp51.xml"/><Relationship Id="rId67" Type="http://schemas.openxmlformats.org/officeDocument/2006/relationships/ctrlProp" Target="../ctrlProps/ctrlProp72.xml"/><Relationship Id="rId116" Type="http://schemas.openxmlformats.org/officeDocument/2006/relationships/ctrlProp" Target="../ctrlProps/ctrlProp121.xml"/><Relationship Id="rId137" Type="http://schemas.openxmlformats.org/officeDocument/2006/relationships/ctrlProp" Target="../ctrlProps/ctrlProp142.xml"/><Relationship Id="rId158" Type="http://schemas.openxmlformats.org/officeDocument/2006/relationships/ctrlProp" Target="../ctrlProps/ctrlProp163.xml"/><Relationship Id="rId20" Type="http://schemas.openxmlformats.org/officeDocument/2006/relationships/ctrlProp" Target="../ctrlProps/ctrlProp25.xml"/><Relationship Id="rId41" Type="http://schemas.openxmlformats.org/officeDocument/2006/relationships/ctrlProp" Target="../ctrlProps/ctrlProp46.xml"/><Relationship Id="rId62" Type="http://schemas.openxmlformats.org/officeDocument/2006/relationships/ctrlProp" Target="../ctrlProps/ctrlProp67.xml"/><Relationship Id="rId83" Type="http://schemas.openxmlformats.org/officeDocument/2006/relationships/ctrlProp" Target="../ctrlProps/ctrlProp88.xml"/><Relationship Id="rId88" Type="http://schemas.openxmlformats.org/officeDocument/2006/relationships/ctrlProp" Target="../ctrlProps/ctrlProp93.xml"/><Relationship Id="rId111" Type="http://schemas.openxmlformats.org/officeDocument/2006/relationships/ctrlProp" Target="../ctrlProps/ctrlProp116.xml"/><Relationship Id="rId132" Type="http://schemas.openxmlformats.org/officeDocument/2006/relationships/ctrlProp" Target="../ctrlProps/ctrlProp137.xml"/><Relationship Id="rId153" Type="http://schemas.openxmlformats.org/officeDocument/2006/relationships/ctrlProp" Target="../ctrlProps/ctrlProp158.xml"/><Relationship Id="rId174" Type="http://schemas.openxmlformats.org/officeDocument/2006/relationships/ctrlProp" Target="../ctrlProps/ctrlProp179.xml"/><Relationship Id="rId179" Type="http://schemas.openxmlformats.org/officeDocument/2006/relationships/ctrlProp" Target="../ctrlProps/ctrlProp184.xml"/><Relationship Id="rId195" Type="http://schemas.openxmlformats.org/officeDocument/2006/relationships/ctrlProp" Target="../ctrlProps/ctrlProp200.xml"/><Relationship Id="rId209" Type="http://schemas.openxmlformats.org/officeDocument/2006/relationships/ctrlProp" Target="../ctrlProps/ctrlProp214.xml"/><Relationship Id="rId190" Type="http://schemas.openxmlformats.org/officeDocument/2006/relationships/ctrlProp" Target="../ctrlProps/ctrlProp195.xml"/><Relationship Id="rId204" Type="http://schemas.openxmlformats.org/officeDocument/2006/relationships/ctrlProp" Target="../ctrlProps/ctrlProp209.xml"/><Relationship Id="rId220" Type="http://schemas.openxmlformats.org/officeDocument/2006/relationships/ctrlProp" Target="../ctrlProps/ctrlProp225.xml"/><Relationship Id="rId225" Type="http://schemas.openxmlformats.org/officeDocument/2006/relationships/ctrlProp" Target="../ctrlProps/ctrlProp230.xml"/><Relationship Id="rId15" Type="http://schemas.openxmlformats.org/officeDocument/2006/relationships/ctrlProp" Target="../ctrlProps/ctrlProp20.xml"/><Relationship Id="rId36" Type="http://schemas.openxmlformats.org/officeDocument/2006/relationships/ctrlProp" Target="../ctrlProps/ctrlProp41.xml"/><Relationship Id="rId57" Type="http://schemas.openxmlformats.org/officeDocument/2006/relationships/ctrlProp" Target="../ctrlProps/ctrlProp62.xml"/><Relationship Id="rId106" Type="http://schemas.openxmlformats.org/officeDocument/2006/relationships/ctrlProp" Target="../ctrlProps/ctrlProp111.xml"/><Relationship Id="rId127" Type="http://schemas.openxmlformats.org/officeDocument/2006/relationships/ctrlProp" Target="../ctrlProps/ctrlProp132.xml"/><Relationship Id="rId10" Type="http://schemas.openxmlformats.org/officeDocument/2006/relationships/ctrlProp" Target="../ctrlProps/ctrlProp15.xml"/><Relationship Id="rId31" Type="http://schemas.openxmlformats.org/officeDocument/2006/relationships/ctrlProp" Target="../ctrlProps/ctrlProp36.xml"/><Relationship Id="rId52" Type="http://schemas.openxmlformats.org/officeDocument/2006/relationships/ctrlProp" Target="../ctrlProps/ctrlProp57.xml"/><Relationship Id="rId73" Type="http://schemas.openxmlformats.org/officeDocument/2006/relationships/ctrlProp" Target="../ctrlProps/ctrlProp78.xml"/><Relationship Id="rId78" Type="http://schemas.openxmlformats.org/officeDocument/2006/relationships/ctrlProp" Target="../ctrlProps/ctrlProp83.xml"/><Relationship Id="rId94" Type="http://schemas.openxmlformats.org/officeDocument/2006/relationships/ctrlProp" Target="../ctrlProps/ctrlProp99.xml"/><Relationship Id="rId99" Type="http://schemas.openxmlformats.org/officeDocument/2006/relationships/ctrlProp" Target="../ctrlProps/ctrlProp104.xml"/><Relationship Id="rId101" Type="http://schemas.openxmlformats.org/officeDocument/2006/relationships/ctrlProp" Target="../ctrlProps/ctrlProp106.xml"/><Relationship Id="rId122" Type="http://schemas.openxmlformats.org/officeDocument/2006/relationships/ctrlProp" Target="../ctrlProps/ctrlProp127.xml"/><Relationship Id="rId143" Type="http://schemas.openxmlformats.org/officeDocument/2006/relationships/ctrlProp" Target="../ctrlProps/ctrlProp148.xml"/><Relationship Id="rId148" Type="http://schemas.openxmlformats.org/officeDocument/2006/relationships/ctrlProp" Target="../ctrlProps/ctrlProp153.xml"/><Relationship Id="rId164" Type="http://schemas.openxmlformats.org/officeDocument/2006/relationships/ctrlProp" Target="../ctrlProps/ctrlProp169.xml"/><Relationship Id="rId169" Type="http://schemas.openxmlformats.org/officeDocument/2006/relationships/ctrlProp" Target="../ctrlProps/ctrlProp174.xml"/><Relationship Id="rId185" Type="http://schemas.openxmlformats.org/officeDocument/2006/relationships/ctrlProp" Target="../ctrlProps/ctrlProp190.xml"/><Relationship Id="rId4" Type="http://schemas.openxmlformats.org/officeDocument/2006/relationships/drawing" Target="../drawings/drawing3.xml"/><Relationship Id="rId9" Type="http://schemas.openxmlformats.org/officeDocument/2006/relationships/ctrlProp" Target="../ctrlProps/ctrlProp14.xml"/><Relationship Id="rId180" Type="http://schemas.openxmlformats.org/officeDocument/2006/relationships/ctrlProp" Target="../ctrlProps/ctrlProp185.xml"/><Relationship Id="rId210" Type="http://schemas.openxmlformats.org/officeDocument/2006/relationships/ctrlProp" Target="../ctrlProps/ctrlProp215.xml"/><Relationship Id="rId215" Type="http://schemas.openxmlformats.org/officeDocument/2006/relationships/ctrlProp" Target="../ctrlProps/ctrlProp220.xml"/><Relationship Id="rId26" Type="http://schemas.openxmlformats.org/officeDocument/2006/relationships/ctrlProp" Target="../ctrlProps/ctrlProp31.xml"/><Relationship Id="rId47" Type="http://schemas.openxmlformats.org/officeDocument/2006/relationships/ctrlProp" Target="../ctrlProps/ctrlProp52.xml"/><Relationship Id="rId68" Type="http://schemas.openxmlformats.org/officeDocument/2006/relationships/ctrlProp" Target="../ctrlProps/ctrlProp73.xml"/><Relationship Id="rId89" Type="http://schemas.openxmlformats.org/officeDocument/2006/relationships/ctrlProp" Target="../ctrlProps/ctrlProp94.xml"/><Relationship Id="rId112" Type="http://schemas.openxmlformats.org/officeDocument/2006/relationships/ctrlProp" Target="../ctrlProps/ctrlProp117.xml"/><Relationship Id="rId133" Type="http://schemas.openxmlformats.org/officeDocument/2006/relationships/ctrlProp" Target="../ctrlProps/ctrlProp138.xml"/><Relationship Id="rId154" Type="http://schemas.openxmlformats.org/officeDocument/2006/relationships/ctrlProp" Target="../ctrlProps/ctrlProp159.xml"/><Relationship Id="rId175" Type="http://schemas.openxmlformats.org/officeDocument/2006/relationships/ctrlProp" Target="../ctrlProps/ctrlProp180.xml"/><Relationship Id="rId196" Type="http://schemas.openxmlformats.org/officeDocument/2006/relationships/ctrlProp" Target="../ctrlProps/ctrlProp201.xml"/><Relationship Id="rId200" Type="http://schemas.openxmlformats.org/officeDocument/2006/relationships/ctrlProp" Target="../ctrlProps/ctrlProp205.xml"/><Relationship Id="rId16" Type="http://schemas.openxmlformats.org/officeDocument/2006/relationships/ctrlProp" Target="../ctrlProps/ctrlProp21.xml"/><Relationship Id="rId221" Type="http://schemas.openxmlformats.org/officeDocument/2006/relationships/ctrlProp" Target="../ctrlProps/ctrlProp226.xml"/><Relationship Id="rId37" Type="http://schemas.openxmlformats.org/officeDocument/2006/relationships/ctrlProp" Target="../ctrlProps/ctrlProp42.xml"/><Relationship Id="rId58" Type="http://schemas.openxmlformats.org/officeDocument/2006/relationships/ctrlProp" Target="../ctrlProps/ctrlProp63.xml"/><Relationship Id="rId79" Type="http://schemas.openxmlformats.org/officeDocument/2006/relationships/ctrlProp" Target="../ctrlProps/ctrlProp84.xml"/><Relationship Id="rId102" Type="http://schemas.openxmlformats.org/officeDocument/2006/relationships/ctrlProp" Target="../ctrlProps/ctrlProp107.xml"/><Relationship Id="rId123" Type="http://schemas.openxmlformats.org/officeDocument/2006/relationships/ctrlProp" Target="../ctrlProps/ctrlProp128.xml"/><Relationship Id="rId144" Type="http://schemas.openxmlformats.org/officeDocument/2006/relationships/ctrlProp" Target="../ctrlProps/ctrlProp149.xml"/><Relationship Id="rId90" Type="http://schemas.openxmlformats.org/officeDocument/2006/relationships/ctrlProp" Target="../ctrlProps/ctrlProp95.xml"/><Relationship Id="rId165" Type="http://schemas.openxmlformats.org/officeDocument/2006/relationships/ctrlProp" Target="../ctrlProps/ctrlProp170.xml"/><Relationship Id="rId186" Type="http://schemas.openxmlformats.org/officeDocument/2006/relationships/ctrlProp" Target="../ctrlProps/ctrlProp19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36.xml"/><Relationship Id="rId13" Type="http://schemas.openxmlformats.org/officeDocument/2006/relationships/ctrlProp" Target="../ctrlProps/ctrlProp241.xml"/><Relationship Id="rId3" Type="http://schemas.openxmlformats.org/officeDocument/2006/relationships/vmlDrawing" Target="../drawings/vmlDrawing6.vml"/><Relationship Id="rId7" Type="http://schemas.openxmlformats.org/officeDocument/2006/relationships/ctrlProp" Target="../ctrlProps/ctrlProp235.xml"/><Relationship Id="rId12" Type="http://schemas.openxmlformats.org/officeDocument/2006/relationships/ctrlProp" Target="../ctrlProps/ctrlProp240.xml"/><Relationship Id="rId17" Type="http://schemas.openxmlformats.org/officeDocument/2006/relationships/comments" Target="../comments3.xml"/><Relationship Id="rId2" Type="http://schemas.openxmlformats.org/officeDocument/2006/relationships/drawing" Target="../drawings/drawing5.xml"/><Relationship Id="rId16" Type="http://schemas.openxmlformats.org/officeDocument/2006/relationships/ctrlProp" Target="../ctrlProps/ctrlProp244.xml"/><Relationship Id="rId1" Type="http://schemas.openxmlformats.org/officeDocument/2006/relationships/printerSettings" Target="../printerSettings/printerSettings10.bin"/><Relationship Id="rId6" Type="http://schemas.openxmlformats.org/officeDocument/2006/relationships/ctrlProp" Target="../ctrlProps/ctrlProp234.xml"/><Relationship Id="rId11" Type="http://schemas.openxmlformats.org/officeDocument/2006/relationships/ctrlProp" Target="../ctrlProps/ctrlProp239.xml"/><Relationship Id="rId5" Type="http://schemas.openxmlformats.org/officeDocument/2006/relationships/ctrlProp" Target="../ctrlProps/ctrlProp233.xml"/><Relationship Id="rId15" Type="http://schemas.openxmlformats.org/officeDocument/2006/relationships/ctrlProp" Target="../ctrlProps/ctrlProp243.xml"/><Relationship Id="rId10" Type="http://schemas.openxmlformats.org/officeDocument/2006/relationships/ctrlProp" Target="../ctrlProps/ctrlProp238.xml"/><Relationship Id="rId4" Type="http://schemas.openxmlformats.org/officeDocument/2006/relationships/ctrlProp" Target="../ctrlProps/ctrlProp232.xml"/><Relationship Id="rId9" Type="http://schemas.openxmlformats.org/officeDocument/2006/relationships/ctrlProp" Target="../ctrlProps/ctrlProp237.xml"/><Relationship Id="rId14" Type="http://schemas.openxmlformats.org/officeDocument/2006/relationships/ctrlProp" Target="../ctrlProps/ctrlProp24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customProperty" Target="../customProperty1.bin"/><Relationship Id="rId5" Type="http://schemas.openxmlformats.org/officeDocument/2006/relationships/image" Target="../media/image3.emf"/><Relationship Id="rId4" Type="http://schemas.openxmlformats.org/officeDocument/2006/relationships/control" Target="../activeX/activeX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pageSetUpPr autoPageBreaks="0" fitToPage="1"/>
  </sheetPr>
  <dimension ref="A1:FC42"/>
  <sheetViews>
    <sheetView showGridLines="0" tabSelected="1" zoomScaleNormal="100" zoomScaleSheetLayoutView="100" workbookViewId="0">
      <pane xSplit="10" ySplit="2" topLeftCell="K3" activePane="bottomRight" state="frozen"/>
      <selection pane="topRight" activeCell="K1" sqref="K1"/>
      <selection pane="bottomLeft" activeCell="A3" sqref="A3"/>
      <selection pane="bottomRight" activeCell="K3" sqref="K3"/>
    </sheetView>
  </sheetViews>
  <sheetFormatPr defaultColWidth="8.7109375" defaultRowHeight="15" customHeight="1" x14ac:dyDescent="0.2"/>
  <cols>
    <col min="1" max="1" width="13.140625" style="389" bestFit="1" customWidth="1"/>
    <col min="2" max="2" width="18.85546875" style="389" bestFit="1" customWidth="1"/>
    <col min="3" max="3" width="8.7109375" style="390" customWidth="1"/>
    <col min="4" max="4" width="14.7109375" style="391" customWidth="1"/>
    <col min="5" max="5" width="8.7109375" style="412" customWidth="1"/>
    <col min="6" max="6" width="8.7109375" style="392" customWidth="1"/>
    <col min="7" max="7" width="8.7109375" style="393" customWidth="1"/>
    <col min="8" max="8" width="12.7109375" style="394" customWidth="1"/>
    <col min="9" max="9" width="13.140625" style="395" customWidth="1"/>
    <col min="10" max="10" width="8.7109375" style="396" customWidth="1"/>
    <col min="11" max="11" width="42.28515625" style="404" customWidth="1"/>
    <col min="12" max="12" width="8.7109375" style="397"/>
    <col min="13" max="14" width="8.7109375" style="389"/>
    <col min="15" max="18" width="8.7109375" style="398"/>
    <col min="19" max="19" width="8.7109375" style="390"/>
    <col min="20" max="20" width="15.42578125" style="390" customWidth="1"/>
    <col min="21" max="21" width="8.7109375" style="399"/>
    <col min="22" max="22" width="8.7109375" style="390"/>
    <col min="23" max="23" width="8.7109375" style="396"/>
    <col min="24" max="24" width="8.7109375" style="400"/>
    <col min="25" max="25" width="8.7109375" style="404"/>
    <col min="26" max="27" width="8.7109375" style="390"/>
    <col min="28" max="28" width="8.7109375" style="401"/>
    <col min="29" max="29" width="8.7109375" style="402"/>
    <col min="30" max="30" width="8.7109375" style="396"/>
    <col min="31" max="33" width="8.7109375" style="403"/>
    <col min="34" max="34" width="8.7109375" style="390"/>
    <col min="35" max="35" width="8.7109375" style="404"/>
    <col min="36" max="36" width="8.7109375" style="400"/>
    <col min="37" max="41" width="8.7109375" style="404"/>
    <col min="42" max="43" width="8.7109375" style="390"/>
    <col min="44" max="44" width="8.7109375" style="413"/>
    <col min="45" max="45" width="8.7109375" style="390"/>
    <col min="46" max="46" width="8.7109375" style="405"/>
    <col min="47" max="47" width="8.7109375" style="390"/>
    <col min="48" max="48" width="8.7109375" style="414"/>
    <col min="49" max="50" width="8.7109375" style="415"/>
    <col min="51" max="52" width="8.7109375" style="406"/>
    <col min="53" max="53" width="8.7109375" style="404"/>
    <col min="54" max="54" width="8.7109375" style="407"/>
    <col min="55" max="55" width="8.7109375" style="404"/>
    <col min="56" max="56" width="8.7109375" style="407"/>
    <col min="57" max="57" width="8.7109375" style="404"/>
    <col min="58" max="58" width="8.7109375" style="407"/>
    <col min="59" max="59" width="8.7109375" style="404"/>
    <col min="60" max="60" width="8.7109375" style="407"/>
    <col min="61" max="61" width="8.7109375" style="404"/>
    <col min="62" max="62" width="8.7109375" style="407"/>
    <col min="63" max="63" width="8.7109375" style="404"/>
    <col min="64" max="64" width="8.7109375" style="407"/>
    <col min="65" max="66" width="8.7109375" style="404"/>
    <col min="67" max="69" width="8.7109375" style="403"/>
    <col min="70" max="70" width="8.7109375" style="408"/>
    <col min="71" max="71" width="8.7109375" style="396"/>
    <col min="72" max="72" width="8.7109375" style="408"/>
    <col min="73" max="73" width="8.7109375" style="392"/>
    <col min="74" max="76" width="8.7109375" style="403"/>
    <col min="77" max="77" width="8.7109375" style="408"/>
    <col min="78" max="78" width="8.7109375" style="399"/>
    <col min="79" max="86" width="8.7109375" style="404"/>
    <col min="87" max="90" width="8.7109375" style="415"/>
    <col min="91" max="95" width="8.7109375" style="416"/>
    <col min="96" max="96" width="8.7109375" style="417"/>
    <col min="97" max="100" width="8.7109375" style="415"/>
    <col min="101" max="101" width="8.7109375" style="418"/>
    <col min="102" max="102" width="10.42578125" style="415" customWidth="1"/>
    <col min="103" max="109" width="8.7109375" style="415"/>
    <col min="110" max="110" width="9" style="415" customWidth="1"/>
    <col min="111" max="114" width="8.7109375" style="415"/>
    <col min="115" max="115" width="31.5703125" style="415" customWidth="1"/>
    <col min="116" max="116" width="29.42578125" style="415" customWidth="1"/>
    <col min="117" max="151" width="8.7109375" style="415"/>
    <col min="152" max="153" width="40.28515625" style="760" customWidth="1"/>
    <col min="154" max="155" width="8.7109375" style="415"/>
    <col min="156" max="159" width="22.28515625" style="415" customWidth="1"/>
    <col min="160" max="16384" width="8.7109375" style="411"/>
  </cols>
  <sheetData>
    <row r="1" spans="1:159" s="388" customFormat="1" ht="20.25" customHeight="1" x14ac:dyDescent="0.2">
      <c r="A1" s="419">
        <v>24</v>
      </c>
      <c r="B1" s="419" t="s">
        <v>1982</v>
      </c>
      <c r="C1" s="868" t="s">
        <v>1530</v>
      </c>
      <c r="D1" s="869"/>
      <c r="E1" s="869"/>
      <c r="F1" s="869"/>
      <c r="G1" s="385" t="s">
        <v>2083</v>
      </c>
      <c r="H1" s="792"/>
      <c r="I1" s="498" t="s">
        <v>1531</v>
      </c>
      <c r="J1" s="386" t="s">
        <v>2083</v>
      </c>
      <c r="K1" s="761" t="s">
        <v>1532</v>
      </c>
      <c r="L1" s="387">
        <v>0.93</v>
      </c>
      <c r="M1" s="499"/>
      <c r="N1" s="500"/>
      <c r="O1" s="870" t="s">
        <v>273</v>
      </c>
      <c r="P1" s="871"/>
      <c r="Q1" s="871"/>
      <c r="R1" s="871"/>
      <c r="S1" s="871"/>
      <c r="T1" s="871"/>
      <c r="U1" s="871"/>
      <c r="V1" s="871"/>
      <c r="W1" s="871"/>
      <c r="X1" s="872"/>
      <c r="Y1" s="865" t="s">
        <v>111</v>
      </c>
      <c r="Z1" s="866"/>
      <c r="AA1" s="866"/>
      <c r="AB1" s="866"/>
      <c r="AC1" s="866"/>
      <c r="AD1" s="863" t="s">
        <v>57</v>
      </c>
      <c r="AE1" s="864"/>
      <c r="AF1" s="864"/>
      <c r="AG1" s="789" t="s">
        <v>584</v>
      </c>
      <c r="AH1" s="864" t="s">
        <v>164</v>
      </c>
      <c r="AI1" s="864"/>
      <c r="AJ1" s="867" t="s">
        <v>112</v>
      </c>
      <c r="AK1" s="867"/>
      <c r="AL1" s="864" t="s">
        <v>585</v>
      </c>
      <c r="AM1" s="864"/>
      <c r="AN1" s="864"/>
      <c r="AO1" s="864"/>
      <c r="AP1" s="867" t="s">
        <v>278</v>
      </c>
      <c r="AQ1" s="867"/>
      <c r="AR1" s="867"/>
      <c r="AS1" s="864" t="s">
        <v>61</v>
      </c>
      <c r="AT1" s="864"/>
      <c r="AU1" s="864"/>
      <c r="AV1" s="864"/>
      <c r="AW1" s="864"/>
      <c r="AX1" s="864"/>
      <c r="AY1" s="864"/>
      <c r="AZ1" s="864"/>
      <c r="BA1" s="867" t="s">
        <v>702</v>
      </c>
      <c r="BB1" s="867"/>
      <c r="BC1" s="867"/>
      <c r="BD1" s="867"/>
      <c r="BE1" s="864" t="s">
        <v>280</v>
      </c>
      <c r="BF1" s="864"/>
      <c r="BG1" s="864"/>
      <c r="BH1" s="864"/>
      <c r="BI1" s="864"/>
      <c r="BJ1" s="864"/>
      <c r="BK1" s="864"/>
      <c r="BL1" s="864"/>
      <c r="BM1" s="867" t="s">
        <v>774</v>
      </c>
      <c r="BN1" s="867"/>
      <c r="BO1" s="864" t="s">
        <v>44</v>
      </c>
      <c r="BP1" s="864"/>
      <c r="BQ1" s="864"/>
      <c r="BR1" s="864"/>
      <c r="BS1" s="864"/>
      <c r="BT1" s="864"/>
      <c r="BU1" s="864"/>
      <c r="BV1" s="864"/>
      <c r="BW1" s="864"/>
      <c r="BX1" s="864"/>
      <c r="BY1" s="864"/>
      <c r="BZ1" s="864"/>
      <c r="CA1" s="867" t="s">
        <v>65</v>
      </c>
      <c r="CB1" s="867"/>
      <c r="CC1" s="867"/>
      <c r="CD1" s="867"/>
      <c r="CE1" s="867"/>
      <c r="CF1" s="867"/>
      <c r="CG1" s="793" t="s">
        <v>554</v>
      </c>
      <c r="CH1" s="794" t="s">
        <v>1113</v>
      </c>
      <c r="CI1" s="867" t="s">
        <v>2084</v>
      </c>
      <c r="CJ1" s="867"/>
      <c r="CK1" s="867"/>
      <c r="CL1" s="791"/>
      <c r="CM1" s="859" t="s">
        <v>286</v>
      </c>
      <c r="CN1" s="860"/>
      <c r="CO1" s="860"/>
      <c r="CP1" s="860"/>
      <c r="CQ1" s="861"/>
      <c r="CR1" s="441"/>
      <c r="CS1" s="862" t="s">
        <v>515</v>
      </c>
      <c r="CT1" s="862"/>
      <c r="CU1" s="862"/>
      <c r="CV1" s="862"/>
      <c r="CW1" s="790"/>
      <c r="CX1" s="757">
        <v>24</v>
      </c>
      <c r="CY1" s="766" t="s">
        <v>1988</v>
      </c>
      <c r="CZ1" s="854" t="s">
        <v>354</v>
      </c>
      <c r="DA1" s="855"/>
      <c r="DB1" s="855"/>
      <c r="DC1" s="855"/>
      <c r="DD1" s="855"/>
      <c r="DE1" s="855"/>
      <c r="DF1" s="855"/>
      <c r="DG1" s="855"/>
      <c r="DH1" s="855"/>
      <c r="DI1" s="855"/>
      <c r="DJ1" s="855"/>
      <c r="DK1" s="855"/>
      <c r="DL1" s="855"/>
      <c r="DM1" s="855"/>
      <c r="DN1" s="855"/>
      <c r="DO1" s="855"/>
      <c r="DP1" s="856"/>
      <c r="DQ1" s="857" t="s">
        <v>1743</v>
      </c>
      <c r="DR1" s="857"/>
      <c r="DS1" s="857"/>
      <c r="DT1" s="857"/>
      <c r="DU1" s="858" t="s">
        <v>1744</v>
      </c>
      <c r="DV1" s="858"/>
      <c r="DW1" s="858"/>
      <c r="DX1" s="858"/>
      <c r="DY1" s="755" t="s">
        <v>1745</v>
      </c>
      <c r="DZ1" s="858" t="s">
        <v>1746</v>
      </c>
      <c r="EA1" s="858"/>
      <c r="EB1" s="858"/>
      <c r="EC1" s="858"/>
      <c r="ED1" s="858"/>
      <c r="EE1" s="858"/>
      <c r="EF1" s="858"/>
      <c r="EG1" s="858"/>
      <c r="EH1" s="858"/>
      <c r="EI1" s="858" t="s">
        <v>1747</v>
      </c>
      <c r="EJ1" s="858"/>
      <c r="EK1" s="857" t="s">
        <v>1748</v>
      </c>
      <c r="EL1" s="857"/>
      <c r="EM1" s="857" t="s">
        <v>1749</v>
      </c>
      <c r="EN1" s="857"/>
      <c r="EO1" s="857" t="s">
        <v>1750</v>
      </c>
      <c r="EP1" s="857"/>
      <c r="EQ1" s="857"/>
      <c r="ER1" s="756"/>
      <c r="ES1" s="857" t="s">
        <v>1751</v>
      </c>
      <c r="ET1" s="857"/>
      <c r="EU1" s="755" t="s">
        <v>1752</v>
      </c>
      <c r="EV1" s="857" t="s">
        <v>1753</v>
      </c>
      <c r="EW1" s="857"/>
      <c r="EX1" s="857"/>
      <c r="EY1" s="857"/>
      <c r="EZ1" s="857" t="s">
        <v>1754</v>
      </c>
      <c r="FA1" s="857"/>
      <c r="FB1" s="857"/>
      <c r="FC1" s="857"/>
    </row>
    <row r="2" spans="1:159" s="501" customFormat="1" ht="48" customHeight="1" x14ac:dyDescent="0.2">
      <c r="A2" s="420" t="s">
        <v>174</v>
      </c>
      <c r="B2" s="420" t="s">
        <v>175</v>
      </c>
      <c r="C2" s="421" t="s">
        <v>70</v>
      </c>
      <c r="D2" s="422" t="s">
        <v>66</v>
      </c>
      <c r="E2" s="422" t="s">
        <v>118</v>
      </c>
      <c r="F2" s="423" t="s">
        <v>182</v>
      </c>
      <c r="G2" s="423" t="s">
        <v>471</v>
      </c>
      <c r="H2" s="424" t="s">
        <v>51</v>
      </c>
      <c r="I2" s="425" t="s">
        <v>342</v>
      </c>
      <c r="J2" s="426" t="s">
        <v>343</v>
      </c>
      <c r="K2" s="421" t="s">
        <v>1414</v>
      </c>
      <c r="L2" s="427" t="s">
        <v>87</v>
      </c>
      <c r="M2" s="428" t="s">
        <v>88</v>
      </c>
      <c r="N2" s="428" t="s">
        <v>89</v>
      </c>
      <c r="O2" s="426" t="s">
        <v>777</v>
      </c>
      <c r="P2" s="429" t="s">
        <v>271</v>
      </c>
      <c r="Q2" s="426" t="s">
        <v>270</v>
      </c>
      <c r="R2" s="429" t="s">
        <v>272</v>
      </c>
      <c r="S2" s="429" t="s">
        <v>155</v>
      </c>
      <c r="T2" s="430" t="s">
        <v>279</v>
      </c>
      <c r="U2" s="431" t="s">
        <v>751</v>
      </c>
      <c r="V2" s="421" t="s">
        <v>99</v>
      </c>
      <c r="W2" s="426" t="s">
        <v>97</v>
      </c>
      <c r="X2" s="432" t="s">
        <v>883</v>
      </c>
      <c r="Y2" s="421" t="s">
        <v>178</v>
      </c>
      <c r="Z2" s="432" t="s">
        <v>1243</v>
      </c>
      <c r="AA2" s="432" t="s">
        <v>431</v>
      </c>
      <c r="AB2" s="432" t="s">
        <v>181</v>
      </c>
      <c r="AC2" s="432" t="s">
        <v>177</v>
      </c>
      <c r="AD2" s="432" t="s">
        <v>163</v>
      </c>
      <c r="AE2" s="432" t="s">
        <v>161</v>
      </c>
      <c r="AF2" s="432" t="s">
        <v>344</v>
      </c>
      <c r="AG2" s="432" t="s">
        <v>48</v>
      </c>
      <c r="AH2" s="432" t="s">
        <v>180</v>
      </c>
      <c r="AI2" s="432" t="s">
        <v>160</v>
      </c>
      <c r="AJ2" s="432" t="s">
        <v>882</v>
      </c>
      <c r="AK2" s="421" t="s">
        <v>179</v>
      </c>
      <c r="AL2" s="432" t="s">
        <v>310</v>
      </c>
      <c r="AM2" s="432" t="s">
        <v>312</v>
      </c>
      <c r="AN2" s="432" t="s">
        <v>342</v>
      </c>
      <c r="AO2" s="432" t="s">
        <v>311</v>
      </c>
      <c r="AP2" s="432" t="s">
        <v>162</v>
      </c>
      <c r="AQ2" s="432" t="s">
        <v>276</v>
      </c>
      <c r="AR2" s="432" t="s">
        <v>277</v>
      </c>
      <c r="AS2" s="425" t="s">
        <v>227</v>
      </c>
      <c r="AT2" s="425" t="s">
        <v>275</v>
      </c>
      <c r="AU2" s="425" t="s">
        <v>313</v>
      </c>
      <c r="AV2" s="425" t="s">
        <v>673</v>
      </c>
      <c r="AW2" s="425" t="s">
        <v>47</v>
      </c>
      <c r="AX2" s="425" t="s">
        <v>45</v>
      </c>
      <c r="AY2" s="425" t="s">
        <v>46</v>
      </c>
      <c r="AZ2" s="425" t="s">
        <v>69</v>
      </c>
      <c r="BA2" s="433" t="s">
        <v>411</v>
      </c>
      <c r="BB2" s="434" t="s">
        <v>412</v>
      </c>
      <c r="BC2" s="433" t="s">
        <v>734</v>
      </c>
      <c r="BD2" s="434" t="s">
        <v>32</v>
      </c>
      <c r="BE2" s="435" t="s">
        <v>220</v>
      </c>
      <c r="BF2" s="436" t="s">
        <v>467</v>
      </c>
      <c r="BG2" s="435" t="s">
        <v>172</v>
      </c>
      <c r="BH2" s="436" t="s">
        <v>468</v>
      </c>
      <c r="BI2" s="435" t="s">
        <v>173</v>
      </c>
      <c r="BJ2" s="436" t="s">
        <v>469</v>
      </c>
      <c r="BK2" s="435" t="s">
        <v>413</v>
      </c>
      <c r="BL2" s="436" t="s">
        <v>555</v>
      </c>
      <c r="BM2" s="435" t="s">
        <v>772</v>
      </c>
      <c r="BN2" s="435" t="s">
        <v>773</v>
      </c>
      <c r="BO2" s="425" t="s">
        <v>342</v>
      </c>
      <c r="BP2" s="425" t="s">
        <v>113</v>
      </c>
      <c r="BQ2" s="425" t="s">
        <v>306</v>
      </c>
      <c r="BR2" s="425" t="s">
        <v>742</v>
      </c>
      <c r="BS2" s="425" t="s">
        <v>643</v>
      </c>
      <c r="BT2" s="425" t="s">
        <v>307</v>
      </c>
      <c r="BU2" s="423" t="s">
        <v>741</v>
      </c>
      <c r="BV2" s="425" t="s">
        <v>308</v>
      </c>
      <c r="BW2" s="425" t="s">
        <v>309</v>
      </c>
      <c r="BX2" s="425" t="s">
        <v>893</v>
      </c>
      <c r="BY2" s="425" t="s">
        <v>892</v>
      </c>
      <c r="BZ2" s="425" t="s">
        <v>946</v>
      </c>
      <c r="CA2" s="437" t="s">
        <v>556</v>
      </c>
      <c r="CB2" s="437" t="s">
        <v>557</v>
      </c>
      <c r="CC2" s="437" t="s">
        <v>558</v>
      </c>
      <c r="CD2" s="437" t="s">
        <v>559</v>
      </c>
      <c r="CE2" s="437" t="s">
        <v>560</v>
      </c>
      <c r="CF2" s="437" t="s">
        <v>405</v>
      </c>
      <c r="CG2" s="437" t="s">
        <v>85</v>
      </c>
      <c r="CH2" s="437" t="s">
        <v>1104</v>
      </c>
      <c r="CI2" s="438" t="s">
        <v>670</v>
      </c>
      <c r="CJ2" s="438" t="s">
        <v>671</v>
      </c>
      <c r="CK2" s="438" t="s">
        <v>2085</v>
      </c>
      <c r="CL2" s="534" t="s">
        <v>588</v>
      </c>
      <c r="CM2" s="535" t="s">
        <v>281</v>
      </c>
      <c r="CN2" s="535" t="s">
        <v>282</v>
      </c>
      <c r="CO2" s="535" t="s">
        <v>283</v>
      </c>
      <c r="CP2" s="535" t="s">
        <v>284</v>
      </c>
      <c r="CQ2" s="535" t="s">
        <v>285</v>
      </c>
      <c r="CR2" s="810" t="s">
        <v>166</v>
      </c>
      <c r="CS2" s="439" t="s">
        <v>690</v>
      </c>
      <c r="CT2" s="439" t="s">
        <v>691</v>
      </c>
      <c r="CU2" s="439" t="s">
        <v>1415</v>
      </c>
      <c r="CV2" s="439" t="s">
        <v>692</v>
      </c>
      <c r="CW2" s="440" t="s">
        <v>693</v>
      </c>
      <c r="CX2" s="566" t="s">
        <v>1755</v>
      </c>
      <c r="CY2" s="566" t="s">
        <v>1756</v>
      </c>
      <c r="CZ2" s="566" t="s">
        <v>751</v>
      </c>
      <c r="DA2" s="567" t="s">
        <v>1757</v>
      </c>
      <c r="DB2" s="566" t="s">
        <v>1758</v>
      </c>
      <c r="DC2" s="566" t="s">
        <v>1759</v>
      </c>
      <c r="DD2" s="567" t="s">
        <v>1760</v>
      </c>
      <c r="DE2" s="566" t="s">
        <v>1761</v>
      </c>
      <c r="DF2" s="567" t="s">
        <v>1762</v>
      </c>
      <c r="DG2" s="566" t="s">
        <v>1763</v>
      </c>
      <c r="DH2" s="566" t="s">
        <v>1764</v>
      </c>
      <c r="DI2" s="566" t="s">
        <v>1765</v>
      </c>
      <c r="DJ2" s="566" t="s">
        <v>1766</v>
      </c>
      <c r="DK2" s="566" t="s">
        <v>155</v>
      </c>
      <c r="DL2" s="567" t="s">
        <v>1767</v>
      </c>
      <c r="DM2" s="566" t="s">
        <v>1768</v>
      </c>
      <c r="DN2" s="566" t="s">
        <v>1769</v>
      </c>
      <c r="DO2" s="566" t="s">
        <v>1770</v>
      </c>
      <c r="DP2" s="566" t="s">
        <v>1771</v>
      </c>
      <c r="DQ2" s="566" t="s">
        <v>1772</v>
      </c>
      <c r="DR2" s="566" t="s">
        <v>1773</v>
      </c>
      <c r="DS2" s="566" t="s">
        <v>1774</v>
      </c>
      <c r="DT2" s="566" t="s">
        <v>1775</v>
      </c>
      <c r="DU2" s="566" t="s">
        <v>1776</v>
      </c>
      <c r="DV2" s="566" t="s">
        <v>1777</v>
      </c>
      <c r="DW2" s="566" t="s">
        <v>1778</v>
      </c>
      <c r="DX2" s="566" t="s">
        <v>1779</v>
      </c>
      <c r="DY2" s="566" t="s">
        <v>1780</v>
      </c>
      <c r="DZ2" s="566" t="s">
        <v>182</v>
      </c>
      <c r="EA2" s="566" t="s">
        <v>741</v>
      </c>
      <c r="EB2" s="566" t="s">
        <v>1781</v>
      </c>
      <c r="EC2" s="566" t="s">
        <v>742</v>
      </c>
      <c r="ED2" s="566" t="s">
        <v>1782</v>
      </c>
      <c r="EE2" s="566" t="s">
        <v>46</v>
      </c>
      <c r="EF2" s="566" t="s">
        <v>1933</v>
      </c>
      <c r="EG2" s="566" t="s">
        <v>1783</v>
      </c>
      <c r="EH2" s="566" t="s">
        <v>1784</v>
      </c>
      <c r="EI2" s="566" t="s">
        <v>1785</v>
      </c>
      <c r="EJ2" s="566" t="s">
        <v>1786</v>
      </c>
      <c r="EK2" s="566" t="s">
        <v>1787</v>
      </c>
      <c r="EL2" s="566" t="s">
        <v>1788</v>
      </c>
      <c r="EM2" s="566" t="s">
        <v>1776</v>
      </c>
      <c r="EN2" s="566" t="s">
        <v>1777</v>
      </c>
      <c r="EO2" s="566" t="s">
        <v>1789</v>
      </c>
      <c r="EP2" s="566" t="s">
        <v>1790</v>
      </c>
      <c r="EQ2" s="566" t="s">
        <v>1791</v>
      </c>
      <c r="ER2" s="566" t="s">
        <v>1792</v>
      </c>
      <c r="ES2" s="566" t="s">
        <v>1793</v>
      </c>
      <c r="ET2" s="566" t="s">
        <v>1794</v>
      </c>
      <c r="EU2" s="566" t="s">
        <v>1795</v>
      </c>
      <c r="EV2" s="566" t="s">
        <v>1796</v>
      </c>
      <c r="EW2" s="566" t="s">
        <v>1797</v>
      </c>
      <c r="EX2" s="566" t="s">
        <v>489</v>
      </c>
      <c r="EY2" s="758" t="s">
        <v>1798</v>
      </c>
      <c r="EZ2" s="568" t="s">
        <v>1799</v>
      </c>
      <c r="FA2" s="568" t="s">
        <v>1800</v>
      </c>
      <c r="FB2" s="568" t="s">
        <v>1801</v>
      </c>
      <c r="FC2" s="568" t="s">
        <v>1802</v>
      </c>
    </row>
    <row r="3" spans="1:159" ht="15" customHeight="1" x14ac:dyDescent="0.2">
      <c r="A3" s="389">
        <f>INT(L3*5280)</f>
        <v>0</v>
      </c>
      <c r="B3" s="389">
        <f>INT(M3*5280)</f>
        <v>0</v>
      </c>
      <c r="C3" s="390">
        <v>801</v>
      </c>
      <c r="D3" s="391" t="s">
        <v>1208</v>
      </c>
      <c r="E3" s="391">
        <v>4261434</v>
      </c>
      <c r="F3" s="392">
        <v>30025</v>
      </c>
      <c r="G3" s="393">
        <v>1</v>
      </c>
      <c r="H3" s="394" t="s">
        <v>594</v>
      </c>
      <c r="I3" s="395" t="s">
        <v>948</v>
      </c>
      <c r="J3" s="396">
        <v>0.4</v>
      </c>
      <c r="K3" s="404" t="s">
        <v>1989</v>
      </c>
      <c r="L3" s="397">
        <v>0</v>
      </c>
      <c r="O3" s="398">
        <v>8.625</v>
      </c>
      <c r="S3" s="395"/>
      <c r="T3" s="390" t="s">
        <v>158</v>
      </c>
      <c r="U3" s="399" t="s">
        <v>606</v>
      </c>
      <c r="V3" s="390" t="s">
        <v>755</v>
      </c>
      <c r="X3" s="400">
        <v>720</v>
      </c>
      <c r="Y3" s="390"/>
      <c r="Z3" s="390" t="s">
        <v>158</v>
      </c>
      <c r="AB3" s="401" t="s">
        <v>617</v>
      </c>
      <c r="AC3" s="413" t="s">
        <v>1409</v>
      </c>
      <c r="AG3" s="391"/>
      <c r="AK3" s="390"/>
      <c r="AL3" s="390"/>
      <c r="AM3" s="390"/>
      <c r="AN3" s="390"/>
      <c r="AO3" s="390"/>
      <c r="AP3" s="390" t="s">
        <v>158</v>
      </c>
      <c r="AR3" s="392">
        <v>30025</v>
      </c>
      <c r="AS3" s="390" t="s">
        <v>158</v>
      </c>
      <c r="AT3" s="405">
        <v>25232</v>
      </c>
      <c r="AU3" s="390" t="s">
        <v>158</v>
      </c>
      <c r="AV3" s="392"/>
      <c r="AW3" s="403" t="s">
        <v>590</v>
      </c>
      <c r="AX3" s="406" t="s">
        <v>590</v>
      </c>
      <c r="AY3" s="406" t="s">
        <v>590</v>
      </c>
      <c r="AZ3" s="406" t="s">
        <v>158</v>
      </c>
      <c r="BA3" s="390"/>
      <c r="BB3" s="395"/>
      <c r="BC3" s="390"/>
      <c r="BD3" s="395"/>
      <c r="BE3" s="390" t="s">
        <v>1990</v>
      </c>
      <c r="BF3" s="395" t="s">
        <v>40</v>
      </c>
      <c r="BG3" s="852" t="s">
        <v>1991</v>
      </c>
      <c r="BH3" s="395" t="s">
        <v>43</v>
      </c>
      <c r="BI3" s="390"/>
      <c r="BJ3" s="395"/>
      <c r="BK3" s="390"/>
      <c r="BM3" s="404" t="s">
        <v>1992</v>
      </c>
      <c r="BN3" s="404" t="s">
        <v>1993</v>
      </c>
      <c r="BZ3" s="399">
        <v>204</v>
      </c>
      <c r="CA3" s="390" t="s">
        <v>1994</v>
      </c>
      <c r="CB3" s="390" t="s">
        <v>1995</v>
      </c>
      <c r="CC3" s="390" t="s">
        <v>1996</v>
      </c>
      <c r="CD3" s="390"/>
      <c r="CE3" s="390" t="s">
        <v>1997</v>
      </c>
      <c r="CF3" s="390" t="s">
        <v>40</v>
      </c>
      <c r="CG3" s="390"/>
      <c r="CH3" s="390" t="s">
        <v>158</v>
      </c>
      <c r="CI3" s="403" t="s">
        <v>1998</v>
      </c>
      <c r="CJ3" s="403" t="s">
        <v>1999</v>
      </c>
      <c r="CK3" s="403" t="s">
        <v>2000</v>
      </c>
      <c r="CL3" s="403" t="s">
        <v>589</v>
      </c>
      <c r="CM3" s="390" t="s">
        <v>2001</v>
      </c>
      <c r="CN3" s="390" t="s">
        <v>2002</v>
      </c>
      <c r="CO3" s="390"/>
      <c r="CP3" s="390"/>
      <c r="CQ3" s="390"/>
      <c r="CR3" s="409" t="str">
        <f>IF((IF(ISNA(VLOOKUP($BB3,Instructions!$A$133:$J$138,10,FALSE)),0,VLOOKUP($BB3,Instructions!$A$133:$J$138,10,FALSE))+IF(ISNA(VLOOKUP($BD3,Instructions!$A$133:$J$138,10,FALSE)),0,VLOOKUP($BD3,Instructions!$A$133:$J$138,10,FALSE))+IF(ISNA(VLOOKUP($BF3,Instructions!$A$133:$J$138,10,FALSE)),0,VLOOKUP($BF3,Instructions!$A$133:$J$138,10,FALSE))+IF(ISNA(VLOOKUP($BH3,Instructions!$A$133:$J$138,10,FALSE)),0,VLOOKUP($BH3,Instructions!$A$133:$J$138,10,FALSE))+IF(ISNA(VLOOKUP($BJ3,Instructions!$A$133:$J$138,10,FALSE)),0,VLOOKUP($BJ3,Instructions!$A$133:$J$138,10,FALSE))+IF(ISNA(VLOOKUP($BL3,Instructions!$A$133:$J$138,10,FALSE)),0,VLOOKUP($BL3,Instructions!$A$133:$J$138,10,FALSE)))&lt;2,"Poor","Usable")</f>
        <v>Usable</v>
      </c>
      <c r="CS3" s="409">
        <f>IF(ISNA(VLOOKUP($D3,Selections!$A$7:$B$19,2,FALSE)),0.4,VLOOKUP($D3,Selections!$A$7:$B$19,2,FALSE))</f>
        <v>0.5</v>
      </c>
      <c r="CT3" s="409">
        <f t="shared" ref="CT3:CT42" si="0">IF(ISNUMBER($U3),(IF($U3&gt;0,$U3,(IF($U3&lt;=0,24000,24000)))),24000)</f>
        <v>24000</v>
      </c>
      <c r="CU3" s="409">
        <f>IF((OR(ISBLANK($P3),$P3&lt;=0)),IF(ISNA(VLOOKUP($O3,Selections!$A$21:$D$48,4,FALSE)),0.113,VLOOKUP($O3,Selections!$A$21:$D$48,4,FALSE)),$P3)</f>
        <v>0.17199999999999999</v>
      </c>
      <c r="CV3" s="409">
        <f>IF(ISNA(VLOOKUP($S3,Selections!$A$57:$B$75,2,FALSE)),0.6,VLOOKUP($S3,Selections!$A$57:$B$75,2,FALSE))</f>
        <v>0.6</v>
      </c>
      <c r="CW3" s="410" t="str">
        <f>IF(OR($H3="",$H3="Valve",$H3="PCF",$H3="Regulator",$H3="Relief Valve",$H3="Appurtenance",$H3="Meter",$H3="Other",$H3="Pig Trap",$H3="Flange"),     IF(AND($BZ3&gt;0,$O3&gt;0),     IF($BZ3&gt;(      IF(IF(ISBLANK($V3),0,ISNA(VLOOKUP($V3,Selections!$A$153:$B$177,2,FALSE))),"n/a",IF(ISBLANK($V3),0,VLOOKUP($V3,Selections!$A$153:$B$177,2,FALSE)))),    "Chk Rating","OK Rating"),"n/a" ),IF(AND($BZ3&gt;0,$O3&gt;0),$BZ3/((2*$CT3*$CU3*$CV3)/$O3),1))</f>
        <v>OK Rating</v>
      </c>
      <c r="CX3" s="569" t="str">
        <f t="shared" ref="CX3" si="1">IF(H3="Other",I3,IF(H3="","Unknown",H3))</f>
        <v>Flange</v>
      </c>
      <c r="CY3" s="570" t="str">
        <f t="shared" ref="CY3" si="2">IF(AW3&gt;0,AW3,"N/A")</f>
        <v>No</v>
      </c>
      <c r="CZ3" s="571" t="str">
        <f t="shared" ref="CZ3" si="3">IF(OR(CX3="Pipe",CX3="Field Bend",CX3="Mfg Bend",CX3="Tee",CX3="Reducer",CX3="Sleeve",CX3="Cap"),U3,"N/A")</f>
        <v>N/A</v>
      </c>
      <c r="DA3" s="571"/>
      <c r="DB3" s="570"/>
      <c r="DC3" s="572" t="str">
        <f t="shared" ref="DC3" si="4">IF(P3=0,"N/A",P3)</f>
        <v>N/A</v>
      </c>
      <c r="DD3" s="573"/>
      <c r="DE3" s="573" t="str">
        <f t="shared" ref="DE3" si="5">IF(AND(R3&gt;0,I3&lt;&gt;"Casing"),R3,"N/A")</f>
        <v>N/A</v>
      </c>
      <c r="DF3" s="573"/>
      <c r="DG3" s="570"/>
      <c r="DH3" s="574">
        <f t="shared" ref="DH3" ca="1" si="6">IF(AND(CX3="Sleeve",P3=""),IF(DC3="N/A","Unknown",OFFSET(DH3,1,0)+(2*DC3)+0.25),IF(O3="","Unknown",O3))</f>
        <v>8.625</v>
      </c>
      <c r="DI3" s="574" t="str">
        <f>IF(AND(Q3&gt;0,I3&lt;&gt;"Casing"),Q3,IF(AND(OR(CX3="Reducer",CX3="Tee"),Q3=""),"ERROR","N/A"))</f>
        <v>N/A</v>
      </c>
      <c r="DJ3" s="570"/>
      <c r="DK3" s="575" t="str">
        <f>IF(CX3="Repair Can","NEEDS SEAM TYPE",IF(CX3="Insulating Joint","Unknown",IF(OR(CX3="Valve",CX3="PCF",CX3="Flange",CX3="Appurtenance",CX3="Meter",CX3="Pig Trap",CX3="Regulator",CX3="Relief Valve",CX3="Cap",AND(H3="Other",CX3&lt;&gt;"Sleeve")),"N/A",IF(OR(CX3="Sleeve",AND(OR(S3="N/A - Valve/Filter/Other",S3="Unknown &gt; 4 inch",S3="Unknown &gt; 4 - Modern",S3="Unknown 4 inch or less"),OR(CX3="Mfg Bend",CX3="Tee",CX3="Reducer"))),"Unknown",IF(OR(AND(OR(CX3="Mfg Bend",CX3="Tee",CX3="Reducer"),OR(S3="Sleeve",S3="Polyethylene Pipe")),AND(OR(CX3="Pipe",CX3="Field Bend"),OR(S3="N/A - Valve/Filter/Other",S3="Sleeve"))),"ERROR",IF(S3="","Unknown",S3))))))</f>
        <v>N/A</v>
      </c>
      <c r="DL3" s="573"/>
      <c r="DM3" s="576" t="str">
        <f>IF(OR(DK3="Furnace Butt Weld",DK3="Unknown 4 inch or less"),0.6,IF(OR(DK3="Unknown &gt; 4 inch",DK3="Lap Weld",DK3="AO Smith ",DK3="AO Smith",DK3="Single Submerged Arc Weld",DK3="Spiral Weld",DK3="Spiral Weld/Lap Weld",DK3="Single Submerged Arc Weld/AO Smith"),0.8,IF(CX3="Repair Can","NEEDS LSF",IF(CX3="Insulating Joint",1,IF(OR(CX3="Valve",CX3="PCF",CX3="Flange",CX3="Appurtenance",CX3="Meter",CX3="Pig Trap",CX3="Regulator",CX3="Relief Valve",AND(H3="Other",CX3&lt;&gt;"Sleeve")),"N/A",1)))))</f>
        <v>N/A</v>
      </c>
      <c r="DN3" s="570"/>
      <c r="DO3" s="570" t="str">
        <f>IF(AND(OR(V3="",V3="Unknown"),OR(I3="OrificeSkidMntGasWell",CX3="FarmTapRegSet")),"ERROR",IF(V3=0,"N/A",V3))</f>
        <v>ANSI 300 #</v>
      </c>
      <c r="DP3" s="570"/>
      <c r="DQ3" s="570"/>
      <c r="DR3" s="570" t="str">
        <f t="shared" ref="DR3" ca="1" si="7">IF(DY3&lt;&gt;"N/A","N/A",IF(AND(I3="Casing",OR(DQ3="1 in Public Road Crossing",DQ3="1 in Hard Road Parallel")),0.72,IF(AND(I3="Casing",DQ3="2 in Hard Road Crossing"),0.6,IF(AND(DZ3&gt;=DATE(1961,7,1),OR(DQ3="1 in Public Road Crossing",DQ3="1 in Hard Road Parallel",DQ3="1 on Bridge",AND(DQ3=1,EE3="Yes"))),0.6,IF(AND(DZ3&gt;=DATE(1961,7,1),OR(DQ3="1 in station",DQ3="2 in station",DQ3="2 in Hard Road Crossing")),0.5,IF(OR(DQ3=1,DQ3="1 in station",DQ3="1 in Public Road Crossing",DQ3="1 in Hard Road Parallel",DQ3="1 on Bridge"),0.72,IF(OR(DQ3=2,DQ3="2 in station",DQ3="2 in Hard Road Crossing"),0.6,IF(OR(DQ3=3,DQ3="3 in station",DQ3="3 in Hard Road Crossing"),0.5,IF(DQ3=4,0.4,IF(DQ3="N/A",1,"N/A"))))))))))</f>
        <v>N/A</v>
      </c>
      <c r="DS3" s="570" t="str">
        <f t="shared" ref="DS3" si="8">IF(D3="","Unknown",D3)</f>
        <v>3 in Station</v>
      </c>
      <c r="DT3" s="577" t="str">
        <f t="shared" ref="DT3" ca="1" si="9">IF(DY3&lt;&gt;"N/A","N/A",IF(AND(I3="Casing",OR(DS3="1 in Public Road Crossing",DS3="1 in Hard Road Parallel")),0.72,IF(AND(I3="Casing",DS3="2 in Hard Road Crossing"),0.6,IF(AND(DZ3&gt;=DATE(1961,7,1),OR(DS3="1 in Public Road Crossing",DS3="1 in Hard Road Parallel",DS3="1 on Bridge",AND(DS3=1,EE3="Yes"))),0.6,IF(AND(DZ3&gt;=DATE(1961,7,1),OR(DS3="1 in station",DS3="2 in station",DS3="2 in Hard Road Crossing")),0.5,IF(OR(DS3=1,DS3="1 in station",DS3="1 in Public Road Crossing",DS3="1 in Hard Road Parallel",DS3="1 on Bridge"),0.72,IF(OR(DS3=2,DS3="2 in station",DS3="2 in Hard Road Crossing"),0.6,IF(OR(DS3=3,DS3="3 in station",DS3="3 in Hard Road Crossing"),0.5,IF(DS3=4,0.4,IF(DS3="N/A",1,"ERROR"))))))))))</f>
        <v>N/A</v>
      </c>
      <c r="DU3" s="570" t="str">
        <f t="shared" ref="DU3" ca="1" si="10">IF(DY3="N/A",IF(AND(I3="Wrinkle",DZ3&gt;=DATE(1970,8,19)),ROUNDDOWN(((2*DC3*CZ3)/DH3)*DM3*0.3,0),IF(DK3="Furnace Butt Weld",IF(DZ3&lt;DATE(1964,10,13),IF(OR(DH3=4.5,EF3="Yes"),ROUNDDOWN(((2*DC3*CZ3)/DH3)*DM3*IF(OR(AND(OR(DS3="2 in Station",DS3="2 in Hard Road Crossing"),DQ3=2),AND(OR(DS3="1 in Station",DS3="1 in Public Road Crossing",DS3="1 in Hard Road Parallel"),DQ3=1)),DR3,IF(AND(DS3="2 in Hard Road Crossing",OR(DQ3="1 in Public Road Crossing",DQ3=1)),0.6,DT3)),0),IF(DH3=3.5,IF(OR(DQ3=4,DS3=4),ROUNDDOWN(((2*DC3*CZ3)/DH3)*DM3*IF(OR(AND(OR(DS3="2 in Station",DS3="2 in Hard Road Crossing"),DQ3=2),AND(OR(DS3="1 in Station",DS3="1 in Public Road Crossing",DS3="1 in Hard Road Parallel"),DQ3=1)),DR3,IF(AND(DS3="2 in Hard Road Crossing",OR(DQ3="1 in Public Road Crossing",DQ3=1)),0.6,DT3)),0),575),ROUNDDOWN(((2*DC3*CZ3)/DH3)*DM3*0.3,0))),400),ROUNDDOWN(((2*DC3*CZ3)/DH3)*DM3*IF(OR(AND(OR(DS3="2 in Station",DS3="2 in Hard Road Crossing"),DQ3=2),AND(OR(DS3="1 in Station",DS3="1 in Public Road Crossing",DS3="1 in Hard Road Parallel"),DQ3=1)),DR3,IF(AND(DS3="2 in Hard Road Crossing",OR(DQ3="1 in Public Road Crossing",DQ3=1)),0.6,DT3)),0))),"N/A")</f>
        <v>N/A</v>
      </c>
      <c r="DV3" s="570" t="str">
        <f t="shared" ref="DV3" ca="1" si="11">IF(OR(DY3&lt;&gt;"N/A",DI3="N/A"),"N/A",ROUNDDOWN(((2*DE3*CZ3)/DI3)*DM3*IF(OR(AND(OR(DS3="2 in Station",DS3="2 in Hard Road Crossing"),DQ3=2),AND(OR(DS3="1 in Station",DS3="1 in Public Road Crossing",DS3="1 in Hard Road Parallel"),DQ3=1)),DR3,IF(AND(DS3="2 in Hard Road Crossing",OR(DQ3="1 in Public Road Crossing",DQ3=1)),0.6,DT3)),0))</f>
        <v>N/A</v>
      </c>
      <c r="DW3" s="570" t="str">
        <f ca="1">IF(AND(DU3="N/A",DV3="N/A"),"N/A",IF(AND(DU3&gt;0,DV3="N/A"),1,IF(MIN(DU3,DV3)=DU3,1,2)))</f>
        <v>N/A</v>
      </c>
      <c r="DX3" s="569" t="str">
        <f ca="1">IF(AND(DU3="N/A",DV3="N/A"),"N/A",MIN(DU3,DV3))</f>
        <v>N/A</v>
      </c>
      <c r="DY3" s="570">
        <f t="shared" ref="DY3:DY42" ca="1" si="12">IF(I3="OrificeSkidMntGasWell",VLOOKUP(AA3,INDIRECT(SMMS_table),2,FALSE),IF(CX3="FarmTapRegSet",VLOOKUP(I3,INDIRECT(FTR_table),2,FALSE),IF(OR(DO3="N/A",DO3="Unknown"),"N/A",IF(X3&lt;&gt;"",X3,VLOOKUP(DO3,INDIRECT(FRMAOP_table),2,FALSE)))))</f>
        <v>720</v>
      </c>
      <c r="DZ3" s="578">
        <f t="shared" ref="DZ3" si="13">IF(F3&gt;0,F3,"Unknown")</f>
        <v>30025</v>
      </c>
      <c r="EA3" s="578" t="str">
        <f t="shared" ref="EA3" si="14">IF(BU3&gt;0,BU3,"N/A")</f>
        <v>N/A</v>
      </c>
      <c r="EB3" s="570" t="str">
        <f t="shared" ref="EB3" si="15">IF(EA3="N/A","N/A",IF(EA3&lt;DATE(1961,7,1),1,IF(EA3&lt;DATE(1969,2,11),2,3)))</f>
        <v>N/A</v>
      </c>
      <c r="EC3" s="570" t="str">
        <f t="shared" ref="EC3" si="16">IF(BR3="","N/A",ROUNDDOWN(IF(BT3&gt;0,MIN(BR3,BT3),BR3),0))</f>
        <v>N/A</v>
      </c>
      <c r="ED3" s="579" t="str">
        <f t="shared" ref="ED3" si="17">IF(BS3="","N/A",BS3)</f>
        <v>N/A</v>
      </c>
      <c r="EE3" s="580" t="str">
        <f t="shared" ref="EE3" si="18">IF(AY3&gt;0,AY3,"N/A")</f>
        <v>No</v>
      </c>
      <c r="EF3" s="577" t="str">
        <f t="shared" ref="EF3" si="19">IF(EA3="N/A","N/A",IF(AND(EE3="Yes",ED3&gt;=4,ED3&lt;&gt;"N/A"),"Yes",IF(AND(ED3&gt;=8,ED3&lt;&gt;"N/A"),"Yes","No")))</f>
        <v>N/A</v>
      </c>
      <c r="EG3" s="577" t="str">
        <f ca="1">IF(OR(EA3="N/A",DY3&lt;&gt;"N/A"),"N/A",IF(AND(DZ3&gt;=DATE(1961,7,1),EA3&gt;=DATE(1961,7,1),OR(DQ3="1 in Station",DQ3="2 in Station",DS3="1 in Station",DS3="2 in Station")),1.5,IF(AND(DK3="Electric Resistance Weld",YEAR(DZ3)&lt;1970,EA3&lt;DATE(1961,7,1),OR(DQ3=1,DQ3="1 in Station",DQ3="1 in Public Road Crossing",DQ3="1 in Hard Road Parallel",DQ3="1 on Bridge",DS3=1,DS3="1 in Station",DS3="1 in Public Road Crossing",DS3="1 in Hard Road Parallel",DS3="1 on Bridge")),1.25,INDEX('FVE Table'!$C$3:$F$5,EB3,IF(AND(ABS(DZ3-EA3)&lt;=365,DQ3&gt;0),LEFT(DQ3,1),LEFT(DS3,1))))))</f>
        <v>N/A</v>
      </c>
      <c r="EH3" s="570" t="str">
        <f ca="1">IF(OR(EG3="N/A",CF3="Q8",CF3="Q9",CF3="Q10",CF3="Q11"),"N/A",IF(AND(CX3&lt;&gt;"Pipe",CX3&lt;&gt;"Field Bend",CX3&lt;&gt;"Mfg Bend",CX3&lt;&gt;"Tee",CX3&lt;&gt;"Reducer",CX3&lt;&gt;"Sleeve",CX3&lt;&gt;"Cap"),ROUNDDOWN(EC3/EG3,0),IF(OR(EF3="Yes",EA3&lt;=DATE(1970,11,12)),ROUNDDOWN(EC3/EG3,0),ROUNDDOWN(MIN((EC3/EG3),(2*IF(DW3=1,DC3,DE3)*CZ3*DM3*0.3)/(IF(DW3=1,DH3,DI3))),0))))</f>
        <v>N/A</v>
      </c>
      <c r="EI3" s="570" t="str">
        <f t="shared" ref="EI3" ca="1" si="20">IF(OR(EC3="N/A",DY3&lt;&gt;"N/A",AND(DK3="Furnace Butt Weld",DZ3&gt;=DATE(1964,10,13)),AND(CX3="Field Bend",I3="Wrinkle",DZ3&gt;=DATE(1970,8,19))),"N/A",IF(AND(CX3&lt;&gt;"Pipe",CX3&lt;&gt;"Field Bend",CX3&lt;&gt;"Mfg Bend",CX3&lt;&gt;"Tee",CX3&lt;&gt;"Reducer",CX3&lt;&gt;"Sleeve",CX3&lt;&gt;"Cap"),"N/A",IF(OR(AND(EM3&lt;=0.6,OR(EN3&lt;=0.6,EN3="N/A"),OR(DS3=2,DS3="2 in station",DS3="2 in Hard Road Crossing")),AND(EM3&lt;=0.5,OR(EN3&lt;=0.5,EN3="N/A"),OR(DS3=3,DS3="3 in station",DS3="3 in Hard Road Crossing")),AND(EM3&lt;=0.4,OR(EN3&lt;=0.4,EN3="N/A"),DS3=4)),"N/A",IF(OR(EA3="N/A",ED3&lt;8,DS3=1,DS3="1 in Station",DS3="1 in Public Road Crossing",DS3="1 in Hard Road Parallel",DS3="1 on Bridge"),"N/A",ROUNDDOWN(IF(DS3=4,EC3*0.555,IF(OR(DS3=3,DS3="3 in station",DS3="3 in Hard Road Crossing"),EC3*0.667,IF(OR(DS3=2,DS3="2 in station",DS3="2 in Hard Road Crossing"),EC3*0.8,"N/A"))),0)))))</f>
        <v>N/A</v>
      </c>
      <c r="EJ3" s="570" t="str">
        <f ca="1">IF(EI3="N/A","N/A",ROUNDDOWN(MIN(IF(OR(DV3="N/A",DV3&gt;DU3),(2*DC3*CZ3*DM3*IF(OR(DS3=2,DS3="2 in station",DS3="2 in Hard Road Crossing"),0.72,IF(OR(DS3=3,DS3="3 in station",DS3="3 in Hard Road Crossing"),0.6,IF(DS3=4,0.5,"ERROR"))))/DH3,(2*DE3*CZ3*DM3*IF(OR(DS3=2,DS3="2 in station",DS3="2 in Hard Road Crossing"),0.72,IF(OR(DS3=3,DS3="3 in station",DS3="3 in Hard Road Crossing"),0.6,IF(DS3=4,0.5,"ERROR"))))/DI3),EI3),0))</f>
        <v>N/A</v>
      </c>
      <c r="EK3" s="581">
        <f t="shared" ref="EK3" si="21">BZ3</f>
        <v>204</v>
      </c>
      <c r="EL3" s="570"/>
      <c r="EM3" s="582" t="str">
        <f ca="1">IF(DY3="N/A",(EK3*DH3)/(2*DC3*CZ3*DM3),"N/A")</f>
        <v>N/A</v>
      </c>
      <c r="EN3" s="582" t="str">
        <f ca="1">IF(DV3="N/A","N/A",(EK3*DI3)/(2*DE3*CZ3*DM3))</f>
        <v>N/A</v>
      </c>
      <c r="EO3" s="570">
        <f ca="1">IF(AND(EJ3&lt;&gt;"N/A",EJ3&gt;=EK3),EK3,IF(AND(EJ3&lt;&gt;"N/A",EJ3&lt;EK3),EJ3,IF(AND(DO3&lt;&gt;"Unknown",DO3&lt;&gt;"N/A",DY3&gt;=EK3),EK3,IF(AND(DO3&lt;&gt;"Unknown",DO3&lt;&gt;"N/A",DY3&lt;EK3),DY3,IF(AND(EH3="N/A",EK3&lt;=DX3),EK3,IF(AND(EH3="N/A",EK3&gt;DX3),DX3,IF(AND(EH3&gt;=EK3,DX3&gt;=EK3),EK3,IF(AND(EH3&gt;=EK3,DX3&lt;EK3),DX3,IF(AND(EH3&lt;EK3,DX3&gt;=EK3),EH3,IF(AND(EH3&lt;EK3,DX3&lt;EK3),IF(EH3=DX3,DX3,MIN(EH3,DX3)),EK3))))))))))</f>
        <v>204</v>
      </c>
      <c r="EP3" s="570" t="str">
        <f ca="1">IF(AND(EJ3&lt;&gt;"N/A",EJ3&gt;=EK3),"R",IF(AND(EJ3&lt;&gt;"N/A",EJ3&lt;EK3),"A",IF(AND(DO3&lt;&gt;"Unknown",DO3&lt;&gt;"N/A",DY3&gt;=EK3),"R",IF(AND(DO3&lt;&gt;"Unknown",DO3&lt;&gt;"N/A",DY3&lt;EK3),"D",IF(AND(EH3="N/A",EK3&lt;=DX3),"R",IF(AND(EH3="N/A",EK3&gt;DX3),"D",IF(AND(EH3&gt;=EK3,DX3&gt;=EK3),"R",IF(AND(EH3&gt;=EK3,DX3&lt;EK3),"D",IF(AND(EH3&lt;EK3,DX3&gt;=EK3),"T",IF(AND(EH3&lt;EK3,DX3&lt;EK3),IF(EH3=DX3,"D",IF(MIN(EH3,DX3)=EH3,"T","D")),"R"))))))))))</f>
        <v>R</v>
      </c>
      <c r="EQ3" s="582" t="str">
        <f ca="1">IF(DY3&lt;&gt;"N/A","N/A",IF(DW3=1,(EO3*DH3)/(2*DC3*CZ3*DM3),(EO3*DI3)/(2*DE3*CZ3*DM3)))</f>
        <v>N/A</v>
      </c>
      <c r="ER3" s="573">
        <f t="shared" ref="ER3:ER42" si="22">$A3/5280</f>
        <v>0</v>
      </c>
      <c r="ES3" s="762"/>
      <c r="ET3" s="762"/>
      <c r="EU3" s="585"/>
      <c r="EV3" s="583"/>
      <c r="EW3" s="583"/>
      <c r="EX3" s="584"/>
      <c r="EY3" s="759"/>
      <c r="EZ3" s="585"/>
      <c r="FA3" s="585"/>
      <c r="FB3" s="585"/>
      <c r="FC3" s="585"/>
    </row>
    <row r="4" spans="1:159" ht="15" customHeight="1" x14ac:dyDescent="0.2">
      <c r="A4" s="389">
        <f t="shared" ref="A4:A42" si="23">INT(L4*5280)</f>
        <v>0</v>
      </c>
      <c r="B4" s="389">
        <f t="shared" ref="B4:B42" si="24">INT(M4*5280)</f>
        <v>0</v>
      </c>
      <c r="C4" s="390" t="s">
        <v>2003</v>
      </c>
      <c r="D4" s="391" t="s">
        <v>1208</v>
      </c>
      <c r="E4" s="391">
        <v>4261434</v>
      </c>
      <c r="F4" s="392">
        <v>30025</v>
      </c>
      <c r="G4" s="393">
        <v>2</v>
      </c>
      <c r="H4" s="394" t="s">
        <v>340</v>
      </c>
      <c r="I4" s="395" t="s">
        <v>347</v>
      </c>
      <c r="J4" s="396">
        <v>1.4</v>
      </c>
      <c r="K4" s="404" t="s">
        <v>2004</v>
      </c>
      <c r="L4" s="397">
        <v>0</v>
      </c>
      <c r="O4" s="398">
        <v>8.625</v>
      </c>
      <c r="S4" s="395" t="s">
        <v>123</v>
      </c>
      <c r="V4" s="390" t="s">
        <v>755</v>
      </c>
      <c r="W4" s="396">
        <v>8</v>
      </c>
      <c r="X4" s="400">
        <v>720</v>
      </c>
      <c r="Y4" s="390" t="s">
        <v>2005</v>
      </c>
      <c r="Z4" s="390" t="s">
        <v>158</v>
      </c>
      <c r="AA4" s="390" t="s">
        <v>2006</v>
      </c>
      <c r="AB4" s="401" t="s">
        <v>615</v>
      </c>
      <c r="AC4" s="413" t="s">
        <v>1409</v>
      </c>
      <c r="AG4" s="391"/>
      <c r="AJ4" s="400">
        <v>1125</v>
      </c>
      <c r="AK4" s="390" t="s">
        <v>503</v>
      </c>
      <c r="AL4" s="390"/>
      <c r="AM4" s="390"/>
      <c r="AN4" s="390"/>
      <c r="AO4" s="390"/>
      <c r="AP4" s="390" t="s">
        <v>158</v>
      </c>
      <c r="AR4" s="392">
        <v>30025</v>
      </c>
      <c r="AS4" s="390" t="s">
        <v>1331</v>
      </c>
      <c r="AT4" s="405">
        <v>34221</v>
      </c>
      <c r="AU4" s="390" t="s">
        <v>158</v>
      </c>
      <c r="AV4" s="392"/>
      <c r="AW4" s="403" t="s">
        <v>590</v>
      </c>
      <c r="AX4" s="406" t="s">
        <v>590</v>
      </c>
      <c r="AY4" s="406" t="s">
        <v>590</v>
      </c>
      <c r="AZ4" s="406" t="s">
        <v>158</v>
      </c>
      <c r="BA4" s="390"/>
      <c r="BB4" s="395"/>
      <c r="BC4" s="390"/>
      <c r="BD4" s="395"/>
      <c r="BE4" s="390" t="s">
        <v>1990</v>
      </c>
      <c r="BF4" s="395" t="s">
        <v>40</v>
      </c>
      <c r="BG4" s="390" t="s">
        <v>2007</v>
      </c>
      <c r="BH4" s="407" t="s">
        <v>41</v>
      </c>
      <c r="BI4" s="852" t="s">
        <v>2008</v>
      </c>
      <c r="BJ4" s="395" t="s">
        <v>41</v>
      </c>
      <c r="BK4" s="390"/>
      <c r="BM4" s="404" t="s">
        <v>1992</v>
      </c>
      <c r="BN4" s="404" t="s">
        <v>1993</v>
      </c>
      <c r="BZ4" s="399">
        <v>204</v>
      </c>
      <c r="CA4" s="390" t="s">
        <v>1994</v>
      </c>
      <c r="CB4" s="390" t="s">
        <v>1995</v>
      </c>
      <c r="CC4" s="390" t="s">
        <v>1996</v>
      </c>
      <c r="CD4" s="390"/>
      <c r="CE4" s="390" t="s">
        <v>1997</v>
      </c>
      <c r="CF4" s="390" t="s">
        <v>40</v>
      </c>
      <c r="CG4" s="390"/>
      <c r="CH4" s="390" t="s">
        <v>158</v>
      </c>
      <c r="CI4" s="403" t="s">
        <v>1998</v>
      </c>
      <c r="CJ4" s="403" t="s">
        <v>1999</v>
      </c>
      <c r="CK4" s="403" t="s">
        <v>2000</v>
      </c>
      <c r="CL4" s="403" t="s">
        <v>589</v>
      </c>
      <c r="CM4" s="390" t="s">
        <v>2001</v>
      </c>
      <c r="CN4" s="390" t="s">
        <v>2002</v>
      </c>
      <c r="CO4" s="390"/>
      <c r="CP4" s="390"/>
      <c r="CQ4" s="390"/>
      <c r="CR4" s="409" t="str">
        <f>IF((IF(ISNA(VLOOKUP($BB4,Instructions!$A$133:$J$138,10,FALSE)),0,VLOOKUP($BB4,Instructions!$A$133:$J$138,10,FALSE))+IF(ISNA(VLOOKUP($BD4,Instructions!$A$133:$J$138,10,FALSE)),0,VLOOKUP($BD4,Instructions!$A$133:$J$138,10,FALSE))+IF(ISNA(VLOOKUP($BF4,Instructions!$A$133:$J$138,10,FALSE)),0,VLOOKUP($BF4,Instructions!$A$133:$J$138,10,FALSE))+IF(ISNA(VLOOKUP($BH4,Instructions!$A$133:$J$138,10,FALSE)),0,VLOOKUP($BH4,Instructions!$A$133:$J$138,10,FALSE))+IF(ISNA(VLOOKUP($BJ4,Instructions!$A$133:$J$138,10,FALSE)),0,VLOOKUP($BJ4,Instructions!$A$133:$J$138,10,FALSE))+IF(ISNA(VLOOKUP($BL4,Instructions!$A$133:$J$138,10,FALSE)),0,VLOOKUP($BL4,Instructions!$A$133:$J$138,10,FALSE)))&lt;2,"Poor","Usable")</f>
        <v>Usable</v>
      </c>
      <c r="CS4" s="409">
        <f>IF(ISNA(VLOOKUP($D4,Selections!$A$7:$B$19,2,FALSE)),0.4,VLOOKUP($D4,Selections!$A$7:$B$19,2,FALSE))</f>
        <v>0.5</v>
      </c>
      <c r="CT4" s="409">
        <f t="shared" si="0"/>
        <v>24000</v>
      </c>
      <c r="CU4" s="409">
        <f>IF((OR(ISBLANK($P4),$P4&lt;=0)),IF(ISNA(VLOOKUP($O4,Selections!$A$21:$D$48,4,FALSE)),0.113,VLOOKUP($O4,Selections!$A$21:$D$48,4,FALSE)),$P4)</f>
        <v>0.17199999999999999</v>
      </c>
      <c r="CV4" s="409">
        <f>IF(ISNA(VLOOKUP($S4,Selections!$A$57:$B$75,2,FALSE)),0.6,VLOOKUP($S4,Selections!$A$57:$B$75,2,FALSE))</f>
        <v>1</v>
      </c>
      <c r="CW4" s="410" t="str">
        <f>IF(OR($H4="",$H4="Valve",$H4="PCF",$H4="Regulator",$H4="Relief Valve",$H4="Appurtenance",$H4="Meter",$H4="Other",$H4="Pig Trap",$H4="Flange"),     IF(AND($BZ4&gt;0,$O4&gt;0),     IF($BZ4&gt;(      IF(IF(ISBLANK($V4),0,ISNA(VLOOKUP($V4,Selections!$A$153:$B$177,2,FALSE))),"n/a",IF(ISBLANK($V4),0,VLOOKUP($V4,Selections!$A$153:$B$177,2,FALSE)))),    "Chk Rating","OK Rating"),"n/a" ),IF(AND($BZ4&gt;0,$O4&gt;0),$BZ4/((2*$CT4*$CU4*$CV4)/$O4),1))</f>
        <v>OK Rating</v>
      </c>
      <c r="CX4" s="569" t="str">
        <f t="shared" ref="CX4:CX42" si="25">IF(H4="Other",I4,IF(H4="","Unknown",H4))</f>
        <v>Valve</v>
      </c>
      <c r="CY4" s="570" t="str">
        <f t="shared" ref="CY4:CY42" si="26">IF(AW4&gt;0,AW4,"N/A")</f>
        <v>No</v>
      </c>
      <c r="CZ4" s="571" t="str">
        <f t="shared" ref="CZ4:CZ42" si="27">IF(OR(CX4="Pipe",CX4="Field Bend",CX4="Mfg Bend",CX4="Tee",CX4="Reducer",CX4="Sleeve",CX4="Cap"),U4,"N/A")</f>
        <v>N/A</v>
      </c>
      <c r="DA4" s="571"/>
      <c r="DB4" s="570"/>
      <c r="DC4" s="572" t="str">
        <f t="shared" ref="DC4:DC42" si="28">IF(P4=0,"N/A",P4)</f>
        <v>N/A</v>
      </c>
      <c r="DD4" s="573"/>
      <c r="DE4" s="573" t="str">
        <f t="shared" ref="DE4:DE42" si="29">IF(AND(R4&gt;0,I4&lt;&gt;"Casing"),R4,"N/A")</f>
        <v>N/A</v>
      </c>
      <c r="DF4" s="573"/>
      <c r="DG4" s="570"/>
      <c r="DH4" s="574">
        <f t="shared" ref="DH4:DH42" ca="1" si="30">IF(AND(CX4="Sleeve",P4=""),IF(DC4="N/A","Unknown",OFFSET(DH4,1,0)+(2*DC4)+0.25),IF(O4="","Unknown",O4))</f>
        <v>8.625</v>
      </c>
      <c r="DI4" s="574" t="str">
        <f t="shared" ref="DI4:DI42" si="31">IF(AND(Q4&gt;0,I4&lt;&gt;"Casing"),Q4,IF(AND(OR(CX4="Reducer",CX4="Tee"),Q4=""),"ERROR","N/A"))</f>
        <v>N/A</v>
      </c>
      <c r="DJ4" s="570"/>
      <c r="DK4" s="575" t="str">
        <f t="shared" ref="DK4:DK42" si="32">IF(CX4="Repair Can","NEEDS SEAM TYPE",IF(CX4="Insulating Joint","Unknown",IF(OR(CX4="Valve",CX4="PCF",CX4="Flange",CX4="Appurtenance",CX4="Meter",CX4="Pig Trap",CX4="Regulator",CX4="Relief Valve",CX4="Cap",AND(H4="Other",CX4&lt;&gt;"Sleeve")),"N/A",IF(OR(CX4="Sleeve",AND(OR(S4="N/A - Valve/Filter/Other",S4="Unknown &gt; 4 inch",S4="Unknown &gt; 4 - Modern",S4="Unknown 4 inch or less"),OR(CX4="Mfg Bend",CX4="Tee",CX4="Reducer"))),"Unknown",IF(OR(AND(OR(CX4="Mfg Bend",CX4="Tee",CX4="Reducer"),OR(S4="Sleeve",S4="Polyethylene Pipe")),AND(OR(CX4="Pipe",CX4="Field Bend"),OR(S4="N/A - Valve/Filter/Other",S4="Sleeve"))),"ERROR",IF(S4="","Unknown",S4))))))</f>
        <v>N/A</v>
      </c>
      <c r="DL4" s="573"/>
      <c r="DM4" s="576" t="str">
        <f t="shared" ref="DM4:DM42" si="33">IF(OR(DK4="Furnace Butt Weld",DK4="Unknown 4 inch or less"),0.6,IF(OR(DK4="Unknown &gt; 4 inch",DK4="Lap Weld",DK4="AO Smith ",DK4="AO Smith",DK4="Single Submerged Arc Weld",DK4="Spiral Weld",DK4="Spiral Weld/Lap Weld",DK4="Single Submerged Arc Weld/AO Smith"),0.8,IF(CX4="Repair Can","NEEDS LSF",IF(CX4="Insulating Joint",1,IF(OR(CX4="Valve",CX4="PCF",CX4="Flange",CX4="Appurtenance",CX4="Meter",CX4="Pig Trap",CX4="Regulator",CX4="Relief Valve",AND(H4="Other",CX4&lt;&gt;"Sleeve")),"N/A",1)))))</f>
        <v>N/A</v>
      </c>
      <c r="DN4" s="570"/>
      <c r="DO4" s="570" t="str">
        <f t="shared" ref="DO4:DO42" si="34">IF(AND(OR(V4="",V4="Unknown"),OR(I4="OrificeSkidMntGasWell",CX4="FarmTapRegSet")),"ERROR",IF(V4=0,"N/A",V4))</f>
        <v>ANSI 300 #</v>
      </c>
      <c r="DP4" s="570"/>
      <c r="DQ4" s="570"/>
      <c r="DR4" s="570" t="str">
        <f t="shared" ref="DR4:DR42" ca="1" si="35">IF(DY4&lt;&gt;"N/A","N/A",IF(AND(I4="Casing",OR(DQ4="1 in Public Road Crossing",DQ4="1 in Hard Road Parallel")),0.72,IF(AND(I4="Casing",DQ4="2 in Hard Road Crossing"),0.6,IF(AND(DZ4&gt;=DATE(1961,7,1),OR(DQ4="1 in Public Road Crossing",DQ4="1 in Hard Road Parallel",DQ4="1 on Bridge",AND(DQ4=1,EE4="Yes"))),0.6,IF(AND(DZ4&gt;=DATE(1961,7,1),OR(DQ4="1 in station",DQ4="2 in station",DQ4="2 in Hard Road Crossing")),0.5,IF(OR(DQ4=1,DQ4="1 in station",DQ4="1 in Public Road Crossing",DQ4="1 in Hard Road Parallel",DQ4="1 on Bridge"),0.72,IF(OR(DQ4=2,DQ4="2 in station",DQ4="2 in Hard Road Crossing"),0.6,IF(OR(DQ4=3,DQ4="3 in station",DQ4="3 in Hard Road Crossing"),0.5,IF(DQ4=4,0.4,IF(DQ4="N/A",1,"N/A"))))))))))</f>
        <v>N/A</v>
      </c>
      <c r="DS4" s="570" t="str">
        <f t="shared" ref="DS4:DS42" si="36">IF(D4="","Unknown",D4)</f>
        <v>3 in Station</v>
      </c>
      <c r="DT4" s="577" t="str">
        <f t="shared" ref="DT4:DT42" ca="1" si="37">IF(DY4&lt;&gt;"N/A","N/A",IF(AND(I4="Casing",OR(DS4="1 in Public Road Crossing",DS4="1 in Hard Road Parallel")),0.72,IF(AND(I4="Casing",DS4="2 in Hard Road Crossing"),0.6,IF(AND(DZ4&gt;=DATE(1961,7,1),OR(DS4="1 in Public Road Crossing",DS4="1 in Hard Road Parallel",DS4="1 on Bridge",AND(DS4=1,EE4="Yes"))),0.6,IF(AND(DZ4&gt;=DATE(1961,7,1),OR(DS4="1 in station",DS4="2 in station",DS4="2 in Hard Road Crossing")),0.5,IF(OR(DS4=1,DS4="1 in station",DS4="1 in Public Road Crossing",DS4="1 in Hard Road Parallel",DS4="1 on Bridge"),0.72,IF(OR(DS4=2,DS4="2 in station",DS4="2 in Hard Road Crossing"),0.6,IF(OR(DS4=3,DS4="3 in station",DS4="3 in Hard Road Crossing"),0.5,IF(DS4=4,0.4,IF(DS4="N/A",1,"ERROR"))))))))))</f>
        <v>N/A</v>
      </c>
      <c r="DU4" s="570" t="str">
        <f t="shared" ref="DU4:DU42" ca="1" si="38">IF(DY4="N/A",IF(AND(I4="Wrinkle",DZ4&gt;=DATE(1970,8,19)),ROUNDDOWN(((2*DC4*CZ4)/DH4)*DM4*0.3,0),IF(DK4="Furnace Butt Weld",IF(DZ4&lt;DATE(1964,10,13),IF(OR(DH4=4.5,EF4="Yes"),ROUNDDOWN(((2*DC4*CZ4)/DH4)*DM4*IF(OR(AND(OR(DS4="2 in Station",DS4="2 in Hard Road Crossing"),DQ4=2),AND(OR(DS4="1 in Station",DS4="1 in Public Road Crossing",DS4="1 in Hard Road Parallel"),DQ4=1)),DR4,IF(AND(DS4="2 in Hard Road Crossing",OR(DQ4="1 in Public Road Crossing",DQ4=1)),0.6,DT4)),0),IF(DH4=3.5,IF(OR(DQ4=4,DS4=4),ROUNDDOWN(((2*DC4*CZ4)/DH4)*DM4*IF(OR(AND(OR(DS4="2 in Station",DS4="2 in Hard Road Crossing"),DQ4=2),AND(OR(DS4="1 in Station",DS4="1 in Public Road Crossing",DS4="1 in Hard Road Parallel"),DQ4=1)),DR4,IF(AND(DS4="2 in Hard Road Crossing",OR(DQ4="1 in Public Road Crossing",DQ4=1)),0.6,DT4)),0),575),ROUNDDOWN(((2*DC4*CZ4)/DH4)*DM4*0.3,0))),400),ROUNDDOWN(((2*DC4*CZ4)/DH4)*DM4*IF(OR(AND(OR(DS4="2 in Station",DS4="2 in Hard Road Crossing"),DQ4=2),AND(OR(DS4="1 in Station",DS4="1 in Public Road Crossing",DS4="1 in Hard Road Parallel"),DQ4=1)),DR4,IF(AND(DS4="2 in Hard Road Crossing",OR(DQ4="1 in Public Road Crossing",DQ4=1)),0.6,DT4)),0))),"N/A")</f>
        <v>N/A</v>
      </c>
      <c r="DV4" s="570" t="str">
        <f t="shared" ref="DV4:DV42" ca="1" si="39">IF(OR(DY4&lt;&gt;"N/A",DI4="N/A"),"N/A",ROUNDDOWN(((2*DE4*CZ4)/DI4)*DM4*IF(OR(AND(OR(DS4="2 in Station",DS4="2 in Hard Road Crossing"),DQ4=2),AND(OR(DS4="1 in Station",DS4="1 in Public Road Crossing",DS4="1 in Hard Road Parallel"),DQ4=1)),DR4,IF(AND(DS4="2 in Hard Road Crossing",OR(DQ4="1 in Public Road Crossing",DQ4=1)),0.6,DT4)),0))</f>
        <v>N/A</v>
      </c>
      <c r="DW4" s="570" t="str">
        <f t="shared" ref="DW4:DW42" ca="1" si="40">IF(AND(DU4="N/A",DV4="N/A"),"N/A",IF(AND(DU4&gt;0,DV4="N/A"),1,IF(MIN(DU4,DV4)=DU4,1,2)))</f>
        <v>N/A</v>
      </c>
      <c r="DX4" s="569" t="str">
        <f t="shared" ref="DX4:DX42" ca="1" si="41">IF(AND(DU4="N/A",DV4="N/A"),"N/A",MIN(DU4,DV4))</f>
        <v>N/A</v>
      </c>
      <c r="DY4" s="570">
        <f t="shared" ca="1" si="12"/>
        <v>720</v>
      </c>
      <c r="DZ4" s="578">
        <f t="shared" ref="DZ4:DZ42" si="42">IF(F4&gt;0,F4,"Unknown")</f>
        <v>30025</v>
      </c>
      <c r="EA4" s="578" t="str">
        <f t="shared" ref="EA4:EA42" si="43">IF(BU4&gt;0,BU4,"N/A")</f>
        <v>N/A</v>
      </c>
      <c r="EB4" s="570" t="str">
        <f t="shared" ref="EB4:EB42" si="44">IF(EA4="N/A","N/A",IF(EA4&lt;DATE(1961,7,1),1,IF(EA4&lt;DATE(1969,2,11),2,3)))</f>
        <v>N/A</v>
      </c>
      <c r="EC4" s="570" t="str">
        <f t="shared" ref="EC4:EC42" si="45">IF(BR4="","N/A",ROUNDDOWN(IF(BT4&gt;0,MIN(BR4,BT4),BR4),0))</f>
        <v>N/A</v>
      </c>
      <c r="ED4" s="579" t="str">
        <f t="shared" ref="ED4:ED42" si="46">IF(BS4="","N/A",BS4)</f>
        <v>N/A</v>
      </c>
      <c r="EE4" s="580" t="str">
        <f t="shared" ref="EE4:EE42" si="47">IF(AY4&gt;0,AY4,"N/A")</f>
        <v>No</v>
      </c>
      <c r="EF4" s="577" t="str">
        <f t="shared" ref="EF4:EF42" si="48">IF(EA4="N/A","N/A",IF(AND(EE4="Yes",ED4&gt;=4,ED4&lt;&gt;"N/A"),"Yes",IF(AND(ED4&gt;=8,ED4&lt;&gt;"N/A"),"Yes","No")))</f>
        <v>N/A</v>
      </c>
      <c r="EG4" s="577" t="str">
        <f ca="1">IF(OR(EA4="N/A",DY4&lt;&gt;"N/A"),"N/A",IF(AND(DZ4&gt;=DATE(1961,7,1),EA4&gt;=DATE(1961,7,1),OR(DQ4="1 in Station",DQ4="2 in Station",DS4="1 in Station",DS4="2 in Station")),1.5,IF(AND(DK4="Electric Resistance Weld",YEAR(DZ4)&lt;1970,EA4&lt;DATE(1961,7,1),OR(DQ4=1,DQ4="1 in Station",DQ4="1 in Public Road Crossing",DQ4="1 in Hard Road Parallel",DQ4="1 on Bridge",DS4=1,DS4="1 in Station",DS4="1 in Public Road Crossing",DS4="1 in Hard Road Parallel",DS4="1 on Bridge")),1.25,INDEX('FVE Table'!$C$3:$F$5,EB4,IF(AND(ABS(DZ4-EA4)&lt;=365,DQ4&gt;0),LEFT(DQ4,1),LEFT(DS4,1))))))</f>
        <v>N/A</v>
      </c>
      <c r="EH4" s="570" t="str">
        <f t="shared" ref="EH4:EH42" ca="1" si="49">IF(OR(EG4="N/A",CF4="Q8",CF4="Q9",CF4="Q10",CF4="Q11"),"N/A",IF(AND(CX4&lt;&gt;"Pipe",CX4&lt;&gt;"Field Bend",CX4&lt;&gt;"Mfg Bend",CX4&lt;&gt;"Tee",CX4&lt;&gt;"Reducer",CX4&lt;&gt;"Sleeve",CX4&lt;&gt;"Cap"),ROUNDDOWN(EC4/EG4,0),IF(OR(EF4="Yes",EA4&lt;=DATE(1970,11,12)),ROUNDDOWN(EC4/EG4,0),ROUNDDOWN(MIN((EC4/EG4),(2*IF(DW4=1,DC4,DE4)*CZ4*DM4*0.3)/(IF(DW4=1,DH4,DI4))),0))))</f>
        <v>N/A</v>
      </c>
      <c r="EI4" s="570" t="str">
        <f t="shared" ref="EI4:EI42" ca="1" si="50">IF(OR(EC4="N/A",DY4&lt;&gt;"N/A",AND(DK4="Furnace Butt Weld",DZ4&gt;=DATE(1964,10,13)),AND(CX4="Field Bend",I4="Wrinkle",DZ4&gt;=DATE(1970,8,19))),"N/A",IF(AND(CX4&lt;&gt;"Pipe",CX4&lt;&gt;"Field Bend",CX4&lt;&gt;"Mfg Bend",CX4&lt;&gt;"Tee",CX4&lt;&gt;"Reducer",CX4&lt;&gt;"Sleeve",CX4&lt;&gt;"Cap"),"N/A",IF(OR(AND(EM4&lt;=0.6,OR(EN4&lt;=0.6,EN4="N/A"),OR(DS4=2,DS4="2 in station",DS4="2 in Hard Road Crossing")),AND(EM4&lt;=0.5,OR(EN4&lt;=0.5,EN4="N/A"),OR(DS4=3,DS4="3 in station",DS4="3 in Hard Road Crossing")),AND(EM4&lt;=0.4,OR(EN4&lt;=0.4,EN4="N/A"),DS4=4)),"N/A",IF(OR(EA4="N/A",ED4&lt;8,DS4=1,DS4="1 in Station",DS4="1 in Public Road Crossing",DS4="1 in Hard Road Parallel",DS4="1 on Bridge"),"N/A",ROUNDDOWN(IF(DS4=4,EC4*0.555,IF(OR(DS4=3,DS4="3 in station",DS4="3 in Hard Road Crossing"),EC4*0.667,IF(OR(DS4=2,DS4="2 in station",DS4="2 in Hard Road Crossing"),EC4*0.8,"N/A"))),0)))))</f>
        <v>N/A</v>
      </c>
      <c r="EJ4" s="570" t="str">
        <f t="shared" ref="EJ4:EJ42" ca="1" si="51">IF(EI4="N/A","N/A",ROUNDDOWN(MIN(IF(OR(DV4="N/A",DV4&gt;DU4),(2*DC4*CZ4*DM4*IF(OR(DS4=2,DS4="2 in station",DS4="2 in Hard Road Crossing"),0.72,IF(OR(DS4=3,DS4="3 in station",DS4="3 in Hard Road Crossing"),0.6,IF(DS4=4,0.5,"ERROR"))))/DH4,(2*DE4*CZ4*DM4*IF(OR(DS4=2,DS4="2 in station",DS4="2 in Hard Road Crossing"),0.72,IF(OR(DS4=3,DS4="3 in station",DS4="3 in Hard Road Crossing"),0.6,IF(DS4=4,0.5,"ERROR"))))/DI4),EI4),0))</f>
        <v>N/A</v>
      </c>
      <c r="EK4" s="581">
        <f t="shared" ref="EK4:EK42" si="52">BZ4</f>
        <v>204</v>
      </c>
      <c r="EL4" s="570"/>
      <c r="EM4" s="582" t="str">
        <f t="shared" ref="EM4:EM42" ca="1" si="53">IF(DY4="N/A",(EK4*DH4)/(2*DC4*CZ4*DM4),"N/A")</f>
        <v>N/A</v>
      </c>
      <c r="EN4" s="582" t="str">
        <f t="shared" ref="EN4:EN42" ca="1" si="54">IF(DV4="N/A","N/A",(EK4*DI4)/(2*DE4*CZ4*DM4))</f>
        <v>N/A</v>
      </c>
      <c r="EO4" s="570">
        <f t="shared" ref="EO4:EO42" ca="1" si="55">IF(AND(EJ4&lt;&gt;"N/A",EJ4&gt;=EK4),EK4,IF(AND(EJ4&lt;&gt;"N/A",EJ4&lt;EK4),EJ4,IF(AND(DO4&lt;&gt;"Unknown",DO4&lt;&gt;"N/A",DY4&gt;=EK4),EK4,IF(AND(DO4&lt;&gt;"Unknown",DO4&lt;&gt;"N/A",DY4&lt;EK4),DY4,IF(AND(EH4="N/A",EK4&lt;=DX4),EK4,IF(AND(EH4="N/A",EK4&gt;DX4),DX4,IF(AND(EH4&gt;=EK4,DX4&gt;=EK4),EK4,IF(AND(EH4&gt;=EK4,DX4&lt;EK4),DX4,IF(AND(EH4&lt;EK4,DX4&gt;=EK4),EH4,IF(AND(EH4&lt;EK4,DX4&lt;EK4),IF(EH4=DX4,DX4,MIN(EH4,DX4)),EK4))))))))))</f>
        <v>204</v>
      </c>
      <c r="EP4" s="570" t="str">
        <f t="shared" ref="EP4:EP42" ca="1" si="56">IF(AND(EJ4&lt;&gt;"N/A",EJ4&gt;=EK4),"R",IF(AND(EJ4&lt;&gt;"N/A",EJ4&lt;EK4),"A",IF(AND(DO4&lt;&gt;"Unknown",DO4&lt;&gt;"N/A",DY4&gt;=EK4),"R",IF(AND(DO4&lt;&gt;"Unknown",DO4&lt;&gt;"N/A",DY4&lt;EK4),"D",IF(AND(EH4="N/A",EK4&lt;=DX4),"R",IF(AND(EH4="N/A",EK4&gt;DX4),"D",IF(AND(EH4&gt;=EK4,DX4&gt;=EK4),"R",IF(AND(EH4&gt;=EK4,DX4&lt;EK4),"D",IF(AND(EH4&lt;EK4,DX4&gt;=EK4),"T",IF(AND(EH4&lt;EK4,DX4&lt;EK4),IF(EH4=DX4,"D",IF(MIN(EH4,DX4)=EH4,"T","D")),"R"))))))))))</f>
        <v>R</v>
      </c>
      <c r="EQ4" s="582" t="str">
        <f t="shared" ref="EQ4:EQ42" ca="1" si="57">IF(DY4&lt;&gt;"N/A","N/A",IF(DW4=1,(EO4*DH4)/(2*DC4*CZ4*DM4),(EO4*DI4)/(2*DE4*CZ4*DM4)))</f>
        <v>N/A</v>
      </c>
      <c r="ER4" s="573">
        <f t="shared" si="22"/>
        <v>0</v>
      </c>
      <c r="ES4" s="762"/>
      <c r="ET4" s="762"/>
      <c r="EU4" s="585"/>
      <c r="EV4" s="583"/>
      <c r="EW4" s="583"/>
      <c r="EX4" s="584"/>
      <c r="EY4" s="759"/>
      <c r="EZ4" s="585"/>
      <c r="FA4" s="585"/>
      <c r="FB4" s="585"/>
      <c r="FC4" s="585"/>
    </row>
    <row r="5" spans="1:159" ht="15" customHeight="1" x14ac:dyDescent="0.2">
      <c r="A5" s="389">
        <f t="shared" si="23"/>
        <v>0</v>
      </c>
      <c r="B5" s="389">
        <f t="shared" si="24"/>
        <v>0</v>
      </c>
      <c r="C5" s="390" t="s">
        <v>2003</v>
      </c>
      <c r="D5" s="391" t="s">
        <v>1208</v>
      </c>
      <c r="E5" s="391">
        <v>4261434</v>
      </c>
      <c r="F5" s="392">
        <v>30025</v>
      </c>
      <c r="G5" s="393">
        <v>3</v>
      </c>
      <c r="H5" s="394" t="s">
        <v>594</v>
      </c>
      <c r="I5" s="395" t="s">
        <v>948</v>
      </c>
      <c r="J5" s="396">
        <v>0.4</v>
      </c>
      <c r="K5" s="404" t="s">
        <v>2009</v>
      </c>
      <c r="O5" s="398">
        <v>8.625</v>
      </c>
      <c r="S5" s="395" t="s">
        <v>2010</v>
      </c>
      <c r="T5" s="390" t="s">
        <v>158</v>
      </c>
      <c r="U5" s="399" t="s">
        <v>606</v>
      </c>
      <c r="V5" s="390" t="s">
        <v>755</v>
      </c>
      <c r="X5" s="400">
        <v>720</v>
      </c>
      <c r="Y5" s="390"/>
      <c r="Z5" s="390" t="s">
        <v>158</v>
      </c>
      <c r="AB5" s="401" t="s">
        <v>617</v>
      </c>
      <c r="AC5" s="413" t="s">
        <v>1409</v>
      </c>
      <c r="AG5" s="391"/>
      <c r="AK5" s="390"/>
      <c r="AL5" s="390"/>
      <c r="AM5" s="390"/>
      <c r="AN5" s="390"/>
      <c r="AO5" s="390"/>
      <c r="AP5" s="390" t="s">
        <v>158</v>
      </c>
      <c r="AR5" s="392">
        <v>30025</v>
      </c>
      <c r="AS5" s="390" t="s">
        <v>158</v>
      </c>
      <c r="AT5" s="405">
        <v>25232</v>
      </c>
      <c r="AU5" s="390" t="s">
        <v>158</v>
      </c>
      <c r="AV5" s="392"/>
      <c r="AW5" s="403" t="s">
        <v>590</v>
      </c>
      <c r="AX5" s="406" t="s">
        <v>590</v>
      </c>
      <c r="AY5" s="406" t="s">
        <v>590</v>
      </c>
      <c r="AZ5" s="406" t="s">
        <v>158</v>
      </c>
      <c r="BA5" s="390"/>
      <c r="BB5" s="395"/>
      <c r="BC5" s="390"/>
      <c r="BD5" s="395"/>
      <c r="BE5" s="390" t="s">
        <v>1990</v>
      </c>
      <c r="BF5" s="395" t="s">
        <v>40</v>
      </c>
      <c r="BG5" s="852" t="s">
        <v>1991</v>
      </c>
      <c r="BH5" s="395" t="s">
        <v>43</v>
      </c>
      <c r="BI5" s="390"/>
      <c r="BJ5" s="395"/>
      <c r="BK5" s="390"/>
      <c r="BM5" s="404" t="s">
        <v>1992</v>
      </c>
      <c r="BN5" s="404" t="s">
        <v>1993</v>
      </c>
      <c r="BZ5" s="399">
        <v>204</v>
      </c>
      <c r="CA5" s="390" t="s">
        <v>1994</v>
      </c>
      <c r="CB5" s="390" t="s">
        <v>1995</v>
      </c>
      <c r="CC5" s="390" t="s">
        <v>1996</v>
      </c>
      <c r="CD5" s="390"/>
      <c r="CE5" s="390" t="s">
        <v>1997</v>
      </c>
      <c r="CF5" s="390" t="s">
        <v>40</v>
      </c>
      <c r="CG5" s="390"/>
      <c r="CH5" s="390" t="s">
        <v>158</v>
      </c>
      <c r="CI5" s="403" t="s">
        <v>1998</v>
      </c>
      <c r="CJ5" s="403" t="s">
        <v>1999</v>
      </c>
      <c r="CK5" s="403" t="s">
        <v>2000</v>
      </c>
      <c r="CL5" s="403" t="s">
        <v>589</v>
      </c>
      <c r="CM5" s="390" t="s">
        <v>2001</v>
      </c>
      <c r="CN5" s="390" t="s">
        <v>2002</v>
      </c>
      <c r="CO5" s="390"/>
      <c r="CP5" s="390"/>
      <c r="CQ5" s="390"/>
      <c r="CR5" s="409" t="str">
        <f>IF((IF(ISNA(VLOOKUP($BB5,Instructions!$A$133:$J$138,10,FALSE)),0,VLOOKUP($BB5,Instructions!$A$133:$J$138,10,FALSE))+IF(ISNA(VLOOKUP($BD5,Instructions!$A$133:$J$138,10,FALSE)),0,VLOOKUP($BD5,Instructions!$A$133:$J$138,10,FALSE))+IF(ISNA(VLOOKUP($BF5,Instructions!$A$133:$J$138,10,FALSE)),0,VLOOKUP($BF5,Instructions!$A$133:$J$138,10,FALSE))+IF(ISNA(VLOOKUP($BH5,Instructions!$A$133:$J$138,10,FALSE)),0,VLOOKUP($BH5,Instructions!$A$133:$J$138,10,FALSE))+IF(ISNA(VLOOKUP($BJ5,Instructions!$A$133:$J$138,10,FALSE)),0,VLOOKUP($BJ5,Instructions!$A$133:$J$138,10,FALSE))+IF(ISNA(VLOOKUP($BL5,Instructions!$A$133:$J$138,10,FALSE)),0,VLOOKUP($BL5,Instructions!$A$133:$J$138,10,FALSE)))&lt;2,"Poor","Usable")</f>
        <v>Usable</v>
      </c>
      <c r="CS5" s="409">
        <f>IF(ISNA(VLOOKUP($D5,Selections!$A$7:$B$19,2,FALSE)),0.4,VLOOKUP($D5,Selections!$A$7:$B$19,2,FALSE))</f>
        <v>0.5</v>
      </c>
      <c r="CT5" s="409">
        <f t="shared" si="0"/>
        <v>24000</v>
      </c>
      <c r="CU5" s="409">
        <f>IF((OR(ISBLANK($P5),$P5&lt;=0)),IF(ISNA(VLOOKUP($O5,Selections!$A$21:$D$48,4,FALSE)),0.113,VLOOKUP($O5,Selections!$A$21:$D$48,4,FALSE)),$P5)</f>
        <v>0.17199999999999999</v>
      </c>
      <c r="CV5" s="409">
        <f>IF(ISNA(VLOOKUP($S5,Selections!$A$57:$B$75,2,FALSE)),0.6,VLOOKUP($S5,Selections!$A$57:$B$75,2,FALSE))</f>
        <v>0.6</v>
      </c>
      <c r="CW5" s="410" t="str">
        <f>IF(OR($H5="",$H5="Valve",$H5="PCF",$H5="Regulator",$H5="Relief Valve",$H5="Appurtenance",$H5="Meter",$H5="Other",$H5="Pig Trap",$H5="Flange"),     IF(AND($BZ5&gt;0,$O5&gt;0),     IF($BZ5&gt;(      IF(IF(ISBLANK($V5),0,ISNA(VLOOKUP($V5,Selections!$A$153:$B$177,2,FALSE))),"n/a",IF(ISBLANK($V5),0,VLOOKUP($V5,Selections!$A$153:$B$177,2,FALSE)))),    "Chk Rating","OK Rating"),"n/a" ),IF(AND($BZ5&gt;0,$O5&gt;0),$BZ5/((2*$CT5*$CU5*$CV5)/$O5),1))</f>
        <v>OK Rating</v>
      </c>
      <c r="CX5" s="569" t="str">
        <f t="shared" si="25"/>
        <v>Flange</v>
      </c>
      <c r="CY5" s="570" t="str">
        <f t="shared" si="26"/>
        <v>No</v>
      </c>
      <c r="CZ5" s="571" t="str">
        <f t="shared" si="27"/>
        <v>N/A</v>
      </c>
      <c r="DA5" s="571"/>
      <c r="DB5" s="570"/>
      <c r="DC5" s="572" t="str">
        <f t="shared" si="28"/>
        <v>N/A</v>
      </c>
      <c r="DD5" s="573"/>
      <c r="DE5" s="573" t="str">
        <f t="shared" si="29"/>
        <v>N/A</v>
      </c>
      <c r="DF5" s="573"/>
      <c r="DG5" s="570"/>
      <c r="DH5" s="574">
        <f t="shared" ca="1" si="30"/>
        <v>8.625</v>
      </c>
      <c r="DI5" s="574" t="str">
        <f t="shared" si="31"/>
        <v>N/A</v>
      </c>
      <c r="DJ5" s="570"/>
      <c r="DK5" s="575" t="str">
        <f t="shared" si="32"/>
        <v>N/A</v>
      </c>
      <c r="DL5" s="573"/>
      <c r="DM5" s="576" t="str">
        <f t="shared" si="33"/>
        <v>N/A</v>
      </c>
      <c r="DN5" s="570"/>
      <c r="DO5" s="570" t="str">
        <f t="shared" si="34"/>
        <v>ANSI 300 #</v>
      </c>
      <c r="DP5" s="570"/>
      <c r="DQ5" s="570"/>
      <c r="DR5" s="570" t="str">
        <f t="shared" ca="1" si="35"/>
        <v>N/A</v>
      </c>
      <c r="DS5" s="570" t="str">
        <f t="shared" si="36"/>
        <v>3 in Station</v>
      </c>
      <c r="DT5" s="577" t="str">
        <f t="shared" ca="1" si="37"/>
        <v>N/A</v>
      </c>
      <c r="DU5" s="570" t="str">
        <f t="shared" ca="1" si="38"/>
        <v>N/A</v>
      </c>
      <c r="DV5" s="570" t="str">
        <f t="shared" ca="1" si="39"/>
        <v>N/A</v>
      </c>
      <c r="DW5" s="570" t="str">
        <f t="shared" ca="1" si="40"/>
        <v>N/A</v>
      </c>
      <c r="DX5" s="569" t="str">
        <f t="shared" ca="1" si="41"/>
        <v>N/A</v>
      </c>
      <c r="DY5" s="570">
        <f t="shared" ca="1" si="12"/>
        <v>720</v>
      </c>
      <c r="DZ5" s="578">
        <f t="shared" si="42"/>
        <v>30025</v>
      </c>
      <c r="EA5" s="578" t="str">
        <f t="shared" si="43"/>
        <v>N/A</v>
      </c>
      <c r="EB5" s="570" t="str">
        <f t="shared" si="44"/>
        <v>N/A</v>
      </c>
      <c r="EC5" s="570" t="str">
        <f t="shared" si="45"/>
        <v>N/A</v>
      </c>
      <c r="ED5" s="579" t="str">
        <f t="shared" si="46"/>
        <v>N/A</v>
      </c>
      <c r="EE5" s="580" t="str">
        <f t="shared" si="47"/>
        <v>No</v>
      </c>
      <c r="EF5" s="577" t="str">
        <f t="shared" si="48"/>
        <v>N/A</v>
      </c>
      <c r="EG5" s="577" t="str">
        <f ca="1">IF(OR(EA5="N/A",DY5&lt;&gt;"N/A"),"N/A",IF(AND(DZ5&gt;=DATE(1961,7,1),EA5&gt;=DATE(1961,7,1),OR(DQ5="1 in Station",DQ5="2 in Station",DS5="1 in Station",DS5="2 in Station")),1.5,IF(AND(DK5="Electric Resistance Weld",YEAR(DZ5)&lt;1970,EA5&lt;DATE(1961,7,1),OR(DQ5=1,DQ5="1 in Station",DQ5="1 in Public Road Crossing",DQ5="1 in Hard Road Parallel",DQ5="1 on Bridge",DS5=1,DS5="1 in Station",DS5="1 in Public Road Crossing",DS5="1 in Hard Road Parallel",DS5="1 on Bridge")),1.25,INDEX('FVE Table'!$C$3:$F$5,EB5,IF(AND(ABS(DZ5-EA5)&lt;=365,DQ5&gt;0),LEFT(DQ5,1),LEFT(DS5,1))))))</f>
        <v>N/A</v>
      </c>
      <c r="EH5" s="570" t="str">
        <f t="shared" ca="1" si="49"/>
        <v>N/A</v>
      </c>
      <c r="EI5" s="570" t="str">
        <f t="shared" ca="1" si="50"/>
        <v>N/A</v>
      </c>
      <c r="EJ5" s="570" t="str">
        <f t="shared" ca="1" si="51"/>
        <v>N/A</v>
      </c>
      <c r="EK5" s="581">
        <f t="shared" si="52"/>
        <v>204</v>
      </c>
      <c r="EL5" s="570"/>
      <c r="EM5" s="582" t="str">
        <f t="shared" ca="1" si="53"/>
        <v>N/A</v>
      </c>
      <c r="EN5" s="582" t="str">
        <f t="shared" ca="1" si="54"/>
        <v>N/A</v>
      </c>
      <c r="EO5" s="570">
        <f t="shared" ca="1" si="55"/>
        <v>204</v>
      </c>
      <c r="EP5" s="570" t="str">
        <f t="shared" ca="1" si="56"/>
        <v>R</v>
      </c>
      <c r="EQ5" s="582" t="str">
        <f t="shared" ca="1" si="57"/>
        <v>N/A</v>
      </c>
      <c r="ER5" s="573">
        <f t="shared" si="22"/>
        <v>0</v>
      </c>
      <c r="ES5" s="762"/>
      <c r="ET5" s="762"/>
      <c r="EU5" s="585"/>
      <c r="EV5" s="583"/>
      <c r="EW5" s="583"/>
      <c r="EX5" s="584"/>
      <c r="EY5" s="759"/>
      <c r="EZ5" s="585"/>
      <c r="FA5" s="585"/>
      <c r="FB5" s="585"/>
      <c r="FC5" s="585"/>
    </row>
    <row r="6" spans="1:159" ht="15" customHeight="1" x14ac:dyDescent="0.2">
      <c r="A6" s="389">
        <f t="shared" si="23"/>
        <v>0</v>
      </c>
      <c r="B6" s="389">
        <f t="shared" si="24"/>
        <v>0</v>
      </c>
      <c r="C6" s="390" t="s">
        <v>2003</v>
      </c>
      <c r="D6" s="391" t="s">
        <v>1208</v>
      </c>
      <c r="E6" s="391">
        <v>4261434</v>
      </c>
      <c r="F6" s="392">
        <v>30025</v>
      </c>
      <c r="G6" s="393">
        <v>4</v>
      </c>
      <c r="H6" s="394" t="s">
        <v>474</v>
      </c>
      <c r="I6" s="395" t="s">
        <v>218</v>
      </c>
      <c r="J6" s="396">
        <v>1.2</v>
      </c>
      <c r="K6" s="404" t="s">
        <v>2011</v>
      </c>
      <c r="O6" s="398">
        <v>8.625</v>
      </c>
      <c r="P6" s="398">
        <v>0.32200000000000001</v>
      </c>
      <c r="Q6" s="398">
        <v>8.625</v>
      </c>
      <c r="R6" s="398">
        <v>0.32200000000000001</v>
      </c>
      <c r="S6" s="395" t="s">
        <v>329</v>
      </c>
      <c r="T6" s="390" t="s">
        <v>723</v>
      </c>
      <c r="U6" s="399">
        <v>35000</v>
      </c>
      <c r="V6" s="390" t="s">
        <v>158</v>
      </c>
      <c r="Y6" s="390"/>
      <c r="Z6" s="390" t="s">
        <v>158</v>
      </c>
      <c r="AC6" s="413" t="s">
        <v>1409</v>
      </c>
      <c r="AG6" s="391" t="s">
        <v>590</v>
      </c>
      <c r="AK6" s="390"/>
      <c r="AL6" s="390"/>
      <c r="AM6" s="390"/>
      <c r="AN6" s="390"/>
      <c r="AO6" s="390"/>
      <c r="AP6" s="390" t="s">
        <v>158</v>
      </c>
      <c r="AR6" s="392">
        <v>30025</v>
      </c>
      <c r="AS6" s="390" t="s">
        <v>158</v>
      </c>
      <c r="AT6" s="405">
        <v>22210</v>
      </c>
      <c r="AU6" s="390" t="s">
        <v>158</v>
      </c>
      <c r="AV6" s="392"/>
      <c r="AW6" s="403" t="s">
        <v>590</v>
      </c>
      <c r="AX6" s="406" t="s">
        <v>590</v>
      </c>
      <c r="AY6" s="406" t="s">
        <v>590</v>
      </c>
      <c r="AZ6" s="406" t="s">
        <v>158</v>
      </c>
      <c r="BA6" s="390"/>
      <c r="BB6" s="395"/>
      <c r="BC6" s="390"/>
      <c r="BD6" s="395"/>
      <c r="BE6" s="390" t="s">
        <v>1990</v>
      </c>
      <c r="BF6" s="395" t="s">
        <v>40</v>
      </c>
      <c r="BG6" s="852" t="s">
        <v>1991</v>
      </c>
      <c r="BH6" s="395" t="s">
        <v>43</v>
      </c>
      <c r="BI6" s="390"/>
      <c r="BJ6" s="395"/>
      <c r="BK6" s="390"/>
      <c r="BM6" s="404" t="s">
        <v>1992</v>
      </c>
      <c r="BN6" s="404" t="s">
        <v>1993</v>
      </c>
      <c r="BZ6" s="399">
        <v>204</v>
      </c>
      <c r="CA6" s="390" t="s">
        <v>1994</v>
      </c>
      <c r="CB6" s="390" t="s">
        <v>1995</v>
      </c>
      <c r="CC6" s="390" t="s">
        <v>1996</v>
      </c>
      <c r="CD6" s="390"/>
      <c r="CE6" s="390" t="s">
        <v>1997</v>
      </c>
      <c r="CF6" s="390" t="s">
        <v>40</v>
      </c>
      <c r="CG6" s="390" t="s">
        <v>2012</v>
      </c>
      <c r="CH6" s="390" t="s">
        <v>158</v>
      </c>
      <c r="CI6" s="403" t="s">
        <v>1998</v>
      </c>
      <c r="CJ6" s="403" t="s">
        <v>1999</v>
      </c>
      <c r="CK6" s="403" t="s">
        <v>2000</v>
      </c>
      <c r="CL6" s="403" t="s">
        <v>589</v>
      </c>
      <c r="CM6" s="390" t="s">
        <v>2001</v>
      </c>
      <c r="CN6" s="390" t="s">
        <v>2002</v>
      </c>
      <c r="CO6" s="390"/>
      <c r="CP6" s="390"/>
      <c r="CQ6" s="390"/>
      <c r="CR6" s="409" t="str">
        <f>IF((IF(ISNA(VLOOKUP($BB6,Instructions!$A$133:$J$138,10,FALSE)),0,VLOOKUP($BB6,Instructions!$A$133:$J$138,10,FALSE))+IF(ISNA(VLOOKUP($BD6,Instructions!$A$133:$J$138,10,FALSE)),0,VLOOKUP($BD6,Instructions!$A$133:$J$138,10,FALSE))+IF(ISNA(VLOOKUP($BF6,Instructions!$A$133:$J$138,10,FALSE)),0,VLOOKUP($BF6,Instructions!$A$133:$J$138,10,FALSE))+IF(ISNA(VLOOKUP($BH6,Instructions!$A$133:$J$138,10,FALSE)),0,VLOOKUP($BH6,Instructions!$A$133:$J$138,10,FALSE))+IF(ISNA(VLOOKUP($BJ6,Instructions!$A$133:$J$138,10,FALSE)),0,VLOOKUP($BJ6,Instructions!$A$133:$J$138,10,FALSE))+IF(ISNA(VLOOKUP($BL6,Instructions!$A$133:$J$138,10,FALSE)),0,VLOOKUP($BL6,Instructions!$A$133:$J$138,10,FALSE)))&lt;2,"Poor","Usable")</f>
        <v>Usable</v>
      </c>
      <c r="CS6" s="409">
        <f>IF(ISNA(VLOOKUP($D6,Selections!$A$7:$B$19,2,FALSE)),0.4,VLOOKUP($D6,Selections!$A$7:$B$19,2,FALSE))</f>
        <v>0.5</v>
      </c>
      <c r="CT6" s="409">
        <f t="shared" si="0"/>
        <v>35000</v>
      </c>
      <c r="CU6" s="409">
        <f>IF((OR(ISBLANK($P6),$P6&lt;=0)),IF(ISNA(VLOOKUP($O6,Selections!$A$21:$D$48,4,FALSE)),0.113,VLOOKUP($O6,Selections!$A$21:$D$48,4,FALSE)),$P6)</f>
        <v>0.32200000000000001</v>
      </c>
      <c r="CV6" s="409">
        <f>IF(ISNA(VLOOKUP($S6,Selections!$A$57:$B$75,2,FALSE)),0.6,VLOOKUP($S6,Selections!$A$57:$B$75,2,FALSE))</f>
        <v>0.8</v>
      </c>
      <c r="CW6" s="410">
        <f>IF(OR($H6="",$H6="Valve",$H6="PCF",$H6="Regulator",$H6="Relief Valve",$H6="Appurtenance",$H6="Meter",$H6="Other",$H6="Pig Trap",$H6="Flange"),     IF(AND($BZ6&gt;0,$O6&gt;0),     IF($BZ6&gt;(      IF(IF(ISBLANK($V6),0,ISNA(VLOOKUP($V6,Selections!$A$153:$B$177,2,FALSE))),"n/a",IF(ISBLANK($V6),0,VLOOKUP($V6,Selections!$A$153:$B$177,2,FALSE)))),    "Chk Rating","OK Rating"),"n/a" ),IF(AND($BZ6&gt;0,$O6&gt;0),$BZ6/((2*$CT6*$CU6*$CV6)/$O6),1))</f>
        <v>9.7576530612244902E-2</v>
      </c>
      <c r="CX6" s="569" t="str">
        <f t="shared" si="25"/>
        <v>Tee</v>
      </c>
      <c r="CY6" s="570" t="str">
        <f t="shared" si="26"/>
        <v>No</v>
      </c>
      <c r="CZ6" s="571">
        <f t="shared" si="27"/>
        <v>35000</v>
      </c>
      <c r="DA6" s="571"/>
      <c r="DB6" s="570"/>
      <c r="DC6" s="572">
        <f t="shared" si="28"/>
        <v>0.32200000000000001</v>
      </c>
      <c r="DD6" s="573"/>
      <c r="DE6" s="573">
        <f t="shared" si="29"/>
        <v>0.32200000000000001</v>
      </c>
      <c r="DF6" s="573"/>
      <c r="DG6" s="570"/>
      <c r="DH6" s="574">
        <f t="shared" ca="1" si="30"/>
        <v>8.625</v>
      </c>
      <c r="DI6" s="574">
        <f t="shared" si="31"/>
        <v>8.625</v>
      </c>
      <c r="DJ6" s="570"/>
      <c r="DK6" s="575" t="str">
        <f t="shared" si="32"/>
        <v>Unknown</v>
      </c>
      <c r="DL6" s="573"/>
      <c r="DM6" s="576">
        <f t="shared" si="33"/>
        <v>1</v>
      </c>
      <c r="DN6" s="570"/>
      <c r="DO6" s="570" t="str">
        <f t="shared" si="34"/>
        <v>Unknown</v>
      </c>
      <c r="DP6" s="570"/>
      <c r="DQ6" s="570"/>
      <c r="DR6" s="570" t="str">
        <f t="shared" ca="1" si="35"/>
        <v>N/A</v>
      </c>
      <c r="DS6" s="570" t="str">
        <f t="shared" si="36"/>
        <v>3 in Station</v>
      </c>
      <c r="DT6" s="577">
        <f t="shared" ca="1" si="37"/>
        <v>0.5</v>
      </c>
      <c r="DU6" s="570">
        <f t="shared" ca="1" si="38"/>
        <v>1306</v>
      </c>
      <c r="DV6" s="570">
        <f t="shared" ca="1" si="39"/>
        <v>1306</v>
      </c>
      <c r="DW6" s="570">
        <f t="shared" ca="1" si="40"/>
        <v>1</v>
      </c>
      <c r="DX6" s="569">
        <f t="shared" ca="1" si="41"/>
        <v>1306</v>
      </c>
      <c r="DY6" s="570" t="str">
        <f t="shared" ca="1" si="12"/>
        <v>N/A</v>
      </c>
      <c r="DZ6" s="578">
        <f t="shared" si="42"/>
        <v>30025</v>
      </c>
      <c r="EA6" s="578" t="str">
        <f t="shared" si="43"/>
        <v>N/A</v>
      </c>
      <c r="EB6" s="570" t="str">
        <f t="shared" si="44"/>
        <v>N/A</v>
      </c>
      <c r="EC6" s="570" t="str">
        <f t="shared" si="45"/>
        <v>N/A</v>
      </c>
      <c r="ED6" s="579" t="str">
        <f t="shared" si="46"/>
        <v>N/A</v>
      </c>
      <c r="EE6" s="580" t="str">
        <f t="shared" si="47"/>
        <v>No</v>
      </c>
      <c r="EF6" s="577" t="str">
        <f t="shared" si="48"/>
        <v>N/A</v>
      </c>
      <c r="EG6" s="577" t="str">
        <f ca="1">IF(OR(EA6="N/A",DY6&lt;&gt;"N/A"),"N/A",IF(AND(DZ6&gt;=DATE(1961,7,1),EA6&gt;=DATE(1961,7,1),OR(DQ6="1 in Station",DQ6="2 in Station",DS6="1 in Station",DS6="2 in Station")),1.5,IF(AND(DK6="Electric Resistance Weld",YEAR(DZ6)&lt;1970,EA6&lt;DATE(1961,7,1),OR(DQ6=1,DQ6="1 in Station",DQ6="1 in Public Road Crossing",DQ6="1 in Hard Road Parallel",DQ6="1 on Bridge",DS6=1,DS6="1 in Station",DS6="1 in Public Road Crossing",DS6="1 in Hard Road Parallel",DS6="1 on Bridge")),1.25,INDEX('FVE Table'!$C$3:$F$5,EB6,IF(AND(ABS(DZ6-EA6)&lt;=365,DQ6&gt;0),LEFT(DQ6,1),LEFT(DS6,1))))))</f>
        <v>N/A</v>
      </c>
      <c r="EH6" s="570" t="str">
        <f t="shared" ca="1" si="49"/>
        <v>N/A</v>
      </c>
      <c r="EI6" s="570" t="str">
        <f t="shared" ca="1" si="50"/>
        <v>N/A</v>
      </c>
      <c r="EJ6" s="570" t="str">
        <f t="shared" ca="1" si="51"/>
        <v>N/A</v>
      </c>
      <c r="EK6" s="581">
        <f t="shared" si="52"/>
        <v>204</v>
      </c>
      <c r="EL6" s="570"/>
      <c r="EM6" s="582">
        <f t="shared" ca="1" si="53"/>
        <v>7.8061224489795925E-2</v>
      </c>
      <c r="EN6" s="582">
        <f t="shared" ca="1" si="54"/>
        <v>7.8061224489795925E-2</v>
      </c>
      <c r="EO6" s="570">
        <f t="shared" ca="1" si="55"/>
        <v>204</v>
      </c>
      <c r="EP6" s="570" t="str">
        <f t="shared" ca="1" si="56"/>
        <v>R</v>
      </c>
      <c r="EQ6" s="582">
        <f t="shared" ca="1" si="57"/>
        <v>7.8061224489795925E-2</v>
      </c>
      <c r="ER6" s="573">
        <f t="shared" si="22"/>
        <v>0</v>
      </c>
      <c r="ES6" s="762"/>
      <c r="ET6" s="762"/>
      <c r="EU6" s="585"/>
      <c r="EV6" s="583"/>
      <c r="EW6" s="583"/>
      <c r="EX6" s="584"/>
      <c r="EY6" s="759"/>
      <c r="EZ6" s="585"/>
      <c r="FA6" s="585"/>
      <c r="FB6" s="585"/>
      <c r="FC6" s="585"/>
    </row>
    <row r="7" spans="1:159" ht="15" customHeight="1" x14ac:dyDescent="0.2">
      <c r="A7" s="389">
        <f t="shared" si="23"/>
        <v>0</v>
      </c>
      <c r="B7" s="389">
        <f t="shared" si="24"/>
        <v>0</v>
      </c>
      <c r="C7" s="390" t="s">
        <v>2003</v>
      </c>
      <c r="D7" s="391" t="s">
        <v>1208</v>
      </c>
      <c r="E7" s="391">
        <v>4261434</v>
      </c>
      <c r="F7" s="392">
        <v>30025</v>
      </c>
      <c r="G7" s="393">
        <v>5</v>
      </c>
      <c r="H7" s="394" t="s">
        <v>620</v>
      </c>
      <c r="I7" s="395" t="s">
        <v>152</v>
      </c>
      <c r="J7" s="396">
        <v>0.3</v>
      </c>
      <c r="K7" s="404" t="s">
        <v>2013</v>
      </c>
      <c r="O7" s="398">
        <v>8.625</v>
      </c>
      <c r="P7" s="398">
        <v>0.5</v>
      </c>
      <c r="S7" s="395" t="s">
        <v>123</v>
      </c>
      <c r="T7" s="390" t="s">
        <v>723</v>
      </c>
      <c r="U7" s="399">
        <v>35000</v>
      </c>
      <c r="V7" s="390" t="s">
        <v>158</v>
      </c>
      <c r="Y7" s="390"/>
      <c r="Z7" s="390" t="s">
        <v>158</v>
      </c>
      <c r="AC7" s="413" t="s">
        <v>1409</v>
      </c>
      <c r="AG7" s="391"/>
      <c r="AK7" s="390"/>
      <c r="AL7" s="390"/>
      <c r="AM7" s="390"/>
      <c r="AN7" s="390"/>
      <c r="AO7" s="390"/>
      <c r="AP7" s="390" t="s">
        <v>158</v>
      </c>
      <c r="AR7" s="392">
        <v>30025</v>
      </c>
      <c r="AS7" s="390" t="s">
        <v>158</v>
      </c>
      <c r="AT7" s="405">
        <v>22197</v>
      </c>
      <c r="AU7" s="390" t="s">
        <v>158</v>
      </c>
      <c r="AV7" s="392"/>
      <c r="AW7" s="403" t="s">
        <v>590</v>
      </c>
      <c r="AX7" s="406" t="s">
        <v>590</v>
      </c>
      <c r="AY7" s="406" t="s">
        <v>590</v>
      </c>
      <c r="AZ7" s="406" t="s">
        <v>158</v>
      </c>
      <c r="BA7" s="390"/>
      <c r="BB7" s="395"/>
      <c r="BC7" s="390"/>
      <c r="BD7" s="395"/>
      <c r="BE7" s="390" t="s">
        <v>1990</v>
      </c>
      <c r="BF7" s="395" t="s">
        <v>40</v>
      </c>
      <c r="BG7" s="852" t="s">
        <v>1991</v>
      </c>
      <c r="BH7" s="395" t="s">
        <v>43</v>
      </c>
      <c r="BI7" s="390"/>
      <c r="BJ7" s="395"/>
      <c r="BK7" s="390"/>
      <c r="BM7" s="404" t="s">
        <v>1992</v>
      </c>
      <c r="BN7" s="404" t="s">
        <v>1993</v>
      </c>
      <c r="BZ7" s="399">
        <v>204</v>
      </c>
      <c r="CA7" s="390" t="s">
        <v>1994</v>
      </c>
      <c r="CB7" s="390" t="s">
        <v>1995</v>
      </c>
      <c r="CC7" s="390" t="s">
        <v>1996</v>
      </c>
      <c r="CD7" s="390"/>
      <c r="CE7" s="390" t="s">
        <v>1997</v>
      </c>
      <c r="CF7" s="390" t="s">
        <v>40</v>
      </c>
      <c r="CG7" s="390"/>
      <c r="CH7" s="390" t="s">
        <v>158</v>
      </c>
      <c r="CI7" s="403" t="s">
        <v>1998</v>
      </c>
      <c r="CJ7" s="403" t="s">
        <v>1999</v>
      </c>
      <c r="CK7" s="403" t="s">
        <v>2000</v>
      </c>
      <c r="CL7" s="403" t="s">
        <v>589</v>
      </c>
      <c r="CM7" s="390" t="s">
        <v>2001</v>
      </c>
      <c r="CN7" s="390" t="s">
        <v>2002</v>
      </c>
      <c r="CO7" s="390"/>
      <c r="CP7" s="390"/>
      <c r="CQ7" s="390"/>
      <c r="CR7" s="409" t="str">
        <f>IF((IF(ISNA(VLOOKUP($BB7,Instructions!$A$133:$J$138,10,FALSE)),0,VLOOKUP($BB7,Instructions!$A$133:$J$138,10,FALSE))+IF(ISNA(VLOOKUP($BD7,Instructions!$A$133:$J$138,10,FALSE)),0,VLOOKUP($BD7,Instructions!$A$133:$J$138,10,FALSE))+IF(ISNA(VLOOKUP($BF7,Instructions!$A$133:$J$138,10,FALSE)),0,VLOOKUP($BF7,Instructions!$A$133:$J$138,10,FALSE))+IF(ISNA(VLOOKUP($BH7,Instructions!$A$133:$J$138,10,FALSE)),0,VLOOKUP($BH7,Instructions!$A$133:$J$138,10,FALSE))+IF(ISNA(VLOOKUP($BJ7,Instructions!$A$133:$J$138,10,FALSE)),0,VLOOKUP($BJ7,Instructions!$A$133:$J$138,10,FALSE))+IF(ISNA(VLOOKUP($BL7,Instructions!$A$133:$J$138,10,FALSE)),0,VLOOKUP($BL7,Instructions!$A$133:$J$138,10,FALSE)))&lt;2,"Poor","Usable")</f>
        <v>Usable</v>
      </c>
      <c r="CS7" s="409">
        <f>IF(ISNA(VLOOKUP($D7,Selections!$A$7:$B$19,2,FALSE)),0.4,VLOOKUP($D7,Selections!$A$7:$B$19,2,FALSE))</f>
        <v>0.5</v>
      </c>
      <c r="CT7" s="409">
        <f t="shared" si="0"/>
        <v>35000</v>
      </c>
      <c r="CU7" s="409">
        <f>IF((OR(ISBLANK($P7),$P7&lt;=0)),IF(ISNA(VLOOKUP($O7,Selections!$A$21:$D$48,4,FALSE)),0.113,VLOOKUP($O7,Selections!$A$21:$D$48,4,FALSE)),$P7)</f>
        <v>0.5</v>
      </c>
      <c r="CV7" s="409">
        <f>IF(ISNA(VLOOKUP($S7,Selections!$A$57:$B$75,2,FALSE)),0.6,VLOOKUP($S7,Selections!$A$57:$B$75,2,FALSE))</f>
        <v>1</v>
      </c>
      <c r="CW7" s="410">
        <f>IF(OR($H7="",$H7="Valve",$H7="PCF",$H7="Regulator",$H7="Relief Valve",$H7="Appurtenance",$H7="Meter",$H7="Other",$H7="Pig Trap",$H7="Flange"),     IF(AND($BZ7&gt;0,$O7&gt;0),     IF($BZ7&gt;(      IF(IF(ISBLANK($V7),0,ISNA(VLOOKUP($V7,Selections!$A$153:$B$177,2,FALSE))),"n/a",IF(ISBLANK($V7),0,VLOOKUP($V7,Selections!$A$153:$B$177,2,FALSE)))),    "Chk Rating","OK Rating"),"n/a" ),IF(AND($BZ7&gt;0,$O7&gt;0),$BZ7/((2*$CT7*$CU7*$CV7)/$O7),1))</f>
        <v>5.0271428571428571E-2</v>
      </c>
      <c r="CX7" s="569" t="str">
        <f t="shared" si="25"/>
        <v>Cap</v>
      </c>
      <c r="CY7" s="570" t="str">
        <f t="shared" si="26"/>
        <v>No</v>
      </c>
      <c r="CZ7" s="571">
        <f t="shared" si="27"/>
        <v>35000</v>
      </c>
      <c r="DA7" s="571"/>
      <c r="DB7" s="570"/>
      <c r="DC7" s="572">
        <f t="shared" si="28"/>
        <v>0.5</v>
      </c>
      <c r="DD7" s="573"/>
      <c r="DE7" s="573" t="str">
        <f t="shared" si="29"/>
        <v>N/A</v>
      </c>
      <c r="DF7" s="573"/>
      <c r="DG7" s="570"/>
      <c r="DH7" s="574">
        <f t="shared" ca="1" si="30"/>
        <v>8.625</v>
      </c>
      <c r="DI7" s="574" t="str">
        <f t="shared" si="31"/>
        <v>N/A</v>
      </c>
      <c r="DJ7" s="570"/>
      <c r="DK7" s="575" t="str">
        <f t="shared" si="32"/>
        <v>N/A</v>
      </c>
      <c r="DL7" s="573"/>
      <c r="DM7" s="576">
        <f t="shared" si="33"/>
        <v>1</v>
      </c>
      <c r="DN7" s="570"/>
      <c r="DO7" s="570" t="str">
        <f t="shared" si="34"/>
        <v>Unknown</v>
      </c>
      <c r="DP7" s="570"/>
      <c r="DQ7" s="570"/>
      <c r="DR7" s="570" t="str">
        <f t="shared" ca="1" si="35"/>
        <v>N/A</v>
      </c>
      <c r="DS7" s="570" t="str">
        <f t="shared" si="36"/>
        <v>3 in Station</v>
      </c>
      <c r="DT7" s="577">
        <f t="shared" ca="1" si="37"/>
        <v>0.5</v>
      </c>
      <c r="DU7" s="570">
        <f t="shared" ca="1" si="38"/>
        <v>2028</v>
      </c>
      <c r="DV7" s="570" t="str">
        <f t="shared" ca="1" si="39"/>
        <v>N/A</v>
      </c>
      <c r="DW7" s="570">
        <f t="shared" ca="1" si="40"/>
        <v>1</v>
      </c>
      <c r="DX7" s="569">
        <f t="shared" ca="1" si="41"/>
        <v>2028</v>
      </c>
      <c r="DY7" s="570" t="str">
        <f t="shared" ca="1" si="12"/>
        <v>N/A</v>
      </c>
      <c r="DZ7" s="578">
        <f t="shared" si="42"/>
        <v>30025</v>
      </c>
      <c r="EA7" s="578" t="str">
        <f t="shared" si="43"/>
        <v>N/A</v>
      </c>
      <c r="EB7" s="570" t="str">
        <f t="shared" si="44"/>
        <v>N/A</v>
      </c>
      <c r="EC7" s="570" t="str">
        <f t="shared" si="45"/>
        <v>N/A</v>
      </c>
      <c r="ED7" s="579" t="str">
        <f t="shared" si="46"/>
        <v>N/A</v>
      </c>
      <c r="EE7" s="580" t="str">
        <f t="shared" si="47"/>
        <v>No</v>
      </c>
      <c r="EF7" s="577" t="str">
        <f t="shared" si="48"/>
        <v>N/A</v>
      </c>
      <c r="EG7" s="577" t="str">
        <f ca="1">IF(OR(EA7="N/A",DY7&lt;&gt;"N/A"),"N/A",IF(AND(DZ7&gt;=DATE(1961,7,1),EA7&gt;=DATE(1961,7,1),OR(DQ7="1 in Station",DQ7="2 in Station",DS7="1 in Station",DS7="2 in Station")),1.5,IF(AND(DK7="Electric Resistance Weld",YEAR(DZ7)&lt;1970,EA7&lt;DATE(1961,7,1),OR(DQ7=1,DQ7="1 in Station",DQ7="1 in Public Road Crossing",DQ7="1 in Hard Road Parallel",DQ7="1 on Bridge",DS7=1,DS7="1 in Station",DS7="1 in Public Road Crossing",DS7="1 in Hard Road Parallel",DS7="1 on Bridge")),1.25,INDEX('FVE Table'!$C$3:$F$5,EB7,IF(AND(ABS(DZ7-EA7)&lt;=365,DQ7&gt;0),LEFT(DQ7,1),LEFT(DS7,1))))))</f>
        <v>N/A</v>
      </c>
      <c r="EH7" s="570" t="str">
        <f t="shared" ca="1" si="49"/>
        <v>N/A</v>
      </c>
      <c r="EI7" s="570" t="str">
        <f t="shared" ca="1" si="50"/>
        <v>N/A</v>
      </c>
      <c r="EJ7" s="570" t="str">
        <f t="shared" ca="1" si="51"/>
        <v>N/A</v>
      </c>
      <c r="EK7" s="581">
        <f t="shared" si="52"/>
        <v>204</v>
      </c>
      <c r="EL7" s="570"/>
      <c r="EM7" s="582">
        <f t="shared" ca="1" si="53"/>
        <v>5.0271428571428571E-2</v>
      </c>
      <c r="EN7" s="582" t="str">
        <f t="shared" ca="1" si="54"/>
        <v>N/A</v>
      </c>
      <c r="EO7" s="570">
        <f t="shared" ca="1" si="55"/>
        <v>204</v>
      </c>
      <c r="EP7" s="570" t="str">
        <f t="shared" ca="1" si="56"/>
        <v>R</v>
      </c>
      <c r="EQ7" s="582">
        <f t="shared" ca="1" si="57"/>
        <v>5.0271428571428571E-2</v>
      </c>
      <c r="ER7" s="573">
        <f t="shared" si="22"/>
        <v>0</v>
      </c>
      <c r="ES7" s="762"/>
      <c r="ET7" s="762"/>
      <c r="EU7" s="585"/>
      <c r="EV7" s="583"/>
      <c r="EW7" s="583"/>
      <c r="EX7" s="584"/>
      <c r="EY7" s="759"/>
      <c r="EZ7" s="585"/>
      <c r="FA7" s="585"/>
      <c r="FB7" s="585"/>
      <c r="FC7" s="585"/>
    </row>
    <row r="8" spans="1:159" ht="15" customHeight="1" thickBot="1" x14ac:dyDescent="0.25">
      <c r="A8" s="389">
        <f t="shared" si="23"/>
        <v>0</v>
      </c>
      <c r="B8" s="389">
        <f t="shared" si="24"/>
        <v>0</v>
      </c>
      <c r="C8" s="390" t="s">
        <v>2003</v>
      </c>
      <c r="D8" s="391" t="s">
        <v>1208</v>
      </c>
      <c r="E8" s="391">
        <v>4261434</v>
      </c>
      <c r="F8" s="392">
        <v>30025</v>
      </c>
      <c r="G8" s="393">
        <v>6</v>
      </c>
      <c r="H8" s="394" t="s">
        <v>153</v>
      </c>
      <c r="I8" s="395" t="s">
        <v>68</v>
      </c>
      <c r="J8" s="396">
        <v>1.9</v>
      </c>
      <c r="K8" s="404" t="s">
        <v>2014</v>
      </c>
      <c r="O8" s="398">
        <v>8.625</v>
      </c>
      <c r="P8" s="398">
        <v>0.32200000000000001</v>
      </c>
      <c r="S8" s="395" t="s">
        <v>745</v>
      </c>
      <c r="T8" s="390" t="s">
        <v>820</v>
      </c>
      <c r="U8" s="399">
        <v>35000</v>
      </c>
      <c r="X8" s="795"/>
      <c r="Y8" s="390"/>
      <c r="Z8" s="390" t="s">
        <v>158</v>
      </c>
      <c r="AB8" s="401" t="s">
        <v>1095</v>
      </c>
      <c r="AC8" s="413" t="s">
        <v>1409</v>
      </c>
      <c r="AG8" s="391"/>
      <c r="AK8" s="390"/>
      <c r="AL8" s="390"/>
      <c r="AM8" s="390"/>
      <c r="AN8" s="390"/>
      <c r="AO8" s="390"/>
      <c r="AP8" s="390" t="s">
        <v>158</v>
      </c>
      <c r="AR8" s="392">
        <v>30025</v>
      </c>
      <c r="AS8" s="390" t="s">
        <v>158</v>
      </c>
      <c r="AT8" s="405">
        <v>11689</v>
      </c>
      <c r="AU8" s="390" t="s">
        <v>158</v>
      </c>
      <c r="AV8" s="392"/>
      <c r="AW8" s="403" t="s">
        <v>590</v>
      </c>
      <c r="AX8" s="406" t="s">
        <v>590</v>
      </c>
      <c r="AY8" s="406" t="s">
        <v>590</v>
      </c>
      <c r="AZ8" s="406" t="s">
        <v>158</v>
      </c>
      <c r="BA8" s="390"/>
      <c r="BB8" s="395"/>
      <c r="BC8" s="390"/>
      <c r="BD8" s="395"/>
      <c r="BE8" s="390" t="s">
        <v>1990</v>
      </c>
      <c r="BF8" s="395" t="s">
        <v>40</v>
      </c>
      <c r="BG8" s="852" t="s">
        <v>1991</v>
      </c>
      <c r="BH8" s="395" t="s">
        <v>43</v>
      </c>
      <c r="BI8" s="390"/>
      <c r="BJ8" s="395"/>
      <c r="BK8" s="390"/>
      <c r="BM8" s="404" t="s">
        <v>1992</v>
      </c>
      <c r="BN8" s="404" t="s">
        <v>1993</v>
      </c>
      <c r="BZ8" s="399">
        <v>204</v>
      </c>
      <c r="CA8" s="390" t="s">
        <v>1994</v>
      </c>
      <c r="CB8" s="390" t="s">
        <v>1995</v>
      </c>
      <c r="CC8" s="390" t="s">
        <v>1996</v>
      </c>
      <c r="CD8" s="390"/>
      <c r="CE8" s="390" t="s">
        <v>1997</v>
      </c>
      <c r="CF8" s="390" t="s">
        <v>40</v>
      </c>
      <c r="CG8" s="390"/>
      <c r="CH8" s="390" t="s">
        <v>158</v>
      </c>
      <c r="CI8" s="403" t="s">
        <v>1998</v>
      </c>
      <c r="CJ8" s="403" t="s">
        <v>1999</v>
      </c>
      <c r="CK8" s="403" t="s">
        <v>2000</v>
      </c>
      <c r="CL8" s="403" t="s">
        <v>589</v>
      </c>
      <c r="CM8" s="390" t="s">
        <v>2001</v>
      </c>
      <c r="CN8" s="390" t="s">
        <v>2002</v>
      </c>
      <c r="CO8" s="390"/>
      <c r="CP8" s="390"/>
      <c r="CQ8" s="390"/>
      <c r="CR8" s="409" t="str">
        <f>IF((IF(ISNA(VLOOKUP($BB8,Instructions!$A$133:$J$138,10,FALSE)),0,VLOOKUP($BB8,Instructions!$A$133:$J$138,10,FALSE))+IF(ISNA(VLOOKUP($BD8,Instructions!$A$133:$J$138,10,FALSE)),0,VLOOKUP($BD8,Instructions!$A$133:$J$138,10,FALSE))+IF(ISNA(VLOOKUP($BF8,Instructions!$A$133:$J$138,10,FALSE)),0,VLOOKUP($BF8,Instructions!$A$133:$J$138,10,FALSE))+IF(ISNA(VLOOKUP($BH8,Instructions!$A$133:$J$138,10,FALSE)),0,VLOOKUP($BH8,Instructions!$A$133:$J$138,10,FALSE))+IF(ISNA(VLOOKUP($BJ8,Instructions!$A$133:$J$138,10,FALSE)),0,VLOOKUP($BJ8,Instructions!$A$133:$J$138,10,FALSE))+IF(ISNA(VLOOKUP($BL8,Instructions!$A$133:$J$138,10,FALSE)),0,VLOOKUP($BL8,Instructions!$A$133:$J$138,10,FALSE)))&lt;2,"Poor","Usable")</f>
        <v>Usable</v>
      </c>
      <c r="CS8" s="409">
        <f>IF(ISNA(VLOOKUP($D8,Selections!$A$7:$B$19,2,FALSE)),0.4,VLOOKUP($D8,Selections!$A$7:$B$19,2,FALSE))</f>
        <v>0.5</v>
      </c>
      <c r="CT8" s="409">
        <f t="shared" si="0"/>
        <v>35000</v>
      </c>
      <c r="CU8" s="409">
        <f>IF((OR(ISBLANK($P8),$P8&lt;=0)),IF(ISNA(VLOOKUP($O8,Selections!$A$21:$D$48,4,FALSE)),0.113,VLOOKUP($O8,Selections!$A$21:$D$48,4,FALSE)),$P8)</f>
        <v>0.32200000000000001</v>
      </c>
      <c r="CV8" s="409">
        <f>IF(ISNA(VLOOKUP($S8,Selections!$A$57:$B$75,2,FALSE)),0.6,VLOOKUP($S8,Selections!$A$57:$B$75,2,FALSE))</f>
        <v>1</v>
      </c>
      <c r="CW8" s="410">
        <f>IF(OR($H8="",$H8="Valve",$H8="PCF",$H8="Regulator",$H8="Relief Valve",$H8="Appurtenance",$H8="Meter",$H8="Other",$H8="Pig Trap",$H8="Flange"),     IF(AND($BZ8&gt;0,$O8&gt;0),     IF($BZ8&gt;(      IF(IF(ISBLANK($V8),0,ISNA(VLOOKUP($V8,Selections!$A$153:$B$177,2,FALSE))),"n/a",IF(ISBLANK($V8),0,VLOOKUP($V8,Selections!$A$153:$B$177,2,FALSE)))),    "Chk Rating","OK Rating"),"n/a" ),IF(AND($BZ8&gt;0,$O8&gt;0),$BZ8/((2*$CT8*$CU8*$CV8)/$O8),1))</f>
        <v>7.8061224489795911E-2</v>
      </c>
      <c r="CX8" s="569" t="str">
        <f t="shared" si="25"/>
        <v>Pipe</v>
      </c>
      <c r="CY8" s="570" t="str">
        <f t="shared" si="26"/>
        <v>No</v>
      </c>
      <c r="CZ8" s="571">
        <f t="shared" si="27"/>
        <v>35000</v>
      </c>
      <c r="DA8" s="571"/>
      <c r="DB8" s="570"/>
      <c r="DC8" s="572">
        <f t="shared" si="28"/>
        <v>0.32200000000000001</v>
      </c>
      <c r="DD8" s="573"/>
      <c r="DE8" s="573" t="str">
        <f t="shared" si="29"/>
        <v>N/A</v>
      </c>
      <c r="DF8" s="573"/>
      <c r="DG8" s="570"/>
      <c r="DH8" s="574">
        <f t="shared" ca="1" si="30"/>
        <v>8.625</v>
      </c>
      <c r="DI8" s="574" t="str">
        <f t="shared" si="31"/>
        <v>N/A</v>
      </c>
      <c r="DJ8" s="570"/>
      <c r="DK8" s="575" t="str">
        <f t="shared" si="32"/>
        <v>Seamless</v>
      </c>
      <c r="DL8" s="573"/>
      <c r="DM8" s="576">
        <f t="shared" si="33"/>
        <v>1</v>
      </c>
      <c r="DN8" s="570"/>
      <c r="DO8" s="570" t="str">
        <f t="shared" si="34"/>
        <v>N/A</v>
      </c>
      <c r="DP8" s="570"/>
      <c r="DQ8" s="570"/>
      <c r="DR8" s="570" t="str">
        <f t="shared" ca="1" si="35"/>
        <v>N/A</v>
      </c>
      <c r="DS8" s="570" t="str">
        <f t="shared" si="36"/>
        <v>3 in Station</v>
      </c>
      <c r="DT8" s="577">
        <f t="shared" ca="1" si="37"/>
        <v>0.5</v>
      </c>
      <c r="DU8" s="570">
        <f t="shared" ca="1" si="38"/>
        <v>1306</v>
      </c>
      <c r="DV8" s="570" t="str">
        <f t="shared" ca="1" si="39"/>
        <v>N/A</v>
      </c>
      <c r="DW8" s="570">
        <f t="shared" ca="1" si="40"/>
        <v>1</v>
      </c>
      <c r="DX8" s="569">
        <f t="shared" ca="1" si="41"/>
        <v>1306</v>
      </c>
      <c r="DY8" s="570" t="str">
        <f t="shared" ca="1" si="12"/>
        <v>N/A</v>
      </c>
      <c r="DZ8" s="578">
        <f t="shared" si="42"/>
        <v>30025</v>
      </c>
      <c r="EA8" s="578" t="str">
        <f t="shared" si="43"/>
        <v>N/A</v>
      </c>
      <c r="EB8" s="570" t="str">
        <f t="shared" si="44"/>
        <v>N/A</v>
      </c>
      <c r="EC8" s="570" t="str">
        <f t="shared" si="45"/>
        <v>N/A</v>
      </c>
      <c r="ED8" s="579" t="str">
        <f t="shared" si="46"/>
        <v>N/A</v>
      </c>
      <c r="EE8" s="580" t="str">
        <f t="shared" si="47"/>
        <v>No</v>
      </c>
      <c r="EF8" s="577" t="str">
        <f t="shared" si="48"/>
        <v>N/A</v>
      </c>
      <c r="EG8" s="577" t="str">
        <f ca="1">IF(OR(EA8="N/A",DY8&lt;&gt;"N/A"),"N/A",IF(AND(DZ8&gt;=DATE(1961,7,1),EA8&gt;=DATE(1961,7,1),OR(DQ8="1 in Station",DQ8="2 in Station",DS8="1 in Station",DS8="2 in Station")),1.5,IF(AND(DK8="Electric Resistance Weld",YEAR(DZ8)&lt;1970,EA8&lt;DATE(1961,7,1),OR(DQ8=1,DQ8="1 in Station",DQ8="1 in Public Road Crossing",DQ8="1 in Hard Road Parallel",DQ8="1 on Bridge",DS8=1,DS8="1 in Station",DS8="1 in Public Road Crossing",DS8="1 in Hard Road Parallel",DS8="1 on Bridge")),1.25,INDEX('FVE Table'!$C$3:$F$5,EB8,IF(AND(ABS(DZ8-EA8)&lt;=365,DQ8&gt;0),LEFT(DQ8,1),LEFT(DS8,1))))))</f>
        <v>N/A</v>
      </c>
      <c r="EH8" s="570" t="str">
        <f t="shared" ca="1" si="49"/>
        <v>N/A</v>
      </c>
      <c r="EI8" s="570" t="str">
        <f t="shared" ca="1" si="50"/>
        <v>N/A</v>
      </c>
      <c r="EJ8" s="570" t="str">
        <f t="shared" ca="1" si="51"/>
        <v>N/A</v>
      </c>
      <c r="EK8" s="581">
        <f t="shared" si="52"/>
        <v>204</v>
      </c>
      <c r="EL8" s="570"/>
      <c r="EM8" s="582">
        <f t="shared" ca="1" si="53"/>
        <v>7.8061224489795925E-2</v>
      </c>
      <c r="EN8" s="582" t="str">
        <f t="shared" ca="1" si="54"/>
        <v>N/A</v>
      </c>
      <c r="EO8" s="570">
        <f t="shared" ca="1" si="55"/>
        <v>204</v>
      </c>
      <c r="EP8" s="570" t="str">
        <f t="shared" ca="1" si="56"/>
        <v>R</v>
      </c>
      <c r="EQ8" s="582">
        <f t="shared" ca="1" si="57"/>
        <v>7.8061224489795925E-2</v>
      </c>
      <c r="ER8" s="573">
        <f t="shared" si="22"/>
        <v>0</v>
      </c>
      <c r="ES8" s="762"/>
      <c r="ET8" s="762"/>
      <c r="EU8" s="585"/>
      <c r="EV8" s="583"/>
      <c r="EW8" s="583"/>
      <c r="EX8" s="584"/>
      <c r="EY8" s="759"/>
      <c r="EZ8" s="585"/>
      <c r="FA8" s="585"/>
      <c r="FB8" s="585"/>
      <c r="FC8" s="585"/>
    </row>
    <row r="9" spans="1:159" ht="24" thickTop="1" thickBot="1" x14ac:dyDescent="0.25">
      <c r="A9" s="389">
        <f t="shared" si="23"/>
        <v>0</v>
      </c>
      <c r="B9" s="389">
        <f t="shared" si="24"/>
        <v>0</v>
      </c>
      <c r="C9" s="390" t="s">
        <v>2003</v>
      </c>
      <c r="D9" s="391" t="s">
        <v>1208</v>
      </c>
      <c r="E9" s="391">
        <v>4678504</v>
      </c>
      <c r="F9" s="392">
        <v>32212</v>
      </c>
      <c r="G9" s="796">
        <v>7</v>
      </c>
      <c r="H9" s="394" t="s">
        <v>473</v>
      </c>
      <c r="I9" s="395" t="s">
        <v>720</v>
      </c>
      <c r="J9" s="396">
        <v>0</v>
      </c>
      <c r="K9" s="404" t="s">
        <v>2015</v>
      </c>
      <c r="O9" s="398">
        <v>2.375</v>
      </c>
      <c r="P9" s="797"/>
      <c r="S9" s="395"/>
      <c r="T9" s="390" t="s">
        <v>158</v>
      </c>
      <c r="U9" s="399" t="s">
        <v>158</v>
      </c>
      <c r="V9" s="390" t="s">
        <v>158</v>
      </c>
      <c r="W9" s="798">
        <v>2</v>
      </c>
      <c r="X9" s="799"/>
      <c r="Y9" s="800"/>
      <c r="Z9" s="390" t="s">
        <v>158</v>
      </c>
      <c r="AG9" s="391"/>
      <c r="AH9" s="390" t="s">
        <v>466</v>
      </c>
      <c r="AI9" s="404" t="s">
        <v>590</v>
      </c>
      <c r="AK9" s="390"/>
      <c r="AL9" s="390"/>
      <c r="AM9" s="390"/>
      <c r="AN9" s="390"/>
      <c r="AO9" s="390"/>
      <c r="AP9" s="390" t="s">
        <v>158</v>
      </c>
      <c r="AR9" s="392">
        <v>32212</v>
      </c>
      <c r="AS9" s="390" t="s">
        <v>158</v>
      </c>
      <c r="AU9" s="390" t="s">
        <v>158</v>
      </c>
      <c r="AV9" s="392"/>
      <c r="AW9" s="403" t="s">
        <v>590</v>
      </c>
      <c r="AX9" s="406" t="s">
        <v>590</v>
      </c>
      <c r="AY9" s="406" t="s">
        <v>590</v>
      </c>
      <c r="AZ9" s="406" t="s">
        <v>158</v>
      </c>
      <c r="BA9" s="390"/>
      <c r="BB9" s="395"/>
      <c r="BC9" s="390"/>
      <c r="BD9" s="395"/>
      <c r="BE9" s="852" t="s">
        <v>2016</v>
      </c>
      <c r="BF9" s="395" t="s">
        <v>40</v>
      </c>
      <c r="BG9" s="390"/>
      <c r="BH9" s="395"/>
      <c r="BI9" s="390"/>
      <c r="BJ9" s="395"/>
      <c r="BK9" s="390"/>
      <c r="BL9" s="395"/>
      <c r="BM9" s="404" t="s">
        <v>1992</v>
      </c>
      <c r="BN9" s="404" t="s">
        <v>1993</v>
      </c>
      <c r="BZ9" s="399">
        <v>204</v>
      </c>
      <c r="CA9" s="390" t="s">
        <v>1994</v>
      </c>
      <c r="CB9" s="390" t="s">
        <v>1995</v>
      </c>
      <c r="CC9" s="390" t="s">
        <v>1996</v>
      </c>
      <c r="CD9" s="390"/>
      <c r="CE9" s="390" t="s">
        <v>1997</v>
      </c>
      <c r="CF9" s="390" t="s">
        <v>40</v>
      </c>
      <c r="CG9" s="390" t="s">
        <v>739</v>
      </c>
      <c r="CH9" s="390" t="s">
        <v>1112</v>
      </c>
      <c r="CI9" s="403" t="s">
        <v>1998</v>
      </c>
      <c r="CJ9" s="403" t="s">
        <v>1999</v>
      </c>
      <c r="CK9" s="403" t="s">
        <v>2000</v>
      </c>
      <c r="CL9" s="403" t="s">
        <v>589</v>
      </c>
      <c r="CM9" s="852" t="s">
        <v>2017</v>
      </c>
      <c r="CN9" s="390"/>
      <c r="CO9" s="390"/>
      <c r="CP9" s="390"/>
      <c r="CQ9" s="390"/>
      <c r="CR9" s="409" t="str">
        <f>IF((IF(ISNA(VLOOKUP($BB9,Instructions!$A$133:$J$138,10,FALSE)),0,VLOOKUP($BB9,Instructions!$A$133:$J$138,10,FALSE))+IF(ISNA(VLOOKUP($BD9,Instructions!$A$133:$J$138,10,FALSE)),0,VLOOKUP($BD9,Instructions!$A$133:$J$138,10,FALSE))+IF(ISNA(VLOOKUP($BF9,Instructions!$A$133:$J$138,10,FALSE)),0,VLOOKUP($BF9,Instructions!$A$133:$J$138,10,FALSE))+IF(ISNA(VLOOKUP($BH9,Instructions!$A$133:$J$138,10,FALSE)),0,VLOOKUP($BH9,Instructions!$A$133:$J$138,10,FALSE))+IF(ISNA(VLOOKUP($BJ9,Instructions!$A$133:$J$138,10,FALSE)),0,VLOOKUP($BJ9,Instructions!$A$133:$J$138,10,FALSE))+IF(ISNA(VLOOKUP($BL9,Instructions!$A$133:$J$138,10,FALSE)),0,VLOOKUP($BL9,Instructions!$A$133:$J$138,10,FALSE)))&lt;2,"Poor","Usable")</f>
        <v>Usable</v>
      </c>
      <c r="CS9" s="409">
        <f>IF(ISNA(VLOOKUP($D9,Selections!$A$7:$B$19,2,FALSE)),0.4,VLOOKUP($D9,Selections!$A$7:$B$19,2,FALSE))</f>
        <v>0.5</v>
      </c>
      <c r="CT9" s="409">
        <f t="shared" si="0"/>
        <v>24000</v>
      </c>
      <c r="CU9" s="409">
        <f>IF((OR(ISBLANK($P9),$P9&lt;=0)),IF(ISNA(VLOOKUP($O9,Selections!$A$21:$D$48,4,FALSE)),0.113,VLOOKUP($O9,Selections!$A$21:$D$48,4,FALSE)),$P9)</f>
        <v>0.154</v>
      </c>
      <c r="CV9" s="409">
        <f>IF(ISNA(VLOOKUP($S9,Selections!$A$57:$B$75,2,FALSE)),0.6,VLOOKUP($S9,Selections!$A$57:$B$75,2,FALSE))</f>
        <v>0.6</v>
      </c>
      <c r="CW9" s="410">
        <f>IF(OR($H9="",$H9="Valve",$H9="PCF",$H9="Regulator",$H9="Relief Valve",$H9="Appurtenance",$H9="Meter",$H9="Other",$H9="Pig Trap",$H9="Flange"),     IF(AND($BZ9&gt;0,$O9&gt;0),     IF($BZ9&gt;(      IF(IF(ISBLANK($V9),0,ISNA(VLOOKUP($V9,Selections!$A$153:$B$177,2,FALSE))),"n/a",IF(ISBLANK($V9),0,VLOOKUP($V9,Selections!$A$153:$B$177,2,FALSE)))),    "Chk Rating","OK Rating"),"n/a" ),IF(AND($BZ9&gt;0,$O9&gt;0),$BZ9/((2*$CT9*$CU9*$CV9)/$O9),1))</f>
        <v>0.10923971861471861</v>
      </c>
      <c r="CX9" s="569" t="str">
        <f t="shared" si="25"/>
        <v>Tap</v>
      </c>
      <c r="CY9" s="570" t="str">
        <f t="shared" si="26"/>
        <v>No</v>
      </c>
      <c r="CZ9" s="571" t="str">
        <f t="shared" si="27"/>
        <v>N/A</v>
      </c>
      <c r="DA9" s="571"/>
      <c r="DB9" s="570"/>
      <c r="DC9" s="572" t="str">
        <f t="shared" si="28"/>
        <v>N/A</v>
      </c>
      <c r="DD9" s="573"/>
      <c r="DE9" s="573" t="str">
        <f t="shared" si="29"/>
        <v>N/A</v>
      </c>
      <c r="DF9" s="573"/>
      <c r="DG9" s="570"/>
      <c r="DH9" s="574">
        <f t="shared" ca="1" si="30"/>
        <v>2.375</v>
      </c>
      <c r="DI9" s="574" t="str">
        <f t="shared" si="31"/>
        <v>N/A</v>
      </c>
      <c r="DJ9" s="570"/>
      <c r="DK9" s="575" t="str">
        <f t="shared" si="32"/>
        <v>Unknown</v>
      </c>
      <c r="DL9" s="573"/>
      <c r="DM9" s="576">
        <f t="shared" si="33"/>
        <v>1</v>
      </c>
      <c r="DN9" s="570"/>
      <c r="DO9" s="853" t="s">
        <v>1836</v>
      </c>
      <c r="DP9" s="570"/>
      <c r="DQ9" s="570"/>
      <c r="DR9" s="570" t="str">
        <f t="shared" ca="1" si="35"/>
        <v>N/A</v>
      </c>
      <c r="DS9" s="570" t="str">
        <f t="shared" si="36"/>
        <v>3 in Station</v>
      </c>
      <c r="DT9" s="577" t="str">
        <f t="shared" ca="1" si="37"/>
        <v>N/A</v>
      </c>
      <c r="DU9" s="570" t="str">
        <f t="shared" ca="1" si="38"/>
        <v>N/A</v>
      </c>
      <c r="DV9" s="570" t="str">
        <f t="shared" ca="1" si="39"/>
        <v>N/A</v>
      </c>
      <c r="DW9" s="570" t="str">
        <f t="shared" ca="1" si="40"/>
        <v>N/A</v>
      </c>
      <c r="DX9" s="569" t="str">
        <f t="shared" ca="1" si="41"/>
        <v>N/A</v>
      </c>
      <c r="DY9" s="570">
        <f t="shared" ca="1" si="12"/>
        <v>250</v>
      </c>
      <c r="DZ9" s="578">
        <f t="shared" si="42"/>
        <v>32212</v>
      </c>
      <c r="EA9" s="578" t="str">
        <f t="shared" si="43"/>
        <v>N/A</v>
      </c>
      <c r="EB9" s="570" t="str">
        <f t="shared" si="44"/>
        <v>N/A</v>
      </c>
      <c r="EC9" s="570" t="str">
        <f t="shared" si="45"/>
        <v>N/A</v>
      </c>
      <c r="ED9" s="579" t="str">
        <f t="shared" si="46"/>
        <v>N/A</v>
      </c>
      <c r="EE9" s="580" t="str">
        <f t="shared" si="47"/>
        <v>No</v>
      </c>
      <c r="EF9" s="577" t="str">
        <f t="shared" si="48"/>
        <v>N/A</v>
      </c>
      <c r="EG9" s="577" t="str">
        <f ca="1">IF(OR(EA9="N/A",DY9&lt;&gt;"N/A"),"N/A",IF(AND(DZ9&gt;=DATE(1961,7,1),EA9&gt;=DATE(1961,7,1),OR(DQ9="1 in Station",DQ9="2 in Station",DS9="1 in Station",DS9="2 in Station")),1.5,IF(AND(DK9="Electric Resistance Weld",YEAR(DZ9)&lt;1970,EA9&lt;DATE(1961,7,1),OR(DQ9=1,DQ9="1 in Station",DQ9="1 in Public Road Crossing",DQ9="1 in Hard Road Parallel",DQ9="1 on Bridge",DS9=1,DS9="1 in Station",DS9="1 in Public Road Crossing",DS9="1 in Hard Road Parallel",DS9="1 on Bridge")),1.25,INDEX('FVE Table'!$C$3:$F$5,EB9,IF(AND(ABS(DZ9-EA9)&lt;=365,DQ9&gt;0),LEFT(DQ9,1),LEFT(DS9,1))))))</f>
        <v>N/A</v>
      </c>
      <c r="EH9" s="570" t="str">
        <f t="shared" ca="1" si="49"/>
        <v>N/A</v>
      </c>
      <c r="EI9" s="570" t="str">
        <f t="shared" ca="1" si="50"/>
        <v>N/A</v>
      </c>
      <c r="EJ9" s="570" t="str">
        <f t="shared" ca="1" si="51"/>
        <v>N/A</v>
      </c>
      <c r="EK9" s="581">
        <f t="shared" si="52"/>
        <v>204</v>
      </c>
      <c r="EL9" s="570"/>
      <c r="EM9" s="582" t="str">
        <f t="shared" ca="1" si="53"/>
        <v>N/A</v>
      </c>
      <c r="EN9" s="582" t="str">
        <f t="shared" ca="1" si="54"/>
        <v>N/A</v>
      </c>
      <c r="EO9" s="570">
        <f t="shared" ca="1" si="55"/>
        <v>204</v>
      </c>
      <c r="EP9" s="570" t="str">
        <f t="shared" ca="1" si="56"/>
        <v>R</v>
      </c>
      <c r="EQ9" s="582" t="str">
        <f t="shared" ca="1" si="57"/>
        <v>N/A</v>
      </c>
      <c r="ER9" s="573">
        <f t="shared" si="22"/>
        <v>0</v>
      </c>
      <c r="ES9" s="762"/>
      <c r="ET9" s="762"/>
      <c r="EU9" s="585"/>
      <c r="EV9" s="583"/>
      <c r="EW9" s="583" t="s">
        <v>2081</v>
      </c>
      <c r="EX9" s="584"/>
      <c r="EY9" s="759"/>
      <c r="EZ9" s="585"/>
      <c r="FA9" s="585"/>
      <c r="FB9" s="585"/>
      <c r="FC9" s="585"/>
    </row>
    <row r="10" spans="1:159" ht="15" customHeight="1" thickTop="1" x14ac:dyDescent="0.2">
      <c r="A10" s="389">
        <f t="shared" si="23"/>
        <v>0</v>
      </c>
      <c r="B10" s="389">
        <f t="shared" si="24"/>
        <v>0</v>
      </c>
      <c r="C10" s="390" t="s">
        <v>2003</v>
      </c>
      <c r="D10" s="391" t="s">
        <v>1208</v>
      </c>
      <c r="E10" s="391">
        <v>4261434</v>
      </c>
      <c r="F10" s="392">
        <v>30025</v>
      </c>
      <c r="G10" s="393">
        <v>8</v>
      </c>
      <c r="H10" s="394" t="s">
        <v>153</v>
      </c>
      <c r="I10" s="395" t="s">
        <v>68</v>
      </c>
      <c r="J10" s="396">
        <v>1.9</v>
      </c>
      <c r="K10" s="404" t="s">
        <v>2014</v>
      </c>
      <c r="O10" s="398">
        <v>8.625</v>
      </c>
      <c r="P10" s="398">
        <v>0.32200000000000001</v>
      </c>
      <c r="S10" s="395" t="s">
        <v>745</v>
      </c>
      <c r="T10" s="390" t="s">
        <v>820</v>
      </c>
      <c r="U10" s="399">
        <v>35000</v>
      </c>
      <c r="X10" s="801"/>
      <c r="Y10" s="390"/>
      <c r="Z10" s="390" t="s">
        <v>158</v>
      </c>
      <c r="AB10" s="401" t="s">
        <v>1095</v>
      </c>
      <c r="AC10" s="402" t="s">
        <v>1409</v>
      </c>
      <c r="AG10" s="391"/>
      <c r="AK10" s="390"/>
      <c r="AL10" s="390"/>
      <c r="AM10" s="390"/>
      <c r="AN10" s="390"/>
      <c r="AO10" s="390"/>
      <c r="AP10" s="390" t="s">
        <v>158</v>
      </c>
      <c r="AR10" s="392">
        <v>30025</v>
      </c>
      <c r="AS10" s="390" t="s">
        <v>158</v>
      </c>
      <c r="AT10" s="405">
        <v>11689</v>
      </c>
      <c r="AU10" s="390" t="s">
        <v>158</v>
      </c>
      <c r="AV10" s="392"/>
      <c r="AW10" s="403" t="s">
        <v>590</v>
      </c>
      <c r="AX10" s="406" t="s">
        <v>590</v>
      </c>
      <c r="AY10" s="406" t="s">
        <v>590</v>
      </c>
      <c r="AZ10" s="406" t="s">
        <v>158</v>
      </c>
      <c r="BA10" s="390"/>
      <c r="BB10" s="395"/>
      <c r="BC10" s="390"/>
      <c r="BD10" s="395"/>
      <c r="BE10" s="390" t="s">
        <v>1990</v>
      </c>
      <c r="BF10" s="395" t="s">
        <v>40</v>
      </c>
      <c r="BG10" s="852" t="s">
        <v>1991</v>
      </c>
      <c r="BH10" s="395" t="s">
        <v>43</v>
      </c>
      <c r="BI10" s="390"/>
      <c r="BJ10" s="395"/>
      <c r="BK10" s="390"/>
      <c r="BM10" s="404" t="s">
        <v>1992</v>
      </c>
      <c r="BN10" s="404" t="s">
        <v>1993</v>
      </c>
      <c r="BZ10" s="399">
        <v>204</v>
      </c>
      <c r="CA10" s="390" t="s">
        <v>1994</v>
      </c>
      <c r="CB10" s="390" t="s">
        <v>1995</v>
      </c>
      <c r="CC10" s="390" t="s">
        <v>1996</v>
      </c>
      <c r="CD10" s="390"/>
      <c r="CE10" s="390" t="s">
        <v>1997</v>
      </c>
      <c r="CF10" s="390" t="s">
        <v>40</v>
      </c>
      <c r="CG10" s="390"/>
      <c r="CH10" s="390" t="s">
        <v>158</v>
      </c>
      <c r="CI10" s="403" t="s">
        <v>1998</v>
      </c>
      <c r="CJ10" s="403" t="s">
        <v>1999</v>
      </c>
      <c r="CK10" s="403" t="s">
        <v>2000</v>
      </c>
      <c r="CL10" s="403" t="s">
        <v>589</v>
      </c>
      <c r="CM10" s="390" t="s">
        <v>2001</v>
      </c>
      <c r="CN10" s="390" t="s">
        <v>2002</v>
      </c>
      <c r="CO10" s="390"/>
      <c r="CP10" s="390"/>
      <c r="CQ10" s="390"/>
      <c r="CR10" s="409" t="str">
        <f>IF((IF(ISNA(VLOOKUP($BB10,Instructions!$A$133:$J$138,10,FALSE)),0,VLOOKUP($BB10,Instructions!$A$133:$J$138,10,FALSE))+IF(ISNA(VLOOKUP($BD10,Instructions!$A$133:$J$138,10,FALSE)),0,VLOOKUP($BD10,Instructions!$A$133:$J$138,10,FALSE))+IF(ISNA(VLOOKUP($BF10,Instructions!$A$133:$J$138,10,FALSE)),0,VLOOKUP($BF10,Instructions!$A$133:$J$138,10,FALSE))+IF(ISNA(VLOOKUP($BH10,Instructions!$A$133:$J$138,10,FALSE)),0,VLOOKUP($BH10,Instructions!$A$133:$J$138,10,FALSE))+IF(ISNA(VLOOKUP($BJ10,Instructions!$A$133:$J$138,10,FALSE)),0,VLOOKUP($BJ10,Instructions!$A$133:$J$138,10,FALSE))+IF(ISNA(VLOOKUP($BL10,Instructions!$A$133:$J$138,10,FALSE)),0,VLOOKUP($BL10,Instructions!$A$133:$J$138,10,FALSE)))&lt;2,"Poor","Usable")</f>
        <v>Usable</v>
      </c>
      <c r="CS10" s="409">
        <f>IF(ISNA(VLOOKUP($D10,Selections!$A$7:$B$19,2,FALSE)),0.4,VLOOKUP($D10,Selections!$A$7:$B$19,2,FALSE))</f>
        <v>0.5</v>
      </c>
      <c r="CT10" s="409">
        <f t="shared" si="0"/>
        <v>35000</v>
      </c>
      <c r="CU10" s="409">
        <f>IF((OR(ISBLANK($P10),$P10&lt;=0)),IF(ISNA(VLOOKUP($O10,Selections!$A$21:$D$48,4,FALSE)),0.113,VLOOKUP($O10,Selections!$A$21:$D$48,4,FALSE)),$P10)</f>
        <v>0.32200000000000001</v>
      </c>
      <c r="CV10" s="409">
        <f>IF(ISNA(VLOOKUP($S10,Selections!$A$57:$B$75,2,FALSE)),0.6,VLOOKUP($S10,Selections!$A$57:$B$75,2,FALSE))</f>
        <v>1</v>
      </c>
      <c r="CW10" s="410">
        <f>IF(OR($H10="",$H10="Valve",$H10="PCF",$H10="Regulator",$H10="Relief Valve",$H10="Appurtenance",$H10="Meter",$H10="Other",$H10="Pig Trap",$H10="Flange"),     IF(AND($BZ10&gt;0,$O10&gt;0),     IF($BZ10&gt;(      IF(IF(ISBLANK($V10),0,ISNA(VLOOKUP($V10,Selections!$A$153:$B$177,2,FALSE))),"n/a",IF(ISBLANK($V10),0,VLOOKUP($V10,Selections!$A$153:$B$177,2,FALSE)))),    "Chk Rating","OK Rating"),"n/a" ),IF(AND($BZ10&gt;0,$O10&gt;0),$BZ10/((2*$CT10*$CU10*$CV10)/$O10),1))</f>
        <v>7.8061224489795911E-2</v>
      </c>
      <c r="CX10" s="569" t="str">
        <f t="shared" si="25"/>
        <v>Pipe</v>
      </c>
      <c r="CY10" s="570" t="str">
        <f t="shared" si="26"/>
        <v>No</v>
      </c>
      <c r="CZ10" s="571">
        <f t="shared" si="27"/>
        <v>35000</v>
      </c>
      <c r="DA10" s="571"/>
      <c r="DB10" s="570"/>
      <c r="DC10" s="572">
        <f t="shared" si="28"/>
        <v>0.32200000000000001</v>
      </c>
      <c r="DD10" s="573"/>
      <c r="DE10" s="573" t="str">
        <f t="shared" si="29"/>
        <v>N/A</v>
      </c>
      <c r="DF10" s="573"/>
      <c r="DG10" s="570"/>
      <c r="DH10" s="574">
        <f t="shared" ca="1" si="30"/>
        <v>8.625</v>
      </c>
      <c r="DI10" s="574" t="str">
        <f t="shared" si="31"/>
        <v>N/A</v>
      </c>
      <c r="DJ10" s="570"/>
      <c r="DK10" s="575" t="str">
        <f t="shared" si="32"/>
        <v>Seamless</v>
      </c>
      <c r="DL10" s="573"/>
      <c r="DM10" s="576">
        <f t="shared" si="33"/>
        <v>1</v>
      </c>
      <c r="DN10" s="570"/>
      <c r="DO10" s="570" t="str">
        <f t="shared" si="34"/>
        <v>N/A</v>
      </c>
      <c r="DP10" s="570"/>
      <c r="DQ10" s="570"/>
      <c r="DR10" s="570" t="str">
        <f t="shared" ca="1" si="35"/>
        <v>N/A</v>
      </c>
      <c r="DS10" s="570" t="str">
        <f t="shared" si="36"/>
        <v>3 in Station</v>
      </c>
      <c r="DT10" s="577">
        <f t="shared" ca="1" si="37"/>
        <v>0.5</v>
      </c>
      <c r="DU10" s="570">
        <f t="shared" ca="1" si="38"/>
        <v>1306</v>
      </c>
      <c r="DV10" s="570" t="str">
        <f t="shared" ca="1" si="39"/>
        <v>N/A</v>
      </c>
      <c r="DW10" s="570">
        <f t="shared" ca="1" si="40"/>
        <v>1</v>
      </c>
      <c r="DX10" s="569">
        <f t="shared" ca="1" si="41"/>
        <v>1306</v>
      </c>
      <c r="DY10" s="570" t="str">
        <f t="shared" ca="1" si="12"/>
        <v>N/A</v>
      </c>
      <c r="DZ10" s="578">
        <f t="shared" si="42"/>
        <v>30025</v>
      </c>
      <c r="EA10" s="578" t="str">
        <f t="shared" si="43"/>
        <v>N/A</v>
      </c>
      <c r="EB10" s="570" t="str">
        <f t="shared" si="44"/>
        <v>N/A</v>
      </c>
      <c r="EC10" s="570" t="str">
        <f t="shared" si="45"/>
        <v>N/A</v>
      </c>
      <c r="ED10" s="579" t="str">
        <f t="shared" si="46"/>
        <v>N/A</v>
      </c>
      <c r="EE10" s="580" t="str">
        <f t="shared" si="47"/>
        <v>No</v>
      </c>
      <c r="EF10" s="577" t="str">
        <f t="shared" si="48"/>
        <v>N/A</v>
      </c>
      <c r="EG10" s="577" t="str">
        <f ca="1">IF(OR(EA10="N/A",DY10&lt;&gt;"N/A"),"N/A",IF(AND(DZ10&gt;=DATE(1961,7,1),EA10&gt;=DATE(1961,7,1),OR(DQ10="1 in Station",DQ10="2 in Station",DS10="1 in Station",DS10="2 in Station")),1.5,IF(AND(DK10="Electric Resistance Weld",YEAR(DZ10)&lt;1970,EA10&lt;DATE(1961,7,1),OR(DQ10=1,DQ10="1 in Station",DQ10="1 in Public Road Crossing",DQ10="1 in Hard Road Parallel",DQ10="1 on Bridge",DS10=1,DS10="1 in Station",DS10="1 in Public Road Crossing",DS10="1 in Hard Road Parallel",DS10="1 on Bridge")),1.25,INDEX('FVE Table'!$C$3:$F$5,EB10,IF(AND(ABS(DZ10-EA10)&lt;=365,DQ10&gt;0),LEFT(DQ10,1),LEFT(DS10,1))))))</f>
        <v>N/A</v>
      </c>
      <c r="EH10" s="570" t="str">
        <f t="shared" ca="1" si="49"/>
        <v>N/A</v>
      </c>
      <c r="EI10" s="570" t="str">
        <f t="shared" ca="1" si="50"/>
        <v>N/A</v>
      </c>
      <c r="EJ10" s="570" t="str">
        <f t="shared" ca="1" si="51"/>
        <v>N/A</v>
      </c>
      <c r="EK10" s="581">
        <f t="shared" si="52"/>
        <v>204</v>
      </c>
      <c r="EL10" s="570"/>
      <c r="EM10" s="582">
        <f t="shared" ca="1" si="53"/>
        <v>7.8061224489795925E-2</v>
      </c>
      <c r="EN10" s="582" t="str">
        <f t="shared" ca="1" si="54"/>
        <v>N/A</v>
      </c>
      <c r="EO10" s="570">
        <f t="shared" ca="1" si="55"/>
        <v>204</v>
      </c>
      <c r="EP10" s="570" t="str">
        <f t="shared" ca="1" si="56"/>
        <v>R</v>
      </c>
      <c r="EQ10" s="582">
        <f t="shared" ca="1" si="57"/>
        <v>7.8061224489795925E-2</v>
      </c>
      <c r="ER10" s="573">
        <f t="shared" si="22"/>
        <v>0</v>
      </c>
      <c r="ES10" s="762"/>
      <c r="ET10" s="762"/>
      <c r="EU10" s="585"/>
      <c r="EV10" s="583"/>
      <c r="EW10" s="583"/>
      <c r="EX10" s="584"/>
      <c r="EY10" s="759"/>
      <c r="EZ10" s="585"/>
      <c r="FA10" s="585"/>
      <c r="FB10" s="585"/>
      <c r="FC10" s="585"/>
    </row>
    <row r="11" spans="1:159" ht="15" customHeight="1" x14ac:dyDescent="0.2">
      <c r="A11" s="389">
        <f t="shared" si="23"/>
        <v>0</v>
      </c>
      <c r="B11" s="389">
        <f t="shared" si="24"/>
        <v>0</v>
      </c>
      <c r="C11" s="390" t="s">
        <v>2003</v>
      </c>
      <c r="D11" s="391" t="s">
        <v>1208</v>
      </c>
      <c r="E11" s="391">
        <v>4261434</v>
      </c>
      <c r="F11" s="392">
        <v>30025</v>
      </c>
      <c r="G11" s="393">
        <v>9</v>
      </c>
      <c r="H11" s="394" t="s">
        <v>474</v>
      </c>
      <c r="I11" s="395" t="s">
        <v>218</v>
      </c>
      <c r="J11" s="396">
        <v>1.2</v>
      </c>
      <c r="K11" s="404" t="s">
        <v>2011</v>
      </c>
      <c r="O11" s="398">
        <v>8.625</v>
      </c>
      <c r="P11" s="398">
        <v>0.32200000000000001</v>
      </c>
      <c r="Q11" s="398">
        <v>8.625</v>
      </c>
      <c r="R11" s="398">
        <v>0.32200000000000001</v>
      </c>
      <c r="S11" s="395" t="s">
        <v>329</v>
      </c>
      <c r="T11" s="390" t="s">
        <v>723</v>
      </c>
      <c r="U11" s="399">
        <v>35000</v>
      </c>
      <c r="V11" s="390" t="s">
        <v>158</v>
      </c>
      <c r="Y11" s="390"/>
      <c r="Z11" s="390" t="s">
        <v>158</v>
      </c>
      <c r="AG11" s="391" t="s">
        <v>590</v>
      </c>
      <c r="AK11" s="390"/>
      <c r="AL11" s="390"/>
      <c r="AM11" s="390"/>
      <c r="AN11" s="390"/>
      <c r="AO11" s="390"/>
      <c r="AP11" s="390" t="s">
        <v>158</v>
      </c>
      <c r="AR11" s="392">
        <v>30025</v>
      </c>
      <c r="AS11" s="390" t="s">
        <v>158</v>
      </c>
      <c r="AT11" s="405">
        <v>22210</v>
      </c>
      <c r="AU11" s="390" t="s">
        <v>158</v>
      </c>
      <c r="AV11" s="392"/>
      <c r="AW11" s="403" t="s">
        <v>590</v>
      </c>
      <c r="AX11" s="406" t="s">
        <v>590</v>
      </c>
      <c r="AY11" s="406" t="s">
        <v>590</v>
      </c>
      <c r="AZ11" s="406" t="s">
        <v>158</v>
      </c>
      <c r="BA11" s="390"/>
      <c r="BB11" s="395"/>
      <c r="BC11" s="390"/>
      <c r="BD11" s="395"/>
      <c r="BE11" s="390" t="s">
        <v>1990</v>
      </c>
      <c r="BF11" s="395" t="s">
        <v>40</v>
      </c>
      <c r="BG11" s="852" t="s">
        <v>1991</v>
      </c>
      <c r="BH11" s="395" t="s">
        <v>43</v>
      </c>
      <c r="BI11" s="390"/>
      <c r="BJ11" s="395"/>
      <c r="BK11" s="390"/>
      <c r="BM11" s="404" t="s">
        <v>1992</v>
      </c>
      <c r="BN11" s="404" t="s">
        <v>1993</v>
      </c>
      <c r="BZ11" s="399">
        <v>204</v>
      </c>
      <c r="CA11" s="390" t="s">
        <v>1994</v>
      </c>
      <c r="CB11" s="390" t="s">
        <v>1995</v>
      </c>
      <c r="CC11" s="390" t="s">
        <v>1996</v>
      </c>
      <c r="CD11" s="390"/>
      <c r="CE11" s="390" t="s">
        <v>1997</v>
      </c>
      <c r="CF11" s="390" t="s">
        <v>40</v>
      </c>
      <c r="CG11" s="390" t="s">
        <v>2018</v>
      </c>
      <c r="CH11" s="390" t="s">
        <v>158</v>
      </c>
      <c r="CI11" s="403" t="s">
        <v>1998</v>
      </c>
      <c r="CJ11" s="403" t="s">
        <v>1999</v>
      </c>
      <c r="CK11" s="403" t="s">
        <v>2000</v>
      </c>
      <c r="CL11" s="403" t="s">
        <v>589</v>
      </c>
      <c r="CM11" s="390" t="s">
        <v>2001</v>
      </c>
      <c r="CN11" s="390" t="s">
        <v>2002</v>
      </c>
      <c r="CO11" s="390"/>
      <c r="CP11" s="390"/>
      <c r="CQ11" s="390"/>
      <c r="CR11" s="409" t="str">
        <f>IF((IF(ISNA(VLOOKUP($BB11,Instructions!$A$133:$J$138,10,FALSE)),0,VLOOKUP($BB11,Instructions!$A$133:$J$138,10,FALSE))+IF(ISNA(VLOOKUP($BD11,Instructions!$A$133:$J$138,10,FALSE)),0,VLOOKUP($BD11,Instructions!$A$133:$J$138,10,FALSE))+IF(ISNA(VLOOKUP($BF11,Instructions!$A$133:$J$138,10,FALSE)),0,VLOOKUP($BF11,Instructions!$A$133:$J$138,10,FALSE))+IF(ISNA(VLOOKUP($BH11,Instructions!$A$133:$J$138,10,FALSE)),0,VLOOKUP($BH11,Instructions!$A$133:$J$138,10,FALSE))+IF(ISNA(VLOOKUP($BJ11,Instructions!$A$133:$J$138,10,FALSE)),0,VLOOKUP($BJ11,Instructions!$A$133:$J$138,10,FALSE))+IF(ISNA(VLOOKUP($BL11,Instructions!$A$133:$J$138,10,FALSE)),0,VLOOKUP($BL11,Instructions!$A$133:$J$138,10,FALSE)))&lt;2,"Poor","Usable")</f>
        <v>Usable</v>
      </c>
      <c r="CS11" s="409">
        <f>IF(ISNA(VLOOKUP($D11,Selections!$A$7:$B$19,2,FALSE)),0.4,VLOOKUP($D11,Selections!$A$7:$B$19,2,FALSE))</f>
        <v>0.5</v>
      </c>
      <c r="CT11" s="409">
        <f t="shared" si="0"/>
        <v>35000</v>
      </c>
      <c r="CU11" s="409">
        <f>IF((OR(ISBLANK($P11),$P11&lt;=0)),IF(ISNA(VLOOKUP($O11,Selections!$A$21:$D$48,4,FALSE)),0.113,VLOOKUP($O11,Selections!$A$21:$D$48,4,FALSE)),$P11)</f>
        <v>0.32200000000000001</v>
      </c>
      <c r="CV11" s="409">
        <f>IF(ISNA(VLOOKUP($S11,Selections!$A$57:$B$75,2,FALSE)),0.6,VLOOKUP($S11,Selections!$A$57:$B$75,2,FALSE))</f>
        <v>0.8</v>
      </c>
      <c r="CW11" s="410">
        <f>IF(OR($H11="",$H11="Valve",$H11="PCF",$H11="Regulator",$H11="Relief Valve",$H11="Appurtenance",$H11="Meter",$H11="Other",$H11="Pig Trap",$H11="Flange"),     IF(AND($BZ11&gt;0,$O11&gt;0),     IF($BZ11&gt;(      IF(IF(ISBLANK($V11),0,ISNA(VLOOKUP($V11,Selections!$A$153:$B$177,2,FALSE))),"n/a",IF(ISBLANK($V11),0,VLOOKUP($V11,Selections!$A$153:$B$177,2,FALSE)))),    "Chk Rating","OK Rating"),"n/a" ),IF(AND($BZ11&gt;0,$O11&gt;0),$BZ11/((2*$CT11*$CU11*$CV11)/$O11),1))</f>
        <v>9.7576530612244902E-2</v>
      </c>
      <c r="CX11" s="569" t="str">
        <f t="shared" si="25"/>
        <v>Tee</v>
      </c>
      <c r="CY11" s="570" t="str">
        <f t="shared" si="26"/>
        <v>No</v>
      </c>
      <c r="CZ11" s="571">
        <f t="shared" si="27"/>
        <v>35000</v>
      </c>
      <c r="DA11" s="571"/>
      <c r="DB11" s="570"/>
      <c r="DC11" s="572">
        <f t="shared" si="28"/>
        <v>0.32200000000000001</v>
      </c>
      <c r="DD11" s="573"/>
      <c r="DE11" s="573">
        <f t="shared" si="29"/>
        <v>0.32200000000000001</v>
      </c>
      <c r="DF11" s="573"/>
      <c r="DG11" s="570"/>
      <c r="DH11" s="574">
        <f t="shared" ca="1" si="30"/>
        <v>8.625</v>
      </c>
      <c r="DI11" s="574">
        <f t="shared" si="31"/>
        <v>8.625</v>
      </c>
      <c r="DJ11" s="570"/>
      <c r="DK11" s="575" t="str">
        <f t="shared" si="32"/>
        <v>Unknown</v>
      </c>
      <c r="DL11" s="573"/>
      <c r="DM11" s="576">
        <f t="shared" si="33"/>
        <v>1</v>
      </c>
      <c r="DN11" s="570"/>
      <c r="DO11" s="570" t="str">
        <f t="shared" si="34"/>
        <v>Unknown</v>
      </c>
      <c r="DP11" s="570"/>
      <c r="DQ11" s="570"/>
      <c r="DR11" s="570" t="str">
        <f t="shared" ca="1" si="35"/>
        <v>N/A</v>
      </c>
      <c r="DS11" s="570" t="str">
        <f t="shared" si="36"/>
        <v>3 in Station</v>
      </c>
      <c r="DT11" s="577">
        <f t="shared" ca="1" si="37"/>
        <v>0.5</v>
      </c>
      <c r="DU11" s="570">
        <f t="shared" ca="1" si="38"/>
        <v>1306</v>
      </c>
      <c r="DV11" s="570">
        <f t="shared" ca="1" si="39"/>
        <v>1306</v>
      </c>
      <c r="DW11" s="570">
        <f t="shared" ca="1" si="40"/>
        <v>1</v>
      </c>
      <c r="DX11" s="569">
        <f t="shared" ca="1" si="41"/>
        <v>1306</v>
      </c>
      <c r="DY11" s="570" t="str">
        <f t="shared" ca="1" si="12"/>
        <v>N/A</v>
      </c>
      <c r="DZ11" s="578">
        <f t="shared" si="42"/>
        <v>30025</v>
      </c>
      <c r="EA11" s="578" t="str">
        <f t="shared" si="43"/>
        <v>N/A</v>
      </c>
      <c r="EB11" s="570" t="str">
        <f t="shared" si="44"/>
        <v>N/A</v>
      </c>
      <c r="EC11" s="570" t="str">
        <f t="shared" si="45"/>
        <v>N/A</v>
      </c>
      <c r="ED11" s="579" t="str">
        <f t="shared" si="46"/>
        <v>N/A</v>
      </c>
      <c r="EE11" s="580" t="str">
        <f t="shared" si="47"/>
        <v>No</v>
      </c>
      <c r="EF11" s="577" t="str">
        <f t="shared" si="48"/>
        <v>N/A</v>
      </c>
      <c r="EG11" s="577" t="str">
        <f ca="1">IF(OR(EA11="N/A",DY11&lt;&gt;"N/A"),"N/A",IF(AND(DZ11&gt;=DATE(1961,7,1),EA11&gt;=DATE(1961,7,1),OR(DQ11="1 in Station",DQ11="2 in Station",DS11="1 in Station",DS11="2 in Station")),1.5,IF(AND(DK11="Electric Resistance Weld",YEAR(DZ11)&lt;1970,EA11&lt;DATE(1961,7,1),OR(DQ11=1,DQ11="1 in Station",DQ11="1 in Public Road Crossing",DQ11="1 in Hard Road Parallel",DQ11="1 on Bridge",DS11=1,DS11="1 in Station",DS11="1 in Public Road Crossing",DS11="1 in Hard Road Parallel",DS11="1 on Bridge")),1.25,INDEX('FVE Table'!$C$3:$F$5,EB11,IF(AND(ABS(DZ11-EA11)&lt;=365,DQ11&gt;0),LEFT(DQ11,1),LEFT(DS11,1))))))</f>
        <v>N/A</v>
      </c>
      <c r="EH11" s="570" t="str">
        <f t="shared" ca="1" si="49"/>
        <v>N/A</v>
      </c>
      <c r="EI11" s="570" t="str">
        <f t="shared" ca="1" si="50"/>
        <v>N/A</v>
      </c>
      <c r="EJ11" s="570" t="str">
        <f t="shared" ca="1" si="51"/>
        <v>N/A</v>
      </c>
      <c r="EK11" s="581">
        <f t="shared" si="52"/>
        <v>204</v>
      </c>
      <c r="EL11" s="570"/>
      <c r="EM11" s="582">
        <f t="shared" ca="1" si="53"/>
        <v>7.8061224489795925E-2</v>
      </c>
      <c r="EN11" s="582">
        <f t="shared" ca="1" si="54"/>
        <v>7.8061224489795925E-2</v>
      </c>
      <c r="EO11" s="570">
        <f t="shared" ca="1" si="55"/>
        <v>204</v>
      </c>
      <c r="EP11" s="570" t="str">
        <f t="shared" ca="1" si="56"/>
        <v>R</v>
      </c>
      <c r="EQ11" s="582">
        <f t="shared" ca="1" si="57"/>
        <v>7.8061224489795925E-2</v>
      </c>
      <c r="ER11" s="573">
        <f t="shared" si="22"/>
        <v>0</v>
      </c>
      <c r="ES11" s="762"/>
      <c r="ET11" s="762"/>
      <c r="EU11" s="585"/>
      <c r="EV11" s="583"/>
      <c r="EW11" s="583"/>
      <c r="EX11" s="584"/>
      <c r="EY11" s="759"/>
      <c r="EZ11" s="585"/>
      <c r="FA11" s="585"/>
      <c r="FB11" s="585"/>
      <c r="FC11" s="585"/>
    </row>
    <row r="12" spans="1:159" ht="15" customHeight="1" x14ac:dyDescent="0.2">
      <c r="A12" s="389">
        <f t="shared" si="23"/>
        <v>0</v>
      </c>
      <c r="B12" s="389">
        <f t="shared" si="24"/>
        <v>0</v>
      </c>
      <c r="C12" s="390" t="s">
        <v>2003</v>
      </c>
      <c r="D12" s="391" t="s">
        <v>1208</v>
      </c>
      <c r="E12" s="391">
        <v>4261434</v>
      </c>
      <c r="F12" s="392">
        <v>30025</v>
      </c>
      <c r="G12" s="393">
        <v>10</v>
      </c>
      <c r="H12" s="394" t="s">
        <v>153</v>
      </c>
      <c r="I12" s="395" t="s">
        <v>68</v>
      </c>
      <c r="J12" s="396">
        <v>2.15</v>
      </c>
      <c r="K12" s="404" t="s">
        <v>2014</v>
      </c>
      <c r="O12" s="398">
        <v>8.625</v>
      </c>
      <c r="P12" s="398">
        <v>0.32200000000000001</v>
      </c>
      <c r="S12" s="395" t="s">
        <v>745</v>
      </c>
      <c r="T12" s="390" t="s">
        <v>820</v>
      </c>
      <c r="U12" s="399">
        <v>35000</v>
      </c>
      <c r="Y12" s="390"/>
      <c r="Z12" s="390" t="s">
        <v>158</v>
      </c>
      <c r="AB12" s="401" t="s">
        <v>1095</v>
      </c>
      <c r="AC12" s="402" t="s">
        <v>1409</v>
      </c>
      <c r="AG12" s="391"/>
      <c r="AK12" s="390"/>
      <c r="AL12" s="390"/>
      <c r="AM12" s="390"/>
      <c r="AN12" s="390"/>
      <c r="AO12" s="390"/>
      <c r="AP12" s="390" t="s">
        <v>158</v>
      </c>
      <c r="AR12" s="392">
        <v>30025</v>
      </c>
      <c r="AS12" s="390" t="s">
        <v>158</v>
      </c>
      <c r="AT12" s="405">
        <v>11689</v>
      </c>
      <c r="AU12" s="390" t="s">
        <v>158</v>
      </c>
      <c r="AV12" s="392"/>
      <c r="AW12" s="403" t="s">
        <v>590</v>
      </c>
      <c r="AX12" s="406" t="s">
        <v>590</v>
      </c>
      <c r="AY12" s="406" t="s">
        <v>590</v>
      </c>
      <c r="AZ12" s="406" t="s">
        <v>158</v>
      </c>
      <c r="BA12" s="390"/>
      <c r="BB12" s="395"/>
      <c r="BC12" s="390"/>
      <c r="BD12" s="395"/>
      <c r="BE12" s="390" t="s">
        <v>1990</v>
      </c>
      <c r="BF12" s="395" t="s">
        <v>40</v>
      </c>
      <c r="BG12" s="852" t="s">
        <v>1991</v>
      </c>
      <c r="BH12" s="395" t="s">
        <v>43</v>
      </c>
      <c r="BI12" s="390"/>
      <c r="BJ12" s="395"/>
      <c r="BK12" s="390"/>
      <c r="BM12" s="404" t="s">
        <v>1992</v>
      </c>
      <c r="BN12" s="404" t="s">
        <v>1993</v>
      </c>
      <c r="BZ12" s="399">
        <v>204</v>
      </c>
      <c r="CA12" s="390" t="s">
        <v>1994</v>
      </c>
      <c r="CB12" s="390" t="s">
        <v>1995</v>
      </c>
      <c r="CC12" s="390" t="s">
        <v>1996</v>
      </c>
      <c r="CD12" s="390"/>
      <c r="CE12" s="390" t="s">
        <v>1997</v>
      </c>
      <c r="CF12" s="390" t="s">
        <v>40</v>
      </c>
      <c r="CG12" s="390"/>
      <c r="CH12" s="390" t="s">
        <v>158</v>
      </c>
      <c r="CI12" s="403" t="s">
        <v>1998</v>
      </c>
      <c r="CJ12" s="403" t="s">
        <v>1999</v>
      </c>
      <c r="CK12" s="403" t="s">
        <v>2000</v>
      </c>
      <c r="CL12" s="403" t="s">
        <v>589</v>
      </c>
      <c r="CM12" s="390" t="s">
        <v>2001</v>
      </c>
      <c r="CN12" s="390" t="s">
        <v>2002</v>
      </c>
      <c r="CO12" s="390"/>
      <c r="CP12" s="390"/>
      <c r="CQ12" s="390"/>
      <c r="CR12" s="409" t="str">
        <f>IF((IF(ISNA(VLOOKUP($BB12,Instructions!$A$133:$J$138,10,FALSE)),0,VLOOKUP($BB12,Instructions!$A$133:$J$138,10,FALSE))+IF(ISNA(VLOOKUP($BD12,Instructions!$A$133:$J$138,10,FALSE)),0,VLOOKUP($BD12,Instructions!$A$133:$J$138,10,FALSE))+IF(ISNA(VLOOKUP($BF12,Instructions!$A$133:$J$138,10,FALSE)),0,VLOOKUP($BF12,Instructions!$A$133:$J$138,10,FALSE))+IF(ISNA(VLOOKUP($BH12,Instructions!$A$133:$J$138,10,FALSE)),0,VLOOKUP($BH12,Instructions!$A$133:$J$138,10,FALSE))+IF(ISNA(VLOOKUP($BJ12,Instructions!$A$133:$J$138,10,FALSE)),0,VLOOKUP($BJ12,Instructions!$A$133:$J$138,10,FALSE))+IF(ISNA(VLOOKUP($BL12,Instructions!$A$133:$J$138,10,FALSE)),0,VLOOKUP($BL12,Instructions!$A$133:$J$138,10,FALSE)))&lt;2,"Poor","Usable")</f>
        <v>Usable</v>
      </c>
      <c r="CS12" s="409">
        <f>IF(ISNA(VLOOKUP($D12,Selections!$A$7:$B$19,2,FALSE)),0.4,VLOOKUP($D12,Selections!$A$7:$B$19,2,FALSE))</f>
        <v>0.5</v>
      </c>
      <c r="CT12" s="409">
        <f t="shared" si="0"/>
        <v>35000</v>
      </c>
      <c r="CU12" s="409">
        <f>IF((OR(ISBLANK($P12),$P12&lt;=0)),IF(ISNA(VLOOKUP($O12,Selections!$A$21:$D$48,4,FALSE)),0.113,VLOOKUP($O12,Selections!$A$21:$D$48,4,FALSE)),$P12)</f>
        <v>0.32200000000000001</v>
      </c>
      <c r="CV12" s="409">
        <f>IF(ISNA(VLOOKUP($S12,Selections!$A$57:$B$75,2,FALSE)),0.6,VLOOKUP($S12,Selections!$A$57:$B$75,2,FALSE))</f>
        <v>1</v>
      </c>
      <c r="CW12" s="410">
        <f>IF(OR($H12="",$H12="Valve",$H12="PCF",$H12="Regulator",$H12="Relief Valve",$H12="Appurtenance",$H12="Meter",$H12="Other",$H12="Pig Trap",$H12="Flange"),     IF(AND($BZ12&gt;0,$O12&gt;0),     IF($BZ12&gt;(      IF(IF(ISBLANK($V12),0,ISNA(VLOOKUP($V12,Selections!$A$153:$B$177,2,FALSE))),"n/a",IF(ISBLANK($V12),0,VLOOKUP($V12,Selections!$A$153:$B$177,2,FALSE)))),    "Chk Rating","OK Rating"),"n/a" ),IF(AND($BZ12&gt;0,$O12&gt;0),$BZ12/((2*$CT12*$CU12*$CV12)/$O12),1))</f>
        <v>7.8061224489795911E-2</v>
      </c>
      <c r="CX12" s="569" t="str">
        <f t="shared" si="25"/>
        <v>Pipe</v>
      </c>
      <c r="CY12" s="570" t="str">
        <f t="shared" si="26"/>
        <v>No</v>
      </c>
      <c r="CZ12" s="571">
        <f t="shared" si="27"/>
        <v>35000</v>
      </c>
      <c r="DA12" s="571"/>
      <c r="DB12" s="570"/>
      <c r="DC12" s="572">
        <f t="shared" si="28"/>
        <v>0.32200000000000001</v>
      </c>
      <c r="DD12" s="573"/>
      <c r="DE12" s="573" t="str">
        <f t="shared" si="29"/>
        <v>N/A</v>
      </c>
      <c r="DF12" s="573"/>
      <c r="DG12" s="570"/>
      <c r="DH12" s="574">
        <f t="shared" ca="1" si="30"/>
        <v>8.625</v>
      </c>
      <c r="DI12" s="574" t="str">
        <f t="shared" si="31"/>
        <v>N/A</v>
      </c>
      <c r="DJ12" s="570"/>
      <c r="DK12" s="575" t="str">
        <f t="shared" si="32"/>
        <v>Seamless</v>
      </c>
      <c r="DL12" s="573"/>
      <c r="DM12" s="576">
        <f t="shared" si="33"/>
        <v>1</v>
      </c>
      <c r="DN12" s="570"/>
      <c r="DO12" s="570" t="str">
        <f t="shared" si="34"/>
        <v>N/A</v>
      </c>
      <c r="DP12" s="570"/>
      <c r="DQ12" s="570"/>
      <c r="DR12" s="570" t="str">
        <f t="shared" ca="1" si="35"/>
        <v>N/A</v>
      </c>
      <c r="DS12" s="570" t="str">
        <f t="shared" si="36"/>
        <v>3 in Station</v>
      </c>
      <c r="DT12" s="577">
        <f t="shared" ca="1" si="37"/>
        <v>0.5</v>
      </c>
      <c r="DU12" s="570">
        <f t="shared" ca="1" si="38"/>
        <v>1306</v>
      </c>
      <c r="DV12" s="570" t="str">
        <f t="shared" ca="1" si="39"/>
        <v>N/A</v>
      </c>
      <c r="DW12" s="570">
        <f t="shared" ca="1" si="40"/>
        <v>1</v>
      </c>
      <c r="DX12" s="569">
        <f t="shared" ca="1" si="41"/>
        <v>1306</v>
      </c>
      <c r="DY12" s="570" t="str">
        <f t="shared" ca="1" si="12"/>
        <v>N/A</v>
      </c>
      <c r="DZ12" s="578">
        <f t="shared" si="42"/>
        <v>30025</v>
      </c>
      <c r="EA12" s="578" t="str">
        <f t="shared" si="43"/>
        <v>N/A</v>
      </c>
      <c r="EB12" s="570" t="str">
        <f t="shared" si="44"/>
        <v>N/A</v>
      </c>
      <c r="EC12" s="570" t="str">
        <f t="shared" si="45"/>
        <v>N/A</v>
      </c>
      <c r="ED12" s="579" t="str">
        <f t="shared" si="46"/>
        <v>N/A</v>
      </c>
      <c r="EE12" s="580" t="str">
        <f t="shared" si="47"/>
        <v>No</v>
      </c>
      <c r="EF12" s="577" t="str">
        <f t="shared" si="48"/>
        <v>N/A</v>
      </c>
      <c r="EG12" s="577" t="str">
        <f ca="1">IF(OR(EA12="N/A",DY12&lt;&gt;"N/A"),"N/A",IF(AND(DZ12&gt;=DATE(1961,7,1),EA12&gt;=DATE(1961,7,1),OR(DQ12="1 in Station",DQ12="2 in Station",DS12="1 in Station",DS12="2 in Station")),1.5,IF(AND(DK12="Electric Resistance Weld",YEAR(DZ12)&lt;1970,EA12&lt;DATE(1961,7,1),OR(DQ12=1,DQ12="1 in Station",DQ12="1 in Public Road Crossing",DQ12="1 in Hard Road Parallel",DQ12="1 on Bridge",DS12=1,DS12="1 in Station",DS12="1 in Public Road Crossing",DS12="1 in Hard Road Parallel",DS12="1 on Bridge")),1.25,INDEX('FVE Table'!$C$3:$F$5,EB12,IF(AND(ABS(DZ12-EA12)&lt;=365,DQ12&gt;0),LEFT(DQ12,1),LEFT(DS12,1))))))</f>
        <v>N/A</v>
      </c>
      <c r="EH12" s="570" t="str">
        <f t="shared" ca="1" si="49"/>
        <v>N/A</v>
      </c>
      <c r="EI12" s="570" t="str">
        <f t="shared" ca="1" si="50"/>
        <v>N/A</v>
      </c>
      <c r="EJ12" s="570" t="str">
        <f t="shared" ca="1" si="51"/>
        <v>N/A</v>
      </c>
      <c r="EK12" s="581">
        <f t="shared" si="52"/>
        <v>204</v>
      </c>
      <c r="EL12" s="570"/>
      <c r="EM12" s="582">
        <f t="shared" ca="1" si="53"/>
        <v>7.8061224489795925E-2</v>
      </c>
      <c r="EN12" s="582" t="str">
        <f t="shared" ca="1" si="54"/>
        <v>N/A</v>
      </c>
      <c r="EO12" s="570">
        <f t="shared" ca="1" si="55"/>
        <v>204</v>
      </c>
      <c r="EP12" s="570" t="str">
        <f t="shared" ca="1" si="56"/>
        <v>R</v>
      </c>
      <c r="EQ12" s="582">
        <f t="shared" ca="1" si="57"/>
        <v>7.8061224489795925E-2</v>
      </c>
      <c r="ER12" s="573">
        <f t="shared" si="22"/>
        <v>0</v>
      </c>
      <c r="ES12" s="762"/>
      <c r="ET12" s="762"/>
      <c r="EU12" s="585"/>
      <c r="EV12" s="583"/>
      <c r="EW12" s="583"/>
      <c r="EX12" s="584"/>
      <c r="EY12" s="759"/>
      <c r="EZ12" s="585"/>
      <c r="FA12" s="585"/>
      <c r="FB12" s="585"/>
      <c r="FC12" s="585"/>
    </row>
    <row r="13" spans="1:159" ht="15" customHeight="1" x14ac:dyDescent="0.2">
      <c r="A13" s="389">
        <f t="shared" si="23"/>
        <v>0</v>
      </c>
      <c r="B13" s="389">
        <f t="shared" si="24"/>
        <v>0</v>
      </c>
      <c r="C13" s="390" t="s">
        <v>2003</v>
      </c>
      <c r="D13" s="391">
        <v>3</v>
      </c>
      <c r="E13" s="391">
        <v>4261434</v>
      </c>
      <c r="F13" s="392">
        <v>30025</v>
      </c>
      <c r="G13" s="393">
        <v>11</v>
      </c>
      <c r="H13" s="394" t="s">
        <v>517</v>
      </c>
      <c r="I13" s="395" t="s">
        <v>812</v>
      </c>
      <c r="J13" s="396">
        <v>0</v>
      </c>
      <c r="K13" s="404" t="s">
        <v>2019</v>
      </c>
      <c r="S13" s="395" t="s">
        <v>2010</v>
      </c>
      <c r="Y13" s="390"/>
      <c r="AG13" s="391"/>
      <c r="AK13" s="390"/>
      <c r="AL13" s="390"/>
      <c r="AM13" s="390"/>
      <c r="AN13" s="390"/>
      <c r="AO13" s="390"/>
      <c r="AP13" s="390" t="s">
        <v>158</v>
      </c>
      <c r="AR13" s="392">
        <v>30025</v>
      </c>
      <c r="AS13" s="390" t="s">
        <v>158</v>
      </c>
      <c r="AU13" s="390" t="s">
        <v>158</v>
      </c>
      <c r="AV13" s="392"/>
      <c r="AW13" s="403" t="s">
        <v>590</v>
      </c>
      <c r="AX13" s="406" t="s">
        <v>590</v>
      </c>
      <c r="AY13" s="406" t="s">
        <v>590</v>
      </c>
      <c r="AZ13" s="406" t="s">
        <v>590</v>
      </c>
      <c r="BA13" s="390"/>
      <c r="BB13" s="395"/>
      <c r="BC13" s="390"/>
      <c r="BD13" s="395"/>
      <c r="BE13" s="390" t="s">
        <v>1990</v>
      </c>
      <c r="BF13" s="395" t="s">
        <v>40</v>
      </c>
      <c r="BG13" s="390"/>
      <c r="BH13" s="395"/>
      <c r="BI13" s="390"/>
      <c r="BJ13" s="395"/>
      <c r="BK13" s="390"/>
      <c r="BM13" s="404" t="s">
        <v>1992</v>
      </c>
      <c r="BN13" s="404" t="s">
        <v>1993</v>
      </c>
      <c r="BZ13" s="399">
        <v>204</v>
      </c>
      <c r="CA13" s="390" t="s">
        <v>1994</v>
      </c>
      <c r="CB13" s="390" t="s">
        <v>1995</v>
      </c>
      <c r="CC13" s="390" t="s">
        <v>1996</v>
      </c>
      <c r="CD13" s="390"/>
      <c r="CE13" s="390" t="s">
        <v>1997</v>
      </c>
      <c r="CF13" s="390" t="s">
        <v>40</v>
      </c>
      <c r="CG13" s="390"/>
      <c r="CH13" s="390" t="s">
        <v>158</v>
      </c>
      <c r="CI13" s="403" t="s">
        <v>1998</v>
      </c>
      <c r="CJ13" s="403" t="s">
        <v>1999</v>
      </c>
      <c r="CK13" s="403" t="s">
        <v>2000</v>
      </c>
      <c r="CL13" s="403" t="s">
        <v>589</v>
      </c>
      <c r="CM13" s="390" t="s">
        <v>2001</v>
      </c>
      <c r="CN13" s="390" t="s">
        <v>2002</v>
      </c>
      <c r="CO13" s="390"/>
      <c r="CP13" s="390"/>
      <c r="CQ13" s="390"/>
      <c r="CR13" s="409" t="str">
        <f>IF((IF(ISNA(VLOOKUP($BB13,Instructions!$A$133:$J$138,10,FALSE)),0,VLOOKUP($BB13,Instructions!$A$133:$J$138,10,FALSE))+IF(ISNA(VLOOKUP($BD13,Instructions!$A$133:$J$138,10,FALSE)),0,VLOOKUP($BD13,Instructions!$A$133:$J$138,10,FALSE))+IF(ISNA(VLOOKUP($BF13,Instructions!$A$133:$J$138,10,FALSE)),0,VLOOKUP($BF13,Instructions!$A$133:$J$138,10,FALSE))+IF(ISNA(VLOOKUP($BH13,Instructions!$A$133:$J$138,10,FALSE)),0,VLOOKUP($BH13,Instructions!$A$133:$J$138,10,FALSE))+IF(ISNA(VLOOKUP($BJ13,Instructions!$A$133:$J$138,10,FALSE)),0,VLOOKUP($BJ13,Instructions!$A$133:$J$138,10,FALSE))+IF(ISNA(VLOOKUP($BL13,Instructions!$A$133:$J$138,10,FALSE)),0,VLOOKUP($BL13,Instructions!$A$133:$J$138,10,FALSE)))&lt;2,"Poor","Usable")</f>
        <v>Usable</v>
      </c>
      <c r="CS13" s="409">
        <f>IF(ISNA(VLOOKUP($D13,Selections!$A$7:$B$19,2,FALSE)),0.4,VLOOKUP($D13,Selections!$A$7:$B$19,2,FALSE))</f>
        <v>0.5</v>
      </c>
      <c r="CT13" s="409">
        <f t="shared" si="0"/>
        <v>24000</v>
      </c>
      <c r="CU13" s="409">
        <f>IF((OR(ISBLANK($P13),$P13&lt;=0)),IF(ISNA(VLOOKUP($O13,Selections!$A$21:$D$48,4,FALSE)),0.113,VLOOKUP($O13,Selections!$A$21:$D$48,4,FALSE)),$P13)</f>
        <v>0.113</v>
      </c>
      <c r="CV13" s="409">
        <f>IF(ISNA(VLOOKUP($S13,Selections!$A$57:$B$75,2,FALSE)),0.6,VLOOKUP($S13,Selections!$A$57:$B$75,2,FALSE))</f>
        <v>0.6</v>
      </c>
      <c r="CW13" s="410" t="str">
        <f>IF(OR($H13="",$H13="Valve",$H13="PCF",$H13="Regulator",$H13="Relief Valve",$H13="Appurtenance",$H13="Meter",$H13="Other",$H13="Pig Trap",$H13="Flange"),     IF(AND($BZ13&gt;0,$O13&gt;0),     IF($BZ13&gt;(      IF(IF(ISBLANK($V13),0,ISNA(VLOOKUP($V13,Selections!$A$153:$B$177,2,FALSE))),"n/a",IF(ISBLANK($V13),0,VLOOKUP($V13,Selections!$A$153:$B$177,2,FALSE)))),    "Chk Rating","OK Rating"),"n/a" ),IF(AND($BZ13&gt;0,$O13&gt;0),$BZ13/((2*$CT13*$CU13*$CV13)/$O13),1))</f>
        <v>n/a</v>
      </c>
      <c r="CX13" s="569" t="str">
        <f t="shared" si="25"/>
        <v>Appurtenance</v>
      </c>
      <c r="CY13" s="570" t="str">
        <f t="shared" si="26"/>
        <v>No</v>
      </c>
      <c r="CZ13" s="571" t="str">
        <f t="shared" si="27"/>
        <v>N/A</v>
      </c>
      <c r="DA13" s="571"/>
      <c r="DB13" s="570"/>
      <c r="DC13" s="572" t="str">
        <f t="shared" si="28"/>
        <v>N/A</v>
      </c>
      <c r="DD13" s="573"/>
      <c r="DE13" s="573" t="str">
        <f t="shared" si="29"/>
        <v>N/A</v>
      </c>
      <c r="DF13" s="573"/>
      <c r="DG13" s="570"/>
      <c r="DH13" s="574" t="str">
        <f t="shared" ca="1" si="30"/>
        <v>Unknown</v>
      </c>
      <c r="DI13" s="574" t="str">
        <f t="shared" si="31"/>
        <v>N/A</v>
      </c>
      <c r="DJ13" s="570"/>
      <c r="DK13" s="575" t="str">
        <f t="shared" si="32"/>
        <v>N/A</v>
      </c>
      <c r="DL13" s="573"/>
      <c r="DM13" s="576" t="str">
        <f t="shared" si="33"/>
        <v>N/A</v>
      </c>
      <c r="DN13" s="570"/>
      <c r="DO13" s="570" t="str">
        <f t="shared" si="34"/>
        <v>N/A</v>
      </c>
      <c r="DP13" s="570"/>
      <c r="DQ13" s="570"/>
      <c r="DR13" s="570" t="str">
        <f t="shared" ca="1" si="35"/>
        <v>N/A</v>
      </c>
      <c r="DS13" s="570">
        <f t="shared" si="36"/>
        <v>3</v>
      </c>
      <c r="DT13" s="577">
        <f t="shared" ca="1" si="37"/>
        <v>0.5</v>
      </c>
      <c r="DU13" s="570" t="e">
        <f t="shared" ca="1" si="38"/>
        <v>#VALUE!</v>
      </c>
      <c r="DV13" s="570" t="str">
        <f t="shared" ca="1" si="39"/>
        <v>N/A</v>
      </c>
      <c r="DW13" s="570" t="e">
        <f t="shared" ca="1" si="40"/>
        <v>#VALUE!</v>
      </c>
      <c r="DX13" s="569" t="e">
        <f t="shared" ca="1" si="41"/>
        <v>#VALUE!</v>
      </c>
      <c r="DY13" s="570" t="str">
        <f t="shared" ca="1" si="12"/>
        <v>N/A</v>
      </c>
      <c r="DZ13" s="578">
        <f t="shared" si="42"/>
        <v>30025</v>
      </c>
      <c r="EA13" s="578" t="str">
        <f t="shared" si="43"/>
        <v>N/A</v>
      </c>
      <c r="EB13" s="570" t="str">
        <f t="shared" si="44"/>
        <v>N/A</v>
      </c>
      <c r="EC13" s="570" t="str">
        <f t="shared" si="45"/>
        <v>N/A</v>
      </c>
      <c r="ED13" s="579" t="str">
        <f t="shared" si="46"/>
        <v>N/A</v>
      </c>
      <c r="EE13" s="580" t="str">
        <f t="shared" si="47"/>
        <v>No</v>
      </c>
      <c r="EF13" s="577" t="str">
        <f t="shared" si="48"/>
        <v>N/A</v>
      </c>
      <c r="EG13" s="577" t="str">
        <f ca="1">IF(OR(EA13="N/A",DY13&lt;&gt;"N/A"),"N/A",IF(AND(DZ13&gt;=DATE(1961,7,1),EA13&gt;=DATE(1961,7,1),OR(DQ13="1 in Station",DQ13="2 in Station",DS13="1 in Station",DS13="2 in Station")),1.5,IF(AND(DK13="Electric Resistance Weld",YEAR(DZ13)&lt;1970,EA13&lt;DATE(1961,7,1),OR(DQ13=1,DQ13="1 in Station",DQ13="1 in Public Road Crossing",DQ13="1 in Hard Road Parallel",DQ13="1 on Bridge",DS13=1,DS13="1 in Station",DS13="1 in Public Road Crossing",DS13="1 in Hard Road Parallel",DS13="1 on Bridge")),1.25,INDEX('FVE Table'!$C$3:$F$5,EB13,IF(AND(ABS(DZ13-EA13)&lt;=365,DQ13&gt;0),LEFT(DQ13,1),LEFT(DS13,1))))))</f>
        <v>N/A</v>
      </c>
      <c r="EH13" s="570" t="str">
        <f t="shared" ca="1" si="49"/>
        <v>N/A</v>
      </c>
      <c r="EI13" s="570" t="str">
        <f t="shared" ca="1" si="50"/>
        <v>N/A</v>
      </c>
      <c r="EJ13" s="570" t="str">
        <f t="shared" ca="1" si="51"/>
        <v>N/A</v>
      </c>
      <c r="EK13" s="581">
        <f t="shared" si="52"/>
        <v>204</v>
      </c>
      <c r="EL13" s="570"/>
      <c r="EM13" s="582" t="e">
        <f t="shared" ca="1" si="53"/>
        <v>#VALUE!</v>
      </c>
      <c r="EN13" s="582" t="str">
        <f t="shared" ca="1" si="54"/>
        <v>N/A</v>
      </c>
      <c r="EO13" s="570" t="e">
        <f t="shared" ca="1" si="55"/>
        <v>#VALUE!</v>
      </c>
      <c r="EP13" s="570" t="e">
        <f t="shared" ca="1" si="56"/>
        <v>#VALUE!</v>
      </c>
      <c r="EQ13" s="582" t="e">
        <f t="shared" ca="1" si="57"/>
        <v>#VALUE!</v>
      </c>
      <c r="ER13" s="573">
        <f t="shared" si="22"/>
        <v>0</v>
      </c>
      <c r="ES13" s="762"/>
      <c r="ET13" s="762"/>
      <c r="EU13" s="585"/>
      <c r="EV13" s="583"/>
      <c r="EW13" s="583"/>
      <c r="EX13" s="584"/>
      <c r="EY13" s="759"/>
      <c r="EZ13" s="585"/>
      <c r="FA13" s="585"/>
      <c r="FB13" s="585"/>
      <c r="FC13" s="585"/>
    </row>
    <row r="14" spans="1:159" ht="15" customHeight="1" x14ac:dyDescent="0.2">
      <c r="A14" s="389">
        <f t="shared" si="23"/>
        <v>0</v>
      </c>
      <c r="B14" s="389">
        <f t="shared" si="24"/>
        <v>0</v>
      </c>
      <c r="C14" s="390" t="s">
        <v>2003</v>
      </c>
      <c r="D14" s="391">
        <v>3</v>
      </c>
      <c r="E14" s="391">
        <v>4261434</v>
      </c>
      <c r="F14" s="392">
        <v>30025</v>
      </c>
      <c r="G14" s="393">
        <v>12</v>
      </c>
      <c r="H14" s="394" t="s">
        <v>153</v>
      </c>
      <c r="I14" s="395" t="s">
        <v>68</v>
      </c>
      <c r="J14" s="396">
        <v>1</v>
      </c>
      <c r="K14" s="404" t="s">
        <v>2014</v>
      </c>
      <c r="O14" s="398">
        <v>8.625</v>
      </c>
      <c r="P14" s="398">
        <v>0.32200000000000001</v>
      </c>
      <c r="S14" s="395" t="s">
        <v>745</v>
      </c>
      <c r="T14" s="390" t="s">
        <v>820</v>
      </c>
      <c r="U14" s="399">
        <v>35000</v>
      </c>
      <c r="Y14" s="390"/>
      <c r="Z14" s="390" t="s">
        <v>158</v>
      </c>
      <c r="AB14" s="401" t="s">
        <v>1095</v>
      </c>
      <c r="AC14" s="402" t="s">
        <v>1409</v>
      </c>
      <c r="AG14" s="391"/>
      <c r="AK14" s="390"/>
      <c r="AL14" s="390"/>
      <c r="AM14" s="390"/>
      <c r="AN14" s="390"/>
      <c r="AO14" s="390"/>
      <c r="AP14" s="390" t="s">
        <v>158</v>
      </c>
      <c r="AR14" s="392">
        <v>30025</v>
      </c>
      <c r="AS14" s="390" t="s">
        <v>158</v>
      </c>
      <c r="AT14" s="405">
        <v>11689</v>
      </c>
      <c r="AU14" s="390" t="s">
        <v>158</v>
      </c>
      <c r="AV14" s="392"/>
      <c r="AW14" s="403" t="s">
        <v>590</v>
      </c>
      <c r="AX14" s="406" t="s">
        <v>590</v>
      </c>
      <c r="AY14" s="406" t="s">
        <v>590</v>
      </c>
      <c r="AZ14" s="406" t="s">
        <v>158</v>
      </c>
      <c r="BA14" s="390"/>
      <c r="BB14" s="395"/>
      <c r="BC14" s="390"/>
      <c r="BD14" s="395"/>
      <c r="BE14" s="390" t="s">
        <v>1990</v>
      </c>
      <c r="BF14" s="395" t="s">
        <v>40</v>
      </c>
      <c r="BG14" s="852" t="s">
        <v>1991</v>
      </c>
      <c r="BH14" s="395" t="s">
        <v>43</v>
      </c>
      <c r="BI14" s="390"/>
      <c r="BJ14" s="395"/>
      <c r="BK14" s="390"/>
      <c r="BM14" s="404" t="s">
        <v>1992</v>
      </c>
      <c r="BN14" s="404" t="s">
        <v>1993</v>
      </c>
      <c r="BZ14" s="399">
        <v>204</v>
      </c>
      <c r="CA14" s="390" t="s">
        <v>1994</v>
      </c>
      <c r="CB14" s="390" t="s">
        <v>1995</v>
      </c>
      <c r="CC14" s="390" t="s">
        <v>1996</v>
      </c>
      <c r="CD14" s="390"/>
      <c r="CE14" s="390" t="s">
        <v>1997</v>
      </c>
      <c r="CF14" s="390" t="s">
        <v>40</v>
      </c>
      <c r="CG14" s="390"/>
      <c r="CH14" s="390" t="s">
        <v>158</v>
      </c>
      <c r="CI14" s="403" t="s">
        <v>1998</v>
      </c>
      <c r="CJ14" s="403" t="s">
        <v>1999</v>
      </c>
      <c r="CK14" s="403" t="s">
        <v>2000</v>
      </c>
      <c r="CL14" s="403" t="s">
        <v>589</v>
      </c>
      <c r="CM14" s="390" t="s">
        <v>2001</v>
      </c>
      <c r="CN14" s="390" t="s">
        <v>2002</v>
      </c>
      <c r="CO14" s="390"/>
      <c r="CP14" s="390"/>
      <c r="CQ14" s="390"/>
      <c r="CR14" s="409" t="str">
        <f>IF((IF(ISNA(VLOOKUP($BB14,Instructions!$A$133:$J$138,10,FALSE)),0,VLOOKUP($BB14,Instructions!$A$133:$J$138,10,FALSE))+IF(ISNA(VLOOKUP($BD14,Instructions!$A$133:$J$138,10,FALSE)),0,VLOOKUP($BD14,Instructions!$A$133:$J$138,10,FALSE))+IF(ISNA(VLOOKUP($BF14,Instructions!$A$133:$J$138,10,FALSE)),0,VLOOKUP($BF14,Instructions!$A$133:$J$138,10,FALSE))+IF(ISNA(VLOOKUP($BH14,Instructions!$A$133:$J$138,10,FALSE)),0,VLOOKUP($BH14,Instructions!$A$133:$J$138,10,FALSE))+IF(ISNA(VLOOKUP($BJ14,Instructions!$A$133:$J$138,10,FALSE)),0,VLOOKUP($BJ14,Instructions!$A$133:$J$138,10,FALSE))+IF(ISNA(VLOOKUP($BL14,Instructions!$A$133:$J$138,10,FALSE)),0,VLOOKUP($BL14,Instructions!$A$133:$J$138,10,FALSE)))&lt;2,"Poor","Usable")</f>
        <v>Usable</v>
      </c>
      <c r="CS14" s="409">
        <f>IF(ISNA(VLOOKUP($D14,Selections!$A$7:$B$19,2,FALSE)),0.4,VLOOKUP($D14,Selections!$A$7:$B$19,2,FALSE))</f>
        <v>0.5</v>
      </c>
      <c r="CT14" s="409">
        <f t="shared" si="0"/>
        <v>35000</v>
      </c>
      <c r="CU14" s="409">
        <f>IF((OR(ISBLANK($P14),$P14&lt;=0)),IF(ISNA(VLOOKUP($O14,Selections!$A$21:$D$48,4,FALSE)),0.113,VLOOKUP($O14,Selections!$A$21:$D$48,4,FALSE)),$P14)</f>
        <v>0.32200000000000001</v>
      </c>
      <c r="CV14" s="409">
        <f>IF(ISNA(VLOOKUP($S14,Selections!$A$57:$B$75,2,FALSE)),0.6,VLOOKUP($S14,Selections!$A$57:$B$75,2,FALSE))</f>
        <v>1</v>
      </c>
      <c r="CW14" s="410">
        <f>IF(OR($H14="",$H14="Valve",$H14="PCF",$H14="Regulator",$H14="Relief Valve",$H14="Appurtenance",$H14="Meter",$H14="Other",$H14="Pig Trap",$H14="Flange"),     IF(AND($BZ14&gt;0,$O14&gt;0),     IF($BZ14&gt;(      IF(IF(ISBLANK($V14),0,ISNA(VLOOKUP($V14,Selections!$A$153:$B$177,2,FALSE))),"n/a",IF(ISBLANK($V14),0,VLOOKUP($V14,Selections!$A$153:$B$177,2,FALSE)))),    "Chk Rating","OK Rating"),"n/a" ),IF(AND($BZ14&gt;0,$O14&gt;0),$BZ14/((2*$CT14*$CU14*$CV14)/$O14),1))</f>
        <v>7.8061224489795911E-2</v>
      </c>
      <c r="CX14" s="569" t="str">
        <f t="shared" si="25"/>
        <v>Pipe</v>
      </c>
      <c r="CY14" s="570" t="str">
        <f t="shared" si="26"/>
        <v>No</v>
      </c>
      <c r="CZ14" s="571">
        <f t="shared" si="27"/>
        <v>35000</v>
      </c>
      <c r="DA14" s="571"/>
      <c r="DB14" s="570"/>
      <c r="DC14" s="572">
        <f t="shared" si="28"/>
        <v>0.32200000000000001</v>
      </c>
      <c r="DD14" s="573"/>
      <c r="DE14" s="573" t="str">
        <f t="shared" si="29"/>
        <v>N/A</v>
      </c>
      <c r="DF14" s="573"/>
      <c r="DG14" s="570"/>
      <c r="DH14" s="574">
        <f t="shared" ca="1" si="30"/>
        <v>8.625</v>
      </c>
      <c r="DI14" s="574" t="str">
        <f t="shared" si="31"/>
        <v>N/A</v>
      </c>
      <c r="DJ14" s="570"/>
      <c r="DK14" s="575" t="str">
        <f t="shared" si="32"/>
        <v>Seamless</v>
      </c>
      <c r="DL14" s="573"/>
      <c r="DM14" s="576">
        <f t="shared" si="33"/>
        <v>1</v>
      </c>
      <c r="DN14" s="570"/>
      <c r="DO14" s="570" t="str">
        <f t="shared" si="34"/>
        <v>N/A</v>
      </c>
      <c r="DP14" s="570"/>
      <c r="DQ14" s="570"/>
      <c r="DR14" s="570" t="str">
        <f t="shared" ca="1" si="35"/>
        <v>N/A</v>
      </c>
      <c r="DS14" s="570">
        <f t="shared" si="36"/>
        <v>3</v>
      </c>
      <c r="DT14" s="577">
        <f t="shared" ca="1" si="37"/>
        <v>0.5</v>
      </c>
      <c r="DU14" s="570">
        <f t="shared" ca="1" si="38"/>
        <v>1306</v>
      </c>
      <c r="DV14" s="570" t="str">
        <f t="shared" ca="1" si="39"/>
        <v>N/A</v>
      </c>
      <c r="DW14" s="570">
        <f t="shared" ca="1" si="40"/>
        <v>1</v>
      </c>
      <c r="DX14" s="569">
        <f t="shared" ca="1" si="41"/>
        <v>1306</v>
      </c>
      <c r="DY14" s="570" t="str">
        <f t="shared" ca="1" si="12"/>
        <v>N/A</v>
      </c>
      <c r="DZ14" s="578">
        <f t="shared" si="42"/>
        <v>30025</v>
      </c>
      <c r="EA14" s="578" t="str">
        <f t="shared" si="43"/>
        <v>N/A</v>
      </c>
      <c r="EB14" s="570" t="str">
        <f t="shared" si="44"/>
        <v>N/A</v>
      </c>
      <c r="EC14" s="570" t="str">
        <f t="shared" si="45"/>
        <v>N/A</v>
      </c>
      <c r="ED14" s="579" t="str">
        <f t="shared" si="46"/>
        <v>N/A</v>
      </c>
      <c r="EE14" s="580" t="str">
        <f t="shared" si="47"/>
        <v>No</v>
      </c>
      <c r="EF14" s="577" t="str">
        <f t="shared" si="48"/>
        <v>N/A</v>
      </c>
      <c r="EG14" s="577" t="str">
        <f ca="1">IF(OR(EA14="N/A",DY14&lt;&gt;"N/A"),"N/A",IF(AND(DZ14&gt;=DATE(1961,7,1),EA14&gt;=DATE(1961,7,1),OR(DQ14="1 in Station",DQ14="2 in Station",DS14="1 in Station",DS14="2 in Station")),1.5,IF(AND(DK14="Electric Resistance Weld",YEAR(DZ14)&lt;1970,EA14&lt;DATE(1961,7,1),OR(DQ14=1,DQ14="1 in Station",DQ14="1 in Public Road Crossing",DQ14="1 in Hard Road Parallel",DQ14="1 on Bridge",DS14=1,DS14="1 in Station",DS14="1 in Public Road Crossing",DS14="1 in Hard Road Parallel",DS14="1 on Bridge")),1.25,INDEX('FVE Table'!$C$3:$F$5,EB14,IF(AND(ABS(DZ14-EA14)&lt;=365,DQ14&gt;0),LEFT(DQ14,1),LEFT(DS14,1))))))</f>
        <v>N/A</v>
      </c>
      <c r="EH14" s="570" t="str">
        <f t="shared" ca="1" si="49"/>
        <v>N/A</v>
      </c>
      <c r="EI14" s="570" t="str">
        <f t="shared" ca="1" si="50"/>
        <v>N/A</v>
      </c>
      <c r="EJ14" s="570" t="str">
        <f t="shared" ca="1" si="51"/>
        <v>N/A</v>
      </c>
      <c r="EK14" s="581">
        <f t="shared" si="52"/>
        <v>204</v>
      </c>
      <c r="EL14" s="570"/>
      <c r="EM14" s="582">
        <f t="shared" ca="1" si="53"/>
        <v>7.8061224489795925E-2</v>
      </c>
      <c r="EN14" s="582" t="str">
        <f t="shared" ca="1" si="54"/>
        <v>N/A</v>
      </c>
      <c r="EO14" s="570">
        <f t="shared" ca="1" si="55"/>
        <v>204</v>
      </c>
      <c r="EP14" s="570" t="str">
        <f t="shared" ca="1" si="56"/>
        <v>R</v>
      </c>
      <c r="EQ14" s="582">
        <f t="shared" ca="1" si="57"/>
        <v>7.8061224489795925E-2</v>
      </c>
      <c r="ER14" s="573">
        <f t="shared" si="22"/>
        <v>0</v>
      </c>
      <c r="ES14" s="762"/>
      <c r="ET14" s="762"/>
      <c r="EU14" s="585"/>
      <c r="EV14" s="583"/>
      <c r="EW14" s="583"/>
      <c r="EX14" s="584"/>
      <c r="EY14" s="759"/>
      <c r="EZ14" s="585"/>
      <c r="FA14" s="585"/>
      <c r="FB14" s="585"/>
      <c r="FC14" s="585"/>
    </row>
    <row r="15" spans="1:159" ht="15" customHeight="1" thickBot="1" x14ac:dyDescent="0.25">
      <c r="A15" s="389">
        <f t="shared" si="23"/>
        <v>0</v>
      </c>
      <c r="B15" s="389">
        <f t="shared" si="24"/>
        <v>0</v>
      </c>
      <c r="C15" s="390" t="s">
        <v>2003</v>
      </c>
      <c r="D15" s="391">
        <v>3</v>
      </c>
      <c r="E15" s="391">
        <v>4261434</v>
      </c>
      <c r="F15" s="392">
        <v>30025</v>
      </c>
      <c r="G15" s="393">
        <v>13</v>
      </c>
      <c r="H15" s="394" t="s">
        <v>595</v>
      </c>
      <c r="I15" s="395" t="s">
        <v>256</v>
      </c>
      <c r="J15" s="396">
        <v>0.5</v>
      </c>
      <c r="K15" s="404" t="s">
        <v>2020</v>
      </c>
      <c r="O15" s="398">
        <v>8.625</v>
      </c>
      <c r="P15" s="802">
        <v>0.32200000000000001</v>
      </c>
      <c r="Q15" s="398">
        <v>12.75</v>
      </c>
      <c r="R15" s="398">
        <v>0.375</v>
      </c>
      <c r="S15" s="395" t="s">
        <v>329</v>
      </c>
      <c r="T15" s="390" t="s">
        <v>723</v>
      </c>
      <c r="U15" s="399">
        <v>35000</v>
      </c>
      <c r="V15" s="390" t="s">
        <v>158</v>
      </c>
      <c r="Y15" s="390"/>
      <c r="Z15" s="390" t="s">
        <v>158</v>
      </c>
      <c r="AG15" s="391"/>
      <c r="AK15" s="390"/>
      <c r="AL15" s="390"/>
      <c r="AM15" s="390"/>
      <c r="AN15" s="390"/>
      <c r="AO15" s="390"/>
      <c r="AP15" s="390" t="s">
        <v>158</v>
      </c>
      <c r="AR15" s="392">
        <v>30025</v>
      </c>
      <c r="AS15" s="390" t="s">
        <v>158</v>
      </c>
      <c r="AT15" s="405">
        <v>22167</v>
      </c>
      <c r="AU15" s="390" t="s">
        <v>158</v>
      </c>
      <c r="AV15" s="392"/>
      <c r="AW15" s="403" t="s">
        <v>590</v>
      </c>
      <c r="AX15" s="406" t="s">
        <v>590</v>
      </c>
      <c r="AY15" s="406" t="s">
        <v>590</v>
      </c>
      <c r="AZ15" s="406" t="s">
        <v>158</v>
      </c>
      <c r="BA15" s="390"/>
      <c r="BB15" s="395"/>
      <c r="BC15" s="390"/>
      <c r="BD15" s="395"/>
      <c r="BE15" s="390" t="s">
        <v>1990</v>
      </c>
      <c r="BF15" s="395" t="s">
        <v>40</v>
      </c>
      <c r="BG15" s="852" t="s">
        <v>2021</v>
      </c>
      <c r="BH15" s="395" t="s">
        <v>40</v>
      </c>
      <c r="BI15" s="390"/>
      <c r="BJ15" s="395"/>
      <c r="BK15" s="390"/>
      <c r="BM15" s="404" t="s">
        <v>1992</v>
      </c>
      <c r="BN15" s="404" t="s">
        <v>1993</v>
      </c>
      <c r="BZ15" s="399">
        <v>204</v>
      </c>
      <c r="CA15" s="390" t="s">
        <v>1994</v>
      </c>
      <c r="CB15" s="390" t="s">
        <v>1995</v>
      </c>
      <c r="CC15" s="390" t="s">
        <v>1996</v>
      </c>
      <c r="CD15" s="390"/>
      <c r="CE15" s="390" t="s">
        <v>1997</v>
      </c>
      <c r="CF15" s="390" t="s">
        <v>40</v>
      </c>
      <c r="CG15" s="390"/>
      <c r="CH15" s="390" t="s">
        <v>158</v>
      </c>
      <c r="CI15" s="403" t="s">
        <v>1998</v>
      </c>
      <c r="CJ15" s="403" t="s">
        <v>1999</v>
      </c>
      <c r="CK15" s="403" t="s">
        <v>2000</v>
      </c>
      <c r="CL15" s="403" t="s">
        <v>589</v>
      </c>
      <c r="CM15" s="390" t="s">
        <v>2001</v>
      </c>
      <c r="CN15" s="390" t="s">
        <v>2002</v>
      </c>
      <c r="CO15" s="390"/>
      <c r="CP15" s="390"/>
      <c r="CQ15" s="390"/>
      <c r="CR15" s="409" t="str">
        <f>IF((IF(ISNA(VLOOKUP($BB15,Instructions!$A$133:$J$138,10,FALSE)),0,VLOOKUP($BB15,Instructions!$A$133:$J$138,10,FALSE))+IF(ISNA(VLOOKUP($BD15,Instructions!$A$133:$J$138,10,FALSE)),0,VLOOKUP($BD15,Instructions!$A$133:$J$138,10,FALSE))+IF(ISNA(VLOOKUP($BF15,Instructions!$A$133:$J$138,10,FALSE)),0,VLOOKUP($BF15,Instructions!$A$133:$J$138,10,FALSE))+IF(ISNA(VLOOKUP($BH15,Instructions!$A$133:$J$138,10,FALSE)),0,VLOOKUP($BH15,Instructions!$A$133:$J$138,10,FALSE))+IF(ISNA(VLOOKUP($BJ15,Instructions!$A$133:$J$138,10,FALSE)),0,VLOOKUP($BJ15,Instructions!$A$133:$J$138,10,FALSE))+IF(ISNA(VLOOKUP($BL15,Instructions!$A$133:$J$138,10,FALSE)),0,VLOOKUP($BL15,Instructions!$A$133:$J$138,10,FALSE)))&lt;2,"Poor","Usable")</f>
        <v>Usable</v>
      </c>
      <c r="CS15" s="409">
        <f>IF(ISNA(VLOOKUP($D15,Selections!$A$7:$B$19,2,FALSE)),0.4,VLOOKUP($D15,Selections!$A$7:$B$19,2,FALSE))</f>
        <v>0.5</v>
      </c>
      <c r="CT15" s="409">
        <f t="shared" si="0"/>
        <v>35000</v>
      </c>
      <c r="CU15" s="409">
        <f>IF((OR(ISBLANK($P15),$P15&lt;=0)),IF(ISNA(VLOOKUP($O15,Selections!$A$21:$D$48,4,FALSE)),0.113,VLOOKUP($O15,Selections!$A$21:$D$48,4,FALSE)),$P15)</f>
        <v>0.32200000000000001</v>
      </c>
      <c r="CV15" s="409">
        <f>IF(ISNA(VLOOKUP($S15,Selections!$A$57:$B$75,2,FALSE)),0.6,VLOOKUP($S15,Selections!$A$57:$B$75,2,FALSE))</f>
        <v>0.8</v>
      </c>
      <c r="CW15" s="410">
        <f>IF(OR($H15="",$H15="Valve",$H15="PCF",$H15="Regulator",$H15="Relief Valve",$H15="Appurtenance",$H15="Meter",$H15="Other",$H15="Pig Trap",$H15="Flange"),     IF(AND($BZ15&gt;0,$O15&gt;0),     IF($BZ15&gt;(      IF(IF(ISBLANK($V15),0,ISNA(VLOOKUP($V15,Selections!$A$153:$B$177,2,FALSE))),"n/a",IF(ISBLANK($V15),0,VLOOKUP($V15,Selections!$A$153:$B$177,2,FALSE)))),    "Chk Rating","OK Rating"),"n/a" ),IF(AND($BZ15&gt;0,$O15&gt;0),$BZ15/((2*$CT15*$CU15*$CV15)/$O15),1))</f>
        <v>9.7576530612244902E-2</v>
      </c>
      <c r="CX15" s="569" t="str">
        <f t="shared" si="25"/>
        <v>Reducer</v>
      </c>
      <c r="CY15" s="570" t="str">
        <f t="shared" si="26"/>
        <v>No</v>
      </c>
      <c r="CZ15" s="571">
        <f t="shared" si="27"/>
        <v>35000</v>
      </c>
      <c r="DA15" s="571"/>
      <c r="DB15" s="570"/>
      <c r="DC15" s="572">
        <f t="shared" si="28"/>
        <v>0.32200000000000001</v>
      </c>
      <c r="DD15" s="573"/>
      <c r="DE15" s="573">
        <f t="shared" si="29"/>
        <v>0.375</v>
      </c>
      <c r="DF15" s="573"/>
      <c r="DG15" s="570"/>
      <c r="DH15" s="574">
        <f t="shared" ca="1" si="30"/>
        <v>8.625</v>
      </c>
      <c r="DI15" s="574">
        <f t="shared" si="31"/>
        <v>12.75</v>
      </c>
      <c r="DJ15" s="570"/>
      <c r="DK15" s="575" t="str">
        <f t="shared" si="32"/>
        <v>Unknown</v>
      </c>
      <c r="DL15" s="573"/>
      <c r="DM15" s="576">
        <f t="shared" si="33"/>
        <v>1</v>
      </c>
      <c r="DN15" s="570"/>
      <c r="DO15" s="570" t="str">
        <f t="shared" si="34"/>
        <v>Unknown</v>
      </c>
      <c r="DP15" s="570"/>
      <c r="DQ15" s="570"/>
      <c r="DR15" s="570" t="str">
        <f t="shared" ca="1" si="35"/>
        <v>N/A</v>
      </c>
      <c r="DS15" s="570">
        <f t="shared" si="36"/>
        <v>3</v>
      </c>
      <c r="DT15" s="577">
        <f t="shared" ca="1" si="37"/>
        <v>0.5</v>
      </c>
      <c r="DU15" s="570">
        <f t="shared" ca="1" si="38"/>
        <v>1306</v>
      </c>
      <c r="DV15" s="570">
        <f t="shared" ca="1" si="39"/>
        <v>1029</v>
      </c>
      <c r="DW15" s="570">
        <f t="shared" ca="1" si="40"/>
        <v>2</v>
      </c>
      <c r="DX15" s="569">
        <f t="shared" ca="1" si="41"/>
        <v>1029</v>
      </c>
      <c r="DY15" s="570" t="str">
        <f t="shared" ca="1" si="12"/>
        <v>N/A</v>
      </c>
      <c r="DZ15" s="578">
        <f t="shared" si="42"/>
        <v>30025</v>
      </c>
      <c r="EA15" s="578" t="str">
        <f t="shared" si="43"/>
        <v>N/A</v>
      </c>
      <c r="EB15" s="570" t="str">
        <f t="shared" si="44"/>
        <v>N/A</v>
      </c>
      <c r="EC15" s="570" t="str">
        <f t="shared" si="45"/>
        <v>N/A</v>
      </c>
      <c r="ED15" s="579" t="str">
        <f t="shared" si="46"/>
        <v>N/A</v>
      </c>
      <c r="EE15" s="580" t="str">
        <f t="shared" si="47"/>
        <v>No</v>
      </c>
      <c r="EF15" s="577" t="str">
        <f t="shared" si="48"/>
        <v>N/A</v>
      </c>
      <c r="EG15" s="577" t="str">
        <f ca="1">IF(OR(EA15="N/A",DY15&lt;&gt;"N/A"),"N/A",IF(AND(DZ15&gt;=DATE(1961,7,1),EA15&gt;=DATE(1961,7,1),OR(DQ15="1 in Station",DQ15="2 in Station",DS15="1 in Station",DS15="2 in Station")),1.5,IF(AND(DK15="Electric Resistance Weld",YEAR(DZ15)&lt;1970,EA15&lt;DATE(1961,7,1),OR(DQ15=1,DQ15="1 in Station",DQ15="1 in Public Road Crossing",DQ15="1 in Hard Road Parallel",DQ15="1 on Bridge",DS15=1,DS15="1 in Station",DS15="1 in Public Road Crossing",DS15="1 in Hard Road Parallel",DS15="1 on Bridge")),1.25,INDEX('FVE Table'!$C$3:$F$5,EB15,IF(AND(ABS(DZ15-EA15)&lt;=365,DQ15&gt;0),LEFT(DQ15,1),LEFT(DS15,1))))))</f>
        <v>N/A</v>
      </c>
      <c r="EH15" s="570" t="str">
        <f t="shared" ca="1" si="49"/>
        <v>N/A</v>
      </c>
      <c r="EI15" s="570" t="str">
        <f t="shared" ca="1" si="50"/>
        <v>N/A</v>
      </c>
      <c r="EJ15" s="570" t="str">
        <f t="shared" ca="1" si="51"/>
        <v>N/A</v>
      </c>
      <c r="EK15" s="581">
        <f t="shared" si="52"/>
        <v>204</v>
      </c>
      <c r="EL15" s="570"/>
      <c r="EM15" s="582">
        <f t="shared" ca="1" si="53"/>
        <v>7.8061224489795925E-2</v>
      </c>
      <c r="EN15" s="582">
        <f t="shared" ca="1" si="54"/>
        <v>9.9085714285714291E-2</v>
      </c>
      <c r="EO15" s="570">
        <f t="shared" ca="1" si="55"/>
        <v>204</v>
      </c>
      <c r="EP15" s="570" t="str">
        <f t="shared" ca="1" si="56"/>
        <v>R</v>
      </c>
      <c r="EQ15" s="582">
        <f t="shared" ca="1" si="57"/>
        <v>9.9085714285714291E-2</v>
      </c>
      <c r="ER15" s="573">
        <f t="shared" si="22"/>
        <v>0</v>
      </c>
      <c r="ES15" s="762"/>
      <c r="ET15" s="762"/>
      <c r="EU15" s="585"/>
      <c r="EV15" s="583"/>
      <c r="EW15" s="583"/>
      <c r="EX15" s="584"/>
      <c r="EY15" s="759"/>
      <c r="EZ15" s="585"/>
      <c r="FA15" s="585"/>
      <c r="FB15" s="585"/>
      <c r="FC15" s="585"/>
    </row>
    <row r="16" spans="1:159" ht="15" customHeight="1" thickTop="1" thickBot="1" x14ac:dyDescent="0.25">
      <c r="A16" s="389">
        <f t="shared" si="23"/>
        <v>0</v>
      </c>
      <c r="B16" s="389">
        <f t="shared" si="24"/>
        <v>0</v>
      </c>
      <c r="C16" s="390" t="s">
        <v>2003</v>
      </c>
      <c r="D16" s="391">
        <v>3</v>
      </c>
      <c r="E16" s="391">
        <v>4261434</v>
      </c>
      <c r="F16" s="392">
        <v>30025</v>
      </c>
      <c r="G16" s="796">
        <v>14</v>
      </c>
      <c r="H16" s="394" t="s">
        <v>291</v>
      </c>
      <c r="I16" s="395" t="s">
        <v>158</v>
      </c>
      <c r="J16" s="396">
        <v>2.5</v>
      </c>
      <c r="O16" s="803">
        <v>12.75</v>
      </c>
      <c r="P16" s="804"/>
      <c r="Q16" s="805"/>
      <c r="S16" s="395" t="s">
        <v>329</v>
      </c>
      <c r="T16" s="390" t="s">
        <v>158</v>
      </c>
      <c r="U16" s="399" t="s">
        <v>606</v>
      </c>
      <c r="V16" s="390" t="s">
        <v>158</v>
      </c>
      <c r="Y16" s="390"/>
      <c r="Z16" s="390" t="s">
        <v>158</v>
      </c>
      <c r="AC16" s="402" t="s">
        <v>1409</v>
      </c>
      <c r="AD16" s="396">
        <v>90</v>
      </c>
      <c r="AE16" s="403" t="s">
        <v>101</v>
      </c>
      <c r="AF16" s="403" t="s">
        <v>592</v>
      </c>
      <c r="AG16" s="391"/>
      <c r="AK16" s="390"/>
      <c r="AL16" s="390"/>
      <c r="AM16" s="390"/>
      <c r="AN16" s="390"/>
      <c r="AO16" s="390"/>
      <c r="AP16" s="390" t="s">
        <v>158</v>
      </c>
      <c r="AR16" s="392">
        <v>30025</v>
      </c>
      <c r="AS16" s="390" t="s">
        <v>158</v>
      </c>
      <c r="AU16" s="390" t="s">
        <v>158</v>
      </c>
      <c r="AV16" s="392"/>
      <c r="AW16" s="403" t="s">
        <v>590</v>
      </c>
      <c r="AX16" s="406" t="s">
        <v>590</v>
      </c>
      <c r="AY16" s="406" t="s">
        <v>590</v>
      </c>
      <c r="AZ16" s="406" t="s">
        <v>158</v>
      </c>
      <c r="BA16" s="390"/>
      <c r="BB16" s="395"/>
      <c r="BC16" s="390"/>
      <c r="BD16" s="395"/>
      <c r="BE16" s="390"/>
      <c r="BF16" s="395"/>
      <c r="BG16" s="852" t="s">
        <v>2021</v>
      </c>
      <c r="BH16" s="395" t="s">
        <v>40</v>
      </c>
      <c r="BI16" s="390"/>
      <c r="BJ16" s="395"/>
      <c r="BK16" s="390"/>
      <c r="BL16" s="395"/>
      <c r="BM16" s="404" t="s">
        <v>1992</v>
      </c>
      <c r="BN16" s="404" t="s">
        <v>1993</v>
      </c>
      <c r="BZ16" s="399">
        <v>204</v>
      </c>
      <c r="CA16" s="390" t="s">
        <v>1994</v>
      </c>
      <c r="CB16" s="390" t="s">
        <v>1995</v>
      </c>
      <c r="CC16" s="390" t="s">
        <v>1996</v>
      </c>
      <c r="CD16" s="390"/>
      <c r="CE16" s="390" t="s">
        <v>1997</v>
      </c>
      <c r="CF16" s="390" t="s">
        <v>40</v>
      </c>
      <c r="CG16" s="390"/>
      <c r="CH16" s="390" t="s">
        <v>158</v>
      </c>
      <c r="CI16" s="403" t="s">
        <v>1998</v>
      </c>
      <c r="CJ16" s="403" t="s">
        <v>1999</v>
      </c>
      <c r="CK16" s="403" t="s">
        <v>2000</v>
      </c>
      <c r="CL16" s="403" t="s">
        <v>589</v>
      </c>
      <c r="CM16" s="390" t="s">
        <v>2001</v>
      </c>
      <c r="CN16" s="390" t="s">
        <v>2002</v>
      </c>
      <c r="CO16" s="390"/>
      <c r="CP16" s="390"/>
      <c r="CQ16" s="390"/>
      <c r="CR16" s="409" t="str">
        <f>IF((IF(ISNA(VLOOKUP($BB16,Instructions!$A$133:$J$138,10,FALSE)),0,VLOOKUP($BB16,Instructions!$A$133:$J$138,10,FALSE))+IF(ISNA(VLOOKUP($BD16,Instructions!$A$133:$J$138,10,FALSE)),0,VLOOKUP($BD16,Instructions!$A$133:$J$138,10,FALSE))+IF(ISNA(VLOOKUP($BF16,Instructions!$A$133:$J$138,10,FALSE)),0,VLOOKUP($BF16,Instructions!$A$133:$J$138,10,FALSE))+IF(ISNA(VLOOKUP($BH16,Instructions!$A$133:$J$138,10,FALSE)),0,VLOOKUP($BH16,Instructions!$A$133:$J$138,10,FALSE))+IF(ISNA(VLOOKUP($BJ16,Instructions!$A$133:$J$138,10,FALSE)),0,VLOOKUP($BJ16,Instructions!$A$133:$J$138,10,FALSE))+IF(ISNA(VLOOKUP($BL16,Instructions!$A$133:$J$138,10,FALSE)),0,VLOOKUP($BL16,Instructions!$A$133:$J$138,10,FALSE)))&lt;2,"Poor","Usable")</f>
        <v>Usable</v>
      </c>
      <c r="CS16" s="409">
        <f>IF(ISNA(VLOOKUP($D16,Selections!$A$7:$B$19,2,FALSE)),0.4,VLOOKUP($D16,Selections!$A$7:$B$19,2,FALSE))</f>
        <v>0.5</v>
      </c>
      <c r="CT16" s="409">
        <f t="shared" si="0"/>
        <v>24000</v>
      </c>
      <c r="CU16" s="409">
        <f>IF((OR(ISBLANK($P16),$P16&lt;=0)),IF(ISNA(VLOOKUP($O16,Selections!$A$21:$D$48,4,FALSE)),0.113,VLOOKUP($O16,Selections!$A$21:$D$48,4,FALSE)),$P16)</f>
        <v>0.20300000000000001</v>
      </c>
      <c r="CV16" s="409">
        <f>IF(ISNA(VLOOKUP($S16,Selections!$A$57:$B$75,2,FALSE)),0.6,VLOOKUP($S16,Selections!$A$57:$B$75,2,FALSE))</f>
        <v>0.8</v>
      </c>
      <c r="CW16" s="410">
        <f>IF(OR($H16="",$H16="Valve",$H16="PCF",$H16="Regulator",$H16="Relief Valve",$H16="Appurtenance",$H16="Meter",$H16="Other",$H16="Pig Trap",$H16="Flange"),     IF(AND($BZ16&gt;0,$O16&gt;0),     IF($BZ16&gt;(      IF(IF(ISBLANK($V16),0,ISNA(VLOOKUP($V16,Selections!$A$153:$B$177,2,FALSE))),"n/a",IF(ISBLANK($V16),0,VLOOKUP($V16,Selections!$A$153:$B$177,2,FALSE)))),    "Chk Rating","OK Rating"),"n/a" ),IF(AND($BZ16&gt;0,$O16&gt;0),$BZ16/((2*$CT16*$CU16*$CV16)/$O16),1))</f>
        <v>0.33366687192118222</v>
      </c>
      <c r="CX16" s="569" t="str">
        <f t="shared" si="25"/>
        <v>Mfg Bend</v>
      </c>
      <c r="CY16" s="570" t="str">
        <f t="shared" si="26"/>
        <v>No</v>
      </c>
      <c r="CZ16" s="844">
        <v>35000</v>
      </c>
      <c r="DA16" s="571">
        <v>35000</v>
      </c>
      <c r="DB16" s="845">
        <v>1</v>
      </c>
      <c r="DC16" s="849">
        <v>0.375</v>
      </c>
      <c r="DD16" s="573">
        <v>0.375</v>
      </c>
      <c r="DE16" s="573" t="str">
        <f t="shared" si="29"/>
        <v>N/A</v>
      </c>
      <c r="DF16" s="573"/>
      <c r="DG16" s="845">
        <v>1</v>
      </c>
      <c r="DH16" s="574">
        <f t="shared" ca="1" si="30"/>
        <v>12.75</v>
      </c>
      <c r="DI16" s="574" t="str">
        <f t="shared" si="31"/>
        <v>N/A</v>
      </c>
      <c r="DJ16" s="570"/>
      <c r="DK16" s="575" t="str">
        <f t="shared" si="32"/>
        <v>Unknown</v>
      </c>
      <c r="DL16" s="573"/>
      <c r="DM16" s="576">
        <f t="shared" si="33"/>
        <v>1</v>
      </c>
      <c r="DN16" s="570"/>
      <c r="DO16" s="570" t="str">
        <f t="shared" si="34"/>
        <v>Unknown</v>
      </c>
      <c r="DP16" s="570"/>
      <c r="DQ16" s="570"/>
      <c r="DR16" s="570" t="str">
        <f t="shared" ca="1" si="35"/>
        <v>N/A</v>
      </c>
      <c r="DS16" s="570">
        <f t="shared" si="36"/>
        <v>3</v>
      </c>
      <c r="DT16" s="577">
        <f t="shared" ca="1" si="37"/>
        <v>0.5</v>
      </c>
      <c r="DU16" s="570">
        <f t="shared" ca="1" si="38"/>
        <v>1029</v>
      </c>
      <c r="DV16" s="570" t="str">
        <f t="shared" ca="1" si="39"/>
        <v>N/A</v>
      </c>
      <c r="DW16" s="570">
        <f t="shared" ca="1" si="40"/>
        <v>1</v>
      </c>
      <c r="DX16" s="569">
        <f t="shared" ca="1" si="41"/>
        <v>1029</v>
      </c>
      <c r="DY16" s="570" t="str">
        <f t="shared" ca="1" si="12"/>
        <v>N/A</v>
      </c>
      <c r="DZ16" s="578">
        <f t="shared" si="42"/>
        <v>30025</v>
      </c>
      <c r="EA16" s="578" t="str">
        <f t="shared" si="43"/>
        <v>N/A</v>
      </c>
      <c r="EB16" s="570" t="str">
        <f t="shared" si="44"/>
        <v>N/A</v>
      </c>
      <c r="EC16" s="570" t="str">
        <f t="shared" si="45"/>
        <v>N/A</v>
      </c>
      <c r="ED16" s="579" t="str">
        <f t="shared" si="46"/>
        <v>N/A</v>
      </c>
      <c r="EE16" s="580" t="str">
        <f t="shared" si="47"/>
        <v>No</v>
      </c>
      <c r="EF16" s="577" t="str">
        <f t="shared" si="48"/>
        <v>N/A</v>
      </c>
      <c r="EG16" s="577" t="str">
        <f ca="1">IF(OR(EA16="N/A",DY16&lt;&gt;"N/A"),"N/A",IF(AND(DZ16&gt;=DATE(1961,7,1),EA16&gt;=DATE(1961,7,1),OR(DQ16="1 in Station",DQ16="2 in Station",DS16="1 in Station",DS16="2 in Station")),1.5,IF(AND(DK16="Electric Resistance Weld",YEAR(DZ16)&lt;1970,EA16&lt;DATE(1961,7,1),OR(DQ16=1,DQ16="1 in Station",DQ16="1 in Public Road Crossing",DQ16="1 in Hard Road Parallel",DQ16="1 on Bridge",DS16=1,DS16="1 in Station",DS16="1 in Public Road Crossing",DS16="1 in Hard Road Parallel",DS16="1 on Bridge")),1.25,INDEX('FVE Table'!$C$3:$F$5,EB16,IF(AND(ABS(DZ16-EA16)&lt;=365,DQ16&gt;0),LEFT(DQ16,1),LEFT(DS16,1))))))</f>
        <v>N/A</v>
      </c>
      <c r="EH16" s="570" t="str">
        <f t="shared" ca="1" si="49"/>
        <v>N/A</v>
      </c>
      <c r="EI16" s="570" t="str">
        <f t="shared" ca="1" si="50"/>
        <v>N/A</v>
      </c>
      <c r="EJ16" s="570" t="str">
        <f t="shared" ca="1" si="51"/>
        <v>N/A</v>
      </c>
      <c r="EK16" s="581">
        <f t="shared" si="52"/>
        <v>204</v>
      </c>
      <c r="EL16" s="570"/>
      <c r="EM16" s="582">
        <f t="shared" ca="1" si="53"/>
        <v>9.9085714285714291E-2</v>
      </c>
      <c r="EN16" s="582" t="str">
        <f t="shared" ca="1" si="54"/>
        <v>N/A</v>
      </c>
      <c r="EO16" s="570">
        <f t="shared" ca="1" si="55"/>
        <v>204</v>
      </c>
      <c r="EP16" s="570" t="str">
        <f t="shared" ca="1" si="56"/>
        <v>R</v>
      </c>
      <c r="EQ16" s="582">
        <f t="shared" ca="1" si="57"/>
        <v>9.9085714285714291E-2</v>
      </c>
      <c r="ER16" s="573">
        <f t="shared" si="22"/>
        <v>0</v>
      </c>
      <c r="ES16" s="762"/>
      <c r="ET16" s="762"/>
      <c r="EU16" s="585"/>
      <c r="EV16" s="848" t="s">
        <v>2077</v>
      </c>
      <c r="EW16" s="583"/>
      <c r="EX16" s="846" t="s">
        <v>2075</v>
      </c>
      <c r="EY16" s="847">
        <v>1</v>
      </c>
      <c r="EZ16" s="585"/>
      <c r="FA16" s="585"/>
      <c r="FB16" s="585"/>
      <c r="FC16" s="585"/>
    </row>
    <row r="17" spans="1:159" ht="15" customHeight="1" thickTop="1" x14ac:dyDescent="0.2">
      <c r="A17" s="389">
        <f t="shared" si="23"/>
        <v>0</v>
      </c>
      <c r="B17" s="389">
        <f t="shared" si="24"/>
        <v>0</v>
      </c>
      <c r="C17" s="390" t="s">
        <v>2003</v>
      </c>
      <c r="D17" s="391">
        <v>3</v>
      </c>
      <c r="E17" s="391">
        <v>4261434</v>
      </c>
      <c r="F17" s="392">
        <v>30025</v>
      </c>
      <c r="G17" s="393">
        <v>15</v>
      </c>
      <c r="H17" s="394" t="s">
        <v>153</v>
      </c>
      <c r="I17" s="395" t="s">
        <v>68</v>
      </c>
      <c r="J17" s="396">
        <v>4.3</v>
      </c>
      <c r="K17" s="404" t="s">
        <v>2022</v>
      </c>
      <c r="O17" s="398">
        <v>12.75</v>
      </c>
      <c r="P17" s="806">
        <v>0.219</v>
      </c>
      <c r="S17" s="395" t="s">
        <v>329</v>
      </c>
      <c r="T17" s="390" t="s">
        <v>158</v>
      </c>
      <c r="U17" s="399" t="s">
        <v>606</v>
      </c>
      <c r="Y17" s="390"/>
      <c r="Z17" s="390" t="s">
        <v>158</v>
      </c>
      <c r="AB17" s="401" t="s">
        <v>1095</v>
      </c>
      <c r="AC17" s="402" t="s">
        <v>1409</v>
      </c>
      <c r="AG17" s="391"/>
      <c r="AK17" s="390"/>
      <c r="AL17" s="390"/>
      <c r="AM17" s="390"/>
      <c r="AN17" s="390"/>
      <c r="AO17" s="390"/>
      <c r="AP17" s="390" t="s">
        <v>158</v>
      </c>
      <c r="AR17" s="392">
        <v>30025</v>
      </c>
      <c r="AS17" s="390" t="s">
        <v>158</v>
      </c>
      <c r="AU17" s="390" t="s">
        <v>158</v>
      </c>
      <c r="AV17" s="392"/>
      <c r="AW17" s="403" t="s">
        <v>590</v>
      </c>
      <c r="AX17" s="406" t="s">
        <v>590</v>
      </c>
      <c r="AY17" s="406" t="s">
        <v>590</v>
      </c>
      <c r="AZ17" s="406" t="s">
        <v>158</v>
      </c>
      <c r="BA17" s="390"/>
      <c r="BB17" s="395"/>
      <c r="BC17" s="390"/>
      <c r="BD17" s="395"/>
      <c r="BE17" s="390"/>
      <c r="BF17" s="395"/>
      <c r="BG17" s="852" t="s">
        <v>2021</v>
      </c>
      <c r="BH17" s="395" t="s">
        <v>40</v>
      </c>
      <c r="BI17" s="390"/>
      <c r="BJ17" s="395"/>
      <c r="BK17" s="390"/>
      <c r="BL17" s="395"/>
      <c r="BM17" s="404" t="s">
        <v>1992</v>
      </c>
      <c r="BN17" s="404" t="s">
        <v>1993</v>
      </c>
      <c r="BZ17" s="399">
        <v>204</v>
      </c>
      <c r="CA17" s="390" t="s">
        <v>1994</v>
      </c>
      <c r="CB17" s="390" t="s">
        <v>1995</v>
      </c>
      <c r="CC17" s="390" t="s">
        <v>1996</v>
      </c>
      <c r="CD17" s="390"/>
      <c r="CE17" s="390" t="s">
        <v>1997</v>
      </c>
      <c r="CF17" s="390" t="s">
        <v>40</v>
      </c>
      <c r="CG17" s="390"/>
      <c r="CH17" s="390" t="s">
        <v>158</v>
      </c>
      <c r="CI17" s="403" t="s">
        <v>1998</v>
      </c>
      <c r="CJ17" s="403" t="s">
        <v>1999</v>
      </c>
      <c r="CK17" s="403" t="s">
        <v>2000</v>
      </c>
      <c r="CL17" s="403" t="s">
        <v>589</v>
      </c>
      <c r="CM17" s="390" t="s">
        <v>2001</v>
      </c>
      <c r="CN17" s="390" t="s">
        <v>2002</v>
      </c>
      <c r="CO17" s="390"/>
      <c r="CP17" s="390"/>
      <c r="CQ17" s="390"/>
      <c r="CR17" s="409" t="str">
        <f>IF((IF(ISNA(VLOOKUP($BB17,Instructions!$A$133:$J$138,10,FALSE)),0,VLOOKUP($BB17,Instructions!$A$133:$J$138,10,FALSE))+IF(ISNA(VLOOKUP($BD17,Instructions!$A$133:$J$138,10,FALSE)),0,VLOOKUP($BD17,Instructions!$A$133:$J$138,10,FALSE))+IF(ISNA(VLOOKUP($BF17,Instructions!$A$133:$J$138,10,FALSE)),0,VLOOKUP($BF17,Instructions!$A$133:$J$138,10,FALSE))+IF(ISNA(VLOOKUP($BH17,Instructions!$A$133:$J$138,10,FALSE)),0,VLOOKUP($BH17,Instructions!$A$133:$J$138,10,FALSE))+IF(ISNA(VLOOKUP($BJ17,Instructions!$A$133:$J$138,10,FALSE)),0,VLOOKUP($BJ17,Instructions!$A$133:$J$138,10,FALSE))+IF(ISNA(VLOOKUP($BL17,Instructions!$A$133:$J$138,10,FALSE)),0,VLOOKUP($BL17,Instructions!$A$133:$J$138,10,FALSE)))&lt;2,"Poor","Usable")</f>
        <v>Usable</v>
      </c>
      <c r="CS17" s="409">
        <f>IF(ISNA(VLOOKUP($D17,Selections!$A$7:$B$19,2,FALSE)),0.4,VLOOKUP($D17,Selections!$A$7:$B$19,2,FALSE))</f>
        <v>0.5</v>
      </c>
      <c r="CT17" s="409">
        <f t="shared" si="0"/>
        <v>24000</v>
      </c>
      <c r="CU17" s="409">
        <f>IF((OR(ISBLANK($P17),$P17&lt;=0)),IF(ISNA(VLOOKUP($O17,Selections!$A$21:$D$48,4,FALSE)),0.113,VLOOKUP($O17,Selections!$A$21:$D$48,4,FALSE)),$P17)</f>
        <v>0.219</v>
      </c>
      <c r="CV17" s="409">
        <f>IF(ISNA(VLOOKUP($S17,Selections!$A$57:$B$75,2,FALSE)),0.6,VLOOKUP($S17,Selections!$A$57:$B$75,2,FALSE))</f>
        <v>0.8</v>
      </c>
      <c r="CW17" s="410">
        <f>IF(OR($H17="",$H17="Valve",$H17="PCF",$H17="Regulator",$H17="Relief Valve",$H17="Appurtenance",$H17="Meter",$H17="Other",$H17="Pig Trap",$H17="Flange"),     IF(AND($BZ17&gt;0,$O17&gt;0),     IF($BZ17&gt;(      IF(IF(ISBLANK($V17),0,ISNA(VLOOKUP($V17,Selections!$A$153:$B$177,2,FALSE))),"n/a",IF(ISBLANK($V17),0,VLOOKUP($V17,Selections!$A$153:$B$177,2,FALSE)))),    "Chk Rating","OK Rating"),"n/a" ),IF(AND($BZ17&gt;0,$O17&gt;0),$BZ17/((2*$CT17*$CU17*$CV17)/$O17),1))</f>
        <v>0.30928938356164382</v>
      </c>
      <c r="CX17" s="569" t="str">
        <f t="shared" si="25"/>
        <v>Pipe</v>
      </c>
      <c r="CY17" s="570" t="str">
        <f t="shared" si="26"/>
        <v>No</v>
      </c>
      <c r="CZ17" s="844">
        <v>35000</v>
      </c>
      <c r="DA17" s="571">
        <v>35000</v>
      </c>
      <c r="DB17" s="845">
        <v>1</v>
      </c>
      <c r="DC17" s="572">
        <f t="shared" si="28"/>
        <v>0.219</v>
      </c>
      <c r="DD17" s="573"/>
      <c r="DE17" s="573" t="str">
        <f t="shared" si="29"/>
        <v>N/A</v>
      </c>
      <c r="DF17" s="573"/>
      <c r="DG17" s="570"/>
      <c r="DH17" s="574">
        <f t="shared" ca="1" si="30"/>
        <v>12.75</v>
      </c>
      <c r="DI17" s="574" t="str">
        <f t="shared" si="31"/>
        <v>N/A</v>
      </c>
      <c r="DJ17" s="570"/>
      <c r="DK17" s="850" t="s">
        <v>1828</v>
      </c>
      <c r="DL17" s="573" t="s">
        <v>1828</v>
      </c>
      <c r="DM17" s="576">
        <f t="shared" si="33"/>
        <v>1</v>
      </c>
      <c r="DN17" s="845">
        <v>1</v>
      </c>
      <c r="DO17" s="570" t="str">
        <f t="shared" si="34"/>
        <v>N/A</v>
      </c>
      <c r="DP17" s="570"/>
      <c r="DQ17" s="570"/>
      <c r="DR17" s="570" t="str">
        <f t="shared" ca="1" si="35"/>
        <v>N/A</v>
      </c>
      <c r="DS17" s="570">
        <f t="shared" si="36"/>
        <v>3</v>
      </c>
      <c r="DT17" s="577">
        <f t="shared" ca="1" si="37"/>
        <v>0.5</v>
      </c>
      <c r="DU17" s="570">
        <f t="shared" ca="1" si="38"/>
        <v>601</v>
      </c>
      <c r="DV17" s="570" t="str">
        <f t="shared" ca="1" si="39"/>
        <v>N/A</v>
      </c>
      <c r="DW17" s="570">
        <f t="shared" ca="1" si="40"/>
        <v>1</v>
      </c>
      <c r="DX17" s="569">
        <f t="shared" ca="1" si="41"/>
        <v>601</v>
      </c>
      <c r="DY17" s="570" t="str">
        <f t="shared" ca="1" si="12"/>
        <v>N/A</v>
      </c>
      <c r="DZ17" s="578">
        <f t="shared" si="42"/>
        <v>30025</v>
      </c>
      <c r="EA17" s="578" t="str">
        <f t="shared" si="43"/>
        <v>N/A</v>
      </c>
      <c r="EB17" s="570" t="str">
        <f t="shared" si="44"/>
        <v>N/A</v>
      </c>
      <c r="EC17" s="570" t="str">
        <f t="shared" si="45"/>
        <v>N/A</v>
      </c>
      <c r="ED17" s="579" t="str">
        <f t="shared" si="46"/>
        <v>N/A</v>
      </c>
      <c r="EE17" s="580" t="str">
        <f t="shared" si="47"/>
        <v>No</v>
      </c>
      <c r="EF17" s="577" t="str">
        <f t="shared" si="48"/>
        <v>N/A</v>
      </c>
      <c r="EG17" s="577" t="str">
        <f ca="1">IF(OR(EA17="N/A",DY17&lt;&gt;"N/A"),"N/A",IF(AND(DZ17&gt;=DATE(1961,7,1),EA17&gt;=DATE(1961,7,1),OR(DQ17="1 in Station",DQ17="2 in Station",DS17="1 in Station",DS17="2 in Station")),1.5,IF(AND(DK17="Electric Resistance Weld",YEAR(DZ17)&lt;1970,EA17&lt;DATE(1961,7,1),OR(DQ17=1,DQ17="1 in Station",DQ17="1 in Public Road Crossing",DQ17="1 in Hard Road Parallel",DQ17="1 on Bridge",DS17=1,DS17="1 in Station",DS17="1 in Public Road Crossing",DS17="1 in Hard Road Parallel",DS17="1 on Bridge")),1.25,INDEX('FVE Table'!$C$3:$F$5,EB17,IF(AND(ABS(DZ17-EA17)&lt;=365,DQ17&gt;0),LEFT(DQ17,1),LEFT(DS17,1))))))</f>
        <v>N/A</v>
      </c>
      <c r="EH17" s="570" t="str">
        <f t="shared" ca="1" si="49"/>
        <v>N/A</v>
      </c>
      <c r="EI17" s="570" t="str">
        <f t="shared" ca="1" si="50"/>
        <v>N/A</v>
      </c>
      <c r="EJ17" s="570" t="str">
        <f t="shared" ca="1" si="51"/>
        <v>N/A</v>
      </c>
      <c r="EK17" s="581">
        <f t="shared" si="52"/>
        <v>204</v>
      </c>
      <c r="EL17" s="570"/>
      <c r="EM17" s="582">
        <f t="shared" ca="1" si="53"/>
        <v>0.16966731898238749</v>
      </c>
      <c r="EN17" s="582" t="str">
        <f t="shared" ca="1" si="54"/>
        <v>N/A</v>
      </c>
      <c r="EO17" s="570">
        <f t="shared" ca="1" si="55"/>
        <v>204</v>
      </c>
      <c r="EP17" s="570" t="str">
        <f t="shared" ca="1" si="56"/>
        <v>R</v>
      </c>
      <c r="EQ17" s="582">
        <f t="shared" ca="1" si="57"/>
        <v>0.16966731898238749</v>
      </c>
      <c r="ER17" s="573">
        <f t="shared" si="22"/>
        <v>0</v>
      </c>
      <c r="ES17" s="762"/>
      <c r="ET17" s="762"/>
      <c r="EU17" s="585"/>
      <c r="EV17" s="848" t="s">
        <v>2078</v>
      </c>
      <c r="EW17" s="583"/>
      <c r="EX17" s="846" t="s">
        <v>2075</v>
      </c>
      <c r="EY17" s="847">
        <v>1</v>
      </c>
      <c r="EZ17" s="585"/>
      <c r="FA17" s="585"/>
      <c r="FB17" s="585"/>
      <c r="FC17" s="585"/>
    </row>
    <row r="18" spans="1:159" ht="15" customHeight="1" x14ac:dyDescent="0.2">
      <c r="A18" s="389">
        <f t="shared" si="23"/>
        <v>0</v>
      </c>
      <c r="B18" s="389">
        <f t="shared" si="24"/>
        <v>0</v>
      </c>
      <c r="C18" s="390" t="s">
        <v>2003</v>
      </c>
      <c r="D18" s="391">
        <v>3</v>
      </c>
      <c r="E18" s="391">
        <v>4261434</v>
      </c>
      <c r="F18" s="392">
        <v>30025</v>
      </c>
      <c r="G18" s="393">
        <v>16</v>
      </c>
      <c r="H18" s="394" t="s">
        <v>153</v>
      </c>
      <c r="I18" s="395" t="s">
        <v>67</v>
      </c>
      <c r="J18" s="396">
        <v>42</v>
      </c>
      <c r="K18" s="404" t="s">
        <v>2023</v>
      </c>
      <c r="O18" s="398">
        <v>12.75</v>
      </c>
      <c r="P18" s="398">
        <v>0.219</v>
      </c>
      <c r="Q18" s="398">
        <v>16</v>
      </c>
      <c r="R18" s="398">
        <v>0.312</v>
      </c>
      <c r="S18" s="395" t="s">
        <v>329</v>
      </c>
      <c r="T18" s="390" t="s">
        <v>158</v>
      </c>
      <c r="U18" s="399" t="s">
        <v>606</v>
      </c>
      <c r="Y18" s="390"/>
      <c r="Z18" s="390" t="s">
        <v>158</v>
      </c>
      <c r="AB18" s="401" t="s">
        <v>1095</v>
      </c>
      <c r="AC18" s="402" t="s">
        <v>1409</v>
      </c>
      <c r="AG18" s="391"/>
      <c r="AK18" s="390"/>
      <c r="AL18" s="390" t="s">
        <v>589</v>
      </c>
      <c r="AM18" s="390" t="s">
        <v>158</v>
      </c>
      <c r="AN18" s="390" t="s">
        <v>424</v>
      </c>
      <c r="AO18" s="390" t="s">
        <v>158</v>
      </c>
      <c r="AP18" s="390" t="s">
        <v>158</v>
      </c>
      <c r="AR18" s="392">
        <v>30025</v>
      </c>
      <c r="AS18" s="390" t="s">
        <v>158</v>
      </c>
      <c r="AU18" s="390" t="s">
        <v>158</v>
      </c>
      <c r="AV18" s="392"/>
      <c r="AW18" s="403" t="s">
        <v>590</v>
      </c>
      <c r="AX18" s="406" t="s">
        <v>590</v>
      </c>
      <c r="AY18" s="406" t="s">
        <v>590</v>
      </c>
      <c r="AZ18" s="406" t="s">
        <v>158</v>
      </c>
      <c r="BA18" s="390"/>
      <c r="BB18" s="395"/>
      <c r="BC18" s="390"/>
      <c r="BD18" s="395"/>
      <c r="BE18" s="852" t="s">
        <v>2016</v>
      </c>
      <c r="BF18" s="395" t="s">
        <v>40</v>
      </c>
      <c r="BG18" s="852" t="s">
        <v>2021</v>
      </c>
      <c r="BH18" s="395" t="s">
        <v>40</v>
      </c>
      <c r="BI18" s="852" t="s">
        <v>2024</v>
      </c>
      <c r="BJ18" s="395" t="s">
        <v>40</v>
      </c>
      <c r="BK18" s="390"/>
      <c r="BL18" s="395"/>
      <c r="BM18" s="404" t="s">
        <v>1992</v>
      </c>
      <c r="BN18" s="404" t="s">
        <v>1993</v>
      </c>
      <c r="BZ18" s="399">
        <v>204</v>
      </c>
      <c r="CA18" s="390" t="s">
        <v>1994</v>
      </c>
      <c r="CB18" s="390" t="s">
        <v>1995</v>
      </c>
      <c r="CC18" s="390" t="s">
        <v>1996</v>
      </c>
      <c r="CD18" s="390"/>
      <c r="CE18" s="390" t="s">
        <v>1997</v>
      </c>
      <c r="CF18" s="390" t="s">
        <v>40</v>
      </c>
      <c r="CG18" s="390"/>
      <c r="CH18" s="390" t="s">
        <v>158</v>
      </c>
      <c r="CI18" s="403" t="s">
        <v>1998</v>
      </c>
      <c r="CJ18" s="403" t="s">
        <v>1999</v>
      </c>
      <c r="CK18" s="403" t="s">
        <v>2000</v>
      </c>
      <c r="CL18" s="403" t="s">
        <v>589</v>
      </c>
      <c r="CM18" s="390" t="s">
        <v>2001</v>
      </c>
      <c r="CN18" s="390" t="s">
        <v>2002</v>
      </c>
      <c r="CO18" s="390"/>
      <c r="CP18" s="390"/>
      <c r="CQ18" s="390"/>
      <c r="CR18" s="409" t="str">
        <f>IF((IF(ISNA(VLOOKUP($BB18,Instructions!$A$133:$J$138,10,FALSE)),0,VLOOKUP($BB18,Instructions!$A$133:$J$138,10,FALSE))+IF(ISNA(VLOOKUP($BD18,Instructions!$A$133:$J$138,10,FALSE)),0,VLOOKUP($BD18,Instructions!$A$133:$J$138,10,FALSE))+IF(ISNA(VLOOKUP($BF18,Instructions!$A$133:$J$138,10,FALSE)),0,VLOOKUP($BF18,Instructions!$A$133:$J$138,10,FALSE))+IF(ISNA(VLOOKUP($BH18,Instructions!$A$133:$J$138,10,FALSE)),0,VLOOKUP($BH18,Instructions!$A$133:$J$138,10,FALSE))+IF(ISNA(VLOOKUP($BJ18,Instructions!$A$133:$J$138,10,FALSE)),0,VLOOKUP($BJ18,Instructions!$A$133:$J$138,10,FALSE))+IF(ISNA(VLOOKUP($BL18,Instructions!$A$133:$J$138,10,FALSE)),0,VLOOKUP($BL18,Instructions!$A$133:$J$138,10,FALSE)))&lt;2,"Poor","Usable")</f>
        <v>Usable</v>
      </c>
      <c r="CS18" s="409">
        <f>IF(ISNA(VLOOKUP($D18,Selections!$A$7:$B$19,2,FALSE)),0.4,VLOOKUP($D18,Selections!$A$7:$B$19,2,FALSE))</f>
        <v>0.5</v>
      </c>
      <c r="CT18" s="409">
        <f t="shared" si="0"/>
        <v>24000</v>
      </c>
      <c r="CU18" s="409">
        <f>IF((OR(ISBLANK($P18),$P18&lt;=0)),IF(ISNA(VLOOKUP($O18,Selections!$A$21:$D$48,4,FALSE)),0.113,VLOOKUP($O18,Selections!$A$21:$D$48,4,FALSE)),$P18)</f>
        <v>0.219</v>
      </c>
      <c r="CV18" s="409">
        <f>IF(ISNA(VLOOKUP($S18,Selections!$A$57:$B$75,2,FALSE)),0.6,VLOOKUP($S18,Selections!$A$57:$B$75,2,FALSE))</f>
        <v>0.8</v>
      </c>
      <c r="CW18" s="410">
        <f>IF(OR($H18="",$H18="Valve",$H18="PCF",$H18="Regulator",$H18="Relief Valve",$H18="Appurtenance",$H18="Meter",$H18="Other",$H18="Pig Trap",$H18="Flange"),     IF(AND($BZ18&gt;0,$O18&gt;0),     IF($BZ18&gt;(      IF(IF(ISBLANK($V18),0,ISNA(VLOOKUP($V18,Selections!$A$153:$B$177,2,FALSE))),"n/a",IF(ISBLANK($V18),0,VLOOKUP($V18,Selections!$A$153:$B$177,2,FALSE)))),    "Chk Rating","OK Rating"),"n/a" ),IF(AND($BZ18&gt;0,$O18&gt;0),$BZ18/((2*$CT18*$CU18*$CV18)/$O18),1))</f>
        <v>0.30928938356164382</v>
      </c>
      <c r="CX18" s="569" t="str">
        <f t="shared" si="25"/>
        <v>Pipe</v>
      </c>
      <c r="CY18" s="570" t="str">
        <f t="shared" si="26"/>
        <v>No</v>
      </c>
      <c r="CZ18" s="844">
        <v>35000</v>
      </c>
      <c r="DA18" s="571">
        <v>35000</v>
      </c>
      <c r="DB18" s="845">
        <v>1</v>
      </c>
      <c r="DC18" s="572">
        <f t="shared" si="28"/>
        <v>0.219</v>
      </c>
      <c r="DD18" s="573"/>
      <c r="DE18" s="573" t="str">
        <f t="shared" si="29"/>
        <v>N/A</v>
      </c>
      <c r="DF18" s="573"/>
      <c r="DG18" s="570"/>
      <c r="DH18" s="574">
        <f t="shared" ca="1" si="30"/>
        <v>12.75</v>
      </c>
      <c r="DI18" s="574" t="str">
        <f t="shared" si="31"/>
        <v>N/A</v>
      </c>
      <c r="DJ18" s="570"/>
      <c r="DK18" s="850" t="s">
        <v>1828</v>
      </c>
      <c r="DL18" s="573" t="s">
        <v>1828</v>
      </c>
      <c r="DM18" s="576">
        <f t="shared" si="33"/>
        <v>1</v>
      </c>
      <c r="DN18" s="845">
        <v>1</v>
      </c>
      <c r="DO18" s="570" t="str">
        <f t="shared" si="34"/>
        <v>N/A</v>
      </c>
      <c r="DP18" s="570"/>
      <c r="DQ18" s="570"/>
      <c r="DR18" s="570" t="str">
        <f t="shared" ca="1" si="35"/>
        <v>N/A</v>
      </c>
      <c r="DS18" s="570">
        <f t="shared" si="36"/>
        <v>3</v>
      </c>
      <c r="DT18" s="577">
        <f t="shared" ca="1" si="37"/>
        <v>0.5</v>
      </c>
      <c r="DU18" s="570">
        <f t="shared" ca="1" si="38"/>
        <v>601</v>
      </c>
      <c r="DV18" s="570" t="str">
        <f t="shared" ca="1" si="39"/>
        <v>N/A</v>
      </c>
      <c r="DW18" s="570">
        <f t="shared" ca="1" si="40"/>
        <v>1</v>
      </c>
      <c r="DX18" s="569">
        <f t="shared" ca="1" si="41"/>
        <v>601</v>
      </c>
      <c r="DY18" s="570" t="str">
        <f t="shared" ca="1" si="12"/>
        <v>N/A</v>
      </c>
      <c r="DZ18" s="578">
        <f t="shared" si="42"/>
        <v>30025</v>
      </c>
      <c r="EA18" s="578" t="str">
        <f t="shared" si="43"/>
        <v>N/A</v>
      </c>
      <c r="EB18" s="570" t="str">
        <f t="shared" si="44"/>
        <v>N/A</v>
      </c>
      <c r="EC18" s="570" t="str">
        <f t="shared" si="45"/>
        <v>N/A</v>
      </c>
      <c r="ED18" s="579" t="str">
        <f t="shared" si="46"/>
        <v>N/A</v>
      </c>
      <c r="EE18" s="580" t="str">
        <f t="shared" si="47"/>
        <v>No</v>
      </c>
      <c r="EF18" s="577" t="str">
        <f t="shared" si="48"/>
        <v>N/A</v>
      </c>
      <c r="EG18" s="577" t="str">
        <f ca="1">IF(OR(EA18="N/A",DY18&lt;&gt;"N/A"),"N/A",IF(AND(DZ18&gt;=DATE(1961,7,1),EA18&gt;=DATE(1961,7,1),OR(DQ18="1 in Station",DQ18="2 in Station",DS18="1 in Station",DS18="2 in Station")),1.5,IF(AND(DK18="Electric Resistance Weld",YEAR(DZ18)&lt;1970,EA18&lt;DATE(1961,7,1),OR(DQ18=1,DQ18="1 in Station",DQ18="1 in Public Road Crossing",DQ18="1 in Hard Road Parallel",DQ18="1 on Bridge",DS18=1,DS18="1 in Station",DS18="1 in Public Road Crossing",DS18="1 in Hard Road Parallel",DS18="1 on Bridge")),1.25,INDEX('FVE Table'!$C$3:$F$5,EB18,IF(AND(ABS(DZ18-EA18)&lt;=365,DQ18&gt;0),LEFT(DQ18,1),LEFT(DS18,1))))))</f>
        <v>N/A</v>
      </c>
      <c r="EH18" s="570" t="str">
        <f t="shared" ca="1" si="49"/>
        <v>N/A</v>
      </c>
      <c r="EI18" s="570" t="str">
        <f t="shared" ca="1" si="50"/>
        <v>N/A</v>
      </c>
      <c r="EJ18" s="570" t="str">
        <f t="shared" ca="1" si="51"/>
        <v>N/A</v>
      </c>
      <c r="EK18" s="581">
        <f t="shared" si="52"/>
        <v>204</v>
      </c>
      <c r="EL18" s="570"/>
      <c r="EM18" s="582">
        <f t="shared" ca="1" si="53"/>
        <v>0.16966731898238749</v>
      </c>
      <c r="EN18" s="582" t="str">
        <f t="shared" ca="1" si="54"/>
        <v>N/A</v>
      </c>
      <c r="EO18" s="570">
        <f t="shared" ca="1" si="55"/>
        <v>204</v>
      </c>
      <c r="EP18" s="570" t="str">
        <f t="shared" ca="1" si="56"/>
        <v>R</v>
      </c>
      <c r="EQ18" s="582">
        <f t="shared" ca="1" si="57"/>
        <v>0.16966731898238749</v>
      </c>
      <c r="ER18" s="573">
        <f t="shared" si="22"/>
        <v>0</v>
      </c>
      <c r="ES18" s="762"/>
      <c r="ET18" s="762"/>
      <c r="EU18" s="585"/>
      <c r="EV18" s="848" t="s">
        <v>2078</v>
      </c>
      <c r="EW18" s="583"/>
      <c r="EX18" s="846" t="s">
        <v>2075</v>
      </c>
      <c r="EY18" s="847">
        <v>1</v>
      </c>
      <c r="EZ18" s="585"/>
      <c r="FA18" s="585"/>
      <c r="FB18" s="585"/>
      <c r="FC18" s="585"/>
    </row>
    <row r="19" spans="1:159" ht="15" customHeight="1" x14ac:dyDescent="0.2">
      <c r="A19" s="389">
        <f t="shared" si="23"/>
        <v>0</v>
      </c>
      <c r="B19" s="389">
        <f t="shared" si="24"/>
        <v>0</v>
      </c>
      <c r="C19" s="390" t="s">
        <v>2003</v>
      </c>
      <c r="D19" s="391">
        <v>3</v>
      </c>
      <c r="E19" s="391">
        <v>4678504</v>
      </c>
      <c r="F19" s="392">
        <v>32212</v>
      </c>
      <c r="G19" s="393">
        <v>17</v>
      </c>
      <c r="H19" s="394" t="s">
        <v>153</v>
      </c>
      <c r="I19" s="395" t="s">
        <v>67</v>
      </c>
      <c r="J19" s="396">
        <v>21</v>
      </c>
      <c r="K19" s="404" t="s">
        <v>2025</v>
      </c>
      <c r="O19" s="398">
        <v>12.75</v>
      </c>
      <c r="P19" s="398">
        <v>0.28100000000000003</v>
      </c>
      <c r="Q19" s="398">
        <v>16</v>
      </c>
      <c r="R19" s="398">
        <v>0.312</v>
      </c>
      <c r="S19" s="395" t="s">
        <v>730</v>
      </c>
      <c r="T19" s="390" t="s">
        <v>195</v>
      </c>
      <c r="U19" s="399">
        <v>42000</v>
      </c>
      <c r="Y19" s="390"/>
      <c r="Z19" s="390" t="s">
        <v>158</v>
      </c>
      <c r="AB19" s="401" t="s">
        <v>1095</v>
      </c>
      <c r="AC19" s="402" t="s">
        <v>1409</v>
      </c>
      <c r="AG19" s="391"/>
      <c r="AK19" s="390"/>
      <c r="AL19" s="390" t="s">
        <v>589</v>
      </c>
      <c r="AM19" s="390" t="s">
        <v>158</v>
      </c>
      <c r="AN19" s="390" t="s">
        <v>424</v>
      </c>
      <c r="AO19" s="390" t="s">
        <v>158</v>
      </c>
      <c r="AP19" s="390" t="s">
        <v>158</v>
      </c>
      <c r="AR19" s="392">
        <v>32212</v>
      </c>
      <c r="AS19" s="390" t="s">
        <v>158</v>
      </c>
      <c r="AU19" s="390" t="s">
        <v>158</v>
      </c>
      <c r="AV19" s="392"/>
      <c r="AW19" s="403" t="s">
        <v>590</v>
      </c>
      <c r="AX19" s="406" t="s">
        <v>590</v>
      </c>
      <c r="AY19" s="406" t="s">
        <v>590</v>
      </c>
      <c r="AZ19" s="406" t="s">
        <v>158</v>
      </c>
      <c r="BA19" s="390"/>
      <c r="BB19" s="395"/>
      <c r="BC19" s="390"/>
      <c r="BD19" s="395"/>
      <c r="BE19" s="852" t="s">
        <v>2016</v>
      </c>
      <c r="BF19" s="395" t="s">
        <v>40</v>
      </c>
      <c r="BG19" s="390"/>
      <c r="BH19" s="395"/>
      <c r="BI19" s="852" t="s">
        <v>2024</v>
      </c>
      <c r="BJ19" s="407" t="s">
        <v>40</v>
      </c>
      <c r="BL19" s="395"/>
      <c r="BM19" s="404" t="s">
        <v>1992</v>
      </c>
      <c r="BN19" s="404" t="s">
        <v>1993</v>
      </c>
      <c r="BZ19" s="399">
        <v>204</v>
      </c>
      <c r="CA19" s="852" t="s">
        <v>2026</v>
      </c>
      <c r="CB19" s="852" t="s">
        <v>2027</v>
      </c>
      <c r="CC19" s="852" t="s">
        <v>2028</v>
      </c>
      <c r="CD19" s="390" t="s">
        <v>2029</v>
      </c>
      <c r="CE19" s="852" t="s">
        <v>2030</v>
      </c>
      <c r="CF19" s="390" t="s">
        <v>40</v>
      </c>
      <c r="CG19" s="390"/>
      <c r="CH19" s="390" t="s">
        <v>1112</v>
      </c>
      <c r="CI19" s="403" t="s">
        <v>1998</v>
      </c>
      <c r="CJ19" s="403" t="s">
        <v>1999</v>
      </c>
      <c r="CK19" s="403" t="s">
        <v>2000</v>
      </c>
      <c r="CL19" s="403" t="s">
        <v>589</v>
      </c>
      <c r="CM19" s="852" t="s">
        <v>2017</v>
      </c>
      <c r="CN19" s="390" t="s">
        <v>2031</v>
      </c>
      <c r="CO19" s="390"/>
      <c r="CP19" s="390"/>
      <c r="CQ19" s="390"/>
      <c r="CR19" s="409" t="str">
        <f>IF((IF(ISNA(VLOOKUP($BB19,Instructions!$A$133:$J$138,10,FALSE)),0,VLOOKUP($BB19,Instructions!$A$133:$J$138,10,FALSE))+IF(ISNA(VLOOKUP($BD19,Instructions!$A$133:$J$138,10,FALSE)),0,VLOOKUP($BD19,Instructions!$A$133:$J$138,10,FALSE))+IF(ISNA(VLOOKUP($BF19,Instructions!$A$133:$J$138,10,FALSE)),0,VLOOKUP($BF19,Instructions!$A$133:$J$138,10,FALSE))+IF(ISNA(VLOOKUP($BH19,Instructions!$A$133:$J$138,10,FALSE)),0,VLOOKUP($BH19,Instructions!$A$133:$J$138,10,FALSE))+IF(ISNA(VLOOKUP($BJ19,Instructions!$A$133:$J$138,10,FALSE)),0,VLOOKUP($BJ19,Instructions!$A$133:$J$138,10,FALSE))+IF(ISNA(VLOOKUP($BL19,Instructions!$A$133:$J$138,10,FALSE)),0,VLOOKUP($BL19,Instructions!$A$133:$J$138,10,FALSE)))&lt;2,"Poor","Usable")</f>
        <v>Usable</v>
      </c>
      <c r="CS19" s="409">
        <f>IF(ISNA(VLOOKUP($D19,Selections!$A$7:$B$19,2,FALSE)),0.4,VLOOKUP($D19,Selections!$A$7:$B$19,2,FALSE))</f>
        <v>0.5</v>
      </c>
      <c r="CT19" s="409">
        <f t="shared" si="0"/>
        <v>42000</v>
      </c>
      <c r="CU19" s="409">
        <f>IF((OR(ISBLANK($P19),$P19&lt;=0)),IF(ISNA(VLOOKUP($O19,Selections!$A$21:$D$48,4,FALSE)),0.113,VLOOKUP($O19,Selections!$A$21:$D$48,4,FALSE)),$P19)</f>
        <v>0.28100000000000003</v>
      </c>
      <c r="CV19" s="409">
        <f>IF(ISNA(VLOOKUP($S19,Selections!$A$57:$B$75,2,FALSE)),0.6,VLOOKUP($S19,Selections!$A$57:$B$75,2,FALSE))</f>
        <v>1</v>
      </c>
      <c r="CW19" s="410">
        <f>IF(OR($H19="",$H19="Valve",$H19="PCF",$H19="Regulator",$H19="Relief Valve",$H19="Appurtenance",$H19="Meter",$H19="Other",$H19="Pig Trap",$H19="Flange"),     IF(AND($BZ19&gt;0,$O19&gt;0),     IF($BZ19&gt;(      IF(IF(ISBLANK($V19),0,ISNA(VLOOKUP($V19,Selections!$A$153:$B$177,2,FALSE))),"n/a",IF(ISBLANK($V19),0,VLOOKUP($V19,Selections!$A$153:$B$177,2,FALSE)))),    "Chk Rating","OK Rating"),"n/a" ),IF(AND($BZ19&gt;0,$O19&gt;0),$BZ19/((2*$CT19*$CU19*$CV19)/$O19),1))</f>
        <v>0.11019318759532282</v>
      </c>
      <c r="CX19" s="569" t="str">
        <f t="shared" si="25"/>
        <v>Pipe</v>
      </c>
      <c r="CY19" s="570" t="str">
        <f t="shared" si="26"/>
        <v>No</v>
      </c>
      <c r="CZ19" s="571">
        <f t="shared" si="27"/>
        <v>42000</v>
      </c>
      <c r="DA19" s="571"/>
      <c r="DB19" s="570"/>
      <c r="DC19" s="572">
        <f t="shared" si="28"/>
        <v>0.28100000000000003</v>
      </c>
      <c r="DD19" s="573"/>
      <c r="DE19" s="573" t="str">
        <f t="shared" si="29"/>
        <v>N/A</v>
      </c>
      <c r="DF19" s="573"/>
      <c r="DG19" s="570"/>
      <c r="DH19" s="574">
        <f t="shared" ca="1" si="30"/>
        <v>12.75</v>
      </c>
      <c r="DI19" s="574" t="str">
        <f t="shared" si="31"/>
        <v>N/A</v>
      </c>
      <c r="DJ19" s="570"/>
      <c r="DK19" s="575" t="str">
        <f t="shared" si="32"/>
        <v>Electric Resistance Weld</v>
      </c>
      <c r="DL19" s="573"/>
      <c r="DM19" s="576">
        <f t="shared" si="33"/>
        <v>1</v>
      </c>
      <c r="DN19" s="570"/>
      <c r="DO19" s="570" t="str">
        <f t="shared" si="34"/>
        <v>N/A</v>
      </c>
      <c r="DP19" s="570"/>
      <c r="DQ19" s="570"/>
      <c r="DR19" s="570" t="str">
        <f t="shared" ca="1" si="35"/>
        <v>N/A</v>
      </c>
      <c r="DS19" s="570">
        <f t="shared" si="36"/>
        <v>3</v>
      </c>
      <c r="DT19" s="577">
        <f t="shared" ca="1" si="37"/>
        <v>0.5</v>
      </c>
      <c r="DU19" s="570">
        <f t="shared" ca="1" si="38"/>
        <v>925</v>
      </c>
      <c r="DV19" s="570" t="str">
        <f t="shared" ca="1" si="39"/>
        <v>N/A</v>
      </c>
      <c r="DW19" s="570">
        <f t="shared" ca="1" si="40"/>
        <v>1</v>
      </c>
      <c r="DX19" s="569">
        <f t="shared" ca="1" si="41"/>
        <v>925</v>
      </c>
      <c r="DY19" s="570" t="str">
        <f t="shared" ca="1" si="12"/>
        <v>N/A</v>
      </c>
      <c r="DZ19" s="578">
        <f t="shared" si="42"/>
        <v>32212</v>
      </c>
      <c r="EA19" s="578" t="str">
        <f t="shared" si="43"/>
        <v>N/A</v>
      </c>
      <c r="EB19" s="570" t="str">
        <f t="shared" si="44"/>
        <v>N/A</v>
      </c>
      <c r="EC19" s="570" t="str">
        <f t="shared" si="45"/>
        <v>N/A</v>
      </c>
      <c r="ED19" s="579" t="str">
        <f t="shared" si="46"/>
        <v>N/A</v>
      </c>
      <c r="EE19" s="580" t="str">
        <f t="shared" si="47"/>
        <v>No</v>
      </c>
      <c r="EF19" s="577" t="str">
        <f t="shared" si="48"/>
        <v>N/A</v>
      </c>
      <c r="EG19" s="577" t="str">
        <f ca="1">IF(OR(EA19="N/A",DY19&lt;&gt;"N/A"),"N/A",IF(AND(DZ19&gt;=DATE(1961,7,1),EA19&gt;=DATE(1961,7,1),OR(DQ19="1 in Station",DQ19="2 in Station",DS19="1 in Station",DS19="2 in Station")),1.5,IF(AND(DK19="Electric Resistance Weld",YEAR(DZ19)&lt;1970,EA19&lt;DATE(1961,7,1),OR(DQ19=1,DQ19="1 in Station",DQ19="1 in Public Road Crossing",DQ19="1 in Hard Road Parallel",DQ19="1 on Bridge",DS19=1,DS19="1 in Station",DS19="1 in Public Road Crossing",DS19="1 in Hard Road Parallel",DS19="1 on Bridge")),1.25,INDEX('FVE Table'!$C$3:$F$5,EB19,IF(AND(ABS(DZ19-EA19)&lt;=365,DQ19&gt;0),LEFT(DQ19,1),LEFT(DS19,1))))))</f>
        <v>N/A</v>
      </c>
      <c r="EH19" s="570" t="str">
        <f t="shared" ca="1" si="49"/>
        <v>N/A</v>
      </c>
      <c r="EI19" s="570" t="str">
        <f t="shared" ca="1" si="50"/>
        <v>N/A</v>
      </c>
      <c r="EJ19" s="570" t="str">
        <f t="shared" ca="1" si="51"/>
        <v>N/A</v>
      </c>
      <c r="EK19" s="581">
        <f t="shared" si="52"/>
        <v>204</v>
      </c>
      <c r="EL19" s="570"/>
      <c r="EM19" s="582">
        <f t="shared" ca="1" si="53"/>
        <v>0.1101931875953228</v>
      </c>
      <c r="EN19" s="582" t="str">
        <f t="shared" ca="1" si="54"/>
        <v>N/A</v>
      </c>
      <c r="EO19" s="570">
        <f t="shared" ca="1" si="55"/>
        <v>204</v>
      </c>
      <c r="EP19" s="570" t="str">
        <f t="shared" ca="1" si="56"/>
        <v>R</v>
      </c>
      <c r="EQ19" s="582">
        <f t="shared" ca="1" si="57"/>
        <v>0.1101931875953228</v>
      </c>
      <c r="ER19" s="573">
        <f t="shared" si="22"/>
        <v>0</v>
      </c>
      <c r="ES19" s="762"/>
      <c r="ET19" s="762"/>
      <c r="EU19" s="585"/>
      <c r="EV19" s="583"/>
      <c r="EW19" s="583"/>
      <c r="EX19" s="584"/>
      <c r="EY19" s="759"/>
      <c r="EZ19" s="585"/>
      <c r="FA19" s="585"/>
      <c r="FB19" s="585"/>
      <c r="FC19" s="585"/>
    </row>
    <row r="20" spans="1:159" ht="15" customHeight="1" thickBot="1" x14ac:dyDescent="0.25">
      <c r="A20" s="389">
        <f t="shared" si="23"/>
        <v>0</v>
      </c>
      <c r="B20" s="389">
        <f t="shared" si="24"/>
        <v>0</v>
      </c>
      <c r="C20" s="390" t="s">
        <v>2003</v>
      </c>
      <c r="D20" s="391">
        <v>3</v>
      </c>
      <c r="E20" s="391">
        <v>4678504</v>
      </c>
      <c r="F20" s="392">
        <v>32212</v>
      </c>
      <c r="G20" s="393">
        <v>18</v>
      </c>
      <c r="H20" s="394" t="s">
        <v>153</v>
      </c>
      <c r="I20" s="395" t="s">
        <v>68</v>
      </c>
      <c r="J20" s="396">
        <v>7.3</v>
      </c>
      <c r="O20" s="398">
        <v>12.75</v>
      </c>
      <c r="P20" s="802">
        <v>0.28100000000000003</v>
      </c>
      <c r="S20" s="395" t="s">
        <v>730</v>
      </c>
      <c r="T20" s="390" t="s">
        <v>195</v>
      </c>
      <c r="U20" s="399">
        <v>42000</v>
      </c>
      <c r="Y20" s="390"/>
      <c r="Z20" s="390" t="s">
        <v>158</v>
      </c>
      <c r="AB20" s="401" t="s">
        <v>1095</v>
      </c>
      <c r="AC20" s="402" t="s">
        <v>1409</v>
      </c>
      <c r="AG20" s="391"/>
      <c r="AK20" s="390"/>
      <c r="AL20" s="390"/>
      <c r="AM20" s="390"/>
      <c r="AN20" s="390"/>
      <c r="AO20" s="390"/>
      <c r="AP20" s="390" t="s">
        <v>158</v>
      </c>
      <c r="AR20" s="392">
        <v>32212</v>
      </c>
      <c r="AS20" s="390" t="s">
        <v>158</v>
      </c>
      <c r="AU20" s="390" t="s">
        <v>158</v>
      </c>
      <c r="AV20" s="392"/>
      <c r="AW20" s="403" t="s">
        <v>590</v>
      </c>
      <c r="AX20" s="406" t="s">
        <v>590</v>
      </c>
      <c r="AY20" s="406" t="s">
        <v>590</v>
      </c>
      <c r="AZ20" s="406" t="s">
        <v>158</v>
      </c>
      <c r="BA20" s="390"/>
      <c r="BB20" s="395"/>
      <c r="BC20" s="390"/>
      <c r="BD20" s="395"/>
      <c r="BE20" s="852" t="s">
        <v>2016</v>
      </c>
      <c r="BF20" s="395" t="s">
        <v>40</v>
      </c>
      <c r="BG20" s="390"/>
      <c r="BH20" s="395"/>
      <c r="BI20" s="390"/>
      <c r="BJ20" s="395"/>
      <c r="BK20" s="390"/>
      <c r="BM20" s="404" t="s">
        <v>1992</v>
      </c>
      <c r="BN20" s="404" t="s">
        <v>1993</v>
      </c>
      <c r="BO20" s="403" t="s">
        <v>637</v>
      </c>
      <c r="BP20" s="403">
        <v>4678504</v>
      </c>
      <c r="BQ20" s="403" t="s">
        <v>642</v>
      </c>
      <c r="BR20" s="408">
        <v>1690</v>
      </c>
      <c r="BS20" s="396">
        <v>8.25</v>
      </c>
      <c r="BT20" s="807"/>
      <c r="BU20" s="392">
        <v>32212</v>
      </c>
      <c r="BV20" s="403" t="s">
        <v>2032</v>
      </c>
      <c r="BW20" s="403" t="s">
        <v>2086</v>
      </c>
      <c r="BZ20" s="399">
        <v>204</v>
      </c>
      <c r="CA20" s="852" t="s">
        <v>2026</v>
      </c>
      <c r="CB20" s="852" t="s">
        <v>2027</v>
      </c>
      <c r="CC20" s="852" t="s">
        <v>2028</v>
      </c>
      <c r="CD20" s="390" t="s">
        <v>2029</v>
      </c>
      <c r="CE20" s="852" t="s">
        <v>2030</v>
      </c>
      <c r="CF20" s="390" t="s">
        <v>40</v>
      </c>
      <c r="CG20" s="390"/>
      <c r="CH20" s="390" t="s">
        <v>1112</v>
      </c>
      <c r="CI20" s="403" t="s">
        <v>1998</v>
      </c>
      <c r="CJ20" s="403" t="s">
        <v>1999</v>
      </c>
      <c r="CK20" s="403" t="s">
        <v>2000</v>
      </c>
      <c r="CL20" s="403" t="s">
        <v>589</v>
      </c>
      <c r="CM20" s="852" t="s">
        <v>2017</v>
      </c>
      <c r="CN20" s="390" t="s">
        <v>2031</v>
      </c>
      <c r="CO20" s="390"/>
      <c r="CP20" s="390"/>
      <c r="CQ20" s="390"/>
      <c r="CR20" s="409" t="str">
        <f>IF((IF(ISNA(VLOOKUP($BB20,Instructions!$A$133:$J$138,10,FALSE)),0,VLOOKUP($BB20,Instructions!$A$133:$J$138,10,FALSE))+IF(ISNA(VLOOKUP($BD20,Instructions!$A$133:$J$138,10,FALSE)),0,VLOOKUP($BD20,Instructions!$A$133:$J$138,10,FALSE))+IF(ISNA(VLOOKUP($BF20,Instructions!$A$133:$J$138,10,FALSE)),0,VLOOKUP($BF20,Instructions!$A$133:$J$138,10,FALSE))+IF(ISNA(VLOOKUP($BH20,Instructions!$A$133:$J$138,10,FALSE)),0,VLOOKUP($BH20,Instructions!$A$133:$J$138,10,FALSE))+IF(ISNA(VLOOKUP($BJ20,Instructions!$A$133:$J$138,10,FALSE)),0,VLOOKUP($BJ20,Instructions!$A$133:$J$138,10,FALSE))+IF(ISNA(VLOOKUP($BL20,Instructions!$A$133:$J$138,10,FALSE)),0,VLOOKUP($BL20,Instructions!$A$133:$J$138,10,FALSE)))&lt;2,"Poor","Usable")</f>
        <v>Usable</v>
      </c>
      <c r="CS20" s="409">
        <f>IF(ISNA(VLOOKUP($D20,Selections!$A$7:$B$19,2,FALSE)),0.4,VLOOKUP($D20,Selections!$A$7:$B$19,2,FALSE))</f>
        <v>0.5</v>
      </c>
      <c r="CT20" s="409">
        <f t="shared" si="0"/>
        <v>42000</v>
      </c>
      <c r="CU20" s="409">
        <f>IF((OR(ISBLANK($P20),$P20&lt;=0)),IF(ISNA(VLOOKUP($O20,Selections!$A$21:$D$48,4,FALSE)),0.113,VLOOKUP($O20,Selections!$A$21:$D$48,4,FALSE)),$P20)</f>
        <v>0.28100000000000003</v>
      </c>
      <c r="CV20" s="409">
        <f>IF(ISNA(VLOOKUP($S20,Selections!$A$57:$B$75,2,FALSE)),0.6,VLOOKUP($S20,Selections!$A$57:$B$75,2,FALSE))</f>
        <v>1</v>
      </c>
      <c r="CW20" s="410">
        <f>IF(OR($H20="",$H20="Valve",$H20="PCF",$H20="Regulator",$H20="Relief Valve",$H20="Appurtenance",$H20="Meter",$H20="Other",$H20="Pig Trap",$H20="Flange"),     IF(AND($BZ20&gt;0,$O20&gt;0),     IF($BZ20&gt;(      IF(IF(ISBLANK($V20),0,ISNA(VLOOKUP($V20,Selections!$A$153:$B$177,2,FALSE))),"n/a",IF(ISBLANK($V20),0,VLOOKUP($V20,Selections!$A$153:$B$177,2,FALSE)))),    "Chk Rating","OK Rating"),"n/a" ),IF(AND($BZ20&gt;0,$O20&gt;0),$BZ20/((2*$CT20*$CU20*$CV20)/$O20),1))</f>
        <v>0.11019318759532282</v>
      </c>
      <c r="CX20" s="569" t="str">
        <f t="shared" si="25"/>
        <v>Pipe</v>
      </c>
      <c r="CY20" s="570" t="str">
        <f t="shared" si="26"/>
        <v>No</v>
      </c>
      <c r="CZ20" s="571">
        <f t="shared" si="27"/>
        <v>42000</v>
      </c>
      <c r="DA20" s="571"/>
      <c r="DB20" s="570"/>
      <c r="DC20" s="572">
        <f t="shared" si="28"/>
        <v>0.28100000000000003</v>
      </c>
      <c r="DD20" s="573"/>
      <c r="DE20" s="573" t="str">
        <f t="shared" si="29"/>
        <v>N/A</v>
      </c>
      <c r="DF20" s="573"/>
      <c r="DG20" s="570"/>
      <c r="DH20" s="574">
        <f t="shared" ca="1" si="30"/>
        <v>12.75</v>
      </c>
      <c r="DI20" s="574" t="str">
        <f t="shared" si="31"/>
        <v>N/A</v>
      </c>
      <c r="DJ20" s="570"/>
      <c r="DK20" s="575" t="str">
        <f t="shared" si="32"/>
        <v>Electric Resistance Weld</v>
      </c>
      <c r="DL20" s="573"/>
      <c r="DM20" s="576">
        <f t="shared" si="33"/>
        <v>1</v>
      </c>
      <c r="DN20" s="570"/>
      <c r="DO20" s="570" t="str">
        <f t="shared" si="34"/>
        <v>N/A</v>
      </c>
      <c r="DP20" s="570"/>
      <c r="DQ20" s="570"/>
      <c r="DR20" s="570" t="str">
        <f t="shared" ca="1" si="35"/>
        <v>N/A</v>
      </c>
      <c r="DS20" s="570">
        <f t="shared" si="36"/>
        <v>3</v>
      </c>
      <c r="DT20" s="577">
        <f t="shared" ca="1" si="37"/>
        <v>0.5</v>
      </c>
      <c r="DU20" s="570">
        <f t="shared" ca="1" si="38"/>
        <v>925</v>
      </c>
      <c r="DV20" s="570" t="str">
        <f t="shared" ca="1" si="39"/>
        <v>N/A</v>
      </c>
      <c r="DW20" s="570">
        <f t="shared" ca="1" si="40"/>
        <v>1</v>
      </c>
      <c r="DX20" s="569">
        <f t="shared" ca="1" si="41"/>
        <v>925</v>
      </c>
      <c r="DY20" s="570" t="str">
        <f t="shared" ca="1" si="12"/>
        <v>N/A</v>
      </c>
      <c r="DZ20" s="578">
        <f t="shared" si="42"/>
        <v>32212</v>
      </c>
      <c r="EA20" s="578">
        <f t="shared" si="43"/>
        <v>32212</v>
      </c>
      <c r="EB20" s="570">
        <f t="shared" si="44"/>
        <v>3</v>
      </c>
      <c r="EC20" s="570">
        <f t="shared" si="45"/>
        <v>1690</v>
      </c>
      <c r="ED20" s="579">
        <f t="shared" si="46"/>
        <v>8.25</v>
      </c>
      <c r="EE20" s="580" t="str">
        <f t="shared" si="47"/>
        <v>No</v>
      </c>
      <c r="EF20" s="577" t="str">
        <f t="shared" si="48"/>
        <v>Yes</v>
      </c>
      <c r="EG20" s="577">
        <f ca="1">IF(OR(EA20="N/A",DY20&lt;&gt;"N/A"),"N/A",IF(AND(DZ20&gt;=DATE(1961,7,1),EA20&gt;=DATE(1961,7,1),OR(DQ20="1 in Station",DQ20="2 in Station",DS20="1 in Station",DS20="2 in Station")),1.5,IF(AND(DK20="Electric Resistance Weld",YEAR(DZ20)&lt;1970,EA20&lt;DATE(1961,7,1),OR(DQ20=1,DQ20="1 in Station",DQ20="1 in Public Road Crossing",DQ20="1 in Hard Road Parallel",DQ20="1 on Bridge",DS20=1,DS20="1 in Station",DS20="1 in Public Road Crossing",DS20="1 in Hard Road Parallel",DS20="1 on Bridge")),1.25,INDEX('FVE Table'!$C$3:$F$5,EB20,IF(AND(ABS(DZ20-EA20)&lt;=365,DQ20&gt;0),LEFT(DQ20,1),LEFT(DS20,1))))))</f>
        <v>1.5</v>
      </c>
      <c r="EH20" s="570">
        <f t="shared" ca="1" si="49"/>
        <v>1126</v>
      </c>
      <c r="EI20" s="570" t="str">
        <f t="shared" ca="1" si="50"/>
        <v>N/A</v>
      </c>
      <c r="EJ20" s="570" t="str">
        <f t="shared" ca="1" si="51"/>
        <v>N/A</v>
      </c>
      <c r="EK20" s="581">
        <f t="shared" si="52"/>
        <v>204</v>
      </c>
      <c r="EL20" s="570"/>
      <c r="EM20" s="582">
        <f t="shared" ca="1" si="53"/>
        <v>0.1101931875953228</v>
      </c>
      <c r="EN20" s="582" t="str">
        <f t="shared" ca="1" si="54"/>
        <v>N/A</v>
      </c>
      <c r="EO20" s="570">
        <f t="shared" ca="1" si="55"/>
        <v>204</v>
      </c>
      <c r="EP20" s="570" t="str">
        <f t="shared" ca="1" si="56"/>
        <v>R</v>
      </c>
      <c r="EQ20" s="582">
        <f t="shared" ca="1" si="57"/>
        <v>0.1101931875953228</v>
      </c>
      <c r="ER20" s="573">
        <f t="shared" si="22"/>
        <v>0</v>
      </c>
      <c r="ES20" s="762"/>
      <c r="ET20" s="762"/>
      <c r="EU20" s="585"/>
      <c r="EV20" s="583"/>
      <c r="EW20" s="583"/>
      <c r="EX20" s="584"/>
      <c r="EY20" s="759"/>
      <c r="EZ20" s="585"/>
      <c r="FA20" s="585"/>
      <c r="FB20" s="585"/>
      <c r="FC20" s="585"/>
    </row>
    <row r="21" spans="1:159" ht="15" customHeight="1" thickTop="1" thickBot="1" x14ac:dyDescent="0.25">
      <c r="A21" s="389">
        <f t="shared" si="23"/>
        <v>0</v>
      </c>
      <c r="B21" s="389">
        <f t="shared" si="24"/>
        <v>0</v>
      </c>
      <c r="C21" s="390" t="s">
        <v>2003</v>
      </c>
      <c r="D21" s="391">
        <v>3</v>
      </c>
      <c r="E21" s="391">
        <v>4678504</v>
      </c>
      <c r="F21" s="392">
        <v>32212</v>
      </c>
      <c r="G21" s="796">
        <v>19</v>
      </c>
      <c r="H21" s="394" t="s">
        <v>291</v>
      </c>
      <c r="I21" s="395" t="s">
        <v>158</v>
      </c>
      <c r="J21" s="396">
        <v>2.5</v>
      </c>
      <c r="O21" s="803">
        <v>12.75</v>
      </c>
      <c r="P21" s="804"/>
      <c r="Q21" s="805"/>
      <c r="S21" s="395" t="s">
        <v>329</v>
      </c>
      <c r="T21" s="390" t="s">
        <v>158</v>
      </c>
      <c r="U21" s="399" t="s">
        <v>606</v>
      </c>
      <c r="V21" s="390" t="s">
        <v>158</v>
      </c>
      <c r="Y21" s="390"/>
      <c r="Z21" s="390" t="s">
        <v>158</v>
      </c>
      <c r="AC21" s="402" t="s">
        <v>1409</v>
      </c>
      <c r="AD21" s="396">
        <v>90</v>
      </c>
      <c r="AE21" s="403" t="s">
        <v>101</v>
      </c>
      <c r="AF21" s="403" t="s">
        <v>591</v>
      </c>
      <c r="AG21" s="391"/>
      <c r="AK21" s="390"/>
      <c r="AL21" s="390"/>
      <c r="AM21" s="390"/>
      <c r="AN21" s="390"/>
      <c r="AO21" s="390"/>
      <c r="AP21" s="390" t="s">
        <v>158</v>
      </c>
      <c r="AR21" s="392">
        <v>32212</v>
      </c>
      <c r="AS21" s="390" t="s">
        <v>158</v>
      </c>
      <c r="AU21" s="390" t="s">
        <v>158</v>
      </c>
      <c r="AV21" s="392"/>
      <c r="AW21" s="403" t="s">
        <v>590</v>
      </c>
      <c r="AX21" s="406" t="s">
        <v>590</v>
      </c>
      <c r="AY21" s="406" t="s">
        <v>590</v>
      </c>
      <c r="AZ21" s="406" t="s">
        <v>158</v>
      </c>
      <c r="BA21" s="390"/>
      <c r="BB21" s="395"/>
      <c r="BC21" s="390"/>
      <c r="BD21" s="395"/>
      <c r="BE21" s="852" t="s">
        <v>2016</v>
      </c>
      <c r="BF21" s="395" t="s">
        <v>40</v>
      </c>
      <c r="BG21" s="390"/>
      <c r="BH21" s="395"/>
      <c r="BI21" s="390"/>
      <c r="BJ21" s="395"/>
      <c r="BK21" s="390"/>
      <c r="BM21" s="404" t="s">
        <v>1992</v>
      </c>
      <c r="BN21" s="404" t="s">
        <v>1993</v>
      </c>
      <c r="BO21" s="403" t="s">
        <v>637</v>
      </c>
      <c r="BP21" s="403">
        <v>4678504</v>
      </c>
      <c r="BQ21" s="403" t="s">
        <v>642</v>
      </c>
      <c r="BR21" s="408">
        <v>1690</v>
      </c>
      <c r="BS21" s="396">
        <v>8.25</v>
      </c>
      <c r="BT21" s="807"/>
      <c r="BU21" s="392">
        <v>32212</v>
      </c>
      <c r="BV21" s="403" t="s">
        <v>2032</v>
      </c>
      <c r="BW21" s="403" t="s">
        <v>2086</v>
      </c>
      <c r="BZ21" s="399">
        <v>204</v>
      </c>
      <c r="CA21" s="852" t="s">
        <v>2026</v>
      </c>
      <c r="CB21" s="852" t="s">
        <v>2027</v>
      </c>
      <c r="CC21" s="852" t="s">
        <v>2028</v>
      </c>
      <c r="CD21" s="390" t="s">
        <v>2029</v>
      </c>
      <c r="CE21" s="852" t="s">
        <v>2030</v>
      </c>
      <c r="CF21" s="390" t="s">
        <v>40</v>
      </c>
      <c r="CG21" s="390"/>
      <c r="CH21" s="390" t="s">
        <v>1112</v>
      </c>
      <c r="CI21" s="403" t="s">
        <v>1998</v>
      </c>
      <c r="CJ21" s="403" t="s">
        <v>1999</v>
      </c>
      <c r="CK21" s="403" t="s">
        <v>2000</v>
      </c>
      <c r="CL21" s="403" t="s">
        <v>589</v>
      </c>
      <c r="CM21" s="852" t="s">
        <v>2017</v>
      </c>
      <c r="CN21" s="390" t="s">
        <v>2031</v>
      </c>
      <c r="CO21" s="390"/>
      <c r="CP21" s="390"/>
      <c r="CQ21" s="390"/>
      <c r="CR21" s="409" t="str">
        <f>IF((IF(ISNA(VLOOKUP($BB21,Instructions!$A$133:$J$138,10,FALSE)),0,VLOOKUP($BB21,Instructions!$A$133:$J$138,10,FALSE))+IF(ISNA(VLOOKUP($BD21,Instructions!$A$133:$J$138,10,FALSE)),0,VLOOKUP($BD21,Instructions!$A$133:$J$138,10,FALSE))+IF(ISNA(VLOOKUP($BF21,Instructions!$A$133:$J$138,10,FALSE)),0,VLOOKUP($BF21,Instructions!$A$133:$J$138,10,FALSE))+IF(ISNA(VLOOKUP($BH21,Instructions!$A$133:$J$138,10,FALSE)),0,VLOOKUP($BH21,Instructions!$A$133:$J$138,10,FALSE))+IF(ISNA(VLOOKUP($BJ21,Instructions!$A$133:$J$138,10,FALSE)),0,VLOOKUP($BJ21,Instructions!$A$133:$J$138,10,FALSE))+IF(ISNA(VLOOKUP($BL21,Instructions!$A$133:$J$138,10,FALSE)),0,VLOOKUP($BL21,Instructions!$A$133:$J$138,10,FALSE)))&lt;2,"Poor","Usable")</f>
        <v>Usable</v>
      </c>
      <c r="CS21" s="409">
        <f>IF(ISNA(VLOOKUP($D21,Selections!$A$7:$B$19,2,FALSE)),0.4,VLOOKUP($D21,Selections!$A$7:$B$19,2,FALSE))</f>
        <v>0.5</v>
      </c>
      <c r="CT21" s="409">
        <f t="shared" si="0"/>
        <v>24000</v>
      </c>
      <c r="CU21" s="409">
        <f>IF((OR(ISBLANK($P21),$P21&lt;=0)),IF(ISNA(VLOOKUP($O21,Selections!$A$21:$D$48,4,FALSE)),0.113,VLOOKUP($O21,Selections!$A$21:$D$48,4,FALSE)),$P21)</f>
        <v>0.20300000000000001</v>
      </c>
      <c r="CV21" s="409">
        <f>IF(ISNA(VLOOKUP($S21,Selections!$A$57:$B$75,2,FALSE)),0.6,VLOOKUP($S21,Selections!$A$57:$B$75,2,FALSE))</f>
        <v>0.8</v>
      </c>
      <c r="CW21" s="410">
        <f>IF(OR($H21="",$H21="Valve",$H21="PCF",$H21="Regulator",$H21="Relief Valve",$H21="Appurtenance",$H21="Meter",$H21="Other",$H21="Pig Trap",$H21="Flange"),     IF(AND($BZ21&gt;0,$O21&gt;0),     IF($BZ21&gt;(      IF(IF(ISBLANK($V21),0,ISNA(VLOOKUP($V21,Selections!$A$153:$B$177,2,FALSE))),"n/a",IF(ISBLANK($V21),0,VLOOKUP($V21,Selections!$A$153:$B$177,2,FALSE)))),    "Chk Rating","OK Rating"),"n/a" ),IF(AND($BZ21&gt;0,$O21&gt;0),$BZ21/((2*$CT21*$CU21*$CV21)/$O21),1))</f>
        <v>0.33366687192118222</v>
      </c>
      <c r="CX21" s="569" t="str">
        <f t="shared" si="25"/>
        <v>Mfg Bend</v>
      </c>
      <c r="CY21" s="570" t="str">
        <f t="shared" si="26"/>
        <v>No</v>
      </c>
      <c r="CZ21" s="844">
        <v>35000</v>
      </c>
      <c r="DA21" s="571">
        <v>35000</v>
      </c>
      <c r="DB21" s="845">
        <v>1</v>
      </c>
      <c r="DC21" s="849">
        <v>0.375</v>
      </c>
      <c r="DD21" s="573">
        <v>0.375</v>
      </c>
      <c r="DE21" s="573" t="str">
        <f t="shared" si="29"/>
        <v>N/A</v>
      </c>
      <c r="DF21" s="573"/>
      <c r="DG21" s="845">
        <v>1</v>
      </c>
      <c r="DH21" s="574">
        <f t="shared" ca="1" si="30"/>
        <v>12.75</v>
      </c>
      <c r="DI21" s="574" t="str">
        <f t="shared" si="31"/>
        <v>N/A</v>
      </c>
      <c r="DJ21" s="570"/>
      <c r="DK21" s="575" t="str">
        <f t="shared" si="32"/>
        <v>Unknown</v>
      </c>
      <c r="DL21" s="573"/>
      <c r="DM21" s="576">
        <f t="shared" si="33"/>
        <v>1</v>
      </c>
      <c r="DN21" s="570"/>
      <c r="DO21" s="570" t="str">
        <f t="shared" si="34"/>
        <v>Unknown</v>
      </c>
      <c r="DP21" s="570"/>
      <c r="DQ21" s="570"/>
      <c r="DR21" s="570" t="str">
        <f t="shared" ca="1" si="35"/>
        <v>N/A</v>
      </c>
      <c r="DS21" s="570">
        <f t="shared" si="36"/>
        <v>3</v>
      </c>
      <c r="DT21" s="577">
        <f t="shared" ca="1" si="37"/>
        <v>0.5</v>
      </c>
      <c r="DU21" s="570">
        <f t="shared" ca="1" si="38"/>
        <v>1029</v>
      </c>
      <c r="DV21" s="570" t="str">
        <f t="shared" ca="1" si="39"/>
        <v>N/A</v>
      </c>
      <c r="DW21" s="570">
        <f t="shared" ca="1" si="40"/>
        <v>1</v>
      </c>
      <c r="DX21" s="569">
        <f t="shared" ca="1" si="41"/>
        <v>1029</v>
      </c>
      <c r="DY21" s="570" t="str">
        <f t="shared" ca="1" si="12"/>
        <v>N/A</v>
      </c>
      <c r="DZ21" s="578">
        <f t="shared" si="42"/>
        <v>32212</v>
      </c>
      <c r="EA21" s="578">
        <f t="shared" si="43"/>
        <v>32212</v>
      </c>
      <c r="EB21" s="570">
        <f t="shared" si="44"/>
        <v>3</v>
      </c>
      <c r="EC21" s="570">
        <f t="shared" si="45"/>
        <v>1690</v>
      </c>
      <c r="ED21" s="579">
        <f t="shared" si="46"/>
        <v>8.25</v>
      </c>
      <c r="EE21" s="580" t="str">
        <f t="shared" si="47"/>
        <v>No</v>
      </c>
      <c r="EF21" s="577" t="str">
        <f t="shared" si="48"/>
        <v>Yes</v>
      </c>
      <c r="EG21" s="577">
        <f ca="1">IF(OR(EA21="N/A",DY21&lt;&gt;"N/A"),"N/A",IF(AND(DZ21&gt;=DATE(1961,7,1),EA21&gt;=DATE(1961,7,1),OR(DQ21="1 in Station",DQ21="2 in Station",DS21="1 in Station",DS21="2 in Station")),1.5,IF(AND(DK21="Electric Resistance Weld",YEAR(DZ21)&lt;1970,EA21&lt;DATE(1961,7,1),OR(DQ21=1,DQ21="1 in Station",DQ21="1 in Public Road Crossing",DQ21="1 in Hard Road Parallel",DQ21="1 on Bridge",DS21=1,DS21="1 in Station",DS21="1 in Public Road Crossing",DS21="1 in Hard Road Parallel",DS21="1 on Bridge")),1.25,INDEX('FVE Table'!$C$3:$F$5,EB21,IF(AND(ABS(DZ21-EA21)&lt;=365,DQ21&gt;0),LEFT(DQ21,1),LEFT(DS21,1))))))</f>
        <v>1.5</v>
      </c>
      <c r="EH21" s="570">
        <f t="shared" ca="1" si="49"/>
        <v>1126</v>
      </c>
      <c r="EI21" s="570" t="str">
        <f t="shared" ca="1" si="50"/>
        <v>N/A</v>
      </c>
      <c r="EJ21" s="570" t="str">
        <f t="shared" ca="1" si="51"/>
        <v>N/A</v>
      </c>
      <c r="EK21" s="581">
        <f t="shared" si="52"/>
        <v>204</v>
      </c>
      <c r="EL21" s="570"/>
      <c r="EM21" s="582">
        <f t="shared" ca="1" si="53"/>
        <v>9.9085714285714291E-2</v>
      </c>
      <c r="EN21" s="582" t="str">
        <f t="shared" ca="1" si="54"/>
        <v>N/A</v>
      </c>
      <c r="EO21" s="570">
        <f t="shared" ca="1" si="55"/>
        <v>204</v>
      </c>
      <c r="EP21" s="570" t="str">
        <f t="shared" ca="1" si="56"/>
        <v>R</v>
      </c>
      <c r="EQ21" s="582">
        <f t="shared" ca="1" si="57"/>
        <v>9.9085714285714291E-2</v>
      </c>
      <c r="ER21" s="573">
        <f t="shared" si="22"/>
        <v>0</v>
      </c>
      <c r="ES21" s="762"/>
      <c r="ET21" s="762"/>
      <c r="EU21" s="585"/>
      <c r="EV21" s="848" t="s">
        <v>2077</v>
      </c>
      <c r="EW21" s="583"/>
      <c r="EX21" s="846" t="s">
        <v>2075</v>
      </c>
      <c r="EY21" s="847">
        <v>1</v>
      </c>
      <c r="EZ21" s="585"/>
      <c r="FA21" s="585"/>
      <c r="FB21" s="585"/>
      <c r="FC21" s="585"/>
    </row>
    <row r="22" spans="1:159" ht="15" customHeight="1" thickTop="1" thickBot="1" x14ac:dyDescent="0.25">
      <c r="A22" s="389">
        <f t="shared" si="23"/>
        <v>0</v>
      </c>
      <c r="B22" s="389">
        <f t="shared" si="24"/>
        <v>0</v>
      </c>
      <c r="C22" s="390" t="s">
        <v>2003</v>
      </c>
      <c r="D22" s="391">
        <v>3</v>
      </c>
      <c r="E22" s="391">
        <v>4678504</v>
      </c>
      <c r="F22" s="392">
        <v>32212</v>
      </c>
      <c r="G22" s="393">
        <v>20</v>
      </c>
      <c r="H22" s="394" t="s">
        <v>153</v>
      </c>
      <c r="I22" s="395" t="s">
        <v>68</v>
      </c>
      <c r="J22" s="396">
        <v>24.5</v>
      </c>
      <c r="O22" s="398">
        <v>12.75</v>
      </c>
      <c r="P22" s="808">
        <v>0.28100000000000003</v>
      </c>
      <c r="S22" s="395" t="s">
        <v>730</v>
      </c>
      <c r="T22" s="390" t="s">
        <v>195</v>
      </c>
      <c r="U22" s="399">
        <v>42000</v>
      </c>
      <c r="Y22" s="390"/>
      <c r="Z22" s="390" t="s">
        <v>158</v>
      </c>
      <c r="AB22" s="401" t="s">
        <v>1095</v>
      </c>
      <c r="AC22" s="402" t="s">
        <v>1409</v>
      </c>
      <c r="AG22" s="391"/>
      <c r="AK22" s="390"/>
      <c r="AL22" s="390"/>
      <c r="AM22" s="390"/>
      <c r="AN22" s="390"/>
      <c r="AO22" s="390"/>
      <c r="AP22" s="390" t="s">
        <v>158</v>
      </c>
      <c r="AR22" s="392">
        <v>32212</v>
      </c>
      <c r="AS22" s="390" t="s">
        <v>158</v>
      </c>
      <c r="AU22" s="390" t="s">
        <v>158</v>
      </c>
      <c r="AV22" s="392"/>
      <c r="AW22" s="403" t="s">
        <v>590</v>
      </c>
      <c r="AX22" s="406" t="s">
        <v>590</v>
      </c>
      <c r="AY22" s="406" t="s">
        <v>590</v>
      </c>
      <c r="AZ22" s="406" t="s">
        <v>158</v>
      </c>
      <c r="BA22" s="390"/>
      <c r="BB22" s="395"/>
      <c r="BC22" s="390"/>
      <c r="BD22" s="395"/>
      <c r="BE22" s="852" t="s">
        <v>2016</v>
      </c>
      <c r="BF22" s="395" t="s">
        <v>40</v>
      </c>
      <c r="BG22" s="390"/>
      <c r="BH22" s="395"/>
      <c r="BI22" s="390"/>
      <c r="BJ22" s="395"/>
      <c r="BK22" s="390"/>
      <c r="BM22" s="404" t="s">
        <v>1992</v>
      </c>
      <c r="BN22" s="404" t="s">
        <v>1993</v>
      </c>
      <c r="BO22" s="403" t="s">
        <v>637</v>
      </c>
      <c r="BP22" s="403">
        <v>4678504</v>
      </c>
      <c r="BQ22" s="403" t="s">
        <v>642</v>
      </c>
      <c r="BR22" s="408">
        <v>1690</v>
      </c>
      <c r="BS22" s="396">
        <v>8.25</v>
      </c>
      <c r="BT22" s="807"/>
      <c r="BU22" s="392">
        <v>32212</v>
      </c>
      <c r="BV22" s="403" t="s">
        <v>2032</v>
      </c>
      <c r="BW22" s="403" t="s">
        <v>2086</v>
      </c>
      <c r="BZ22" s="399">
        <v>204</v>
      </c>
      <c r="CA22" s="852" t="s">
        <v>2026</v>
      </c>
      <c r="CB22" s="852" t="s">
        <v>2027</v>
      </c>
      <c r="CC22" s="852" t="s">
        <v>2028</v>
      </c>
      <c r="CD22" s="390" t="s">
        <v>2029</v>
      </c>
      <c r="CE22" s="852" t="s">
        <v>2030</v>
      </c>
      <c r="CF22" s="390" t="s">
        <v>40</v>
      </c>
      <c r="CG22" s="390"/>
      <c r="CH22" s="390" t="s">
        <v>1112</v>
      </c>
      <c r="CI22" s="403" t="s">
        <v>1998</v>
      </c>
      <c r="CJ22" s="403" t="s">
        <v>1999</v>
      </c>
      <c r="CK22" s="403" t="s">
        <v>2000</v>
      </c>
      <c r="CL22" s="403" t="s">
        <v>589</v>
      </c>
      <c r="CM22" s="852" t="s">
        <v>2017</v>
      </c>
      <c r="CN22" s="390" t="s">
        <v>2031</v>
      </c>
      <c r="CO22" s="390"/>
      <c r="CP22" s="390"/>
      <c r="CQ22" s="390"/>
      <c r="CR22" s="409" t="str">
        <f>IF((IF(ISNA(VLOOKUP($BB22,Instructions!$A$133:$J$138,10,FALSE)),0,VLOOKUP($BB22,Instructions!$A$133:$J$138,10,FALSE))+IF(ISNA(VLOOKUP($BD22,Instructions!$A$133:$J$138,10,FALSE)),0,VLOOKUP($BD22,Instructions!$A$133:$J$138,10,FALSE))+IF(ISNA(VLOOKUP($BF22,Instructions!$A$133:$J$138,10,FALSE)),0,VLOOKUP($BF22,Instructions!$A$133:$J$138,10,FALSE))+IF(ISNA(VLOOKUP($BH22,Instructions!$A$133:$J$138,10,FALSE)),0,VLOOKUP($BH22,Instructions!$A$133:$J$138,10,FALSE))+IF(ISNA(VLOOKUP($BJ22,Instructions!$A$133:$J$138,10,FALSE)),0,VLOOKUP($BJ22,Instructions!$A$133:$J$138,10,FALSE))+IF(ISNA(VLOOKUP($BL22,Instructions!$A$133:$J$138,10,FALSE)),0,VLOOKUP($BL22,Instructions!$A$133:$J$138,10,FALSE)))&lt;2,"Poor","Usable")</f>
        <v>Usable</v>
      </c>
      <c r="CS22" s="409">
        <f>IF(ISNA(VLOOKUP($D22,Selections!$A$7:$B$19,2,FALSE)),0.4,VLOOKUP($D22,Selections!$A$7:$B$19,2,FALSE))</f>
        <v>0.5</v>
      </c>
      <c r="CT22" s="409">
        <f t="shared" si="0"/>
        <v>42000</v>
      </c>
      <c r="CU22" s="409">
        <f>IF((OR(ISBLANK($P22),$P22&lt;=0)),IF(ISNA(VLOOKUP($O22,Selections!$A$21:$D$48,4,FALSE)),0.113,VLOOKUP($O22,Selections!$A$21:$D$48,4,FALSE)),$P22)</f>
        <v>0.28100000000000003</v>
      </c>
      <c r="CV22" s="409">
        <f>IF(ISNA(VLOOKUP($S22,Selections!$A$57:$B$75,2,FALSE)),0.6,VLOOKUP($S22,Selections!$A$57:$B$75,2,FALSE))</f>
        <v>1</v>
      </c>
      <c r="CW22" s="410">
        <f>IF(OR($H22="",$H22="Valve",$H22="PCF",$H22="Regulator",$H22="Relief Valve",$H22="Appurtenance",$H22="Meter",$H22="Other",$H22="Pig Trap",$H22="Flange"),     IF(AND($BZ22&gt;0,$O22&gt;0),     IF($BZ22&gt;(      IF(IF(ISBLANK($V22),0,ISNA(VLOOKUP($V22,Selections!$A$153:$B$177,2,FALSE))),"n/a",IF(ISBLANK($V22),0,VLOOKUP($V22,Selections!$A$153:$B$177,2,FALSE)))),    "Chk Rating","OK Rating"),"n/a" ),IF(AND($BZ22&gt;0,$O22&gt;0),$BZ22/((2*$CT22*$CU22*$CV22)/$O22),1))</f>
        <v>0.11019318759532282</v>
      </c>
      <c r="CX22" s="569" t="str">
        <f t="shared" si="25"/>
        <v>Pipe</v>
      </c>
      <c r="CY22" s="570" t="str">
        <f t="shared" si="26"/>
        <v>No</v>
      </c>
      <c r="CZ22" s="571">
        <f t="shared" si="27"/>
        <v>42000</v>
      </c>
      <c r="DA22" s="571"/>
      <c r="DB22" s="570"/>
      <c r="DC22" s="572">
        <f t="shared" si="28"/>
        <v>0.28100000000000003</v>
      </c>
      <c r="DD22" s="573"/>
      <c r="DE22" s="573" t="str">
        <f t="shared" si="29"/>
        <v>N/A</v>
      </c>
      <c r="DF22" s="573"/>
      <c r="DG22" s="570"/>
      <c r="DH22" s="574">
        <f t="shared" ca="1" si="30"/>
        <v>12.75</v>
      </c>
      <c r="DI22" s="574" t="str">
        <f t="shared" si="31"/>
        <v>N/A</v>
      </c>
      <c r="DJ22" s="570"/>
      <c r="DK22" s="575" t="str">
        <f t="shared" si="32"/>
        <v>Electric Resistance Weld</v>
      </c>
      <c r="DL22" s="573"/>
      <c r="DM22" s="576">
        <f t="shared" si="33"/>
        <v>1</v>
      </c>
      <c r="DN22" s="570"/>
      <c r="DO22" s="570" t="str">
        <f t="shared" si="34"/>
        <v>N/A</v>
      </c>
      <c r="DP22" s="570"/>
      <c r="DQ22" s="570"/>
      <c r="DR22" s="570" t="str">
        <f t="shared" ca="1" si="35"/>
        <v>N/A</v>
      </c>
      <c r="DS22" s="570">
        <f t="shared" si="36"/>
        <v>3</v>
      </c>
      <c r="DT22" s="577">
        <f t="shared" ca="1" si="37"/>
        <v>0.5</v>
      </c>
      <c r="DU22" s="570">
        <f t="shared" ca="1" si="38"/>
        <v>925</v>
      </c>
      <c r="DV22" s="570" t="str">
        <f t="shared" ca="1" si="39"/>
        <v>N/A</v>
      </c>
      <c r="DW22" s="570">
        <f t="shared" ca="1" si="40"/>
        <v>1</v>
      </c>
      <c r="DX22" s="569">
        <f t="shared" ca="1" si="41"/>
        <v>925</v>
      </c>
      <c r="DY22" s="570" t="str">
        <f t="shared" ca="1" si="12"/>
        <v>N/A</v>
      </c>
      <c r="DZ22" s="578">
        <f t="shared" si="42"/>
        <v>32212</v>
      </c>
      <c r="EA22" s="578">
        <f t="shared" si="43"/>
        <v>32212</v>
      </c>
      <c r="EB22" s="570">
        <f t="shared" si="44"/>
        <v>3</v>
      </c>
      <c r="EC22" s="570">
        <f t="shared" si="45"/>
        <v>1690</v>
      </c>
      <c r="ED22" s="579">
        <f t="shared" si="46"/>
        <v>8.25</v>
      </c>
      <c r="EE22" s="580" t="str">
        <f t="shared" si="47"/>
        <v>No</v>
      </c>
      <c r="EF22" s="577" t="str">
        <f t="shared" si="48"/>
        <v>Yes</v>
      </c>
      <c r="EG22" s="577">
        <f ca="1">IF(OR(EA22="N/A",DY22&lt;&gt;"N/A"),"N/A",IF(AND(DZ22&gt;=DATE(1961,7,1),EA22&gt;=DATE(1961,7,1),OR(DQ22="1 in Station",DQ22="2 in Station",DS22="1 in Station",DS22="2 in Station")),1.5,IF(AND(DK22="Electric Resistance Weld",YEAR(DZ22)&lt;1970,EA22&lt;DATE(1961,7,1),OR(DQ22=1,DQ22="1 in Station",DQ22="1 in Public Road Crossing",DQ22="1 in Hard Road Parallel",DQ22="1 on Bridge",DS22=1,DS22="1 in Station",DS22="1 in Public Road Crossing",DS22="1 in Hard Road Parallel",DS22="1 on Bridge")),1.25,INDEX('FVE Table'!$C$3:$F$5,EB22,IF(AND(ABS(DZ22-EA22)&lt;=365,DQ22&gt;0),LEFT(DQ22,1),LEFT(DS22,1))))))</f>
        <v>1.5</v>
      </c>
      <c r="EH22" s="570">
        <f t="shared" ca="1" si="49"/>
        <v>1126</v>
      </c>
      <c r="EI22" s="570" t="str">
        <f t="shared" ca="1" si="50"/>
        <v>N/A</v>
      </c>
      <c r="EJ22" s="570" t="str">
        <f t="shared" ca="1" si="51"/>
        <v>N/A</v>
      </c>
      <c r="EK22" s="581">
        <f t="shared" si="52"/>
        <v>204</v>
      </c>
      <c r="EL22" s="570"/>
      <c r="EM22" s="582">
        <f t="shared" ca="1" si="53"/>
        <v>0.1101931875953228</v>
      </c>
      <c r="EN22" s="582" t="str">
        <f t="shared" ca="1" si="54"/>
        <v>N/A</v>
      </c>
      <c r="EO22" s="570">
        <f t="shared" ca="1" si="55"/>
        <v>204</v>
      </c>
      <c r="EP22" s="570" t="str">
        <f t="shared" ca="1" si="56"/>
        <v>R</v>
      </c>
      <c r="EQ22" s="582">
        <f t="shared" ca="1" si="57"/>
        <v>0.1101931875953228</v>
      </c>
      <c r="ER22" s="573">
        <f t="shared" si="22"/>
        <v>0</v>
      </c>
      <c r="ES22" s="762"/>
      <c r="ET22" s="762"/>
      <c r="EU22" s="585"/>
      <c r="EV22" s="583"/>
      <c r="EW22" s="583"/>
      <c r="EX22" s="584"/>
      <c r="EY22" s="759"/>
      <c r="EZ22" s="585"/>
      <c r="FA22" s="585"/>
      <c r="FB22" s="585"/>
      <c r="FC22" s="585"/>
    </row>
    <row r="23" spans="1:159" ht="15" customHeight="1" thickTop="1" thickBot="1" x14ac:dyDescent="0.25">
      <c r="A23" s="389">
        <f t="shared" si="23"/>
        <v>0</v>
      </c>
      <c r="B23" s="389">
        <f t="shared" si="24"/>
        <v>0</v>
      </c>
      <c r="C23" s="390" t="s">
        <v>2003</v>
      </c>
      <c r="D23" s="391">
        <v>3</v>
      </c>
      <c r="E23" s="391">
        <v>4678504</v>
      </c>
      <c r="F23" s="392">
        <v>32212</v>
      </c>
      <c r="G23" s="796">
        <v>21</v>
      </c>
      <c r="H23" s="394" t="s">
        <v>291</v>
      </c>
      <c r="I23" s="395" t="s">
        <v>158</v>
      </c>
      <c r="J23" s="396">
        <v>2.5</v>
      </c>
      <c r="O23" s="803">
        <v>12.75</v>
      </c>
      <c r="P23" s="804"/>
      <c r="Q23" s="805"/>
      <c r="S23" s="395" t="s">
        <v>329</v>
      </c>
      <c r="T23" s="390" t="s">
        <v>158</v>
      </c>
      <c r="U23" s="399" t="s">
        <v>606</v>
      </c>
      <c r="V23" s="390" t="s">
        <v>158</v>
      </c>
      <c r="Y23" s="390"/>
      <c r="Z23" s="390" t="s">
        <v>158</v>
      </c>
      <c r="AC23" s="402" t="s">
        <v>1409</v>
      </c>
      <c r="AD23" s="396">
        <v>90</v>
      </c>
      <c r="AE23" s="403" t="s">
        <v>101</v>
      </c>
      <c r="AF23" s="403" t="s">
        <v>592</v>
      </c>
      <c r="AG23" s="391"/>
      <c r="AK23" s="390"/>
      <c r="AL23" s="390"/>
      <c r="AM23" s="390"/>
      <c r="AN23" s="390"/>
      <c r="AO23" s="390"/>
      <c r="AP23" s="390" t="s">
        <v>158</v>
      </c>
      <c r="AR23" s="392">
        <v>32212</v>
      </c>
      <c r="AS23" s="390" t="s">
        <v>158</v>
      </c>
      <c r="AU23" s="390" t="s">
        <v>158</v>
      </c>
      <c r="AV23" s="392"/>
      <c r="AW23" s="403" t="s">
        <v>590</v>
      </c>
      <c r="AX23" s="406" t="s">
        <v>590</v>
      </c>
      <c r="AY23" s="406" t="s">
        <v>590</v>
      </c>
      <c r="AZ23" s="406" t="s">
        <v>158</v>
      </c>
      <c r="BA23" s="390"/>
      <c r="BB23" s="395"/>
      <c r="BC23" s="390"/>
      <c r="BD23" s="395"/>
      <c r="BE23" s="852" t="s">
        <v>2016</v>
      </c>
      <c r="BF23" s="395" t="s">
        <v>40</v>
      </c>
      <c r="BG23" s="390"/>
      <c r="BH23" s="395"/>
      <c r="BI23" s="390"/>
      <c r="BJ23" s="395"/>
      <c r="BK23" s="390"/>
      <c r="BM23" s="404" t="s">
        <v>1992</v>
      </c>
      <c r="BN23" s="404" t="s">
        <v>1993</v>
      </c>
      <c r="BO23" s="403" t="s">
        <v>637</v>
      </c>
      <c r="BP23" s="403">
        <v>4678504</v>
      </c>
      <c r="BQ23" s="403" t="s">
        <v>642</v>
      </c>
      <c r="BR23" s="408">
        <v>1690</v>
      </c>
      <c r="BS23" s="396">
        <v>8.25</v>
      </c>
      <c r="BT23" s="807"/>
      <c r="BU23" s="392">
        <v>32212</v>
      </c>
      <c r="BV23" s="403" t="s">
        <v>2032</v>
      </c>
      <c r="BW23" s="403" t="s">
        <v>2086</v>
      </c>
      <c r="BZ23" s="399">
        <v>204</v>
      </c>
      <c r="CA23" s="852" t="s">
        <v>2026</v>
      </c>
      <c r="CB23" s="852" t="s">
        <v>2027</v>
      </c>
      <c r="CC23" s="852" t="s">
        <v>2028</v>
      </c>
      <c r="CD23" s="390" t="s">
        <v>2029</v>
      </c>
      <c r="CE23" s="852" t="s">
        <v>2030</v>
      </c>
      <c r="CF23" s="390" t="s">
        <v>40</v>
      </c>
      <c r="CG23" s="390"/>
      <c r="CH23" s="390" t="s">
        <v>1112</v>
      </c>
      <c r="CI23" s="403" t="s">
        <v>1998</v>
      </c>
      <c r="CJ23" s="403" t="s">
        <v>1999</v>
      </c>
      <c r="CK23" s="403" t="s">
        <v>2000</v>
      </c>
      <c r="CL23" s="403" t="s">
        <v>589</v>
      </c>
      <c r="CM23" s="852" t="s">
        <v>2017</v>
      </c>
      <c r="CN23" s="390" t="s">
        <v>2031</v>
      </c>
      <c r="CO23" s="390"/>
      <c r="CP23" s="390"/>
      <c r="CQ23" s="390"/>
      <c r="CR23" s="409" t="str">
        <f>IF((IF(ISNA(VLOOKUP($BB23,Instructions!$A$133:$J$138,10,FALSE)),0,VLOOKUP($BB23,Instructions!$A$133:$J$138,10,FALSE))+IF(ISNA(VLOOKUP($BD23,Instructions!$A$133:$J$138,10,FALSE)),0,VLOOKUP($BD23,Instructions!$A$133:$J$138,10,FALSE))+IF(ISNA(VLOOKUP($BF23,Instructions!$A$133:$J$138,10,FALSE)),0,VLOOKUP($BF23,Instructions!$A$133:$J$138,10,FALSE))+IF(ISNA(VLOOKUP($BH23,Instructions!$A$133:$J$138,10,FALSE)),0,VLOOKUP($BH23,Instructions!$A$133:$J$138,10,FALSE))+IF(ISNA(VLOOKUP($BJ23,Instructions!$A$133:$J$138,10,FALSE)),0,VLOOKUP($BJ23,Instructions!$A$133:$J$138,10,FALSE))+IF(ISNA(VLOOKUP($BL23,Instructions!$A$133:$J$138,10,FALSE)),0,VLOOKUP($BL23,Instructions!$A$133:$J$138,10,FALSE)))&lt;2,"Poor","Usable")</f>
        <v>Usable</v>
      </c>
      <c r="CS23" s="409">
        <f>IF(ISNA(VLOOKUP($D23,Selections!$A$7:$B$19,2,FALSE)),0.4,VLOOKUP($D23,Selections!$A$7:$B$19,2,FALSE))</f>
        <v>0.5</v>
      </c>
      <c r="CT23" s="409">
        <f t="shared" si="0"/>
        <v>24000</v>
      </c>
      <c r="CU23" s="409">
        <f>IF((OR(ISBLANK($P23),$P23&lt;=0)),IF(ISNA(VLOOKUP($O23,Selections!$A$21:$D$48,4,FALSE)),0.113,VLOOKUP($O23,Selections!$A$21:$D$48,4,FALSE)),$P23)</f>
        <v>0.20300000000000001</v>
      </c>
      <c r="CV23" s="409">
        <f>IF(ISNA(VLOOKUP($S23,Selections!$A$57:$B$75,2,FALSE)),0.6,VLOOKUP($S23,Selections!$A$57:$B$75,2,FALSE))</f>
        <v>0.8</v>
      </c>
      <c r="CW23" s="410">
        <f>IF(OR($H23="",$H23="Valve",$H23="PCF",$H23="Regulator",$H23="Relief Valve",$H23="Appurtenance",$H23="Meter",$H23="Other",$H23="Pig Trap",$H23="Flange"),     IF(AND($BZ23&gt;0,$O23&gt;0),     IF($BZ23&gt;(      IF(IF(ISBLANK($V23),0,ISNA(VLOOKUP($V23,Selections!$A$153:$B$177,2,FALSE))),"n/a",IF(ISBLANK($V23),0,VLOOKUP($V23,Selections!$A$153:$B$177,2,FALSE)))),    "Chk Rating","OK Rating"),"n/a" ),IF(AND($BZ23&gt;0,$O23&gt;0),$BZ23/((2*$CT23*$CU23*$CV23)/$O23),1))</f>
        <v>0.33366687192118222</v>
      </c>
      <c r="CX23" s="569" t="str">
        <f t="shared" si="25"/>
        <v>Mfg Bend</v>
      </c>
      <c r="CY23" s="570" t="str">
        <f t="shared" si="26"/>
        <v>No</v>
      </c>
      <c r="CZ23" s="844">
        <v>35000</v>
      </c>
      <c r="DA23" s="571">
        <v>35000</v>
      </c>
      <c r="DB23" s="845">
        <v>1</v>
      </c>
      <c r="DC23" s="849">
        <v>0.375</v>
      </c>
      <c r="DD23" s="573">
        <v>0.375</v>
      </c>
      <c r="DE23" s="573" t="str">
        <f t="shared" si="29"/>
        <v>N/A</v>
      </c>
      <c r="DF23" s="573"/>
      <c r="DG23" s="845">
        <v>1</v>
      </c>
      <c r="DH23" s="574">
        <f t="shared" ca="1" si="30"/>
        <v>12.75</v>
      </c>
      <c r="DI23" s="574" t="str">
        <f t="shared" si="31"/>
        <v>N/A</v>
      </c>
      <c r="DJ23" s="570"/>
      <c r="DK23" s="575" t="str">
        <f t="shared" si="32"/>
        <v>Unknown</v>
      </c>
      <c r="DL23" s="573"/>
      <c r="DM23" s="576">
        <f t="shared" si="33"/>
        <v>1</v>
      </c>
      <c r="DN23" s="570"/>
      <c r="DO23" s="570" t="str">
        <f t="shared" si="34"/>
        <v>Unknown</v>
      </c>
      <c r="DP23" s="570"/>
      <c r="DQ23" s="570"/>
      <c r="DR23" s="570" t="str">
        <f t="shared" ca="1" si="35"/>
        <v>N/A</v>
      </c>
      <c r="DS23" s="570">
        <f t="shared" si="36"/>
        <v>3</v>
      </c>
      <c r="DT23" s="577">
        <f t="shared" ca="1" si="37"/>
        <v>0.5</v>
      </c>
      <c r="DU23" s="570">
        <f t="shared" ca="1" si="38"/>
        <v>1029</v>
      </c>
      <c r="DV23" s="570" t="str">
        <f t="shared" ca="1" si="39"/>
        <v>N/A</v>
      </c>
      <c r="DW23" s="570">
        <f t="shared" ca="1" si="40"/>
        <v>1</v>
      </c>
      <c r="DX23" s="569">
        <f t="shared" ca="1" si="41"/>
        <v>1029</v>
      </c>
      <c r="DY23" s="570" t="str">
        <f t="shared" ca="1" si="12"/>
        <v>N/A</v>
      </c>
      <c r="DZ23" s="578">
        <f t="shared" si="42"/>
        <v>32212</v>
      </c>
      <c r="EA23" s="578">
        <f t="shared" si="43"/>
        <v>32212</v>
      </c>
      <c r="EB23" s="570">
        <f t="shared" si="44"/>
        <v>3</v>
      </c>
      <c r="EC23" s="570">
        <f t="shared" si="45"/>
        <v>1690</v>
      </c>
      <c r="ED23" s="579">
        <f t="shared" si="46"/>
        <v>8.25</v>
      </c>
      <c r="EE23" s="580" t="str">
        <f t="shared" si="47"/>
        <v>No</v>
      </c>
      <c r="EF23" s="577" t="str">
        <f t="shared" si="48"/>
        <v>Yes</v>
      </c>
      <c r="EG23" s="577">
        <f ca="1">IF(OR(EA23="N/A",DY23&lt;&gt;"N/A"),"N/A",IF(AND(DZ23&gt;=DATE(1961,7,1),EA23&gt;=DATE(1961,7,1),OR(DQ23="1 in Station",DQ23="2 in Station",DS23="1 in Station",DS23="2 in Station")),1.5,IF(AND(DK23="Electric Resistance Weld",YEAR(DZ23)&lt;1970,EA23&lt;DATE(1961,7,1),OR(DQ23=1,DQ23="1 in Station",DQ23="1 in Public Road Crossing",DQ23="1 in Hard Road Parallel",DQ23="1 on Bridge",DS23=1,DS23="1 in Station",DS23="1 in Public Road Crossing",DS23="1 in Hard Road Parallel",DS23="1 on Bridge")),1.25,INDEX('FVE Table'!$C$3:$F$5,EB23,IF(AND(ABS(DZ23-EA23)&lt;=365,DQ23&gt;0),LEFT(DQ23,1),LEFT(DS23,1))))))</f>
        <v>1.5</v>
      </c>
      <c r="EH23" s="570">
        <f t="shared" ca="1" si="49"/>
        <v>1126</v>
      </c>
      <c r="EI23" s="570" t="str">
        <f t="shared" ca="1" si="50"/>
        <v>N/A</v>
      </c>
      <c r="EJ23" s="570" t="str">
        <f t="shared" ca="1" si="51"/>
        <v>N/A</v>
      </c>
      <c r="EK23" s="581">
        <f t="shared" si="52"/>
        <v>204</v>
      </c>
      <c r="EL23" s="570"/>
      <c r="EM23" s="582">
        <f t="shared" ca="1" si="53"/>
        <v>9.9085714285714291E-2</v>
      </c>
      <c r="EN23" s="582" t="str">
        <f t="shared" ca="1" si="54"/>
        <v>N/A</v>
      </c>
      <c r="EO23" s="570">
        <f t="shared" ca="1" si="55"/>
        <v>204</v>
      </c>
      <c r="EP23" s="570" t="str">
        <f t="shared" ca="1" si="56"/>
        <v>R</v>
      </c>
      <c r="EQ23" s="582">
        <f t="shared" ca="1" si="57"/>
        <v>9.9085714285714291E-2</v>
      </c>
      <c r="ER23" s="573">
        <f t="shared" si="22"/>
        <v>0</v>
      </c>
      <c r="ES23" s="762"/>
      <c r="ET23" s="762"/>
      <c r="EU23" s="585"/>
      <c r="EV23" s="848" t="s">
        <v>2077</v>
      </c>
      <c r="EW23" s="583"/>
      <c r="EX23" s="846" t="s">
        <v>2075</v>
      </c>
      <c r="EY23" s="847">
        <v>1</v>
      </c>
      <c r="EZ23" s="585"/>
      <c r="FA23" s="585"/>
      <c r="FB23" s="585"/>
      <c r="FC23" s="585"/>
    </row>
    <row r="24" spans="1:159" ht="15" customHeight="1" thickTop="1" x14ac:dyDescent="0.2">
      <c r="A24" s="389">
        <f t="shared" si="23"/>
        <v>0</v>
      </c>
      <c r="B24" s="389">
        <f t="shared" si="24"/>
        <v>0</v>
      </c>
      <c r="C24" s="390" t="s">
        <v>2003</v>
      </c>
      <c r="D24" s="391">
        <v>3</v>
      </c>
      <c r="E24" s="391">
        <v>4678504</v>
      </c>
      <c r="F24" s="392">
        <v>32212</v>
      </c>
      <c r="G24" s="393">
        <v>22</v>
      </c>
      <c r="H24" s="394" t="s">
        <v>153</v>
      </c>
      <c r="I24" s="395" t="s">
        <v>68</v>
      </c>
      <c r="J24" s="396">
        <v>129.30000000000001</v>
      </c>
      <c r="K24" s="404" t="s">
        <v>2033</v>
      </c>
      <c r="O24" s="398">
        <v>12.75</v>
      </c>
      <c r="P24" s="806">
        <v>0.28100000000000003</v>
      </c>
      <c r="S24" s="395" t="s">
        <v>730</v>
      </c>
      <c r="T24" s="390" t="s">
        <v>195</v>
      </c>
      <c r="U24" s="399">
        <v>42000</v>
      </c>
      <c r="Y24" s="390"/>
      <c r="Z24" s="390" t="s">
        <v>158</v>
      </c>
      <c r="AB24" s="401" t="s">
        <v>1095</v>
      </c>
      <c r="AC24" s="402" t="s">
        <v>1409</v>
      </c>
      <c r="AG24" s="391"/>
      <c r="AK24" s="390"/>
      <c r="AL24" s="390"/>
      <c r="AM24" s="390"/>
      <c r="AN24" s="390"/>
      <c r="AO24" s="390"/>
      <c r="AP24" s="390" t="s">
        <v>158</v>
      </c>
      <c r="AR24" s="392">
        <v>32212</v>
      </c>
      <c r="AS24" s="390" t="s">
        <v>158</v>
      </c>
      <c r="AU24" s="390" t="s">
        <v>158</v>
      </c>
      <c r="AV24" s="392"/>
      <c r="AW24" s="403" t="s">
        <v>590</v>
      </c>
      <c r="AX24" s="406" t="s">
        <v>590</v>
      </c>
      <c r="AY24" s="406" t="s">
        <v>590</v>
      </c>
      <c r="AZ24" s="406" t="s">
        <v>158</v>
      </c>
      <c r="BA24" s="390"/>
      <c r="BB24" s="395"/>
      <c r="BC24" s="390"/>
      <c r="BD24" s="395"/>
      <c r="BE24" s="852" t="s">
        <v>2016</v>
      </c>
      <c r="BF24" s="395" t="s">
        <v>40</v>
      </c>
      <c r="BG24" s="390"/>
      <c r="BH24" s="395"/>
      <c r="BI24" s="390"/>
      <c r="BJ24" s="395"/>
      <c r="BK24" s="390"/>
      <c r="BM24" s="404" t="s">
        <v>1992</v>
      </c>
      <c r="BN24" s="404" t="s">
        <v>1993</v>
      </c>
      <c r="BO24" s="403" t="s">
        <v>637</v>
      </c>
      <c r="BP24" s="403">
        <v>4678504</v>
      </c>
      <c r="BQ24" s="403" t="s">
        <v>642</v>
      </c>
      <c r="BR24" s="408">
        <v>1690</v>
      </c>
      <c r="BS24" s="396">
        <v>8.25</v>
      </c>
      <c r="BT24" s="807"/>
      <c r="BU24" s="392">
        <v>32212</v>
      </c>
      <c r="BV24" s="403" t="s">
        <v>2032</v>
      </c>
      <c r="BW24" s="403" t="s">
        <v>2086</v>
      </c>
      <c r="BZ24" s="399">
        <v>204</v>
      </c>
      <c r="CA24" s="852" t="s">
        <v>2026</v>
      </c>
      <c r="CB24" s="852" t="s">
        <v>2027</v>
      </c>
      <c r="CC24" s="852" t="s">
        <v>2028</v>
      </c>
      <c r="CD24" s="390" t="s">
        <v>2029</v>
      </c>
      <c r="CE24" s="852" t="s">
        <v>2030</v>
      </c>
      <c r="CF24" s="390" t="s">
        <v>40</v>
      </c>
      <c r="CG24" s="390"/>
      <c r="CH24" s="390" t="s">
        <v>1112</v>
      </c>
      <c r="CI24" s="403" t="s">
        <v>1998</v>
      </c>
      <c r="CJ24" s="403" t="s">
        <v>1999</v>
      </c>
      <c r="CK24" s="403" t="s">
        <v>2000</v>
      </c>
      <c r="CL24" s="403" t="s">
        <v>589</v>
      </c>
      <c r="CM24" s="852" t="s">
        <v>2017</v>
      </c>
      <c r="CN24" s="390" t="s">
        <v>2031</v>
      </c>
      <c r="CO24" s="390"/>
      <c r="CP24" s="390"/>
      <c r="CQ24" s="390"/>
      <c r="CR24" s="409" t="str">
        <f>IF((IF(ISNA(VLOOKUP($BB24,Instructions!$A$133:$J$138,10,FALSE)),0,VLOOKUP($BB24,Instructions!$A$133:$J$138,10,FALSE))+IF(ISNA(VLOOKUP($BD24,Instructions!$A$133:$J$138,10,FALSE)),0,VLOOKUP($BD24,Instructions!$A$133:$J$138,10,FALSE))+IF(ISNA(VLOOKUP($BF24,Instructions!$A$133:$J$138,10,FALSE)),0,VLOOKUP($BF24,Instructions!$A$133:$J$138,10,FALSE))+IF(ISNA(VLOOKUP($BH24,Instructions!$A$133:$J$138,10,FALSE)),0,VLOOKUP($BH24,Instructions!$A$133:$J$138,10,FALSE))+IF(ISNA(VLOOKUP($BJ24,Instructions!$A$133:$J$138,10,FALSE)),0,VLOOKUP($BJ24,Instructions!$A$133:$J$138,10,FALSE))+IF(ISNA(VLOOKUP($BL24,Instructions!$A$133:$J$138,10,FALSE)),0,VLOOKUP($BL24,Instructions!$A$133:$J$138,10,FALSE)))&lt;2,"Poor","Usable")</f>
        <v>Usable</v>
      </c>
      <c r="CS24" s="409">
        <f>IF(ISNA(VLOOKUP($D24,Selections!$A$7:$B$19,2,FALSE)),0.4,VLOOKUP($D24,Selections!$A$7:$B$19,2,FALSE))</f>
        <v>0.5</v>
      </c>
      <c r="CT24" s="409">
        <f t="shared" si="0"/>
        <v>42000</v>
      </c>
      <c r="CU24" s="409">
        <f>IF((OR(ISBLANK($P24),$P24&lt;=0)),IF(ISNA(VLOOKUP($O24,Selections!$A$21:$D$48,4,FALSE)),0.113,VLOOKUP($O24,Selections!$A$21:$D$48,4,FALSE)),$P24)</f>
        <v>0.28100000000000003</v>
      </c>
      <c r="CV24" s="409">
        <f>IF(ISNA(VLOOKUP($S24,Selections!$A$57:$B$75,2,FALSE)),0.6,VLOOKUP($S24,Selections!$A$57:$B$75,2,FALSE))</f>
        <v>1</v>
      </c>
      <c r="CW24" s="410">
        <f>IF(OR($H24="",$H24="Valve",$H24="PCF",$H24="Regulator",$H24="Relief Valve",$H24="Appurtenance",$H24="Meter",$H24="Other",$H24="Pig Trap",$H24="Flange"),     IF(AND($BZ24&gt;0,$O24&gt;0),     IF($BZ24&gt;(      IF(IF(ISBLANK($V24),0,ISNA(VLOOKUP($V24,Selections!$A$153:$B$177,2,FALSE))),"n/a",IF(ISBLANK($V24),0,VLOOKUP($V24,Selections!$A$153:$B$177,2,FALSE)))),    "Chk Rating","OK Rating"),"n/a" ),IF(AND($BZ24&gt;0,$O24&gt;0),$BZ24/((2*$CT24*$CU24*$CV24)/$O24),1))</f>
        <v>0.11019318759532282</v>
      </c>
      <c r="CX24" s="569" t="str">
        <f t="shared" si="25"/>
        <v>Pipe</v>
      </c>
      <c r="CY24" s="570" t="str">
        <f t="shared" si="26"/>
        <v>No</v>
      </c>
      <c r="CZ24" s="571">
        <f t="shared" si="27"/>
        <v>42000</v>
      </c>
      <c r="DA24" s="571"/>
      <c r="DB24" s="570"/>
      <c r="DC24" s="572">
        <f t="shared" si="28"/>
        <v>0.28100000000000003</v>
      </c>
      <c r="DD24" s="573"/>
      <c r="DE24" s="573" t="str">
        <f t="shared" si="29"/>
        <v>N/A</v>
      </c>
      <c r="DF24" s="573"/>
      <c r="DG24" s="570"/>
      <c r="DH24" s="574">
        <f t="shared" ca="1" si="30"/>
        <v>12.75</v>
      </c>
      <c r="DI24" s="574" t="str">
        <f t="shared" si="31"/>
        <v>N/A</v>
      </c>
      <c r="DJ24" s="570"/>
      <c r="DK24" s="575" t="str">
        <f t="shared" si="32"/>
        <v>Electric Resistance Weld</v>
      </c>
      <c r="DL24" s="573"/>
      <c r="DM24" s="576">
        <f t="shared" si="33"/>
        <v>1</v>
      </c>
      <c r="DN24" s="570"/>
      <c r="DO24" s="570" t="str">
        <f t="shared" si="34"/>
        <v>N/A</v>
      </c>
      <c r="DP24" s="570"/>
      <c r="DQ24" s="570"/>
      <c r="DR24" s="570" t="str">
        <f t="shared" ca="1" si="35"/>
        <v>N/A</v>
      </c>
      <c r="DS24" s="570">
        <f t="shared" si="36"/>
        <v>3</v>
      </c>
      <c r="DT24" s="577">
        <f t="shared" ca="1" si="37"/>
        <v>0.5</v>
      </c>
      <c r="DU24" s="570">
        <f t="shared" ca="1" si="38"/>
        <v>925</v>
      </c>
      <c r="DV24" s="570" t="str">
        <f t="shared" ca="1" si="39"/>
        <v>N/A</v>
      </c>
      <c r="DW24" s="570">
        <f t="shared" ca="1" si="40"/>
        <v>1</v>
      </c>
      <c r="DX24" s="569">
        <f t="shared" ca="1" si="41"/>
        <v>925</v>
      </c>
      <c r="DY24" s="570" t="str">
        <f t="shared" ca="1" si="12"/>
        <v>N/A</v>
      </c>
      <c r="DZ24" s="578">
        <f t="shared" si="42"/>
        <v>32212</v>
      </c>
      <c r="EA24" s="578">
        <f t="shared" si="43"/>
        <v>32212</v>
      </c>
      <c r="EB24" s="570">
        <f t="shared" si="44"/>
        <v>3</v>
      </c>
      <c r="EC24" s="570">
        <f t="shared" si="45"/>
        <v>1690</v>
      </c>
      <c r="ED24" s="579">
        <f t="shared" si="46"/>
        <v>8.25</v>
      </c>
      <c r="EE24" s="580" t="str">
        <f t="shared" si="47"/>
        <v>No</v>
      </c>
      <c r="EF24" s="577" t="str">
        <f t="shared" si="48"/>
        <v>Yes</v>
      </c>
      <c r="EG24" s="577">
        <f ca="1">IF(OR(EA24="N/A",DY24&lt;&gt;"N/A"),"N/A",IF(AND(DZ24&gt;=DATE(1961,7,1),EA24&gt;=DATE(1961,7,1),OR(DQ24="1 in Station",DQ24="2 in Station",DS24="1 in Station",DS24="2 in Station")),1.5,IF(AND(DK24="Electric Resistance Weld",YEAR(DZ24)&lt;1970,EA24&lt;DATE(1961,7,1),OR(DQ24=1,DQ24="1 in Station",DQ24="1 in Public Road Crossing",DQ24="1 in Hard Road Parallel",DQ24="1 on Bridge",DS24=1,DS24="1 in Station",DS24="1 in Public Road Crossing",DS24="1 in Hard Road Parallel",DS24="1 on Bridge")),1.25,INDEX('FVE Table'!$C$3:$F$5,EB24,IF(AND(ABS(DZ24-EA24)&lt;=365,DQ24&gt;0),LEFT(DQ24,1),LEFT(DS24,1))))))</f>
        <v>1.5</v>
      </c>
      <c r="EH24" s="570">
        <f t="shared" ca="1" si="49"/>
        <v>1126</v>
      </c>
      <c r="EI24" s="570" t="str">
        <f t="shared" ca="1" si="50"/>
        <v>N/A</v>
      </c>
      <c r="EJ24" s="570" t="str">
        <f t="shared" ca="1" si="51"/>
        <v>N/A</v>
      </c>
      <c r="EK24" s="581">
        <f t="shared" si="52"/>
        <v>204</v>
      </c>
      <c r="EL24" s="570"/>
      <c r="EM24" s="582">
        <f t="shared" ca="1" si="53"/>
        <v>0.1101931875953228</v>
      </c>
      <c r="EN24" s="582" t="str">
        <f t="shared" ca="1" si="54"/>
        <v>N/A</v>
      </c>
      <c r="EO24" s="570">
        <f t="shared" ca="1" si="55"/>
        <v>204</v>
      </c>
      <c r="EP24" s="570" t="str">
        <f t="shared" ca="1" si="56"/>
        <v>R</v>
      </c>
      <c r="EQ24" s="582">
        <f t="shared" ca="1" si="57"/>
        <v>0.1101931875953228</v>
      </c>
      <c r="ER24" s="573">
        <f t="shared" si="22"/>
        <v>0</v>
      </c>
      <c r="ES24" s="762"/>
      <c r="ET24" s="762"/>
      <c r="EU24" s="585"/>
      <c r="EV24" s="583"/>
      <c r="EW24" s="583"/>
      <c r="EX24" s="584"/>
      <c r="EY24" s="759"/>
      <c r="EZ24" s="585"/>
      <c r="FA24" s="585"/>
      <c r="FB24" s="585"/>
      <c r="FC24" s="585"/>
    </row>
    <row r="25" spans="1:159" ht="15" customHeight="1" x14ac:dyDescent="0.2">
      <c r="A25" s="389">
        <f t="shared" si="23"/>
        <v>0</v>
      </c>
      <c r="B25" s="389">
        <f t="shared" si="24"/>
        <v>0</v>
      </c>
      <c r="C25" s="390" t="s">
        <v>2003</v>
      </c>
      <c r="D25" s="391">
        <v>3</v>
      </c>
      <c r="E25" s="391">
        <v>4416897</v>
      </c>
      <c r="F25" s="392">
        <v>31154</v>
      </c>
      <c r="G25" s="393">
        <v>23</v>
      </c>
      <c r="H25" s="394" t="s">
        <v>153</v>
      </c>
      <c r="I25" s="395" t="s">
        <v>68</v>
      </c>
      <c r="J25" s="396">
        <v>440</v>
      </c>
      <c r="K25" s="404" t="s">
        <v>2034</v>
      </c>
      <c r="O25" s="398">
        <v>12.75</v>
      </c>
      <c r="P25" s="398">
        <v>0.312</v>
      </c>
      <c r="S25" s="395" t="s">
        <v>730</v>
      </c>
      <c r="T25" s="390" t="s">
        <v>195</v>
      </c>
      <c r="U25" s="399">
        <v>42000</v>
      </c>
      <c r="Y25" s="390"/>
      <c r="Z25" s="390" t="s">
        <v>158</v>
      </c>
      <c r="AB25" s="401" t="s">
        <v>1095</v>
      </c>
      <c r="AC25" s="402" t="s">
        <v>1409</v>
      </c>
      <c r="AG25" s="391"/>
      <c r="AK25" s="390"/>
      <c r="AL25" s="390"/>
      <c r="AM25" s="390"/>
      <c r="AN25" s="390"/>
      <c r="AO25" s="390"/>
      <c r="AP25" s="390" t="s">
        <v>158</v>
      </c>
      <c r="AR25" s="392">
        <v>31154</v>
      </c>
      <c r="AS25" s="390" t="s">
        <v>158</v>
      </c>
      <c r="AT25" s="405">
        <v>11251</v>
      </c>
      <c r="AU25" s="390" t="s">
        <v>2035</v>
      </c>
      <c r="AV25" s="392">
        <v>30986</v>
      </c>
      <c r="AW25" s="403" t="s">
        <v>590</v>
      </c>
      <c r="AX25" s="406" t="s">
        <v>590</v>
      </c>
      <c r="AY25" s="406" t="s">
        <v>590</v>
      </c>
      <c r="AZ25" s="406" t="s">
        <v>158</v>
      </c>
      <c r="BA25" s="390"/>
      <c r="BB25" s="395"/>
      <c r="BC25" s="390"/>
      <c r="BD25" s="395"/>
      <c r="BE25" s="390" t="s">
        <v>2036</v>
      </c>
      <c r="BF25" s="395" t="s">
        <v>40</v>
      </c>
      <c r="BG25" s="390" t="s">
        <v>2037</v>
      </c>
      <c r="BH25" s="395" t="s">
        <v>40</v>
      </c>
      <c r="BI25" s="390"/>
      <c r="BJ25" s="395"/>
      <c r="BK25" s="390"/>
      <c r="BL25" s="395"/>
      <c r="BM25" s="404" t="s">
        <v>1992</v>
      </c>
      <c r="BN25" s="404" t="s">
        <v>2038</v>
      </c>
      <c r="BO25" s="403" t="s">
        <v>637</v>
      </c>
      <c r="BP25" s="403">
        <v>4416897</v>
      </c>
      <c r="BQ25" s="403" t="s">
        <v>642</v>
      </c>
      <c r="BR25" s="408">
        <v>1898</v>
      </c>
      <c r="BS25" s="396">
        <v>8.1660000000000004</v>
      </c>
      <c r="BT25" s="807"/>
      <c r="BU25" s="392">
        <v>31154</v>
      </c>
      <c r="BV25" s="403" t="s">
        <v>2039</v>
      </c>
      <c r="BW25" s="403" t="s">
        <v>2086</v>
      </c>
      <c r="BZ25" s="399">
        <v>204</v>
      </c>
      <c r="CA25" s="390" t="s">
        <v>2040</v>
      </c>
      <c r="CB25" s="852" t="s">
        <v>2041</v>
      </c>
      <c r="CC25" s="852" t="s">
        <v>2042</v>
      </c>
      <c r="CD25" s="390" t="s">
        <v>2043</v>
      </c>
      <c r="CE25" s="390"/>
      <c r="CF25" s="390" t="s">
        <v>40</v>
      </c>
      <c r="CG25" s="390"/>
      <c r="CH25" s="390" t="s">
        <v>1112</v>
      </c>
      <c r="CI25" s="403" t="s">
        <v>1998</v>
      </c>
      <c r="CJ25" s="403" t="s">
        <v>1999</v>
      </c>
      <c r="CK25" s="403" t="s">
        <v>2000</v>
      </c>
      <c r="CL25" s="403" t="s">
        <v>589</v>
      </c>
      <c r="CM25" s="390" t="s">
        <v>2044</v>
      </c>
      <c r="CN25" s="390" t="s">
        <v>2045</v>
      </c>
      <c r="CO25" s="390"/>
      <c r="CP25" s="390"/>
      <c r="CQ25" s="390"/>
      <c r="CR25" s="409" t="str">
        <f>IF((IF(ISNA(VLOOKUP($BB25,Instructions!$A$133:$J$138,10,FALSE)),0,VLOOKUP($BB25,Instructions!$A$133:$J$138,10,FALSE))+IF(ISNA(VLOOKUP($BD25,Instructions!$A$133:$J$138,10,FALSE)),0,VLOOKUP($BD25,Instructions!$A$133:$J$138,10,FALSE))+IF(ISNA(VLOOKUP($BF25,Instructions!$A$133:$J$138,10,FALSE)),0,VLOOKUP($BF25,Instructions!$A$133:$J$138,10,FALSE))+IF(ISNA(VLOOKUP($BH25,Instructions!$A$133:$J$138,10,FALSE)),0,VLOOKUP($BH25,Instructions!$A$133:$J$138,10,FALSE))+IF(ISNA(VLOOKUP($BJ25,Instructions!$A$133:$J$138,10,FALSE)),0,VLOOKUP($BJ25,Instructions!$A$133:$J$138,10,FALSE))+IF(ISNA(VLOOKUP($BL25,Instructions!$A$133:$J$138,10,FALSE)),0,VLOOKUP($BL25,Instructions!$A$133:$J$138,10,FALSE)))&lt;2,"Poor","Usable")</f>
        <v>Usable</v>
      </c>
      <c r="CS25" s="409">
        <f>IF(ISNA(VLOOKUP($D25,Selections!$A$7:$B$19,2,FALSE)),0.4,VLOOKUP($D25,Selections!$A$7:$B$19,2,FALSE))</f>
        <v>0.5</v>
      </c>
      <c r="CT25" s="409">
        <f t="shared" si="0"/>
        <v>42000</v>
      </c>
      <c r="CU25" s="409">
        <f>IF((OR(ISBLANK($P25),$P25&lt;=0)),IF(ISNA(VLOOKUP($O25,Selections!$A$21:$D$48,4,FALSE)),0.113,VLOOKUP($O25,Selections!$A$21:$D$48,4,FALSE)),$P25)</f>
        <v>0.312</v>
      </c>
      <c r="CV25" s="409">
        <f>IF(ISNA(VLOOKUP($S25,Selections!$A$57:$B$75,2,FALSE)),0.6,VLOOKUP($S25,Selections!$A$57:$B$75,2,FALSE))</f>
        <v>1</v>
      </c>
      <c r="CW25" s="410">
        <f>IF(OR($H25="",$H25="Valve",$H25="PCF",$H25="Regulator",$H25="Relief Valve",$H25="Appurtenance",$H25="Meter",$H25="Other",$H25="Pig Trap",$H25="Flange"),     IF(AND($BZ25&gt;0,$O25&gt;0),     IF($BZ25&gt;(      IF(IF(ISBLANK($V25),0,ISNA(VLOOKUP($V25,Selections!$A$153:$B$177,2,FALSE))),"n/a",IF(ISBLANK($V25),0,VLOOKUP($V25,Selections!$A$153:$B$177,2,FALSE)))),    "Chk Rating","OK Rating"),"n/a" ),IF(AND($BZ25&gt;0,$O25&gt;0),$BZ25/((2*$CT25*$CU25*$CV25)/$O25),1))</f>
        <v>9.9244505494505489E-2</v>
      </c>
      <c r="CX25" s="569" t="str">
        <f t="shared" si="25"/>
        <v>Pipe</v>
      </c>
      <c r="CY25" s="570" t="str">
        <f t="shared" si="26"/>
        <v>No</v>
      </c>
      <c r="CZ25" s="571">
        <f t="shared" si="27"/>
        <v>42000</v>
      </c>
      <c r="DA25" s="571"/>
      <c r="DB25" s="570"/>
      <c r="DC25" s="572">
        <f t="shared" si="28"/>
        <v>0.312</v>
      </c>
      <c r="DD25" s="573"/>
      <c r="DE25" s="573" t="str">
        <f t="shared" si="29"/>
        <v>N/A</v>
      </c>
      <c r="DF25" s="573"/>
      <c r="DG25" s="570"/>
      <c r="DH25" s="574">
        <f t="shared" ca="1" si="30"/>
        <v>12.75</v>
      </c>
      <c r="DI25" s="574" t="str">
        <f t="shared" si="31"/>
        <v>N/A</v>
      </c>
      <c r="DJ25" s="570"/>
      <c r="DK25" s="575" t="str">
        <f t="shared" si="32"/>
        <v>Electric Resistance Weld</v>
      </c>
      <c r="DL25" s="573"/>
      <c r="DM25" s="576">
        <f t="shared" si="33"/>
        <v>1</v>
      </c>
      <c r="DN25" s="570"/>
      <c r="DO25" s="570" t="str">
        <f t="shared" si="34"/>
        <v>N/A</v>
      </c>
      <c r="DP25" s="570"/>
      <c r="DQ25" s="570"/>
      <c r="DR25" s="570" t="str">
        <f t="shared" ca="1" si="35"/>
        <v>N/A</v>
      </c>
      <c r="DS25" s="570">
        <f t="shared" si="36"/>
        <v>3</v>
      </c>
      <c r="DT25" s="577">
        <f t="shared" ca="1" si="37"/>
        <v>0.5</v>
      </c>
      <c r="DU25" s="570">
        <f t="shared" ca="1" si="38"/>
        <v>1027</v>
      </c>
      <c r="DV25" s="570" t="str">
        <f t="shared" ca="1" si="39"/>
        <v>N/A</v>
      </c>
      <c r="DW25" s="570">
        <f t="shared" ca="1" si="40"/>
        <v>1</v>
      </c>
      <c r="DX25" s="569">
        <f t="shared" ca="1" si="41"/>
        <v>1027</v>
      </c>
      <c r="DY25" s="570" t="str">
        <f t="shared" ca="1" si="12"/>
        <v>N/A</v>
      </c>
      <c r="DZ25" s="578">
        <f t="shared" si="42"/>
        <v>31154</v>
      </c>
      <c r="EA25" s="578">
        <f t="shared" si="43"/>
        <v>31154</v>
      </c>
      <c r="EB25" s="570">
        <f t="shared" si="44"/>
        <v>3</v>
      </c>
      <c r="EC25" s="570">
        <f t="shared" si="45"/>
        <v>1898</v>
      </c>
      <c r="ED25" s="579">
        <f t="shared" si="46"/>
        <v>8.1660000000000004</v>
      </c>
      <c r="EE25" s="580" t="str">
        <f t="shared" si="47"/>
        <v>No</v>
      </c>
      <c r="EF25" s="577" t="str">
        <f t="shared" si="48"/>
        <v>Yes</v>
      </c>
      <c r="EG25" s="577">
        <f ca="1">IF(OR(EA25="N/A",DY25&lt;&gt;"N/A"),"N/A",IF(AND(DZ25&gt;=DATE(1961,7,1),EA25&gt;=DATE(1961,7,1),OR(DQ25="1 in Station",DQ25="2 in Station",DS25="1 in Station",DS25="2 in Station")),1.5,IF(AND(DK25="Electric Resistance Weld",YEAR(DZ25)&lt;1970,EA25&lt;DATE(1961,7,1),OR(DQ25=1,DQ25="1 in Station",DQ25="1 in Public Road Crossing",DQ25="1 in Hard Road Parallel",DQ25="1 on Bridge",DS25=1,DS25="1 in Station",DS25="1 in Public Road Crossing",DS25="1 in Hard Road Parallel",DS25="1 on Bridge")),1.25,INDEX('FVE Table'!$C$3:$F$5,EB25,IF(AND(ABS(DZ25-EA25)&lt;=365,DQ25&gt;0),LEFT(DQ25,1),LEFT(DS25,1))))))</f>
        <v>1.5</v>
      </c>
      <c r="EH25" s="570">
        <f t="shared" ca="1" si="49"/>
        <v>1265</v>
      </c>
      <c r="EI25" s="570" t="str">
        <f t="shared" ca="1" si="50"/>
        <v>N/A</v>
      </c>
      <c r="EJ25" s="570" t="str">
        <f t="shared" ca="1" si="51"/>
        <v>N/A</v>
      </c>
      <c r="EK25" s="581">
        <f t="shared" si="52"/>
        <v>204</v>
      </c>
      <c r="EL25" s="570"/>
      <c r="EM25" s="582">
        <f t="shared" ca="1" si="53"/>
        <v>9.9244505494505489E-2</v>
      </c>
      <c r="EN25" s="582" t="str">
        <f t="shared" ca="1" si="54"/>
        <v>N/A</v>
      </c>
      <c r="EO25" s="570">
        <f t="shared" ca="1" si="55"/>
        <v>204</v>
      </c>
      <c r="EP25" s="570" t="str">
        <f t="shared" ca="1" si="56"/>
        <v>R</v>
      </c>
      <c r="EQ25" s="582">
        <f t="shared" ca="1" si="57"/>
        <v>9.9244505494505489E-2</v>
      </c>
      <c r="ER25" s="573">
        <f t="shared" si="22"/>
        <v>0</v>
      </c>
      <c r="ES25" s="762"/>
      <c r="ET25" s="762"/>
      <c r="EU25" s="585"/>
      <c r="EV25" s="583"/>
      <c r="EW25" s="583"/>
      <c r="EX25" s="584"/>
      <c r="EY25" s="759"/>
      <c r="EZ25" s="585"/>
      <c r="FA25" s="585"/>
      <c r="FB25" s="585"/>
      <c r="FC25" s="585"/>
    </row>
    <row r="26" spans="1:159" ht="15" customHeight="1" x14ac:dyDescent="0.2">
      <c r="A26" s="389">
        <f t="shared" si="23"/>
        <v>0</v>
      </c>
      <c r="B26" s="389">
        <f t="shared" si="24"/>
        <v>0</v>
      </c>
      <c r="C26" s="390" t="s">
        <v>2003</v>
      </c>
      <c r="D26" s="391">
        <v>3</v>
      </c>
      <c r="E26" s="391">
        <v>4416897</v>
      </c>
      <c r="F26" s="392">
        <v>31154</v>
      </c>
      <c r="G26" s="393">
        <v>24</v>
      </c>
      <c r="H26" s="394" t="s">
        <v>274</v>
      </c>
      <c r="I26" s="395" t="s">
        <v>158</v>
      </c>
      <c r="J26" s="396">
        <v>0</v>
      </c>
      <c r="O26" s="398">
        <v>12.75</v>
      </c>
      <c r="P26" s="398">
        <v>0.312</v>
      </c>
      <c r="S26" s="395" t="s">
        <v>730</v>
      </c>
      <c r="T26" s="390" t="s">
        <v>195</v>
      </c>
      <c r="U26" s="399">
        <v>42000</v>
      </c>
      <c r="Y26" s="390"/>
      <c r="Z26" s="390" t="s">
        <v>158</v>
      </c>
      <c r="AD26" s="396">
        <v>5</v>
      </c>
      <c r="AE26" s="403" t="s">
        <v>158</v>
      </c>
      <c r="AF26" s="403" t="s">
        <v>591</v>
      </c>
      <c r="AG26" s="391"/>
      <c r="AK26" s="390"/>
      <c r="AL26" s="390"/>
      <c r="AM26" s="390"/>
      <c r="AN26" s="390"/>
      <c r="AO26" s="390"/>
      <c r="AP26" s="390" t="s">
        <v>158</v>
      </c>
      <c r="AR26" s="392">
        <v>31154</v>
      </c>
      <c r="AS26" s="390" t="s">
        <v>158</v>
      </c>
      <c r="AT26" s="405">
        <v>11251</v>
      </c>
      <c r="AU26" s="390" t="s">
        <v>2035</v>
      </c>
      <c r="AV26" s="392">
        <v>30986</v>
      </c>
      <c r="AW26" s="403" t="s">
        <v>590</v>
      </c>
      <c r="AX26" s="406" t="s">
        <v>590</v>
      </c>
      <c r="AY26" s="406" t="s">
        <v>590</v>
      </c>
      <c r="AZ26" s="406" t="s">
        <v>158</v>
      </c>
      <c r="BA26" s="390"/>
      <c r="BB26" s="395"/>
      <c r="BC26" s="390"/>
      <c r="BD26" s="395"/>
      <c r="BE26" s="390"/>
      <c r="BF26" s="395"/>
      <c r="BG26" s="390" t="s">
        <v>2037</v>
      </c>
      <c r="BH26" s="395" t="s">
        <v>40</v>
      </c>
      <c r="BI26" s="390"/>
      <c r="BJ26" s="395"/>
      <c r="BK26" s="390"/>
      <c r="BM26" s="404" t="s">
        <v>1992</v>
      </c>
      <c r="BN26" s="404" t="s">
        <v>2038</v>
      </c>
      <c r="BO26" s="403" t="s">
        <v>637</v>
      </c>
      <c r="BP26" s="403">
        <v>4416897</v>
      </c>
      <c r="BQ26" s="403" t="s">
        <v>642</v>
      </c>
      <c r="BR26" s="408">
        <v>1898</v>
      </c>
      <c r="BS26" s="396">
        <v>8.1660000000000004</v>
      </c>
      <c r="BT26" s="807"/>
      <c r="BU26" s="392">
        <v>31154</v>
      </c>
      <c r="BV26" s="403" t="s">
        <v>2039</v>
      </c>
      <c r="BW26" s="403" t="s">
        <v>2086</v>
      </c>
      <c r="BZ26" s="399">
        <v>204</v>
      </c>
      <c r="CA26" s="390" t="s">
        <v>2040</v>
      </c>
      <c r="CB26" s="852" t="s">
        <v>2041</v>
      </c>
      <c r="CC26" s="852" t="s">
        <v>2042</v>
      </c>
      <c r="CD26" s="390" t="s">
        <v>2043</v>
      </c>
      <c r="CE26" s="390"/>
      <c r="CF26" s="390" t="s">
        <v>40</v>
      </c>
      <c r="CG26" s="390"/>
      <c r="CH26" s="390" t="s">
        <v>1112</v>
      </c>
      <c r="CI26" s="403" t="s">
        <v>1998</v>
      </c>
      <c r="CJ26" s="403" t="s">
        <v>1999</v>
      </c>
      <c r="CK26" s="403" t="s">
        <v>2000</v>
      </c>
      <c r="CL26" s="403" t="s">
        <v>589</v>
      </c>
      <c r="CM26" s="390" t="s">
        <v>2044</v>
      </c>
      <c r="CN26" s="390" t="s">
        <v>2045</v>
      </c>
      <c r="CO26" s="390"/>
      <c r="CP26" s="390"/>
      <c r="CQ26" s="390"/>
      <c r="CR26" s="409" t="str">
        <f>IF((IF(ISNA(VLOOKUP($BB26,Instructions!$A$133:$J$138,10,FALSE)),0,VLOOKUP($BB26,Instructions!$A$133:$J$138,10,FALSE))+IF(ISNA(VLOOKUP($BD26,Instructions!$A$133:$J$138,10,FALSE)),0,VLOOKUP($BD26,Instructions!$A$133:$J$138,10,FALSE))+IF(ISNA(VLOOKUP($BF26,Instructions!$A$133:$J$138,10,FALSE)),0,VLOOKUP($BF26,Instructions!$A$133:$J$138,10,FALSE))+IF(ISNA(VLOOKUP($BH26,Instructions!$A$133:$J$138,10,FALSE)),0,VLOOKUP($BH26,Instructions!$A$133:$J$138,10,FALSE))+IF(ISNA(VLOOKUP($BJ26,Instructions!$A$133:$J$138,10,FALSE)),0,VLOOKUP($BJ26,Instructions!$A$133:$J$138,10,FALSE))+IF(ISNA(VLOOKUP($BL26,Instructions!$A$133:$J$138,10,FALSE)),0,VLOOKUP($BL26,Instructions!$A$133:$J$138,10,FALSE)))&lt;2,"Poor","Usable")</f>
        <v>Usable</v>
      </c>
      <c r="CS26" s="409">
        <f>IF(ISNA(VLOOKUP($D26,Selections!$A$7:$B$19,2,FALSE)),0.4,VLOOKUP($D26,Selections!$A$7:$B$19,2,FALSE))</f>
        <v>0.5</v>
      </c>
      <c r="CT26" s="409">
        <f t="shared" si="0"/>
        <v>42000</v>
      </c>
      <c r="CU26" s="409">
        <f>IF((OR(ISBLANK($P26),$P26&lt;=0)),IF(ISNA(VLOOKUP($O26,Selections!$A$21:$D$48,4,FALSE)),0.113,VLOOKUP($O26,Selections!$A$21:$D$48,4,FALSE)),$P26)</f>
        <v>0.312</v>
      </c>
      <c r="CV26" s="409">
        <f>IF(ISNA(VLOOKUP($S26,Selections!$A$57:$B$75,2,FALSE)),0.6,VLOOKUP($S26,Selections!$A$57:$B$75,2,FALSE))</f>
        <v>1</v>
      </c>
      <c r="CW26" s="410">
        <f>IF(OR($H26="",$H26="Valve",$H26="PCF",$H26="Regulator",$H26="Relief Valve",$H26="Appurtenance",$H26="Meter",$H26="Other",$H26="Pig Trap",$H26="Flange"),     IF(AND($BZ26&gt;0,$O26&gt;0),     IF($BZ26&gt;(      IF(IF(ISBLANK($V26),0,ISNA(VLOOKUP($V26,Selections!$A$153:$B$177,2,FALSE))),"n/a",IF(ISBLANK($V26),0,VLOOKUP($V26,Selections!$A$153:$B$177,2,FALSE)))),    "Chk Rating","OK Rating"),"n/a" ),IF(AND($BZ26&gt;0,$O26&gt;0),$BZ26/((2*$CT26*$CU26*$CV26)/$O26),1))</f>
        <v>9.9244505494505489E-2</v>
      </c>
      <c r="CX26" s="569" t="str">
        <f t="shared" si="25"/>
        <v>Field Bend</v>
      </c>
      <c r="CY26" s="570" t="str">
        <f t="shared" si="26"/>
        <v>No</v>
      </c>
      <c r="CZ26" s="571">
        <f t="shared" si="27"/>
        <v>42000</v>
      </c>
      <c r="DA26" s="571"/>
      <c r="DB26" s="570"/>
      <c r="DC26" s="572">
        <f t="shared" si="28"/>
        <v>0.312</v>
      </c>
      <c r="DD26" s="573"/>
      <c r="DE26" s="573" t="str">
        <f t="shared" si="29"/>
        <v>N/A</v>
      </c>
      <c r="DF26" s="573"/>
      <c r="DG26" s="570"/>
      <c r="DH26" s="574">
        <f t="shared" ca="1" si="30"/>
        <v>12.75</v>
      </c>
      <c r="DI26" s="574" t="str">
        <f t="shared" si="31"/>
        <v>N/A</v>
      </c>
      <c r="DJ26" s="570"/>
      <c r="DK26" s="575" t="str">
        <f t="shared" si="32"/>
        <v>Electric Resistance Weld</v>
      </c>
      <c r="DL26" s="573"/>
      <c r="DM26" s="576">
        <f t="shared" si="33"/>
        <v>1</v>
      </c>
      <c r="DN26" s="570"/>
      <c r="DO26" s="570" t="str">
        <f t="shared" si="34"/>
        <v>N/A</v>
      </c>
      <c r="DP26" s="570"/>
      <c r="DQ26" s="570"/>
      <c r="DR26" s="570" t="str">
        <f t="shared" ca="1" si="35"/>
        <v>N/A</v>
      </c>
      <c r="DS26" s="570">
        <f t="shared" si="36"/>
        <v>3</v>
      </c>
      <c r="DT26" s="577">
        <f t="shared" ca="1" si="37"/>
        <v>0.5</v>
      </c>
      <c r="DU26" s="570">
        <f t="shared" ca="1" si="38"/>
        <v>1027</v>
      </c>
      <c r="DV26" s="570" t="str">
        <f t="shared" ca="1" si="39"/>
        <v>N/A</v>
      </c>
      <c r="DW26" s="570">
        <f t="shared" ca="1" si="40"/>
        <v>1</v>
      </c>
      <c r="DX26" s="569">
        <f t="shared" ca="1" si="41"/>
        <v>1027</v>
      </c>
      <c r="DY26" s="570" t="str">
        <f t="shared" ca="1" si="12"/>
        <v>N/A</v>
      </c>
      <c r="DZ26" s="578">
        <f t="shared" si="42"/>
        <v>31154</v>
      </c>
      <c r="EA26" s="578">
        <f t="shared" si="43"/>
        <v>31154</v>
      </c>
      <c r="EB26" s="570">
        <f t="shared" si="44"/>
        <v>3</v>
      </c>
      <c r="EC26" s="570">
        <f t="shared" si="45"/>
        <v>1898</v>
      </c>
      <c r="ED26" s="579">
        <f t="shared" si="46"/>
        <v>8.1660000000000004</v>
      </c>
      <c r="EE26" s="580" t="str">
        <f t="shared" si="47"/>
        <v>No</v>
      </c>
      <c r="EF26" s="577" t="str">
        <f t="shared" si="48"/>
        <v>Yes</v>
      </c>
      <c r="EG26" s="577">
        <f ca="1">IF(OR(EA26="N/A",DY26&lt;&gt;"N/A"),"N/A",IF(AND(DZ26&gt;=DATE(1961,7,1),EA26&gt;=DATE(1961,7,1),OR(DQ26="1 in Station",DQ26="2 in Station",DS26="1 in Station",DS26="2 in Station")),1.5,IF(AND(DK26="Electric Resistance Weld",YEAR(DZ26)&lt;1970,EA26&lt;DATE(1961,7,1),OR(DQ26=1,DQ26="1 in Station",DQ26="1 in Public Road Crossing",DQ26="1 in Hard Road Parallel",DQ26="1 on Bridge",DS26=1,DS26="1 in Station",DS26="1 in Public Road Crossing",DS26="1 in Hard Road Parallel",DS26="1 on Bridge")),1.25,INDEX('FVE Table'!$C$3:$F$5,EB26,IF(AND(ABS(DZ26-EA26)&lt;=365,DQ26&gt;0),LEFT(DQ26,1),LEFT(DS26,1))))))</f>
        <v>1.5</v>
      </c>
      <c r="EH26" s="570">
        <f t="shared" ca="1" si="49"/>
        <v>1265</v>
      </c>
      <c r="EI26" s="570" t="str">
        <f t="shared" ca="1" si="50"/>
        <v>N/A</v>
      </c>
      <c r="EJ26" s="570" t="str">
        <f t="shared" ca="1" si="51"/>
        <v>N/A</v>
      </c>
      <c r="EK26" s="581">
        <f t="shared" si="52"/>
        <v>204</v>
      </c>
      <c r="EL26" s="570"/>
      <c r="EM26" s="582">
        <f t="shared" ca="1" si="53"/>
        <v>9.9244505494505489E-2</v>
      </c>
      <c r="EN26" s="582" t="str">
        <f t="shared" ca="1" si="54"/>
        <v>N/A</v>
      </c>
      <c r="EO26" s="570">
        <f t="shared" ca="1" si="55"/>
        <v>204</v>
      </c>
      <c r="EP26" s="570" t="str">
        <f t="shared" ca="1" si="56"/>
        <v>R</v>
      </c>
      <c r="EQ26" s="582">
        <f t="shared" ca="1" si="57"/>
        <v>9.9244505494505489E-2</v>
      </c>
      <c r="ER26" s="573">
        <f t="shared" si="22"/>
        <v>0</v>
      </c>
      <c r="ES26" s="762"/>
      <c r="ET26" s="762"/>
      <c r="EU26" s="585"/>
      <c r="EV26" s="583"/>
      <c r="EW26" s="583"/>
      <c r="EX26" s="584"/>
      <c r="EY26" s="759"/>
      <c r="EZ26" s="585"/>
      <c r="FA26" s="585"/>
      <c r="FB26" s="585"/>
      <c r="FC26" s="585"/>
    </row>
    <row r="27" spans="1:159" ht="15" customHeight="1" x14ac:dyDescent="0.2">
      <c r="A27" s="389">
        <f t="shared" si="23"/>
        <v>0</v>
      </c>
      <c r="B27" s="389">
        <f t="shared" si="24"/>
        <v>0</v>
      </c>
      <c r="C27" s="390" t="s">
        <v>2003</v>
      </c>
      <c r="D27" s="391">
        <v>3</v>
      </c>
      <c r="E27" s="391">
        <v>4416897</v>
      </c>
      <c r="F27" s="392">
        <v>31154</v>
      </c>
      <c r="G27" s="393">
        <v>25</v>
      </c>
      <c r="H27" s="394" t="s">
        <v>153</v>
      </c>
      <c r="I27" s="395" t="s">
        <v>68</v>
      </c>
      <c r="J27" s="396">
        <v>2643</v>
      </c>
      <c r="K27" s="404" t="s">
        <v>2046</v>
      </c>
      <c r="O27" s="398">
        <v>12.75</v>
      </c>
      <c r="P27" s="398">
        <v>0.312</v>
      </c>
      <c r="S27" s="395" t="s">
        <v>730</v>
      </c>
      <c r="T27" s="390" t="s">
        <v>195</v>
      </c>
      <c r="U27" s="399">
        <v>42000</v>
      </c>
      <c r="Y27" s="390"/>
      <c r="Z27" s="390" t="s">
        <v>158</v>
      </c>
      <c r="AB27" s="401" t="s">
        <v>1095</v>
      </c>
      <c r="AC27" s="402" t="s">
        <v>1409</v>
      </c>
      <c r="AG27" s="391"/>
      <c r="AK27" s="390"/>
      <c r="AL27" s="390"/>
      <c r="AM27" s="390"/>
      <c r="AN27" s="390"/>
      <c r="AO27" s="390"/>
      <c r="AP27" s="390" t="s">
        <v>158</v>
      </c>
      <c r="AR27" s="392">
        <v>31154</v>
      </c>
      <c r="AS27" s="390" t="s">
        <v>158</v>
      </c>
      <c r="AT27" s="405">
        <v>11251</v>
      </c>
      <c r="AU27" s="390" t="s">
        <v>2035</v>
      </c>
      <c r="AV27" s="392">
        <v>30986</v>
      </c>
      <c r="AW27" s="403" t="s">
        <v>590</v>
      </c>
      <c r="AX27" s="406" t="s">
        <v>590</v>
      </c>
      <c r="AY27" s="406" t="s">
        <v>590</v>
      </c>
      <c r="AZ27" s="406" t="s">
        <v>158</v>
      </c>
      <c r="BA27" s="390"/>
      <c r="BB27" s="395"/>
      <c r="BC27" s="390"/>
      <c r="BD27" s="395"/>
      <c r="BE27" s="390"/>
      <c r="BF27" s="395"/>
      <c r="BG27" s="390" t="s">
        <v>2037</v>
      </c>
      <c r="BH27" s="395" t="s">
        <v>40</v>
      </c>
      <c r="BI27" s="390" t="s">
        <v>2047</v>
      </c>
      <c r="BJ27" s="395" t="s">
        <v>40</v>
      </c>
      <c r="BK27" s="390" t="s">
        <v>2048</v>
      </c>
      <c r="BL27" s="407" t="s">
        <v>40</v>
      </c>
      <c r="BM27" s="404" t="s">
        <v>1992</v>
      </c>
      <c r="BN27" s="404" t="s">
        <v>2038</v>
      </c>
      <c r="BO27" s="403" t="s">
        <v>637</v>
      </c>
      <c r="BP27" s="403">
        <v>4416897</v>
      </c>
      <c r="BQ27" s="403" t="s">
        <v>642</v>
      </c>
      <c r="BR27" s="408">
        <v>1898</v>
      </c>
      <c r="BS27" s="396">
        <v>8.1660000000000004</v>
      </c>
      <c r="BT27" s="807"/>
      <c r="BU27" s="392">
        <v>31154</v>
      </c>
      <c r="BV27" s="403" t="s">
        <v>2039</v>
      </c>
      <c r="BW27" s="403" t="s">
        <v>2086</v>
      </c>
      <c r="BZ27" s="399">
        <v>204</v>
      </c>
      <c r="CA27" s="390" t="s">
        <v>2040</v>
      </c>
      <c r="CB27" s="852" t="s">
        <v>2041</v>
      </c>
      <c r="CC27" s="852" t="s">
        <v>2042</v>
      </c>
      <c r="CD27" s="390" t="s">
        <v>2043</v>
      </c>
      <c r="CE27" s="390"/>
      <c r="CF27" s="390" t="s">
        <v>40</v>
      </c>
      <c r="CG27" s="390"/>
      <c r="CH27" s="390" t="s">
        <v>1112</v>
      </c>
      <c r="CI27" s="403" t="s">
        <v>1998</v>
      </c>
      <c r="CJ27" s="403" t="s">
        <v>1999</v>
      </c>
      <c r="CK27" s="403" t="s">
        <v>2000</v>
      </c>
      <c r="CL27" s="403" t="s">
        <v>589</v>
      </c>
      <c r="CM27" s="390" t="s">
        <v>2044</v>
      </c>
      <c r="CN27" s="390" t="s">
        <v>2045</v>
      </c>
      <c r="CO27" s="390"/>
      <c r="CP27" s="390"/>
      <c r="CQ27" s="390"/>
      <c r="CR27" s="409" t="str">
        <f>IF((IF(ISNA(VLOOKUP($BB27,Instructions!$A$133:$J$138,10,FALSE)),0,VLOOKUP($BB27,Instructions!$A$133:$J$138,10,FALSE))+IF(ISNA(VLOOKUP($BD27,Instructions!$A$133:$J$138,10,FALSE)),0,VLOOKUP($BD27,Instructions!$A$133:$J$138,10,FALSE))+IF(ISNA(VLOOKUP($BF27,Instructions!$A$133:$J$138,10,FALSE)),0,VLOOKUP($BF27,Instructions!$A$133:$J$138,10,FALSE))+IF(ISNA(VLOOKUP($BH27,Instructions!$A$133:$J$138,10,FALSE)),0,VLOOKUP($BH27,Instructions!$A$133:$J$138,10,FALSE))+IF(ISNA(VLOOKUP($BJ27,Instructions!$A$133:$J$138,10,FALSE)),0,VLOOKUP($BJ27,Instructions!$A$133:$J$138,10,FALSE))+IF(ISNA(VLOOKUP($BL27,Instructions!$A$133:$J$138,10,FALSE)),0,VLOOKUP($BL27,Instructions!$A$133:$J$138,10,FALSE)))&lt;2,"Poor","Usable")</f>
        <v>Usable</v>
      </c>
      <c r="CS27" s="409">
        <f>IF(ISNA(VLOOKUP($D27,Selections!$A$7:$B$19,2,FALSE)),0.4,VLOOKUP($D27,Selections!$A$7:$B$19,2,FALSE))</f>
        <v>0.5</v>
      </c>
      <c r="CT27" s="409">
        <f t="shared" si="0"/>
        <v>42000</v>
      </c>
      <c r="CU27" s="409">
        <f>IF((OR(ISBLANK($P27),$P27&lt;=0)),IF(ISNA(VLOOKUP($O27,Selections!$A$21:$D$48,4,FALSE)),0.113,VLOOKUP($O27,Selections!$A$21:$D$48,4,FALSE)),$P27)</f>
        <v>0.312</v>
      </c>
      <c r="CV27" s="409">
        <f>IF(ISNA(VLOOKUP($S27,Selections!$A$57:$B$75,2,FALSE)),0.6,VLOOKUP($S27,Selections!$A$57:$B$75,2,FALSE))</f>
        <v>1</v>
      </c>
      <c r="CW27" s="410">
        <f>IF(OR($H27="",$H27="Valve",$H27="PCF",$H27="Regulator",$H27="Relief Valve",$H27="Appurtenance",$H27="Meter",$H27="Other",$H27="Pig Trap",$H27="Flange"),     IF(AND($BZ27&gt;0,$O27&gt;0),     IF($BZ27&gt;(      IF(IF(ISBLANK($V27),0,ISNA(VLOOKUP($V27,Selections!$A$153:$B$177,2,FALSE))),"n/a",IF(ISBLANK($V27),0,VLOOKUP($V27,Selections!$A$153:$B$177,2,FALSE)))),    "Chk Rating","OK Rating"),"n/a" ),IF(AND($BZ27&gt;0,$O27&gt;0),$BZ27/((2*$CT27*$CU27*$CV27)/$O27),1))</f>
        <v>9.9244505494505489E-2</v>
      </c>
      <c r="CX27" s="569" t="str">
        <f t="shared" si="25"/>
        <v>Pipe</v>
      </c>
      <c r="CY27" s="570" t="str">
        <f t="shared" si="26"/>
        <v>No</v>
      </c>
      <c r="CZ27" s="571">
        <f t="shared" si="27"/>
        <v>42000</v>
      </c>
      <c r="DA27" s="571"/>
      <c r="DB27" s="570"/>
      <c r="DC27" s="572">
        <f t="shared" si="28"/>
        <v>0.312</v>
      </c>
      <c r="DD27" s="573"/>
      <c r="DE27" s="573" t="str">
        <f t="shared" si="29"/>
        <v>N/A</v>
      </c>
      <c r="DF27" s="573"/>
      <c r="DG27" s="570"/>
      <c r="DH27" s="574">
        <f t="shared" ca="1" si="30"/>
        <v>12.75</v>
      </c>
      <c r="DI27" s="574" t="str">
        <f t="shared" si="31"/>
        <v>N/A</v>
      </c>
      <c r="DJ27" s="570"/>
      <c r="DK27" s="575" t="str">
        <f t="shared" si="32"/>
        <v>Electric Resistance Weld</v>
      </c>
      <c r="DL27" s="573"/>
      <c r="DM27" s="576">
        <f t="shared" si="33"/>
        <v>1</v>
      </c>
      <c r="DN27" s="570"/>
      <c r="DO27" s="570" t="str">
        <f t="shared" si="34"/>
        <v>N/A</v>
      </c>
      <c r="DP27" s="570"/>
      <c r="DQ27" s="570"/>
      <c r="DR27" s="570" t="str">
        <f t="shared" ca="1" si="35"/>
        <v>N/A</v>
      </c>
      <c r="DS27" s="570">
        <f t="shared" si="36"/>
        <v>3</v>
      </c>
      <c r="DT27" s="577">
        <f t="shared" ca="1" si="37"/>
        <v>0.5</v>
      </c>
      <c r="DU27" s="570">
        <f t="shared" ca="1" si="38"/>
        <v>1027</v>
      </c>
      <c r="DV27" s="570" t="str">
        <f t="shared" ca="1" si="39"/>
        <v>N/A</v>
      </c>
      <c r="DW27" s="570">
        <f t="shared" ca="1" si="40"/>
        <v>1</v>
      </c>
      <c r="DX27" s="569">
        <f t="shared" ca="1" si="41"/>
        <v>1027</v>
      </c>
      <c r="DY27" s="570" t="str">
        <f t="shared" ca="1" si="12"/>
        <v>N/A</v>
      </c>
      <c r="DZ27" s="578">
        <f t="shared" si="42"/>
        <v>31154</v>
      </c>
      <c r="EA27" s="578">
        <f t="shared" si="43"/>
        <v>31154</v>
      </c>
      <c r="EB27" s="570">
        <f t="shared" si="44"/>
        <v>3</v>
      </c>
      <c r="EC27" s="570">
        <f t="shared" si="45"/>
        <v>1898</v>
      </c>
      <c r="ED27" s="579">
        <f t="shared" si="46"/>
        <v>8.1660000000000004</v>
      </c>
      <c r="EE27" s="580" t="str">
        <f t="shared" si="47"/>
        <v>No</v>
      </c>
      <c r="EF27" s="577" t="str">
        <f t="shared" si="48"/>
        <v>Yes</v>
      </c>
      <c r="EG27" s="577">
        <f ca="1">IF(OR(EA27="N/A",DY27&lt;&gt;"N/A"),"N/A",IF(AND(DZ27&gt;=DATE(1961,7,1),EA27&gt;=DATE(1961,7,1),OR(DQ27="1 in Station",DQ27="2 in Station",DS27="1 in Station",DS27="2 in Station")),1.5,IF(AND(DK27="Electric Resistance Weld",YEAR(DZ27)&lt;1970,EA27&lt;DATE(1961,7,1),OR(DQ27=1,DQ27="1 in Station",DQ27="1 in Public Road Crossing",DQ27="1 in Hard Road Parallel",DQ27="1 on Bridge",DS27=1,DS27="1 in Station",DS27="1 in Public Road Crossing",DS27="1 in Hard Road Parallel",DS27="1 on Bridge")),1.25,INDEX('FVE Table'!$C$3:$F$5,EB27,IF(AND(ABS(DZ27-EA27)&lt;=365,DQ27&gt;0),LEFT(DQ27,1),LEFT(DS27,1))))))</f>
        <v>1.5</v>
      </c>
      <c r="EH27" s="570">
        <f t="shared" ca="1" si="49"/>
        <v>1265</v>
      </c>
      <c r="EI27" s="570" t="str">
        <f t="shared" ca="1" si="50"/>
        <v>N/A</v>
      </c>
      <c r="EJ27" s="570" t="str">
        <f t="shared" ca="1" si="51"/>
        <v>N/A</v>
      </c>
      <c r="EK27" s="581">
        <f t="shared" si="52"/>
        <v>204</v>
      </c>
      <c r="EL27" s="570"/>
      <c r="EM27" s="582">
        <f t="shared" ca="1" si="53"/>
        <v>9.9244505494505489E-2</v>
      </c>
      <c r="EN27" s="582" t="str">
        <f t="shared" ca="1" si="54"/>
        <v>N/A</v>
      </c>
      <c r="EO27" s="570">
        <f t="shared" ca="1" si="55"/>
        <v>204</v>
      </c>
      <c r="EP27" s="570" t="str">
        <f t="shared" ca="1" si="56"/>
        <v>R</v>
      </c>
      <c r="EQ27" s="582">
        <f t="shared" ca="1" si="57"/>
        <v>9.9244505494505489E-2</v>
      </c>
      <c r="ER27" s="573">
        <f t="shared" si="22"/>
        <v>0</v>
      </c>
      <c r="ES27" s="762"/>
      <c r="ET27" s="762"/>
      <c r="EU27" s="585"/>
      <c r="EV27" s="583"/>
      <c r="EW27" s="583"/>
      <c r="EX27" s="584"/>
      <c r="EY27" s="759"/>
      <c r="EZ27" s="585"/>
      <c r="FA27" s="585"/>
      <c r="FB27" s="585"/>
      <c r="FC27" s="585"/>
    </row>
    <row r="28" spans="1:159" ht="15" customHeight="1" x14ac:dyDescent="0.2">
      <c r="A28" s="389">
        <f t="shared" si="23"/>
        <v>0</v>
      </c>
      <c r="B28" s="389">
        <f t="shared" si="24"/>
        <v>0</v>
      </c>
      <c r="C28" s="390" t="s">
        <v>2003</v>
      </c>
      <c r="D28" s="391">
        <v>3</v>
      </c>
      <c r="E28" s="391">
        <v>4678504</v>
      </c>
      <c r="F28" s="392">
        <v>32216</v>
      </c>
      <c r="G28" s="393">
        <v>25.1</v>
      </c>
      <c r="H28" s="394" t="s">
        <v>153</v>
      </c>
      <c r="I28" s="395" t="s">
        <v>68</v>
      </c>
      <c r="J28" s="396">
        <v>1</v>
      </c>
      <c r="K28" s="404" t="s">
        <v>2049</v>
      </c>
      <c r="O28" s="398">
        <v>12.75</v>
      </c>
      <c r="P28" s="398">
        <v>0.28100000000000003</v>
      </c>
      <c r="S28" s="395" t="s">
        <v>730</v>
      </c>
      <c r="T28" s="390" t="s">
        <v>195</v>
      </c>
      <c r="U28" s="399">
        <v>42000</v>
      </c>
      <c r="Y28" s="390"/>
      <c r="Z28" s="390" t="s">
        <v>158</v>
      </c>
      <c r="AB28" s="401" t="s">
        <v>1095</v>
      </c>
      <c r="AC28" s="402" t="s">
        <v>1409</v>
      </c>
      <c r="AG28" s="391"/>
      <c r="AK28" s="390"/>
      <c r="AL28" s="390"/>
      <c r="AM28" s="390"/>
      <c r="AN28" s="390"/>
      <c r="AO28" s="390"/>
      <c r="AP28" s="390" t="s">
        <v>158</v>
      </c>
      <c r="AR28" s="392">
        <v>32216</v>
      </c>
      <c r="AS28" s="390" t="s">
        <v>158</v>
      </c>
      <c r="AU28" s="390" t="s">
        <v>158</v>
      </c>
      <c r="AV28" s="392"/>
      <c r="AW28" s="403" t="s">
        <v>590</v>
      </c>
      <c r="AX28" s="406" t="s">
        <v>590</v>
      </c>
      <c r="AY28" s="406" t="s">
        <v>590</v>
      </c>
      <c r="AZ28" s="406" t="s">
        <v>158</v>
      </c>
      <c r="BA28" s="390"/>
      <c r="BB28" s="395"/>
      <c r="BC28" s="390"/>
      <c r="BD28" s="395"/>
      <c r="BE28" s="852" t="s">
        <v>2016</v>
      </c>
      <c r="BF28" s="395" t="s">
        <v>40</v>
      </c>
      <c r="BG28" s="390"/>
      <c r="BH28" s="395"/>
      <c r="BI28" s="390"/>
      <c r="BJ28" s="395"/>
      <c r="BK28" s="390"/>
      <c r="BM28" s="404" t="s">
        <v>1992</v>
      </c>
      <c r="BN28" s="404" t="s">
        <v>2050</v>
      </c>
      <c r="BO28" s="403" t="s">
        <v>637</v>
      </c>
      <c r="BP28" s="403">
        <v>4678504</v>
      </c>
      <c r="BQ28" s="403" t="s">
        <v>642</v>
      </c>
      <c r="BR28" s="408">
        <v>1200</v>
      </c>
      <c r="BS28" s="396">
        <v>1.4166000000000001</v>
      </c>
      <c r="BT28" s="807"/>
      <c r="BU28" s="392">
        <v>32216</v>
      </c>
      <c r="BV28" s="403" t="s">
        <v>2032</v>
      </c>
      <c r="BW28" s="403" t="s">
        <v>2086</v>
      </c>
      <c r="BZ28" s="399">
        <v>204</v>
      </c>
      <c r="CA28" s="852" t="s">
        <v>2051</v>
      </c>
      <c r="CB28" s="852" t="s">
        <v>2052</v>
      </c>
      <c r="CC28" s="852" t="s">
        <v>2053</v>
      </c>
      <c r="CD28" s="390"/>
      <c r="CE28" s="852" t="s">
        <v>2054</v>
      </c>
      <c r="CF28" s="390" t="s">
        <v>40</v>
      </c>
      <c r="CG28" s="390"/>
      <c r="CH28" s="390" t="s">
        <v>1112</v>
      </c>
      <c r="CI28" s="403" t="s">
        <v>1998</v>
      </c>
      <c r="CJ28" s="403" t="s">
        <v>1999</v>
      </c>
      <c r="CK28" s="403" t="s">
        <v>2000</v>
      </c>
      <c r="CL28" s="403" t="s">
        <v>589</v>
      </c>
      <c r="CM28" s="852" t="s">
        <v>2017</v>
      </c>
      <c r="CN28" s="390"/>
      <c r="CO28" s="390"/>
      <c r="CP28" s="390"/>
      <c r="CQ28" s="390"/>
      <c r="CR28" s="409" t="str">
        <f>IF((IF(ISNA(VLOOKUP($BB28,Instructions!$A$133:$J$138,10,FALSE)),0,VLOOKUP($BB28,Instructions!$A$133:$J$138,10,FALSE))+IF(ISNA(VLOOKUP($BD28,Instructions!$A$133:$J$138,10,FALSE)),0,VLOOKUP($BD28,Instructions!$A$133:$J$138,10,FALSE))+IF(ISNA(VLOOKUP($BF28,Instructions!$A$133:$J$138,10,FALSE)),0,VLOOKUP($BF28,Instructions!$A$133:$J$138,10,FALSE))+IF(ISNA(VLOOKUP($BH28,Instructions!$A$133:$J$138,10,FALSE)),0,VLOOKUP($BH28,Instructions!$A$133:$J$138,10,FALSE))+IF(ISNA(VLOOKUP($BJ28,Instructions!$A$133:$J$138,10,FALSE)),0,VLOOKUP($BJ28,Instructions!$A$133:$J$138,10,FALSE))+IF(ISNA(VLOOKUP($BL28,Instructions!$A$133:$J$138,10,FALSE)),0,VLOOKUP($BL28,Instructions!$A$133:$J$138,10,FALSE)))&lt;2,"Poor","Usable")</f>
        <v>Usable</v>
      </c>
      <c r="CS28" s="409">
        <f>IF(ISNA(VLOOKUP($D28,Selections!$A$7:$B$19,2,FALSE)),0.4,VLOOKUP($D28,Selections!$A$7:$B$19,2,FALSE))</f>
        <v>0.5</v>
      </c>
      <c r="CT28" s="409">
        <f t="shared" si="0"/>
        <v>42000</v>
      </c>
      <c r="CU28" s="409">
        <f>IF((OR(ISBLANK($P28),$P28&lt;=0)),IF(ISNA(VLOOKUP($O28,Selections!$A$21:$D$48,4,FALSE)),0.113,VLOOKUP($O28,Selections!$A$21:$D$48,4,FALSE)),$P28)</f>
        <v>0.28100000000000003</v>
      </c>
      <c r="CV28" s="409">
        <f>IF(ISNA(VLOOKUP($S28,Selections!$A$57:$B$75,2,FALSE)),0.6,VLOOKUP($S28,Selections!$A$57:$B$75,2,FALSE))</f>
        <v>1</v>
      </c>
      <c r="CW28" s="410">
        <f>IF(OR($H28="",$H28="Valve",$H28="PCF",$H28="Regulator",$H28="Relief Valve",$H28="Appurtenance",$H28="Meter",$H28="Other",$H28="Pig Trap",$H28="Flange"),     IF(AND($BZ28&gt;0,$O28&gt;0),     IF($BZ28&gt;(      IF(IF(ISBLANK($V28),0,ISNA(VLOOKUP($V28,Selections!$A$153:$B$177,2,FALSE))),"n/a",IF(ISBLANK($V28),0,VLOOKUP($V28,Selections!$A$153:$B$177,2,FALSE)))),    "Chk Rating","OK Rating"),"n/a" ),IF(AND($BZ28&gt;0,$O28&gt;0),$BZ28/((2*$CT28*$CU28*$CV28)/$O28),1))</f>
        <v>0.11019318759532282</v>
      </c>
      <c r="CX28" s="569" t="str">
        <f t="shared" si="25"/>
        <v>Pipe</v>
      </c>
      <c r="CY28" s="570" t="str">
        <f t="shared" si="26"/>
        <v>No</v>
      </c>
      <c r="CZ28" s="571">
        <f t="shared" si="27"/>
        <v>42000</v>
      </c>
      <c r="DA28" s="571"/>
      <c r="DB28" s="570"/>
      <c r="DC28" s="572">
        <f t="shared" si="28"/>
        <v>0.28100000000000003</v>
      </c>
      <c r="DD28" s="573"/>
      <c r="DE28" s="573" t="str">
        <f t="shared" si="29"/>
        <v>N/A</v>
      </c>
      <c r="DF28" s="573"/>
      <c r="DG28" s="570"/>
      <c r="DH28" s="574">
        <f t="shared" ca="1" si="30"/>
        <v>12.75</v>
      </c>
      <c r="DI28" s="574" t="str">
        <f t="shared" si="31"/>
        <v>N/A</v>
      </c>
      <c r="DJ28" s="570"/>
      <c r="DK28" s="575" t="str">
        <f t="shared" si="32"/>
        <v>Electric Resistance Weld</v>
      </c>
      <c r="DL28" s="573"/>
      <c r="DM28" s="576">
        <f t="shared" si="33"/>
        <v>1</v>
      </c>
      <c r="DN28" s="570"/>
      <c r="DO28" s="570" t="str">
        <f t="shared" si="34"/>
        <v>N/A</v>
      </c>
      <c r="DP28" s="570"/>
      <c r="DQ28" s="570"/>
      <c r="DR28" s="570" t="str">
        <f t="shared" ca="1" si="35"/>
        <v>N/A</v>
      </c>
      <c r="DS28" s="570">
        <f t="shared" si="36"/>
        <v>3</v>
      </c>
      <c r="DT28" s="577">
        <f t="shared" ca="1" si="37"/>
        <v>0.5</v>
      </c>
      <c r="DU28" s="570">
        <f t="shared" ca="1" si="38"/>
        <v>925</v>
      </c>
      <c r="DV28" s="570" t="str">
        <f t="shared" ca="1" si="39"/>
        <v>N/A</v>
      </c>
      <c r="DW28" s="570">
        <f t="shared" ca="1" si="40"/>
        <v>1</v>
      </c>
      <c r="DX28" s="569">
        <f t="shared" ca="1" si="41"/>
        <v>925</v>
      </c>
      <c r="DY28" s="570" t="str">
        <f t="shared" ca="1" si="12"/>
        <v>N/A</v>
      </c>
      <c r="DZ28" s="578">
        <f t="shared" si="42"/>
        <v>32216</v>
      </c>
      <c r="EA28" s="578">
        <f t="shared" si="43"/>
        <v>32216</v>
      </c>
      <c r="EB28" s="570">
        <f t="shared" si="44"/>
        <v>3</v>
      </c>
      <c r="EC28" s="570">
        <f t="shared" si="45"/>
        <v>1200</v>
      </c>
      <c r="ED28" s="579">
        <f t="shared" si="46"/>
        <v>1.4166000000000001</v>
      </c>
      <c r="EE28" s="580" t="str">
        <f t="shared" si="47"/>
        <v>No</v>
      </c>
      <c r="EF28" s="577" t="str">
        <f t="shared" si="48"/>
        <v>No</v>
      </c>
      <c r="EG28" s="577">
        <f ca="1">IF(OR(EA28="N/A",DY28&lt;&gt;"N/A"),"N/A",IF(AND(DZ28&gt;=DATE(1961,7,1),EA28&gt;=DATE(1961,7,1),OR(DQ28="1 in Station",DQ28="2 in Station",DS28="1 in Station",DS28="2 in Station")),1.5,IF(AND(DK28="Electric Resistance Weld",YEAR(DZ28)&lt;1970,EA28&lt;DATE(1961,7,1),OR(DQ28=1,DQ28="1 in Station",DQ28="1 in Public Road Crossing",DQ28="1 in Hard Road Parallel",DQ28="1 on Bridge",DS28=1,DS28="1 in Station",DS28="1 in Public Road Crossing",DS28="1 in Hard Road Parallel",DS28="1 on Bridge")),1.25,INDEX('FVE Table'!$C$3:$F$5,EB28,IF(AND(ABS(DZ28-EA28)&lt;=365,DQ28&gt;0),LEFT(DQ28,1),LEFT(DS28,1))))))</f>
        <v>1.5</v>
      </c>
      <c r="EH28" s="570">
        <f t="shared" ca="1" si="49"/>
        <v>555</v>
      </c>
      <c r="EI28" s="570" t="str">
        <f t="shared" ca="1" si="50"/>
        <v>N/A</v>
      </c>
      <c r="EJ28" s="570" t="str">
        <f t="shared" ca="1" si="51"/>
        <v>N/A</v>
      </c>
      <c r="EK28" s="581">
        <f t="shared" si="52"/>
        <v>204</v>
      </c>
      <c r="EL28" s="570"/>
      <c r="EM28" s="582">
        <f t="shared" ca="1" si="53"/>
        <v>0.1101931875953228</v>
      </c>
      <c r="EN28" s="582" t="str">
        <f t="shared" ca="1" si="54"/>
        <v>N/A</v>
      </c>
      <c r="EO28" s="570">
        <f t="shared" ca="1" si="55"/>
        <v>204</v>
      </c>
      <c r="EP28" s="570" t="str">
        <f t="shared" ca="1" si="56"/>
        <v>R</v>
      </c>
      <c r="EQ28" s="582">
        <f t="shared" ca="1" si="57"/>
        <v>0.1101931875953228</v>
      </c>
      <c r="ER28" s="573">
        <f t="shared" si="22"/>
        <v>0</v>
      </c>
      <c r="ES28" s="762"/>
      <c r="ET28" s="762"/>
      <c r="EU28" s="585"/>
      <c r="EV28" s="583"/>
      <c r="EW28" s="583"/>
      <c r="EX28" s="584"/>
      <c r="EY28" s="759"/>
      <c r="EZ28" s="585"/>
      <c r="FA28" s="585"/>
      <c r="FB28" s="585"/>
      <c r="FC28" s="585"/>
    </row>
    <row r="29" spans="1:159" ht="15" customHeight="1" x14ac:dyDescent="0.2">
      <c r="A29" s="389">
        <f t="shared" si="23"/>
        <v>0</v>
      </c>
      <c r="B29" s="389">
        <f t="shared" si="24"/>
        <v>0</v>
      </c>
      <c r="C29" s="390" t="s">
        <v>2003</v>
      </c>
      <c r="D29" s="391">
        <v>3</v>
      </c>
      <c r="E29" s="391">
        <v>4678504</v>
      </c>
      <c r="F29" s="392">
        <v>32216</v>
      </c>
      <c r="G29" s="393">
        <v>26</v>
      </c>
      <c r="H29" s="394" t="s">
        <v>474</v>
      </c>
      <c r="I29" s="395" t="s">
        <v>314</v>
      </c>
      <c r="J29" s="396">
        <v>1.7</v>
      </c>
      <c r="O29" s="398">
        <v>12.75</v>
      </c>
      <c r="P29" s="398">
        <v>0.375</v>
      </c>
      <c r="Q29" s="398">
        <v>6.625</v>
      </c>
      <c r="R29" s="398">
        <v>0.28000000000000003</v>
      </c>
      <c r="S29" s="395" t="s">
        <v>329</v>
      </c>
      <c r="T29" s="390" t="s">
        <v>158</v>
      </c>
      <c r="U29" s="399" t="s">
        <v>606</v>
      </c>
      <c r="V29" s="390" t="s">
        <v>158</v>
      </c>
      <c r="Y29" s="390"/>
      <c r="Z29" s="390" t="s">
        <v>158</v>
      </c>
      <c r="AG29" s="391" t="s">
        <v>590</v>
      </c>
      <c r="AK29" s="390"/>
      <c r="AL29" s="390"/>
      <c r="AM29" s="390"/>
      <c r="AN29" s="390"/>
      <c r="AO29" s="390"/>
      <c r="AP29" s="390" t="s">
        <v>158</v>
      </c>
      <c r="AR29" s="392">
        <v>32216</v>
      </c>
      <c r="AS29" s="390" t="s">
        <v>158</v>
      </c>
      <c r="AU29" s="390" t="s">
        <v>158</v>
      </c>
      <c r="AV29" s="392"/>
      <c r="AW29" s="403" t="s">
        <v>590</v>
      </c>
      <c r="AX29" s="406" t="s">
        <v>590</v>
      </c>
      <c r="AY29" s="406" t="s">
        <v>590</v>
      </c>
      <c r="AZ29" s="406" t="s">
        <v>158</v>
      </c>
      <c r="BA29" s="390"/>
      <c r="BB29" s="395"/>
      <c r="BC29" s="390"/>
      <c r="BD29" s="395"/>
      <c r="BE29" s="852" t="s">
        <v>2016</v>
      </c>
      <c r="BF29" s="395" t="s">
        <v>40</v>
      </c>
      <c r="BG29" s="390"/>
      <c r="BH29" s="395"/>
      <c r="BI29" s="390"/>
      <c r="BJ29" s="395"/>
      <c r="BK29" s="390"/>
      <c r="BM29" s="404" t="s">
        <v>1992</v>
      </c>
      <c r="BN29" s="404" t="s">
        <v>2050</v>
      </c>
      <c r="BO29" s="403" t="s">
        <v>637</v>
      </c>
      <c r="BP29" s="403">
        <v>4678504</v>
      </c>
      <c r="BQ29" s="403" t="s">
        <v>642</v>
      </c>
      <c r="BR29" s="408">
        <v>1200</v>
      </c>
      <c r="BS29" s="396">
        <v>1.4166000000000001</v>
      </c>
      <c r="BT29" s="807"/>
      <c r="BU29" s="392">
        <v>32216</v>
      </c>
      <c r="BV29" s="403" t="s">
        <v>2032</v>
      </c>
      <c r="BW29" s="403" t="s">
        <v>2086</v>
      </c>
      <c r="BZ29" s="399">
        <v>204</v>
      </c>
      <c r="CA29" s="852" t="s">
        <v>2051</v>
      </c>
      <c r="CB29" s="852" t="s">
        <v>2052</v>
      </c>
      <c r="CC29" s="852" t="s">
        <v>2053</v>
      </c>
      <c r="CD29" s="390"/>
      <c r="CE29" s="852" t="s">
        <v>2054</v>
      </c>
      <c r="CF29" s="390" t="s">
        <v>40</v>
      </c>
      <c r="CG29" s="390" t="s">
        <v>2055</v>
      </c>
      <c r="CH29" s="390" t="s">
        <v>1112</v>
      </c>
      <c r="CI29" s="403" t="s">
        <v>1998</v>
      </c>
      <c r="CJ29" s="403" t="s">
        <v>1999</v>
      </c>
      <c r="CK29" s="403" t="s">
        <v>2000</v>
      </c>
      <c r="CL29" s="403" t="s">
        <v>589</v>
      </c>
      <c r="CM29" s="852" t="s">
        <v>2017</v>
      </c>
      <c r="CN29" s="390"/>
      <c r="CO29" s="390"/>
      <c r="CP29" s="390"/>
      <c r="CQ29" s="390"/>
      <c r="CR29" s="409" t="str">
        <f>IF((IF(ISNA(VLOOKUP($BB29,Instructions!$A$133:$J$138,10,FALSE)),0,VLOOKUP($BB29,Instructions!$A$133:$J$138,10,FALSE))+IF(ISNA(VLOOKUP($BD29,Instructions!$A$133:$J$138,10,FALSE)),0,VLOOKUP($BD29,Instructions!$A$133:$J$138,10,FALSE))+IF(ISNA(VLOOKUP($BF29,Instructions!$A$133:$J$138,10,FALSE)),0,VLOOKUP($BF29,Instructions!$A$133:$J$138,10,FALSE))+IF(ISNA(VLOOKUP($BH29,Instructions!$A$133:$J$138,10,FALSE)),0,VLOOKUP($BH29,Instructions!$A$133:$J$138,10,FALSE))+IF(ISNA(VLOOKUP($BJ29,Instructions!$A$133:$J$138,10,FALSE)),0,VLOOKUP($BJ29,Instructions!$A$133:$J$138,10,FALSE))+IF(ISNA(VLOOKUP($BL29,Instructions!$A$133:$J$138,10,FALSE)),0,VLOOKUP($BL29,Instructions!$A$133:$J$138,10,FALSE)))&lt;2,"Poor","Usable")</f>
        <v>Usable</v>
      </c>
      <c r="CS29" s="409">
        <f>IF(ISNA(VLOOKUP($D29,Selections!$A$7:$B$19,2,FALSE)),0.4,VLOOKUP($D29,Selections!$A$7:$B$19,2,FALSE))</f>
        <v>0.5</v>
      </c>
      <c r="CT29" s="409">
        <f t="shared" si="0"/>
        <v>24000</v>
      </c>
      <c r="CU29" s="409">
        <f>IF((OR(ISBLANK($P29),$P29&lt;=0)),IF(ISNA(VLOOKUP($O29,Selections!$A$21:$D$48,4,FALSE)),0.113,VLOOKUP($O29,Selections!$A$21:$D$48,4,FALSE)),$P29)</f>
        <v>0.375</v>
      </c>
      <c r="CV29" s="409">
        <f>IF(ISNA(VLOOKUP($S29,Selections!$A$57:$B$75,2,FALSE)),0.6,VLOOKUP($S29,Selections!$A$57:$B$75,2,FALSE))</f>
        <v>0.8</v>
      </c>
      <c r="CW29" s="410">
        <f>IF(OR($H29="",$H29="Valve",$H29="PCF",$H29="Regulator",$H29="Relief Valve",$H29="Appurtenance",$H29="Meter",$H29="Other",$H29="Pig Trap",$H29="Flange"),     IF(AND($BZ29&gt;0,$O29&gt;0),     IF($BZ29&gt;(      IF(IF(ISBLANK($V29),0,ISNA(VLOOKUP($V29,Selections!$A$153:$B$177,2,FALSE))),"n/a",IF(ISBLANK($V29),0,VLOOKUP($V29,Selections!$A$153:$B$177,2,FALSE)))),    "Chk Rating","OK Rating"),"n/a" ),IF(AND($BZ29&gt;0,$O29&gt;0),$BZ29/((2*$CT29*$CU29*$CV29)/$O29),1))</f>
        <v>0.18062499999999998</v>
      </c>
      <c r="CX29" s="569" t="str">
        <f t="shared" si="25"/>
        <v>Tee</v>
      </c>
      <c r="CY29" s="570" t="str">
        <f t="shared" si="26"/>
        <v>No</v>
      </c>
      <c r="CZ29" s="844">
        <v>35000</v>
      </c>
      <c r="DA29" s="571">
        <v>35000</v>
      </c>
      <c r="DB29" s="845">
        <v>1</v>
      </c>
      <c r="DC29" s="572">
        <f t="shared" si="28"/>
        <v>0.375</v>
      </c>
      <c r="DD29" s="573"/>
      <c r="DE29" s="573">
        <f t="shared" si="29"/>
        <v>0.28000000000000003</v>
      </c>
      <c r="DF29" s="573"/>
      <c r="DG29" s="570"/>
      <c r="DH29" s="574">
        <f t="shared" ca="1" si="30"/>
        <v>12.75</v>
      </c>
      <c r="DI29" s="574">
        <f t="shared" si="31"/>
        <v>6.625</v>
      </c>
      <c r="DJ29" s="570"/>
      <c r="DK29" s="575" t="str">
        <f t="shared" si="32"/>
        <v>Unknown</v>
      </c>
      <c r="DL29" s="573"/>
      <c r="DM29" s="576">
        <f t="shared" si="33"/>
        <v>1</v>
      </c>
      <c r="DN29" s="570"/>
      <c r="DO29" s="570" t="str">
        <f t="shared" si="34"/>
        <v>Unknown</v>
      </c>
      <c r="DP29" s="570"/>
      <c r="DQ29" s="570"/>
      <c r="DR29" s="570" t="str">
        <f t="shared" ca="1" si="35"/>
        <v>N/A</v>
      </c>
      <c r="DS29" s="570">
        <f t="shared" si="36"/>
        <v>3</v>
      </c>
      <c r="DT29" s="577">
        <f t="shared" ca="1" si="37"/>
        <v>0.5</v>
      </c>
      <c r="DU29" s="570">
        <f t="shared" ca="1" si="38"/>
        <v>1029</v>
      </c>
      <c r="DV29" s="570">
        <f t="shared" ca="1" si="39"/>
        <v>1479</v>
      </c>
      <c r="DW29" s="570">
        <f t="shared" ca="1" si="40"/>
        <v>1</v>
      </c>
      <c r="DX29" s="569">
        <f t="shared" ca="1" si="41"/>
        <v>1029</v>
      </c>
      <c r="DY29" s="570" t="str">
        <f t="shared" ca="1" si="12"/>
        <v>N/A</v>
      </c>
      <c r="DZ29" s="578">
        <f t="shared" si="42"/>
        <v>32216</v>
      </c>
      <c r="EA29" s="578">
        <f t="shared" si="43"/>
        <v>32216</v>
      </c>
      <c r="EB29" s="570">
        <f t="shared" si="44"/>
        <v>3</v>
      </c>
      <c r="EC29" s="570">
        <f t="shared" si="45"/>
        <v>1200</v>
      </c>
      <c r="ED29" s="579">
        <f t="shared" si="46"/>
        <v>1.4166000000000001</v>
      </c>
      <c r="EE29" s="580" t="str">
        <f t="shared" si="47"/>
        <v>No</v>
      </c>
      <c r="EF29" s="577" t="str">
        <f t="shared" si="48"/>
        <v>No</v>
      </c>
      <c r="EG29" s="577">
        <f ca="1">IF(OR(EA29="N/A",DY29&lt;&gt;"N/A"),"N/A",IF(AND(DZ29&gt;=DATE(1961,7,1),EA29&gt;=DATE(1961,7,1),OR(DQ29="1 in Station",DQ29="2 in Station",DS29="1 in Station",DS29="2 in Station")),1.5,IF(AND(DK29="Electric Resistance Weld",YEAR(DZ29)&lt;1970,EA29&lt;DATE(1961,7,1),OR(DQ29=1,DQ29="1 in Station",DQ29="1 in Public Road Crossing",DQ29="1 in Hard Road Parallel",DQ29="1 on Bridge",DS29=1,DS29="1 in Station",DS29="1 in Public Road Crossing",DS29="1 in Hard Road Parallel",DS29="1 on Bridge")),1.25,INDEX('FVE Table'!$C$3:$F$5,EB29,IF(AND(ABS(DZ29-EA29)&lt;=365,DQ29&gt;0),LEFT(DQ29,1),LEFT(DS29,1))))))</f>
        <v>1.5</v>
      </c>
      <c r="EH29" s="570">
        <f t="shared" ca="1" si="49"/>
        <v>617</v>
      </c>
      <c r="EI29" s="570" t="str">
        <f t="shared" ca="1" si="50"/>
        <v>N/A</v>
      </c>
      <c r="EJ29" s="570" t="str">
        <f t="shared" ca="1" si="51"/>
        <v>N/A</v>
      </c>
      <c r="EK29" s="581">
        <f t="shared" si="52"/>
        <v>204</v>
      </c>
      <c r="EL29" s="570"/>
      <c r="EM29" s="582">
        <f t="shared" ca="1" si="53"/>
        <v>9.9085714285714291E-2</v>
      </c>
      <c r="EN29" s="582">
        <f t="shared" ca="1" si="54"/>
        <v>6.8954081632653055E-2</v>
      </c>
      <c r="EO29" s="570">
        <f t="shared" ca="1" si="55"/>
        <v>204</v>
      </c>
      <c r="EP29" s="570" t="str">
        <f t="shared" ca="1" si="56"/>
        <v>R</v>
      </c>
      <c r="EQ29" s="582">
        <f t="shared" ca="1" si="57"/>
        <v>9.9085714285714291E-2</v>
      </c>
      <c r="ER29" s="573">
        <f t="shared" si="22"/>
        <v>0</v>
      </c>
      <c r="ES29" s="762"/>
      <c r="ET29" s="762"/>
      <c r="EU29" s="585"/>
      <c r="EV29" s="848" t="s">
        <v>2076</v>
      </c>
      <c r="EW29" s="583"/>
      <c r="EX29" s="846" t="s">
        <v>2075</v>
      </c>
      <c r="EY29" s="847">
        <v>1</v>
      </c>
      <c r="EZ29" s="585"/>
      <c r="FA29" s="585"/>
      <c r="FB29" s="585"/>
      <c r="FC29" s="585"/>
    </row>
    <row r="30" spans="1:159" ht="15" customHeight="1" x14ac:dyDescent="0.2">
      <c r="A30" s="389">
        <f t="shared" si="23"/>
        <v>0</v>
      </c>
      <c r="B30" s="389">
        <f t="shared" si="24"/>
        <v>0</v>
      </c>
      <c r="C30" s="390" t="s">
        <v>2056</v>
      </c>
      <c r="D30" s="391">
        <v>3</v>
      </c>
      <c r="E30" s="391">
        <v>4678504</v>
      </c>
      <c r="F30" s="392">
        <v>32216</v>
      </c>
      <c r="G30" s="393">
        <v>29</v>
      </c>
      <c r="H30" s="394" t="s">
        <v>153</v>
      </c>
      <c r="I30" s="395" t="s">
        <v>68</v>
      </c>
      <c r="J30" s="396">
        <v>2.2000000000000002</v>
      </c>
      <c r="O30" s="398">
        <v>6.625</v>
      </c>
      <c r="P30" s="398">
        <v>0.28000000000000003</v>
      </c>
      <c r="S30" s="395" t="s">
        <v>745</v>
      </c>
      <c r="T30" s="390" t="s">
        <v>820</v>
      </c>
      <c r="U30" s="399">
        <v>35000</v>
      </c>
      <c r="Y30" s="390"/>
      <c r="Z30" s="390" t="s">
        <v>158</v>
      </c>
      <c r="AB30" s="401" t="s">
        <v>1095</v>
      </c>
      <c r="AC30" s="402" t="s">
        <v>1409</v>
      </c>
      <c r="AG30" s="391"/>
      <c r="AK30" s="390"/>
      <c r="AL30" s="390"/>
      <c r="AM30" s="390"/>
      <c r="AN30" s="390"/>
      <c r="AO30" s="390"/>
      <c r="AP30" s="390" t="s">
        <v>158</v>
      </c>
      <c r="AR30" s="392">
        <v>32216</v>
      </c>
      <c r="AS30" s="390" t="s">
        <v>158</v>
      </c>
      <c r="AU30" s="390" t="s">
        <v>158</v>
      </c>
      <c r="AV30" s="392"/>
      <c r="AW30" s="403" t="s">
        <v>590</v>
      </c>
      <c r="AX30" s="406" t="s">
        <v>590</v>
      </c>
      <c r="AY30" s="406" t="s">
        <v>590</v>
      </c>
      <c r="AZ30" s="406" t="s">
        <v>158</v>
      </c>
      <c r="BA30" s="390"/>
      <c r="BB30" s="395"/>
      <c r="BC30" s="390"/>
      <c r="BD30" s="395"/>
      <c r="BE30" s="852" t="s">
        <v>2016</v>
      </c>
      <c r="BF30" s="395" t="s">
        <v>40</v>
      </c>
      <c r="BG30" s="390"/>
      <c r="BH30" s="395"/>
      <c r="BI30" s="390"/>
      <c r="BJ30" s="395"/>
      <c r="BK30" s="390"/>
      <c r="BM30" s="404" t="s">
        <v>1992</v>
      </c>
      <c r="BN30" s="404" t="s">
        <v>2050</v>
      </c>
      <c r="BO30" s="403" t="s">
        <v>637</v>
      </c>
      <c r="BP30" s="403">
        <v>4678504</v>
      </c>
      <c r="BQ30" s="403" t="s">
        <v>642</v>
      </c>
      <c r="BR30" s="408">
        <v>1200</v>
      </c>
      <c r="BS30" s="396">
        <v>1.4166000000000001</v>
      </c>
      <c r="BT30" s="807"/>
      <c r="BU30" s="392">
        <v>32216</v>
      </c>
      <c r="BV30" s="403" t="s">
        <v>2032</v>
      </c>
      <c r="BW30" s="403" t="s">
        <v>2086</v>
      </c>
      <c r="BZ30" s="399">
        <v>204</v>
      </c>
      <c r="CA30" s="852" t="s">
        <v>2051</v>
      </c>
      <c r="CB30" s="852" t="s">
        <v>2052</v>
      </c>
      <c r="CC30" s="852" t="s">
        <v>2053</v>
      </c>
      <c r="CD30" s="390"/>
      <c r="CE30" s="852" t="s">
        <v>2054</v>
      </c>
      <c r="CF30" s="390" t="s">
        <v>40</v>
      </c>
      <c r="CG30" s="390"/>
      <c r="CH30" s="390" t="s">
        <v>1112</v>
      </c>
      <c r="CI30" s="403" t="s">
        <v>1998</v>
      </c>
      <c r="CJ30" s="403" t="s">
        <v>1999</v>
      </c>
      <c r="CK30" s="403" t="s">
        <v>2000</v>
      </c>
      <c r="CL30" s="403" t="s">
        <v>589</v>
      </c>
      <c r="CM30" s="852" t="s">
        <v>2017</v>
      </c>
      <c r="CN30" s="390"/>
      <c r="CO30" s="390"/>
      <c r="CP30" s="390"/>
      <c r="CQ30" s="390"/>
      <c r="CR30" s="409" t="str">
        <f>IF((IF(ISNA(VLOOKUP($BB30,Instructions!$A$133:$J$138,10,FALSE)),0,VLOOKUP($BB30,Instructions!$A$133:$J$138,10,FALSE))+IF(ISNA(VLOOKUP($BD30,Instructions!$A$133:$J$138,10,FALSE)),0,VLOOKUP($BD30,Instructions!$A$133:$J$138,10,FALSE))+IF(ISNA(VLOOKUP($BF30,Instructions!$A$133:$J$138,10,FALSE)),0,VLOOKUP($BF30,Instructions!$A$133:$J$138,10,FALSE))+IF(ISNA(VLOOKUP($BH30,Instructions!$A$133:$J$138,10,FALSE)),0,VLOOKUP($BH30,Instructions!$A$133:$J$138,10,FALSE))+IF(ISNA(VLOOKUP($BJ30,Instructions!$A$133:$J$138,10,FALSE)),0,VLOOKUP($BJ30,Instructions!$A$133:$J$138,10,FALSE))+IF(ISNA(VLOOKUP($BL30,Instructions!$A$133:$J$138,10,FALSE)),0,VLOOKUP($BL30,Instructions!$A$133:$J$138,10,FALSE)))&lt;2,"Poor","Usable")</f>
        <v>Usable</v>
      </c>
      <c r="CS30" s="409">
        <f>IF(ISNA(VLOOKUP($D30,Selections!$A$7:$B$19,2,FALSE)),0.4,VLOOKUP($D30,Selections!$A$7:$B$19,2,FALSE))</f>
        <v>0.5</v>
      </c>
      <c r="CT30" s="409">
        <f t="shared" si="0"/>
        <v>35000</v>
      </c>
      <c r="CU30" s="409">
        <f>IF((OR(ISBLANK($P30),$P30&lt;=0)),IF(ISNA(VLOOKUP($O30,Selections!$A$21:$D$48,4,FALSE)),0.113,VLOOKUP($O30,Selections!$A$21:$D$48,4,FALSE)),$P30)</f>
        <v>0.28000000000000003</v>
      </c>
      <c r="CV30" s="409">
        <f>IF(ISNA(VLOOKUP($S30,Selections!$A$57:$B$75,2,FALSE)),0.6,VLOOKUP($S30,Selections!$A$57:$B$75,2,FALSE))</f>
        <v>1</v>
      </c>
      <c r="CW30" s="410">
        <f>IF(OR($H30="",$H30="Valve",$H30="PCF",$H30="Regulator",$H30="Relief Valve",$H30="Appurtenance",$H30="Meter",$H30="Other",$H30="Pig Trap",$H30="Flange"),     IF(AND($BZ30&gt;0,$O30&gt;0),     IF($BZ30&gt;(      IF(IF(ISBLANK($V30),0,ISNA(VLOOKUP($V30,Selections!$A$153:$B$177,2,FALSE))),"n/a",IF(ISBLANK($V30),0,VLOOKUP($V30,Selections!$A$153:$B$177,2,FALSE)))),    "Chk Rating","OK Rating"),"n/a" ),IF(AND($BZ30&gt;0,$O30&gt;0),$BZ30/((2*$CT30*$CU30*$CV30)/$O30),1))</f>
        <v>6.8954081632653055E-2</v>
      </c>
      <c r="CX30" s="569" t="str">
        <f t="shared" si="25"/>
        <v>Pipe</v>
      </c>
      <c r="CY30" s="570" t="str">
        <f t="shared" si="26"/>
        <v>No</v>
      </c>
      <c r="CZ30" s="571">
        <f t="shared" si="27"/>
        <v>35000</v>
      </c>
      <c r="DA30" s="571"/>
      <c r="DB30" s="570"/>
      <c r="DC30" s="572">
        <f t="shared" si="28"/>
        <v>0.28000000000000003</v>
      </c>
      <c r="DD30" s="573"/>
      <c r="DE30" s="573" t="str">
        <f t="shared" si="29"/>
        <v>N/A</v>
      </c>
      <c r="DF30" s="573"/>
      <c r="DG30" s="570"/>
      <c r="DH30" s="574">
        <f t="shared" ca="1" si="30"/>
        <v>6.625</v>
      </c>
      <c r="DI30" s="574" t="str">
        <f t="shared" si="31"/>
        <v>N/A</v>
      </c>
      <c r="DJ30" s="570"/>
      <c r="DK30" s="575" t="str">
        <f t="shared" si="32"/>
        <v>Seamless</v>
      </c>
      <c r="DL30" s="573"/>
      <c r="DM30" s="576">
        <f t="shared" si="33"/>
        <v>1</v>
      </c>
      <c r="DN30" s="570"/>
      <c r="DO30" s="570" t="str">
        <f t="shared" si="34"/>
        <v>N/A</v>
      </c>
      <c r="DP30" s="570"/>
      <c r="DQ30" s="570"/>
      <c r="DR30" s="570" t="str">
        <f t="shared" ca="1" si="35"/>
        <v>N/A</v>
      </c>
      <c r="DS30" s="570">
        <f t="shared" si="36"/>
        <v>3</v>
      </c>
      <c r="DT30" s="577">
        <f t="shared" ca="1" si="37"/>
        <v>0.5</v>
      </c>
      <c r="DU30" s="570">
        <f t="shared" ca="1" si="38"/>
        <v>1479</v>
      </c>
      <c r="DV30" s="570" t="str">
        <f t="shared" ca="1" si="39"/>
        <v>N/A</v>
      </c>
      <c r="DW30" s="570">
        <f t="shared" ca="1" si="40"/>
        <v>1</v>
      </c>
      <c r="DX30" s="569">
        <f t="shared" ca="1" si="41"/>
        <v>1479</v>
      </c>
      <c r="DY30" s="570" t="str">
        <f t="shared" ca="1" si="12"/>
        <v>N/A</v>
      </c>
      <c r="DZ30" s="578">
        <f t="shared" si="42"/>
        <v>32216</v>
      </c>
      <c r="EA30" s="578">
        <f t="shared" si="43"/>
        <v>32216</v>
      </c>
      <c r="EB30" s="570">
        <f t="shared" si="44"/>
        <v>3</v>
      </c>
      <c r="EC30" s="570">
        <f t="shared" si="45"/>
        <v>1200</v>
      </c>
      <c r="ED30" s="579">
        <f t="shared" si="46"/>
        <v>1.4166000000000001</v>
      </c>
      <c r="EE30" s="580" t="str">
        <f t="shared" si="47"/>
        <v>No</v>
      </c>
      <c r="EF30" s="577" t="str">
        <f t="shared" si="48"/>
        <v>No</v>
      </c>
      <c r="EG30" s="577">
        <f ca="1">IF(OR(EA30="N/A",DY30&lt;&gt;"N/A"),"N/A",IF(AND(DZ30&gt;=DATE(1961,7,1),EA30&gt;=DATE(1961,7,1),OR(DQ30="1 in Station",DQ30="2 in Station",DS30="1 in Station",DS30="2 in Station")),1.5,IF(AND(DK30="Electric Resistance Weld",YEAR(DZ30)&lt;1970,EA30&lt;DATE(1961,7,1),OR(DQ30=1,DQ30="1 in Station",DQ30="1 in Public Road Crossing",DQ30="1 in Hard Road Parallel",DQ30="1 on Bridge",DS30=1,DS30="1 in Station",DS30="1 in Public Road Crossing",DS30="1 in Hard Road Parallel",DS30="1 on Bridge")),1.25,INDEX('FVE Table'!$C$3:$F$5,EB30,IF(AND(ABS(DZ30-EA30)&lt;=365,DQ30&gt;0),LEFT(DQ30,1),LEFT(DS30,1))))))</f>
        <v>1.5</v>
      </c>
      <c r="EH30" s="570">
        <f t="shared" ca="1" si="49"/>
        <v>800</v>
      </c>
      <c r="EI30" s="570" t="str">
        <f t="shared" ca="1" si="50"/>
        <v>N/A</v>
      </c>
      <c r="EJ30" s="570" t="str">
        <f t="shared" ca="1" si="51"/>
        <v>N/A</v>
      </c>
      <c r="EK30" s="581">
        <f t="shared" si="52"/>
        <v>204</v>
      </c>
      <c r="EL30" s="570"/>
      <c r="EM30" s="582">
        <f t="shared" ca="1" si="53"/>
        <v>6.8954081632653055E-2</v>
      </c>
      <c r="EN30" s="582" t="str">
        <f t="shared" ca="1" si="54"/>
        <v>N/A</v>
      </c>
      <c r="EO30" s="570">
        <f t="shared" ca="1" si="55"/>
        <v>204</v>
      </c>
      <c r="EP30" s="570" t="str">
        <f t="shared" ca="1" si="56"/>
        <v>R</v>
      </c>
      <c r="EQ30" s="582">
        <f t="shared" ca="1" si="57"/>
        <v>6.8954081632653055E-2</v>
      </c>
      <c r="ER30" s="573">
        <f t="shared" si="22"/>
        <v>0</v>
      </c>
      <c r="ES30" s="762"/>
      <c r="ET30" s="762"/>
      <c r="EU30" s="585"/>
      <c r="EV30" s="583"/>
      <c r="EW30" s="583"/>
      <c r="EX30" s="584"/>
      <c r="EY30" s="759"/>
      <c r="EZ30" s="585"/>
      <c r="FA30" s="585"/>
      <c r="FB30" s="585"/>
      <c r="FC30" s="585"/>
    </row>
    <row r="31" spans="1:159" ht="15" customHeight="1" x14ac:dyDescent="0.2">
      <c r="A31" s="389">
        <f t="shared" si="23"/>
        <v>0</v>
      </c>
      <c r="B31" s="389">
        <f t="shared" si="24"/>
        <v>0</v>
      </c>
      <c r="C31" s="390" t="s">
        <v>2056</v>
      </c>
      <c r="D31" s="391">
        <v>3</v>
      </c>
      <c r="E31" s="391">
        <v>4678504</v>
      </c>
      <c r="F31" s="392">
        <v>32216</v>
      </c>
      <c r="G31" s="393">
        <v>30</v>
      </c>
      <c r="H31" s="394" t="s">
        <v>340</v>
      </c>
      <c r="I31" s="395" t="s">
        <v>349</v>
      </c>
      <c r="J31" s="396">
        <v>1.3</v>
      </c>
      <c r="K31" s="404" t="s">
        <v>2057</v>
      </c>
      <c r="O31" s="398">
        <v>6.625</v>
      </c>
      <c r="S31" s="395" t="s">
        <v>123</v>
      </c>
      <c r="V31" s="390" t="s">
        <v>755</v>
      </c>
      <c r="W31" s="396">
        <v>6</v>
      </c>
      <c r="X31" s="400">
        <v>720</v>
      </c>
      <c r="Y31" s="390" t="s">
        <v>2058</v>
      </c>
      <c r="Z31" s="390" t="s">
        <v>158</v>
      </c>
      <c r="AA31" s="390" t="s">
        <v>2059</v>
      </c>
      <c r="AB31" s="401" t="s">
        <v>1095</v>
      </c>
      <c r="AG31" s="391"/>
      <c r="AJ31" s="400">
        <v>1100</v>
      </c>
      <c r="AK31" s="390" t="s">
        <v>503</v>
      </c>
      <c r="AL31" s="390"/>
      <c r="AM31" s="390"/>
      <c r="AN31" s="390"/>
      <c r="AO31" s="390"/>
      <c r="AP31" s="390" t="s">
        <v>158</v>
      </c>
      <c r="AR31" s="392">
        <v>32216</v>
      </c>
      <c r="AS31" s="390" t="s">
        <v>1176</v>
      </c>
      <c r="AU31" s="390" t="s">
        <v>158</v>
      </c>
      <c r="AV31" s="392"/>
      <c r="AW31" s="403" t="s">
        <v>590</v>
      </c>
      <c r="AX31" s="406" t="s">
        <v>590</v>
      </c>
      <c r="AY31" s="406" t="s">
        <v>590</v>
      </c>
      <c r="AZ31" s="406" t="s">
        <v>158</v>
      </c>
      <c r="BA31" s="390"/>
      <c r="BB31" s="395"/>
      <c r="BC31" s="390"/>
      <c r="BD31" s="395"/>
      <c r="BE31" s="852" t="s">
        <v>2016</v>
      </c>
      <c r="BF31" s="395" t="s">
        <v>40</v>
      </c>
      <c r="BG31" s="390"/>
      <c r="BH31" s="395"/>
      <c r="BI31" s="852" t="s">
        <v>2008</v>
      </c>
      <c r="BJ31" s="395" t="s">
        <v>41</v>
      </c>
      <c r="BK31" s="390"/>
      <c r="BM31" s="404" t="s">
        <v>1992</v>
      </c>
      <c r="BN31" s="404" t="s">
        <v>2050</v>
      </c>
      <c r="BO31" s="403" t="s">
        <v>637</v>
      </c>
      <c r="BP31" s="403">
        <v>4678504</v>
      </c>
      <c r="BQ31" s="403" t="s">
        <v>642</v>
      </c>
      <c r="BR31" s="408">
        <v>1200</v>
      </c>
      <c r="BS31" s="396">
        <v>1.4166000000000001</v>
      </c>
      <c r="BT31" s="807"/>
      <c r="BU31" s="392">
        <v>32216</v>
      </c>
      <c r="BV31" s="403" t="s">
        <v>2032</v>
      </c>
      <c r="BW31" s="403" t="s">
        <v>2086</v>
      </c>
      <c r="BZ31" s="399">
        <v>204</v>
      </c>
      <c r="CA31" s="852" t="s">
        <v>2051</v>
      </c>
      <c r="CB31" s="852" t="s">
        <v>2052</v>
      </c>
      <c r="CC31" s="852" t="s">
        <v>2053</v>
      </c>
      <c r="CD31" s="390"/>
      <c r="CE31" s="852" t="s">
        <v>2054</v>
      </c>
      <c r="CF31" s="390" t="s">
        <v>40</v>
      </c>
      <c r="CG31" s="390"/>
      <c r="CH31" s="390" t="s">
        <v>1112</v>
      </c>
      <c r="CI31" s="403" t="s">
        <v>1998</v>
      </c>
      <c r="CJ31" s="403" t="s">
        <v>1999</v>
      </c>
      <c r="CK31" s="403" t="s">
        <v>2000</v>
      </c>
      <c r="CL31" s="403" t="s">
        <v>589</v>
      </c>
      <c r="CM31" s="852" t="s">
        <v>2017</v>
      </c>
      <c r="CN31" s="390"/>
      <c r="CO31" s="390"/>
      <c r="CP31" s="390"/>
      <c r="CQ31" s="390"/>
      <c r="CR31" s="409" t="str">
        <f>IF((IF(ISNA(VLOOKUP($BB31,Instructions!$A$133:$J$138,10,FALSE)),0,VLOOKUP($BB31,Instructions!$A$133:$J$138,10,FALSE))+IF(ISNA(VLOOKUP($BD31,Instructions!$A$133:$J$138,10,FALSE)),0,VLOOKUP($BD31,Instructions!$A$133:$J$138,10,FALSE))+IF(ISNA(VLOOKUP($BF31,Instructions!$A$133:$J$138,10,FALSE)),0,VLOOKUP($BF31,Instructions!$A$133:$J$138,10,FALSE))+IF(ISNA(VLOOKUP($BH31,Instructions!$A$133:$J$138,10,FALSE)),0,VLOOKUP($BH31,Instructions!$A$133:$J$138,10,FALSE))+IF(ISNA(VLOOKUP($BJ31,Instructions!$A$133:$J$138,10,FALSE)),0,VLOOKUP($BJ31,Instructions!$A$133:$J$138,10,FALSE))+IF(ISNA(VLOOKUP($BL31,Instructions!$A$133:$J$138,10,FALSE)),0,VLOOKUP($BL31,Instructions!$A$133:$J$138,10,FALSE)))&lt;2,"Poor","Usable")</f>
        <v>Usable</v>
      </c>
      <c r="CS31" s="409">
        <f>IF(ISNA(VLOOKUP($D31,Selections!$A$7:$B$19,2,FALSE)),0.4,VLOOKUP($D31,Selections!$A$7:$B$19,2,FALSE))</f>
        <v>0.5</v>
      </c>
      <c r="CT31" s="409">
        <f t="shared" si="0"/>
        <v>24000</v>
      </c>
      <c r="CU31" s="409">
        <f>IF((OR(ISBLANK($P31),$P31&lt;=0)),IF(ISNA(VLOOKUP($O31,Selections!$A$21:$D$48,4,FALSE)),0.113,VLOOKUP($O31,Selections!$A$21:$D$48,4,FALSE)),$P31)</f>
        <v>0.156</v>
      </c>
      <c r="CV31" s="409">
        <f>IF(ISNA(VLOOKUP($S31,Selections!$A$57:$B$75,2,FALSE)),0.6,VLOOKUP($S31,Selections!$A$57:$B$75,2,FALSE))</f>
        <v>1</v>
      </c>
      <c r="CW31" s="410" t="str">
        <f>IF(OR($H31="",$H31="Valve",$H31="PCF",$H31="Regulator",$H31="Relief Valve",$H31="Appurtenance",$H31="Meter",$H31="Other",$H31="Pig Trap",$H31="Flange"),     IF(AND($BZ31&gt;0,$O31&gt;0),     IF($BZ31&gt;(      IF(IF(ISBLANK($V31),0,ISNA(VLOOKUP($V31,Selections!$A$153:$B$177,2,FALSE))),"n/a",IF(ISBLANK($V31),0,VLOOKUP($V31,Selections!$A$153:$B$177,2,FALSE)))),    "Chk Rating","OK Rating"),"n/a" ),IF(AND($BZ31&gt;0,$O31&gt;0),$BZ31/((2*$CT31*$CU31*$CV31)/$O31),1))</f>
        <v>OK Rating</v>
      </c>
      <c r="CX31" s="569" t="str">
        <f t="shared" si="25"/>
        <v>Valve</v>
      </c>
      <c r="CY31" s="570" t="str">
        <f t="shared" si="26"/>
        <v>No</v>
      </c>
      <c r="CZ31" s="571" t="str">
        <f t="shared" si="27"/>
        <v>N/A</v>
      </c>
      <c r="DA31" s="571"/>
      <c r="DB31" s="570"/>
      <c r="DC31" s="572" t="str">
        <f t="shared" si="28"/>
        <v>N/A</v>
      </c>
      <c r="DD31" s="573"/>
      <c r="DE31" s="573" t="str">
        <f t="shared" si="29"/>
        <v>N/A</v>
      </c>
      <c r="DF31" s="573"/>
      <c r="DG31" s="570"/>
      <c r="DH31" s="574">
        <f t="shared" ca="1" si="30"/>
        <v>6.625</v>
      </c>
      <c r="DI31" s="574" t="str">
        <f t="shared" si="31"/>
        <v>N/A</v>
      </c>
      <c r="DJ31" s="570"/>
      <c r="DK31" s="575" t="str">
        <f t="shared" si="32"/>
        <v>N/A</v>
      </c>
      <c r="DL31" s="573"/>
      <c r="DM31" s="576" t="str">
        <f t="shared" si="33"/>
        <v>N/A</v>
      </c>
      <c r="DN31" s="570"/>
      <c r="DO31" s="570" t="str">
        <f t="shared" si="34"/>
        <v>ANSI 300 #</v>
      </c>
      <c r="DP31" s="570"/>
      <c r="DQ31" s="570"/>
      <c r="DR31" s="570" t="str">
        <f t="shared" ca="1" si="35"/>
        <v>N/A</v>
      </c>
      <c r="DS31" s="570">
        <f t="shared" si="36"/>
        <v>3</v>
      </c>
      <c r="DT31" s="577" t="str">
        <f t="shared" ca="1" si="37"/>
        <v>N/A</v>
      </c>
      <c r="DU31" s="570" t="str">
        <f t="shared" ca="1" si="38"/>
        <v>N/A</v>
      </c>
      <c r="DV31" s="570" t="str">
        <f t="shared" ca="1" si="39"/>
        <v>N/A</v>
      </c>
      <c r="DW31" s="570" t="str">
        <f t="shared" ca="1" si="40"/>
        <v>N/A</v>
      </c>
      <c r="DX31" s="569" t="str">
        <f t="shared" ca="1" si="41"/>
        <v>N/A</v>
      </c>
      <c r="DY31" s="570">
        <f t="shared" ca="1" si="12"/>
        <v>720</v>
      </c>
      <c r="DZ31" s="578">
        <f t="shared" si="42"/>
        <v>32216</v>
      </c>
      <c r="EA31" s="578">
        <f t="shared" si="43"/>
        <v>32216</v>
      </c>
      <c r="EB31" s="570">
        <f t="shared" si="44"/>
        <v>3</v>
      </c>
      <c r="EC31" s="570">
        <f t="shared" si="45"/>
        <v>1200</v>
      </c>
      <c r="ED31" s="579">
        <f t="shared" si="46"/>
        <v>1.4166000000000001</v>
      </c>
      <c r="EE31" s="580" t="str">
        <f t="shared" si="47"/>
        <v>No</v>
      </c>
      <c r="EF31" s="577" t="str">
        <f t="shared" si="48"/>
        <v>No</v>
      </c>
      <c r="EG31" s="577" t="str">
        <f ca="1">IF(OR(EA31="N/A",DY31&lt;&gt;"N/A"),"N/A",IF(AND(DZ31&gt;=DATE(1961,7,1),EA31&gt;=DATE(1961,7,1),OR(DQ31="1 in Station",DQ31="2 in Station",DS31="1 in Station",DS31="2 in Station")),1.5,IF(AND(DK31="Electric Resistance Weld",YEAR(DZ31)&lt;1970,EA31&lt;DATE(1961,7,1),OR(DQ31=1,DQ31="1 in Station",DQ31="1 in Public Road Crossing",DQ31="1 in Hard Road Parallel",DQ31="1 on Bridge",DS31=1,DS31="1 in Station",DS31="1 in Public Road Crossing",DS31="1 in Hard Road Parallel",DS31="1 on Bridge")),1.25,INDEX('FVE Table'!$C$3:$F$5,EB31,IF(AND(ABS(DZ31-EA31)&lt;=365,DQ31&gt;0),LEFT(DQ31,1),LEFT(DS31,1))))))</f>
        <v>N/A</v>
      </c>
      <c r="EH31" s="570" t="str">
        <f t="shared" ca="1" si="49"/>
        <v>N/A</v>
      </c>
      <c r="EI31" s="570" t="str">
        <f t="shared" ca="1" si="50"/>
        <v>N/A</v>
      </c>
      <c r="EJ31" s="570" t="str">
        <f t="shared" ca="1" si="51"/>
        <v>N/A</v>
      </c>
      <c r="EK31" s="581">
        <f t="shared" si="52"/>
        <v>204</v>
      </c>
      <c r="EL31" s="570"/>
      <c r="EM31" s="582" t="str">
        <f t="shared" ca="1" si="53"/>
        <v>N/A</v>
      </c>
      <c r="EN31" s="582" t="str">
        <f t="shared" ca="1" si="54"/>
        <v>N/A</v>
      </c>
      <c r="EO31" s="570">
        <f t="shared" ca="1" si="55"/>
        <v>204</v>
      </c>
      <c r="EP31" s="570" t="str">
        <f t="shared" ca="1" si="56"/>
        <v>R</v>
      </c>
      <c r="EQ31" s="582" t="str">
        <f t="shared" ca="1" si="57"/>
        <v>N/A</v>
      </c>
      <c r="ER31" s="573">
        <f t="shared" si="22"/>
        <v>0</v>
      </c>
      <c r="ES31" s="762"/>
      <c r="ET31" s="762"/>
      <c r="EU31" s="585"/>
      <c r="EV31" s="583"/>
      <c r="EW31" s="583"/>
      <c r="EX31" s="584"/>
      <c r="EY31" s="759"/>
      <c r="EZ31" s="585"/>
      <c r="FA31" s="585"/>
      <c r="FB31" s="585"/>
      <c r="FC31" s="585"/>
    </row>
    <row r="32" spans="1:159" ht="15" customHeight="1" thickBot="1" x14ac:dyDescent="0.25">
      <c r="A32" s="389">
        <f t="shared" si="23"/>
        <v>0</v>
      </c>
      <c r="B32" s="389">
        <f t="shared" si="24"/>
        <v>0</v>
      </c>
      <c r="C32" s="390" t="s">
        <v>2056</v>
      </c>
      <c r="D32" s="391">
        <v>3</v>
      </c>
      <c r="E32" s="391">
        <v>4678504</v>
      </c>
      <c r="F32" s="392">
        <v>32216</v>
      </c>
      <c r="G32" s="393">
        <v>31</v>
      </c>
      <c r="H32" s="394" t="s">
        <v>153</v>
      </c>
      <c r="I32" s="395" t="s">
        <v>68</v>
      </c>
      <c r="J32" s="396">
        <v>2.2000000000000002</v>
      </c>
      <c r="O32" s="398">
        <v>6.625</v>
      </c>
      <c r="P32" s="802">
        <v>0.28000000000000003</v>
      </c>
      <c r="S32" s="395" t="s">
        <v>745</v>
      </c>
      <c r="T32" s="390" t="s">
        <v>820</v>
      </c>
      <c r="U32" s="399">
        <v>35000</v>
      </c>
      <c r="Y32" s="390"/>
      <c r="Z32" s="390" t="s">
        <v>158</v>
      </c>
      <c r="AB32" s="401" t="s">
        <v>1095</v>
      </c>
      <c r="AC32" s="402" t="s">
        <v>1409</v>
      </c>
      <c r="AG32" s="391"/>
      <c r="AK32" s="390"/>
      <c r="AL32" s="390"/>
      <c r="AM32" s="390"/>
      <c r="AN32" s="390"/>
      <c r="AO32" s="390"/>
      <c r="AP32" s="390" t="s">
        <v>158</v>
      </c>
      <c r="AR32" s="392">
        <v>32216</v>
      </c>
      <c r="AS32" s="390" t="s">
        <v>158</v>
      </c>
      <c r="AU32" s="390" t="s">
        <v>158</v>
      </c>
      <c r="AV32" s="392"/>
      <c r="AW32" s="403" t="s">
        <v>590</v>
      </c>
      <c r="AX32" s="406" t="s">
        <v>590</v>
      </c>
      <c r="AY32" s="406" t="s">
        <v>590</v>
      </c>
      <c r="AZ32" s="406" t="s">
        <v>158</v>
      </c>
      <c r="BA32" s="390"/>
      <c r="BB32" s="395"/>
      <c r="BC32" s="390"/>
      <c r="BD32" s="395"/>
      <c r="BE32" s="852" t="s">
        <v>2016</v>
      </c>
      <c r="BF32" s="395" t="s">
        <v>40</v>
      </c>
      <c r="BG32" s="390"/>
      <c r="BH32" s="395"/>
      <c r="BI32" s="390"/>
      <c r="BJ32" s="395"/>
      <c r="BK32" s="390"/>
      <c r="BM32" s="404" t="s">
        <v>1992</v>
      </c>
      <c r="BN32" s="404" t="s">
        <v>2050</v>
      </c>
      <c r="BO32" s="403" t="s">
        <v>637</v>
      </c>
      <c r="BP32" s="403">
        <v>4678504</v>
      </c>
      <c r="BQ32" s="403" t="s">
        <v>642</v>
      </c>
      <c r="BR32" s="408">
        <v>1200</v>
      </c>
      <c r="BS32" s="396">
        <v>1.4166000000000001</v>
      </c>
      <c r="BT32" s="807"/>
      <c r="BU32" s="392">
        <v>32216</v>
      </c>
      <c r="BV32" s="403" t="s">
        <v>2032</v>
      </c>
      <c r="BW32" s="403" t="s">
        <v>2086</v>
      </c>
      <c r="BZ32" s="399">
        <v>204</v>
      </c>
      <c r="CA32" s="852" t="s">
        <v>2051</v>
      </c>
      <c r="CB32" s="852" t="s">
        <v>2052</v>
      </c>
      <c r="CC32" s="852" t="s">
        <v>2053</v>
      </c>
      <c r="CD32" s="390"/>
      <c r="CE32" s="852" t="s">
        <v>2054</v>
      </c>
      <c r="CF32" s="390" t="s">
        <v>40</v>
      </c>
      <c r="CG32" s="390"/>
      <c r="CH32" s="390" t="s">
        <v>1112</v>
      </c>
      <c r="CI32" s="403" t="s">
        <v>1998</v>
      </c>
      <c r="CJ32" s="403" t="s">
        <v>1999</v>
      </c>
      <c r="CK32" s="403" t="s">
        <v>2000</v>
      </c>
      <c r="CL32" s="403" t="s">
        <v>589</v>
      </c>
      <c r="CM32" s="852" t="s">
        <v>2017</v>
      </c>
      <c r="CN32" s="390"/>
      <c r="CO32" s="390"/>
      <c r="CP32" s="390"/>
      <c r="CQ32" s="390"/>
      <c r="CR32" s="409" t="str">
        <f>IF((IF(ISNA(VLOOKUP($BB32,Instructions!$A$133:$J$138,10,FALSE)),0,VLOOKUP($BB32,Instructions!$A$133:$J$138,10,FALSE))+IF(ISNA(VLOOKUP($BD32,Instructions!$A$133:$J$138,10,FALSE)),0,VLOOKUP($BD32,Instructions!$A$133:$J$138,10,FALSE))+IF(ISNA(VLOOKUP($BF32,Instructions!$A$133:$J$138,10,FALSE)),0,VLOOKUP($BF32,Instructions!$A$133:$J$138,10,FALSE))+IF(ISNA(VLOOKUP($BH32,Instructions!$A$133:$J$138,10,FALSE)),0,VLOOKUP($BH32,Instructions!$A$133:$J$138,10,FALSE))+IF(ISNA(VLOOKUP($BJ32,Instructions!$A$133:$J$138,10,FALSE)),0,VLOOKUP($BJ32,Instructions!$A$133:$J$138,10,FALSE))+IF(ISNA(VLOOKUP($BL32,Instructions!$A$133:$J$138,10,FALSE)),0,VLOOKUP($BL32,Instructions!$A$133:$J$138,10,FALSE)))&lt;2,"Poor","Usable")</f>
        <v>Usable</v>
      </c>
      <c r="CS32" s="409">
        <f>IF(ISNA(VLOOKUP($D32,Selections!$A$7:$B$19,2,FALSE)),0.4,VLOOKUP($D32,Selections!$A$7:$B$19,2,FALSE))</f>
        <v>0.5</v>
      </c>
      <c r="CT32" s="409">
        <f t="shared" si="0"/>
        <v>35000</v>
      </c>
      <c r="CU32" s="409">
        <f>IF((OR(ISBLANK($P32),$P32&lt;=0)),IF(ISNA(VLOOKUP($O32,Selections!$A$21:$D$48,4,FALSE)),0.113,VLOOKUP($O32,Selections!$A$21:$D$48,4,FALSE)),$P32)</f>
        <v>0.28000000000000003</v>
      </c>
      <c r="CV32" s="409">
        <f>IF(ISNA(VLOOKUP($S32,Selections!$A$57:$B$75,2,FALSE)),0.6,VLOOKUP($S32,Selections!$A$57:$B$75,2,FALSE))</f>
        <v>1</v>
      </c>
      <c r="CW32" s="410">
        <f>IF(OR($H32="",$H32="Valve",$H32="PCF",$H32="Regulator",$H32="Relief Valve",$H32="Appurtenance",$H32="Meter",$H32="Other",$H32="Pig Trap",$H32="Flange"),     IF(AND($BZ32&gt;0,$O32&gt;0),     IF($BZ32&gt;(      IF(IF(ISBLANK($V32),0,ISNA(VLOOKUP($V32,Selections!$A$153:$B$177,2,FALSE))),"n/a",IF(ISBLANK($V32),0,VLOOKUP($V32,Selections!$A$153:$B$177,2,FALSE)))),    "Chk Rating","OK Rating"),"n/a" ),IF(AND($BZ32&gt;0,$O32&gt;0),$BZ32/((2*$CT32*$CU32*$CV32)/$O32),1))</f>
        <v>6.8954081632653055E-2</v>
      </c>
      <c r="CX32" s="569" t="str">
        <f t="shared" si="25"/>
        <v>Pipe</v>
      </c>
      <c r="CY32" s="570" t="str">
        <f t="shared" si="26"/>
        <v>No</v>
      </c>
      <c r="CZ32" s="571">
        <f t="shared" si="27"/>
        <v>35000</v>
      </c>
      <c r="DA32" s="571"/>
      <c r="DB32" s="570"/>
      <c r="DC32" s="572">
        <f t="shared" si="28"/>
        <v>0.28000000000000003</v>
      </c>
      <c r="DD32" s="573"/>
      <c r="DE32" s="573" t="str">
        <f t="shared" si="29"/>
        <v>N/A</v>
      </c>
      <c r="DF32" s="573"/>
      <c r="DG32" s="570"/>
      <c r="DH32" s="574">
        <f t="shared" ca="1" si="30"/>
        <v>6.625</v>
      </c>
      <c r="DI32" s="574" t="str">
        <f t="shared" si="31"/>
        <v>N/A</v>
      </c>
      <c r="DJ32" s="570"/>
      <c r="DK32" s="575" t="str">
        <f t="shared" si="32"/>
        <v>Seamless</v>
      </c>
      <c r="DL32" s="573"/>
      <c r="DM32" s="576">
        <f t="shared" si="33"/>
        <v>1</v>
      </c>
      <c r="DN32" s="570"/>
      <c r="DO32" s="570" t="str">
        <f t="shared" si="34"/>
        <v>N/A</v>
      </c>
      <c r="DP32" s="570"/>
      <c r="DQ32" s="570"/>
      <c r="DR32" s="570" t="str">
        <f t="shared" ca="1" si="35"/>
        <v>N/A</v>
      </c>
      <c r="DS32" s="570">
        <f t="shared" si="36"/>
        <v>3</v>
      </c>
      <c r="DT32" s="577">
        <f t="shared" ca="1" si="37"/>
        <v>0.5</v>
      </c>
      <c r="DU32" s="570">
        <f t="shared" ca="1" si="38"/>
        <v>1479</v>
      </c>
      <c r="DV32" s="570" t="str">
        <f t="shared" ca="1" si="39"/>
        <v>N/A</v>
      </c>
      <c r="DW32" s="570">
        <f t="shared" ca="1" si="40"/>
        <v>1</v>
      </c>
      <c r="DX32" s="569">
        <f t="shared" ca="1" si="41"/>
        <v>1479</v>
      </c>
      <c r="DY32" s="570" t="str">
        <f t="shared" ca="1" si="12"/>
        <v>N/A</v>
      </c>
      <c r="DZ32" s="578">
        <f t="shared" si="42"/>
        <v>32216</v>
      </c>
      <c r="EA32" s="578">
        <f t="shared" si="43"/>
        <v>32216</v>
      </c>
      <c r="EB32" s="570">
        <f t="shared" si="44"/>
        <v>3</v>
      </c>
      <c r="EC32" s="570">
        <f t="shared" si="45"/>
        <v>1200</v>
      </c>
      <c r="ED32" s="579">
        <f t="shared" si="46"/>
        <v>1.4166000000000001</v>
      </c>
      <c r="EE32" s="580" t="str">
        <f t="shared" si="47"/>
        <v>No</v>
      </c>
      <c r="EF32" s="577" t="str">
        <f t="shared" si="48"/>
        <v>No</v>
      </c>
      <c r="EG32" s="577">
        <f ca="1">IF(OR(EA32="N/A",DY32&lt;&gt;"N/A"),"N/A",IF(AND(DZ32&gt;=DATE(1961,7,1),EA32&gt;=DATE(1961,7,1),OR(DQ32="1 in Station",DQ32="2 in Station",DS32="1 in Station",DS32="2 in Station")),1.5,IF(AND(DK32="Electric Resistance Weld",YEAR(DZ32)&lt;1970,EA32&lt;DATE(1961,7,1),OR(DQ32=1,DQ32="1 in Station",DQ32="1 in Public Road Crossing",DQ32="1 in Hard Road Parallel",DQ32="1 on Bridge",DS32=1,DS32="1 in Station",DS32="1 in Public Road Crossing",DS32="1 in Hard Road Parallel",DS32="1 on Bridge")),1.25,INDEX('FVE Table'!$C$3:$F$5,EB32,IF(AND(ABS(DZ32-EA32)&lt;=365,DQ32&gt;0),LEFT(DQ32,1),LEFT(DS32,1))))))</f>
        <v>1.5</v>
      </c>
      <c r="EH32" s="570">
        <f t="shared" ca="1" si="49"/>
        <v>800</v>
      </c>
      <c r="EI32" s="570" t="str">
        <f t="shared" ca="1" si="50"/>
        <v>N/A</v>
      </c>
      <c r="EJ32" s="570" t="str">
        <f t="shared" ca="1" si="51"/>
        <v>N/A</v>
      </c>
      <c r="EK32" s="581">
        <f t="shared" si="52"/>
        <v>204</v>
      </c>
      <c r="EL32" s="570"/>
      <c r="EM32" s="582">
        <f t="shared" ca="1" si="53"/>
        <v>6.8954081632653055E-2</v>
      </c>
      <c r="EN32" s="582" t="str">
        <f t="shared" ca="1" si="54"/>
        <v>N/A</v>
      </c>
      <c r="EO32" s="570">
        <f t="shared" ca="1" si="55"/>
        <v>204</v>
      </c>
      <c r="EP32" s="570" t="str">
        <f t="shared" ca="1" si="56"/>
        <v>R</v>
      </c>
      <c r="EQ32" s="582">
        <f t="shared" ca="1" si="57"/>
        <v>6.8954081632653055E-2</v>
      </c>
      <c r="ER32" s="573">
        <f t="shared" si="22"/>
        <v>0</v>
      </c>
      <c r="ES32" s="762"/>
      <c r="ET32" s="762"/>
      <c r="EU32" s="585"/>
      <c r="EV32" s="583"/>
      <c r="EW32" s="583"/>
      <c r="EX32" s="584"/>
      <c r="EY32" s="759"/>
      <c r="EZ32" s="585"/>
      <c r="FA32" s="585"/>
      <c r="FB32" s="585"/>
      <c r="FC32" s="585"/>
    </row>
    <row r="33" spans="1:159" ht="15" customHeight="1" thickTop="1" thickBot="1" x14ac:dyDescent="0.25">
      <c r="A33" s="389">
        <f t="shared" si="23"/>
        <v>0</v>
      </c>
      <c r="B33" s="389">
        <f t="shared" si="24"/>
        <v>0</v>
      </c>
      <c r="C33" s="390" t="s">
        <v>2056</v>
      </c>
      <c r="D33" s="391">
        <v>3</v>
      </c>
      <c r="E33" s="391">
        <v>4678504</v>
      </c>
      <c r="F33" s="392">
        <v>32216</v>
      </c>
      <c r="G33" s="796">
        <v>32</v>
      </c>
      <c r="H33" s="394" t="s">
        <v>291</v>
      </c>
      <c r="I33" s="395" t="s">
        <v>158</v>
      </c>
      <c r="J33" s="396">
        <v>1.3</v>
      </c>
      <c r="O33" s="803">
        <v>6.625</v>
      </c>
      <c r="P33" s="809"/>
      <c r="Q33" s="805"/>
      <c r="S33" s="395" t="s">
        <v>329</v>
      </c>
      <c r="T33" s="390" t="s">
        <v>158</v>
      </c>
      <c r="U33" s="399" t="s">
        <v>158</v>
      </c>
      <c r="V33" s="390" t="s">
        <v>158</v>
      </c>
      <c r="Y33" s="390"/>
      <c r="Z33" s="390" t="s">
        <v>158</v>
      </c>
      <c r="AC33" s="402" t="s">
        <v>1409</v>
      </c>
      <c r="AD33" s="396">
        <v>90</v>
      </c>
      <c r="AE33" s="403" t="s">
        <v>101</v>
      </c>
      <c r="AF33" s="403" t="s">
        <v>918</v>
      </c>
      <c r="AG33" s="391"/>
      <c r="AK33" s="390"/>
      <c r="AL33" s="390"/>
      <c r="AM33" s="390"/>
      <c r="AN33" s="390"/>
      <c r="AO33" s="390"/>
      <c r="AP33" s="390" t="s">
        <v>158</v>
      </c>
      <c r="AR33" s="392">
        <v>32216</v>
      </c>
      <c r="AS33" s="390" t="s">
        <v>158</v>
      </c>
      <c r="AU33" s="390" t="s">
        <v>158</v>
      </c>
      <c r="AV33" s="392"/>
      <c r="AW33" s="403" t="s">
        <v>590</v>
      </c>
      <c r="AX33" s="406" t="s">
        <v>590</v>
      </c>
      <c r="AY33" s="406" t="s">
        <v>590</v>
      </c>
      <c r="AZ33" s="406" t="s">
        <v>158</v>
      </c>
      <c r="BA33" s="390"/>
      <c r="BB33" s="395"/>
      <c r="BC33" s="390"/>
      <c r="BD33" s="395"/>
      <c r="BE33" s="852" t="s">
        <v>2016</v>
      </c>
      <c r="BF33" s="395" t="s">
        <v>40</v>
      </c>
      <c r="BG33" s="390"/>
      <c r="BH33" s="395"/>
      <c r="BI33" s="390"/>
      <c r="BJ33" s="395"/>
      <c r="BK33" s="390"/>
      <c r="BM33" s="404" t="s">
        <v>1992</v>
      </c>
      <c r="BN33" s="404" t="s">
        <v>2050</v>
      </c>
      <c r="BO33" s="403" t="s">
        <v>637</v>
      </c>
      <c r="BP33" s="403">
        <v>4678504</v>
      </c>
      <c r="BQ33" s="403" t="s">
        <v>642</v>
      </c>
      <c r="BR33" s="408">
        <v>1200</v>
      </c>
      <c r="BS33" s="396">
        <v>1.4166000000000001</v>
      </c>
      <c r="BT33" s="807"/>
      <c r="BU33" s="392">
        <v>32216</v>
      </c>
      <c r="BV33" s="403" t="s">
        <v>2032</v>
      </c>
      <c r="BW33" s="403" t="s">
        <v>2086</v>
      </c>
      <c r="BZ33" s="399">
        <v>204</v>
      </c>
      <c r="CA33" s="852" t="s">
        <v>2051</v>
      </c>
      <c r="CB33" s="852" t="s">
        <v>2052</v>
      </c>
      <c r="CC33" s="852" t="s">
        <v>2053</v>
      </c>
      <c r="CD33" s="390"/>
      <c r="CE33" s="852" t="s">
        <v>2054</v>
      </c>
      <c r="CF33" s="390" t="s">
        <v>40</v>
      </c>
      <c r="CG33" s="390"/>
      <c r="CH33" s="390" t="s">
        <v>1112</v>
      </c>
      <c r="CI33" s="403" t="s">
        <v>1998</v>
      </c>
      <c r="CJ33" s="403" t="s">
        <v>1999</v>
      </c>
      <c r="CK33" s="403" t="s">
        <v>2000</v>
      </c>
      <c r="CL33" s="403" t="s">
        <v>589</v>
      </c>
      <c r="CM33" s="852" t="s">
        <v>2017</v>
      </c>
      <c r="CN33" s="390"/>
      <c r="CO33" s="390"/>
      <c r="CP33" s="390"/>
      <c r="CQ33" s="390"/>
      <c r="CR33" s="409" t="str">
        <f>IF((IF(ISNA(VLOOKUP($BB33,Instructions!$A$133:$J$138,10,FALSE)),0,VLOOKUP($BB33,Instructions!$A$133:$J$138,10,FALSE))+IF(ISNA(VLOOKUP($BD33,Instructions!$A$133:$J$138,10,FALSE)),0,VLOOKUP($BD33,Instructions!$A$133:$J$138,10,FALSE))+IF(ISNA(VLOOKUP($BF33,Instructions!$A$133:$J$138,10,FALSE)),0,VLOOKUP($BF33,Instructions!$A$133:$J$138,10,FALSE))+IF(ISNA(VLOOKUP($BH33,Instructions!$A$133:$J$138,10,FALSE)),0,VLOOKUP($BH33,Instructions!$A$133:$J$138,10,FALSE))+IF(ISNA(VLOOKUP($BJ33,Instructions!$A$133:$J$138,10,FALSE)),0,VLOOKUP($BJ33,Instructions!$A$133:$J$138,10,FALSE))+IF(ISNA(VLOOKUP($BL33,Instructions!$A$133:$J$138,10,FALSE)),0,VLOOKUP($BL33,Instructions!$A$133:$J$138,10,FALSE)))&lt;2,"Poor","Usable")</f>
        <v>Usable</v>
      </c>
      <c r="CS33" s="409">
        <f>IF(ISNA(VLOOKUP($D33,Selections!$A$7:$B$19,2,FALSE)),0.4,VLOOKUP($D33,Selections!$A$7:$B$19,2,FALSE))</f>
        <v>0.5</v>
      </c>
      <c r="CT33" s="409">
        <f t="shared" si="0"/>
        <v>24000</v>
      </c>
      <c r="CU33" s="409">
        <f>IF((OR(ISBLANK($P33),$P33&lt;=0)),IF(ISNA(VLOOKUP($O33,Selections!$A$21:$D$48,4,FALSE)),0.113,VLOOKUP($O33,Selections!$A$21:$D$48,4,FALSE)),$P33)</f>
        <v>0.156</v>
      </c>
      <c r="CV33" s="409">
        <f>IF(ISNA(VLOOKUP($S33,Selections!$A$57:$B$75,2,FALSE)),0.6,VLOOKUP($S33,Selections!$A$57:$B$75,2,FALSE))</f>
        <v>0.8</v>
      </c>
      <c r="CW33" s="410">
        <f>IF(OR($H33="",$H33="Valve",$H33="PCF",$H33="Regulator",$H33="Relief Valve",$H33="Appurtenance",$H33="Meter",$H33="Other",$H33="Pig Trap",$H33="Flange"),     IF(AND($BZ33&gt;0,$O33&gt;0),     IF($BZ33&gt;(      IF(IF(ISBLANK($V33),0,ISNA(VLOOKUP($V33,Selections!$A$153:$B$177,2,FALSE))),"n/a",IF(ISBLANK($V33),0,VLOOKUP($V33,Selections!$A$153:$B$177,2,FALSE)))),    "Chk Rating","OK Rating"),"n/a" ),IF(AND($BZ33&gt;0,$O33&gt;0),$BZ33/((2*$CT33*$CU33*$CV33)/$O33),1))</f>
        <v>0.22561097756410256</v>
      </c>
      <c r="CX33" s="569" t="str">
        <f t="shared" si="25"/>
        <v>Mfg Bend</v>
      </c>
      <c r="CY33" s="570" t="str">
        <f t="shared" si="26"/>
        <v>No</v>
      </c>
      <c r="CZ33" s="844">
        <v>35000</v>
      </c>
      <c r="DA33" s="571">
        <v>35000</v>
      </c>
      <c r="DB33" s="845">
        <v>1</v>
      </c>
      <c r="DC33" s="849">
        <v>0.28000000000000003</v>
      </c>
      <c r="DD33" s="573">
        <v>0.28000000000000003</v>
      </c>
      <c r="DE33" s="573" t="str">
        <f t="shared" si="29"/>
        <v>N/A</v>
      </c>
      <c r="DF33" s="573"/>
      <c r="DG33" s="845">
        <v>1</v>
      </c>
      <c r="DH33" s="574">
        <f t="shared" ca="1" si="30"/>
        <v>6.625</v>
      </c>
      <c r="DI33" s="574" t="str">
        <f t="shared" si="31"/>
        <v>N/A</v>
      </c>
      <c r="DJ33" s="570"/>
      <c r="DK33" s="575" t="str">
        <f t="shared" si="32"/>
        <v>Unknown</v>
      </c>
      <c r="DL33" s="573"/>
      <c r="DM33" s="576">
        <f t="shared" si="33"/>
        <v>1</v>
      </c>
      <c r="DN33" s="570"/>
      <c r="DO33" s="570" t="str">
        <f t="shared" si="34"/>
        <v>Unknown</v>
      </c>
      <c r="DP33" s="570"/>
      <c r="DQ33" s="570"/>
      <c r="DR33" s="570" t="str">
        <f t="shared" ca="1" si="35"/>
        <v>N/A</v>
      </c>
      <c r="DS33" s="570">
        <f t="shared" si="36"/>
        <v>3</v>
      </c>
      <c r="DT33" s="577">
        <f t="shared" ca="1" si="37"/>
        <v>0.5</v>
      </c>
      <c r="DU33" s="570">
        <f t="shared" ca="1" si="38"/>
        <v>1479</v>
      </c>
      <c r="DV33" s="570" t="str">
        <f t="shared" ca="1" si="39"/>
        <v>N/A</v>
      </c>
      <c r="DW33" s="570">
        <f t="shared" ca="1" si="40"/>
        <v>1</v>
      </c>
      <c r="DX33" s="569">
        <f t="shared" ca="1" si="41"/>
        <v>1479</v>
      </c>
      <c r="DY33" s="570" t="str">
        <f t="shared" ca="1" si="12"/>
        <v>N/A</v>
      </c>
      <c r="DZ33" s="578">
        <f t="shared" si="42"/>
        <v>32216</v>
      </c>
      <c r="EA33" s="578">
        <f t="shared" si="43"/>
        <v>32216</v>
      </c>
      <c r="EB33" s="570">
        <f t="shared" si="44"/>
        <v>3</v>
      </c>
      <c r="EC33" s="570">
        <f t="shared" si="45"/>
        <v>1200</v>
      </c>
      <c r="ED33" s="579">
        <f t="shared" si="46"/>
        <v>1.4166000000000001</v>
      </c>
      <c r="EE33" s="580" t="str">
        <f t="shared" si="47"/>
        <v>No</v>
      </c>
      <c r="EF33" s="577" t="str">
        <f t="shared" si="48"/>
        <v>No</v>
      </c>
      <c r="EG33" s="577">
        <f ca="1">IF(OR(EA33="N/A",DY33&lt;&gt;"N/A"),"N/A",IF(AND(DZ33&gt;=DATE(1961,7,1),EA33&gt;=DATE(1961,7,1),OR(DQ33="1 in Station",DQ33="2 in Station",DS33="1 in Station",DS33="2 in Station")),1.5,IF(AND(DK33="Electric Resistance Weld",YEAR(DZ33)&lt;1970,EA33&lt;DATE(1961,7,1),OR(DQ33=1,DQ33="1 in Station",DQ33="1 in Public Road Crossing",DQ33="1 in Hard Road Parallel",DQ33="1 on Bridge",DS33=1,DS33="1 in Station",DS33="1 in Public Road Crossing",DS33="1 in Hard Road Parallel",DS33="1 on Bridge")),1.25,INDEX('FVE Table'!$C$3:$F$5,EB33,IF(AND(ABS(DZ33-EA33)&lt;=365,DQ33&gt;0),LEFT(DQ33,1),LEFT(DS33,1))))))</f>
        <v>1.5</v>
      </c>
      <c r="EH33" s="570">
        <f t="shared" ca="1" si="49"/>
        <v>800</v>
      </c>
      <c r="EI33" s="570" t="str">
        <f t="shared" ca="1" si="50"/>
        <v>N/A</v>
      </c>
      <c r="EJ33" s="570" t="str">
        <f t="shared" ca="1" si="51"/>
        <v>N/A</v>
      </c>
      <c r="EK33" s="581">
        <f t="shared" si="52"/>
        <v>204</v>
      </c>
      <c r="EL33" s="570"/>
      <c r="EM33" s="582">
        <f t="shared" ca="1" si="53"/>
        <v>6.8954081632653055E-2</v>
      </c>
      <c r="EN33" s="582" t="str">
        <f t="shared" ca="1" si="54"/>
        <v>N/A</v>
      </c>
      <c r="EO33" s="570">
        <f t="shared" ca="1" si="55"/>
        <v>204</v>
      </c>
      <c r="EP33" s="570" t="str">
        <f t="shared" ca="1" si="56"/>
        <v>R</v>
      </c>
      <c r="EQ33" s="582">
        <f t="shared" ca="1" si="57"/>
        <v>6.8954081632653055E-2</v>
      </c>
      <c r="ER33" s="573">
        <f t="shared" si="22"/>
        <v>0</v>
      </c>
      <c r="ES33" s="762"/>
      <c r="ET33" s="762"/>
      <c r="EU33" s="585"/>
      <c r="EV33" s="848" t="s">
        <v>2077</v>
      </c>
      <c r="EW33" s="583"/>
      <c r="EX33" s="846" t="s">
        <v>2075</v>
      </c>
      <c r="EY33" s="847">
        <v>1</v>
      </c>
      <c r="EZ33" s="585"/>
      <c r="FA33" s="585"/>
      <c r="FB33" s="585"/>
      <c r="FC33" s="585"/>
    </row>
    <row r="34" spans="1:159" ht="15" customHeight="1" thickTop="1" thickBot="1" x14ac:dyDescent="0.25">
      <c r="A34" s="389">
        <f t="shared" si="23"/>
        <v>0</v>
      </c>
      <c r="B34" s="389">
        <f t="shared" si="24"/>
        <v>0</v>
      </c>
      <c r="C34" s="390" t="s">
        <v>2056</v>
      </c>
      <c r="D34" s="391">
        <v>3</v>
      </c>
      <c r="E34" s="391">
        <v>4678504</v>
      </c>
      <c r="F34" s="392">
        <v>32216</v>
      </c>
      <c r="G34" s="796">
        <v>33</v>
      </c>
      <c r="H34" s="394" t="s">
        <v>291</v>
      </c>
      <c r="I34" s="395" t="s">
        <v>158</v>
      </c>
      <c r="J34" s="396">
        <v>1.3</v>
      </c>
      <c r="O34" s="803">
        <v>6.625</v>
      </c>
      <c r="P34" s="804"/>
      <c r="Q34" s="805"/>
      <c r="S34" s="395" t="s">
        <v>329</v>
      </c>
      <c r="T34" s="390" t="s">
        <v>158</v>
      </c>
      <c r="U34" s="399" t="s">
        <v>158</v>
      </c>
      <c r="V34" s="390" t="s">
        <v>158</v>
      </c>
      <c r="Y34" s="390"/>
      <c r="Z34" s="390" t="s">
        <v>158</v>
      </c>
      <c r="AC34" s="402" t="s">
        <v>1409</v>
      </c>
      <c r="AD34" s="396">
        <v>90</v>
      </c>
      <c r="AE34" s="403" t="s">
        <v>101</v>
      </c>
      <c r="AF34" s="403" t="s">
        <v>593</v>
      </c>
      <c r="AG34" s="391"/>
      <c r="AK34" s="390"/>
      <c r="AL34" s="390"/>
      <c r="AM34" s="390"/>
      <c r="AN34" s="390"/>
      <c r="AO34" s="390"/>
      <c r="AP34" s="390" t="s">
        <v>158</v>
      </c>
      <c r="AR34" s="392">
        <v>32216</v>
      </c>
      <c r="AS34" s="390" t="s">
        <v>158</v>
      </c>
      <c r="AU34" s="390" t="s">
        <v>158</v>
      </c>
      <c r="AV34" s="392"/>
      <c r="AW34" s="403" t="s">
        <v>590</v>
      </c>
      <c r="AX34" s="406" t="s">
        <v>590</v>
      </c>
      <c r="AY34" s="406" t="s">
        <v>590</v>
      </c>
      <c r="AZ34" s="406" t="s">
        <v>158</v>
      </c>
      <c r="BA34" s="390"/>
      <c r="BB34" s="395"/>
      <c r="BC34" s="390"/>
      <c r="BD34" s="395"/>
      <c r="BE34" s="852" t="s">
        <v>2016</v>
      </c>
      <c r="BF34" s="395" t="s">
        <v>40</v>
      </c>
      <c r="BG34" s="390"/>
      <c r="BH34" s="395"/>
      <c r="BI34" s="390"/>
      <c r="BJ34" s="395"/>
      <c r="BK34" s="390"/>
      <c r="BM34" s="404" t="s">
        <v>1992</v>
      </c>
      <c r="BN34" s="404" t="s">
        <v>2050</v>
      </c>
      <c r="BO34" s="403" t="s">
        <v>637</v>
      </c>
      <c r="BP34" s="403">
        <v>4678504</v>
      </c>
      <c r="BQ34" s="403" t="s">
        <v>642</v>
      </c>
      <c r="BR34" s="408">
        <v>1200</v>
      </c>
      <c r="BS34" s="396">
        <v>1.4166000000000001</v>
      </c>
      <c r="BT34" s="807"/>
      <c r="BU34" s="392">
        <v>32216</v>
      </c>
      <c r="BV34" s="403" t="s">
        <v>2032</v>
      </c>
      <c r="BW34" s="403" t="s">
        <v>2086</v>
      </c>
      <c r="BZ34" s="399">
        <v>204</v>
      </c>
      <c r="CA34" s="852" t="s">
        <v>2051</v>
      </c>
      <c r="CB34" s="852" t="s">
        <v>2052</v>
      </c>
      <c r="CC34" s="852" t="s">
        <v>2053</v>
      </c>
      <c r="CD34" s="390"/>
      <c r="CE34" s="852" t="s">
        <v>2054</v>
      </c>
      <c r="CF34" s="390" t="s">
        <v>40</v>
      </c>
      <c r="CG34" s="390"/>
      <c r="CH34" s="390" t="s">
        <v>1112</v>
      </c>
      <c r="CI34" s="403" t="s">
        <v>1998</v>
      </c>
      <c r="CJ34" s="403" t="s">
        <v>1999</v>
      </c>
      <c r="CK34" s="403" t="s">
        <v>2000</v>
      </c>
      <c r="CL34" s="403" t="s">
        <v>589</v>
      </c>
      <c r="CM34" s="852" t="s">
        <v>2017</v>
      </c>
      <c r="CN34" s="390"/>
      <c r="CO34" s="390"/>
      <c r="CP34" s="390"/>
      <c r="CQ34" s="390"/>
      <c r="CR34" s="409" t="str">
        <f>IF((IF(ISNA(VLOOKUP($BB34,Instructions!$A$133:$J$138,10,FALSE)),0,VLOOKUP($BB34,Instructions!$A$133:$J$138,10,FALSE))+IF(ISNA(VLOOKUP($BD34,Instructions!$A$133:$J$138,10,FALSE)),0,VLOOKUP($BD34,Instructions!$A$133:$J$138,10,FALSE))+IF(ISNA(VLOOKUP($BF34,Instructions!$A$133:$J$138,10,FALSE)),0,VLOOKUP($BF34,Instructions!$A$133:$J$138,10,FALSE))+IF(ISNA(VLOOKUP($BH34,Instructions!$A$133:$J$138,10,FALSE)),0,VLOOKUP($BH34,Instructions!$A$133:$J$138,10,FALSE))+IF(ISNA(VLOOKUP($BJ34,Instructions!$A$133:$J$138,10,FALSE)),0,VLOOKUP($BJ34,Instructions!$A$133:$J$138,10,FALSE))+IF(ISNA(VLOOKUP($BL34,Instructions!$A$133:$J$138,10,FALSE)),0,VLOOKUP($BL34,Instructions!$A$133:$J$138,10,FALSE)))&lt;2,"Poor","Usable")</f>
        <v>Usable</v>
      </c>
      <c r="CS34" s="409">
        <f>IF(ISNA(VLOOKUP($D34,Selections!$A$7:$B$19,2,FALSE)),0.4,VLOOKUP($D34,Selections!$A$7:$B$19,2,FALSE))</f>
        <v>0.5</v>
      </c>
      <c r="CT34" s="409">
        <f t="shared" si="0"/>
        <v>24000</v>
      </c>
      <c r="CU34" s="409">
        <f>IF((OR(ISBLANK($P34),$P34&lt;=0)),IF(ISNA(VLOOKUP($O34,Selections!$A$21:$D$48,4,FALSE)),0.113,VLOOKUP($O34,Selections!$A$21:$D$48,4,FALSE)),$P34)</f>
        <v>0.156</v>
      </c>
      <c r="CV34" s="409">
        <f>IF(ISNA(VLOOKUP($S34,Selections!$A$57:$B$75,2,FALSE)),0.6,VLOOKUP($S34,Selections!$A$57:$B$75,2,FALSE))</f>
        <v>0.8</v>
      </c>
      <c r="CW34" s="410">
        <f>IF(OR($H34="",$H34="Valve",$H34="PCF",$H34="Regulator",$H34="Relief Valve",$H34="Appurtenance",$H34="Meter",$H34="Other",$H34="Pig Trap",$H34="Flange"),     IF(AND($BZ34&gt;0,$O34&gt;0),     IF($BZ34&gt;(      IF(IF(ISBLANK($V34),0,ISNA(VLOOKUP($V34,Selections!$A$153:$B$177,2,FALSE))),"n/a",IF(ISBLANK($V34),0,VLOOKUP($V34,Selections!$A$153:$B$177,2,FALSE)))),    "Chk Rating","OK Rating"),"n/a" ),IF(AND($BZ34&gt;0,$O34&gt;0),$BZ34/((2*$CT34*$CU34*$CV34)/$O34),1))</f>
        <v>0.22561097756410256</v>
      </c>
      <c r="CX34" s="569" t="str">
        <f t="shared" si="25"/>
        <v>Mfg Bend</v>
      </c>
      <c r="CY34" s="570" t="str">
        <f t="shared" si="26"/>
        <v>No</v>
      </c>
      <c r="CZ34" s="844">
        <v>35000</v>
      </c>
      <c r="DA34" s="571">
        <v>35000</v>
      </c>
      <c r="DB34" s="845">
        <v>1</v>
      </c>
      <c r="DC34" s="849">
        <v>0.28000000000000003</v>
      </c>
      <c r="DD34" s="573">
        <v>0.28000000000000003</v>
      </c>
      <c r="DE34" s="573" t="str">
        <f t="shared" si="29"/>
        <v>N/A</v>
      </c>
      <c r="DF34" s="573"/>
      <c r="DG34" s="845">
        <v>1</v>
      </c>
      <c r="DH34" s="574">
        <f t="shared" ca="1" si="30"/>
        <v>6.625</v>
      </c>
      <c r="DI34" s="574" t="str">
        <f t="shared" si="31"/>
        <v>N/A</v>
      </c>
      <c r="DJ34" s="570"/>
      <c r="DK34" s="575" t="str">
        <f t="shared" si="32"/>
        <v>Unknown</v>
      </c>
      <c r="DL34" s="573"/>
      <c r="DM34" s="576">
        <f t="shared" si="33"/>
        <v>1</v>
      </c>
      <c r="DN34" s="570"/>
      <c r="DO34" s="570" t="str">
        <f t="shared" si="34"/>
        <v>Unknown</v>
      </c>
      <c r="DP34" s="570"/>
      <c r="DQ34" s="570"/>
      <c r="DR34" s="570" t="str">
        <f t="shared" ca="1" si="35"/>
        <v>N/A</v>
      </c>
      <c r="DS34" s="570">
        <f t="shared" si="36"/>
        <v>3</v>
      </c>
      <c r="DT34" s="577">
        <f t="shared" ca="1" si="37"/>
        <v>0.5</v>
      </c>
      <c r="DU34" s="570">
        <f t="shared" ca="1" si="38"/>
        <v>1479</v>
      </c>
      <c r="DV34" s="570" t="str">
        <f t="shared" ca="1" si="39"/>
        <v>N/A</v>
      </c>
      <c r="DW34" s="570">
        <f t="shared" ca="1" si="40"/>
        <v>1</v>
      </c>
      <c r="DX34" s="569">
        <f t="shared" ca="1" si="41"/>
        <v>1479</v>
      </c>
      <c r="DY34" s="570" t="str">
        <f t="shared" ca="1" si="12"/>
        <v>N/A</v>
      </c>
      <c r="DZ34" s="578">
        <f t="shared" si="42"/>
        <v>32216</v>
      </c>
      <c r="EA34" s="578">
        <f t="shared" si="43"/>
        <v>32216</v>
      </c>
      <c r="EB34" s="570">
        <f t="shared" si="44"/>
        <v>3</v>
      </c>
      <c r="EC34" s="570">
        <f t="shared" si="45"/>
        <v>1200</v>
      </c>
      <c r="ED34" s="579">
        <f t="shared" si="46"/>
        <v>1.4166000000000001</v>
      </c>
      <c r="EE34" s="580" t="str">
        <f t="shared" si="47"/>
        <v>No</v>
      </c>
      <c r="EF34" s="577" t="str">
        <f t="shared" si="48"/>
        <v>No</v>
      </c>
      <c r="EG34" s="577">
        <f ca="1">IF(OR(EA34="N/A",DY34&lt;&gt;"N/A"),"N/A",IF(AND(DZ34&gt;=DATE(1961,7,1),EA34&gt;=DATE(1961,7,1),OR(DQ34="1 in Station",DQ34="2 in Station",DS34="1 in Station",DS34="2 in Station")),1.5,IF(AND(DK34="Electric Resistance Weld",YEAR(DZ34)&lt;1970,EA34&lt;DATE(1961,7,1),OR(DQ34=1,DQ34="1 in Station",DQ34="1 in Public Road Crossing",DQ34="1 in Hard Road Parallel",DQ34="1 on Bridge",DS34=1,DS34="1 in Station",DS34="1 in Public Road Crossing",DS34="1 in Hard Road Parallel",DS34="1 on Bridge")),1.25,INDEX('FVE Table'!$C$3:$F$5,EB34,IF(AND(ABS(DZ34-EA34)&lt;=365,DQ34&gt;0),LEFT(DQ34,1),LEFT(DS34,1))))))</f>
        <v>1.5</v>
      </c>
      <c r="EH34" s="570">
        <f t="shared" ca="1" si="49"/>
        <v>800</v>
      </c>
      <c r="EI34" s="570" t="str">
        <f t="shared" ca="1" si="50"/>
        <v>N/A</v>
      </c>
      <c r="EJ34" s="570" t="str">
        <f t="shared" ca="1" si="51"/>
        <v>N/A</v>
      </c>
      <c r="EK34" s="581">
        <f t="shared" si="52"/>
        <v>204</v>
      </c>
      <c r="EL34" s="570"/>
      <c r="EM34" s="582">
        <f t="shared" ca="1" si="53"/>
        <v>6.8954081632653055E-2</v>
      </c>
      <c r="EN34" s="582" t="str">
        <f t="shared" ca="1" si="54"/>
        <v>N/A</v>
      </c>
      <c r="EO34" s="570">
        <f t="shared" ca="1" si="55"/>
        <v>204</v>
      </c>
      <c r="EP34" s="570" t="str">
        <f t="shared" ca="1" si="56"/>
        <v>R</v>
      </c>
      <c r="EQ34" s="582">
        <f t="shared" ca="1" si="57"/>
        <v>6.8954081632653055E-2</v>
      </c>
      <c r="ER34" s="573">
        <f t="shared" si="22"/>
        <v>0</v>
      </c>
      <c r="ES34" s="762"/>
      <c r="ET34" s="762"/>
      <c r="EU34" s="585"/>
      <c r="EV34" s="848" t="s">
        <v>2077</v>
      </c>
      <c r="EW34" s="583"/>
      <c r="EX34" s="846" t="s">
        <v>2075</v>
      </c>
      <c r="EY34" s="847">
        <v>1</v>
      </c>
      <c r="EZ34" s="585"/>
      <c r="FA34" s="585"/>
      <c r="FB34" s="585"/>
      <c r="FC34" s="585"/>
    </row>
    <row r="35" spans="1:159" ht="15" customHeight="1" thickTop="1" thickBot="1" x14ac:dyDescent="0.25">
      <c r="A35" s="389">
        <f t="shared" si="23"/>
        <v>0</v>
      </c>
      <c r="B35" s="389">
        <f t="shared" si="24"/>
        <v>0</v>
      </c>
      <c r="C35" s="390" t="s">
        <v>2056</v>
      </c>
      <c r="D35" s="391">
        <v>3</v>
      </c>
      <c r="E35" s="391">
        <v>4678504</v>
      </c>
      <c r="F35" s="392">
        <v>32216</v>
      </c>
      <c r="G35" s="393">
        <v>34</v>
      </c>
      <c r="H35" s="394" t="s">
        <v>153</v>
      </c>
      <c r="I35" s="395" t="s">
        <v>68</v>
      </c>
      <c r="J35" s="396">
        <v>14</v>
      </c>
      <c r="O35" s="398">
        <v>6.625</v>
      </c>
      <c r="P35" s="808">
        <v>0.28000000000000003</v>
      </c>
      <c r="S35" s="395" t="s">
        <v>745</v>
      </c>
      <c r="T35" s="390" t="s">
        <v>820</v>
      </c>
      <c r="U35" s="399">
        <v>35000</v>
      </c>
      <c r="Y35" s="390"/>
      <c r="Z35" s="390" t="s">
        <v>158</v>
      </c>
      <c r="AB35" s="401" t="s">
        <v>1095</v>
      </c>
      <c r="AC35" s="402" t="s">
        <v>1409</v>
      </c>
      <c r="AG35" s="391"/>
      <c r="AK35" s="390"/>
      <c r="AL35" s="390"/>
      <c r="AM35" s="390"/>
      <c r="AN35" s="390"/>
      <c r="AO35" s="390"/>
      <c r="AP35" s="390" t="s">
        <v>158</v>
      </c>
      <c r="AR35" s="392">
        <v>32216</v>
      </c>
      <c r="AS35" s="390" t="s">
        <v>158</v>
      </c>
      <c r="AU35" s="390" t="s">
        <v>158</v>
      </c>
      <c r="AV35" s="392"/>
      <c r="AW35" s="403" t="s">
        <v>590</v>
      </c>
      <c r="AX35" s="406" t="s">
        <v>590</v>
      </c>
      <c r="AY35" s="406" t="s">
        <v>590</v>
      </c>
      <c r="AZ35" s="406" t="s">
        <v>158</v>
      </c>
      <c r="BA35" s="390"/>
      <c r="BB35" s="395"/>
      <c r="BC35" s="390"/>
      <c r="BD35" s="395"/>
      <c r="BE35" s="852" t="s">
        <v>2016</v>
      </c>
      <c r="BF35" s="395" t="s">
        <v>40</v>
      </c>
      <c r="BG35" s="390"/>
      <c r="BH35" s="395"/>
      <c r="BI35" s="390"/>
      <c r="BJ35" s="395"/>
      <c r="BK35" s="390"/>
      <c r="BM35" s="404" t="s">
        <v>1992</v>
      </c>
      <c r="BN35" s="404" t="s">
        <v>2050</v>
      </c>
      <c r="BO35" s="403" t="s">
        <v>637</v>
      </c>
      <c r="BP35" s="403">
        <v>4678504</v>
      </c>
      <c r="BQ35" s="403" t="s">
        <v>642</v>
      </c>
      <c r="BR35" s="408">
        <v>1200</v>
      </c>
      <c r="BS35" s="396">
        <v>1.4166000000000001</v>
      </c>
      <c r="BT35" s="807"/>
      <c r="BU35" s="392">
        <v>32216</v>
      </c>
      <c r="BV35" s="403" t="s">
        <v>2032</v>
      </c>
      <c r="BW35" s="403" t="s">
        <v>2086</v>
      </c>
      <c r="BZ35" s="399">
        <v>204</v>
      </c>
      <c r="CA35" s="852" t="s">
        <v>2051</v>
      </c>
      <c r="CB35" s="852" t="s">
        <v>2052</v>
      </c>
      <c r="CC35" s="852" t="s">
        <v>2053</v>
      </c>
      <c r="CD35" s="390"/>
      <c r="CE35" s="852" t="s">
        <v>2054</v>
      </c>
      <c r="CF35" s="390" t="s">
        <v>40</v>
      </c>
      <c r="CG35" s="390"/>
      <c r="CH35" s="390" t="s">
        <v>1112</v>
      </c>
      <c r="CI35" s="403" t="s">
        <v>1998</v>
      </c>
      <c r="CJ35" s="403" t="s">
        <v>1999</v>
      </c>
      <c r="CK35" s="403" t="s">
        <v>2000</v>
      </c>
      <c r="CL35" s="403" t="s">
        <v>589</v>
      </c>
      <c r="CM35" s="852" t="s">
        <v>2017</v>
      </c>
      <c r="CN35" s="390"/>
      <c r="CO35" s="390"/>
      <c r="CP35" s="390"/>
      <c r="CQ35" s="390"/>
      <c r="CR35" s="409" t="str">
        <f>IF((IF(ISNA(VLOOKUP($BB35,Instructions!$A$133:$J$138,10,FALSE)),0,VLOOKUP($BB35,Instructions!$A$133:$J$138,10,FALSE))+IF(ISNA(VLOOKUP($BD35,Instructions!$A$133:$J$138,10,FALSE)),0,VLOOKUP($BD35,Instructions!$A$133:$J$138,10,FALSE))+IF(ISNA(VLOOKUP($BF35,Instructions!$A$133:$J$138,10,FALSE)),0,VLOOKUP($BF35,Instructions!$A$133:$J$138,10,FALSE))+IF(ISNA(VLOOKUP($BH35,Instructions!$A$133:$J$138,10,FALSE)),0,VLOOKUP($BH35,Instructions!$A$133:$J$138,10,FALSE))+IF(ISNA(VLOOKUP($BJ35,Instructions!$A$133:$J$138,10,FALSE)),0,VLOOKUP($BJ35,Instructions!$A$133:$J$138,10,FALSE))+IF(ISNA(VLOOKUP($BL35,Instructions!$A$133:$J$138,10,FALSE)),0,VLOOKUP($BL35,Instructions!$A$133:$J$138,10,FALSE)))&lt;2,"Poor","Usable")</f>
        <v>Usable</v>
      </c>
      <c r="CS35" s="409">
        <f>IF(ISNA(VLOOKUP($D35,Selections!$A$7:$B$19,2,FALSE)),0.4,VLOOKUP($D35,Selections!$A$7:$B$19,2,FALSE))</f>
        <v>0.5</v>
      </c>
      <c r="CT35" s="409">
        <f t="shared" si="0"/>
        <v>35000</v>
      </c>
      <c r="CU35" s="409">
        <f>IF((OR(ISBLANK($P35),$P35&lt;=0)),IF(ISNA(VLOOKUP($O35,Selections!$A$21:$D$48,4,FALSE)),0.113,VLOOKUP($O35,Selections!$A$21:$D$48,4,FALSE)),$P35)</f>
        <v>0.28000000000000003</v>
      </c>
      <c r="CV35" s="409">
        <f>IF(ISNA(VLOOKUP($S35,Selections!$A$57:$B$75,2,FALSE)),0.6,VLOOKUP($S35,Selections!$A$57:$B$75,2,FALSE))</f>
        <v>1</v>
      </c>
      <c r="CW35" s="410">
        <f>IF(OR($H35="",$H35="Valve",$H35="PCF",$H35="Regulator",$H35="Relief Valve",$H35="Appurtenance",$H35="Meter",$H35="Other",$H35="Pig Trap",$H35="Flange"),     IF(AND($BZ35&gt;0,$O35&gt;0),     IF($BZ35&gt;(      IF(IF(ISBLANK($V35),0,ISNA(VLOOKUP($V35,Selections!$A$153:$B$177,2,FALSE))),"n/a",IF(ISBLANK($V35),0,VLOOKUP($V35,Selections!$A$153:$B$177,2,FALSE)))),    "Chk Rating","OK Rating"),"n/a" ),IF(AND($BZ35&gt;0,$O35&gt;0),$BZ35/((2*$CT35*$CU35*$CV35)/$O35),1))</f>
        <v>6.8954081632653055E-2</v>
      </c>
      <c r="CX35" s="569" t="str">
        <f t="shared" si="25"/>
        <v>Pipe</v>
      </c>
      <c r="CY35" s="570" t="str">
        <f t="shared" si="26"/>
        <v>No</v>
      </c>
      <c r="CZ35" s="571">
        <f t="shared" si="27"/>
        <v>35000</v>
      </c>
      <c r="DA35" s="571"/>
      <c r="DB35" s="570"/>
      <c r="DC35" s="572">
        <f t="shared" si="28"/>
        <v>0.28000000000000003</v>
      </c>
      <c r="DD35" s="573"/>
      <c r="DE35" s="573" t="str">
        <f t="shared" si="29"/>
        <v>N/A</v>
      </c>
      <c r="DF35" s="573"/>
      <c r="DG35" s="570"/>
      <c r="DH35" s="574">
        <f t="shared" ca="1" si="30"/>
        <v>6.625</v>
      </c>
      <c r="DI35" s="574" t="str">
        <f t="shared" si="31"/>
        <v>N/A</v>
      </c>
      <c r="DJ35" s="570"/>
      <c r="DK35" s="575" t="str">
        <f t="shared" si="32"/>
        <v>Seamless</v>
      </c>
      <c r="DL35" s="573"/>
      <c r="DM35" s="576">
        <f t="shared" si="33"/>
        <v>1</v>
      </c>
      <c r="DN35" s="570"/>
      <c r="DO35" s="570" t="str">
        <f t="shared" si="34"/>
        <v>N/A</v>
      </c>
      <c r="DP35" s="570"/>
      <c r="DQ35" s="570"/>
      <c r="DR35" s="570" t="str">
        <f t="shared" ca="1" si="35"/>
        <v>N/A</v>
      </c>
      <c r="DS35" s="570">
        <f t="shared" si="36"/>
        <v>3</v>
      </c>
      <c r="DT35" s="577">
        <f t="shared" ca="1" si="37"/>
        <v>0.5</v>
      </c>
      <c r="DU35" s="570">
        <f t="shared" ca="1" si="38"/>
        <v>1479</v>
      </c>
      <c r="DV35" s="570" t="str">
        <f t="shared" ca="1" si="39"/>
        <v>N/A</v>
      </c>
      <c r="DW35" s="570">
        <f t="shared" ca="1" si="40"/>
        <v>1</v>
      </c>
      <c r="DX35" s="569">
        <f t="shared" ca="1" si="41"/>
        <v>1479</v>
      </c>
      <c r="DY35" s="570" t="str">
        <f t="shared" ca="1" si="12"/>
        <v>N/A</v>
      </c>
      <c r="DZ35" s="578">
        <f t="shared" si="42"/>
        <v>32216</v>
      </c>
      <c r="EA35" s="578">
        <f t="shared" si="43"/>
        <v>32216</v>
      </c>
      <c r="EB35" s="570">
        <f t="shared" si="44"/>
        <v>3</v>
      </c>
      <c r="EC35" s="570">
        <f t="shared" si="45"/>
        <v>1200</v>
      </c>
      <c r="ED35" s="579">
        <f t="shared" si="46"/>
        <v>1.4166000000000001</v>
      </c>
      <c r="EE35" s="580" t="str">
        <f t="shared" si="47"/>
        <v>No</v>
      </c>
      <c r="EF35" s="577" t="str">
        <f t="shared" si="48"/>
        <v>No</v>
      </c>
      <c r="EG35" s="577">
        <f ca="1">IF(OR(EA35="N/A",DY35&lt;&gt;"N/A"),"N/A",IF(AND(DZ35&gt;=DATE(1961,7,1),EA35&gt;=DATE(1961,7,1),OR(DQ35="1 in Station",DQ35="2 in Station",DS35="1 in Station",DS35="2 in Station")),1.5,IF(AND(DK35="Electric Resistance Weld",YEAR(DZ35)&lt;1970,EA35&lt;DATE(1961,7,1),OR(DQ35=1,DQ35="1 in Station",DQ35="1 in Public Road Crossing",DQ35="1 in Hard Road Parallel",DQ35="1 on Bridge",DS35=1,DS35="1 in Station",DS35="1 in Public Road Crossing",DS35="1 in Hard Road Parallel",DS35="1 on Bridge")),1.25,INDEX('FVE Table'!$C$3:$F$5,EB35,IF(AND(ABS(DZ35-EA35)&lt;=365,DQ35&gt;0),LEFT(DQ35,1),LEFT(DS35,1))))))</f>
        <v>1.5</v>
      </c>
      <c r="EH35" s="570">
        <f t="shared" ca="1" si="49"/>
        <v>800</v>
      </c>
      <c r="EI35" s="570" t="str">
        <f t="shared" ca="1" si="50"/>
        <v>N/A</v>
      </c>
      <c r="EJ35" s="570" t="str">
        <f t="shared" ca="1" si="51"/>
        <v>N/A</v>
      </c>
      <c r="EK35" s="581">
        <f t="shared" si="52"/>
        <v>204</v>
      </c>
      <c r="EL35" s="570"/>
      <c r="EM35" s="582">
        <f t="shared" ca="1" si="53"/>
        <v>6.8954081632653055E-2</v>
      </c>
      <c r="EN35" s="582" t="str">
        <f t="shared" ca="1" si="54"/>
        <v>N/A</v>
      </c>
      <c r="EO35" s="570">
        <f t="shared" ca="1" si="55"/>
        <v>204</v>
      </c>
      <c r="EP35" s="570" t="str">
        <f t="shared" ca="1" si="56"/>
        <v>R</v>
      </c>
      <c r="EQ35" s="582">
        <f t="shared" ca="1" si="57"/>
        <v>6.8954081632653055E-2</v>
      </c>
      <c r="ER35" s="573">
        <f t="shared" si="22"/>
        <v>0</v>
      </c>
      <c r="ES35" s="762"/>
      <c r="ET35" s="762"/>
      <c r="EU35" s="585"/>
      <c r="EV35" s="583"/>
      <c r="EW35" s="583"/>
      <c r="EX35" s="584"/>
      <c r="EY35" s="759"/>
      <c r="EZ35" s="585"/>
      <c r="FA35" s="585"/>
      <c r="FB35" s="585"/>
      <c r="FC35" s="585"/>
    </row>
    <row r="36" spans="1:159" ht="15" customHeight="1" thickTop="1" thickBot="1" x14ac:dyDescent="0.25">
      <c r="A36" s="389">
        <f t="shared" si="23"/>
        <v>0</v>
      </c>
      <c r="B36" s="389">
        <f t="shared" si="24"/>
        <v>0</v>
      </c>
      <c r="C36" s="390" t="s">
        <v>2056</v>
      </c>
      <c r="D36" s="391">
        <v>3</v>
      </c>
      <c r="E36" s="391">
        <v>4678504</v>
      </c>
      <c r="F36" s="392">
        <v>32216</v>
      </c>
      <c r="G36" s="796">
        <v>35</v>
      </c>
      <c r="H36" s="394" t="s">
        <v>291</v>
      </c>
      <c r="I36" s="395" t="s">
        <v>158</v>
      </c>
      <c r="J36" s="396">
        <v>1.3</v>
      </c>
      <c r="O36" s="803">
        <v>6.625</v>
      </c>
      <c r="P36" s="804"/>
      <c r="Q36" s="805"/>
      <c r="S36" s="395" t="s">
        <v>329</v>
      </c>
      <c r="T36" s="390" t="s">
        <v>158</v>
      </c>
      <c r="U36" s="399" t="s">
        <v>606</v>
      </c>
      <c r="V36" s="390" t="s">
        <v>158</v>
      </c>
      <c r="Y36" s="390"/>
      <c r="Z36" s="390" t="s">
        <v>158</v>
      </c>
      <c r="AC36" s="402" t="s">
        <v>1409</v>
      </c>
      <c r="AD36" s="396">
        <v>90</v>
      </c>
      <c r="AE36" s="403" t="s">
        <v>101</v>
      </c>
      <c r="AF36" s="403" t="s">
        <v>593</v>
      </c>
      <c r="AG36" s="391"/>
      <c r="AK36" s="390"/>
      <c r="AL36" s="390"/>
      <c r="AM36" s="390"/>
      <c r="AN36" s="390"/>
      <c r="AO36" s="390"/>
      <c r="AP36" s="390" t="s">
        <v>158</v>
      </c>
      <c r="AR36" s="392">
        <v>32216</v>
      </c>
      <c r="AS36" s="390" t="s">
        <v>158</v>
      </c>
      <c r="AU36" s="390" t="s">
        <v>158</v>
      </c>
      <c r="AV36" s="392"/>
      <c r="AW36" s="403" t="s">
        <v>590</v>
      </c>
      <c r="AX36" s="406" t="s">
        <v>590</v>
      </c>
      <c r="AY36" s="406" t="s">
        <v>590</v>
      </c>
      <c r="AZ36" s="406" t="s">
        <v>158</v>
      </c>
      <c r="BA36" s="390"/>
      <c r="BB36" s="395"/>
      <c r="BC36" s="390"/>
      <c r="BD36" s="395"/>
      <c r="BE36" s="852" t="s">
        <v>2016</v>
      </c>
      <c r="BF36" s="395" t="s">
        <v>40</v>
      </c>
      <c r="BG36" s="390"/>
      <c r="BH36" s="395"/>
      <c r="BI36" s="390"/>
      <c r="BJ36" s="395"/>
      <c r="BK36" s="390"/>
      <c r="BM36" s="404" t="s">
        <v>1992</v>
      </c>
      <c r="BN36" s="404" t="s">
        <v>2050</v>
      </c>
      <c r="BO36" s="403" t="s">
        <v>637</v>
      </c>
      <c r="BP36" s="403">
        <v>4678504</v>
      </c>
      <c r="BQ36" s="403" t="s">
        <v>642</v>
      </c>
      <c r="BR36" s="408">
        <v>1200</v>
      </c>
      <c r="BS36" s="396">
        <v>1.4166000000000001</v>
      </c>
      <c r="BT36" s="807"/>
      <c r="BU36" s="392">
        <v>32216</v>
      </c>
      <c r="BV36" s="403" t="s">
        <v>2032</v>
      </c>
      <c r="BW36" s="403" t="s">
        <v>2086</v>
      </c>
      <c r="BZ36" s="399">
        <v>204</v>
      </c>
      <c r="CA36" s="852" t="s">
        <v>2051</v>
      </c>
      <c r="CB36" s="852" t="s">
        <v>2052</v>
      </c>
      <c r="CC36" s="852" t="s">
        <v>2053</v>
      </c>
      <c r="CD36" s="390"/>
      <c r="CE36" s="852" t="s">
        <v>2054</v>
      </c>
      <c r="CF36" s="390" t="s">
        <v>40</v>
      </c>
      <c r="CG36" s="390"/>
      <c r="CH36" s="390" t="s">
        <v>1112</v>
      </c>
      <c r="CI36" s="403" t="s">
        <v>1998</v>
      </c>
      <c r="CJ36" s="403" t="s">
        <v>1999</v>
      </c>
      <c r="CK36" s="403" t="s">
        <v>2000</v>
      </c>
      <c r="CL36" s="403" t="s">
        <v>589</v>
      </c>
      <c r="CM36" s="852" t="s">
        <v>2017</v>
      </c>
      <c r="CN36" s="390"/>
      <c r="CO36" s="390"/>
      <c r="CP36" s="390"/>
      <c r="CQ36" s="390"/>
      <c r="CR36" s="409" t="str">
        <f>IF((IF(ISNA(VLOOKUP($BB36,Instructions!$A$133:$J$138,10,FALSE)),0,VLOOKUP($BB36,Instructions!$A$133:$J$138,10,FALSE))+IF(ISNA(VLOOKUP($BD36,Instructions!$A$133:$J$138,10,FALSE)),0,VLOOKUP($BD36,Instructions!$A$133:$J$138,10,FALSE))+IF(ISNA(VLOOKUP($BF36,Instructions!$A$133:$J$138,10,FALSE)),0,VLOOKUP($BF36,Instructions!$A$133:$J$138,10,FALSE))+IF(ISNA(VLOOKUP($BH36,Instructions!$A$133:$J$138,10,FALSE)),0,VLOOKUP($BH36,Instructions!$A$133:$J$138,10,FALSE))+IF(ISNA(VLOOKUP($BJ36,Instructions!$A$133:$J$138,10,FALSE)),0,VLOOKUP($BJ36,Instructions!$A$133:$J$138,10,FALSE))+IF(ISNA(VLOOKUP($BL36,Instructions!$A$133:$J$138,10,FALSE)),0,VLOOKUP($BL36,Instructions!$A$133:$J$138,10,FALSE)))&lt;2,"Poor","Usable")</f>
        <v>Usable</v>
      </c>
      <c r="CS36" s="409">
        <f>IF(ISNA(VLOOKUP($D36,Selections!$A$7:$B$19,2,FALSE)),0.4,VLOOKUP($D36,Selections!$A$7:$B$19,2,FALSE))</f>
        <v>0.5</v>
      </c>
      <c r="CT36" s="409">
        <f t="shared" si="0"/>
        <v>24000</v>
      </c>
      <c r="CU36" s="409">
        <f>IF((OR(ISBLANK($P36),$P36&lt;=0)),IF(ISNA(VLOOKUP($O36,Selections!$A$21:$D$48,4,FALSE)),0.113,VLOOKUP($O36,Selections!$A$21:$D$48,4,FALSE)),$P36)</f>
        <v>0.156</v>
      </c>
      <c r="CV36" s="409">
        <f>IF(ISNA(VLOOKUP($S36,Selections!$A$57:$B$75,2,FALSE)),0.6,VLOOKUP($S36,Selections!$A$57:$B$75,2,FALSE))</f>
        <v>0.8</v>
      </c>
      <c r="CW36" s="410">
        <f>IF(OR($H36="",$H36="Valve",$H36="PCF",$H36="Regulator",$H36="Relief Valve",$H36="Appurtenance",$H36="Meter",$H36="Other",$H36="Pig Trap",$H36="Flange"),     IF(AND($BZ36&gt;0,$O36&gt;0),     IF($BZ36&gt;(      IF(IF(ISBLANK($V36),0,ISNA(VLOOKUP($V36,Selections!$A$153:$B$177,2,FALSE))),"n/a",IF(ISBLANK($V36),0,VLOOKUP($V36,Selections!$A$153:$B$177,2,FALSE)))),    "Chk Rating","OK Rating"),"n/a" ),IF(AND($BZ36&gt;0,$O36&gt;0),$BZ36/((2*$CT36*$CU36*$CV36)/$O36),1))</f>
        <v>0.22561097756410256</v>
      </c>
      <c r="CX36" s="569" t="str">
        <f t="shared" si="25"/>
        <v>Mfg Bend</v>
      </c>
      <c r="CY36" s="570" t="str">
        <f t="shared" si="26"/>
        <v>No</v>
      </c>
      <c r="CZ36" s="844">
        <v>35000</v>
      </c>
      <c r="DA36" s="571">
        <v>35000</v>
      </c>
      <c r="DB36" s="845">
        <v>1</v>
      </c>
      <c r="DC36" s="849">
        <v>0.28000000000000003</v>
      </c>
      <c r="DD36" s="573">
        <v>0.28000000000000003</v>
      </c>
      <c r="DE36" s="573" t="str">
        <f t="shared" si="29"/>
        <v>N/A</v>
      </c>
      <c r="DF36" s="573"/>
      <c r="DG36" s="845">
        <v>1</v>
      </c>
      <c r="DH36" s="574">
        <f t="shared" ca="1" si="30"/>
        <v>6.625</v>
      </c>
      <c r="DI36" s="574" t="str">
        <f t="shared" si="31"/>
        <v>N/A</v>
      </c>
      <c r="DJ36" s="570"/>
      <c r="DK36" s="575" t="str">
        <f t="shared" si="32"/>
        <v>Unknown</v>
      </c>
      <c r="DL36" s="573"/>
      <c r="DM36" s="576">
        <f t="shared" si="33"/>
        <v>1</v>
      </c>
      <c r="DN36" s="570"/>
      <c r="DO36" s="570" t="str">
        <f t="shared" si="34"/>
        <v>Unknown</v>
      </c>
      <c r="DP36" s="570"/>
      <c r="DQ36" s="570"/>
      <c r="DR36" s="570" t="str">
        <f t="shared" ca="1" si="35"/>
        <v>N/A</v>
      </c>
      <c r="DS36" s="570">
        <f t="shared" si="36"/>
        <v>3</v>
      </c>
      <c r="DT36" s="577">
        <f t="shared" ca="1" si="37"/>
        <v>0.5</v>
      </c>
      <c r="DU36" s="570">
        <f t="shared" ca="1" si="38"/>
        <v>1479</v>
      </c>
      <c r="DV36" s="570" t="str">
        <f t="shared" ca="1" si="39"/>
        <v>N/A</v>
      </c>
      <c r="DW36" s="570">
        <f t="shared" ca="1" si="40"/>
        <v>1</v>
      </c>
      <c r="DX36" s="569">
        <f t="shared" ca="1" si="41"/>
        <v>1479</v>
      </c>
      <c r="DY36" s="570" t="str">
        <f t="shared" ca="1" si="12"/>
        <v>N/A</v>
      </c>
      <c r="DZ36" s="578">
        <f t="shared" si="42"/>
        <v>32216</v>
      </c>
      <c r="EA36" s="578">
        <f t="shared" si="43"/>
        <v>32216</v>
      </c>
      <c r="EB36" s="570">
        <f t="shared" si="44"/>
        <v>3</v>
      </c>
      <c r="EC36" s="570">
        <f t="shared" si="45"/>
        <v>1200</v>
      </c>
      <c r="ED36" s="579">
        <f t="shared" si="46"/>
        <v>1.4166000000000001</v>
      </c>
      <c r="EE36" s="580" t="str">
        <f t="shared" si="47"/>
        <v>No</v>
      </c>
      <c r="EF36" s="577" t="str">
        <f t="shared" si="48"/>
        <v>No</v>
      </c>
      <c r="EG36" s="577">
        <f ca="1">IF(OR(EA36="N/A",DY36&lt;&gt;"N/A"),"N/A",IF(AND(DZ36&gt;=DATE(1961,7,1),EA36&gt;=DATE(1961,7,1),OR(DQ36="1 in Station",DQ36="2 in Station",DS36="1 in Station",DS36="2 in Station")),1.5,IF(AND(DK36="Electric Resistance Weld",YEAR(DZ36)&lt;1970,EA36&lt;DATE(1961,7,1),OR(DQ36=1,DQ36="1 in Station",DQ36="1 in Public Road Crossing",DQ36="1 in Hard Road Parallel",DQ36="1 on Bridge",DS36=1,DS36="1 in Station",DS36="1 in Public Road Crossing",DS36="1 in Hard Road Parallel",DS36="1 on Bridge")),1.25,INDEX('FVE Table'!$C$3:$F$5,EB36,IF(AND(ABS(DZ36-EA36)&lt;=365,DQ36&gt;0),LEFT(DQ36,1),LEFT(DS36,1))))))</f>
        <v>1.5</v>
      </c>
      <c r="EH36" s="570">
        <f t="shared" ca="1" si="49"/>
        <v>800</v>
      </c>
      <c r="EI36" s="570" t="str">
        <f t="shared" ca="1" si="50"/>
        <v>N/A</v>
      </c>
      <c r="EJ36" s="570" t="str">
        <f t="shared" ca="1" si="51"/>
        <v>N/A</v>
      </c>
      <c r="EK36" s="581">
        <f t="shared" si="52"/>
        <v>204</v>
      </c>
      <c r="EL36" s="570"/>
      <c r="EM36" s="582">
        <f t="shared" ca="1" si="53"/>
        <v>6.8954081632653055E-2</v>
      </c>
      <c r="EN36" s="582" t="str">
        <f t="shared" ca="1" si="54"/>
        <v>N/A</v>
      </c>
      <c r="EO36" s="570">
        <f t="shared" ca="1" si="55"/>
        <v>204</v>
      </c>
      <c r="EP36" s="570" t="str">
        <f t="shared" ca="1" si="56"/>
        <v>R</v>
      </c>
      <c r="EQ36" s="582">
        <f t="shared" ca="1" si="57"/>
        <v>6.8954081632653055E-2</v>
      </c>
      <c r="ER36" s="573">
        <f t="shared" si="22"/>
        <v>0</v>
      </c>
      <c r="ES36" s="762"/>
      <c r="ET36" s="762"/>
      <c r="EU36" s="585"/>
      <c r="EV36" s="848" t="s">
        <v>2077</v>
      </c>
      <c r="EW36" s="583"/>
      <c r="EX36" s="846" t="s">
        <v>2075</v>
      </c>
      <c r="EY36" s="847">
        <v>1</v>
      </c>
      <c r="EZ36" s="585"/>
      <c r="FA36" s="585"/>
      <c r="FB36" s="585"/>
      <c r="FC36" s="585"/>
    </row>
    <row r="37" spans="1:159" ht="15" customHeight="1" thickTop="1" thickBot="1" x14ac:dyDescent="0.25">
      <c r="A37" s="389">
        <f t="shared" si="23"/>
        <v>0</v>
      </c>
      <c r="B37" s="389">
        <f t="shared" si="24"/>
        <v>0</v>
      </c>
      <c r="C37" s="390" t="s">
        <v>2056</v>
      </c>
      <c r="D37" s="391">
        <v>3</v>
      </c>
      <c r="E37" s="391">
        <v>4678504</v>
      </c>
      <c r="F37" s="392">
        <v>32216</v>
      </c>
      <c r="G37" s="393">
        <v>36</v>
      </c>
      <c r="H37" s="394" t="s">
        <v>153</v>
      </c>
      <c r="I37" s="395" t="s">
        <v>68</v>
      </c>
      <c r="J37" s="396">
        <v>2.4</v>
      </c>
      <c r="O37" s="398">
        <v>6.625</v>
      </c>
      <c r="P37" s="808">
        <v>0.28000000000000003</v>
      </c>
      <c r="S37" s="395" t="s">
        <v>745</v>
      </c>
      <c r="T37" s="390" t="s">
        <v>820</v>
      </c>
      <c r="U37" s="399">
        <v>35000</v>
      </c>
      <c r="Y37" s="390"/>
      <c r="Z37" s="390" t="s">
        <v>158</v>
      </c>
      <c r="AB37" s="401" t="s">
        <v>1095</v>
      </c>
      <c r="AC37" s="402" t="s">
        <v>1409</v>
      </c>
      <c r="AG37" s="391"/>
      <c r="AK37" s="390"/>
      <c r="AL37" s="390"/>
      <c r="AM37" s="390"/>
      <c r="AN37" s="390"/>
      <c r="AO37" s="390"/>
      <c r="AP37" s="390" t="s">
        <v>158</v>
      </c>
      <c r="AR37" s="392">
        <v>32216</v>
      </c>
      <c r="AS37" s="390" t="s">
        <v>158</v>
      </c>
      <c r="AU37" s="390" t="s">
        <v>158</v>
      </c>
      <c r="AV37" s="392"/>
      <c r="AW37" s="403" t="s">
        <v>590</v>
      </c>
      <c r="AX37" s="406" t="s">
        <v>590</v>
      </c>
      <c r="AY37" s="406" t="s">
        <v>590</v>
      </c>
      <c r="AZ37" s="406" t="s">
        <v>158</v>
      </c>
      <c r="BA37" s="390"/>
      <c r="BB37" s="395"/>
      <c r="BC37" s="390"/>
      <c r="BD37" s="395"/>
      <c r="BE37" s="852" t="s">
        <v>2016</v>
      </c>
      <c r="BF37" s="395" t="s">
        <v>40</v>
      </c>
      <c r="BG37" s="390"/>
      <c r="BH37" s="395"/>
      <c r="BI37" s="390"/>
      <c r="BJ37" s="395"/>
      <c r="BK37" s="390"/>
      <c r="BM37" s="404" t="s">
        <v>1992</v>
      </c>
      <c r="BN37" s="404" t="s">
        <v>2050</v>
      </c>
      <c r="BO37" s="403" t="s">
        <v>637</v>
      </c>
      <c r="BP37" s="403">
        <v>4678504</v>
      </c>
      <c r="BQ37" s="403" t="s">
        <v>642</v>
      </c>
      <c r="BR37" s="408">
        <v>1200</v>
      </c>
      <c r="BS37" s="396">
        <v>1.4166000000000001</v>
      </c>
      <c r="BT37" s="807"/>
      <c r="BU37" s="392">
        <v>32216</v>
      </c>
      <c r="BV37" s="403" t="s">
        <v>2032</v>
      </c>
      <c r="BW37" s="403" t="s">
        <v>2086</v>
      </c>
      <c r="BZ37" s="399">
        <v>204</v>
      </c>
      <c r="CA37" s="852" t="s">
        <v>2051</v>
      </c>
      <c r="CB37" s="852" t="s">
        <v>2052</v>
      </c>
      <c r="CC37" s="852" t="s">
        <v>2053</v>
      </c>
      <c r="CD37" s="390"/>
      <c r="CE37" s="852" t="s">
        <v>2054</v>
      </c>
      <c r="CF37" s="390" t="s">
        <v>40</v>
      </c>
      <c r="CG37" s="390"/>
      <c r="CH37" s="390" t="s">
        <v>1112</v>
      </c>
      <c r="CI37" s="403" t="s">
        <v>1998</v>
      </c>
      <c r="CJ37" s="403" t="s">
        <v>1999</v>
      </c>
      <c r="CK37" s="403" t="s">
        <v>2000</v>
      </c>
      <c r="CL37" s="403" t="s">
        <v>589</v>
      </c>
      <c r="CM37" s="852" t="s">
        <v>2017</v>
      </c>
      <c r="CN37" s="390"/>
      <c r="CO37" s="390"/>
      <c r="CP37" s="390"/>
      <c r="CQ37" s="390"/>
      <c r="CR37" s="409" t="str">
        <f>IF((IF(ISNA(VLOOKUP($BB37,Instructions!$A$133:$J$138,10,FALSE)),0,VLOOKUP($BB37,Instructions!$A$133:$J$138,10,FALSE))+IF(ISNA(VLOOKUP($BD37,Instructions!$A$133:$J$138,10,FALSE)),0,VLOOKUP($BD37,Instructions!$A$133:$J$138,10,FALSE))+IF(ISNA(VLOOKUP($BF37,Instructions!$A$133:$J$138,10,FALSE)),0,VLOOKUP($BF37,Instructions!$A$133:$J$138,10,FALSE))+IF(ISNA(VLOOKUP($BH37,Instructions!$A$133:$J$138,10,FALSE)),0,VLOOKUP($BH37,Instructions!$A$133:$J$138,10,FALSE))+IF(ISNA(VLOOKUP($BJ37,Instructions!$A$133:$J$138,10,FALSE)),0,VLOOKUP($BJ37,Instructions!$A$133:$J$138,10,FALSE))+IF(ISNA(VLOOKUP($BL37,Instructions!$A$133:$J$138,10,FALSE)),0,VLOOKUP($BL37,Instructions!$A$133:$J$138,10,FALSE)))&lt;2,"Poor","Usable")</f>
        <v>Usable</v>
      </c>
      <c r="CS37" s="409">
        <f>IF(ISNA(VLOOKUP($D37,Selections!$A$7:$B$19,2,FALSE)),0.4,VLOOKUP($D37,Selections!$A$7:$B$19,2,FALSE))</f>
        <v>0.5</v>
      </c>
      <c r="CT37" s="409">
        <f t="shared" si="0"/>
        <v>35000</v>
      </c>
      <c r="CU37" s="409">
        <f>IF((OR(ISBLANK($P37),$P37&lt;=0)),IF(ISNA(VLOOKUP($O37,Selections!$A$21:$D$48,4,FALSE)),0.113,VLOOKUP($O37,Selections!$A$21:$D$48,4,FALSE)),$P37)</f>
        <v>0.28000000000000003</v>
      </c>
      <c r="CV37" s="409">
        <f>IF(ISNA(VLOOKUP($S37,Selections!$A$57:$B$75,2,FALSE)),0.6,VLOOKUP($S37,Selections!$A$57:$B$75,2,FALSE))</f>
        <v>1</v>
      </c>
      <c r="CW37" s="410">
        <f>IF(OR($H37="",$H37="Valve",$H37="PCF",$H37="Regulator",$H37="Relief Valve",$H37="Appurtenance",$H37="Meter",$H37="Other",$H37="Pig Trap",$H37="Flange"),     IF(AND($BZ37&gt;0,$O37&gt;0),     IF($BZ37&gt;(      IF(IF(ISBLANK($V37),0,ISNA(VLOOKUP($V37,Selections!$A$153:$B$177,2,FALSE))),"n/a",IF(ISBLANK($V37),0,VLOOKUP($V37,Selections!$A$153:$B$177,2,FALSE)))),    "Chk Rating","OK Rating"),"n/a" ),IF(AND($BZ37&gt;0,$O37&gt;0),$BZ37/((2*$CT37*$CU37*$CV37)/$O37),1))</f>
        <v>6.8954081632653055E-2</v>
      </c>
      <c r="CX37" s="569" t="str">
        <f t="shared" si="25"/>
        <v>Pipe</v>
      </c>
      <c r="CY37" s="570" t="str">
        <f t="shared" si="26"/>
        <v>No</v>
      </c>
      <c r="CZ37" s="571">
        <f t="shared" si="27"/>
        <v>35000</v>
      </c>
      <c r="DA37" s="571"/>
      <c r="DB37" s="570"/>
      <c r="DC37" s="572">
        <f t="shared" si="28"/>
        <v>0.28000000000000003</v>
      </c>
      <c r="DD37" s="573"/>
      <c r="DE37" s="573" t="str">
        <f t="shared" si="29"/>
        <v>N/A</v>
      </c>
      <c r="DF37" s="573"/>
      <c r="DG37" s="570"/>
      <c r="DH37" s="574">
        <f t="shared" ca="1" si="30"/>
        <v>6.625</v>
      </c>
      <c r="DI37" s="574" t="str">
        <f t="shared" si="31"/>
        <v>N/A</v>
      </c>
      <c r="DJ37" s="570"/>
      <c r="DK37" s="575" t="str">
        <f t="shared" si="32"/>
        <v>Seamless</v>
      </c>
      <c r="DL37" s="573"/>
      <c r="DM37" s="576">
        <f t="shared" si="33"/>
        <v>1</v>
      </c>
      <c r="DN37" s="570"/>
      <c r="DO37" s="570" t="str">
        <f t="shared" si="34"/>
        <v>N/A</v>
      </c>
      <c r="DP37" s="570"/>
      <c r="DQ37" s="570"/>
      <c r="DR37" s="570" t="str">
        <f t="shared" ca="1" si="35"/>
        <v>N/A</v>
      </c>
      <c r="DS37" s="570">
        <f t="shared" si="36"/>
        <v>3</v>
      </c>
      <c r="DT37" s="577">
        <f t="shared" ca="1" si="37"/>
        <v>0.5</v>
      </c>
      <c r="DU37" s="570">
        <f t="shared" ca="1" si="38"/>
        <v>1479</v>
      </c>
      <c r="DV37" s="570" t="str">
        <f t="shared" ca="1" si="39"/>
        <v>N/A</v>
      </c>
      <c r="DW37" s="570">
        <f t="shared" ca="1" si="40"/>
        <v>1</v>
      </c>
      <c r="DX37" s="569">
        <f t="shared" ca="1" si="41"/>
        <v>1479</v>
      </c>
      <c r="DY37" s="570" t="str">
        <f t="shared" ca="1" si="12"/>
        <v>N/A</v>
      </c>
      <c r="DZ37" s="578">
        <f t="shared" si="42"/>
        <v>32216</v>
      </c>
      <c r="EA37" s="578">
        <f t="shared" si="43"/>
        <v>32216</v>
      </c>
      <c r="EB37" s="570">
        <f t="shared" si="44"/>
        <v>3</v>
      </c>
      <c r="EC37" s="570">
        <f t="shared" si="45"/>
        <v>1200</v>
      </c>
      <c r="ED37" s="579">
        <f t="shared" si="46"/>
        <v>1.4166000000000001</v>
      </c>
      <c r="EE37" s="580" t="str">
        <f t="shared" si="47"/>
        <v>No</v>
      </c>
      <c r="EF37" s="577" t="str">
        <f t="shared" si="48"/>
        <v>No</v>
      </c>
      <c r="EG37" s="577">
        <f ca="1">IF(OR(EA37="N/A",DY37&lt;&gt;"N/A"),"N/A",IF(AND(DZ37&gt;=DATE(1961,7,1),EA37&gt;=DATE(1961,7,1),OR(DQ37="1 in Station",DQ37="2 in Station",DS37="1 in Station",DS37="2 in Station")),1.5,IF(AND(DK37="Electric Resistance Weld",YEAR(DZ37)&lt;1970,EA37&lt;DATE(1961,7,1),OR(DQ37=1,DQ37="1 in Station",DQ37="1 in Public Road Crossing",DQ37="1 in Hard Road Parallel",DQ37="1 on Bridge",DS37=1,DS37="1 in Station",DS37="1 in Public Road Crossing",DS37="1 in Hard Road Parallel",DS37="1 on Bridge")),1.25,INDEX('FVE Table'!$C$3:$F$5,EB37,IF(AND(ABS(DZ37-EA37)&lt;=365,DQ37&gt;0),LEFT(DQ37,1),LEFT(DS37,1))))))</f>
        <v>1.5</v>
      </c>
      <c r="EH37" s="570">
        <f t="shared" ca="1" si="49"/>
        <v>800</v>
      </c>
      <c r="EI37" s="570" t="str">
        <f t="shared" ca="1" si="50"/>
        <v>N/A</v>
      </c>
      <c r="EJ37" s="570" t="str">
        <f t="shared" ca="1" si="51"/>
        <v>N/A</v>
      </c>
      <c r="EK37" s="581">
        <f t="shared" si="52"/>
        <v>204</v>
      </c>
      <c r="EL37" s="570"/>
      <c r="EM37" s="582">
        <f t="shared" ca="1" si="53"/>
        <v>6.8954081632653055E-2</v>
      </c>
      <c r="EN37" s="582" t="str">
        <f t="shared" ca="1" si="54"/>
        <v>N/A</v>
      </c>
      <c r="EO37" s="570">
        <f t="shared" ca="1" si="55"/>
        <v>204</v>
      </c>
      <c r="EP37" s="570" t="str">
        <f t="shared" ca="1" si="56"/>
        <v>R</v>
      </c>
      <c r="EQ37" s="582">
        <f t="shared" ca="1" si="57"/>
        <v>6.8954081632653055E-2</v>
      </c>
      <c r="ER37" s="573">
        <f t="shared" si="22"/>
        <v>0</v>
      </c>
      <c r="ES37" s="762"/>
      <c r="ET37" s="762"/>
      <c r="EU37" s="585"/>
      <c r="EV37" s="583"/>
      <c r="EW37" s="583"/>
      <c r="EX37" s="584"/>
      <c r="EY37" s="759"/>
      <c r="EZ37" s="585"/>
      <c r="FA37" s="585"/>
      <c r="FB37" s="585"/>
      <c r="FC37" s="585"/>
    </row>
    <row r="38" spans="1:159" ht="15" customHeight="1" thickTop="1" thickBot="1" x14ac:dyDescent="0.25">
      <c r="A38" s="389">
        <f t="shared" si="23"/>
        <v>0</v>
      </c>
      <c r="B38" s="389">
        <f t="shared" si="24"/>
        <v>0</v>
      </c>
      <c r="C38" s="390" t="s">
        <v>2056</v>
      </c>
      <c r="D38" s="391">
        <v>3</v>
      </c>
      <c r="E38" s="391">
        <v>4678504</v>
      </c>
      <c r="F38" s="392">
        <v>32216</v>
      </c>
      <c r="G38" s="796">
        <v>37</v>
      </c>
      <c r="H38" s="394" t="s">
        <v>291</v>
      </c>
      <c r="I38" s="395" t="s">
        <v>158</v>
      </c>
      <c r="J38" s="396">
        <v>1.3</v>
      </c>
      <c r="O38" s="803">
        <v>6.625</v>
      </c>
      <c r="P38" s="804"/>
      <c r="Q38" s="805"/>
      <c r="S38" s="395" t="s">
        <v>329</v>
      </c>
      <c r="T38" s="390" t="s">
        <v>158</v>
      </c>
      <c r="U38" s="399" t="s">
        <v>606</v>
      </c>
      <c r="V38" s="390" t="s">
        <v>158</v>
      </c>
      <c r="Y38" s="390"/>
      <c r="Z38" s="390" t="s">
        <v>158</v>
      </c>
      <c r="AC38" s="402" t="s">
        <v>1409</v>
      </c>
      <c r="AD38" s="396">
        <v>90</v>
      </c>
      <c r="AE38" s="403" t="s">
        <v>101</v>
      </c>
      <c r="AF38" s="403" t="s">
        <v>800</v>
      </c>
      <c r="AG38" s="391"/>
      <c r="AK38" s="390"/>
      <c r="AL38" s="390"/>
      <c r="AM38" s="390"/>
      <c r="AN38" s="390"/>
      <c r="AO38" s="390"/>
      <c r="AP38" s="390" t="s">
        <v>158</v>
      </c>
      <c r="AR38" s="392">
        <v>32216</v>
      </c>
      <c r="AS38" s="390" t="s">
        <v>158</v>
      </c>
      <c r="AU38" s="390" t="s">
        <v>158</v>
      </c>
      <c r="AV38" s="392"/>
      <c r="AW38" s="403" t="s">
        <v>590</v>
      </c>
      <c r="AX38" s="406" t="s">
        <v>590</v>
      </c>
      <c r="AY38" s="406" t="s">
        <v>590</v>
      </c>
      <c r="AZ38" s="406" t="s">
        <v>158</v>
      </c>
      <c r="BA38" s="390"/>
      <c r="BB38" s="395"/>
      <c r="BC38" s="390"/>
      <c r="BD38" s="395"/>
      <c r="BE38" s="852" t="s">
        <v>2016</v>
      </c>
      <c r="BF38" s="395" t="s">
        <v>40</v>
      </c>
      <c r="BG38" s="390"/>
      <c r="BH38" s="395"/>
      <c r="BI38" s="390"/>
      <c r="BJ38" s="395"/>
      <c r="BK38" s="390"/>
      <c r="BM38" s="404" t="s">
        <v>1992</v>
      </c>
      <c r="BN38" s="404" t="s">
        <v>2050</v>
      </c>
      <c r="BO38" s="403" t="s">
        <v>637</v>
      </c>
      <c r="BP38" s="403">
        <v>4678504</v>
      </c>
      <c r="BQ38" s="403" t="s">
        <v>642</v>
      </c>
      <c r="BR38" s="408">
        <v>1200</v>
      </c>
      <c r="BS38" s="396">
        <v>1.4166000000000001</v>
      </c>
      <c r="BT38" s="807"/>
      <c r="BU38" s="392">
        <v>32216</v>
      </c>
      <c r="BV38" s="403" t="s">
        <v>2032</v>
      </c>
      <c r="BW38" s="403" t="s">
        <v>2086</v>
      </c>
      <c r="BZ38" s="399">
        <v>204</v>
      </c>
      <c r="CA38" s="852" t="s">
        <v>2051</v>
      </c>
      <c r="CB38" s="852" t="s">
        <v>2052</v>
      </c>
      <c r="CC38" s="852" t="s">
        <v>2053</v>
      </c>
      <c r="CD38" s="390"/>
      <c r="CE38" s="852" t="s">
        <v>2054</v>
      </c>
      <c r="CF38" s="390" t="s">
        <v>40</v>
      </c>
      <c r="CG38" s="390"/>
      <c r="CH38" s="390" t="s">
        <v>1112</v>
      </c>
      <c r="CI38" s="403" t="s">
        <v>1998</v>
      </c>
      <c r="CJ38" s="403" t="s">
        <v>1999</v>
      </c>
      <c r="CK38" s="403" t="s">
        <v>2000</v>
      </c>
      <c r="CL38" s="403" t="s">
        <v>589</v>
      </c>
      <c r="CM38" s="852" t="s">
        <v>2017</v>
      </c>
      <c r="CN38" s="390"/>
      <c r="CO38" s="390"/>
      <c r="CP38" s="390"/>
      <c r="CQ38" s="390"/>
      <c r="CR38" s="409" t="str">
        <f>IF((IF(ISNA(VLOOKUP($BB38,Instructions!$A$133:$J$138,10,FALSE)),0,VLOOKUP($BB38,Instructions!$A$133:$J$138,10,FALSE))+IF(ISNA(VLOOKUP($BD38,Instructions!$A$133:$J$138,10,FALSE)),0,VLOOKUP($BD38,Instructions!$A$133:$J$138,10,FALSE))+IF(ISNA(VLOOKUP($BF38,Instructions!$A$133:$J$138,10,FALSE)),0,VLOOKUP($BF38,Instructions!$A$133:$J$138,10,FALSE))+IF(ISNA(VLOOKUP($BH38,Instructions!$A$133:$J$138,10,FALSE)),0,VLOOKUP($BH38,Instructions!$A$133:$J$138,10,FALSE))+IF(ISNA(VLOOKUP($BJ38,Instructions!$A$133:$J$138,10,FALSE)),0,VLOOKUP($BJ38,Instructions!$A$133:$J$138,10,FALSE))+IF(ISNA(VLOOKUP($BL38,Instructions!$A$133:$J$138,10,FALSE)),0,VLOOKUP($BL38,Instructions!$A$133:$J$138,10,FALSE)))&lt;2,"Poor","Usable")</f>
        <v>Usable</v>
      </c>
      <c r="CS38" s="409">
        <f>IF(ISNA(VLOOKUP($D38,Selections!$A$7:$B$19,2,FALSE)),0.4,VLOOKUP($D38,Selections!$A$7:$B$19,2,FALSE))</f>
        <v>0.5</v>
      </c>
      <c r="CT38" s="409">
        <f t="shared" si="0"/>
        <v>24000</v>
      </c>
      <c r="CU38" s="409">
        <f>IF((OR(ISBLANK($P38),$P38&lt;=0)),IF(ISNA(VLOOKUP($O38,Selections!$A$21:$D$48,4,FALSE)),0.113,VLOOKUP($O38,Selections!$A$21:$D$48,4,FALSE)),$P38)</f>
        <v>0.156</v>
      </c>
      <c r="CV38" s="409">
        <f>IF(ISNA(VLOOKUP($S38,Selections!$A$57:$B$75,2,FALSE)),0.6,VLOOKUP($S38,Selections!$A$57:$B$75,2,FALSE))</f>
        <v>0.8</v>
      </c>
      <c r="CW38" s="410">
        <f>IF(OR($H38="",$H38="Valve",$H38="PCF",$H38="Regulator",$H38="Relief Valve",$H38="Appurtenance",$H38="Meter",$H38="Other",$H38="Pig Trap",$H38="Flange"),     IF(AND($BZ38&gt;0,$O38&gt;0),     IF($BZ38&gt;(      IF(IF(ISBLANK($V38),0,ISNA(VLOOKUP($V38,Selections!$A$153:$B$177,2,FALSE))),"n/a",IF(ISBLANK($V38),0,VLOOKUP($V38,Selections!$A$153:$B$177,2,FALSE)))),    "Chk Rating","OK Rating"),"n/a" ),IF(AND($BZ38&gt;0,$O38&gt;0),$BZ38/((2*$CT38*$CU38*$CV38)/$O38),1))</f>
        <v>0.22561097756410256</v>
      </c>
      <c r="CX38" s="569" t="str">
        <f t="shared" si="25"/>
        <v>Mfg Bend</v>
      </c>
      <c r="CY38" s="570" t="str">
        <f t="shared" si="26"/>
        <v>No</v>
      </c>
      <c r="CZ38" s="844">
        <v>35000</v>
      </c>
      <c r="DA38" s="571">
        <v>35000</v>
      </c>
      <c r="DB38" s="845">
        <v>1</v>
      </c>
      <c r="DC38" s="849">
        <v>0.28000000000000003</v>
      </c>
      <c r="DD38" s="573">
        <v>0.28000000000000003</v>
      </c>
      <c r="DE38" s="573" t="str">
        <f t="shared" si="29"/>
        <v>N/A</v>
      </c>
      <c r="DF38" s="573"/>
      <c r="DG38" s="845">
        <v>1</v>
      </c>
      <c r="DH38" s="574">
        <f t="shared" ca="1" si="30"/>
        <v>6.625</v>
      </c>
      <c r="DI38" s="574" t="str">
        <f t="shared" si="31"/>
        <v>N/A</v>
      </c>
      <c r="DJ38" s="570"/>
      <c r="DK38" s="575" t="str">
        <f t="shared" si="32"/>
        <v>Unknown</v>
      </c>
      <c r="DL38" s="573"/>
      <c r="DM38" s="576">
        <f t="shared" si="33"/>
        <v>1</v>
      </c>
      <c r="DN38" s="570"/>
      <c r="DO38" s="570" t="str">
        <f t="shared" si="34"/>
        <v>Unknown</v>
      </c>
      <c r="DP38" s="570"/>
      <c r="DQ38" s="570"/>
      <c r="DR38" s="570" t="str">
        <f t="shared" ca="1" si="35"/>
        <v>N/A</v>
      </c>
      <c r="DS38" s="570">
        <f t="shared" si="36"/>
        <v>3</v>
      </c>
      <c r="DT38" s="577">
        <f t="shared" ca="1" si="37"/>
        <v>0.5</v>
      </c>
      <c r="DU38" s="570">
        <f t="shared" ca="1" si="38"/>
        <v>1479</v>
      </c>
      <c r="DV38" s="570" t="str">
        <f t="shared" ca="1" si="39"/>
        <v>N/A</v>
      </c>
      <c r="DW38" s="570">
        <f t="shared" ca="1" si="40"/>
        <v>1</v>
      </c>
      <c r="DX38" s="569">
        <f t="shared" ca="1" si="41"/>
        <v>1479</v>
      </c>
      <c r="DY38" s="570" t="str">
        <f t="shared" ca="1" si="12"/>
        <v>N/A</v>
      </c>
      <c r="DZ38" s="578">
        <f t="shared" si="42"/>
        <v>32216</v>
      </c>
      <c r="EA38" s="578">
        <f t="shared" si="43"/>
        <v>32216</v>
      </c>
      <c r="EB38" s="570">
        <f t="shared" si="44"/>
        <v>3</v>
      </c>
      <c r="EC38" s="570">
        <f t="shared" si="45"/>
        <v>1200</v>
      </c>
      <c r="ED38" s="579">
        <f t="shared" si="46"/>
        <v>1.4166000000000001</v>
      </c>
      <c r="EE38" s="580" t="str">
        <f t="shared" si="47"/>
        <v>No</v>
      </c>
      <c r="EF38" s="577" t="str">
        <f t="shared" si="48"/>
        <v>No</v>
      </c>
      <c r="EG38" s="577">
        <f ca="1">IF(OR(EA38="N/A",DY38&lt;&gt;"N/A"),"N/A",IF(AND(DZ38&gt;=DATE(1961,7,1),EA38&gt;=DATE(1961,7,1),OR(DQ38="1 in Station",DQ38="2 in Station",DS38="1 in Station",DS38="2 in Station")),1.5,IF(AND(DK38="Electric Resistance Weld",YEAR(DZ38)&lt;1970,EA38&lt;DATE(1961,7,1),OR(DQ38=1,DQ38="1 in Station",DQ38="1 in Public Road Crossing",DQ38="1 in Hard Road Parallel",DQ38="1 on Bridge",DS38=1,DS38="1 in Station",DS38="1 in Public Road Crossing",DS38="1 in Hard Road Parallel",DS38="1 on Bridge")),1.25,INDEX('FVE Table'!$C$3:$F$5,EB38,IF(AND(ABS(DZ38-EA38)&lt;=365,DQ38&gt;0),LEFT(DQ38,1),LEFT(DS38,1))))))</f>
        <v>1.5</v>
      </c>
      <c r="EH38" s="570">
        <f t="shared" ca="1" si="49"/>
        <v>800</v>
      </c>
      <c r="EI38" s="570" t="str">
        <f t="shared" ca="1" si="50"/>
        <v>N/A</v>
      </c>
      <c r="EJ38" s="570" t="str">
        <f t="shared" ca="1" si="51"/>
        <v>N/A</v>
      </c>
      <c r="EK38" s="581">
        <f t="shared" si="52"/>
        <v>204</v>
      </c>
      <c r="EL38" s="570"/>
      <c r="EM38" s="582">
        <f t="shared" ca="1" si="53"/>
        <v>6.8954081632653055E-2</v>
      </c>
      <c r="EN38" s="582" t="str">
        <f t="shared" ca="1" si="54"/>
        <v>N/A</v>
      </c>
      <c r="EO38" s="570">
        <f t="shared" ca="1" si="55"/>
        <v>204</v>
      </c>
      <c r="EP38" s="570" t="str">
        <f t="shared" ca="1" si="56"/>
        <v>R</v>
      </c>
      <c r="EQ38" s="582">
        <f t="shared" ca="1" si="57"/>
        <v>6.8954081632653055E-2</v>
      </c>
      <c r="ER38" s="573">
        <f t="shared" si="22"/>
        <v>0</v>
      </c>
      <c r="ES38" s="762"/>
      <c r="ET38" s="762"/>
      <c r="EU38" s="585"/>
      <c r="EV38" s="848" t="s">
        <v>2077</v>
      </c>
      <c r="EW38" s="583"/>
      <c r="EX38" s="846" t="s">
        <v>2075</v>
      </c>
      <c r="EY38" s="847">
        <v>1</v>
      </c>
      <c r="EZ38" s="585"/>
      <c r="FA38" s="585"/>
      <c r="FB38" s="585"/>
      <c r="FC38" s="585"/>
    </row>
    <row r="39" spans="1:159" ht="15" customHeight="1" thickTop="1" x14ac:dyDescent="0.2">
      <c r="A39" s="389">
        <f t="shared" si="23"/>
        <v>0</v>
      </c>
      <c r="B39" s="389">
        <f t="shared" si="24"/>
        <v>0</v>
      </c>
      <c r="C39" s="390" t="s">
        <v>2056</v>
      </c>
      <c r="D39" s="391">
        <v>3</v>
      </c>
      <c r="E39" s="391">
        <v>4678504</v>
      </c>
      <c r="F39" s="392">
        <v>32216</v>
      </c>
      <c r="G39" s="393">
        <v>38</v>
      </c>
      <c r="H39" s="394" t="s">
        <v>153</v>
      </c>
      <c r="I39" s="395" t="s">
        <v>68</v>
      </c>
      <c r="J39" s="396">
        <v>1.95</v>
      </c>
      <c r="O39" s="398">
        <v>6.625</v>
      </c>
      <c r="P39" s="806">
        <v>0.28000000000000003</v>
      </c>
      <c r="S39" s="395" t="s">
        <v>745</v>
      </c>
      <c r="T39" s="390" t="s">
        <v>820</v>
      </c>
      <c r="U39" s="399">
        <v>35000</v>
      </c>
      <c r="Y39" s="390"/>
      <c r="Z39" s="390" t="s">
        <v>158</v>
      </c>
      <c r="AB39" s="401" t="s">
        <v>1095</v>
      </c>
      <c r="AC39" s="402" t="s">
        <v>1409</v>
      </c>
      <c r="AG39" s="391"/>
      <c r="AK39" s="390"/>
      <c r="AL39" s="390"/>
      <c r="AM39" s="390"/>
      <c r="AN39" s="390"/>
      <c r="AO39" s="390"/>
      <c r="AP39" s="390" t="s">
        <v>158</v>
      </c>
      <c r="AR39" s="392">
        <v>32216</v>
      </c>
      <c r="AS39" s="390" t="s">
        <v>158</v>
      </c>
      <c r="AU39" s="390" t="s">
        <v>158</v>
      </c>
      <c r="AV39" s="392"/>
      <c r="AW39" s="403" t="s">
        <v>590</v>
      </c>
      <c r="AX39" s="406" t="s">
        <v>590</v>
      </c>
      <c r="AY39" s="406" t="s">
        <v>590</v>
      </c>
      <c r="AZ39" s="406" t="s">
        <v>158</v>
      </c>
      <c r="BA39" s="390"/>
      <c r="BB39" s="395"/>
      <c r="BC39" s="390"/>
      <c r="BD39" s="395"/>
      <c r="BE39" s="852" t="s">
        <v>2016</v>
      </c>
      <c r="BF39" s="395" t="s">
        <v>40</v>
      </c>
      <c r="BG39" s="390"/>
      <c r="BH39" s="395"/>
      <c r="BI39" s="390"/>
      <c r="BJ39" s="395"/>
      <c r="BK39" s="390"/>
      <c r="BM39" s="404" t="s">
        <v>1992</v>
      </c>
      <c r="BN39" s="404" t="s">
        <v>2050</v>
      </c>
      <c r="BO39" s="403" t="s">
        <v>637</v>
      </c>
      <c r="BP39" s="403">
        <v>4678504</v>
      </c>
      <c r="BQ39" s="403" t="s">
        <v>642</v>
      </c>
      <c r="BR39" s="408">
        <v>1200</v>
      </c>
      <c r="BS39" s="396">
        <v>1.4166000000000001</v>
      </c>
      <c r="BT39" s="807"/>
      <c r="BU39" s="392">
        <v>32216</v>
      </c>
      <c r="BV39" s="403" t="s">
        <v>2032</v>
      </c>
      <c r="BW39" s="403" t="s">
        <v>2086</v>
      </c>
      <c r="BZ39" s="399">
        <v>204</v>
      </c>
      <c r="CA39" s="852" t="s">
        <v>2051</v>
      </c>
      <c r="CB39" s="852" t="s">
        <v>2052</v>
      </c>
      <c r="CC39" s="852" t="s">
        <v>2053</v>
      </c>
      <c r="CD39" s="390"/>
      <c r="CE39" s="852" t="s">
        <v>2054</v>
      </c>
      <c r="CF39" s="390" t="s">
        <v>40</v>
      </c>
      <c r="CG39" s="390"/>
      <c r="CH39" s="390" t="s">
        <v>1112</v>
      </c>
      <c r="CI39" s="403" t="s">
        <v>1998</v>
      </c>
      <c r="CJ39" s="403" t="s">
        <v>1999</v>
      </c>
      <c r="CK39" s="403" t="s">
        <v>2000</v>
      </c>
      <c r="CL39" s="403" t="s">
        <v>589</v>
      </c>
      <c r="CM39" s="852" t="s">
        <v>2017</v>
      </c>
      <c r="CN39" s="390"/>
      <c r="CO39" s="390"/>
      <c r="CP39" s="390"/>
      <c r="CQ39" s="390"/>
      <c r="CR39" s="409" t="str">
        <f>IF((IF(ISNA(VLOOKUP($BB39,Instructions!$A$133:$J$138,10,FALSE)),0,VLOOKUP($BB39,Instructions!$A$133:$J$138,10,FALSE))+IF(ISNA(VLOOKUP($BD39,Instructions!$A$133:$J$138,10,FALSE)),0,VLOOKUP($BD39,Instructions!$A$133:$J$138,10,FALSE))+IF(ISNA(VLOOKUP($BF39,Instructions!$A$133:$J$138,10,FALSE)),0,VLOOKUP($BF39,Instructions!$A$133:$J$138,10,FALSE))+IF(ISNA(VLOOKUP($BH39,Instructions!$A$133:$J$138,10,FALSE)),0,VLOOKUP($BH39,Instructions!$A$133:$J$138,10,FALSE))+IF(ISNA(VLOOKUP($BJ39,Instructions!$A$133:$J$138,10,FALSE)),0,VLOOKUP($BJ39,Instructions!$A$133:$J$138,10,FALSE))+IF(ISNA(VLOOKUP($BL39,Instructions!$A$133:$J$138,10,FALSE)),0,VLOOKUP($BL39,Instructions!$A$133:$J$138,10,FALSE)))&lt;2,"Poor","Usable")</f>
        <v>Usable</v>
      </c>
      <c r="CS39" s="409">
        <f>IF(ISNA(VLOOKUP($D39,Selections!$A$7:$B$19,2,FALSE)),0.4,VLOOKUP($D39,Selections!$A$7:$B$19,2,FALSE))</f>
        <v>0.5</v>
      </c>
      <c r="CT39" s="409">
        <f t="shared" si="0"/>
        <v>35000</v>
      </c>
      <c r="CU39" s="409">
        <f>IF((OR(ISBLANK($P39),$P39&lt;=0)),IF(ISNA(VLOOKUP($O39,Selections!$A$21:$D$48,4,FALSE)),0.113,VLOOKUP($O39,Selections!$A$21:$D$48,4,FALSE)),$P39)</f>
        <v>0.28000000000000003</v>
      </c>
      <c r="CV39" s="409">
        <f>IF(ISNA(VLOOKUP($S39,Selections!$A$57:$B$75,2,FALSE)),0.6,VLOOKUP($S39,Selections!$A$57:$B$75,2,FALSE))</f>
        <v>1</v>
      </c>
      <c r="CW39" s="410">
        <f>IF(OR($H39="",$H39="Valve",$H39="PCF",$H39="Regulator",$H39="Relief Valve",$H39="Appurtenance",$H39="Meter",$H39="Other",$H39="Pig Trap",$H39="Flange"),     IF(AND($BZ39&gt;0,$O39&gt;0),     IF($BZ39&gt;(      IF(IF(ISBLANK($V39),0,ISNA(VLOOKUP($V39,Selections!$A$153:$B$177,2,FALSE))),"n/a",IF(ISBLANK($V39),0,VLOOKUP($V39,Selections!$A$153:$B$177,2,FALSE)))),    "Chk Rating","OK Rating"),"n/a" ),IF(AND($BZ39&gt;0,$O39&gt;0),$BZ39/((2*$CT39*$CU39*$CV39)/$O39),1))</f>
        <v>6.8954081632653055E-2</v>
      </c>
      <c r="CX39" s="569" t="str">
        <f t="shared" si="25"/>
        <v>Pipe</v>
      </c>
      <c r="CY39" s="570" t="str">
        <f t="shared" si="26"/>
        <v>No</v>
      </c>
      <c r="CZ39" s="571">
        <f t="shared" si="27"/>
        <v>35000</v>
      </c>
      <c r="DA39" s="571"/>
      <c r="DB39" s="570"/>
      <c r="DC39" s="572">
        <f t="shared" si="28"/>
        <v>0.28000000000000003</v>
      </c>
      <c r="DD39" s="573"/>
      <c r="DE39" s="573" t="str">
        <f t="shared" si="29"/>
        <v>N/A</v>
      </c>
      <c r="DF39" s="573"/>
      <c r="DG39" s="570"/>
      <c r="DH39" s="574">
        <f t="shared" ca="1" si="30"/>
        <v>6.625</v>
      </c>
      <c r="DI39" s="574" t="str">
        <f t="shared" si="31"/>
        <v>N/A</v>
      </c>
      <c r="DJ39" s="570"/>
      <c r="DK39" s="575" t="str">
        <f t="shared" si="32"/>
        <v>Seamless</v>
      </c>
      <c r="DL39" s="573"/>
      <c r="DM39" s="576">
        <f t="shared" si="33"/>
        <v>1</v>
      </c>
      <c r="DN39" s="570"/>
      <c r="DO39" s="570" t="str">
        <f t="shared" si="34"/>
        <v>N/A</v>
      </c>
      <c r="DP39" s="570"/>
      <c r="DQ39" s="570"/>
      <c r="DR39" s="570" t="str">
        <f t="shared" ca="1" si="35"/>
        <v>N/A</v>
      </c>
      <c r="DS39" s="570">
        <f t="shared" si="36"/>
        <v>3</v>
      </c>
      <c r="DT39" s="577">
        <f t="shared" ca="1" si="37"/>
        <v>0.5</v>
      </c>
      <c r="DU39" s="570">
        <f t="shared" ca="1" si="38"/>
        <v>1479</v>
      </c>
      <c r="DV39" s="570" t="str">
        <f t="shared" ca="1" si="39"/>
        <v>N/A</v>
      </c>
      <c r="DW39" s="570">
        <f t="shared" ca="1" si="40"/>
        <v>1</v>
      </c>
      <c r="DX39" s="569">
        <f t="shared" ca="1" si="41"/>
        <v>1479</v>
      </c>
      <c r="DY39" s="570" t="str">
        <f t="shared" ca="1" si="12"/>
        <v>N/A</v>
      </c>
      <c r="DZ39" s="578">
        <f t="shared" si="42"/>
        <v>32216</v>
      </c>
      <c r="EA39" s="578">
        <f t="shared" si="43"/>
        <v>32216</v>
      </c>
      <c r="EB39" s="570">
        <f t="shared" si="44"/>
        <v>3</v>
      </c>
      <c r="EC39" s="570">
        <f t="shared" si="45"/>
        <v>1200</v>
      </c>
      <c r="ED39" s="579">
        <f t="shared" si="46"/>
        <v>1.4166000000000001</v>
      </c>
      <c r="EE39" s="580" t="str">
        <f t="shared" si="47"/>
        <v>No</v>
      </c>
      <c r="EF39" s="577" t="str">
        <f t="shared" si="48"/>
        <v>No</v>
      </c>
      <c r="EG39" s="577">
        <f ca="1">IF(OR(EA39="N/A",DY39&lt;&gt;"N/A"),"N/A",IF(AND(DZ39&gt;=DATE(1961,7,1),EA39&gt;=DATE(1961,7,1),OR(DQ39="1 in Station",DQ39="2 in Station",DS39="1 in Station",DS39="2 in Station")),1.5,IF(AND(DK39="Electric Resistance Weld",YEAR(DZ39)&lt;1970,EA39&lt;DATE(1961,7,1),OR(DQ39=1,DQ39="1 in Station",DQ39="1 in Public Road Crossing",DQ39="1 in Hard Road Parallel",DQ39="1 on Bridge",DS39=1,DS39="1 in Station",DS39="1 in Public Road Crossing",DS39="1 in Hard Road Parallel",DS39="1 on Bridge")),1.25,INDEX('FVE Table'!$C$3:$F$5,EB39,IF(AND(ABS(DZ39-EA39)&lt;=365,DQ39&gt;0),LEFT(DQ39,1),LEFT(DS39,1))))))</f>
        <v>1.5</v>
      </c>
      <c r="EH39" s="570">
        <f t="shared" ca="1" si="49"/>
        <v>800</v>
      </c>
      <c r="EI39" s="570" t="str">
        <f t="shared" ca="1" si="50"/>
        <v>N/A</v>
      </c>
      <c r="EJ39" s="570" t="str">
        <f t="shared" ca="1" si="51"/>
        <v>N/A</v>
      </c>
      <c r="EK39" s="581">
        <f t="shared" si="52"/>
        <v>204</v>
      </c>
      <c r="EL39" s="570"/>
      <c r="EM39" s="582">
        <f t="shared" ca="1" si="53"/>
        <v>6.8954081632653055E-2</v>
      </c>
      <c r="EN39" s="582" t="str">
        <f t="shared" ca="1" si="54"/>
        <v>N/A</v>
      </c>
      <c r="EO39" s="570">
        <f t="shared" ca="1" si="55"/>
        <v>204</v>
      </c>
      <c r="EP39" s="570" t="str">
        <f t="shared" ca="1" si="56"/>
        <v>R</v>
      </c>
      <c r="EQ39" s="582">
        <f t="shared" ca="1" si="57"/>
        <v>6.8954081632653055E-2</v>
      </c>
      <c r="ER39" s="573">
        <f t="shared" si="22"/>
        <v>0</v>
      </c>
      <c r="ES39" s="762"/>
      <c r="ET39" s="762"/>
      <c r="EU39" s="585"/>
      <c r="EV39" s="583"/>
      <c r="EW39" s="583"/>
      <c r="EX39" s="584"/>
      <c r="EY39" s="759"/>
      <c r="EZ39" s="585"/>
      <c r="FA39" s="585"/>
      <c r="FB39" s="585"/>
      <c r="FC39" s="585"/>
    </row>
    <row r="40" spans="1:159" ht="15" customHeight="1" x14ac:dyDescent="0.2">
      <c r="A40" s="389">
        <f t="shared" si="23"/>
        <v>0</v>
      </c>
      <c r="B40" s="389">
        <f t="shared" si="24"/>
        <v>0</v>
      </c>
      <c r="C40" s="390" t="s">
        <v>2056</v>
      </c>
      <c r="D40" s="391">
        <v>3</v>
      </c>
      <c r="E40" s="391">
        <v>4678504</v>
      </c>
      <c r="F40" s="392">
        <v>32216</v>
      </c>
      <c r="G40" s="393">
        <v>39</v>
      </c>
      <c r="H40" s="394" t="s">
        <v>517</v>
      </c>
      <c r="I40" s="395" t="s">
        <v>812</v>
      </c>
      <c r="J40" s="396">
        <v>0</v>
      </c>
      <c r="S40" s="395" t="s">
        <v>2010</v>
      </c>
      <c r="Y40" s="390"/>
      <c r="AG40" s="391"/>
      <c r="AK40" s="390"/>
      <c r="AL40" s="390"/>
      <c r="AM40" s="390"/>
      <c r="AN40" s="390"/>
      <c r="AO40" s="390"/>
      <c r="AP40" s="390" t="s">
        <v>158</v>
      </c>
      <c r="AR40" s="392">
        <v>32216</v>
      </c>
      <c r="AS40" s="390" t="s">
        <v>158</v>
      </c>
      <c r="AU40" s="390" t="s">
        <v>158</v>
      </c>
      <c r="AV40" s="392"/>
      <c r="AW40" s="403" t="s">
        <v>590</v>
      </c>
      <c r="AX40" s="406" t="s">
        <v>590</v>
      </c>
      <c r="AY40" s="406" t="s">
        <v>590</v>
      </c>
      <c r="AZ40" s="406" t="s">
        <v>590</v>
      </c>
      <c r="BA40" s="390"/>
      <c r="BB40" s="395"/>
      <c r="BC40" s="390"/>
      <c r="BD40" s="395"/>
      <c r="BE40" s="390" t="s">
        <v>1990</v>
      </c>
      <c r="BF40" s="395" t="s">
        <v>40</v>
      </c>
      <c r="BG40" s="390"/>
      <c r="BH40" s="395"/>
      <c r="BI40" s="390"/>
      <c r="BJ40" s="395"/>
      <c r="BK40" s="390"/>
      <c r="BM40" s="404" t="s">
        <v>1992</v>
      </c>
      <c r="BN40" s="404" t="s">
        <v>2050</v>
      </c>
      <c r="BO40" s="403" t="s">
        <v>637</v>
      </c>
      <c r="BP40" s="403">
        <v>4678504</v>
      </c>
      <c r="BQ40" s="403" t="s">
        <v>642</v>
      </c>
      <c r="BR40" s="408">
        <v>1200</v>
      </c>
      <c r="BS40" s="396">
        <v>1.4166000000000001</v>
      </c>
      <c r="BT40" s="807"/>
      <c r="BU40" s="392">
        <v>32216</v>
      </c>
      <c r="BV40" s="403" t="s">
        <v>2032</v>
      </c>
      <c r="BW40" s="403" t="s">
        <v>2086</v>
      </c>
      <c r="BZ40" s="399">
        <v>204</v>
      </c>
      <c r="CA40" s="852" t="s">
        <v>2051</v>
      </c>
      <c r="CB40" s="852" t="s">
        <v>2052</v>
      </c>
      <c r="CC40" s="852" t="s">
        <v>2053</v>
      </c>
      <c r="CD40" s="390"/>
      <c r="CE40" s="852" t="s">
        <v>2054</v>
      </c>
      <c r="CF40" s="390" t="s">
        <v>40</v>
      </c>
      <c r="CG40" s="390"/>
      <c r="CH40" s="390" t="s">
        <v>1112</v>
      </c>
      <c r="CI40" s="403" t="s">
        <v>1998</v>
      </c>
      <c r="CJ40" s="403" t="s">
        <v>1999</v>
      </c>
      <c r="CK40" s="403" t="s">
        <v>2000</v>
      </c>
      <c r="CL40" s="403" t="s">
        <v>589</v>
      </c>
      <c r="CM40" s="852" t="s">
        <v>2017</v>
      </c>
      <c r="CN40" s="390"/>
      <c r="CO40" s="390"/>
      <c r="CP40" s="390"/>
      <c r="CQ40" s="390"/>
      <c r="CR40" s="409" t="str">
        <f>IF((IF(ISNA(VLOOKUP($BB40,Instructions!$A$133:$J$138,10,FALSE)),0,VLOOKUP($BB40,Instructions!$A$133:$J$138,10,FALSE))+IF(ISNA(VLOOKUP($BD40,Instructions!$A$133:$J$138,10,FALSE)),0,VLOOKUP($BD40,Instructions!$A$133:$J$138,10,FALSE))+IF(ISNA(VLOOKUP($BF40,Instructions!$A$133:$J$138,10,FALSE)),0,VLOOKUP($BF40,Instructions!$A$133:$J$138,10,FALSE))+IF(ISNA(VLOOKUP($BH40,Instructions!$A$133:$J$138,10,FALSE)),0,VLOOKUP($BH40,Instructions!$A$133:$J$138,10,FALSE))+IF(ISNA(VLOOKUP($BJ40,Instructions!$A$133:$J$138,10,FALSE)),0,VLOOKUP($BJ40,Instructions!$A$133:$J$138,10,FALSE))+IF(ISNA(VLOOKUP($BL40,Instructions!$A$133:$J$138,10,FALSE)),0,VLOOKUP($BL40,Instructions!$A$133:$J$138,10,FALSE)))&lt;2,"Poor","Usable")</f>
        <v>Usable</v>
      </c>
      <c r="CS40" s="409">
        <f>IF(ISNA(VLOOKUP($D40,Selections!$A$7:$B$19,2,FALSE)),0.4,VLOOKUP($D40,Selections!$A$7:$B$19,2,FALSE))</f>
        <v>0.5</v>
      </c>
      <c r="CT40" s="409">
        <f t="shared" si="0"/>
        <v>24000</v>
      </c>
      <c r="CU40" s="409">
        <f>IF((OR(ISBLANK($P40),$P40&lt;=0)),IF(ISNA(VLOOKUP($O40,Selections!$A$21:$D$48,4,FALSE)),0.113,VLOOKUP($O40,Selections!$A$21:$D$48,4,FALSE)),$P40)</f>
        <v>0.113</v>
      </c>
      <c r="CV40" s="409">
        <f>IF(ISNA(VLOOKUP($S40,Selections!$A$57:$B$75,2,FALSE)),0.6,VLOOKUP($S40,Selections!$A$57:$B$75,2,FALSE))</f>
        <v>0.6</v>
      </c>
      <c r="CW40" s="410" t="str">
        <f>IF(OR($H40="",$H40="Valve",$H40="PCF",$H40="Regulator",$H40="Relief Valve",$H40="Appurtenance",$H40="Meter",$H40="Other",$H40="Pig Trap",$H40="Flange"),     IF(AND($BZ40&gt;0,$O40&gt;0),     IF($BZ40&gt;(      IF(IF(ISBLANK($V40),0,ISNA(VLOOKUP($V40,Selections!$A$153:$B$177,2,FALSE))),"n/a",IF(ISBLANK($V40),0,VLOOKUP($V40,Selections!$A$153:$B$177,2,FALSE)))),    "Chk Rating","OK Rating"),"n/a" ),IF(AND($BZ40&gt;0,$O40&gt;0),$BZ40/((2*$CT40*$CU40*$CV40)/$O40),1))</f>
        <v>n/a</v>
      </c>
      <c r="CX40" s="569" t="str">
        <f t="shared" si="25"/>
        <v>Appurtenance</v>
      </c>
      <c r="CY40" s="570" t="str">
        <f t="shared" si="26"/>
        <v>No</v>
      </c>
      <c r="CZ40" s="571" t="str">
        <f t="shared" si="27"/>
        <v>N/A</v>
      </c>
      <c r="DA40" s="571"/>
      <c r="DB40" s="570"/>
      <c r="DC40" s="572" t="str">
        <f t="shared" si="28"/>
        <v>N/A</v>
      </c>
      <c r="DD40" s="573"/>
      <c r="DE40" s="573" t="str">
        <f t="shared" si="29"/>
        <v>N/A</v>
      </c>
      <c r="DF40" s="573"/>
      <c r="DG40" s="570"/>
      <c r="DH40" s="574" t="str">
        <f t="shared" ca="1" si="30"/>
        <v>Unknown</v>
      </c>
      <c r="DI40" s="574" t="str">
        <f t="shared" si="31"/>
        <v>N/A</v>
      </c>
      <c r="DJ40" s="570"/>
      <c r="DK40" s="575" t="str">
        <f t="shared" si="32"/>
        <v>N/A</v>
      </c>
      <c r="DL40" s="573"/>
      <c r="DM40" s="576" t="str">
        <f t="shared" si="33"/>
        <v>N/A</v>
      </c>
      <c r="DN40" s="570"/>
      <c r="DO40" s="570" t="str">
        <f t="shared" si="34"/>
        <v>N/A</v>
      </c>
      <c r="DP40" s="570"/>
      <c r="DQ40" s="570"/>
      <c r="DR40" s="570" t="str">
        <f t="shared" ca="1" si="35"/>
        <v>N/A</v>
      </c>
      <c r="DS40" s="570">
        <f t="shared" si="36"/>
        <v>3</v>
      </c>
      <c r="DT40" s="577">
        <f t="shared" ca="1" si="37"/>
        <v>0.5</v>
      </c>
      <c r="DU40" s="570" t="e">
        <f t="shared" ca="1" si="38"/>
        <v>#VALUE!</v>
      </c>
      <c r="DV40" s="570" t="str">
        <f t="shared" ca="1" si="39"/>
        <v>N/A</v>
      </c>
      <c r="DW40" s="570" t="e">
        <f t="shared" ca="1" si="40"/>
        <v>#VALUE!</v>
      </c>
      <c r="DX40" s="569" t="e">
        <f t="shared" ca="1" si="41"/>
        <v>#VALUE!</v>
      </c>
      <c r="DY40" s="570" t="str">
        <f t="shared" ca="1" si="12"/>
        <v>N/A</v>
      </c>
      <c r="DZ40" s="578">
        <f t="shared" si="42"/>
        <v>32216</v>
      </c>
      <c r="EA40" s="578">
        <f t="shared" si="43"/>
        <v>32216</v>
      </c>
      <c r="EB40" s="570">
        <f t="shared" si="44"/>
        <v>3</v>
      </c>
      <c r="EC40" s="570">
        <f t="shared" si="45"/>
        <v>1200</v>
      </c>
      <c r="ED40" s="579">
        <f t="shared" si="46"/>
        <v>1.4166000000000001</v>
      </c>
      <c r="EE40" s="580" t="str">
        <f t="shared" si="47"/>
        <v>No</v>
      </c>
      <c r="EF40" s="577" t="str">
        <f t="shared" si="48"/>
        <v>No</v>
      </c>
      <c r="EG40" s="577">
        <f ca="1">IF(OR(EA40="N/A",DY40&lt;&gt;"N/A"),"N/A",IF(AND(DZ40&gt;=DATE(1961,7,1),EA40&gt;=DATE(1961,7,1),OR(DQ40="1 in Station",DQ40="2 in Station",DS40="1 in Station",DS40="2 in Station")),1.5,IF(AND(DK40="Electric Resistance Weld",YEAR(DZ40)&lt;1970,EA40&lt;DATE(1961,7,1),OR(DQ40=1,DQ40="1 in Station",DQ40="1 in Public Road Crossing",DQ40="1 in Hard Road Parallel",DQ40="1 on Bridge",DS40=1,DS40="1 in Station",DS40="1 in Public Road Crossing",DS40="1 in Hard Road Parallel",DS40="1 on Bridge")),1.25,INDEX('FVE Table'!$C$3:$F$5,EB40,IF(AND(ABS(DZ40-EA40)&lt;=365,DQ40&gt;0),LEFT(DQ40,1),LEFT(DS40,1))))))</f>
        <v>1.5</v>
      </c>
      <c r="EH40" s="570">
        <f t="shared" ca="1" si="49"/>
        <v>800</v>
      </c>
      <c r="EI40" s="570" t="str">
        <f t="shared" ca="1" si="50"/>
        <v>N/A</v>
      </c>
      <c r="EJ40" s="570" t="str">
        <f t="shared" ca="1" si="51"/>
        <v>N/A</v>
      </c>
      <c r="EK40" s="581">
        <f t="shared" si="52"/>
        <v>204</v>
      </c>
      <c r="EL40" s="570"/>
      <c r="EM40" s="582" t="e">
        <f t="shared" ca="1" si="53"/>
        <v>#VALUE!</v>
      </c>
      <c r="EN40" s="582" t="str">
        <f t="shared" ca="1" si="54"/>
        <v>N/A</v>
      </c>
      <c r="EO40" s="570" t="e">
        <f t="shared" ca="1" si="55"/>
        <v>#VALUE!</v>
      </c>
      <c r="EP40" s="570" t="e">
        <f t="shared" ca="1" si="56"/>
        <v>#VALUE!</v>
      </c>
      <c r="EQ40" s="582" t="e">
        <f t="shared" ca="1" si="57"/>
        <v>#VALUE!</v>
      </c>
      <c r="ER40" s="573">
        <f t="shared" si="22"/>
        <v>0</v>
      </c>
      <c r="ES40" s="762"/>
      <c r="ET40" s="762"/>
      <c r="EU40" s="585"/>
      <c r="EV40" s="583"/>
      <c r="EW40" s="583"/>
      <c r="EX40" s="584"/>
      <c r="EY40" s="759"/>
      <c r="EZ40" s="585"/>
      <c r="FA40" s="585"/>
      <c r="FB40" s="585"/>
      <c r="FC40" s="585"/>
    </row>
    <row r="41" spans="1:159" ht="22.5" x14ac:dyDescent="0.2">
      <c r="A41" s="389">
        <f t="shared" si="23"/>
        <v>0</v>
      </c>
      <c r="B41" s="389">
        <f t="shared" si="24"/>
        <v>0</v>
      </c>
      <c r="C41" s="390" t="s">
        <v>2056</v>
      </c>
      <c r="D41" s="391">
        <v>3</v>
      </c>
      <c r="E41" s="391">
        <v>4678504</v>
      </c>
      <c r="F41" s="392">
        <v>32216</v>
      </c>
      <c r="G41" s="393">
        <v>40</v>
      </c>
      <c r="H41" s="394" t="s">
        <v>153</v>
      </c>
      <c r="I41" s="395" t="s">
        <v>68</v>
      </c>
      <c r="J41" s="396">
        <v>1.25</v>
      </c>
      <c r="K41" s="404" t="s">
        <v>2060</v>
      </c>
      <c r="O41" s="398">
        <v>6.625</v>
      </c>
      <c r="P41" s="398">
        <v>0.28000000000000003</v>
      </c>
      <c r="S41" s="395" t="s">
        <v>745</v>
      </c>
      <c r="T41" s="390" t="s">
        <v>820</v>
      </c>
      <c r="U41" s="399">
        <v>35000</v>
      </c>
      <c r="Y41" s="390"/>
      <c r="Z41" s="390" t="s">
        <v>158</v>
      </c>
      <c r="AB41" s="401" t="s">
        <v>1095</v>
      </c>
      <c r="AC41" s="402" t="s">
        <v>1409</v>
      </c>
      <c r="AG41" s="391"/>
      <c r="AK41" s="390"/>
      <c r="AL41" s="390"/>
      <c r="AM41" s="390"/>
      <c r="AN41" s="390"/>
      <c r="AO41" s="390"/>
      <c r="AP41" s="390" t="s">
        <v>661</v>
      </c>
      <c r="AR41" s="392">
        <v>32216</v>
      </c>
      <c r="AS41" s="390" t="s">
        <v>158</v>
      </c>
      <c r="AT41" s="405">
        <v>11688</v>
      </c>
      <c r="AU41" s="390" t="s">
        <v>158</v>
      </c>
      <c r="AV41" s="392"/>
      <c r="AW41" s="403" t="s">
        <v>590</v>
      </c>
      <c r="AX41" s="406" t="s">
        <v>590</v>
      </c>
      <c r="AY41" s="406" t="s">
        <v>590</v>
      </c>
      <c r="AZ41" s="406" t="s">
        <v>589</v>
      </c>
      <c r="BA41" s="390"/>
      <c r="BB41" s="395"/>
      <c r="BC41" s="390"/>
      <c r="BD41" s="395"/>
      <c r="BE41" s="390" t="s">
        <v>1990</v>
      </c>
      <c r="BF41" s="395" t="s">
        <v>40</v>
      </c>
      <c r="BG41" s="852" t="s">
        <v>1991</v>
      </c>
      <c r="BH41" s="395" t="s">
        <v>43</v>
      </c>
      <c r="BI41" s="390"/>
      <c r="BJ41" s="395"/>
      <c r="BK41" s="390"/>
      <c r="BM41" s="404" t="s">
        <v>1992</v>
      </c>
      <c r="BN41" s="404" t="s">
        <v>2050</v>
      </c>
      <c r="BO41" s="403" t="s">
        <v>637</v>
      </c>
      <c r="BP41" s="403">
        <v>4678504</v>
      </c>
      <c r="BQ41" s="403" t="s">
        <v>642</v>
      </c>
      <c r="BR41" s="408">
        <v>1200</v>
      </c>
      <c r="BS41" s="396">
        <v>1.4166000000000001</v>
      </c>
      <c r="BT41" s="807"/>
      <c r="BU41" s="392">
        <v>32216</v>
      </c>
      <c r="BV41" s="403" t="s">
        <v>2032</v>
      </c>
      <c r="BW41" s="403" t="s">
        <v>2086</v>
      </c>
      <c r="BZ41" s="399">
        <v>204</v>
      </c>
      <c r="CA41" s="852" t="s">
        <v>2051</v>
      </c>
      <c r="CB41" s="852" t="s">
        <v>2052</v>
      </c>
      <c r="CC41" s="852" t="s">
        <v>2053</v>
      </c>
      <c r="CD41" s="390"/>
      <c r="CE41" s="852" t="s">
        <v>2054</v>
      </c>
      <c r="CF41" s="390" t="s">
        <v>40</v>
      </c>
      <c r="CG41" s="390"/>
      <c r="CH41" s="390" t="s">
        <v>1112</v>
      </c>
      <c r="CI41" s="403" t="s">
        <v>1998</v>
      </c>
      <c r="CJ41" s="403" t="s">
        <v>1999</v>
      </c>
      <c r="CK41" s="403" t="s">
        <v>2000</v>
      </c>
      <c r="CL41" s="403" t="s">
        <v>589</v>
      </c>
      <c r="CM41" s="852" t="s">
        <v>2017</v>
      </c>
      <c r="CN41" s="390"/>
      <c r="CO41" s="390"/>
      <c r="CP41" s="390"/>
      <c r="CQ41" s="390"/>
      <c r="CR41" s="409" t="str">
        <f>IF((IF(ISNA(VLOOKUP($BB41,Instructions!$A$133:$J$138,10,FALSE)),0,VLOOKUP($BB41,Instructions!$A$133:$J$138,10,FALSE))+IF(ISNA(VLOOKUP($BD41,Instructions!$A$133:$J$138,10,FALSE)),0,VLOOKUP($BD41,Instructions!$A$133:$J$138,10,FALSE))+IF(ISNA(VLOOKUP($BF41,Instructions!$A$133:$J$138,10,FALSE)),0,VLOOKUP($BF41,Instructions!$A$133:$J$138,10,FALSE))+IF(ISNA(VLOOKUP($BH41,Instructions!$A$133:$J$138,10,FALSE)),0,VLOOKUP($BH41,Instructions!$A$133:$J$138,10,FALSE))+IF(ISNA(VLOOKUP($BJ41,Instructions!$A$133:$J$138,10,FALSE)),0,VLOOKUP($BJ41,Instructions!$A$133:$J$138,10,FALSE))+IF(ISNA(VLOOKUP($BL41,Instructions!$A$133:$J$138,10,FALSE)),0,VLOOKUP($BL41,Instructions!$A$133:$J$138,10,FALSE)))&lt;2,"Poor","Usable")</f>
        <v>Usable</v>
      </c>
      <c r="CS41" s="409">
        <f>IF(ISNA(VLOOKUP($D41,Selections!$A$7:$B$19,2,FALSE)),0.4,VLOOKUP($D41,Selections!$A$7:$B$19,2,FALSE))</f>
        <v>0.5</v>
      </c>
      <c r="CT41" s="409">
        <f t="shared" si="0"/>
        <v>35000</v>
      </c>
      <c r="CU41" s="409">
        <f>IF((OR(ISBLANK($P41),$P41&lt;=0)),IF(ISNA(VLOOKUP($O41,Selections!$A$21:$D$48,4,FALSE)),0.113,VLOOKUP($O41,Selections!$A$21:$D$48,4,FALSE)),$P41)</f>
        <v>0.28000000000000003</v>
      </c>
      <c r="CV41" s="409">
        <f>IF(ISNA(VLOOKUP($S41,Selections!$A$57:$B$75,2,FALSE)),0.6,VLOOKUP($S41,Selections!$A$57:$B$75,2,FALSE))</f>
        <v>1</v>
      </c>
      <c r="CW41" s="410">
        <f>IF(OR($H41="",$H41="Valve",$H41="PCF",$H41="Regulator",$H41="Relief Valve",$H41="Appurtenance",$H41="Meter",$H41="Other",$H41="Pig Trap",$H41="Flange"),     IF(AND($BZ41&gt;0,$O41&gt;0),     IF($BZ41&gt;(      IF(IF(ISBLANK($V41),0,ISNA(VLOOKUP($V41,Selections!$A$153:$B$177,2,FALSE))),"n/a",IF(ISBLANK($V41),0,VLOOKUP($V41,Selections!$A$153:$B$177,2,FALSE)))),    "Chk Rating","OK Rating"),"n/a" ),IF(AND($BZ41&gt;0,$O41&gt;0),$BZ41/((2*$CT41*$CU41*$CV41)/$O41),1))</f>
        <v>6.8954081632653055E-2</v>
      </c>
      <c r="CX41" s="569" t="str">
        <f t="shared" si="25"/>
        <v>Pipe</v>
      </c>
      <c r="CY41" s="570" t="str">
        <f t="shared" si="26"/>
        <v>No</v>
      </c>
      <c r="CZ41" s="571">
        <f t="shared" si="27"/>
        <v>35000</v>
      </c>
      <c r="DA41" s="571" t="s">
        <v>2080</v>
      </c>
      <c r="DB41" s="570"/>
      <c r="DC41" s="572">
        <f t="shared" si="28"/>
        <v>0.28000000000000003</v>
      </c>
      <c r="DD41" s="573" t="s">
        <v>2080</v>
      </c>
      <c r="DE41" s="573" t="str">
        <f t="shared" si="29"/>
        <v>N/A</v>
      </c>
      <c r="DF41" s="573"/>
      <c r="DG41" s="570"/>
      <c r="DH41" s="574">
        <f t="shared" ca="1" si="30"/>
        <v>6.625</v>
      </c>
      <c r="DI41" s="574" t="str">
        <f t="shared" si="31"/>
        <v>N/A</v>
      </c>
      <c r="DJ41" s="570"/>
      <c r="DK41" s="575" t="str">
        <f t="shared" si="32"/>
        <v>Seamless</v>
      </c>
      <c r="DL41" s="573" t="s">
        <v>2080</v>
      </c>
      <c r="DM41" s="576">
        <f t="shared" si="33"/>
        <v>1</v>
      </c>
      <c r="DN41" s="570"/>
      <c r="DO41" s="570" t="str">
        <f t="shared" si="34"/>
        <v>N/A</v>
      </c>
      <c r="DP41" s="570"/>
      <c r="DQ41" s="570"/>
      <c r="DR41" s="570" t="str">
        <f t="shared" ca="1" si="35"/>
        <v>N/A</v>
      </c>
      <c r="DS41" s="570">
        <f t="shared" si="36"/>
        <v>3</v>
      </c>
      <c r="DT41" s="577">
        <f t="shared" ca="1" si="37"/>
        <v>0.5</v>
      </c>
      <c r="DU41" s="570">
        <f t="shared" ca="1" si="38"/>
        <v>1479</v>
      </c>
      <c r="DV41" s="570" t="str">
        <f t="shared" ca="1" si="39"/>
        <v>N/A</v>
      </c>
      <c r="DW41" s="570">
        <f t="shared" ca="1" si="40"/>
        <v>1</v>
      </c>
      <c r="DX41" s="569">
        <f t="shared" ca="1" si="41"/>
        <v>1479</v>
      </c>
      <c r="DY41" s="570" t="str">
        <f t="shared" ca="1" si="12"/>
        <v>N/A</v>
      </c>
      <c r="DZ41" s="578">
        <f t="shared" si="42"/>
        <v>32216</v>
      </c>
      <c r="EA41" s="578">
        <f t="shared" si="43"/>
        <v>32216</v>
      </c>
      <c r="EB41" s="570">
        <f t="shared" si="44"/>
        <v>3</v>
      </c>
      <c r="EC41" s="570">
        <f t="shared" si="45"/>
        <v>1200</v>
      </c>
      <c r="ED41" s="579">
        <f t="shared" si="46"/>
        <v>1.4166000000000001</v>
      </c>
      <c r="EE41" s="580" t="str">
        <f t="shared" si="47"/>
        <v>No</v>
      </c>
      <c r="EF41" s="577" t="str">
        <f t="shared" si="48"/>
        <v>No</v>
      </c>
      <c r="EG41" s="577">
        <f ca="1">IF(OR(EA41="N/A",DY41&lt;&gt;"N/A"),"N/A",IF(AND(DZ41&gt;=DATE(1961,7,1),EA41&gt;=DATE(1961,7,1),OR(DQ41="1 in Station",DQ41="2 in Station",DS41="1 in Station",DS41="2 in Station")),1.5,IF(AND(DK41="Electric Resistance Weld",YEAR(DZ41)&lt;1970,EA41&lt;DATE(1961,7,1),OR(DQ41=1,DQ41="1 in Station",DQ41="1 in Public Road Crossing",DQ41="1 in Hard Road Parallel",DQ41="1 on Bridge",DS41=1,DS41="1 in Station",DS41="1 in Public Road Crossing",DS41="1 in Hard Road Parallel",DS41="1 on Bridge")),1.25,INDEX('FVE Table'!$C$3:$F$5,EB41,IF(AND(ABS(DZ41-EA41)&lt;=365,DQ41&gt;0),LEFT(DQ41,1),LEFT(DS41,1))))))</f>
        <v>1.5</v>
      </c>
      <c r="EH41" s="570">
        <f t="shared" ca="1" si="49"/>
        <v>800</v>
      </c>
      <c r="EI41" s="570" t="str">
        <f t="shared" ca="1" si="50"/>
        <v>N/A</v>
      </c>
      <c r="EJ41" s="570" t="str">
        <f t="shared" ca="1" si="51"/>
        <v>N/A</v>
      </c>
      <c r="EK41" s="581">
        <f t="shared" si="52"/>
        <v>204</v>
      </c>
      <c r="EL41" s="570"/>
      <c r="EM41" s="582">
        <f t="shared" ca="1" si="53"/>
        <v>6.8954081632653055E-2</v>
      </c>
      <c r="EN41" s="582" t="str">
        <f t="shared" ca="1" si="54"/>
        <v>N/A</v>
      </c>
      <c r="EO41" s="570">
        <f t="shared" ca="1" si="55"/>
        <v>204</v>
      </c>
      <c r="EP41" s="570" t="str">
        <f t="shared" ca="1" si="56"/>
        <v>R</v>
      </c>
      <c r="EQ41" s="582">
        <f t="shared" ca="1" si="57"/>
        <v>6.8954081632653055E-2</v>
      </c>
      <c r="ER41" s="573">
        <f t="shared" si="22"/>
        <v>0</v>
      </c>
      <c r="ES41" s="762"/>
      <c r="ET41" s="762"/>
      <c r="EU41" s="585"/>
      <c r="EV41" s="851" t="s">
        <v>2079</v>
      </c>
      <c r="EW41" s="583"/>
      <c r="EX41" s="584"/>
      <c r="EY41" s="759"/>
      <c r="EZ41" s="585"/>
      <c r="FA41" s="585"/>
      <c r="FB41" s="585"/>
      <c r="FC41" s="585"/>
    </row>
    <row r="42" spans="1:159" ht="15" customHeight="1" x14ac:dyDescent="0.2">
      <c r="A42" s="389">
        <f t="shared" si="23"/>
        <v>3960</v>
      </c>
      <c r="B42" s="389">
        <f t="shared" si="24"/>
        <v>0</v>
      </c>
      <c r="C42" s="390" t="s">
        <v>2056</v>
      </c>
      <c r="D42" s="391">
        <v>3</v>
      </c>
      <c r="E42" s="391">
        <v>4678504</v>
      </c>
      <c r="F42" s="392">
        <v>32216</v>
      </c>
      <c r="G42" s="393">
        <v>41</v>
      </c>
      <c r="H42" s="394" t="s">
        <v>474</v>
      </c>
      <c r="I42" s="395" t="s">
        <v>218</v>
      </c>
      <c r="J42" s="396">
        <v>0.9</v>
      </c>
      <c r="K42" s="404" t="s">
        <v>2061</v>
      </c>
      <c r="L42" s="397">
        <v>0.75</v>
      </c>
      <c r="O42" s="398">
        <v>6.625</v>
      </c>
      <c r="P42" s="398">
        <v>0.28000000000000003</v>
      </c>
      <c r="Q42" s="398">
        <v>6.625</v>
      </c>
      <c r="R42" s="398">
        <v>0.28000000000000003</v>
      </c>
      <c r="S42" s="395" t="s">
        <v>329</v>
      </c>
      <c r="T42" s="390" t="s">
        <v>723</v>
      </c>
      <c r="U42" s="399">
        <v>35000</v>
      </c>
      <c r="V42" s="390" t="s">
        <v>158</v>
      </c>
      <c r="Y42" s="390"/>
      <c r="Z42" s="390" t="s">
        <v>158</v>
      </c>
      <c r="AG42" s="391" t="s">
        <v>590</v>
      </c>
      <c r="AK42" s="390"/>
      <c r="AL42" s="390"/>
      <c r="AM42" s="390"/>
      <c r="AN42" s="390"/>
      <c r="AO42" s="390"/>
      <c r="AP42" s="390" t="s">
        <v>158</v>
      </c>
      <c r="AR42" s="392">
        <v>32216</v>
      </c>
      <c r="AS42" s="390" t="s">
        <v>158</v>
      </c>
      <c r="AT42" s="405">
        <v>22150</v>
      </c>
      <c r="AU42" s="390" t="s">
        <v>158</v>
      </c>
      <c r="AV42" s="392"/>
      <c r="AW42" s="403" t="s">
        <v>590</v>
      </c>
      <c r="AX42" s="406" t="s">
        <v>590</v>
      </c>
      <c r="AY42" s="406" t="s">
        <v>590</v>
      </c>
      <c r="AZ42" s="406" t="s">
        <v>589</v>
      </c>
      <c r="BA42" s="390"/>
      <c r="BB42" s="395"/>
      <c r="BC42" s="390"/>
      <c r="BD42" s="395"/>
      <c r="BE42" s="390" t="s">
        <v>1990</v>
      </c>
      <c r="BF42" s="395" t="s">
        <v>40</v>
      </c>
      <c r="BG42" s="852" t="s">
        <v>1991</v>
      </c>
      <c r="BH42" s="395" t="s">
        <v>43</v>
      </c>
      <c r="BI42" s="390"/>
      <c r="BJ42" s="395"/>
      <c r="BK42" s="390"/>
      <c r="BM42" s="404" t="s">
        <v>1992</v>
      </c>
      <c r="BN42" s="404" t="s">
        <v>2050</v>
      </c>
      <c r="BO42" s="403" t="s">
        <v>637</v>
      </c>
      <c r="BP42" s="403">
        <v>4678504</v>
      </c>
      <c r="BQ42" s="403" t="s">
        <v>642</v>
      </c>
      <c r="BR42" s="408">
        <v>1200</v>
      </c>
      <c r="BS42" s="396">
        <v>1.4166000000000001</v>
      </c>
      <c r="BT42" s="807"/>
      <c r="BU42" s="392">
        <v>32216</v>
      </c>
      <c r="BV42" s="403" t="s">
        <v>2032</v>
      </c>
      <c r="BW42" s="403" t="s">
        <v>2086</v>
      </c>
      <c r="BZ42" s="399">
        <v>204</v>
      </c>
      <c r="CA42" s="852" t="s">
        <v>2051</v>
      </c>
      <c r="CB42" s="852" t="s">
        <v>2052</v>
      </c>
      <c r="CC42" s="852" t="s">
        <v>2053</v>
      </c>
      <c r="CD42" s="390"/>
      <c r="CE42" s="852" t="s">
        <v>2054</v>
      </c>
      <c r="CF42" s="390" t="s">
        <v>40</v>
      </c>
      <c r="CG42" s="390" t="s">
        <v>2062</v>
      </c>
      <c r="CH42" s="390" t="s">
        <v>1112</v>
      </c>
      <c r="CI42" s="403" t="s">
        <v>1998</v>
      </c>
      <c r="CJ42" s="403" t="s">
        <v>1999</v>
      </c>
      <c r="CK42" s="403" t="s">
        <v>2000</v>
      </c>
      <c r="CL42" s="403" t="s">
        <v>589</v>
      </c>
      <c r="CM42" s="852" t="s">
        <v>2017</v>
      </c>
      <c r="CN42" s="390"/>
      <c r="CO42" s="390"/>
      <c r="CP42" s="390"/>
      <c r="CQ42" s="390"/>
      <c r="CR42" s="409" t="str">
        <f>IF((IF(ISNA(VLOOKUP($BB42,Instructions!$A$133:$J$138,10,FALSE)),0,VLOOKUP($BB42,Instructions!$A$133:$J$138,10,FALSE))+IF(ISNA(VLOOKUP($BD42,Instructions!$A$133:$J$138,10,FALSE)),0,VLOOKUP($BD42,Instructions!$A$133:$J$138,10,FALSE))+IF(ISNA(VLOOKUP($BF42,Instructions!$A$133:$J$138,10,FALSE)),0,VLOOKUP($BF42,Instructions!$A$133:$J$138,10,FALSE))+IF(ISNA(VLOOKUP($BH42,Instructions!$A$133:$J$138,10,FALSE)),0,VLOOKUP($BH42,Instructions!$A$133:$J$138,10,FALSE))+IF(ISNA(VLOOKUP($BJ42,Instructions!$A$133:$J$138,10,FALSE)),0,VLOOKUP($BJ42,Instructions!$A$133:$J$138,10,FALSE))+IF(ISNA(VLOOKUP($BL42,Instructions!$A$133:$J$138,10,FALSE)),0,VLOOKUP($BL42,Instructions!$A$133:$J$138,10,FALSE)))&lt;2,"Poor","Usable")</f>
        <v>Usable</v>
      </c>
      <c r="CS42" s="409">
        <f>IF(ISNA(VLOOKUP($D42,Selections!$A$7:$B$19,2,FALSE)),0.4,VLOOKUP($D42,Selections!$A$7:$B$19,2,FALSE))</f>
        <v>0.5</v>
      </c>
      <c r="CT42" s="409">
        <f t="shared" si="0"/>
        <v>35000</v>
      </c>
      <c r="CU42" s="409">
        <f>IF((OR(ISBLANK($P42),$P42&lt;=0)),IF(ISNA(VLOOKUP($O42,Selections!$A$21:$D$48,4,FALSE)),0.113,VLOOKUP($O42,Selections!$A$21:$D$48,4,FALSE)),$P42)</f>
        <v>0.28000000000000003</v>
      </c>
      <c r="CV42" s="409">
        <f>IF(ISNA(VLOOKUP($S42,Selections!$A$57:$B$75,2,FALSE)),0.6,VLOOKUP($S42,Selections!$A$57:$B$75,2,FALSE))</f>
        <v>0.8</v>
      </c>
      <c r="CW42" s="410">
        <f>IF(OR($H42="",$H42="Valve",$H42="PCF",$H42="Regulator",$H42="Relief Valve",$H42="Appurtenance",$H42="Meter",$H42="Other",$H42="Pig Trap",$H42="Flange"),     IF(AND($BZ42&gt;0,$O42&gt;0),     IF($BZ42&gt;(      IF(IF(ISBLANK($V42),0,ISNA(VLOOKUP($V42,Selections!$A$153:$B$177,2,FALSE))),"n/a",IF(ISBLANK($V42),0,VLOOKUP($V42,Selections!$A$153:$B$177,2,FALSE)))),    "Chk Rating","OK Rating"),"n/a" ),IF(AND($BZ42&gt;0,$O42&gt;0),$BZ42/((2*$CT42*$CU42*$CV42)/$O42),1))</f>
        <v>8.6192602040816302E-2</v>
      </c>
      <c r="CX42" s="569" t="str">
        <f t="shared" si="25"/>
        <v>Tee</v>
      </c>
      <c r="CY42" s="570" t="str">
        <f t="shared" si="26"/>
        <v>No</v>
      </c>
      <c r="CZ42" s="571">
        <f t="shared" si="27"/>
        <v>35000</v>
      </c>
      <c r="DA42" s="571"/>
      <c r="DB42" s="570"/>
      <c r="DC42" s="572">
        <f t="shared" si="28"/>
        <v>0.28000000000000003</v>
      </c>
      <c r="DD42" s="573"/>
      <c r="DE42" s="573">
        <f t="shared" si="29"/>
        <v>0.28000000000000003</v>
      </c>
      <c r="DF42" s="573"/>
      <c r="DG42" s="570"/>
      <c r="DH42" s="574">
        <f t="shared" ca="1" si="30"/>
        <v>6.625</v>
      </c>
      <c r="DI42" s="574">
        <f t="shared" si="31"/>
        <v>6.625</v>
      </c>
      <c r="DJ42" s="570"/>
      <c r="DK42" s="575" t="str">
        <f t="shared" si="32"/>
        <v>Unknown</v>
      </c>
      <c r="DL42" s="573"/>
      <c r="DM42" s="576">
        <f t="shared" si="33"/>
        <v>1</v>
      </c>
      <c r="DN42" s="570"/>
      <c r="DO42" s="570" t="str">
        <f t="shared" si="34"/>
        <v>Unknown</v>
      </c>
      <c r="DP42" s="570"/>
      <c r="DQ42" s="570"/>
      <c r="DR42" s="570" t="str">
        <f t="shared" ca="1" si="35"/>
        <v>N/A</v>
      </c>
      <c r="DS42" s="570">
        <f t="shared" si="36"/>
        <v>3</v>
      </c>
      <c r="DT42" s="577">
        <f t="shared" ca="1" si="37"/>
        <v>0.5</v>
      </c>
      <c r="DU42" s="570">
        <f t="shared" ca="1" si="38"/>
        <v>1479</v>
      </c>
      <c r="DV42" s="570">
        <f t="shared" ca="1" si="39"/>
        <v>1479</v>
      </c>
      <c r="DW42" s="570">
        <f t="shared" ca="1" si="40"/>
        <v>1</v>
      </c>
      <c r="DX42" s="569">
        <f t="shared" ca="1" si="41"/>
        <v>1479</v>
      </c>
      <c r="DY42" s="570" t="str">
        <f t="shared" ca="1" si="12"/>
        <v>N/A</v>
      </c>
      <c r="DZ42" s="578">
        <f t="shared" si="42"/>
        <v>32216</v>
      </c>
      <c r="EA42" s="578">
        <f t="shared" si="43"/>
        <v>32216</v>
      </c>
      <c r="EB42" s="570">
        <f t="shared" si="44"/>
        <v>3</v>
      </c>
      <c r="EC42" s="570">
        <f t="shared" si="45"/>
        <v>1200</v>
      </c>
      <c r="ED42" s="579">
        <f t="shared" si="46"/>
        <v>1.4166000000000001</v>
      </c>
      <c r="EE42" s="580" t="str">
        <f t="shared" si="47"/>
        <v>No</v>
      </c>
      <c r="EF42" s="577" t="str">
        <f t="shared" si="48"/>
        <v>No</v>
      </c>
      <c r="EG42" s="577">
        <f ca="1">IF(OR(EA42="N/A",DY42&lt;&gt;"N/A"),"N/A",IF(AND(DZ42&gt;=DATE(1961,7,1),EA42&gt;=DATE(1961,7,1),OR(DQ42="1 in Station",DQ42="2 in Station",DS42="1 in Station",DS42="2 in Station")),1.5,IF(AND(DK42="Electric Resistance Weld",YEAR(DZ42)&lt;1970,EA42&lt;DATE(1961,7,1),OR(DQ42=1,DQ42="1 in Station",DQ42="1 in Public Road Crossing",DQ42="1 in Hard Road Parallel",DQ42="1 on Bridge",DS42=1,DS42="1 in Station",DS42="1 in Public Road Crossing",DS42="1 in Hard Road Parallel",DS42="1 on Bridge")),1.25,INDEX('FVE Table'!$C$3:$F$5,EB42,IF(AND(ABS(DZ42-EA42)&lt;=365,DQ42&gt;0),LEFT(DQ42,1),LEFT(DS42,1))))))</f>
        <v>1.5</v>
      </c>
      <c r="EH42" s="570">
        <f t="shared" ca="1" si="49"/>
        <v>800</v>
      </c>
      <c r="EI42" s="570" t="str">
        <f t="shared" ca="1" si="50"/>
        <v>N/A</v>
      </c>
      <c r="EJ42" s="570" t="str">
        <f t="shared" ca="1" si="51"/>
        <v>N/A</v>
      </c>
      <c r="EK42" s="581">
        <f t="shared" si="52"/>
        <v>204</v>
      </c>
      <c r="EL42" s="570"/>
      <c r="EM42" s="582">
        <f t="shared" ca="1" si="53"/>
        <v>6.8954081632653055E-2</v>
      </c>
      <c r="EN42" s="582">
        <f t="shared" ca="1" si="54"/>
        <v>6.8954081632653055E-2</v>
      </c>
      <c r="EO42" s="570">
        <f t="shared" ca="1" si="55"/>
        <v>204</v>
      </c>
      <c r="EP42" s="570" t="str">
        <f t="shared" ca="1" si="56"/>
        <v>R</v>
      </c>
      <c r="EQ42" s="582">
        <f t="shared" ca="1" si="57"/>
        <v>6.8954081632653055E-2</v>
      </c>
      <c r="ER42" s="573">
        <f t="shared" si="22"/>
        <v>0.75</v>
      </c>
      <c r="ES42" s="762"/>
      <c r="ET42" s="762"/>
      <c r="EU42" s="585"/>
      <c r="EV42" s="583"/>
      <c r="EW42" s="583"/>
      <c r="EX42" s="584"/>
      <c r="EY42" s="759"/>
      <c r="EZ42" s="585"/>
      <c r="FA42" s="585"/>
      <c r="FB42" s="585"/>
      <c r="FC42" s="585"/>
    </row>
  </sheetData>
  <sheetProtection formatCells="0" insertRows="0" deleteRows="0" sort="0" autoFilter="0"/>
  <autoFilter ref="A2:FC42"/>
  <dataConsolidate/>
  <mergeCells count="28">
    <mergeCell ref="C1:F1"/>
    <mergeCell ref="AL1:AO1"/>
    <mergeCell ref="AH1:AI1"/>
    <mergeCell ref="AJ1:AK1"/>
    <mergeCell ref="O1:X1"/>
    <mergeCell ref="CM1:CQ1"/>
    <mergeCell ref="CS1:CV1"/>
    <mergeCell ref="AD1:AF1"/>
    <mergeCell ref="Y1:AC1"/>
    <mergeCell ref="BO1:BZ1"/>
    <mergeCell ref="CA1:CF1"/>
    <mergeCell ref="CI1:CK1"/>
    <mergeCell ref="AP1:AR1"/>
    <mergeCell ref="AS1:AZ1"/>
    <mergeCell ref="BE1:BL1"/>
    <mergeCell ref="BA1:BD1"/>
    <mergeCell ref="BM1:BN1"/>
    <mergeCell ref="CZ1:DP1"/>
    <mergeCell ref="EZ1:FC1"/>
    <mergeCell ref="EK1:EL1"/>
    <mergeCell ref="EM1:EN1"/>
    <mergeCell ref="EO1:EQ1"/>
    <mergeCell ref="ES1:ET1"/>
    <mergeCell ref="EV1:EY1"/>
    <mergeCell ref="DQ1:DT1"/>
    <mergeCell ref="DU1:DX1"/>
    <mergeCell ref="DZ1:EH1"/>
    <mergeCell ref="EI1:EJ1"/>
  </mergeCells>
  <phoneticPr fontId="0" type="noConversion"/>
  <conditionalFormatting sqref="AG43:AG1048576">
    <cfRule type="expression" dxfId="101" priority="1103" stopIfTrue="1">
      <formula>IF($H43&lt;&gt;"Tee",1,0)</formula>
    </cfRule>
  </conditionalFormatting>
  <conditionalFormatting sqref="AJ43:AK1048576">
    <cfRule type="expression" dxfId="100" priority="1102" stopIfTrue="1">
      <formula>IF($H43&lt;&gt;"Valve",1,0)</formula>
    </cfRule>
  </conditionalFormatting>
  <conditionalFormatting sqref="AH43:AI1048576">
    <cfRule type="expression" dxfId="99" priority="1101" stopIfTrue="1">
      <formula>IF($H43&lt;&gt;"Tap",1,0)</formula>
    </cfRule>
  </conditionalFormatting>
  <conditionalFormatting sqref="AO43:AO1048576 AL43:AM1048576">
    <cfRule type="expression" dxfId="98" priority="1104" stopIfTrue="1">
      <formula>IF($I43="Casing",0,1)</formula>
    </cfRule>
  </conditionalFormatting>
  <conditionalFormatting sqref="AA43:AA1048576">
    <cfRule type="expression" dxfId="97" priority="1105" stopIfTrue="1">
      <formula>IF(AND($H43&lt;&gt;"Valve",$H43&lt;&gt;"Meter",$H43&lt;&gt;"Relief Valve",$H43&lt;&gt;"Regulator"),1,0)</formula>
    </cfRule>
  </conditionalFormatting>
  <conditionalFormatting sqref="Y43:Y1048576">
    <cfRule type="expression" dxfId="96" priority="1106" stopIfTrue="1">
      <formula>IF( AND($H43&lt;&gt;"Valve",$H43&lt;&gt;"Relief Valve",$H43&lt;&gt;"Pig Trap",$H43&lt;&gt;"Regulator"),1,0)</formula>
    </cfRule>
  </conditionalFormatting>
  <conditionalFormatting sqref="AB43:AB1048576">
    <cfRule type="expression" dxfId="95" priority="1107" stopIfTrue="1">
      <formula>IF(OR($H43="Pipe",$H43="Flange",$H43="Valve",$H43="Other",$H43="Regulator"),1,0)</formula>
    </cfRule>
  </conditionalFormatting>
  <conditionalFormatting sqref="AC43:AC1048576">
    <cfRule type="expression" dxfId="94" priority="1108" stopIfTrue="1">
      <formula>IF(OR($H43="Pipe",$H43="Mfg Bend",$H43="Sleeve",$I43="Casing",$H43="Other"),1,0)</formula>
    </cfRule>
  </conditionalFormatting>
  <conditionalFormatting sqref="AN43:AN1048576">
    <cfRule type="expression" dxfId="93" priority="1109" stopIfTrue="1">
      <formula>IF(OR($I43="Casing",$I43="Pipe Encased"),0,1)</formula>
    </cfRule>
  </conditionalFormatting>
  <conditionalFormatting sqref="O43:O1048576">
    <cfRule type="expression" dxfId="92" priority="1110" stopIfTrue="1">
      <formula>IF(OR($H43="",$H43="Appurtenance"),1,0)</formula>
    </cfRule>
  </conditionalFormatting>
  <conditionalFormatting sqref="T43:U1048576">
    <cfRule type="expression" dxfId="91" priority="1111" stopIfTrue="1">
      <formula>IF(OR($H43="",$H43="Appurtenance",$H43="Valve",$H43="Regulator",$I43="Union"),1,0)</formula>
    </cfRule>
  </conditionalFormatting>
  <conditionalFormatting sqref="AF43:AF1048576 AD43:AD1048576">
    <cfRule type="expression" dxfId="90" priority="1113" stopIfTrue="1">
      <formula>IF(AND($H43&lt;&gt;"Field Bend",$H43&lt;&gt;"Mfg Bend"),1,0)</formula>
    </cfRule>
  </conditionalFormatting>
  <conditionalFormatting sqref="Q43:R1048576">
    <cfRule type="expression" dxfId="89" priority="1114" stopIfTrue="1">
      <formula>IF(AND($H43&lt;&gt;"Tee",$H43&lt;&gt;"Reducer",$I43&lt;&gt;"Casing",$I43&lt;&gt;"Reducing"),1,0)</formula>
    </cfRule>
  </conditionalFormatting>
  <conditionalFormatting sqref="AE43:AE1048576">
    <cfRule type="expression" dxfId="88" priority="1115" stopIfTrue="1">
      <formula>IF(OR(AND($H43&lt;&gt;"Field Bend",$H43&lt;&gt;"Mfg Bend"),$I43="Miter"),1,0)</formula>
    </cfRule>
  </conditionalFormatting>
  <conditionalFormatting sqref="V43:V1048576">
    <cfRule type="expression" dxfId="87" priority="1116" stopIfTrue="1">
      <formula>IF(OR($H43="",$H43="Pipe",$H43="Field Bend",$H43="Pig Trap",$I43="Collar",$H43="Appurtenance"),1,0)</formula>
    </cfRule>
  </conditionalFormatting>
  <conditionalFormatting sqref="X43:X1048576">
    <cfRule type="expression" dxfId="86" priority="1118" stopIfTrue="1">
      <formula>IF(OR($H43="",$H43="Pipe",$H43="Field Bend",$H43="Mfg Bend",$I43="Collar",$H43="Tee",$H43="Meter",$H43="Cap",$H43="Appurtenance",$H43="Pig Trap",$H43="Reducer"),1,0)</formula>
    </cfRule>
  </conditionalFormatting>
  <conditionalFormatting sqref="CW43:CW1048576">
    <cfRule type="expression" dxfId="85" priority="1121" stopIfTrue="1">
      <formula>IF(OR($CW43="n/a",$CW43="OK Rating"),0,IF(AND($CW43&gt;0.01,$CS43&lt;$CW43),1,0))</formula>
    </cfRule>
  </conditionalFormatting>
  <conditionalFormatting sqref="S43:S1048576">
    <cfRule type="expression" dxfId="84" priority="1122" stopIfTrue="1">
      <formula>IF(AND($H43&lt;&gt;"Pipe",$H43&lt;&gt;"Field Bend", $H43&lt;&gt;"Mfg Bend",H43&lt;&gt;"Tee",$H43&lt;&gt;"Reducer",$I43&lt;&gt;"Connection",$I43&lt;&gt;"Take-off"),1,0)</formula>
    </cfRule>
  </conditionalFormatting>
  <conditionalFormatting sqref="Z43:Z1048576">
    <cfRule type="expression" dxfId="83" priority="1100">
      <formula>IF(OR($H43="",$H43="Appurtenance"),1,0)</formula>
    </cfRule>
  </conditionalFormatting>
  <conditionalFormatting sqref="W43:W1048576">
    <cfRule type="expression" dxfId="82" priority="1112" stopIfTrue="1">
      <formula>IF(OR($H43="",$H43="Pipe",$H43="Field Bend",$H43="Meter",$H43="Appurtenance",$H43="Pig Trap",$H43="Tee",$H43="Flange",$H43="Mfg Bend",$H43="Reducer",$H43="PCF",$I43="Casing"),1,0)</formula>
    </cfRule>
    <cfRule type="expression" dxfId="81" priority="1117" stopIfTrue="1">
      <formula>IF(OR($H43="",$H43="Pipe",$H43="Field Bend",$H43="Meter",$H43="Cap",$H43="Appurtenance",$H43="Pig Trap",$H43="Tee",$H43="Flange",$H43="Mfg Bend",$H43="Reducer",$H43="PCF",$I43="Casing"),1,0)</formula>
    </cfRule>
  </conditionalFormatting>
  <conditionalFormatting sqref="P43:P1048576">
    <cfRule type="expression" dxfId="80" priority="1119" stopIfTrue="1">
      <formula>IF(OR($H43="",$H43="Valve",$H43="Relief Valve",$H43="PCF",$H43="Regulator",$H43="Meter",$H43="Pig Trap",$H43="Appurtenance"),1,0)</formula>
    </cfRule>
    <cfRule type="expression" dxfId="79" priority="1120" stopIfTrue="1">
      <formula>IF(OR($I43="Weld Neck",$I43="",$I43="Slip on",$I43="Blind",$I43="Union"),1,0)</formula>
    </cfRule>
  </conditionalFormatting>
  <conditionalFormatting sqref="CX3:ER42">
    <cfRule type="expression" dxfId="78" priority="1096">
      <formula>$EU3="R"</formula>
    </cfRule>
    <cfRule type="expression" dxfId="77" priority="1097">
      <formula>$EU3="D"</formula>
    </cfRule>
  </conditionalFormatting>
  <conditionalFormatting sqref="DY3:DY42">
    <cfRule type="expression" dxfId="76" priority="586">
      <formula>AND(I3&lt;&gt;"OrificeSkidMntGasWell",CX3&lt;&gt;"FarmTapRegSet",DO3&lt;&gt;"",DO3&lt;&gt;"N/A",DO3&lt;&gt;"Unknown",X3&lt;&gt;"")</formula>
    </cfRule>
    <cfRule type="expression" dxfId="75" priority="839">
      <formula>AND(I3&lt;&gt;"OrificeSkidMntGasWell",CX3&lt;&gt;"FarmTapRegSet",DO3&lt;&gt;"",DO3&lt;&gt;"N/A",DO3&lt;&gt;"Unknown",X3&lt;&gt;"")</formula>
    </cfRule>
  </conditionalFormatting>
  <conditionalFormatting sqref="DA3:DA42 DD3:DD42 DF3:DF42 DL3:DL42">
    <cfRule type="expression" dxfId="74" priority="320">
      <formula>AND(DA3&lt;&gt;CZ3,DA3&lt;&gt;"")</formula>
    </cfRule>
  </conditionalFormatting>
  <conditionalFormatting sqref="DA11">
    <cfRule type="expression" dxfId="73" priority="294">
      <formula>AND(DA11&lt;&gt;CZ11,DA11&lt;&gt;"")</formula>
    </cfRule>
  </conditionalFormatting>
  <conditionalFormatting sqref="DA11">
    <cfRule type="expression" dxfId="72" priority="292">
      <formula>$EU11="R"</formula>
    </cfRule>
    <cfRule type="expression" dxfId="71" priority="293">
      <formula>$EU11="D"</formula>
    </cfRule>
  </conditionalFormatting>
  <conditionalFormatting sqref="CX3:CZ42 DB3:DC42 DE3:DE42 DG3:DK42 DM3:DX42 DZ3:ER42">
    <cfRule type="expression" dxfId="70" priority="183">
      <formula>$EU3="R"</formula>
    </cfRule>
    <cfRule type="expression" dxfId="69" priority="184">
      <formula>$EU3="D"</formula>
    </cfRule>
  </conditionalFormatting>
  <conditionalFormatting sqref="DA3:DA42">
    <cfRule type="expression" dxfId="68" priority="180">
      <formula>AND(DA3&lt;&gt;CZ3,DA3&lt;&gt;"")</formula>
    </cfRule>
  </conditionalFormatting>
  <conditionalFormatting sqref="DA3:DA42">
    <cfRule type="expression" dxfId="67" priority="178">
      <formula>$EU3="R"</formula>
    </cfRule>
    <cfRule type="expression" dxfId="66" priority="179">
      <formula>$EU3="D"</formula>
    </cfRule>
  </conditionalFormatting>
  <conditionalFormatting sqref="DD3:DD42">
    <cfRule type="expression" dxfId="65" priority="177">
      <formula>AND(DD3&lt;&gt;DC3,DD3&lt;&gt;"")</formula>
    </cfRule>
  </conditionalFormatting>
  <conditionalFormatting sqref="DD3:DD42">
    <cfRule type="expression" dxfId="64" priority="175">
      <formula>$EU3="R"</formula>
    </cfRule>
    <cfRule type="expression" dxfId="63" priority="176">
      <formula>$EU3="D"</formula>
    </cfRule>
  </conditionalFormatting>
  <conditionalFormatting sqref="DF3:DF42">
    <cfRule type="expression" dxfId="62" priority="174">
      <formula>AND(DF3&lt;&gt;DE3,DF3&lt;&gt;"")</formula>
    </cfRule>
  </conditionalFormatting>
  <conditionalFormatting sqref="DF3:DF42">
    <cfRule type="expression" dxfId="61" priority="172">
      <formula>$EU3="R"</formula>
    </cfRule>
    <cfRule type="expression" dxfId="60" priority="173">
      <formula>$EU3="D"</formula>
    </cfRule>
  </conditionalFormatting>
  <conditionalFormatting sqref="DF3:DF42">
    <cfRule type="expression" dxfId="59" priority="171">
      <formula>AND(DF3&lt;&gt;DE3,DF3&lt;&gt;"")</formula>
    </cfRule>
  </conditionalFormatting>
  <conditionalFormatting sqref="DF3:DF42">
    <cfRule type="expression" dxfId="58" priority="169">
      <formula>$EU3="R"</formula>
    </cfRule>
    <cfRule type="expression" dxfId="57" priority="170">
      <formula>$EU3="D"</formula>
    </cfRule>
  </conditionalFormatting>
  <conditionalFormatting sqref="DL3:DL42">
    <cfRule type="expression" dxfId="56" priority="168">
      <formula>AND(DL3&lt;&gt;DK3,DL3&lt;&gt;"")</formula>
    </cfRule>
  </conditionalFormatting>
  <conditionalFormatting sqref="DL3:DL42">
    <cfRule type="expression" dxfId="55" priority="166">
      <formula>$EU3="R"</formula>
    </cfRule>
    <cfRule type="expression" dxfId="54" priority="167">
      <formula>$EU3="D"</formula>
    </cfRule>
  </conditionalFormatting>
  <conditionalFormatting sqref="AG3:AG42">
    <cfRule type="expression" dxfId="53" priority="4" stopIfTrue="1">
      <formula>IF($H3&lt;&gt;"Tee",1,0)</formula>
    </cfRule>
  </conditionalFormatting>
  <conditionalFormatting sqref="AJ3:AK42">
    <cfRule type="expression" dxfId="52" priority="3" stopIfTrue="1">
      <formula>IF($H3&lt;&gt;"Valve",1,0)</formula>
    </cfRule>
  </conditionalFormatting>
  <conditionalFormatting sqref="AH3:AI42">
    <cfRule type="expression" dxfId="51" priority="2" stopIfTrue="1">
      <formula>IF($H3&lt;&gt;"Tap",1,0)</formula>
    </cfRule>
  </conditionalFormatting>
  <conditionalFormatting sqref="AL3:AM42 AO3:AO42">
    <cfRule type="expression" dxfId="50" priority="5" stopIfTrue="1">
      <formula>IF($I3="Casing",0,1)</formula>
    </cfRule>
  </conditionalFormatting>
  <conditionalFormatting sqref="AA3:AA42">
    <cfRule type="expression" dxfId="49" priority="6" stopIfTrue="1">
      <formula>IF(AND($H3&lt;&gt;"Valve",$H3&lt;&gt;"Meter",$H3&lt;&gt;"Relief Valve",$H3&lt;&gt;"Regulator"),1,0)</formula>
    </cfRule>
  </conditionalFormatting>
  <conditionalFormatting sqref="Y3:Y42">
    <cfRule type="expression" dxfId="48" priority="7" stopIfTrue="1">
      <formula>IF( AND($H3&lt;&gt;"Valve",$H3&lt;&gt;"Relief Valve",$H3&lt;&gt;"Pig Trap",$H3&lt;&gt;"Regulator"),1,0)</formula>
    </cfRule>
  </conditionalFormatting>
  <conditionalFormatting sqref="AB3:AB42">
    <cfRule type="expression" dxfId="47" priority="8" stopIfTrue="1">
      <formula>IF(OR($H3="Pipe",$H3="Flange",$H3="Valve",$H3="Other",$H3="Regulator"),1,0)</formula>
    </cfRule>
  </conditionalFormatting>
  <conditionalFormatting sqref="AC3:AC42">
    <cfRule type="expression" dxfId="46" priority="9" stopIfTrue="1">
      <formula>IF(OR($H3="Pipe",$H3="Mfg Bend",$H3="Sleeve",$I3="Casing",$H3="Other"),1,0)</formula>
    </cfRule>
  </conditionalFormatting>
  <conditionalFormatting sqref="AN3:AN42">
    <cfRule type="expression" dxfId="45" priority="10" stopIfTrue="1">
      <formula>IF(OR($I3="Casing",$I3="Pipe Encased"),0,1)</formula>
    </cfRule>
  </conditionalFormatting>
  <conditionalFormatting sqref="O3:O42">
    <cfRule type="expression" dxfId="44" priority="11" stopIfTrue="1">
      <formula>IF(OR($H3="",$H3="Appurtenance"),1,0)</formula>
    </cfRule>
  </conditionalFormatting>
  <conditionalFormatting sqref="T3:U42">
    <cfRule type="expression" dxfId="43" priority="12" stopIfTrue="1">
      <formula>IF(OR($H3="",$H3="Appurtenance",$H3="Valve",$H3="Regulator",$I3="Union"),1,0)</formula>
    </cfRule>
  </conditionalFormatting>
  <conditionalFormatting sqref="AD3:AD42 AF3:AF42">
    <cfRule type="expression" dxfId="42" priority="14" stopIfTrue="1">
      <formula>IF(AND($H3&lt;&gt;"Field Bend",$H3&lt;&gt;"Mfg Bend"),1,0)</formula>
    </cfRule>
  </conditionalFormatting>
  <conditionalFormatting sqref="Q3:R42">
    <cfRule type="expression" dxfId="41" priority="15" stopIfTrue="1">
      <formula>IF(AND($H3&lt;&gt;"Tee",$H3&lt;&gt;"Reducer",$I3&lt;&gt;"Casing",$I3&lt;&gt;"Reducing"),1,0)</formula>
    </cfRule>
  </conditionalFormatting>
  <conditionalFormatting sqref="AE3:AE42">
    <cfRule type="expression" dxfId="40" priority="16" stopIfTrue="1">
      <formula>IF(OR(AND($H3&lt;&gt;"Field Bend",$H3&lt;&gt;"Mfg Bend"),$I3="Miter"),1,0)</formula>
    </cfRule>
  </conditionalFormatting>
  <conditionalFormatting sqref="V3:V42">
    <cfRule type="expression" dxfId="39" priority="17" stopIfTrue="1">
      <formula>IF(OR($H3="",$H3="Pipe",$H3="Field Bend",$H3="Pig Trap",$I3="Collar",$H3="Appurtenance"),1,0)</formula>
    </cfRule>
  </conditionalFormatting>
  <conditionalFormatting sqref="X3:X42">
    <cfRule type="expression" dxfId="38" priority="19" stopIfTrue="1">
      <formula>IF(OR($H3="",$H3="Pipe",$H3="Field Bend",$H3="Mfg Bend",$I3="Collar",$H3="Tee",$H3="Meter",$H3="Cap",$H3="Appurtenance",$H3="Pig Trap",$H3="Reducer"),1,0)</formula>
    </cfRule>
  </conditionalFormatting>
  <conditionalFormatting sqref="CW3:CW42">
    <cfRule type="expression" dxfId="37" priority="22" stopIfTrue="1">
      <formula>IF(OR($CW3="n/a",$CW3="OK Rating"),0,IF(AND($CW3&gt;0.01,$CS3&lt;$CW3),1,0))</formula>
    </cfRule>
  </conditionalFormatting>
  <conditionalFormatting sqref="S3:S42">
    <cfRule type="expression" dxfId="36" priority="23" stopIfTrue="1">
      <formula>IF(AND($H3&lt;&gt;"Pipe",$H3&lt;&gt;"Field Bend", $H3&lt;&gt;"Mfg Bend",H3&lt;&gt;"Tee",$H3&lt;&gt;"Reducer",$I3&lt;&gt;"Connection",$I3&lt;&gt;"Take-off"),1,0)</formula>
    </cfRule>
  </conditionalFormatting>
  <conditionalFormatting sqref="Z3:Z42">
    <cfRule type="expression" dxfId="35" priority="1">
      <formula>IF(OR($H3="",$H3="Appurtenance"),1,0)</formula>
    </cfRule>
  </conditionalFormatting>
  <conditionalFormatting sqref="W3:W42">
    <cfRule type="expression" dxfId="34" priority="13" stopIfTrue="1">
      <formula>IF(OR($H3="",$H3="Pipe",$H3="Field Bend",$H3="Meter",$H3="Appurtenance",$H3="Pig Trap",$H3="Tee",$H3="Flange",$H3="Mfg Bend",$H3="Reducer",$H3="PCF",$I3="Casing"),1,0)</formula>
    </cfRule>
    <cfRule type="expression" dxfId="33" priority="18" stopIfTrue="1">
      <formula>IF(OR($H3="",$H3="Pipe",$H3="Field Bend",$H3="Meter",$H3="Cap",$H3="Appurtenance",$H3="Pig Trap",$H3="Tee",$H3="Flange",$H3="Mfg Bend",$H3="Reducer",$H3="PCF",$I3="Casing"),1,0)</formula>
    </cfRule>
  </conditionalFormatting>
  <conditionalFormatting sqref="P3:P42">
    <cfRule type="expression" dxfId="32" priority="20" stopIfTrue="1">
      <formula>IF(OR($H3="",$H3="Valve",$H3="Relief Valve",$H3="PCF",$H3="Regulator",$H3="Meter",$H3="Pig Trap",$H3="Appurtenance"),1,0)</formula>
    </cfRule>
    <cfRule type="expression" dxfId="31" priority="21" stopIfTrue="1">
      <formula>IF(OR($I3="Weld Neck",$I3="",$I3="Slip on",$I3="Blind",$I3="Union"),1,0)</formula>
    </cfRule>
  </conditionalFormatting>
  <dataValidations disablePrompts="1" count="64">
    <dataValidation type="list" allowBlank="1" showInputMessage="1" showErrorMessage="1" sqref="AE1 AE3:AE1048576">
      <formula1>IF(H1="Field Bend",INDIRECT("BendRadius_Field"),INDIRECT("BendRadius"))</formula1>
    </dataValidation>
    <dataValidation type="decimal" allowBlank="1" showInputMessage="1" showErrorMessage="1" sqref="DE2:DE76 DC2:DC76">
      <formula1>0.1</formula1>
      <formula2>1.5</formula2>
    </dataValidation>
    <dataValidation type="list" allowBlank="1" showInputMessage="1" showErrorMessage="1" sqref="CZ2:CZ76">
      <formula1>SMYS_FVE</formula1>
    </dataValidation>
    <dataValidation type="list" allowBlank="1" showInputMessage="1" showErrorMessage="1" sqref="DK2:DK76">
      <formula1>SeamType_FVE</formula1>
    </dataValidation>
    <dataValidation type="list" allowBlank="1" showInputMessage="1" showErrorMessage="1" sqref="DM2:DM76">
      <formula1>LSFactor_FVE</formula1>
    </dataValidation>
    <dataValidation type="list" allowBlank="1" showInputMessage="1" showErrorMessage="1" sqref="DO2:DO76">
      <formula1>FittingRating_FVE</formula1>
    </dataValidation>
    <dataValidation type="list" allowBlank="1" showInputMessage="1" showErrorMessage="1" sqref="DQ2:DQ76">
      <formula1>ClassLocation_FVE</formula1>
    </dataValidation>
    <dataValidation type="list" allowBlank="1" showInputMessage="1" showErrorMessage="1" sqref="DT2:DT76 DR2:DR76">
      <formula1>DesignFactor_FVE</formula1>
    </dataValidation>
    <dataValidation type="list" allowBlank="1" showInputMessage="1" showErrorMessage="1" sqref="DY3:DY76">
      <formula1>fittingDynamic</formula1>
    </dataValidation>
    <dataValidation type="list" allowBlank="1" showInputMessage="1" showErrorMessage="1" sqref="EU2:EU76">
      <formula1>RemoveFromMAOPReport_FVE</formula1>
    </dataValidation>
    <dataValidation type="list" allowBlank="1" showInputMessage="1" showErrorMessage="1" sqref="DH2:DI76">
      <formula1>ODshort_FVE</formula1>
    </dataValidation>
    <dataValidation type="list" allowBlank="1" showInputMessage="1" showErrorMessage="1" sqref="DS2:DS76">
      <formula1>ClassLocationNoBlank_FVE</formula1>
    </dataValidation>
    <dataValidation type="list" allowBlank="1" showInputMessage="1" showErrorMessage="1" sqref="CX2:CX76">
      <formula1>ComponentFeature_FVE</formula1>
    </dataValidation>
    <dataValidation type="list" allowBlank="1" showInputMessage="1" showErrorMessage="1" sqref="BJ1 BF3:BF1048576 BL3:BL1048576 BD3:BD1048576 BB3:BB1048576 BJ3:BJ1048576 BH3:BH1048576">
      <formula1>QualityCode</formula1>
    </dataValidation>
    <dataValidation type="list" allowBlank="1" showInputMessage="1" showErrorMessage="1" sqref="AK1 AK3:AK1048576">
      <formula1>ValveOperatorType</formula1>
    </dataValidation>
    <dataValidation type="list" allowBlank="1" showInputMessage="1" showErrorMessage="1" sqref="AM1 AM3:AM1048576">
      <formula1>CasingSealType</formula1>
    </dataValidation>
    <dataValidation type="list" allowBlank="1" showInputMessage="1" showErrorMessage="1" sqref="AN1 AN3:AN1048576">
      <formula1>CasingType</formula1>
    </dataValidation>
    <dataValidation allowBlank="1" showInputMessage="1" showErrorMessage="1" promptTitle="Station &gt; 0" sqref="C1"/>
    <dataValidation type="list" allowBlank="1" showInputMessage="1" showErrorMessage="1" sqref="CF1 CF3:CF1048576">
      <formula1>QualityCodeSTPR</formula1>
    </dataValidation>
    <dataValidation type="list" allowBlank="1" showInputMessage="1" showErrorMessage="1" sqref="CL1 CL3:CL1048576">
      <formula1>YesNo</formula1>
    </dataValidation>
    <dataValidation type="date" allowBlank="1" showDropDown="1" showInputMessage="1" showErrorMessage="1" sqref="F1 F3:F1048576">
      <formula1>3654</formula1>
      <formula2>42369</formula2>
    </dataValidation>
    <dataValidation type="decimal" allowBlank="1" showInputMessage="1" showErrorMessage="1" sqref="L1 L3:L1048576">
      <formula1>0</formula1>
      <formula2>9999</formula2>
    </dataValidation>
    <dataValidation type="decimal" allowBlank="1" showInputMessage="1" showErrorMessage="1" sqref="M1:N1 M3:N1048576">
      <formula1>-20</formula1>
      <formula2>9999999999999</formula2>
    </dataValidation>
    <dataValidation type="decimal" allowBlank="1" showInputMessage="1" showErrorMessage="1" sqref="AJ1 BY3:BY1048576 X3:X1048576 AJ3:AJ1048576">
      <formula1>100</formula1>
      <formula2>5000</formula2>
    </dataValidation>
    <dataValidation type="date" allowBlank="1" showInputMessage="1" showErrorMessage="1" errorTitle="Bad Date" error="Enter a valid date" sqref="AR1 AR3:AR1048576">
      <formula1>5480</formula1>
      <formula2>42369</formula2>
    </dataValidation>
    <dataValidation errorStyle="information" allowBlank="1" showInputMessage="1" showErrorMessage="1" promptTitle="Select or type your own" sqref="AS1:AZ2"/>
    <dataValidation type="list" showInputMessage="1" sqref="BV1 BV3:BV1048576">
      <formula1>Supervisor</formula1>
    </dataValidation>
    <dataValidation showInputMessage="1" sqref="BV2"/>
    <dataValidation type="decimal" allowBlank="1" showInputMessage="1" showErrorMessage="1" sqref="DY2">
      <formula1>MaxWorkingPressure_low</formula1>
      <formula2>MaxWorkingPressure_high</formula2>
    </dataValidation>
    <dataValidation type="list" allowBlank="1" showInputMessage="1" showErrorMessage="1" sqref="AI3:AI1048576 AG3:AG1048576">
      <formula1>"Yes, No, Unknown"</formula1>
    </dataValidation>
    <dataValidation type="date" allowBlank="1" showInputMessage="1" showErrorMessage="1" sqref="AV3:AV1048576">
      <formula1>5480</formula1>
      <formula2>43831</formula2>
    </dataValidation>
    <dataValidation type="list" allowBlank="1" showInputMessage="1" showErrorMessage="1" sqref="BO3:BO1048576">
      <formula1>PipeTestType</formula1>
    </dataValidation>
    <dataValidation type="list" allowBlank="1" showInputMessage="1" showErrorMessage="1" sqref="BQ3:BQ1048576">
      <formula1>TestMedium</formula1>
    </dataValidation>
    <dataValidation type="decimal" allowBlank="1" showInputMessage="1" showErrorMessage="1" promptTitle="Pressure adjusted for Elevation" prompt="Lowest measured test pressure adjusted for elevation differences to the maximum elevation that was tested.  This is the lowest pressure that the pipeline was tested." sqref="BT3:BT1048576">
      <formula1>100</formula1>
      <formula2>5000</formula2>
    </dataValidation>
    <dataValidation type="date" allowBlank="1" showInputMessage="1" showErrorMessage="1" sqref="BX3:BX1048576 BU3:BU1048576">
      <formula1>367</formula1>
      <formula2>44196</formula2>
    </dataValidation>
    <dataValidation type="decimal" allowBlank="1" showInputMessage="1" showErrorMessage="1" promptTitle="Actual Measured Test Pressure" prompt="Between 100 and 5000 psig" sqref="BR3:BR1048576">
      <formula1>100</formula1>
      <formula2>5000</formula2>
    </dataValidation>
    <dataValidation type="list" allowBlank="1" showInputMessage="1" showErrorMessage="1" sqref="AW3:AZ1048576 AL3:AL1048576">
      <formula1>YesNoUnknown</formula1>
    </dataValidation>
    <dataValidation type="list" allowBlank="1" showInputMessage="1" showErrorMessage="1" sqref="AO3:AO1048576">
      <formula1>CasingInsulateType</formula1>
    </dataValidation>
    <dataValidation type="list" allowBlank="1" showInputMessage="1" showErrorMessage="1" sqref="AP3:AP1048576">
      <formula1>CoatingType</formula1>
    </dataValidation>
    <dataValidation type="decimal" allowBlank="1" showDropDown="1" showInputMessage="1" showErrorMessage="1" promptTitle="Wall thickness" prompt="Between 0.1 and 1.5 inches" sqref="R3:R1048576">
      <formula1>0.1</formula1>
      <formula2>1.5</formula2>
    </dataValidation>
    <dataValidation type="list" allowBlank="1" showInputMessage="1" showErrorMessage="1" sqref="U3:U1048576">
      <formula1>SMYS</formula1>
    </dataValidation>
    <dataValidation type="list" allowBlank="1" showInputMessage="1" showErrorMessage="1" sqref="AH3:AH1048576">
      <formula1>HotCold</formula1>
    </dataValidation>
    <dataValidation type="decimal" allowBlank="1" showInputMessage="1" showErrorMessage="1" sqref="AD3:AD1048576">
      <formula1>0</formula1>
      <formula2>90</formula2>
    </dataValidation>
    <dataValidation type="list" allowBlank="1" showInputMessage="1" showErrorMessage="1" sqref="AF3:AF1048576">
      <formula1>Orientation</formula1>
    </dataValidation>
    <dataValidation type="list" allowBlank="1" showInputMessage="1" showErrorMessage="1" sqref="AB3:AB1048576">
      <formula1>EndConnect</formula1>
    </dataValidation>
    <dataValidation type="list" allowBlank="1" showInputMessage="1" showErrorMessage="1" errorTitle="Invalid pipe size" error="Use the drop down to select the correct pipe size.  If you have a size that is not in this list contact your coordinator." sqref="Q3:Q1048576">
      <formula1>OutsideDiameter</formula1>
    </dataValidation>
    <dataValidation type="list" allowBlank="1" showInputMessage="1" showErrorMessage="1" sqref="V3:V1048576">
      <formula1>Ansi</formula1>
    </dataValidation>
    <dataValidation type="list" allowBlank="1" showInputMessage="1" showErrorMessage="1" promptTitle="Installation Date of Coating" sqref="AC3:AC1048576">
      <formula1>MaterialType</formula1>
    </dataValidation>
    <dataValidation type="list" allowBlank="1" showInputMessage="1" showErrorMessage="1" sqref="D3:D1048576">
      <formula1>ClassLocation</formula1>
    </dataValidation>
    <dataValidation type="list" allowBlank="1" showInputMessage="1" showErrorMessage="1" sqref="H3:H1048576">
      <formula1>EventType</formula1>
    </dataValidation>
    <dataValidation type="decimal" allowBlank="1" showInputMessage="1" showErrorMessage="1" promptTitle="Wall Thickness in inches" prompt="Between 0.01  and 1.5 inches" sqref="P3:P1048576">
      <formula1>0.01</formula1>
      <formula2>1.5</formula2>
    </dataValidation>
    <dataValidation type="decimal" allowBlank="1" showInputMessage="1" showErrorMessage="1" sqref="W3:W1048576">
      <formula1>0.1</formula1>
      <formula2>125</formula2>
    </dataValidation>
    <dataValidation type="decimal" allowBlank="1" showInputMessage="1" showErrorMessage="1" sqref="J3:J1048576">
      <formula1>0</formula1>
      <formula2>9999999999</formula2>
    </dataValidation>
    <dataValidation type="list" allowBlank="1" showInputMessage="1" showErrorMessage="1" sqref="S3:S1048576">
      <formula1>SeamType</formula1>
    </dataValidation>
    <dataValidation type="decimal" allowBlank="1" showInputMessage="1" showErrorMessage="1" promptTitle="Station &gt; 0" sqref="A3:B1048576">
      <formula1>0</formula1>
      <formula2>9999999999999990</formula2>
    </dataValidation>
    <dataValidation type="whole" allowBlank="1" showInputMessage="1" showErrorMessage="1" errorTitle="Material Code" error="Must be 01-2345 format." promptTitle="01-2345 format" sqref="AT3:AT1048576">
      <formula1>0</formula1>
      <formula2>999999</formula2>
    </dataValidation>
    <dataValidation type="whole" allowBlank="1" showInputMessage="1" showErrorMessage="1" sqref="BZ3:BZ1048576">
      <formula1>35</formula1>
      <formula2>3000</formula2>
    </dataValidation>
    <dataValidation type="list" allowBlank="1" showInputMessage="1" showErrorMessage="1" sqref="CH2:CH1048576">
      <formula1>PercentXray</formula1>
    </dataValidation>
    <dataValidation type="list" errorStyle="information" allowBlank="1" promptTitle="Select or type your own" sqref="AS3:AS1048576">
      <formula1>Mfg</formula1>
    </dataValidation>
    <dataValidation type="decimal" allowBlank="1" showInputMessage="1" showErrorMessage="1" sqref="BS1:BS1048576">
      <formula1>0.5</formula1>
      <formula2>90</formula2>
    </dataValidation>
    <dataValidation type="list" allowBlank="1" showInputMessage="1" showErrorMessage="1" sqref="I3:I1048576">
      <formula1>INDIRECT(SUBSTITUTE(H3," ", ""))</formula1>
    </dataValidation>
    <dataValidation type="list" allowBlank="1" showInputMessage="1" showErrorMessage="1" sqref="T3:T1048576">
      <formula1>IF(H3="Sleeve",INDIRECT("SleeveSpec"),INDIRECT("PipeSpec"))</formula1>
    </dataValidation>
    <dataValidation type="list" allowBlank="1" showInputMessage="1" showErrorMessage="1" sqref="O3:O1048576">
      <formula1>IF(H3="Sleeve",INDIRECT("AnyOD2"),INDIRECT("OutsideDiameter"))</formula1>
    </dataValidation>
    <dataValidation type="list" allowBlank="1" showInputMessage="1" sqref="AA1:AA1048576">
      <formula1>INDIRECT(SUBSTITUTE(I1," ",""))</formula1>
    </dataValidation>
  </dataValidations>
  <hyperlinks>
    <hyperlink ref="BE9" r:id="rId1"/>
    <hyperlink ref="BE18" r:id="rId2"/>
    <hyperlink ref="BE19" r:id="rId3"/>
    <hyperlink ref="BE20" r:id="rId4"/>
    <hyperlink ref="BE21" r:id="rId5"/>
    <hyperlink ref="BE22" r:id="rId6"/>
    <hyperlink ref="BE23" r:id="rId7"/>
    <hyperlink ref="BE24" r:id="rId8"/>
    <hyperlink ref="BE28" r:id="rId9"/>
    <hyperlink ref="BE29" r:id="rId10"/>
    <hyperlink ref="BE30" r:id="rId11"/>
    <hyperlink ref="BE31" r:id="rId12"/>
    <hyperlink ref="BE32" r:id="rId13"/>
    <hyperlink ref="BE33" r:id="rId14"/>
    <hyperlink ref="BE34" r:id="rId15"/>
    <hyperlink ref="BE35" r:id="rId16"/>
    <hyperlink ref="BE36" r:id="rId17"/>
    <hyperlink ref="BE37" r:id="rId18"/>
    <hyperlink ref="BE38" r:id="rId19"/>
    <hyperlink ref="BE39" r:id="rId20"/>
    <hyperlink ref="BG3" r:id="rId21"/>
    <hyperlink ref="BG5" r:id="rId22"/>
    <hyperlink ref="BG6" r:id="rId23"/>
    <hyperlink ref="BG7" r:id="rId24"/>
    <hyperlink ref="BG8" r:id="rId25"/>
    <hyperlink ref="BG10" r:id="rId26"/>
    <hyperlink ref="BG11" r:id="rId27"/>
    <hyperlink ref="BG12" r:id="rId28"/>
    <hyperlink ref="BG14" r:id="rId29"/>
    <hyperlink ref="BG15" r:id="rId30"/>
    <hyperlink ref="BG16" r:id="rId31"/>
    <hyperlink ref="BG17" r:id="rId32"/>
    <hyperlink ref="BG18" r:id="rId33"/>
    <hyperlink ref="BG41" r:id="rId34"/>
    <hyperlink ref="BG42" r:id="rId35"/>
    <hyperlink ref="BI4" r:id="rId36"/>
    <hyperlink ref="BI18" r:id="rId37"/>
    <hyperlink ref="BI19" r:id="rId38"/>
    <hyperlink ref="BI31" r:id="rId39"/>
    <hyperlink ref="CA19" r:id="rId40"/>
    <hyperlink ref="CA20" r:id="rId41"/>
    <hyperlink ref="CA21" r:id="rId42"/>
    <hyperlink ref="CA22" r:id="rId43"/>
    <hyperlink ref="CA23" r:id="rId44"/>
    <hyperlink ref="CA24" r:id="rId45"/>
    <hyperlink ref="CA28" r:id="rId46"/>
    <hyperlink ref="CA29" r:id="rId47"/>
    <hyperlink ref="CA30" r:id="rId48"/>
    <hyperlink ref="CA31" r:id="rId49"/>
    <hyperlink ref="CA32" r:id="rId50"/>
    <hyperlink ref="CA33" r:id="rId51"/>
    <hyperlink ref="CA34" r:id="rId52"/>
    <hyperlink ref="CA35" r:id="rId53"/>
    <hyperlink ref="CA36" r:id="rId54"/>
    <hyperlink ref="CA37" r:id="rId55"/>
    <hyperlink ref="CA38" r:id="rId56"/>
    <hyperlink ref="CA39" r:id="rId57"/>
    <hyperlink ref="CA40" r:id="rId58"/>
    <hyperlink ref="CA41" r:id="rId59"/>
    <hyperlink ref="CA42" r:id="rId60"/>
    <hyperlink ref="CB19" r:id="rId61"/>
    <hyperlink ref="CB20" r:id="rId62"/>
    <hyperlink ref="CB21" r:id="rId63"/>
    <hyperlink ref="CB22" r:id="rId64"/>
    <hyperlink ref="CB23" r:id="rId65"/>
    <hyperlink ref="CB24" r:id="rId66"/>
    <hyperlink ref="CB25" r:id="rId67"/>
    <hyperlink ref="CB26" r:id="rId68"/>
    <hyperlink ref="CB27" r:id="rId69"/>
    <hyperlink ref="CB28" r:id="rId70"/>
    <hyperlink ref="CB29" r:id="rId71"/>
    <hyperlink ref="CB30" r:id="rId72"/>
    <hyperlink ref="CB31" r:id="rId73"/>
    <hyperlink ref="CB32" r:id="rId74"/>
    <hyperlink ref="CB33" r:id="rId75"/>
    <hyperlink ref="CB34" r:id="rId76"/>
    <hyperlink ref="CB35" r:id="rId77"/>
    <hyperlink ref="CB36" r:id="rId78"/>
    <hyperlink ref="CB37" r:id="rId79"/>
    <hyperlink ref="CB38" r:id="rId80"/>
    <hyperlink ref="CB39" r:id="rId81"/>
    <hyperlink ref="CB40" r:id="rId82"/>
    <hyperlink ref="CB41" r:id="rId83"/>
    <hyperlink ref="CB42" r:id="rId84"/>
    <hyperlink ref="CC19" r:id="rId85"/>
    <hyperlink ref="CC20" r:id="rId86"/>
    <hyperlink ref="CC21" r:id="rId87"/>
    <hyperlink ref="CC22" r:id="rId88"/>
    <hyperlink ref="CC23" r:id="rId89"/>
    <hyperlink ref="CC24" r:id="rId90"/>
    <hyperlink ref="CC25" r:id="rId91"/>
    <hyperlink ref="CC26" r:id="rId92"/>
    <hyperlink ref="CC27" r:id="rId93"/>
    <hyperlink ref="CC28" r:id="rId94"/>
    <hyperlink ref="CC29" r:id="rId95"/>
    <hyperlink ref="CC30" r:id="rId96"/>
    <hyperlink ref="CC31" r:id="rId97"/>
    <hyperlink ref="CC32" r:id="rId98"/>
    <hyperlink ref="CC33" r:id="rId99"/>
    <hyperlink ref="CC34" r:id="rId100"/>
    <hyperlink ref="CC35" r:id="rId101"/>
    <hyperlink ref="CC36" r:id="rId102"/>
    <hyperlink ref="CC37" r:id="rId103"/>
    <hyperlink ref="CC38" r:id="rId104"/>
    <hyperlink ref="CC39" r:id="rId105"/>
    <hyperlink ref="CC40" r:id="rId106"/>
    <hyperlink ref="CC41" r:id="rId107"/>
    <hyperlink ref="CC42" r:id="rId108"/>
    <hyperlink ref="CE19" r:id="rId109"/>
    <hyperlink ref="CE20" r:id="rId110"/>
    <hyperlink ref="CE21" r:id="rId111"/>
    <hyperlink ref="CE22" r:id="rId112"/>
    <hyperlink ref="CE23" r:id="rId113"/>
    <hyperlink ref="CE24" r:id="rId114"/>
    <hyperlink ref="CE28" r:id="rId115"/>
    <hyperlink ref="CE29" r:id="rId116"/>
    <hyperlink ref="CE30" r:id="rId117"/>
    <hyperlink ref="CE31" r:id="rId118"/>
    <hyperlink ref="CE32" r:id="rId119"/>
    <hyperlink ref="CE33" r:id="rId120"/>
    <hyperlink ref="CE34" r:id="rId121"/>
    <hyperlink ref="CE35" r:id="rId122"/>
    <hyperlink ref="CE36" r:id="rId123"/>
    <hyperlink ref="CE37" r:id="rId124"/>
    <hyperlink ref="CE38" r:id="rId125"/>
    <hyperlink ref="CE39" r:id="rId126"/>
    <hyperlink ref="CE40" r:id="rId127"/>
    <hyperlink ref="CE41" r:id="rId128"/>
    <hyperlink ref="CE42" r:id="rId129"/>
    <hyperlink ref="CM9" r:id="rId130"/>
    <hyperlink ref="CM19" r:id="rId131"/>
    <hyperlink ref="CM20" r:id="rId132"/>
    <hyperlink ref="CM21" r:id="rId133"/>
    <hyperlink ref="CM22" r:id="rId134"/>
    <hyperlink ref="CM23" r:id="rId135"/>
    <hyperlink ref="CM24" r:id="rId136"/>
    <hyperlink ref="CM28" r:id="rId137"/>
    <hyperlink ref="CM29" r:id="rId138"/>
    <hyperlink ref="CM30" r:id="rId139"/>
    <hyperlink ref="CM31" r:id="rId140"/>
    <hyperlink ref="CM32" r:id="rId141"/>
    <hyperlink ref="CM33" r:id="rId142"/>
    <hyperlink ref="CM34" r:id="rId143"/>
    <hyperlink ref="CM35" r:id="rId144"/>
    <hyperlink ref="CM36" r:id="rId145"/>
    <hyperlink ref="CM37" r:id="rId146"/>
    <hyperlink ref="CM38" r:id="rId147"/>
    <hyperlink ref="CM39" r:id="rId148"/>
    <hyperlink ref="CM40" r:id="rId149"/>
    <hyperlink ref="CM41" r:id="rId150"/>
    <hyperlink ref="CM42" r:id="rId151"/>
  </hyperlinks>
  <printOptions horizontalCentered="1" gridLines="1"/>
  <pageMargins left="0.25" right="0.25" top="0.5" bottom="0.5" header="0.25" footer="0.25"/>
  <pageSetup paperSize="3" fitToWidth="7" fitToHeight="0" pageOrder="overThenDown" orientation="landscape" cellComments="asDisplayed" r:id="rId152"/>
  <headerFooter alignWithMargins="0">
    <oddHeader>&amp;C&amp;"Arial,Bold"PIPELINE FEATURES LIST&amp;"Arial,Regular" (v22)</oddHeader>
    <oddFooter>&amp;C&amp;F&amp;RPage &amp;P of &amp;N</oddFooter>
  </headerFooter>
  <drawing r:id="rId153"/>
  <legacyDrawing r:id="rId154"/>
  <mc:AlternateContent xmlns:mc="http://schemas.openxmlformats.org/markup-compatibility/2006">
    <mc:Choice Requires="x14">
      <controls>
        <mc:AlternateContent xmlns:mc="http://schemas.openxmlformats.org/markup-compatibility/2006">
          <mc:Choice Requires="x14">
            <control shapeId="5403" r:id="rId155" name="Button 1307">
              <controlPr defaultSize="0" print="0" autoFill="0" autoPict="0" macro="[0]!Sheet1.SingleSelect_PFL">
                <anchor moveWithCells="1">
                  <from>
                    <xdr:col>104</xdr:col>
                    <xdr:colOff>28575</xdr:colOff>
                    <xdr:row>0</xdr:row>
                    <xdr:rowOff>19050</xdr:rowOff>
                  </from>
                  <to>
                    <xdr:col>105</xdr:col>
                    <xdr:colOff>285750</xdr:colOff>
                    <xdr:row>0</xdr:row>
                    <xdr:rowOff>180975</xdr:rowOff>
                  </to>
                </anchor>
              </controlPr>
            </control>
          </mc:Choice>
        </mc:AlternateContent>
        <mc:AlternateContent xmlns:mc="http://schemas.openxmlformats.org/markup-compatibility/2006">
          <mc:Choice Requires="x14">
            <control shapeId="5404" r:id="rId156" name="Button 1308">
              <controlPr defaultSize="0" print="0" autoFill="0" autoPict="0" macro="[0]!Sheet1.ClearSuggestions">
                <anchor moveWithCells="1" sizeWithCells="1">
                  <from>
                    <xdr:col>105</xdr:col>
                    <xdr:colOff>304800</xdr:colOff>
                    <xdr:row>0</xdr:row>
                    <xdr:rowOff>19050</xdr:rowOff>
                  </from>
                  <to>
                    <xdr:col>106</xdr:col>
                    <xdr:colOff>304800</xdr:colOff>
                    <xdr:row>0</xdr:row>
                    <xdr:rowOff>180975</xdr:rowOff>
                  </to>
                </anchor>
              </controlPr>
            </control>
          </mc:Choice>
        </mc:AlternateContent>
        <mc:AlternateContent xmlns:mc="http://schemas.openxmlformats.org/markup-compatibility/2006">
          <mc:Choice Requires="x14">
            <control shapeId="5405" r:id="rId157" name="Button 1309">
              <controlPr defaultSize="0" print="0" autoFill="0" autoPict="0" macro="[0]!Sheet1.Automation_PFL">
                <anchor moveWithCells="1" sizeWithCells="1">
                  <from>
                    <xdr:col>103</xdr:col>
                    <xdr:colOff>0</xdr:colOff>
                    <xdr:row>0</xdr:row>
                    <xdr:rowOff>19050</xdr:rowOff>
                  </from>
                  <to>
                    <xdr:col>104</xdr:col>
                    <xdr:colOff>0</xdr:colOff>
                    <xdr:row>0</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2:AC49"/>
  <sheetViews>
    <sheetView view="pageLayout" zoomScale="115" zoomScaleNormal="100" zoomScalePageLayoutView="115" workbookViewId="0"/>
  </sheetViews>
  <sheetFormatPr defaultColWidth="6.85546875" defaultRowHeight="12.75" x14ac:dyDescent="0.2"/>
  <cols>
    <col min="1" max="1" width="8.85546875" style="586" customWidth="1"/>
    <col min="2" max="4" width="10.28515625" style="586" customWidth="1"/>
    <col min="5" max="5" width="9.140625" style="586" customWidth="1"/>
    <col min="6" max="6" width="8.140625" style="586" customWidth="1"/>
    <col min="7" max="7" width="7.28515625" style="586" customWidth="1"/>
    <col min="8" max="8" width="1.85546875" style="586" customWidth="1"/>
    <col min="9" max="9" width="7" style="586" customWidth="1"/>
    <col min="10" max="10" width="1.85546875" style="586" customWidth="1"/>
    <col min="11" max="11" width="7.7109375" style="586" customWidth="1"/>
    <col min="12" max="12" width="1.85546875" style="586" customWidth="1"/>
    <col min="13" max="13" width="8.85546875" style="586" customWidth="1"/>
    <col min="14" max="14" width="1.85546875" style="586" customWidth="1"/>
    <col min="15" max="15" width="18.85546875" style="586" customWidth="1"/>
    <col min="16" max="16" width="1.85546875" style="586" customWidth="1"/>
    <col min="17" max="17" width="8.85546875" style="586" customWidth="1"/>
    <col min="18" max="18" width="7.140625" style="586" bestFit="1" customWidth="1"/>
    <col min="19" max="19" width="1.85546875" style="586" customWidth="1"/>
    <col min="20" max="22" width="8.85546875" style="586" customWidth="1"/>
    <col min="23" max="23" width="4.42578125" style="586" customWidth="1"/>
    <col min="24" max="24" width="1.85546875" style="586" customWidth="1"/>
    <col min="25" max="25" width="6.28515625" style="586" customWidth="1"/>
    <col min="26" max="26" width="7.7109375" style="586" customWidth="1"/>
    <col min="27" max="27" width="8.85546875" style="586" customWidth="1"/>
    <col min="28" max="28" width="9.85546875" style="602" bestFit="1" customWidth="1"/>
    <col min="29" max="29" width="9.28515625" style="602" customWidth="1"/>
    <col min="30" max="16384" width="6.85546875" style="586"/>
  </cols>
  <sheetData>
    <row r="2" spans="1:29" ht="15.75" x14ac:dyDescent="0.25">
      <c r="B2" s="713" t="s">
        <v>1903</v>
      </c>
      <c r="O2" s="714" t="s">
        <v>1904</v>
      </c>
    </row>
    <row r="3" spans="1:29" x14ac:dyDescent="0.2">
      <c r="O3" s="714" t="s">
        <v>1905</v>
      </c>
    </row>
    <row r="7" spans="1:29" x14ac:dyDescent="0.2">
      <c r="B7" s="874" t="s">
        <v>1906</v>
      </c>
      <c r="C7" s="874"/>
      <c r="D7" s="588" t="s">
        <v>2082</v>
      </c>
      <c r="AB7" s="714" t="s">
        <v>1907</v>
      </c>
      <c r="AC7" s="715">
        <v>41340</v>
      </c>
    </row>
    <row r="9" spans="1:29" ht="34.5" thickBot="1" x14ac:dyDescent="0.25">
      <c r="A9" s="716" t="s">
        <v>1908</v>
      </c>
      <c r="B9" s="716" t="s">
        <v>1909</v>
      </c>
      <c r="C9" s="716" t="s">
        <v>1910</v>
      </c>
      <c r="D9" s="716" t="s">
        <v>1911</v>
      </c>
      <c r="E9" s="716" t="s">
        <v>1755</v>
      </c>
      <c r="F9" s="716" t="s">
        <v>1123</v>
      </c>
      <c r="G9" s="873" t="s">
        <v>1912</v>
      </c>
      <c r="H9" s="873"/>
      <c r="I9" s="873" t="s">
        <v>1913</v>
      </c>
      <c r="J9" s="873"/>
      <c r="K9" s="873" t="s">
        <v>751</v>
      </c>
      <c r="L9" s="873"/>
      <c r="M9" s="873" t="s">
        <v>1770</v>
      </c>
      <c r="N9" s="873"/>
      <c r="O9" s="873" t="s">
        <v>155</v>
      </c>
      <c r="P9" s="873"/>
      <c r="Q9" s="716" t="s">
        <v>1914</v>
      </c>
      <c r="R9" s="873" t="s">
        <v>1915</v>
      </c>
      <c r="S9" s="873"/>
      <c r="T9" s="716" t="s">
        <v>742</v>
      </c>
      <c r="U9" s="716" t="s">
        <v>1916</v>
      </c>
      <c r="V9" s="716" t="s">
        <v>1917</v>
      </c>
      <c r="W9" s="873" t="s">
        <v>1918</v>
      </c>
      <c r="X9" s="873"/>
      <c r="Y9" s="716" t="s">
        <v>1919</v>
      </c>
      <c r="Z9" s="716" t="s">
        <v>1920</v>
      </c>
      <c r="AA9" s="716" t="s">
        <v>1921</v>
      </c>
      <c r="AB9" s="716" t="s">
        <v>1922</v>
      </c>
      <c r="AC9" s="716" t="s">
        <v>1923</v>
      </c>
    </row>
    <row r="10" spans="1:29" ht="14.25" x14ac:dyDescent="0.2">
      <c r="A10" s="717">
        <f>'Pipe Data'!G3</f>
        <v>1</v>
      </c>
      <c r="B10" s="718" t="str">
        <f>IF('Pipe Data'!L3&gt;0,'Pipe Data'!L3,"")</f>
        <v/>
      </c>
      <c r="C10" s="719">
        <f>'Pipe Data'!A3</f>
        <v>0</v>
      </c>
      <c r="D10" s="719">
        <f>'Pipe Data'!B3</f>
        <v>0</v>
      </c>
      <c r="E10" s="720" t="str">
        <f>'Pipe Data'!CX3</f>
        <v>Flange</v>
      </c>
      <c r="F10" s="714">
        <f>IF(OR('Pipe Data'!DZ3="",'Pipe Data'!DZ3="unknown",'Pipe Data'!DZ3="Unknown"),"Unknown",YEAR('Pipe Data'!DZ3))</f>
        <v>1982</v>
      </c>
      <c r="G10" s="721">
        <f ca="1">IF('Pipe Data'!DI3="ERROR","ERROR",IF(OR('Pipe Data'!DW3=1,'Pipe Data'!DY3&lt;&gt;"N/A"),'Pipe Data'!DH3,'Pipe Data'!DI3))</f>
        <v>8.625</v>
      </c>
      <c r="H10" s="722" t="str">
        <f>IF('Pipe Data'!DJ3&gt;0,'Pipe Data'!DJ3,"")</f>
        <v/>
      </c>
      <c r="I10" s="723" t="str">
        <f ca="1">IF('Pipe Data'!DW3=1,'Pipe Data'!DC3,'Pipe Data'!DE3)</f>
        <v>N/A</v>
      </c>
      <c r="J10" s="722" t="str">
        <f>IF('Pipe Data'!DG3&gt;0,'Pipe Data'!DG3,"")</f>
        <v/>
      </c>
      <c r="K10" s="720" t="str">
        <f>IF('Pipe Data'!CZ3=0,"N/A",'Pipe Data'!CZ3)</f>
        <v>N/A</v>
      </c>
      <c r="L10" s="722" t="str">
        <f>IF('Pipe Data'!DB3&gt;0,'Pipe Data'!DB3,"")</f>
        <v/>
      </c>
      <c r="M10" s="720" t="str">
        <f>IF(OR('Pipe Data'!DO3="Unknown",'Pipe Data'!DO3="N/A"),"N/A",'Pipe Data'!DO3)</f>
        <v>ANSI 300 #</v>
      </c>
      <c r="N10" s="722" t="str">
        <f>IF('Pipe Data'!DP3&gt;0,'Pipe Data'!DP3,"")</f>
        <v/>
      </c>
      <c r="O10" s="724" t="str">
        <f>'Pipe Data'!DK3</f>
        <v>N/A</v>
      </c>
      <c r="P10" s="722" t="str">
        <f>IF('Pipe Data'!DN3&gt;0,'Pipe Data'!DN3,"")</f>
        <v/>
      </c>
      <c r="Q10" s="725" t="str">
        <f>IF('Pipe Data'!CX3="Cap","N/A",'Pipe Data'!DM3)</f>
        <v>N/A</v>
      </c>
      <c r="R10" s="720">
        <f ca="1">IF('Pipe Data'!EJ3&lt;&gt;"N/A",'Pipe Data'!EJ3,IF('Pipe Data'!DY3&lt;&gt;"N/A",'Pipe Data'!DY3,'Pipe Data'!DX3))</f>
        <v>720</v>
      </c>
      <c r="S10" s="726" t="str">
        <f ca="1">IF(R10='Pipe Data'!EJ3,"A","")</f>
        <v/>
      </c>
      <c r="T10" s="720" t="str">
        <f>IF('Pipe Data'!EC3="N/A","N/A",'Pipe Data'!EC3)</f>
        <v>N/A</v>
      </c>
      <c r="U10" s="714" t="str">
        <f>IF('Pipe Data'!EA3="N/A","N/A",YEAR('Pipe Data'!EA3))</f>
        <v>N/A</v>
      </c>
      <c r="V10" s="720" t="str">
        <f ca="1">IF(R10='Pipe Data'!EJ3,"N/A",'Pipe Data'!EH3)</f>
        <v>N/A</v>
      </c>
      <c r="W10" s="720">
        <f>'Pipe Data'!EK3</f>
        <v>204</v>
      </c>
      <c r="X10" s="722" t="str">
        <f>IF(OR('Pipe Data'!EL3="y",'Pipe Data'!EL3="yes",'Pipe Data'!EL3="Y",'Pipe Data'!EL3="Yes"),"B","")</f>
        <v/>
      </c>
      <c r="Y10" s="720" t="str">
        <f>'Pipe Data'!DS3</f>
        <v>3 in Station</v>
      </c>
      <c r="Z10" s="727" t="str">
        <f ca="1">IF('Pipe Data'!DW3=1,'Pipe Data'!EM3,'Pipe Data'!EN3)</f>
        <v>N/A</v>
      </c>
      <c r="AA10" s="714" t="str">
        <f ca="1">IF(AND(M10&lt;&gt;"N/A",R10&gt;=W10),"Y",IF(AND(Y10="1 in Station",'Pipe Data'!DQ3=1,Z10&lt;=0.72),"Y",IF(AND(Y10="1 in Station",'Pipe Data'!DZ3&gt;=DATE(1961,7,1),Z10&gt;0.5),"N",IF(AND(OR(AND(Y10="1 in Public Road Crossing",'Pipe Data'!DQ3=1),AND(Y10="1 in Hard Road Parallel",'Pipe Data'!DQ3=1)),'Pipe Data'!DZ3&gt;=DATE(1961,7,1),'Pipe Data'!I3&lt;&gt;"Casing",Z10&lt;=0.72),"Y",IF(AND(AND(Y10="2 in Hard Road Crossing",OR('Pipe Data'!DQ3="1",'Pipe Data'!DQ3="1 in Public Road Crossing",'Pipe Data'!DQ3=2)),'Pipe Data'!DZ3&gt;=DATE(1961,7,1),'Pipe Data'!I3&lt;&gt;"Casing",Z10&lt;=0.6),"Y",IF(AND(OR(Y10="1 in Public Road Crossing",Y10="1 in Hard Road Parallel"),'Pipe Data'!DZ3&gt;=DATE(1961,7,1),'Pipe Data'!I3&lt;&gt;"Casing",Z10&gt;0.6),"N",IF(AND(Y10="1 on Bridge",'Pipe Data'!DZ3&gt;=DATE(1961,7,1),Z10&gt;0.6),"N",IF(AND(OR(Y10=1,Y10="1 in Station",Y10="1 in Public Road Crossing",Y10="1 in Hard Road Parallel",Y10="1 on Bridge"),Z10&lt;=0.72),"Y",IF(AND(Y10="2 in Station",'Pipe Data'!DQ3=2,Z10&lt;=0.6),"Y",IF(AND(Y10="2 in Station",'Pipe Data'!DZ3&gt;=DATE(1961,7,1),Z10&gt;0.5),"N",IF(AND(Y10="2 in Hard Road Crossing",'Pipe Data'!DZ3&gt;=DATE(1961,7,1),'Pipe Data'!I3&lt;&gt;"Casing",Z10&gt;0.5),"N",IF(OR(AND(OR(Y10=2,Y10="2 in Station",Y10="2 in Hard Road Crossing"),Z10&lt;=0.6),AND(OR(Y10=2,Y10="2 in Station",Y10="2 in Hard Road Crossing"),'Pipe Data'!EJ3&lt;&gt;"N/A",Z10&lt;=0.72)),"Y",IF(OR(AND(OR(Y10=3,Y10="3 in Station",Y10="3 in Hard Road Crossing"),Z10&lt;=0.5),AND(OR(Y10=3,Y10="3 in Station",Y10="3 in Hard Road Crossing"),'Pipe Data'!EJ3&lt;&gt;"N/A",Z10&lt;=0.6)),"Y",IF(OR(AND(Y10=4,Z10&lt;=0.4),AND(Y10=4,'Pipe Data'!EJ3&lt;&gt;"N/A",Z10&lt;=0.5)),"Y","N"))))))))))))))</f>
        <v>Y</v>
      </c>
      <c r="AB10" s="714" t="str">
        <f ca="1">IF(AND(R10='Pipe Data'!EJ3,R10&gt;=W10),"R",IF(AND(R10='Pipe Data'!EJ3,R10&lt;W10),"D",IF(AND(M10&lt;&gt;"N/A",R10&gt;=W10),"R",IF(AND(M10&lt;&gt;"N/A",R10&lt;W10),"D",IF(AND(V10="N/A",W10&lt;=R10),"R",IF(AND(V10="N/A",W10&gt;R10),"D",IF(AND(V10&gt;=W10,R10&gt;=W10),"R",IF(AND(V10&gt;=W10,R10&lt;W10),"D",IF(AND(V10&lt;W10,R10&gt;=W10),"T",IF(AND(V10&lt;W10,R10&lt;W10),IF(V10=R10,"D",IF(MIN(V10,R10)=V10,"T","D")),"R"))))))))))</f>
        <v>R</v>
      </c>
      <c r="AC10" s="714">
        <f ca="1">IF(AND(R10='Pipe Data'!EJ3,R10&gt;=W10),W10,IF(AND(R10='Pipe Data'!EJ3,R10&lt;W10),R10,IF(AND(M10&lt;&gt;"N/A",R10&gt;=W10),W10,IF(AND(M10&lt;&gt;"N/A",R10&lt;W10),R10,IF(AND(V10="N/A",W10&lt;=R10),W10,IF(AND(V10="N/A",W10&gt;R10),R10,IF(AND(V10&gt;=W10,R10&gt;=W10),W10,IF(AND(V10&gt;=W10,R10&lt;W10),R10,IF(AND(V10&lt;W10,R10&gt;=W10),V10,IF(AND(V10&lt;W10,R10&lt;W10),IF(V10=R10,R10,MIN(V10,R10)),W10))))))))))</f>
        <v>204</v>
      </c>
    </row>
    <row r="11" spans="1:29" ht="14.25" x14ac:dyDescent="0.2">
      <c r="A11" s="717">
        <f>'Pipe Data'!G4</f>
        <v>2</v>
      </c>
      <c r="B11" s="718" t="str">
        <f>IF('Pipe Data'!L4&gt;0,'Pipe Data'!L4,"")</f>
        <v/>
      </c>
      <c r="C11" s="719">
        <f>'Pipe Data'!A4</f>
        <v>0</v>
      </c>
      <c r="D11" s="719">
        <f>'Pipe Data'!B4</f>
        <v>0</v>
      </c>
      <c r="E11" s="720" t="str">
        <f>'Pipe Data'!CX4</f>
        <v>Valve</v>
      </c>
      <c r="F11" s="714">
        <f>IF(OR('Pipe Data'!DZ4="",'Pipe Data'!DZ4="unknown",'Pipe Data'!DZ4="Unknown"),"Unknown",YEAR('Pipe Data'!DZ4))</f>
        <v>1982</v>
      </c>
      <c r="G11" s="721">
        <f ca="1">IF('Pipe Data'!DI4="ERROR","ERROR",IF(OR('Pipe Data'!DW4=1,'Pipe Data'!DY4&lt;&gt;"N/A"),'Pipe Data'!DH4,'Pipe Data'!DI4))</f>
        <v>8.625</v>
      </c>
      <c r="H11" s="722" t="str">
        <f>IF('Pipe Data'!DJ4&gt;0,'Pipe Data'!DJ4,"")</f>
        <v/>
      </c>
      <c r="I11" s="723" t="str">
        <f ca="1">IF('Pipe Data'!DW4=1,'Pipe Data'!DC4,'Pipe Data'!DE4)</f>
        <v>N/A</v>
      </c>
      <c r="J11" s="722" t="str">
        <f>IF('Pipe Data'!DG4&gt;0,'Pipe Data'!DG4,"")</f>
        <v/>
      </c>
      <c r="K11" s="720" t="str">
        <f>IF('Pipe Data'!CZ4=0,"N/A",'Pipe Data'!CZ4)</f>
        <v>N/A</v>
      </c>
      <c r="L11" s="722" t="str">
        <f>IF('Pipe Data'!DB4&gt;0,'Pipe Data'!DB4,"")</f>
        <v/>
      </c>
      <c r="M11" s="720" t="str">
        <f>IF(OR('Pipe Data'!DO4="Unknown",'Pipe Data'!DO4="N/A"),"N/A",'Pipe Data'!DO4)</f>
        <v>ANSI 300 #</v>
      </c>
      <c r="N11" s="722" t="str">
        <f>IF('Pipe Data'!DP4&gt;0,'Pipe Data'!DP4,"")</f>
        <v/>
      </c>
      <c r="O11" s="724" t="str">
        <f>'Pipe Data'!DK4</f>
        <v>N/A</v>
      </c>
      <c r="P11" s="722" t="str">
        <f>IF('Pipe Data'!DN4&gt;0,'Pipe Data'!DN4,"")</f>
        <v/>
      </c>
      <c r="Q11" s="725" t="str">
        <f>IF('Pipe Data'!CX4="Cap","N/A",'Pipe Data'!DM4)</f>
        <v>N/A</v>
      </c>
      <c r="R11" s="720">
        <f ca="1">IF('Pipe Data'!EJ4&lt;&gt;"N/A",'Pipe Data'!EJ4,IF('Pipe Data'!DY4&lt;&gt;"N/A",'Pipe Data'!DY4,'Pipe Data'!DX4))</f>
        <v>720</v>
      </c>
      <c r="S11" s="726" t="str">
        <f ca="1">IF(R11='Pipe Data'!EJ4,"A","")</f>
        <v/>
      </c>
      <c r="T11" s="720" t="str">
        <f>IF('Pipe Data'!EC4="N/A","N/A",'Pipe Data'!EC4)</f>
        <v>N/A</v>
      </c>
      <c r="U11" s="714" t="str">
        <f>IF('Pipe Data'!EA4="N/A","N/A",YEAR('Pipe Data'!EA4))</f>
        <v>N/A</v>
      </c>
      <c r="V11" s="720" t="str">
        <f ca="1">IF(R11='Pipe Data'!EJ4,"N/A",'Pipe Data'!EH4)</f>
        <v>N/A</v>
      </c>
      <c r="W11" s="720">
        <f>'Pipe Data'!EK4</f>
        <v>204</v>
      </c>
      <c r="X11" s="722" t="str">
        <f>IF(OR('Pipe Data'!EL4="y",'Pipe Data'!EL4="yes",'Pipe Data'!EL4="Y",'Pipe Data'!EL4="Yes"),"B","")</f>
        <v/>
      </c>
      <c r="Y11" s="720" t="str">
        <f>'Pipe Data'!DS4</f>
        <v>3 in Station</v>
      </c>
      <c r="Z11" s="727" t="str">
        <f ca="1">IF('Pipe Data'!DW4=1,'Pipe Data'!EM4,'Pipe Data'!EN4)</f>
        <v>N/A</v>
      </c>
      <c r="AA11" s="714" t="str">
        <f ca="1">IF(AND(M11&lt;&gt;"N/A",R11&gt;=W11),"Y",IF(AND(Y11="1 in Station",'Pipe Data'!DQ4=1,Z11&lt;=0.72),"Y",IF(AND(Y11="1 in Station",'Pipe Data'!DZ4&gt;=DATE(1961,7,1),Z11&gt;0.5),"N",IF(AND(OR(AND(Y11="1 in Public Road Crossing",'Pipe Data'!DQ4=1),AND(Y11="1 in Hard Road Parallel",'Pipe Data'!DQ4=1)),'Pipe Data'!DZ4&gt;=DATE(1961,7,1),'Pipe Data'!I4&lt;&gt;"Casing",Z11&lt;=0.72),"Y",IF(AND(AND(Y11="2 in Hard Road Crossing",OR('Pipe Data'!DQ4="1",'Pipe Data'!DQ4="1 in Public Road Crossing",'Pipe Data'!DQ4=2)),'Pipe Data'!DZ4&gt;=DATE(1961,7,1),'Pipe Data'!I4&lt;&gt;"Casing",Z11&lt;=0.6),"Y",IF(AND(OR(Y11="1 in Public Road Crossing",Y11="1 in Hard Road Parallel"),'Pipe Data'!DZ4&gt;=DATE(1961,7,1),'Pipe Data'!I4&lt;&gt;"Casing",Z11&gt;0.6),"N",IF(AND(Y11="1 on Bridge",'Pipe Data'!DZ4&gt;=DATE(1961,7,1),Z11&gt;0.6),"N",IF(AND(OR(Y11=1,Y11="1 in Station",Y11="1 in Public Road Crossing",Y11="1 in Hard Road Parallel",Y11="1 on Bridge"),Z11&lt;=0.72),"Y",IF(AND(Y11="2 in Station",'Pipe Data'!DQ4=2,Z11&lt;=0.6),"Y",IF(AND(Y11="2 in Station",'Pipe Data'!DZ4&gt;=DATE(1961,7,1),Z11&gt;0.5),"N",IF(AND(Y11="2 in Hard Road Crossing",'Pipe Data'!DZ4&gt;=DATE(1961,7,1),'Pipe Data'!I4&lt;&gt;"Casing",Z11&gt;0.5),"N",IF(OR(AND(OR(Y11=2,Y11="2 in Station",Y11="2 in Hard Road Crossing"),Z11&lt;=0.6),AND(OR(Y11=2,Y11="2 in Station",Y11="2 in Hard Road Crossing"),'Pipe Data'!EJ4&lt;&gt;"N/A",Z11&lt;=0.72)),"Y",IF(OR(AND(OR(Y11=3,Y11="3 in Station",Y11="3 in Hard Road Crossing"),Z11&lt;=0.5),AND(OR(Y11=3,Y11="3 in Station",Y11="3 in Hard Road Crossing"),'Pipe Data'!EJ4&lt;&gt;"N/A",Z11&lt;=0.6)),"Y",IF(OR(AND(Y11=4,Z11&lt;=0.4),AND(Y11=4,'Pipe Data'!EJ4&lt;&gt;"N/A",Z11&lt;=0.5)),"Y","N"))))))))))))))</f>
        <v>Y</v>
      </c>
      <c r="AB11" s="714" t="str">
        <f ca="1">IF(AND(R11='Pipe Data'!EJ4,R11&gt;=W11),"R",IF(AND(R11='Pipe Data'!EJ4,R11&lt;W11),"D",IF(AND(M11&lt;&gt;"N/A",R11&gt;=W11),"R",IF(AND(M11&lt;&gt;"N/A",R11&lt;W11),"D",IF(AND(V11="N/A",W11&lt;=R11),"R",IF(AND(V11="N/A",W11&gt;R11),"D",IF(AND(V11&gt;=W11,R11&gt;=W11),"R",IF(AND(V11&gt;=W11,R11&lt;W11),"D",IF(AND(V11&lt;W11,R11&gt;=W11),"T",IF(AND(V11&lt;W11,R11&lt;W11),IF(V11=R11,"D",IF(MIN(V11,R11)=V11,"T","D")),"R"))))))))))</f>
        <v>R</v>
      </c>
      <c r="AC11" s="714">
        <f ca="1">IF(AND(R11='Pipe Data'!EJ4,R11&gt;=W11),W11,IF(AND(R11='Pipe Data'!EJ4,R11&lt;W11),R11,IF(AND(M11&lt;&gt;"N/A",R11&gt;=W11),W11,IF(AND(M11&lt;&gt;"N/A",R11&lt;W11),R11,IF(AND(V11="N/A",W11&lt;=R11),W11,IF(AND(V11="N/A",W11&gt;R11),R11,IF(AND(V11&gt;=W11,R11&gt;=W11),W11,IF(AND(V11&gt;=W11,R11&lt;W11),R11,IF(AND(V11&lt;W11,R11&gt;=W11),V11,IF(AND(V11&lt;W11,R11&lt;W11),IF(V11=R11,R11,MIN(V11,R11)),W11))))))))))</f>
        <v>204</v>
      </c>
    </row>
    <row r="12" spans="1:29" ht="14.25" x14ac:dyDescent="0.2">
      <c r="A12" s="717">
        <f>'Pipe Data'!G5</f>
        <v>3</v>
      </c>
      <c r="B12" s="718" t="str">
        <f>IF('Pipe Data'!L5&gt;0,'Pipe Data'!L5,"")</f>
        <v/>
      </c>
      <c r="C12" s="719">
        <f>'Pipe Data'!A5</f>
        <v>0</v>
      </c>
      <c r="D12" s="719">
        <f>'Pipe Data'!B5</f>
        <v>0</v>
      </c>
      <c r="E12" s="720" t="str">
        <f>'Pipe Data'!CX5</f>
        <v>Flange</v>
      </c>
      <c r="F12" s="714">
        <f>IF(OR('Pipe Data'!DZ5="",'Pipe Data'!DZ5="unknown",'Pipe Data'!DZ5="Unknown"),"Unknown",YEAR('Pipe Data'!DZ5))</f>
        <v>1982</v>
      </c>
      <c r="G12" s="721">
        <f ca="1">IF('Pipe Data'!DI5="ERROR","ERROR",IF(OR('Pipe Data'!DW5=1,'Pipe Data'!DY5&lt;&gt;"N/A"),'Pipe Data'!DH5,'Pipe Data'!DI5))</f>
        <v>8.625</v>
      </c>
      <c r="H12" s="722" t="str">
        <f>IF('Pipe Data'!DJ5&gt;0,'Pipe Data'!DJ5,"")</f>
        <v/>
      </c>
      <c r="I12" s="723" t="str">
        <f ca="1">IF('Pipe Data'!DW5=1,'Pipe Data'!DC5,'Pipe Data'!DE5)</f>
        <v>N/A</v>
      </c>
      <c r="J12" s="722" t="str">
        <f>IF('Pipe Data'!DG5&gt;0,'Pipe Data'!DG5,"")</f>
        <v/>
      </c>
      <c r="K12" s="720" t="str">
        <f>IF('Pipe Data'!CZ5=0,"N/A",'Pipe Data'!CZ5)</f>
        <v>N/A</v>
      </c>
      <c r="L12" s="722" t="str">
        <f>IF('Pipe Data'!DB5&gt;0,'Pipe Data'!DB5,"")</f>
        <v/>
      </c>
      <c r="M12" s="720" t="str">
        <f>IF(OR('Pipe Data'!DO5="Unknown",'Pipe Data'!DO5="N/A"),"N/A",'Pipe Data'!DO5)</f>
        <v>ANSI 300 #</v>
      </c>
      <c r="N12" s="722" t="str">
        <f>IF('Pipe Data'!DP5&gt;0,'Pipe Data'!DP5,"")</f>
        <v/>
      </c>
      <c r="O12" s="724" t="str">
        <f>'Pipe Data'!DK5</f>
        <v>N/A</v>
      </c>
      <c r="P12" s="722" t="str">
        <f>IF('Pipe Data'!DN5&gt;0,'Pipe Data'!DN5,"")</f>
        <v/>
      </c>
      <c r="Q12" s="725" t="str">
        <f>IF('Pipe Data'!CX5="Cap","N/A",'Pipe Data'!DM5)</f>
        <v>N/A</v>
      </c>
      <c r="R12" s="720">
        <f ca="1">IF('Pipe Data'!EJ5&lt;&gt;"N/A",'Pipe Data'!EJ5,IF('Pipe Data'!DY5&lt;&gt;"N/A",'Pipe Data'!DY5,'Pipe Data'!DX5))</f>
        <v>720</v>
      </c>
      <c r="S12" s="726" t="str">
        <f ca="1">IF(R12='Pipe Data'!EJ5,"A","")</f>
        <v/>
      </c>
      <c r="T12" s="720" t="str">
        <f>IF('Pipe Data'!EC5="N/A","N/A",'Pipe Data'!EC5)</f>
        <v>N/A</v>
      </c>
      <c r="U12" s="714" t="str">
        <f>IF('Pipe Data'!EA5="N/A","N/A",YEAR('Pipe Data'!EA5))</f>
        <v>N/A</v>
      </c>
      <c r="V12" s="720" t="str">
        <f ca="1">IF(R12='Pipe Data'!EJ5,"N/A",'Pipe Data'!EH5)</f>
        <v>N/A</v>
      </c>
      <c r="W12" s="720">
        <f>'Pipe Data'!EK5</f>
        <v>204</v>
      </c>
      <c r="X12" s="722" t="str">
        <f>IF(OR('Pipe Data'!EL5="y",'Pipe Data'!EL5="yes",'Pipe Data'!EL5="Y",'Pipe Data'!EL5="Yes"),"B","")</f>
        <v/>
      </c>
      <c r="Y12" s="720" t="str">
        <f>'Pipe Data'!DS5</f>
        <v>3 in Station</v>
      </c>
      <c r="Z12" s="727" t="str">
        <f ca="1">IF('Pipe Data'!DW5=1,'Pipe Data'!EM5,'Pipe Data'!EN5)</f>
        <v>N/A</v>
      </c>
      <c r="AA12" s="714" t="str">
        <f ca="1">IF(AND(M12&lt;&gt;"N/A",R12&gt;=W12),"Y",IF(AND(Y12="1 in Station",'Pipe Data'!DQ5=1,Z12&lt;=0.72),"Y",IF(AND(Y12="1 in Station",'Pipe Data'!DZ5&gt;=DATE(1961,7,1),Z12&gt;0.5),"N",IF(AND(OR(AND(Y12="1 in Public Road Crossing",'Pipe Data'!DQ5=1),AND(Y12="1 in Hard Road Parallel",'Pipe Data'!DQ5=1)),'Pipe Data'!DZ5&gt;=DATE(1961,7,1),'Pipe Data'!I5&lt;&gt;"Casing",Z12&lt;=0.72),"Y",IF(AND(AND(Y12="2 in Hard Road Crossing",OR('Pipe Data'!DQ5="1",'Pipe Data'!DQ5="1 in Public Road Crossing",'Pipe Data'!DQ5=2)),'Pipe Data'!DZ5&gt;=DATE(1961,7,1),'Pipe Data'!I5&lt;&gt;"Casing",Z12&lt;=0.6),"Y",IF(AND(OR(Y12="1 in Public Road Crossing",Y12="1 in Hard Road Parallel"),'Pipe Data'!DZ5&gt;=DATE(1961,7,1),'Pipe Data'!I5&lt;&gt;"Casing",Z12&gt;0.6),"N",IF(AND(Y12="1 on Bridge",'Pipe Data'!DZ5&gt;=DATE(1961,7,1),Z12&gt;0.6),"N",IF(AND(OR(Y12=1,Y12="1 in Station",Y12="1 in Public Road Crossing",Y12="1 in Hard Road Parallel",Y12="1 on Bridge"),Z12&lt;=0.72),"Y",IF(AND(Y12="2 in Station",'Pipe Data'!DQ5=2,Z12&lt;=0.6),"Y",IF(AND(Y12="2 in Station",'Pipe Data'!DZ5&gt;=DATE(1961,7,1),Z12&gt;0.5),"N",IF(AND(Y12="2 in Hard Road Crossing",'Pipe Data'!DZ5&gt;=DATE(1961,7,1),'Pipe Data'!I5&lt;&gt;"Casing",Z12&gt;0.5),"N",IF(OR(AND(OR(Y12=2,Y12="2 in Station",Y12="2 in Hard Road Crossing"),Z12&lt;=0.6),AND(OR(Y12=2,Y12="2 in Station",Y12="2 in Hard Road Crossing"),'Pipe Data'!EJ5&lt;&gt;"N/A",Z12&lt;=0.72)),"Y",IF(OR(AND(OR(Y12=3,Y12="3 in Station",Y12="3 in Hard Road Crossing"),Z12&lt;=0.5),AND(OR(Y12=3,Y12="3 in Station",Y12="3 in Hard Road Crossing"),'Pipe Data'!EJ5&lt;&gt;"N/A",Z12&lt;=0.6)),"Y",IF(OR(AND(Y12=4,Z12&lt;=0.4),AND(Y12=4,'Pipe Data'!EJ5&lt;&gt;"N/A",Z12&lt;=0.5)),"Y","N"))))))))))))))</f>
        <v>Y</v>
      </c>
      <c r="AB12" s="714" t="str">
        <f ca="1">IF(AND(R12='Pipe Data'!EJ5,R12&gt;=W12),"R",IF(AND(R12='Pipe Data'!EJ5,R12&lt;W12),"D",IF(AND(M12&lt;&gt;"N/A",R12&gt;=W12),"R",IF(AND(M12&lt;&gt;"N/A",R12&lt;W12),"D",IF(AND(V12="N/A",W12&lt;=R12),"R",IF(AND(V12="N/A",W12&gt;R12),"D",IF(AND(V12&gt;=W12,R12&gt;=W12),"R",IF(AND(V12&gt;=W12,R12&lt;W12),"D",IF(AND(V12&lt;W12,R12&gt;=W12),"T",IF(AND(V12&lt;W12,R12&lt;W12),IF(V12=R12,"D",IF(MIN(V12,R12)=V12,"T","D")),"R"))))))))))</f>
        <v>R</v>
      </c>
      <c r="AC12" s="714">
        <f ca="1">IF(AND(R12='Pipe Data'!EJ5,R12&gt;=W12),W12,IF(AND(R12='Pipe Data'!EJ5,R12&lt;W12),R12,IF(AND(M12&lt;&gt;"N/A",R12&gt;=W12),W12,IF(AND(M12&lt;&gt;"N/A",R12&lt;W12),R12,IF(AND(V12="N/A",W12&lt;=R12),W12,IF(AND(V12="N/A",W12&gt;R12),R12,IF(AND(V12&gt;=W12,R12&gt;=W12),W12,IF(AND(V12&gt;=W12,R12&lt;W12),R12,IF(AND(V12&lt;W12,R12&gt;=W12),V12,IF(AND(V12&lt;W12,R12&lt;W12),IF(V12=R12,R12,MIN(V12,R12)),W12))))))))))</f>
        <v>204</v>
      </c>
    </row>
    <row r="13" spans="1:29" ht="14.25" x14ac:dyDescent="0.2">
      <c r="A13" s="717">
        <f>'Pipe Data'!G6</f>
        <v>4</v>
      </c>
      <c r="B13" s="718" t="str">
        <f>IF('Pipe Data'!L6&gt;0,'Pipe Data'!L6,"")</f>
        <v/>
      </c>
      <c r="C13" s="719">
        <f>'Pipe Data'!A6</f>
        <v>0</v>
      </c>
      <c r="D13" s="719">
        <f>'Pipe Data'!B6</f>
        <v>0</v>
      </c>
      <c r="E13" s="720" t="str">
        <f>'Pipe Data'!CX6</f>
        <v>Tee</v>
      </c>
      <c r="F13" s="714">
        <f>IF(OR('Pipe Data'!DZ6="",'Pipe Data'!DZ6="unknown",'Pipe Data'!DZ6="Unknown"),"Unknown",YEAR('Pipe Data'!DZ6))</f>
        <v>1982</v>
      </c>
      <c r="G13" s="721">
        <f ca="1">IF('Pipe Data'!DI6="ERROR","ERROR",IF(OR('Pipe Data'!DW6=1,'Pipe Data'!DY6&lt;&gt;"N/A"),'Pipe Data'!DH6,'Pipe Data'!DI6))</f>
        <v>8.625</v>
      </c>
      <c r="H13" s="722" t="str">
        <f>IF('Pipe Data'!DJ6&gt;0,'Pipe Data'!DJ6,"")</f>
        <v/>
      </c>
      <c r="I13" s="723">
        <f ca="1">IF('Pipe Data'!DW6=1,'Pipe Data'!DC6,'Pipe Data'!DE6)</f>
        <v>0.32200000000000001</v>
      </c>
      <c r="J13" s="722" t="str">
        <f>IF('Pipe Data'!DG6&gt;0,'Pipe Data'!DG6,"")</f>
        <v/>
      </c>
      <c r="K13" s="720">
        <f>IF('Pipe Data'!CZ6=0,"N/A",'Pipe Data'!CZ6)</f>
        <v>35000</v>
      </c>
      <c r="L13" s="722" t="str">
        <f>IF('Pipe Data'!DB6&gt;0,'Pipe Data'!DB6,"")</f>
        <v/>
      </c>
      <c r="M13" s="720" t="str">
        <f>IF(OR('Pipe Data'!DO6="Unknown",'Pipe Data'!DO6="N/A"),"N/A",'Pipe Data'!DO6)</f>
        <v>N/A</v>
      </c>
      <c r="N13" s="722" t="str">
        <f>IF('Pipe Data'!DP6&gt;0,'Pipe Data'!DP6,"")</f>
        <v/>
      </c>
      <c r="O13" s="724" t="str">
        <f>'Pipe Data'!DK6</f>
        <v>Unknown</v>
      </c>
      <c r="P13" s="722" t="str">
        <f>IF('Pipe Data'!DN6&gt;0,'Pipe Data'!DN6,"")</f>
        <v/>
      </c>
      <c r="Q13" s="725">
        <f>IF('Pipe Data'!CX6="Cap","N/A",'Pipe Data'!DM6)</f>
        <v>1</v>
      </c>
      <c r="R13" s="720">
        <f ca="1">IF('Pipe Data'!EJ6&lt;&gt;"N/A",'Pipe Data'!EJ6,IF('Pipe Data'!DY6&lt;&gt;"N/A",'Pipe Data'!DY6,'Pipe Data'!DX6))</f>
        <v>1306</v>
      </c>
      <c r="S13" s="726" t="str">
        <f ca="1">IF(R13='Pipe Data'!EJ6,"A","")</f>
        <v/>
      </c>
      <c r="T13" s="720" t="str">
        <f>IF('Pipe Data'!EC6="N/A","N/A",'Pipe Data'!EC6)</f>
        <v>N/A</v>
      </c>
      <c r="U13" s="714" t="str">
        <f>IF('Pipe Data'!EA6="N/A","N/A",YEAR('Pipe Data'!EA6))</f>
        <v>N/A</v>
      </c>
      <c r="V13" s="720" t="str">
        <f ca="1">IF(R13='Pipe Data'!EJ6,"N/A",'Pipe Data'!EH6)</f>
        <v>N/A</v>
      </c>
      <c r="W13" s="720">
        <f>'Pipe Data'!EK6</f>
        <v>204</v>
      </c>
      <c r="X13" s="722" t="str">
        <f>IF(OR('Pipe Data'!EL6="y",'Pipe Data'!EL6="yes",'Pipe Data'!EL6="Y",'Pipe Data'!EL6="Yes"),"B","")</f>
        <v/>
      </c>
      <c r="Y13" s="720" t="str">
        <f>'Pipe Data'!DS6</f>
        <v>3 in Station</v>
      </c>
      <c r="Z13" s="727">
        <f ca="1">IF('Pipe Data'!DW6=1,'Pipe Data'!EM6,'Pipe Data'!EN6)</f>
        <v>7.8061224489795925E-2</v>
      </c>
      <c r="AA13" s="714" t="str">
        <f ca="1">IF(AND(M13&lt;&gt;"N/A",R13&gt;=W13),"Y",IF(AND(Y13="1 in Station",'Pipe Data'!DQ6=1,Z13&lt;=0.72),"Y",IF(AND(Y13="1 in Station",'Pipe Data'!DZ6&gt;=DATE(1961,7,1),Z13&gt;0.5),"N",IF(AND(OR(AND(Y13="1 in Public Road Crossing",'Pipe Data'!DQ6=1),AND(Y13="1 in Hard Road Parallel",'Pipe Data'!DQ6=1)),'Pipe Data'!DZ6&gt;=DATE(1961,7,1),'Pipe Data'!I6&lt;&gt;"Casing",Z13&lt;=0.72),"Y",IF(AND(AND(Y13="2 in Hard Road Crossing",OR('Pipe Data'!DQ6="1",'Pipe Data'!DQ6="1 in Public Road Crossing",'Pipe Data'!DQ6=2)),'Pipe Data'!DZ6&gt;=DATE(1961,7,1),'Pipe Data'!I6&lt;&gt;"Casing",Z13&lt;=0.6),"Y",IF(AND(OR(Y13="1 in Public Road Crossing",Y13="1 in Hard Road Parallel"),'Pipe Data'!DZ6&gt;=DATE(1961,7,1),'Pipe Data'!I6&lt;&gt;"Casing",Z13&gt;0.6),"N",IF(AND(Y13="1 on Bridge",'Pipe Data'!DZ6&gt;=DATE(1961,7,1),Z13&gt;0.6),"N",IF(AND(OR(Y13=1,Y13="1 in Station",Y13="1 in Public Road Crossing",Y13="1 in Hard Road Parallel",Y13="1 on Bridge"),Z13&lt;=0.72),"Y",IF(AND(Y13="2 in Station",'Pipe Data'!DQ6=2,Z13&lt;=0.6),"Y",IF(AND(Y13="2 in Station",'Pipe Data'!DZ6&gt;=DATE(1961,7,1),Z13&gt;0.5),"N",IF(AND(Y13="2 in Hard Road Crossing",'Pipe Data'!DZ6&gt;=DATE(1961,7,1),'Pipe Data'!I6&lt;&gt;"Casing",Z13&gt;0.5),"N",IF(OR(AND(OR(Y13=2,Y13="2 in Station",Y13="2 in Hard Road Crossing"),Z13&lt;=0.6),AND(OR(Y13=2,Y13="2 in Station",Y13="2 in Hard Road Crossing"),'Pipe Data'!EJ6&lt;&gt;"N/A",Z13&lt;=0.72)),"Y",IF(OR(AND(OR(Y13=3,Y13="3 in Station",Y13="3 in Hard Road Crossing"),Z13&lt;=0.5),AND(OR(Y13=3,Y13="3 in Station",Y13="3 in Hard Road Crossing"),'Pipe Data'!EJ6&lt;&gt;"N/A",Z13&lt;=0.6)),"Y",IF(OR(AND(Y13=4,Z13&lt;=0.4),AND(Y13=4,'Pipe Data'!EJ6&lt;&gt;"N/A",Z13&lt;=0.5)),"Y","N"))))))))))))))</f>
        <v>Y</v>
      </c>
      <c r="AB13" s="714" t="str">
        <f ca="1">IF(AND(R13='Pipe Data'!EJ6,R13&gt;=W13),"R",IF(AND(R13='Pipe Data'!EJ6,R13&lt;W13),"D",IF(AND(M13&lt;&gt;"N/A",R13&gt;=W13),"R",IF(AND(M13&lt;&gt;"N/A",R13&lt;W13),"D",IF(AND(V13="N/A",W13&lt;=R13),"R",IF(AND(V13="N/A",W13&gt;R13),"D",IF(AND(V13&gt;=W13,R13&gt;=W13),"R",IF(AND(V13&gt;=W13,R13&lt;W13),"D",IF(AND(V13&lt;W13,R13&gt;=W13),"T",IF(AND(V13&lt;W13,R13&lt;W13),IF(V13=R13,"D",IF(MIN(V13,R13)=V13,"T","D")),"R"))))))))))</f>
        <v>R</v>
      </c>
      <c r="AC13" s="714">
        <f ca="1">IF(AND(R13='Pipe Data'!EJ6,R13&gt;=W13),W13,IF(AND(R13='Pipe Data'!EJ6,R13&lt;W13),R13,IF(AND(M13&lt;&gt;"N/A",R13&gt;=W13),W13,IF(AND(M13&lt;&gt;"N/A",R13&lt;W13),R13,IF(AND(V13="N/A",W13&lt;=R13),W13,IF(AND(V13="N/A",W13&gt;R13),R13,IF(AND(V13&gt;=W13,R13&gt;=W13),W13,IF(AND(V13&gt;=W13,R13&lt;W13),R13,IF(AND(V13&lt;W13,R13&gt;=W13),V13,IF(AND(V13&lt;W13,R13&lt;W13),IF(V13=R13,R13,MIN(V13,R13)),W13))))))))))</f>
        <v>204</v>
      </c>
    </row>
    <row r="14" spans="1:29" ht="14.25" x14ac:dyDescent="0.2">
      <c r="A14" s="717">
        <f>'Pipe Data'!G7</f>
        <v>5</v>
      </c>
      <c r="B14" s="718" t="str">
        <f>IF('Pipe Data'!L7&gt;0,'Pipe Data'!L7,"")</f>
        <v/>
      </c>
      <c r="C14" s="719">
        <f>'Pipe Data'!A7</f>
        <v>0</v>
      </c>
      <c r="D14" s="719">
        <f>'Pipe Data'!B7</f>
        <v>0</v>
      </c>
      <c r="E14" s="720" t="str">
        <f>'Pipe Data'!CX7</f>
        <v>Cap</v>
      </c>
      <c r="F14" s="714">
        <f>IF(OR('Pipe Data'!DZ7="",'Pipe Data'!DZ7="unknown",'Pipe Data'!DZ7="Unknown"),"Unknown",YEAR('Pipe Data'!DZ7))</f>
        <v>1982</v>
      </c>
      <c r="G14" s="721">
        <f ca="1">IF('Pipe Data'!DI7="ERROR","ERROR",IF(OR('Pipe Data'!DW7=1,'Pipe Data'!DY7&lt;&gt;"N/A"),'Pipe Data'!DH7,'Pipe Data'!DI7))</f>
        <v>8.625</v>
      </c>
      <c r="H14" s="722" t="str">
        <f>IF('Pipe Data'!DJ7&gt;0,'Pipe Data'!DJ7,"")</f>
        <v/>
      </c>
      <c r="I14" s="723">
        <f ca="1">IF('Pipe Data'!DW7=1,'Pipe Data'!DC7,'Pipe Data'!DE7)</f>
        <v>0.5</v>
      </c>
      <c r="J14" s="722" t="str">
        <f>IF('Pipe Data'!DG7&gt;0,'Pipe Data'!DG7,"")</f>
        <v/>
      </c>
      <c r="K14" s="720">
        <f>IF('Pipe Data'!CZ7=0,"N/A",'Pipe Data'!CZ7)</f>
        <v>35000</v>
      </c>
      <c r="L14" s="722" t="str">
        <f>IF('Pipe Data'!DB7&gt;0,'Pipe Data'!DB7,"")</f>
        <v/>
      </c>
      <c r="M14" s="720" t="str">
        <f>IF(OR('Pipe Data'!DO7="Unknown",'Pipe Data'!DO7="N/A"),"N/A",'Pipe Data'!DO7)</f>
        <v>N/A</v>
      </c>
      <c r="N14" s="722" t="str">
        <f>IF('Pipe Data'!DP7&gt;0,'Pipe Data'!DP7,"")</f>
        <v/>
      </c>
      <c r="O14" s="724" t="str">
        <f>'Pipe Data'!DK7</f>
        <v>N/A</v>
      </c>
      <c r="P14" s="722" t="str">
        <f>IF('Pipe Data'!DN7&gt;0,'Pipe Data'!DN7,"")</f>
        <v/>
      </c>
      <c r="Q14" s="725" t="str">
        <f>IF('Pipe Data'!CX7="Cap","N/A",'Pipe Data'!DM7)</f>
        <v>N/A</v>
      </c>
      <c r="R14" s="720">
        <f ca="1">IF('Pipe Data'!EJ7&lt;&gt;"N/A",'Pipe Data'!EJ7,IF('Pipe Data'!DY7&lt;&gt;"N/A",'Pipe Data'!DY7,'Pipe Data'!DX7))</f>
        <v>2028</v>
      </c>
      <c r="S14" s="726" t="str">
        <f ca="1">IF(R14='Pipe Data'!EJ7,"A","")</f>
        <v/>
      </c>
      <c r="T14" s="720" t="str">
        <f>IF('Pipe Data'!EC7="N/A","N/A",'Pipe Data'!EC7)</f>
        <v>N/A</v>
      </c>
      <c r="U14" s="714" t="str">
        <f>IF('Pipe Data'!EA7="N/A","N/A",YEAR('Pipe Data'!EA7))</f>
        <v>N/A</v>
      </c>
      <c r="V14" s="720" t="str">
        <f ca="1">IF(R14='Pipe Data'!EJ7,"N/A",'Pipe Data'!EH7)</f>
        <v>N/A</v>
      </c>
      <c r="W14" s="720">
        <f>'Pipe Data'!EK7</f>
        <v>204</v>
      </c>
      <c r="X14" s="722" t="str">
        <f>IF(OR('Pipe Data'!EL7="y",'Pipe Data'!EL7="yes",'Pipe Data'!EL7="Y",'Pipe Data'!EL7="Yes"),"B","")</f>
        <v/>
      </c>
      <c r="Y14" s="720" t="str">
        <f>'Pipe Data'!DS7</f>
        <v>3 in Station</v>
      </c>
      <c r="Z14" s="727">
        <f ca="1">IF('Pipe Data'!DW7=1,'Pipe Data'!EM7,'Pipe Data'!EN7)</f>
        <v>5.0271428571428571E-2</v>
      </c>
      <c r="AA14" s="714" t="str">
        <f ca="1">IF(AND(M14&lt;&gt;"N/A",R14&gt;=W14),"Y",IF(AND(Y14="1 in Station",'Pipe Data'!DQ7=1,Z14&lt;=0.72),"Y",IF(AND(Y14="1 in Station",'Pipe Data'!DZ7&gt;=DATE(1961,7,1),Z14&gt;0.5),"N",IF(AND(OR(AND(Y14="1 in Public Road Crossing",'Pipe Data'!DQ7=1),AND(Y14="1 in Hard Road Parallel",'Pipe Data'!DQ7=1)),'Pipe Data'!DZ7&gt;=DATE(1961,7,1),'Pipe Data'!I7&lt;&gt;"Casing",Z14&lt;=0.72),"Y",IF(AND(AND(Y14="2 in Hard Road Crossing",OR('Pipe Data'!DQ7="1",'Pipe Data'!DQ7="1 in Public Road Crossing",'Pipe Data'!DQ7=2)),'Pipe Data'!DZ7&gt;=DATE(1961,7,1),'Pipe Data'!I7&lt;&gt;"Casing",Z14&lt;=0.6),"Y",IF(AND(OR(Y14="1 in Public Road Crossing",Y14="1 in Hard Road Parallel"),'Pipe Data'!DZ7&gt;=DATE(1961,7,1),'Pipe Data'!I7&lt;&gt;"Casing",Z14&gt;0.6),"N",IF(AND(Y14="1 on Bridge",'Pipe Data'!DZ7&gt;=DATE(1961,7,1),Z14&gt;0.6),"N",IF(AND(OR(Y14=1,Y14="1 in Station",Y14="1 in Public Road Crossing",Y14="1 in Hard Road Parallel",Y14="1 on Bridge"),Z14&lt;=0.72),"Y",IF(AND(Y14="2 in Station",'Pipe Data'!DQ7=2,Z14&lt;=0.6),"Y",IF(AND(Y14="2 in Station",'Pipe Data'!DZ7&gt;=DATE(1961,7,1),Z14&gt;0.5),"N",IF(AND(Y14="2 in Hard Road Crossing",'Pipe Data'!DZ7&gt;=DATE(1961,7,1),'Pipe Data'!I7&lt;&gt;"Casing",Z14&gt;0.5),"N",IF(OR(AND(OR(Y14=2,Y14="2 in Station",Y14="2 in Hard Road Crossing"),Z14&lt;=0.6),AND(OR(Y14=2,Y14="2 in Station",Y14="2 in Hard Road Crossing"),'Pipe Data'!EJ7&lt;&gt;"N/A",Z14&lt;=0.72)),"Y",IF(OR(AND(OR(Y14=3,Y14="3 in Station",Y14="3 in Hard Road Crossing"),Z14&lt;=0.5),AND(OR(Y14=3,Y14="3 in Station",Y14="3 in Hard Road Crossing"),'Pipe Data'!EJ7&lt;&gt;"N/A",Z14&lt;=0.6)),"Y",IF(OR(AND(Y14=4,Z14&lt;=0.4),AND(Y14=4,'Pipe Data'!EJ7&lt;&gt;"N/A",Z14&lt;=0.5)),"Y","N"))))))))))))))</f>
        <v>Y</v>
      </c>
      <c r="AB14" s="714" t="str">
        <f ca="1">IF(AND(R14='Pipe Data'!EJ7,R14&gt;=W14),"R",IF(AND(R14='Pipe Data'!EJ7,R14&lt;W14),"D",IF(AND(M14&lt;&gt;"N/A",R14&gt;=W14),"R",IF(AND(M14&lt;&gt;"N/A",R14&lt;W14),"D",IF(AND(V14="N/A",W14&lt;=R14),"R",IF(AND(V14="N/A",W14&gt;R14),"D",IF(AND(V14&gt;=W14,R14&gt;=W14),"R",IF(AND(V14&gt;=W14,R14&lt;W14),"D",IF(AND(V14&lt;W14,R14&gt;=W14),"T",IF(AND(V14&lt;W14,R14&lt;W14),IF(V14=R14,"D",IF(MIN(V14,R14)=V14,"T","D")),"R"))))))))))</f>
        <v>R</v>
      </c>
      <c r="AC14" s="714">
        <f ca="1">IF(AND(R14='Pipe Data'!EJ7,R14&gt;=W14),W14,IF(AND(R14='Pipe Data'!EJ7,R14&lt;W14),R14,IF(AND(M14&lt;&gt;"N/A",R14&gt;=W14),W14,IF(AND(M14&lt;&gt;"N/A",R14&lt;W14),R14,IF(AND(V14="N/A",W14&lt;=R14),W14,IF(AND(V14="N/A",W14&gt;R14),R14,IF(AND(V14&gt;=W14,R14&gt;=W14),W14,IF(AND(V14&gt;=W14,R14&lt;W14),R14,IF(AND(V14&lt;W14,R14&gt;=W14),V14,IF(AND(V14&lt;W14,R14&lt;W14),IF(V14=R14,R14,MIN(V14,R14)),W14))))))))))</f>
        <v>204</v>
      </c>
    </row>
    <row r="15" spans="1:29" ht="14.25" x14ac:dyDescent="0.2">
      <c r="A15" s="717">
        <f>'Pipe Data'!G8</f>
        <v>6</v>
      </c>
      <c r="B15" s="718" t="str">
        <f>IF('Pipe Data'!L8&gt;0,'Pipe Data'!L8,"")</f>
        <v/>
      </c>
      <c r="C15" s="719">
        <f>'Pipe Data'!A8</f>
        <v>0</v>
      </c>
      <c r="D15" s="719">
        <f>'Pipe Data'!B8</f>
        <v>0</v>
      </c>
      <c r="E15" s="720" t="str">
        <f>'Pipe Data'!CX8</f>
        <v>Pipe</v>
      </c>
      <c r="F15" s="714">
        <f>IF(OR('Pipe Data'!DZ8="",'Pipe Data'!DZ8="unknown",'Pipe Data'!DZ8="Unknown"),"Unknown",YEAR('Pipe Data'!DZ8))</f>
        <v>1982</v>
      </c>
      <c r="G15" s="721">
        <f ca="1">IF('Pipe Data'!DI8="ERROR","ERROR",IF(OR('Pipe Data'!DW8=1,'Pipe Data'!DY8&lt;&gt;"N/A"),'Pipe Data'!DH8,'Pipe Data'!DI8))</f>
        <v>8.625</v>
      </c>
      <c r="H15" s="722" t="str">
        <f>IF('Pipe Data'!DJ8&gt;0,'Pipe Data'!DJ8,"")</f>
        <v/>
      </c>
      <c r="I15" s="723">
        <f ca="1">IF('Pipe Data'!DW8=1,'Pipe Data'!DC8,'Pipe Data'!DE8)</f>
        <v>0.32200000000000001</v>
      </c>
      <c r="J15" s="722" t="str">
        <f>IF('Pipe Data'!DG8&gt;0,'Pipe Data'!DG8,"")</f>
        <v/>
      </c>
      <c r="K15" s="720">
        <f>IF('Pipe Data'!CZ8=0,"N/A",'Pipe Data'!CZ8)</f>
        <v>35000</v>
      </c>
      <c r="L15" s="722" t="str">
        <f>IF('Pipe Data'!DB8&gt;0,'Pipe Data'!DB8,"")</f>
        <v/>
      </c>
      <c r="M15" s="720" t="str">
        <f>IF(OR('Pipe Data'!DO8="Unknown",'Pipe Data'!DO8="N/A"),"N/A",'Pipe Data'!DO8)</f>
        <v>N/A</v>
      </c>
      <c r="N15" s="722" t="str">
        <f>IF('Pipe Data'!DP8&gt;0,'Pipe Data'!DP8,"")</f>
        <v/>
      </c>
      <c r="O15" s="724" t="str">
        <f>'Pipe Data'!DK8</f>
        <v>Seamless</v>
      </c>
      <c r="P15" s="722" t="str">
        <f>IF('Pipe Data'!DN8&gt;0,'Pipe Data'!DN8,"")</f>
        <v/>
      </c>
      <c r="Q15" s="725">
        <f>IF('Pipe Data'!CX8="Cap","N/A",'Pipe Data'!DM8)</f>
        <v>1</v>
      </c>
      <c r="R15" s="720">
        <f ca="1">IF('Pipe Data'!EJ8&lt;&gt;"N/A",'Pipe Data'!EJ8,IF('Pipe Data'!DY8&lt;&gt;"N/A",'Pipe Data'!DY8,'Pipe Data'!DX8))</f>
        <v>1306</v>
      </c>
      <c r="S15" s="726" t="str">
        <f ca="1">IF(R15='Pipe Data'!EJ8,"A","")</f>
        <v/>
      </c>
      <c r="T15" s="720" t="str">
        <f>IF('Pipe Data'!EC8="N/A","N/A",'Pipe Data'!EC8)</f>
        <v>N/A</v>
      </c>
      <c r="U15" s="714" t="str">
        <f>IF('Pipe Data'!EA8="N/A","N/A",YEAR('Pipe Data'!EA8))</f>
        <v>N/A</v>
      </c>
      <c r="V15" s="720" t="str">
        <f ca="1">IF(R15='Pipe Data'!EJ8,"N/A",'Pipe Data'!EH8)</f>
        <v>N/A</v>
      </c>
      <c r="W15" s="720">
        <f>'Pipe Data'!EK8</f>
        <v>204</v>
      </c>
      <c r="X15" s="722" t="str">
        <f>IF(OR('Pipe Data'!EL8="y",'Pipe Data'!EL8="yes",'Pipe Data'!EL8="Y",'Pipe Data'!EL8="Yes"),"B","")</f>
        <v/>
      </c>
      <c r="Y15" s="720" t="str">
        <f>'Pipe Data'!DS8</f>
        <v>3 in Station</v>
      </c>
      <c r="Z15" s="727">
        <f ca="1">IF('Pipe Data'!DW8=1,'Pipe Data'!EM8,'Pipe Data'!EN8)</f>
        <v>7.8061224489795925E-2</v>
      </c>
      <c r="AA15" s="714" t="str">
        <f ca="1">IF(AND(M15&lt;&gt;"N/A",R15&gt;=W15),"Y",IF(AND(Y15="1 in Station",'Pipe Data'!DQ8=1,Z15&lt;=0.72),"Y",IF(AND(Y15="1 in Station",'Pipe Data'!DZ8&gt;=DATE(1961,7,1),Z15&gt;0.5),"N",IF(AND(OR(AND(Y15="1 in Public Road Crossing",'Pipe Data'!DQ8=1),AND(Y15="1 in Hard Road Parallel",'Pipe Data'!DQ8=1)),'Pipe Data'!DZ8&gt;=DATE(1961,7,1),'Pipe Data'!I8&lt;&gt;"Casing",Z15&lt;=0.72),"Y",IF(AND(AND(Y15="2 in Hard Road Crossing",OR('Pipe Data'!DQ8="1",'Pipe Data'!DQ8="1 in Public Road Crossing",'Pipe Data'!DQ8=2)),'Pipe Data'!DZ8&gt;=DATE(1961,7,1),'Pipe Data'!I8&lt;&gt;"Casing",Z15&lt;=0.6),"Y",IF(AND(OR(Y15="1 in Public Road Crossing",Y15="1 in Hard Road Parallel"),'Pipe Data'!DZ8&gt;=DATE(1961,7,1),'Pipe Data'!I8&lt;&gt;"Casing",Z15&gt;0.6),"N",IF(AND(Y15="1 on Bridge",'Pipe Data'!DZ8&gt;=DATE(1961,7,1),Z15&gt;0.6),"N",IF(AND(OR(Y15=1,Y15="1 in Station",Y15="1 in Public Road Crossing",Y15="1 in Hard Road Parallel",Y15="1 on Bridge"),Z15&lt;=0.72),"Y",IF(AND(Y15="2 in Station",'Pipe Data'!DQ8=2,Z15&lt;=0.6),"Y",IF(AND(Y15="2 in Station",'Pipe Data'!DZ8&gt;=DATE(1961,7,1),Z15&gt;0.5),"N",IF(AND(Y15="2 in Hard Road Crossing",'Pipe Data'!DZ8&gt;=DATE(1961,7,1),'Pipe Data'!I8&lt;&gt;"Casing",Z15&gt;0.5),"N",IF(OR(AND(OR(Y15=2,Y15="2 in Station",Y15="2 in Hard Road Crossing"),Z15&lt;=0.6),AND(OR(Y15=2,Y15="2 in Station",Y15="2 in Hard Road Crossing"),'Pipe Data'!EJ8&lt;&gt;"N/A",Z15&lt;=0.72)),"Y",IF(OR(AND(OR(Y15=3,Y15="3 in Station",Y15="3 in Hard Road Crossing"),Z15&lt;=0.5),AND(OR(Y15=3,Y15="3 in Station",Y15="3 in Hard Road Crossing"),'Pipe Data'!EJ8&lt;&gt;"N/A",Z15&lt;=0.6)),"Y",IF(OR(AND(Y15=4,Z15&lt;=0.4),AND(Y15=4,'Pipe Data'!EJ8&lt;&gt;"N/A",Z15&lt;=0.5)),"Y","N"))))))))))))))</f>
        <v>Y</v>
      </c>
      <c r="AB15" s="714" t="str">
        <f ca="1">IF(AND(R15='Pipe Data'!EJ8,R15&gt;=W15),"R",IF(AND(R15='Pipe Data'!EJ8,R15&lt;W15),"D",IF(AND(M15&lt;&gt;"N/A",R15&gt;=W15),"R",IF(AND(M15&lt;&gt;"N/A",R15&lt;W15),"D",IF(AND(V15="N/A",W15&lt;=R15),"R",IF(AND(V15="N/A",W15&gt;R15),"D",IF(AND(V15&gt;=W15,R15&gt;=W15),"R",IF(AND(V15&gt;=W15,R15&lt;W15),"D",IF(AND(V15&lt;W15,R15&gt;=W15),"T",IF(AND(V15&lt;W15,R15&lt;W15),IF(V15=R15,"D",IF(MIN(V15,R15)=V15,"T","D")),"R"))))))))))</f>
        <v>R</v>
      </c>
      <c r="AC15" s="714">
        <f ca="1">IF(AND(R15='Pipe Data'!EJ8,R15&gt;=W15),W15,IF(AND(R15='Pipe Data'!EJ8,R15&lt;W15),R15,IF(AND(M15&lt;&gt;"N/A",R15&gt;=W15),W15,IF(AND(M15&lt;&gt;"N/A",R15&lt;W15),R15,IF(AND(V15="N/A",W15&lt;=R15),W15,IF(AND(V15="N/A",W15&gt;R15),R15,IF(AND(V15&gt;=W15,R15&gt;=W15),W15,IF(AND(V15&gt;=W15,R15&lt;W15),R15,IF(AND(V15&lt;W15,R15&gt;=W15),V15,IF(AND(V15&lt;W15,R15&lt;W15),IF(V15=R15,R15,MIN(V15,R15)),W15))))))))))</f>
        <v>204</v>
      </c>
    </row>
    <row r="16" spans="1:29" ht="14.25" x14ac:dyDescent="0.2">
      <c r="A16" s="717">
        <f>'Pipe Data'!G9</f>
        <v>7</v>
      </c>
      <c r="B16" s="718" t="str">
        <f>IF('Pipe Data'!L9&gt;0,'Pipe Data'!L9,"")</f>
        <v/>
      </c>
      <c r="C16" s="719">
        <f>'Pipe Data'!A9</f>
        <v>0</v>
      </c>
      <c r="D16" s="719">
        <f>'Pipe Data'!B9</f>
        <v>0</v>
      </c>
      <c r="E16" s="720" t="str">
        <f>'Pipe Data'!CX9</f>
        <v>Tap</v>
      </c>
      <c r="F16" s="714">
        <f>IF(OR('Pipe Data'!DZ9="",'Pipe Data'!DZ9="unknown",'Pipe Data'!DZ9="Unknown"),"Unknown",YEAR('Pipe Data'!DZ9))</f>
        <v>1988</v>
      </c>
      <c r="G16" s="721">
        <f ca="1">IF('Pipe Data'!DI9="ERROR","ERROR",IF(OR('Pipe Data'!DW9=1,'Pipe Data'!DY9&lt;&gt;"N/A"),'Pipe Data'!DH9,'Pipe Data'!DI9))</f>
        <v>2.375</v>
      </c>
      <c r="H16" s="722" t="str">
        <f>IF('Pipe Data'!DJ9&gt;0,'Pipe Data'!DJ9,"")</f>
        <v/>
      </c>
      <c r="I16" s="723" t="str">
        <f ca="1">IF('Pipe Data'!DW9=1,'Pipe Data'!DC9,'Pipe Data'!DE9)</f>
        <v>N/A</v>
      </c>
      <c r="J16" s="722" t="str">
        <f>IF('Pipe Data'!DG9&gt;0,'Pipe Data'!DG9,"")</f>
        <v/>
      </c>
      <c r="K16" s="720" t="str">
        <f>IF('Pipe Data'!CZ9=0,"N/A",'Pipe Data'!CZ9)</f>
        <v>N/A</v>
      </c>
      <c r="L16" s="722" t="str">
        <f>IF('Pipe Data'!DB9&gt;0,'Pipe Data'!DB9,"")</f>
        <v/>
      </c>
      <c r="M16" s="720" t="str">
        <f>IF(OR('Pipe Data'!DO9="Unknown",'Pipe Data'!DO9="N/A"),"N/A",'Pipe Data'!DO9)</f>
        <v>WOG 250#</v>
      </c>
      <c r="N16" s="722" t="str">
        <f>IF('Pipe Data'!DP9&gt;0,'Pipe Data'!DP9,"")</f>
        <v/>
      </c>
      <c r="O16" s="724" t="str">
        <f>'Pipe Data'!DK9</f>
        <v>Unknown</v>
      </c>
      <c r="P16" s="722" t="str">
        <f>IF('Pipe Data'!DN9&gt;0,'Pipe Data'!DN9,"")</f>
        <v/>
      </c>
      <c r="Q16" s="725">
        <f>IF('Pipe Data'!CX9="Cap","N/A",'Pipe Data'!DM9)</f>
        <v>1</v>
      </c>
      <c r="R16" s="720">
        <f ca="1">IF('Pipe Data'!EJ9&lt;&gt;"N/A",'Pipe Data'!EJ9,IF('Pipe Data'!DY9&lt;&gt;"N/A",'Pipe Data'!DY9,'Pipe Data'!DX9))</f>
        <v>250</v>
      </c>
      <c r="S16" s="726" t="str">
        <f ca="1">IF(R16='Pipe Data'!EJ9,"A","")</f>
        <v/>
      </c>
      <c r="T16" s="720" t="str">
        <f>IF('Pipe Data'!EC9="N/A","N/A",'Pipe Data'!EC9)</f>
        <v>N/A</v>
      </c>
      <c r="U16" s="714" t="str">
        <f>IF('Pipe Data'!EA9="N/A","N/A",YEAR('Pipe Data'!EA9))</f>
        <v>N/A</v>
      </c>
      <c r="V16" s="720" t="str">
        <f ca="1">IF(R16='Pipe Data'!EJ9,"N/A",'Pipe Data'!EH9)</f>
        <v>N/A</v>
      </c>
      <c r="W16" s="720">
        <f>'Pipe Data'!EK9</f>
        <v>204</v>
      </c>
      <c r="X16" s="722" t="str">
        <f>IF(OR('Pipe Data'!EL9="y",'Pipe Data'!EL9="yes",'Pipe Data'!EL9="Y",'Pipe Data'!EL9="Yes"),"B","")</f>
        <v/>
      </c>
      <c r="Y16" s="720" t="str">
        <f>'Pipe Data'!DS9</f>
        <v>3 in Station</v>
      </c>
      <c r="Z16" s="727" t="str">
        <f ca="1">IF('Pipe Data'!DW9=1,'Pipe Data'!EM9,'Pipe Data'!EN9)</f>
        <v>N/A</v>
      </c>
      <c r="AA16" s="714" t="str">
        <f ca="1">IF(AND(M16&lt;&gt;"N/A",R16&gt;=W16),"Y",IF(AND(Y16="1 in Station",'Pipe Data'!DQ9=1,Z16&lt;=0.72),"Y",IF(AND(Y16="1 in Station",'Pipe Data'!DZ9&gt;=DATE(1961,7,1),Z16&gt;0.5),"N",IF(AND(OR(AND(Y16="1 in Public Road Crossing",'Pipe Data'!DQ9=1),AND(Y16="1 in Hard Road Parallel",'Pipe Data'!DQ9=1)),'Pipe Data'!DZ9&gt;=DATE(1961,7,1),'Pipe Data'!I9&lt;&gt;"Casing",Z16&lt;=0.72),"Y",IF(AND(AND(Y16="2 in Hard Road Crossing",OR('Pipe Data'!DQ9="1",'Pipe Data'!DQ9="1 in Public Road Crossing",'Pipe Data'!DQ9=2)),'Pipe Data'!DZ9&gt;=DATE(1961,7,1),'Pipe Data'!I9&lt;&gt;"Casing",Z16&lt;=0.6),"Y",IF(AND(OR(Y16="1 in Public Road Crossing",Y16="1 in Hard Road Parallel"),'Pipe Data'!DZ9&gt;=DATE(1961,7,1),'Pipe Data'!I9&lt;&gt;"Casing",Z16&gt;0.6),"N",IF(AND(Y16="1 on Bridge",'Pipe Data'!DZ9&gt;=DATE(1961,7,1),Z16&gt;0.6),"N",IF(AND(OR(Y16=1,Y16="1 in Station",Y16="1 in Public Road Crossing",Y16="1 in Hard Road Parallel",Y16="1 on Bridge"),Z16&lt;=0.72),"Y",IF(AND(Y16="2 in Station",'Pipe Data'!DQ9=2,Z16&lt;=0.6),"Y",IF(AND(Y16="2 in Station",'Pipe Data'!DZ9&gt;=DATE(1961,7,1),Z16&gt;0.5),"N",IF(AND(Y16="2 in Hard Road Crossing",'Pipe Data'!DZ9&gt;=DATE(1961,7,1),'Pipe Data'!I9&lt;&gt;"Casing",Z16&gt;0.5),"N",IF(OR(AND(OR(Y16=2,Y16="2 in Station",Y16="2 in Hard Road Crossing"),Z16&lt;=0.6),AND(OR(Y16=2,Y16="2 in Station",Y16="2 in Hard Road Crossing"),'Pipe Data'!EJ9&lt;&gt;"N/A",Z16&lt;=0.72)),"Y",IF(OR(AND(OR(Y16=3,Y16="3 in Station",Y16="3 in Hard Road Crossing"),Z16&lt;=0.5),AND(OR(Y16=3,Y16="3 in Station",Y16="3 in Hard Road Crossing"),'Pipe Data'!EJ9&lt;&gt;"N/A",Z16&lt;=0.6)),"Y",IF(OR(AND(Y16=4,Z16&lt;=0.4),AND(Y16=4,'Pipe Data'!EJ9&lt;&gt;"N/A",Z16&lt;=0.5)),"Y","N"))))))))))))))</f>
        <v>Y</v>
      </c>
      <c r="AB16" s="714" t="str">
        <f ca="1">IF(AND(R16='Pipe Data'!EJ9,R16&gt;=W16),"R",IF(AND(R16='Pipe Data'!EJ9,R16&lt;W16),"D",IF(AND(M16&lt;&gt;"N/A",R16&gt;=W16),"R",IF(AND(M16&lt;&gt;"N/A",R16&lt;W16),"D",IF(AND(V16="N/A",W16&lt;=R16),"R",IF(AND(V16="N/A",W16&gt;R16),"D",IF(AND(V16&gt;=W16,R16&gt;=W16),"R",IF(AND(V16&gt;=W16,R16&lt;W16),"D",IF(AND(V16&lt;W16,R16&gt;=W16),"T",IF(AND(V16&lt;W16,R16&lt;W16),IF(V16=R16,"D",IF(MIN(V16,R16)=V16,"T","D")),"R"))))))))))</f>
        <v>R</v>
      </c>
      <c r="AC16" s="714">
        <f ca="1">IF(AND(R16='Pipe Data'!EJ9,R16&gt;=W16),W16,IF(AND(R16='Pipe Data'!EJ9,R16&lt;W16),R16,IF(AND(M16&lt;&gt;"N/A",R16&gt;=W16),W16,IF(AND(M16&lt;&gt;"N/A",R16&lt;W16),R16,IF(AND(V16="N/A",W16&lt;=R16),W16,IF(AND(V16="N/A",W16&gt;R16),R16,IF(AND(V16&gt;=W16,R16&gt;=W16),W16,IF(AND(V16&gt;=W16,R16&lt;W16),R16,IF(AND(V16&lt;W16,R16&gt;=W16),V16,IF(AND(V16&lt;W16,R16&lt;W16),IF(V16=R16,R16,MIN(V16,R16)),W16))))))))))</f>
        <v>204</v>
      </c>
    </row>
    <row r="17" spans="1:29" ht="14.25" x14ac:dyDescent="0.2">
      <c r="A17" s="717">
        <f>'Pipe Data'!G10</f>
        <v>8</v>
      </c>
      <c r="B17" s="718" t="str">
        <f>IF('Pipe Data'!L10&gt;0,'Pipe Data'!L10,"")</f>
        <v/>
      </c>
      <c r="C17" s="719">
        <f>'Pipe Data'!A10</f>
        <v>0</v>
      </c>
      <c r="D17" s="719">
        <f>'Pipe Data'!B10</f>
        <v>0</v>
      </c>
      <c r="E17" s="720" t="str">
        <f>'Pipe Data'!CX10</f>
        <v>Pipe</v>
      </c>
      <c r="F17" s="714">
        <f>IF(OR('Pipe Data'!DZ10="",'Pipe Data'!DZ10="unknown",'Pipe Data'!DZ10="Unknown"),"Unknown",YEAR('Pipe Data'!DZ10))</f>
        <v>1982</v>
      </c>
      <c r="G17" s="721">
        <f ca="1">IF('Pipe Data'!DI10="ERROR","ERROR",IF(OR('Pipe Data'!DW10=1,'Pipe Data'!DY10&lt;&gt;"N/A"),'Pipe Data'!DH10,'Pipe Data'!DI10))</f>
        <v>8.625</v>
      </c>
      <c r="H17" s="722" t="str">
        <f>IF('Pipe Data'!DJ10&gt;0,'Pipe Data'!DJ10,"")</f>
        <v/>
      </c>
      <c r="I17" s="723">
        <f ca="1">IF('Pipe Data'!DW10=1,'Pipe Data'!DC10,'Pipe Data'!DE10)</f>
        <v>0.32200000000000001</v>
      </c>
      <c r="J17" s="722" t="str">
        <f>IF('Pipe Data'!DG10&gt;0,'Pipe Data'!DG10,"")</f>
        <v/>
      </c>
      <c r="K17" s="720">
        <f>IF('Pipe Data'!CZ10=0,"N/A",'Pipe Data'!CZ10)</f>
        <v>35000</v>
      </c>
      <c r="L17" s="722" t="str">
        <f>IF('Pipe Data'!DB10&gt;0,'Pipe Data'!DB10,"")</f>
        <v/>
      </c>
      <c r="M17" s="720" t="str">
        <f>IF(OR('Pipe Data'!DO10="Unknown",'Pipe Data'!DO10="N/A"),"N/A",'Pipe Data'!DO10)</f>
        <v>N/A</v>
      </c>
      <c r="N17" s="722" t="str">
        <f>IF('Pipe Data'!DP10&gt;0,'Pipe Data'!DP10,"")</f>
        <v/>
      </c>
      <c r="O17" s="724" t="str">
        <f>'Pipe Data'!DK10</f>
        <v>Seamless</v>
      </c>
      <c r="P17" s="722" t="str">
        <f>IF('Pipe Data'!DN10&gt;0,'Pipe Data'!DN10,"")</f>
        <v/>
      </c>
      <c r="Q17" s="725">
        <f>IF('Pipe Data'!CX10="Cap","N/A",'Pipe Data'!DM10)</f>
        <v>1</v>
      </c>
      <c r="R17" s="720">
        <f ca="1">IF('Pipe Data'!EJ10&lt;&gt;"N/A",'Pipe Data'!EJ10,IF('Pipe Data'!DY10&lt;&gt;"N/A",'Pipe Data'!DY10,'Pipe Data'!DX10))</f>
        <v>1306</v>
      </c>
      <c r="S17" s="726" t="str">
        <f ca="1">IF(R17='Pipe Data'!EJ10,"A","")</f>
        <v/>
      </c>
      <c r="T17" s="720" t="str">
        <f>IF('Pipe Data'!EC10="N/A","N/A",'Pipe Data'!EC10)</f>
        <v>N/A</v>
      </c>
      <c r="U17" s="714" t="str">
        <f>IF('Pipe Data'!EA10="N/A","N/A",YEAR('Pipe Data'!EA10))</f>
        <v>N/A</v>
      </c>
      <c r="V17" s="720" t="str">
        <f ca="1">IF(R17='Pipe Data'!EJ10,"N/A",'Pipe Data'!EH10)</f>
        <v>N/A</v>
      </c>
      <c r="W17" s="720">
        <f>'Pipe Data'!EK10</f>
        <v>204</v>
      </c>
      <c r="X17" s="722" t="str">
        <f>IF(OR('Pipe Data'!EL10="y",'Pipe Data'!EL10="yes",'Pipe Data'!EL10="Y",'Pipe Data'!EL10="Yes"),"B","")</f>
        <v/>
      </c>
      <c r="Y17" s="720" t="str">
        <f>'Pipe Data'!DS10</f>
        <v>3 in Station</v>
      </c>
      <c r="Z17" s="727">
        <f ca="1">IF('Pipe Data'!DW10=1,'Pipe Data'!EM10,'Pipe Data'!EN10)</f>
        <v>7.8061224489795925E-2</v>
      </c>
      <c r="AA17" s="714" t="str">
        <f ca="1">IF(AND(M17&lt;&gt;"N/A",R17&gt;=W17),"Y",IF(AND(Y17="1 in Station",'Pipe Data'!DQ10=1,Z17&lt;=0.72),"Y",IF(AND(Y17="1 in Station",'Pipe Data'!DZ10&gt;=DATE(1961,7,1),Z17&gt;0.5),"N",IF(AND(OR(AND(Y17="1 in Public Road Crossing",'Pipe Data'!DQ10=1),AND(Y17="1 in Hard Road Parallel",'Pipe Data'!DQ10=1)),'Pipe Data'!DZ10&gt;=DATE(1961,7,1),'Pipe Data'!I10&lt;&gt;"Casing",Z17&lt;=0.72),"Y",IF(AND(AND(Y17="2 in Hard Road Crossing",OR('Pipe Data'!DQ10="1",'Pipe Data'!DQ10="1 in Public Road Crossing",'Pipe Data'!DQ10=2)),'Pipe Data'!DZ10&gt;=DATE(1961,7,1),'Pipe Data'!I10&lt;&gt;"Casing",Z17&lt;=0.6),"Y",IF(AND(OR(Y17="1 in Public Road Crossing",Y17="1 in Hard Road Parallel"),'Pipe Data'!DZ10&gt;=DATE(1961,7,1),'Pipe Data'!I10&lt;&gt;"Casing",Z17&gt;0.6),"N",IF(AND(Y17="1 on Bridge",'Pipe Data'!DZ10&gt;=DATE(1961,7,1),Z17&gt;0.6),"N",IF(AND(OR(Y17=1,Y17="1 in Station",Y17="1 in Public Road Crossing",Y17="1 in Hard Road Parallel",Y17="1 on Bridge"),Z17&lt;=0.72),"Y",IF(AND(Y17="2 in Station",'Pipe Data'!DQ10=2,Z17&lt;=0.6),"Y",IF(AND(Y17="2 in Station",'Pipe Data'!DZ10&gt;=DATE(1961,7,1),Z17&gt;0.5),"N",IF(AND(Y17="2 in Hard Road Crossing",'Pipe Data'!DZ10&gt;=DATE(1961,7,1),'Pipe Data'!I10&lt;&gt;"Casing",Z17&gt;0.5),"N",IF(OR(AND(OR(Y17=2,Y17="2 in Station",Y17="2 in Hard Road Crossing"),Z17&lt;=0.6),AND(OR(Y17=2,Y17="2 in Station",Y17="2 in Hard Road Crossing"),'Pipe Data'!EJ10&lt;&gt;"N/A",Z17&lt;=0.72)),"Y",IF(OR(AND(OR(Y17=3,Y17="3 in Station",Y17="3 in Hard Road Crossing"),Z17&lt;=0.5),AND(OR(Y17=3,Y17="3 in Station",Y17="3 in Hard Road Crossing"),'Pipe Data'!EJ10&lt;&gt;"N/A",Z17&lt;=0.6)),"Y",IF(OR(AND(Y17=4,Z17&lt;=0.4),AND(Y17=4,'Pipe Data'!EJ10&lt;&gt;"N/A",Z17&lt;=0.5)),"Y","N"))))))))))))))</f>
        <v>Y</v>
      </c>
      <c r="AB17" s="714" t="str">
        <f ca="1">IF(AND(R17='Pipe Data'!EJ10,R17&gt;=W17),"R",IF(AND(R17='Pipe Data'!EJ10,R17&lt;W17),"D",IF(AND(M17&lt;&gt;"N/A",R17&gt;=W17),"R",IF(AND(M17&lt;&gt;"N/A",R17&lt;W17),"D",IF(AND(V17="N/A",W17&lt;=R17),"R",IF(AND(V17="N/A",W17&gt;R17),"D",IF(AND(V17&gt;=W17,R17&gt;=W17),"R",IF(AND(V17&gt;=W17,R17&lt;W17),"D",IF(AND(V17&lt;W17,R17&gt;=W17),"T",IF(AND(V17&lt;W17,R17&lt;W17),IF(V17=R17,"D",IF(MIN(V17,R17)=V17,"T","D")),"R"))))))))))</f>
        <v>R</v>
      </c>
      <c r="AC17" s="714">
        <f ca="1">IF(AND(R17='Pipe Data'!EJ10,R17&gt;=W17),W17,IF(AND(R17='Pipe Data'!EJ10,R17&lt;W17),R17,IF(AND(M17&lt;&gt;"N/A",R17&gt;=W17),W17,IF(AND(M17&lt;&gt;"N/A",R17&lt;W17),R17,IF(AND(V17="N/A",W17&lt;=R17),W17,IF(AND(V17="N/A",W17&gt;R17),R17,IF(AND(V17&gt;=W17,R17&gt;=W17),W17,IF(AND(V17&gt;=W17,R17&lt;W17),R17,IF(AND(V17&lt;W17,R17&gt;=W17),V17,IF(AND(V17&lt;W17,R17&lt;W17),IF(V17=R17,R17,MIN(V17,R17)),W17))))))))))</f>
        <v>204</v>
      </c>
    </row>
    <row r="18" spans="1:29" ht="14.25" x14ac:dyDescent="0.2">
      <c r="A18" s="717">
        <f>'Pipe Data'!G11</f>
        <v>9</v>
      </c>
      <c r="B18" s="718" t="str">
        <f>IF('Pipe Data'!L11&gt;0,'Pipe Data'!L11,"")</f>
        <v/>
      </c>
      <c r="C18" s="719">
        <f>'Pipe Data'!A11</f>
        <v>0</v>
      </c>
      <c r="D18" s="719">
        <f>'Pipe Data'!B11</f>
        <v>0</v>
      </c>
      <c r="E18" s="720" t="str">
        <f>'Pipe Data'!CX11</f>
        <v>Tee</v>
      </c>
      <c r="F18" s="714">
        <f>IF(OR('Pipe Data'!DZ11="",'Pipe Data'!DZ11="unknown",'Pipe Data'!DZ11="Unknown"),"Unknown",YEAR('Pipe Data'!DZ11))</f>
        <v>1982</v>
      </c>
      <c r="G18" s="721">
        <f ca="1">IF('Pipe Data'!DI11="ERROR","ERROR",IF(OR('Pipe Data'!DW11=1,'Pipe Data'!DY11&lt;&gt;"N/A"),'Pipe Data'!DH11,'Pipe Data'!DI11))</f>
        <v>8.625</v>
      </c>
      <c r="H18" s="722" t="str">
        <f>IF('Pipe Data'!DJ11&gt;0,'Pipe Data'!DJ11,"")</f>
        <v/>
      </c>
      <c r="I18" s="723">
        <f ca="1">IF('Pipe Data'!DW11=1,'Pipe Data'!DC11,'Pipe Data'!DE11)</f>
        <v>0.32200000000000001</v>
      </c>
      <c r="J18" s="722" t="str">
        <f>IF('Pipe Data'!DG11&gt;0,'Pipe Data'!DG11,"")</f>
        <v/>
      </c>
      <c r="K18" s="720">
        <f>IF('Pipe Data'!CZ11=0,"N/A",'Pipe Data'!CZ11)</f>
        <v>35000</v>
      </c>
      <c r="L18" s="722" t="str">
        <f>IF('Pipe Data'!DB11&gt;0,'Pipe Data'!DB11,"")</f>
        <v/>
      </c>
      <c r="M18" s="720" t="str">
        <f>IF(OR('Pipe Data'!DO11="Unknown",'Pipe Data'!DO11="N/A"),"N/A",'Pipe Data'!DO11)</f>
        <v>N/A</v>
      </c>
      <c r="N18" s="722" t="str">
        <f>IF('Pipe Data'!DP11&gt;0,'Pipe Data'!DP11,"")</f>
        <v/>
      </c>
      <c r="O18" s="724" t="str">
        <f>'Pipe Data'!DK11</f>
        <v>Unknown</v>
      </c>
      <c r="P18" s="722" t="str">
        <f>IF('Pipe Data'!DN11&gt;0,'Pipe Data'!DN11,"")</f>
        <v/>
      </c>
      <c r="Q18" s="725">
        <f>IF('Pipe Data'!CX11="Cap","N/A",'Pipe Data'!DM11)</f>
        <v>1</v>
      </c>
      <c r="R18" s="720">
        <f ca="1">IF('Pipe Data'!EJ11&lt;&gt;"N/A",'Pipe Data'!EJ11,IF('Pipe Data'!DY11&lt;&gt;"N/A",'Pipe Data'!DY11,'Pipe Data'!DX11))</f>
        <v>1306</v>
      </c>
      <c r="S18" s="726" t="str">
        <f ca="1">IF(R18='Pipe Data'!EJ11,"A","")</f>
        <v/>
      </c>
      <c r="T18" s="720" t="str">
        <f>IF('Pipe Data'!EC11="N/A","N/A",'Pipe Data'!EC11)</f>
        <v>N/A</v>
      </c>
      <c r="U18" s="714" t="str">
        <f>IF('Pipe Data'!EA11="N/A","N/A",YEAR('Pipe Data'!EA11))</f>
        <v>N/A</v>
      </c>
      <c r="V18" s="720" t="str">
        <f ca="1">IF(R18='Pipe Data'!EJ11,"N/A",'Pipe Data'!EH11)</f>
        <v>N/A</v>
      </c>
      <c r="W18" s="720">
        <f>'Pipe Data'!EK11</f>
        <v>204</v>
      </c>
      <c r="X18" s="722" t="str">
        <f>IF(OR('Pipe Data'!EL11="y",'Pipe Data'!EL11="yes",'Pipe Data'!EL11="Y",'Pipe Data'!EL11="Yes"),"B","")</f>
        <v/>
      </c>
      <c r="Y18" s="720" t="str">
        <f>'Pipe Data'!DS11</f>
        <v>3 in Station</v>
      </c>
      <c r="Z18" s="727">
        <f ca="1">IF('Pipe Data'!DW11=1,'Pipe Data'!EM11,'Pipe Data'!EN11)</f>
        <v>7.8061224489795925E-2</v>
      </c>
      <c r="AA18" s="714" t="str">
        <f ca="1">IF(AND(M18&lt;&gt;"N/A",R18&gt;=W18),"Y",IF(AND(Y18="1 in Station",'Pipe Data'!DQ11=1,Z18&lt;=0.72),"Y",IF(AND(Y18="1 in Station",'Pipe Data'!DZ11&gt;=DATE(1961,7,1),Z18&gt;0.5),"N",IF(AND(OR(AND(Y18="1 in Public Road Crossing",'Pipe Data'!DQ11=1),AND(Y18="1 in Hard Road Parallel",'Pipe Data'!DQ11=1)),'Pipe Data'!DZ11&gt;=DATE(1961,7,1),'Pipe Data'!I11&lt;&gt;"Casing",Z18&lt;=0.72),"Y",IF(AND(AND(Y18="2 in Hard Road Crossing",OR('Pipe Data'!DQ11="1",'Pipe Data'!DQ11="1 in Public Road Crossing",'Pipe Data'!DQ11=2)),'Pipe Data'!DZ11&gt;=DATE(1961,7,1),'Pipe Data'!I11&lt;&gt;"Casing",Z18&lt;=0.6),"Y",IF(AND(OR(Y18="1 in Public Road Crossing",Y18="1 in Hard Road Parallel"),'Pipe Data'!DZ11&gt;=DATE(1961,7,1),'Pipe Data'!I11&lt;&gt;"Casing",Z18&gt;0.6),"N",IF(AND(Y18="1 on Bridge",'Pipe Data'!DZ11&gt;=DATE(1961,7,1),Z18&gt;0.6),"N",IF(AND(OR(Y18=1,Y18="1 in Station",Y18="1 in Public Road Crossing",Y18="1 in Hard Road Parallel",Y18="1 on Bridge"),Z18&lt;=0.72),"Y",IF(AND(Y18="2 in Station",'Pipe Data'!DQ11=2,Z18&lt;=0.6),"Y",IF(AND(Y18="2 in Station",'Pipe Data'!DZ11&gt;=DATE(1961,7,1),Z18&gt;0.5),"N",IF(AND(Y18="2 in Hard Road Crossing",'Pipe Data'!DZ11&gt;=DATE(1961,7,1),'Pipe Data'!I11&lt;&gt;"Casing",Z18&gt;0.5),"N",IF(OR(AND(OR(Y18=2,Y18="2 in Station",Y18="2 in Hard Road Crossing"),Z18&lt;=0.6),AND(OR(Y18=2,Y18="2 in Station",Y18="2 in Hard Road Crossing"),'Pipe Data'!EJ11&lt;&gt;"N/A",Z18&lt;=0.72)),"Y",IF(OR(AND(OR(Y18=3,Y18="3 in Station",Y18="3 in Hard Road Crossing"),Z18&lt;=0.5),AND(OR(Y18=3,Y18="3 in Station",Y18="3 in Hard Road Crossing"),'Pipe Data'!EJ11&lt;&gt;"N/A",Z18&lt;=0.6)),"Y",IF(OR(AND(Y18=4,Z18&lt;=0.4),AND(Y18=4,'Pipe Data'!EJ11&lt;&gt;"N/A",Z18&lt;=0.5)),"Y","N"))))))))))))))</f>
        <v>Y</v>
      </c>
      <c r="AB18" s="714" t="str">
        <f ca="1">IF(AND(R18='Pipe Data'!EJ11,R18&gt;=W18),"R",IF(AND(R18='Pipe Data'!EJ11,R18&lt;W18),"D",IF(AND(M18&lt;&gt;"N/A",R18&gt;=W18),"R",IF(AND(M18&lt;&gt;"N/A",R18&lt;W18),"D",IF(AND(V18="N/A",W18&lt;=R18),"R",IF(AND(V18="N/A",W18&gt;R18),"D",IF(AND(V18&gt;=W18,R18&gt;=W18),"R",IF(AND(V18&gt;=W18,R18&lt;W18),"D",IF(AND(V18&lt;W18,R18&gt;=W18),"T",IF(AND(V18&lt;W18,R18&lt;W18),IF(V18=R18,"D",IF(MIN(V18,R18)=V18,"T","D")),"R"))))))))))</f>
        <v>R</v>
      </c>
      <c r="AC18" s="714">
        <f ca="1">IF(AND(R18='Pipe Data'!EJ11,R18&gt;=W18),W18,IF(AND(R18='Pipe Data'!EJ11,R18&lt;W18),R18,IF(AND(M18&lt;&gt;"N/A",R18&gt;=W18),W18,IF(AND(M18&lt;&gt;"N/A",R18&lt;W18),R18,IF(AND(V18="N/A",W18&lt;=R18),W18,IF(AND(V18="N/A",W18&gt;R18),R18,IF(AND(V18&gt;=W18,R18&gt;=W18),W18,IF(AND(V18&gt;=W18,R18&lt;W18),R18,IF(AND(V18&lt;W18,R18&gt;=W18),V18,IF(AND(V18&lt;W18,R18&lt;W18),IF(V18=R18,R18,MIN(V18,R18)),W18))))))))))</f>
        <v>204</v>
      </c>
    </row>
    <row r="19" spans="1:29" ht="14.25" x14ac:dyDescent="0.2">
      <c r="A19" s="717">
        <f>'Pipe Data'!G12</f>
        <v>10</v>
      </c>
      <c r="B19" s="718" t="str">
        <f>IF('Pipe Data'!L12&gt;0,'Pipe Data'!L12,"")</f>
        <v/>
      </c>
      <c r="C19" s="719">
        <f>'Pipe Data'!A12</f>
        <v>0</v>
      </c>
      <c r="D19" s="719">
        <f>'Pipe Data'!B12</f>
        <v>0</v>
      </c>
      <c r="E19" s="720" t="str">
        <f>'Pipe Data'!CX12</f>
        <v>Pipe</v>
      </c>
      <c r="F19" s="714">
        <f>IF(OR('Pipe Data'!DZ12="",'Pipe Data'!DZ12="unknown",'Pipe Data'!DZ12="Unknown"),"Unknown",YEAR('Pipe Data'!DZ12))</f>
        <v>1982</v>
      </c>
      <c r="G19" s="721">
        <f ca="1">IF('Pipe Data'!DI12="ERROR","ERROR",IF(OR('Pipe Data'!DW12=1,'Pipe Data'!DY12&lt;&gt;"N/A"),'Pipe Data'!DH12,'Pipe Data'!DI12))</f>
        <v>8.625</v>
      </c>
      <c r="H19" s="722" t="str">
        <f>IF('Pipe Data'!DJ12&gt;0,'Pipe Data'!DJ12,"")</f>
        <v/>
      </c>
      <c r="I19" s="723">
        <f ca="1">IF('Pipe Data'!DW12=1,'Pipe Data'!DC12,'Pipe Data'!DE12)</f>
        <v>0.32200000000000001</v>
      </c>
      <c r="J19" s="722" t="str">
        <f>IF('Pipe Data'!DG12&gt;0,'Pipe Data'!DG12,"")</f>
        <v/>
      </c>
      <c r="K19" s="720">
        <f>IF('Pipe Data'!CZ12=0,"N/A",'Pipe Data'!CZ12)</f>
        <v>35000</v>
      </c>
      <c r="L19" s="722" t="str">
        <f>IF('Pipe Data'!DB12&gt;0,'Pipe Data'!DB12,"")</f>
        <v/>
      </c>
      <c r="M19" s="720" t="str">
        <f>IF(OR('Pipe Data'!DO12="Unknown",'Pipe Data'!DO12="N/A"),"N/A",'Pipe Data'!DO12)</f>
        <v>N/A</v>
      </c>
      <c r="N19" s="722" t="str">
        <f>IF('Pipe Data'!DP12&gt;0,'Pipe Data'!DP12,"")</f>
        <v/>
      </c>
      <c r="O19" s="724" t="str">
        <f>'Pipe Data'!DK12</f>
        <v>Seamless</v>
      </c>
      <c r="P19" s="722" t="str">
        <f>IF('Pipe Data'!DN12&gt;0,'Pipe Data'!DN12,"")</f>
        <v/>
      </c>
      <c r="Q19" s="725">
        <f>IF('Pipe Data'!CX12="Cap","N/A",'Pipe Data'!DM12)</f>
        <v>1</v>
      </c>
      <c r="R19" s="720">
        <f ca="1">IF('Pipe Data'!EJ12&lt;&gt;"N/A",'Pipe Data'!EJ12,IF('Pipe Data'!DY12&lt;&gt;"N/A",'Pipe Data'!DY12,'Pipe Data'!DX12))</f>
        <v>1306</v>
      </c>
      <c r="S19" s="726" t="str">
        <f ca="1">IF(R19='Pipe Data'!EJ12,"A","")</f>
        <v/>
      </c>
      <c r="T19" s="720" t="str">
        <f>IF('Pipe Data'!EC12="N/A","N/A",'Pipe Data'!EC12)</f>
        <v>N/A</v>
      </c>
      <c r="U19" s="714" t="str">
        <f>IF('Pipe Data'!EA12="N/A","N/A",YEAR('Pipe Data'!EA12))</f>
        <v>N/A</v>
      </c>
      <c r="V19" s="720" t="str">
        <f ca="1">IF(R19='Pipe Data'!EJ12,"N/A",'Pipe Data'!EH12)</f>
        <v>N/A</v>
      </c>
      <c r="W19" s="720">
        <f>'Pipe Data'!EK12</f>
        <v>204</v>
      </c>
      <c r="X19" s="722" t="str">
        <f>IF(OR('Pipe Data'!EL12="y",'Pipe Data'!EL12="yes",'Pipe Data'!EL12="Y",'Pipe Data'!EL12="Yes"),"B","")</f>
        <v/>
      </c>
      <c r="Y19" s="720" t="str">
        <f>'Pipe Data'!DS12</f>
        <v>3 in Station</v>
      </c>
      <c r="Z19" s="727">
        <f ca="1">IF('Pipe Data'!DW12=1,'Pipe Data'!EM12,'Pipe Data'!EN12)</f>
        <v>7.8061224489795925E-2</v>
      </c>
      <c r="AA19" s="714" t="str">
        <f ca="1">IF(AND(M19&lt;&gt;"N/A",R19&gt;=W19),"Y",IF(AND(Y19="1 in Station",'Pipe Data'!DQ12=1,Z19&lt;=0.72),"Y",IF(AND(Y19="1 in Station",'Pipe Data'!DZ12&gt;=DATE(1961,7,1),Z19&gt;0.5),"N",IF(AND(OR(AND(Y19="1 in Public Road Crossing",'Pipe Data'!DQ12=1),AND(Y19="1 in Hard Road Parallel",'Pipe Data'!DQ12=1)),'Pipe Data'!DZ12&gt;=DATE(1961,7,1),'Pipe Data'!I12&lt;&gt;"Casing",Z19&lt;=0.72),"Y",IF(AND(AND(Y19="2 in Hard Road Crossing",OR('Pipe Data'!DQ12="1",'Pipe Data'!DQ12="1 in Public Road Crossing",'Pipe Data'!DQ12=2)),'Pipe Data'!DZ12&gt;=DATE(1961,7,1),'Pipe Data'!I12&lt;&gt;"Casing",Z19&lt;=0.6),"Y",IF(AND(OR(Y19="1 in Public Road Crossing",Y19="1 in Hard Road Parallel"),'Pipe Data'!DZ12&gt;=DATE(1961,7,1),'Pipe Data'!I12&lt;&gt;"Casing",Z19&gt;0.6),"N",IF(AND(Y19="1 on Bridge",'Pipe Data'!DZ12&gt;=DATE(1961,7,1),Z19&gt;0.6),"N",IF(AND(OR(Y19=1,Y19="1 in Station",Y19="1 in Public Road Crossing",Y19="1 in Hard Road Parallel",Y19="1 on Bridge"),Z19&lt;=0.72),"Y",IF(AND(Y19="2 in Station",'Pipe Data'!DQ12=2,Z19&lt;=0.6),"Y",IF(AND(Y19="2 in Station",'Pipe Data'!DZ12&gt;=DATE(1961,7,1),Z19&gt;0.5),"N",IF(AND(Y19="2 in Hard Road Crossing",'Pipe Data'!DZ12&gt;=DATE(1961,7,1),'Pipe Data'!I12&lt;&gt;"Casing",Z19&gt;0.5),"N",IF(OR(AND(OR(Y19=2,Y19="2 in Station",Y19="2 in Hard Road Crossing"),Z19&lt;=0.6),AND(OR(Y19=2,Y19="2 in Station",Y19="2 in Hard Road Crossing"),'Pipe Data'!EJ12&lt;&gt;"N/A",Z19&lt;=0.72)),"Y",IF(OR(AND(OR(Y19=3,Y19="3 in Station",Y19="3 in Hard Road Crossing"),Z19&lt;=0.5),AND(OR(Y19=3,Y19="3 in Station",Y19="3 in Hard Road Crossing"),'Pipe Data'!EJ12&lt;&gt;"N/A",Z19&lt;=0.6)),"Y",IF(OR(AND(Y19=4,Z19&lt;=0.4),AND(Y19=4,'Pipe Data'!EJ12&lt;&gt;"N/A",Z19&lt;=0.5)),"Y","N"))))))))))))))</f>
        <v>Y</v>
      </c>
      <c r="AB19" s="714" t="str">
        <f ca="1">IF(AND(R19='Pipe Data'!EJ12,R19&gt;=W19),"R",IF(AND(R19='Pipe Data'!EJ12,R19&lt;W19),"D",IF(AND(M19&lt;&gt;"N/A",R19&gt;=W19),"R",IF(AND(M19&lt;&gt;"N/A",R19&lt;W19),"D",IF(AND(V19="N/A",W19&lt;=R19),"R",IF(AND(V19="N/A",W19&gt;R19),"D",IF(AND(V19&gt;=W19,R19&gt;=W19),"R",IF(AND(V19&gt;=W19,R19&lt;W19),"D",IF(AND(V19&lt;W19,R19&gt;=W19),"T",IF(AND(V19&lt;W19,R19&lt;W19),IF(V19=R19,"D",IF(MIN(V19,R19)=V19,"T","D")),"R"))))))))))</f>
        <v>R</v>
      </c>
      <c r="AC19" s="714">
        <f ca="1">IF(AND(R19='Pipe Data'!EJ12,R19&gt;=W19),W19,IF(AND(R19='Pipe Data'!EJ12,R19&lt;W19),R19,IF(AND(M19&lt;&gt;"N/A",R19&gt;=W19),W19,IF(AND(M19&lt;&gt;"N/A",R19&lt;W19),R19,IF(AND(V19="N/A",W19&lt;=R19),W19,IF(AND(V19="N/A",W19&gt;R19),R19,IF(AND(V19&gt;=W19,R19&gt;=W19),W19,IF(AND(V19&gt;=W19,R19&lt;W19),R19,IF(AND(V19&lt;W19,R19&gt;=W19),V19,IF(AND(V19&lt;W19,R19&lt;W19),IF(V19=R19,R19,MIN(V19,R19)),W19))))))))))</f>
        <v>204</v>
      </c>
    </row>
    <row r="20" spans="1:29" ht="14.25" x14ac:dyDescent="0.2">
      <c r="A20" s="717">
        <f>'Pipe Data'!G13</f>
        <v>11</v>
      </c>
      <c r="B20" s="718" t="str">
        <f>IF('Pipe Data'!L13&gt;0,'Pipe Data'!L13,"")</f>
        <v/>
      </c>
      <c r="C20" s="719">
        <f>'Pipe Data'!A13</f>
        <v>0</v>
      </c>
      <c r="D20" s="719">
        <f>'Pipe Data'!B13</f>
        <v>0</v>
      </c>
      <c r="E20" s="720" t="str">
        <f>'Pipe Data'!CX13</f>
        <v>Appurtenance</v>
      </c>
      <c r="F20" s="714">
        <f>IF(OR('Pipe Data'!DZ13="",'Pipe Data'!DZ13="unknown",'Pipe Data'!DZ13="Unknown"),"Unknown",YEAR('Pipe Data'!DZ13))</f>
        <v>1982</v>
      </c>
      <c r="G20" s="721" t="e">
        <f ca="1">IF('Pipe Data'!DI13="ERROR","ERROR",IF(OR('Pipe Data'!DW13=1,'Pipe Data'!DY13&lt;&gt;"N/A"),'Pipe Data'!DH13,'Pipe Data'!DI13))</f>
        <v>#VALUE!</v>
      </c>
      <c r="H20" s="722" t="str">
        <f>IF('Pipe Data'!DJ13&gt;0,'Pipe Data'!DJ13,"")</f>
        <v/>
      </c>
      <c r="I20" s="723" t="e">
        <f ca="1">IF('Pipe Data'!DW13=1,'Pipe Data'!DC13,'Pipe Data'!DE13)</f>
        <v>#VALUE!</v>
      </c>
      <c r="J20" s="722" t="str">
        <f>IF('Pipe Data'!DG13&gt;0,'Pipe Data'!DG13,"")</f>
        <v/>
      </c>
      <c r="K20" s="720" t="str">
        <f>IF('Pipe Data'!CZ13=0,"N/A",'Pipe Data'!CZ13)</f>
        <v>N/A</v>
      </c>
      <c r="L20" s="722" t="str">
        <f>IF('Pipe Data'!DB13&gt;0,'Pipe Data'!DB13,"")</f>
        <v/>
      </c>
      <c r="M20" s="720" t="str">
        <f>IF(OR('Pipe Data'!DO13="Unknown",'Pipe Data'!DO13="N/A"),"N/A",'Pipe Data'!DO13)</f>
        <v>N/A</v>
      </c>
      <c r="N20" s="722" t="str">
        <f>IF('Pipe Data'!DP13&gt;0,'Pipe Data'!DP13,"")</f>
        <v/>
      </c>
      <c r="O20" s="724" t="str">
        <f>'Pipe Data'!DK13</f>
        <v>N/A</v>
      </c>
      <c r="P20" s="722" t="str">
        <f>IF('Pipe Data'!DN13&gt;0,'Pipe Data'!DN13,"")</f>
        <v/>
      </c>
      <c r="Q20" s="725" t="str">
        <f>IF('Pipe Data'!CX13="Cap","N/A",'Pipe Data'!DM13)</f>
        <v>N/A</v>
      </c>
      <c r="R20" s="720" t="e">
        <f ca="1">IF('Pipe Data'!EJ13&lt;&gt;"N/A",'Pipe Data'!EJ13,IF('Pipe Data'!DY13&lt;&gt;"N/A",'Pipe Data'!DY13,'Pipe Data'!DX13))</f>
        <v>#VALUE!</v>
      </c>
      <c r="S20" s="726" t="e">
        <f ca="1">IF(R20='Pipe Data'!EJ13,"A","")</f>
        <v>#VALUE!</v>
      </c>
      <c r="T20" s="720" t="str">
        <f>IF('Pipe Data'!EC13="N/A","N/A",'Pipe Data'!EC13)</f>
        <v>N/A</v>
      </c>
      <c r="U20" s="714" t="str">
        <f>IF('Pipe Data'!EA13="N/A","N/A",YEAR('Pipe Data'!EA13))</f>
        <v>N/A</v>
      </c>
      <c r="V20" s="720" t="e">
        <f ca="1">IF(R20='Pipe Data'!EJ13,"N/A",'Pipe Data'!EH13)</f>
        <v>#VALUE!</v>
      </c>
      <c r="W20" s="720">
        <f>'Pipe Data'!EK13</f>
        <v>204</v>
      </c>
      <c r="X20" s="722" t="str">
        <f>IF(OR('Pipe Data'!EL13="y",'Pipe Data'!EL13="yes",'Pipe Data'!EL13="Y",'Pipe Data'!EL13="Yes"),"B","")</f>
        <v/>
      </c>
      <c r="Y20" s="720">
        <f>'Pipe Data'!DS13</f>
        <v>3</v>
      </c>
      <c r="Z20" s="727" t="e">
        <f ca="1">IF('Pipe Data'!DW13=1,'Pipe Data'!EM13,'Pipe Data'!EN13)</f>
        <v>#VALUE!</v>
      </c>
      <c r="AA20" s="714" t="e">
        <f ca="1">IF(AND(M20&lt;&gt;"N/A",R20&gt;=W20),"Y",IF(AND(Y20="1 in Station",'Pipe Data'!DQ13=1,Z20&lt;=0.72),"Y",IF(AND(Y20="1 in Station",'Pipe Data'!DZ13&gt;=DATE(1961,7,1),Z20&gt;0.5),"N",IF(AND(OR(AND(Y20="1 in Public Road Crossing",'Pipe Data'!DQ13=1),AND(Y20="1 in Hard Road Parallel",'Pipe Data'!DQ13=1)),'Pipe Data'!DZ13&gt;=DATE(1961,7,1),'Pipe Data'!I13&lt;&gt;"Casing",Z20&lt;=0.72),"Y",IF(AND(AND(Y20="2 in Hard Road Crossing",OR('Pipe Data'!DQ13="1",'Pipe Data'!DQ13="1 in Public Road Crossing",'Pipe Data'!DQ13=2)),'Pipe Data'!DZ13&gt;=DATE(1961,7,1),'Pipe Data'!I13&lt;&gt;"Casing",Z20&lt;=0.6),"Y",IF(AND(OR(Y20="1 in Public Road Crossing",Y20="1 in Hard Road Parallel"),'Pipe Data'!DZ13&gt;=DATE(1961,7,1),'Pipe Data'!I13&lt;&gt;"Casing",Z20&gt;0.6),"N",IF(AND(Y20="1 on Bridge",'Pipe Data'!DZ13&gt;=DATE(1961,7,1),Z20&gt;0.6),"N",IF(AND(OR(Y20=1,Y20="1 in Station",Y20="1 in Public Road Crossing",Y20="1 in Hard Road Parallel",Y20="1 on Bridge"),Z20&lt;=0.72),"Y",IF(AND(Y20="2 in Station",'Pipe Data'!DQ13=2,Z20&lt;=0.6),"Y",IF(AND(Y20="2 in Station",'Pipe Data'!DZ13&gt;=DATE(1961,7,1),Z20&gt;0.5),"N",IF(AND(Y20="2 in Hard Road Crossing",'Pipe Data'!DZ13&gt;=DATE(1961,7,1),'Pipe Data'!I13&lt;&gt;"Casing",Z20&gt;0.5),"N",IF(OR(AND(OR(Y20=2,Y20="2 in Station",Y20="2 in Hard Road Crossing"),Z20&lt;=0.6),AND(OR(Y20=2,Y20="2 in Station",Y20="2 in Hard Road Crossing"),'Pipe Data'!EJ13&lt;&gt;"N/A",Z20&lt;=0.72)),"Y",IF(OR(AND(OR(Y20=3,Y20="3 in Station",Y20="3 in Hard Road Crossing"),Z20&lt;=0.5),AND(OR(Y20=3,Y20="3 in Station",Y20="3 in Hard Road Crossing"),'Pipe Data'!EJ13&lt;&gt;"N/A",Z20&lt;=0.6)),"Y",IF(OR(AND(Y20=4,Z20&lt;=0.4),AND(Y20=4,'Pipe Data'!EJ13&lt;&gt;"N/A",Z20&lt;=0.5)),"Y","N"))))))))))))))</f>
        <v>#VALUE!</v>
      </c>
      <c r="AB20" s="714" t="e">
        <f ca="1">IF(AND(R20='Pipe Data'!EJ13,R20&gt;=W20),"R",IF(AND(R20='Pipe Data'!EJ13,R20&lt;W20),"D",IF(AND(M20&lt;&gt;"N/A",R20&gt;=W20),"R",IF(AND(M20&lt;&gt;"N/A",R20&lt;W20),"D",IF(AND(V20="N/A",W20&lt;=R20),"R",IF(AND(V20="N/A",W20&gt;R20),"D",IF(AND(V20&gt;=W20,R20&gt;=W20),"R",IF(AND(V20&gt;=W20,R20&lt;W20),"D",IF(AND(V20&lt;W20,R20&gt;=W20),"T",IF(AND(V20&lt;W20,R20&lt;W20),IF(V20=R20,"D",IF(MIN(V20,R20)=V20,"T","D")),"R"))))))))))</f>
        <v>#VALUE!</v>
      </c>
      <c r="AC20" s="714" t="e">
        <f ca="1">IF(AND(R20='Pipe Data'!EJ13,R20&gt;=W20),W20,IF(AND(R20='Pipe Data'!EJ13,R20&lt;W20),R20,IF(AND(M20&lt;&gt;"N/A",R20&gt;=W20),W20,IF(AND(M20&lt;&gt;"N/A",R20&lt;W20),R20,IF(AND(V20="N/A",W20&lt;=R20),W20,IF(AND(V20="N/A",W20&gt;R20),R20,IF(AND(V20&gt;=W20,R20&gt;=W20),W20,IF(AND(V20&gt;=W20,R20&lt;W20),R20,IF(AND(V20&lt;W20,R20&gt;=W20),V20,IF(AND(V20&lt;W20,R20&lt;W20),IF(V20=R20,R20,MIN(V20,R20)),W20))))))))))</f>
        <v>#VALUE!</v>
      </c>
    </row>
    <row r="21" spans="1:29" ht="14.25" x14ac:dyDescent="0.2">
      <c r="A21" s="717">
        <f>'Pipe Data'!G14</f>
        <v>12</v>
      </c>
      <c r="B21" s="718" t="str">
        <f>IF('Pipe Data'!L14&gt;0,'Pipe Data'!L14,"")</f>
        <v/>
      </c>
      <c r="C21" s="719">
        <f>'Pipe Data'!A14</f>
        <v>0</v>
      </c>
      <c r="D21" s="719">
        <f>'Pipe Data'!B14</f>
        <v>0</v>
      </c>
      <c r="E21" s="720" t="str">
        <f>'Pipe Data'!CX14</f>
        <v>Pipe</v>
      </c>
      <c r="F21" s="714">
        <f>IF(OR('Pipe Data'!DZ14="",'Pipe Data'!DZ14="unknown",'Pipe Data'!DZ14="Unknown"),"Unknown",YEAR('Pipe Data'!DZ14))</f>
        <v>1982</v>
      </c>
      <c r="G21" s="721">
        <f ca="1">IF('Pipe Data'!DI14="ERROR","ERROR",IF(OR('Pipe Data'!DW14=1,'Pipe Data'!DY14&lt;&gt;"N/A"),'Pipe Data'!DH14,'Pipe Data'!DI14))</f>
        <v>8.625</v>
      </c>
      <c r="H21" s="722" t="str">
        <f>IF('Pipe Data'!DJ14&gt;0,'Pipe Data'!DJ14,"")</f>
        <v/>
      </c>
      <c r="I21" s="723">
        <f ca="1">IF('Pipe Data'!DW14=1,'Pipe Data'!DC14,'Pipe Data'!DE14)</f>
        <v>0.32200000000000001</v>
      </c>
      <c r="J21" s="722" t="str">
        <f>IF('Pipe Data'!DG14&gt;0,'Pipe Data'!DG14,"")</f>
        <v/>
      </c>
      <c r="K21" s="720">
        <f>IF('Pipe Data'!CZ14=0,"N/A",'Pipe Data'!CZ14)</f>
        <v>35000</v>
      </c>
      <c r="L21" s="722" t="str">
        <f>IF('Pipe Data'!DB14&gt;0,'Pipe Data'!DB14,"")</f>
        <v/>
      </c>
      <c r="M21" s="720" t="str">
        <f>IF(OR('Pipe Data'!DO14="Unknown",'Pipe Data'!DO14="N/A"),"N/A",'Pipe Data'!DO14)</f>
        <v>N/A</v>
      </c>
      <c r="N21" s="722" t="str">
        <f>IF('Pipe Data'!DP14&gt;0,'Pipe Data'!DP14,"")</f>
        <v/>
      </c>
      <c r="O21" s="724" t="str">
        <f>'Pipe Data'!DK14</f>
        <v>Seamless</v>
      </c>
      <c r="P21" s="722" t="str">
        <f>IF('Pipe Data'!DN14&gt;0,'Pipe Data'!DN14,"")</f>
        <v/>
      </c>
      <c r="Q21" s="725">
        <f>IF('Pipe Data'!CX14="Cap","N/A",'Pipe Data'!DM14)</f>
        <v>1</v>
      </c>
      <c r="R21" s="720">
        <f ca="1">IF('Pipe Data'!EJ14&lt;&gt;"N/A",'Pipe Data'!EJ14,IF('Pipe Data'!DY14&lt;&gt;"N/A",'Pipe Data'!DY14,'Pipe Data'!DX14))</f>
        <v>1306</v>
      </c>
      <c r="S21" s="726" t="str">
        <f ca="1">IF(R21='Pipe Data'!EJ14,"A","")</f>
        <v/>
      </c>
      <c r="T21" s="720" t="str">
        <f>IF('Pipe Data'!EC14="N/A","N/A",'Pipe Data'!EC14)</f>
        <v>N/A</v>
      </c>
      <c r="U21" s="714" t="str">
        <f>IF('Pipe Data'!EA14="N/A","N/A",YEAR('Pipe Data'!EA14))</f>
        <v>N/A</v>
      </c>
      <c r="V21" s="720" t="str">
        <f ca="1">IF(R21='Pipe Data'!EJ14,"N/A",'Pipe Data'!EH14)</f>
        <v>N/A</v>
      </c>
      <c r="W21" s="720">
        <f>'Pipe Data'!EK14</f>
        <v>204</v>
      </c>
      <c r="X21" s="722" t="str">
        <f>IF(OR('Pipe Data'!EL14="y",'Pipe Data'!EL14="yes",'Pipe Data'!EL14="Y",'Pipe Data'!EL14="Yes"),"B","")</f>
        <v/>
      </c>
      <c r="Y21" s="720">
        <f>'Pipe Data'!DS14</f>
        <v>3</v>
      </c>
      <c r="Z21" s="727">
        <f ca="1">IF('Pipe Data'!DW14=1,'Pipe Data'!EM14,'Pipe Data'!EN14)</f>
        <v>7.8061224489795925E-2</v>
      </c>
      <c r="AA21" s="714" t="str">
        <f ca="1">IF(AND(M21&lt;&gt;"N/A",R21&gt;=W21),"Y",IF(AND(Y21="1 in Station",'Pipe Data'!DQ14=1,Z21&lt;=0.72),"Y",IF(AND(Y21="1 in Station",'Pipe Data'!DZ14&gt;=DATE(1961,7,1),Z21&gt;0.5),"N",IF(AND(OR(AND(Y21="1 in Public Road Crossing",'Pipe Data'!DQ14=1),AND(Y21="1 in Hard Road Parallel",'Pipe Data'!DQ14=1)),'Pipe Data'!DZ14&gt;=DATE(1961,7,1),'Pipe Data'!I14&lt;&gt;"Casing",Z21&lt;=0.72),"Y",IF(AND(AND(Y21="2 in Hard Road Crossing",OR('Pipe Data'!DQ14="1",'Pipe Data'!DQ14="1 in Public Road Crossing",'Pipe Data'!DQ14=2)),'Pipe Data'!DZ14&gt;=DATE(1961,7,1),'Pipe Data'!I14&lt;&gt;"Casing",Z21&lt;=0.6),"Y",IF(AND(OR(Y21="1 in Public Road Crossing",Y21="1 in Hard Road Parallel"),'Pipe Data'!DZ14&gt;=DATE(1961,7,1),'Pipe Data'!I14&lt;&gt;"Casing",Z21&gt;0.6),"N",IF(AND(Y21="1 on Bridge",'Pipe Data'!DZ14&gt;=DATE(1961,7,1),Z21&gt;0.6),"N",IF(AND(OR(Y21=1,Y21="1 in Station",Y21="1 in Public Road Crossing",Y21="1 in Hard Road Parallel",Y21="1 on Bridge"),Z21&lt;=0.72),"Y",IF(AND(Y21="2 in Station",'Pipe Data'!DQ14=2,Z21&lt;=0.6),"Y",IF(AND(Y21="2 in Station",'Pipe Data'!DZ14&gt;=DATE(1961,7,1),Z21&gt;0.5),"N",IF(AND(Y21="2 in Hard Road Crossing",'Pipe Data'!DZ14&gt;=DATE(1961,7,1),'Pipe Data'!I14&lt;&gt;"Casing",Z21&gt;0.5),"N",IF(OR(AND(OR(Y21=2,Y21="2 in Station",Y21="2 in Hard Road Crossing"),Z21&lt;=0.6),AND(OR(Y21=2,Y21="2 in Station",Y21="2 in Hard Road Crossing"),'Pipe Data'!EJ14&lt;&gt;"N/A",Z21&lt;=0.72)),"Y",IF(OR(AND(OR(Y21=3,Y21="3 in Station",Y21="3 in Hard Road Crossing"),Z21&lt;=0.5),AND(OR(Y21=3,Y21="3 in Station",Y21="3 in Hard Road Crossing"),'Pipe Data'!EJ14&lt;&gt;"N/A",Z21&lt;=0.6)),"Y",IF(OR(AND(Y21=4,Z21&lt;=0.4),AND(Y21=4,'Pipe Data'!EJ14&lt;&gt;"N/A",Z21&lt;=0.5)),"Y","N"))))))))))))))</f>
        <v>Y</v>
      </c>
      <c r="AB21" s="714" t="str">
        <f ca="1">IF(AND(R21='Pipe Data'!EJ14,R21&gt;=W21),"R",IF(AND(R21='Pipe Data'!EJ14,R21&lt;W21),"D",IF(AND(M21&lt;&gt;"N/A",R21&gt;=W21),"R",IF(AND(M21&lt;&gt;"N/A",R21&lt;W21),"D",IF(AND(V21="N/A",W21&lt;=R21),"R",IF(AND(V21="N/A",W21&gt;R21),"D",IF(AND(V21&gt;=W21,R21&gt;=W21),"R",IF(AND(V21&gt;=W21,R21&lt;W21),"D",IF(AND(V21&lt;W21,R21&gt;=W21),"T",IF(AND(V21&lt;W21,R21&lt;W21),IF(V21=R21,"D",IF(MIN(V21,R21)=V21,"T","D")),"R"))))))))))</f>
        <v>R</v>
      </c>
      <c r="AC21" s="714">
        <f ca="1">IF(AND(R21='Pipe Data'!EJ14,R21&gt;=W21),W21,IF(AND(R21='Pipe Data'!EJ14,R21&lt;W21),R21,IF(AND(M21&lt;&gt;"N/A",R21&gt;=W21),W21,IF(AND(M21&lt;&gt;"N/A",R21&lt;W21),R21,IF(AND(V21="N/A",W21&lt;=R21),W21,IF(AND(V21="N/A",W21&gt;R21),R21,IF(AND(V21&gt;=W21,R21&gt;=W21),W21,IF(AND(V21&gt;=W21,R21&lt;W21),R21,IF(AND(V21&lt;W21,R21&gt;=W21),V21,IF(AND(V21&lt;W21,R21&lt;W21),IF(V21=R21,R21,MIN(V21,R21)),W21))))))))))</f>
        <v>204</v>
      </c>
    </row>
    <row r="22" spans="1:29" ht="14.25" x14ac:dyDescent="0.2">
      <c r="A22" s="717">
        <f>'Pipe Data'!G15</f>
        <v>13</v>
      </c>
      <c r="B22" s="718" t="str">
        <f>IF('Pipe Data'!L15&gt;0,'Pipe Data'!L15,"")</f>
        <v/>
      </c>
      <c r="C22" s="719">
        <f>'Pipe Data'!A15</f>
        <v>0</v>
      </c>
      <c r="D22" s="719">
        <f>'Pipe Data'!B15</f>
        <v>0</v>
      </c>
      <c r="E22" s="720" t="str">
        <f>'Pipe Data'!CX15</f>
        <v>Reducer</v>
      </c>
      <c r="F22" s="714">
        <f>IF(OR('Pipe Data'!DZ15="",'Pipe Data'!DZ15="unknown",'Pipe Data'!DZ15="Unknown"),"Unknown",YEAR('Pipe Data'!DZ15))</f>
        <v>1982</v>
      </c>
      <c r="G22" s="721">
        <f ca="1">IF('Pipe Data'!DI15="ERROR","ERROR",IF(OR('Pipe Data'!DW15=1,'Pipe Data'!DY15&lt;&gt;"N/A"),'Pipe Data'!DH15,'Pipe Data'!DI15))</f>
        <v>12.75</v>
      </c>
      <c r="H22" s="722" t="str">
        <f>IF('Pipe Data'!DJ15&gt;0,'Pipe Data'!DJ15,"")</f>
        <v/>
      </c>
      <c r="I22" s="723">
        <f ca="1">IF('Pipe Data'!DW15=1,'Pipe Data'!DC15,'Pipe Data'!DE15)</f>
        <v>0.375</v>
      </c>
      <c r="J22" s="722" t="str">
        <f>IF('Pipe Data'!DG15&gt;0,'Pipe Data'!DG15,"")</f>
        <v/>
      </c>
      <c r="K22" s="720">
        <f>IF('Pipe Data'!CZ15=0,"N/A",'Pipe Data'!CZ15)</f>
        <v>35000</v>
      </c>
      <c r="L22" s="722" t="str">
        <f>IF('Pipe Data'!DB15&gt;0,'Pipe Data'!DB15,"")</f>
        <v/>
      </c>
      <c r="M22" s="720" t="str">
        <f>IF(OR('Pipe Data'!DO15="Unknown",'Pipe Data'!DO15="N/A"),"N/A",'Pipe Data'!DO15)</f>
        <v>N/A</v>
      </c>
      <c r="N22" s="722" t="str">
        <f>IF('Pipe Data'!DP15&gt;0,'Pipe Data'!DP15,"")</f>
        <v/>
      </c>
      <c r="O22" s="724" t="str">
        <f>'Pipe Data'!DK15</f>
        <v>Unknown</v>
      </c>
      <c r="P22" s="722" t="str">
        <f>IF('Pipe Data'!DN15&gt;0,'Pipe Data'!DN15,"")</f>
        <v/>
      </c>
      <c r="Q22" s="725">
        <f>IF('Pipe Data'!CX15="Cap","N/A",'Pipe Data'!DM15)</f>
        <v>1</v>
      </c>
      <c r="R22" s="720">
        <f ca="1">IF('Pipe Data'!EJ15&lt;&gt;"N/A",'Pipe Data'!EJ15,IF('Pipe Data'!DY15&lt;&gt;"N/A",'Pipe Data'!DY15,'Pipe Data'!DX15))</f>
        <v>1029</v>
      </c>
      <c r="S22" s="726" t="str">
        <f ca="1">IF(R22='Pipe Data'!EJ15,"A","")</f>
        <v/>
      </c>
      <c r="T22" s="720" t="str">
        <f>IF('Pipe Data'!EC15="N/A","N/A",'Pipe Data'!EC15)</f>
        <v>N/A</v>
      </c>
      <c r="U22" s="714" t="str">
        <f>IF('Pipe Data'!EA15="N/A","N/A",YEAR('Pipe Data'!EA15))</f>
        <v>N/A</v>
      </c>
      <c r="V22" s="720" t="str">
        <f ca="1">IF(R22='Pipe Data'!EJ15,"N/A",'Pipe Data'!EH15)</f>
        <v>N/A</v>
      </c>
      <c r="W22" s="720">
        <f>'Pipe Data'!EK15</f>
        <v>204</v>
      </c>
      <c r="X22" s="722" t="str">
        <f>IF(OR('Pipe Data'!EL15="y",'Pipe Data'!EL15="yes",'Pipe Data'!EL15="Y",'Pipe Data'!EL15="Yes"),"B","")</f>
        <v/>
      </c>
      <c r="Y22" s="720">
        <f>'Pipe Data'!DS15</f>
        <v>3</v>
      </c>
      <c r="Z22" s="727">
        <f ca="1">IF('Pipe Data'!DW15=1,'Pipe Data'!EM15,'Pipe Data'!EN15)</f>
        <v>9.9085714285714291E-2</v>
      </c>
      <c r="AA22" s="714" t="str">
        <f ca="1">IF(AND(M22&lt;&gt;"N/A",R22&gt;=W22),"Y",IF(AND(Y22="1 in Station",'Pipe Data'!DQ15=1,Z22&lt;=0.72),"Y",IF(AND(Y22="1 in Station",'Pipe Data'!DZ15&gt;=DATE(1961,7,1),Z22&gt;0.5),"N",IF(AND(OR(AND(Y22="1 in Public Road Crossing",'Pipe Data'!DQ15=1),AND(Y22="1 in Hard Road Parallel",'Pipe Data'!DQ15=1)),'Pipe Data'!DZ15&gt;=DATE(1961,7,1),'Pipe Data'!I15&lt;&gt;"Casing",Z22&lt;=0.72),"Y",IF(AND(AND(Y22="2 in Hard Road Crossing",OR('Pipe Data'!DQ15="1",'Pipe Data'!DQ15="1 in Public Road Crossing",'Pipe Data'!DQ15=2)),'Pipe Data'!DZ15&gt;=DATE(1961,7,1),'Pipe Data'!I15&lt;&gt;"Casing",Z22&lt;=0.6),"Y",IF(AND(OR(Y22="1 in Public Road Crossing",Y22="1 in Hard Road Parallel"),'Pipe Data'!DZ15&gt;=DATE(1961,7,1),'Pipe Data'!I15&lt;&gt;"Casing",Z22&gt;0.6),"N",IF(AND(Y22="1 on Bridge",'Pipe Data'!DZ15&gt;=DATE(1961,7,1),Z22&gt;0.6),"N",IF(AND(OR(Y22=1,Y22="1 in Station",Y22="1 in Public Road Crossing",Y22="1 in Hard Road Parallel",Y22="1 on Bridge"),Z22&lt;=0.72),"Y",IF(AND(Y22="2 in Station",'Pipe Data'!DQ15=2,Z22&lt;=0.6),"Y",IF(AND(Y22="2 in Station",'Pipe Data'!DZ15&gt;=DATE(1961,7,1),Z22&gt;0.5),"N",IF(AND(Y22="2 in Hard Road Crossing",'Pipe Data'!DZ15&gt;=DATE(1961,7,1),'Pipe Data'!I15&lt;&gt;"Casing",Z22&gt;0.5),"N",IF(OR(AND(OR(Y22=2,Y22="2 in Station",Y22="2 in Hard Road Crossing"),Z22&lt;=0.6),AND(OR(Y22=2,Y22="2 in Station",Y22="2 in Hard Road Crossing"),'Pipe Data'!EJ15&lt;&gt;"N/A",Z22&lt;=0.72)),"Y",IF(OR(AND(OR(Y22=3,Y22="3 in Station",Y22="3 in Hard Road Crossing"),Z22&lt;=0.5),AND(OR(Y22=3,Y22="3 in Station",Y22="3 in Hard Road Crossing"),'Pipe Data'!EJ15&lt;&gt;"N/A",Z22&lt;=0.6)),"Y",IF(OR(AND(Y22=4,Z22&lt;=0.4),AND(Y22=4,'Pipe Data'!EJ15&lt;&gt;"N/A",Z22&lt;=0.5)),"Y","N"))))))))))))))</f>
        <v>Y</v>
      </c>
      <c r="AB22" s="714" t="str">
        <f ca="1">IF(AND(R22='Pipe Data'!EJ15,R22&gt;=W22),"R",IF(AND(R22='Pipe Data'!EJ15,R22&lt;W22),"D",IF(AND(M22&lt;&gt;"N/A",R22&gt;=W22),"R",IF(AND(M22&lt;&gt;"N/A",R22&lt;W22),"D",IF(AND(V22="N/A",W22&lt;=R22),"R",IF(AND(V22="N/A",W22&gt;R22),"D",IF(AND(V22&gt;=W22,R22&gt;=W22),"R",IF(AND(V22&gt;=W22,R22&lt;W22),"D",IF(AND(V22&lt;W22,R22&gt;=W22),"T",IF(AND(V22&lt;W22,R22&lt;W22),IF(V22=R22,"D",IF(MIN(V22,R22)=V22,"T","D")),"R"))))))))))</f>
        <v>R</v>
      </c>
      <c r="AC22" s="714">
        <f ca="1">IF(AND(R22='Pipe Data'!EJ15,R22&gt;=W22),W22,IF(AND(R22='Pipe Data'!EJ15,R22&lt;W22),R22,IF(AND(M22&lt;&gt;"N/A",R22&gt;=W22),W22,IF(AND(M22&lt;&gt;"N/A",R22&lt;W22),R22,IF(AND(V22="N/A",W22&lt;=R22),W22,IF(AND(V22="N/A",W22&gt;R22),R22,IF(AND(V22&gt;=W22,R22&gt;=W22),W22,IF(AND(V22&gt;=W22,R22&lt;W22),R22,IF(AND(V22&lt;W22,R22&gt;=W22),V22,IF(AND(V22&lt;W22,R22&lt;W22),IF(V22=R22,R22,MIN(V22,R22)),W22))))))))))</f>
        <v>204</v>
      </c>
    </row>
    <row r="23" spans="1:29" ht="14.25" x14ac:dyDescent="0.2">
      <c r="A23" s="717">
        <f>'Pipe Data'!G16</f>
        <v>14</v>
      </c>
      <c r="B23" s="718" t="str">
        <f>IF('Pipe Data'!L16&gt;0,'Pipe Data'!L16,"")</f>
        <v/>
      </c>
      <c r="C23" s="719">
        <f>'Pipe Data'!A16</f>
        <v>0</v>
      </c>
      <c r="D23" s="719">
        <f>'Pipe Data'!B16</f>
        <v>0</v>
      </c>
      <c r="E23" s="720" t="str">
        <f>'Pipe Data'!CX16</f>
        <v>Mfg Bend</v>
      </c>
      <c r="F23" s="714">
        <f>IF(OR('Pipe Data'!DZ16="",'Pipe Data'!DZ16="unknown",'Pipe Data'!DZ16="Unknown"),"Unknown",YEAR('Pipe Data'!DZ16))</f>
        <v>1982</v>
      </c>
      <c r="G23" s="721">
        <f ca="1">IF('Pipe Data'!DI16="ERROR","ERROR",IF(OR('Pipe Data'!DW16=1,'Pipe Data'!DY16&lt;&gt;"N/A"),'Pipe Data'!DH16,'Pipe Data'!DI16))</f>
        <v>12.75</v>
      </c>
      <c r="H23" s="722" t="str">
        <f>IF('Pipe Data'!DJ16&gt;0,'Pipe Data'!DJ16,"")</f>
        <v/>
      </c>
      <c r="I23" s="723">
        <f ca="1">IF('Pipe Data'!DW16=1,'Pipe Data'!DC16,'Pipe Data'!DE16)</f>
        <v>0.375</v>
      </c>
      <c r="J23" s="722">
        <f>IF('Pipe Data'!DG16&gt;0,'Pipe Data'!DG16,"")</f>
        <v>1</v>
      </c>
      <c r="K23" s="720">
        <f>IF('Pipe Data'!CZ16=0,"N/A",'Pipe Data'!CZ16)</f>
        <v>35000</v>
      </c>
      <c r="L23" s="722">
        <f>IF('Pipe Data'!DB16&gt;0,'Pipe Data'!DB16,"")</f>
        <v>1</v>
      </c>
      <c r="M23" s="720" t="str">
        <f>IF(OR('Pipe Data'!DO16="Unknown",'Pipe Data'!DO16="N/A"),"N/A",'Pipe Data'!DO16)</f>
        <v>N/A</v>
      </c>
      <c r="N23" s="722" t="str">
        <f>IF('Pipe Data'!DP16&gt;0,'Pipe Data'!DP16,"")</f>
        <v/>
      </c>
      <c r="O23" s="724" t="str">
        <f>'Pipe Data'!DK16</f>
        <v>Unknown</v>
      </c>
      <c r="P23" s="722" t="str">
        <f>IF('Pipe Data'!DN16&gt;0,'Pipe Data'!DN16,"")</f>
        <v/>
      </c>
      <c r="Q23" s="725">
        <f>IF('Pipe Data'!CX16="Cap","N/A",'Pipe Data'!DM16)</f>
        <v>1</v>
      </c>
      <c r="R23" s="720">
        <f ca="1">IF('Pipe Data'!EJ16&lt;&gt;"N/A",'Pipe Data'!EJ16,IF('Pipe Data'!DY16&lt;&gt;"N/A",'Pipe Data'!DY16,'Pipe Data'!DX16))</f>
        <v>1029</v>
      </c>
      <c r="S23" s="726" t="str">
        <f ca="1">IF(R23='Pipe Data'!EJ16,"A","")</f>
        <v/>
      </c>
      <c r="T23" s="720" t="str">
        <f>IF('Pipe Data'!EC16="N/A","N/A",'Pipe Data'!EC16)</f>
        <v>N/A</v>
      </c>
      <c r="U23" s="714" t="str">
        <f>IF('Pipe Data'!EA16="N/A","N/A",YEAR('Pipe Data'!EA16))</f>
        <v>N/A</v>
      </c>
      <c r="V23" s="720" t="str">
        <f ca="1">IF(R23='Pipe Data'!EJ16,"N/A",'Pipe Data'!EH16)</f>
        <v>N/A</v>
      </c>
      <c r="W23" s="720">
        <f>'Pipe Data'!EK16</f>
        <v>204</v>
      </c>
      <c r="X23" s="722" t="str">
        <f>IF(OR('Pipe Data'!EL16="y",'Pipe Data'!EL16="yes",'Pipe Data'!EL16="Y",'Pipe Data'!EL16="Yes"),"B","")</f>
        <v/>
      </c>
      <c r="Y23" s="720">
        <f>'Pipe Data'!DS16</f>
        <v>3</v>
      </c>
      <c r="Z23" s="727">
        <f ca="1">IF('Pipe Data'!DW16=1,'Pipe Data'!EM16,'Pipe Data'!EN16)</f>
        <v>9.9085714285714291E-2</v>
      </c>
      <c r="AA23" s="714" t="str">
        <f ca="1">IF(AND(M23&lt;&gt;"N/A",R23&gt;=W23),"Y",IF(AND(Y23="1 in Station",'Pipe Data'!DQ16=1,Z23&lt;=0.72),"Y",IF(AND(Y23="1 in Station",'Pipe Data'!DZ16&gt;=DATE(1961,7,1),Z23&gt;0.5),"N",IF(AND(OR(AND(Y23="1 in Public Road Crossing",'Pipe Data'!DQ16=1),AND(Y23="1 in Hard Road Parallel",'Pipe Data'!DQ16=1)),'Pipe Data'!DZ16&gt;=DATE(1961,7,1),'Pipe Data'!I16&lt;&gt;"Casing",Z23&lt;=0.72),"Y",IF(AND(AND(Y23="2 in Hard Road Crossing",OR('Pipe Data'!DQ16="1",'Pipe Data'!DQ16="1 in Public Road Crossing",'Pipe Data'!DQ16=2)),'Pipe Data'!DZ16&gt;=DATE(1961,7,1),'Pipe Data'!I16&lt;&gt;"Casing",Z23&lt;=0.6),"Y",IF(AND(OR(Y23="1 in Public Road Crossing",Y23="1 in Hard Road Parallel"),'Pipe Data'!DZ16&gt;=DATE(1961,7,1),'Pipe Data'!I16&lt;&gt;"Casing",Z23&gt;0.6),"N",IF(AND(Y23="1 on Bridge",'Pipe Data'!DZ16&gt;=DATE(1961,7,1),Z23&gt;0.6),"N",IF(AND(OR(Y23=1,Y23="1 in Station",Y23="1 in Public Road Crossing",Y23="1 in Hard Road Parallel",Y23="1 on Bridge"),Z23&lt;=0.72),"Y",IF(AND(Y23="2 in Station",'Pipe Data'!DQ16=2,Z23&lt;=0.6),"Y",IF(AND(Y23="2 in Station",'Pipe Data'!DZ16&gt;=DATE(1961,7,1),Z23&gt;0.5),"N",IF(AND(Y23="2 in Hard Road Crossing",'Pipe Data'!DZ16&gt;=DATE(1961,7,1),'Pipe Data'!I16&lt;&gt;"Casing",Z23&gt;0.5),"N",IF(OR(AND(OR(Y23=2,Y23="2 in Station",Y23="2 in Hard Road Crossing"),Z23&lt;=0.6),AND(OR(Y23=2,Y23="2 in Station",Y23="2 in Hard Road Crossing"),'Pipe Data'!EJ16&lt;&gt;"N/A",Z23&lt;=0.72)),"Y",IF(OR(AND(OR(Y23=3,Y23="3 in Station",Y23="3 in Hard Road Crossing"),Z23&lt;=0.5),AND(OR(Y23=3,Y23="3 in Station",Y23="3 in Hard Road Crossing"),'Pipe Data'!EJ16&lt;&gt;"N/A",Z23&lt;=0.6)),"Y",IF(OR(AND(Y23=4,Z23&lt;=0.4),AND(Y23=4,'Pipe Data'!EJ16&lt;&gt;"N/A",Z23&lt;=0.5)),"Y","N"))))))))))))))</f>
        <v>Y</v>
      </c>
      <c r="AB23" s="714" t="str">
        <f ca="1">IF(AND(R23='Pipe Data'!EJ16,R23&gt;=W23),"R",IF(AND(R23='Pipe Data'!EJ16,R23&lt;W23),"D",IF(AND(M23&lt;&gt;"N/A",R23&gt;=W23),"R",IF(AND(M23&lt;&gt;"N/A",R23&lt;W23),"D",IF(AND(V23="N/A",W23&lt;=R23),"R",IF(AND(V23="N/A",W23&gt;R23),"D",IF(AND(V23&gt;=W23,R23&gt;=W23),"R",IF(AND(V23&gt;=W23,R23&lt;W23),"D",IF(AND(V23&lt;W23,R23&gt;=W23),"T",IF(AND(V23&lt;W23,R23&lt;W23),IF(V23=R23,"D",IF(MIN(V23,R23)=V23,"T","D")),"R"))))))))))</f>
        <v>R</v>
      </c>
      <c r="AC23" s="714">
        <f ca="1">IF(AND(R23='Pipe Data'!EJ16,R23&gt;=W23),W23,IF(AND(R23='Pipe Data'!EJ16,R23&lt;W23),R23,IF(AND(M23&lt;&gt;"N/A",R23&gt;=W23),W23,IF(AND(M23&lt;&gt;"N/A",R23&lt;W23),R23,IF(AND(V23="N/A",W23&lt;=R23),W23,IF(AND(V23="N/A",W23&gt;R23),R23,IF(AND(V23&gt;=W23,R23&gt;=W23),W23,IF(AND(V23&gt;=W23,R23&lt;W23),R23,IF(AND(V23&lt;W23,R23&gt;=W23),V23,IF(AND(V23&lt;W23,R23&lt;W23),IF(V23=R23,R23,MIN(V23,R23)),W23))))))))))</f>
        <v>204</v>
      </c>
    </row>
    <row r="24" spans="1:29" ht="14.25" x14ac:dyDescent="0.2">
      <c r="A24" s="717">
        <f>'Pipe Data'!G17</f>
        <v>15</v>
      </c>
      <c r="B24" s="718" t="str">
        <f>IF('Pipe Data'!L17&gt;0,'Pipe Data'!L17,"")</f>
        <v/>
      </c>
      <c r="C24" s="719">
        <f>'Pipe Data'!A17</f>
        <v>0</v>
      </c>
      <c r="D24" s="719">
        <f>'Pipe Data'!B17</f>
        <v>0</v>
      </c>
      <c r="E24" s="720" t="str">
        <f>'Pipe Data'!CX17</f>
        <v>Pipe</v>
      </c>
      <c r="F24" s="714">
        <f>IF(OR('Pipe Data'!DZ17="",'Pipe Data'!DZ17="unknown",'Pipe Data'!DZ17="Unknown"),"Unknown",YEAR('Pipe Data'!DZ17))</f>
        <v>1982</v>
      </c>
      <c r="G24" s="721">
        <f ca="1">IF('Pipe Data'!DI17="ERROR","ERROR",IF(OR('Pipe Data'!DW17=1,'Pipe Data'!DY17&lt;&gt;"N/A"),'Pipe Data'!DH17,'Pipe Data'!DI17))</f>
        <v>12.75</v>
      </c>
      <c r="H24" s="722" t="str">
        <f>IF('Pipe Data'!DJ17&gt;0,'Pipe Data'!DJ17,"")</f>
        <v/>
      </c>
      <c r="I24" s="723">
        <f ca="1">IF('Pipe Data'!DW17=1,'Pipe Data'!DC17,'Pipe Data'!DE17)</f>
        <v>0.219</v>
      </c>
      <c r="J24" s="722" t="str">
        <f>IF('Pipe Data'!DG17&gt;0,'Pipe Data'!DG17,"")</f>
        <v/>
      </c>
      <c r="K24" s="720">
        <f>IF('Pipe Data'!CZ17=0,"N/A",'Pipe Data'!CZ17)</f>
        <v>35000</v>
      </c>
      <c r="L24" s="722">
        <f>IF('Pipe Data'!DB17&gt;0,'Pipe Data'!DB17,"")</f>
        <v>1</v>
      </c>
      <c r="M24" s="720" t="str">
        <f>IF(OR('Pipe Data'!DO17="Unknown",'Pipe Data'!DO17="N/A"),"N/A",'Pipe Data'!DO17)</f>
        <v>N/A</v>
      </c>
      <c r="N24" s="722" t="str">
        <f>IF('Pipe Data'!DP17&gt;0,'Pipe Data'!DP17,"")</f>
        <v/>
      </c>
      <c r="O24" s="724" t="str">
        <f>'Pipe Data'!DK17</f>
        <v>Seamless/Electric Resistance Weld</v>
      </c>
      <c r="P24" s="722">
        <f>IF('Pipe Data'!DN17&gt;0,'Pipe Data'!DN17,"")</f>
        <v>1</v>
      </c>
      <c r="Q24" s="725">
        <f>IF('Pipe Data'!CX17="Cap","N/A",'Pipe Data'!DM17)</f>
        <v>1</v>
      </c>
      <c r="R24" s="720">
        <f ca="1">IF('Pipe Data'!EJ17&lt;&gt;"N/A",'Pipe Data'!EJ17,IF('Pipe Data'!DY17&lt;&gt;"N/A",'Pipe Data'!DY17,'Pipe Data'!DX17))</f>
        <v>601</v>
      </c>
      <c r="S24" s="726" t="str">
        <f ca="1">IF(R24='Pipe Data'!EJ17,"A","")</f>
        <v/>
      </c>
      <c r="T24" s="720" t="str">
        <f>IF('Pipe Data'!EC17="N/A","N/A",'Pipe Data'!EC17)</f>
        <v>N/A</v>
      </c>
      <c r="U24" s="714" t="str">
        <f>IF('Pipe Data'!EA17="N/A","N/A",YEAR('Pipe Data'!EA17))</f>
        <v>N/A</v>
      </c>
      <c r="V24" s="720" t="str">
        <f ca="1">IF(R24='Pipe Data'!EJ17,"N/A",'Pipe Data'!EH17)</f>
        <v>N/A</v>
      </c>
      <c r="W24" s="720">
        <f>'Pipe Data'!EK17</f>
        <v>204</v>
      </c>
      <c r="X24" s="722" t="str">
        <f>IF(OR('Pipe Data'!EL17="y",'Pipe Data'!EL17="yes",'Pipe Data'!EL17="Y",'Pipe Data'!EL17="Yes"),"B","")</f>
        <v/>
      </c>
      <c r="Y24" s="720">
        <f>'Pipe Data'!DS17</f>
        <v>3</v>
      </c>
      <c r="Z24" s="727">
        <f ca="1">IF('Pipe Data'!DW17=1,'Pipe Data'!EM17,'Pipe Data'!EN17)</f>
        <v>0.16966731898238749</v>
      </c>
      <c r="AA24" s="714" t="str">
        <f ca="1">IF(AND(M24&lt;&gt;"N/A",R24&gt;=W24),"Y",IF(AND(Y24="1 in Station",'Pipe Data'!DQ17=1,Z24&lt;=0.72),"Y",IF(AND(Y24="1 in Station",'Pipe Data'!DZ17&gt;=DATE(1961,7,1),Z24&gt;0.5),"N",IF(AND(OR(AND(Y24="1 in Public Road Crossing",'Pipe Data'!DQ17=1),AND(Y24="1 in Hard Road Parallel",'Pipe Data'!DQ17=1)),'Pipe Data'!DZ17&gt;=DATE(1961,7,1),'Pipe Data'!I17&lt;&gt;"Casing",Z24&lt;=0.72),"Y",IF(AND(AND(Y24="2 in Hard Road Crossing",OR('Pipe Data'!DQ17="1",'Pipe Data'!DQ17="1 in Public Road Crossing",'Pipe Data'!DQ17=2)),'Pipe Data'!DZ17&gt;=DATE(1961,7,1),'Pipe Data'!I17&lt;&gt;"Casing",Z24&lt;=0.6),"Y",IF(AND(OR(Y24="1 in Public Road Crossing",Y24="1 in Hard Road Parallel"),'Pipe Data'!DZ17&gt;=DATE(1961,7,1),'Pipe Data'!I17&lt;&gt;"Casing",Z24&gt;0.6),"N",IF(AND(Y24="1 on Bridge",'Pipe Data'!DZ17&gt;=DATE(1961,7,1),Z24&gt;0.6),"N",IF(AND(OR(Y24=1,Y24="1 in Station",Y24="1 in Public Road Crossing",Y24="1 in Hard Road Parallel",Y24="1 on Bridge"),Z24&lt;=0.72),"Y",IF(AND(Y24="2 in Station",'Pipe Data'!DQ17=2,Z24&lt;=0.6),"Y",IF(AND(Y24="2 in Station",'Pipe Data'!DZ17&gt;=DATE(1961,7,1),Z24&gt;0.5),"N",IF(AND(Y24="2 in Hard Road Crossing",'Pipe Data'!DZ17&gt;=DATE(1961,7,1),'Pipe Data'!I17&lt;&gt;"Casing",Z24&gt;0.5),"N",IF(OR(AND(OR(Y24=2,Y24="2 in Station",Y24="2 in Hard Road Crossing"),Z24&lt;=0.6),AND(OR(Y24=2,Y24="2 in Station",Y24="2 in Hard Road Crossing"),'Pipe Data'!EJ17&lt;&gt;"N/A",Z24&lt;=0.72)),"Y",IF(OR(AND(OR(Y24=3,Y24="3 in Station",Y24="3 in Hard Road Crossing"),Z24&lt;=0.5),AND(OR(Y24=3,Y24="3 in Station",Y24="3 in Hard Road Crossing"),'Pipe Data'!EJ17&lt;&gt;"N/A",Z24&lt;=0.6)),"Y",IF(OR(AND(Y24=4,Z24&lt;=0.4),AND(Y24=4,'Pipe Data'!EJ17&lt;&gt;"N/A",Z24&lt;=0.5)),"Y","N"))))))))))))))</f>
        <v>Y</v>
      </c>
      <c r="AB24" s="714" t="str">
        <f ca="1">IF(AND(R24='Pipe Data'!EJ17,R24&gt;=W24),"R",IF(AND(R24='Pipe Data'!EJ17,R24&lt;W24),"D",IF(AND(M24&lt;&gt;"N/A",R24&gt;=W24),"R",IF(AND(M24&lt;&gt;"N/A",R24&lt;W24),"D",IF(AND(V24="N/A",W24&lt;=R24),"R",IF(AND(V24="N/A",W24&gt;R24),"D",IF(AND(V24&gt;=W24,R24&gt;=W24),"R",IF(AND(V24&gt;=W24,R24&lt;W24),"D",IF(AND(V24&lt;W24,R24&gt;=W24),"T",IF(AND(V24&lt;W24,R24&lt;W24),IF(V24=R24,"D",IF(MIN(V24,R24)=V24,"T","D")),"R"))))))))))</f>
        <v>R</v>
      </c>
      <c r="AC24" s="714">
        <f ca="1">IF(AND(R24='Pipe Data'!EJ17,R24&gt;=W24),W24,IF(AND(R24='Pipe Data'!EJ17,R24&lt;W24),R24,IF(AND(M24&lt;&gt;"N/A",R24&gt;=W24),W24,IF(AND(M24&lt;&gt;"N/A",R24&lt;W24),R24,IF(AND(V24="N/A",W24&lt;=R24),W24,IF(AND(V24="N/A",W24&gt;R24),R24,IF(AND(V24&gt;=W24,R24&gt;=W24),W24,IF(AND(V24&gt;=W24,R24&lt;W24),R24,IF(AND(V24&lt;W24,R24&gt;=W24),V24,IF(AND(V24&lt;W24,R24&lt;W24),IF(V24=R24,R24,MIN(V24,R24)),W24))))))))))</f>
        <v>204</v>
      </c>
    </row>
    <row r="25" spans="1:29" ht="14.25" x14ac:dyDescent="0.2">
      <c r="A25" s="717">
        <f>'Pipe Data'!G18</f>
        <v>16</v>
      </c>
      <c r="B25" s="718" t="str">
        <f>IF('Pipe Data'!L18&gt;0,'Pipe Data'!L18,"")</f>
        <v/>
      </c>
      <c r="C25" s="719">
        <f>'Pipe Data'!A18</f>
        <v>0</v>
      </c>
      <c r="D25" s="719">
        <f>'Pipe Data'!B18</f>
        <v>0</v>
      </c>
      <c r="E25" s="720" t="str">
        <f>'Pipe Data'!CX18</f>
        <v>Pipe</v>
      </c>
      <c r="F25" s="714">
        <f>IF(OR('Pipe Data'!DZ18="",'Pipe Data'!DZ18="unknown",'Pipe Data'!DZ18="Unknown"),"Unknown",YEAR('Pipe Data'!DZ18))</f>
        <v>1982</v>
      </c>
      <c r="G25" s="721">
        <f ca="1">IF('Pipe Data'!DI18="ERROR","ERROR",IF(OR('Pipe Data'!DW18=1,'Pipe Data'!DY18&lt;&gt;"N/A"),'Pipe Data'!DH18,'Pipe Data'!DI18))</f>
        <v>12.75</v>
      </c>
      <c r="H25" s="722" t="str">
        <f>IF('Pipe Data'!DJ18&gt;0,'Pipe Data'!DJ18,"")</f>
        <v/>
      </c>
      <c r="I25" s="723">
        <f ca="1">IF('Pipe Data'!DW18=1,'Pipe Data'!DC18,'Pipe Data'!DE18)</f>
        <v>0.219</v>
      </c>
      <c r="J25" s="722" t="str">
        <f>IF('Pipe Data'!DG18&gt;0,'Pipe Data'!DG18,"")</f>
        <v/>
      </c>
      <c r="K25" s="720">
        <f>IF('Pipe Data'!CZ18=0,"N/A",'Pipe Data'!CZ18)</f>
        <v>35000</v>
      </c>
      <c r="L25" s="722">
        <f>IF('Pipe Data'!DB18&gt;0,'Pipe Data'!DB18,"")</f>
        <v>1</v>
      </c>
      <c r="M25" s="720" t="str">
        <f>IF(OR('Pipe Data'!DO18="Unknown",'Pipe Data'!DO18="N/A"),"N/A",'Pipe Data'!DO18)</f>
        <v>N/A</v>
      </c>
      <c r="N25" s="722" t="str">
        <f>IF('Pipe Data'!DP18&gt;0,'Pipe Data'!DP18,"")</f>
        <v/>
      </c>
      <c r="O25" s="724" t="str">
        <f>'Pipe Data'!DK18</f>
        <v>Seamless/Electric Resistance Weld</v>
      </c>
      <c r="P25" s="722">
        <f>IF('Pipe Data'!DN18&gt;0,'Pipe Data'!DN18,"")</f>
        <v>1</v>
      </c>
      <c r="Q25" s="725">
        <f>IF('Pipe Data'!CX18="Cap","N/A",'Pipe Data'!DM18)</f>
        <v>1</v>
      </c>
      <c r="R25" s="720">
        <f ca="1">IF('Pipe Data'!EJ18&lt;&gt;"N/A",'Pipe Data'!EJ18,IF('Pipe Data'!DY18&lt;&gt;"N/A",'Pipe Data'!DY18,'Pipe Data'!DX18))</f>
        <v>601</v>
      </c>
      <c r="S25" s="726" t="str">
        <f ca="1">IF(R25='Pipe Data'!EJ18,"A","")</f>
        <v/>
      </c>
      <c r="T25" s="720" t="str">
        <f>IF('Pipe Data'!EC18="N/A","N/A",'Pipe Data'!EC18)</f>
        <v>N/A</v>
      </c>
      <c r="U25" s="714" t="str">
        <f>IF('Pipe Data'!EA18="N/A","N/A",YEAR('Pipe Data'!EA18))</f>
        <v>N/A</v>
      </c>
      <c r="V25" s="720" t="str">
        <f ca="1">IF(R25='Pipe Data'!EJ18,"N/A",'Pipe Data'!EH18)</f>
        <v>N/A</v>
      </c>
      <c r="W25" s="720">
        <f>'Pipe Data'!EK18</f>
        <v>204</v>
      </c>
      <c r="X25" s="722" t="str">
        <f>IF(OR('Pipe Data'!EL18="y",'Pipe Data'!EL18="yes",'Pipe Data'!EL18="Y",'Pipe Data'!EL18="Yes"),"B","")</f>
        <v/>
      </c>
      <c r="Y25" s="720">
        <f>'Pipe Data'!DS18</f>
        <v>3</v>
      </c>
      <c r="Z25" s="727">
        <f ca="1">IF('Pipe Data'!DW18=1,'Pipe Data'!EM18,'Pipe Data'!EN18)</f>
        <v>0.16966731898238749</v>
      </c>
      <c r="AA25" s="714" t="str">
        <f ca="1">IF(AND(M25&lt;&gt;"N/A",R25&gt;=W25),"Y",IF(AND(Y25="1 in Station",'Pipe Data'!DQ18=1,Z25&lt;=0.72),"Y",IF(AND(Y25="1 in Station",'Pipe Data'!DZ18&gt;=DATE(1961,7,1),Z25&gt;0.5),"N",IF(AND(OR(AND(Y25="1 in Public Road Crossing",'Pipe Data'!DQ18=1),AND(Y25="1 in Hard Road Parallel",'Pipe Data'!DQ18=1)),'Pipe Data'!DZ18&gt;=DATE(1961,7,1),'Pipe Data'!I18&lt;&gt;"Casing",Z25&lt;=0.72),"Y",IF(AND(AND(Y25="2 in Hard Road Crossing",OR('Pipe Data'!DQ18="1",'Pipe Data'!DQ18="1 in Public Road Crossing",'Pipe Data'!DQ18=2)),'Pipe Data'!DZ18&gt;=DATE(1961,7,1),'Pipe Data'!I18&lt;&gt;"Casing",Z25&lt;=0.6),"Y",IF(AND(OR(Y25="1 in Public Road Crossing",Y25="1 in Hard Road Parallel"),'Pipe Data'!DZ18&gt;=DATE(1961,7,1),'Pipe Data'!I18&lt;&gt;"Casing",Z25&gt;0.6),"N",IF(AND(Y25="1 on Bridge",'Pipe Data'!DZ18&gt;=DATE(1961,7,1),Z25&gt;0.6),"N",IF(AND(OR(Y25=1,Y25="1 in Station",Y25="1 in Public Road Crossing",Y25="1 in Hard Road Parallel",Y25="1 on Bridge"),Z25&lt;=0.72),"Y",IF(AND(Y25="2 in Station",'Pipe Data'!DQ18=2,Z25&lt;=0.6),"Y",IF(AND(Y25="2 in Station",'Pipe Data'!DZ18&gt;=DATE(1961,7,1),Z25&gt;0.5),"N",IF(AND(Y25="2 in Hard Road Crossing",'Pipe Data'!DZ18&gt;=DATE(1961,7,1),'Pipe Data'!I18&lt;&gt;"Casing",Z25&gt;0.5),"N",IF(OR(AND(OR(Y25=2,Y25="2 in Station",Y25="2 in Hard Road Crossing"),Z25&lt;=0.6),AND(OR(Y25=2,Y25="2 in Station",Y25="2 in Hard Road Crossing"),'Pipe Data'!EJ18&lt;&gt;"N/A",Z25&lt;=0.72)),"Y",IF(OR(AND(OR(Y25=3,Y25="3 in Station",Y25="3 in Hard Road Crossing"),Z25&lt;=0.5),AND(OR(Y25=3,Y25="3 in Station",Y25="3 in Hard Road Crossing"),'Pipe Data'!EJ18&lt;&gt;"N/A",Z25&lt;=0.6)),"Y",IF(OR(AND(Y25=4,Z25&lt;=0.4),AND(Y25=4,'Pipe Data'!EJ18&lt;&gt;"N/A",Z25&lt;=0.5)),"Y","N"))))))))))))))</f>
        <v>Y</v>
      </c>
      <c r="AB25" s="714" t="str">
        <f ca="1">IF(AND(R25='Pipe Data'!EJ18,R25&gt;=W25),"R",IF(AND(R25='Pipe Data'!EJ18,R25&lt;W25),"D",IF(AND(M25&lt;&gt;"N/A",R25&gt;=W25),"R",IF(AND(M25&lt;&gt;"N/A",R25&lt;W25),"D",IF(AND(V25="N/A",W25&lt;=R25),"R",IF(AND(V25="N/A",W25&gt;R25),"D",IF(AND(V25&gt;=W25,R25&gt;=W25),"R",IF(AND(V25&gt;=W25,R25&lt;W25),"D",IF(AND(V25&lt;W25,R25&gt;=W25),"T",IF(AND(V25&lt;W25,R25&lt;W25),IF(V25=R25,"D",IF(MIN(V25,R25)=V25,"T","D")),"R"))))))))))</f>
        <v>R</v>
      </c>
      <c r="AC25" s="714">
        <f ca="1">IF(AND(R25='Pipe Data'!EJ18,R25&gt;=W25),W25,IF(AND(R25='Pipe Data'!EJ18,R25&lt;W25),R25,IF(AND(M25&lt;&gt;"N/A",R25&gt;=W25),W25,IF(AND(M25&lt;&gt;"N/A",R25&lt;W25),R25,IF(AND(V25="N/A",W25&lt;=R25),W25,IF(AND(V25="N/A",W25&gt;R25),R25,IF(AND(V25&gt;=W25,R25&gt;=W25),W25,IF(AND(V25&gt;=W25,R25&lt;W25),R25,IF(AND(V25&lt;W25,R25&gt;=W25),V25,IF(AND(V25&lt;W25,R25&lt;W25),IF(V25=R25,R25,MIN(V25,R25)),W25))))))))))</f>
        <v>204</v>
      </c>
    </row>
    <row r="26" spans="1:29" ht="14.25" x14ac:dyDescent="0.2">
      <c r="A26" s="717">
        <f>'Pipe Data'!G19</f>
        <v>17</v>
      </c>
      <c r="B26" s="718" t="str">
        <f>IF('Pipe Data'!L19&gt;0,'Pipe Data'!L19,"")</f>
        <v/>
      </c>
      <c r="C26" s="719">
        <f>'Pipe Data'!A19</f>
        <v>0</v>
      </c>
      <c r="D26" s="719">
        <f>'Pipe Data'!B19</f>
        <v>0</v>
      </c>
      <c r="E26" s="720" t="str">
        <f>'Pipe Data'!CX19</f>
        <v>Pipe</v>
      </c>
      <c r="F26" s="714">
        <f>IF(OR('Pipe Data'!DZ19="",'Pipe Data'!DZ19="unknown",'Pipe Data'!DZ19="Unknown"),"Unknown",YEAR('Pipe Data'!DZ19))</f>
        <v>1988</v>
      </c>
      <c r="G26" s="721">
        <f ca="1">IF('Pipe Data'!DI19="ERROR","ERROR",IF(OR('Pipe Data'!DW19=1,'Pipe Data'!DY19&lt;&gt;"N/A"),'Pipe Data'!DH19,'Pipe Data'!DI19))</f>
        <v>12.75</v>
      </c>
      <c r="H26" s="722" t="str">
        <f>IF('Pipe Data'!DJ19&gt;0,'Pipe Data'!DJ19,"")</f>
        <v/>
      </c>
      <c r="I26" s="723">
        <f ca="1">IF('Pipe Data'!DW19=1,'Pipe Data'!DC19,'Pipe Data'!DE19)</f>
        <v>0.28100000000000003</v>
      </c>
      <c r="J26" s="722" t="str">
        <f>IF('Pipe Data'!DG19&gt;0,'Pipe Data'!DG19,"")</f>
        <v/>
      </c>
      <c r="K26" s="720">
        <f>IF('Pipe Data'!CZ19=0,"N/A",'Pipe Data'!CZ19)</f>
        <v>42000</v>
      </c>
      <c r="L26" s="722" t="str">
        <f>IF('Pipe Data'!DB19&gt;0,'Pipe Data'!DB19,"")</f>
        <v/>
      </c>
      <c r="M26" s="720" t="str">
        <f>IF(OR('Pipe Data'!DO19="Unknown",'Pipe Data'!DO19="N/A"),"N/A",'Pipe Data'!DO19)</f>
        <v>N/A</v>
      </c>
      <c r="N26" s="722" t="str">
        <f>IF('Pipe Data'!DP19&gt;0,'Pipe Data'!DP19,"")</f>
        <v/>
      </c>
      <c r="O26" s="724" t="str">
        <f>'Pipe Data'!DK19</f>
        <v>Electric Resistance Weld</v>
      </c>
      <c r="P26" s="722" t="str">
        <f>IF('Pipe Data'!DN19&gt;0,'Pipe Data'!DN19,"")</f>
        <v/>
      </c>
      <c r="Q26" s="725">
        <f>IF('Pipe Data'!CX19="Cap","N/A",'Pipe Data'!DM19)</f>
        <v>1</v>
      </c>
      <c r="R26" s="720">
        <f ca="1">IF('Pipe Data'!EJ19&lt;&gt;"N/A",'Pipe Data'!EJ19,IF('Pipe Data'!DY19&lt;&gt;"N/A",'Pipe Data'!DY19,'Pipe Data'!DX19))</f>
        <v>925</v>
      </c>
      <c r="S26" s="726" t="str">
        <f ca="1">IF(R26='Pipe Data'!EJ19,"A","")</f>
        <v/>
      </c>
      <c r="T26" s="720" t="str">
        <f>IF('Pipe Data'!EC19="N/A","N/A",'Pipe Data'!EC19)</f>
        <v>N/A</v>
      </c>
      <c r="U26" s="714" t="str">
        <f>IF('Pipe Data'!EA19="N/A","N/A",YEAR('Pipe Data'!EA19))</f>
        <v>N/A</v>
      </c>
      <c r="V26" s="720" t="str">
        <f ca="1">IF(R26='Pipe Data'!EJ19,"N/A",'Pipe Data'!EH19)</f>
        <v>N/A</v>
      </c>
      <c r="W26" s="720">
        <f>'Pipe Data'!EK19</f>
        <v>204</v>
      </c>
      <c r="X26" s="722" t="str">
        <f>IF(OR('Pipe Data'!EL19="y",'Pipe Data'!EL19="yes",'Pipe Data'!EL19="Y",'Pipe Data'!EL19="Yes"),"B","")</f>
        <v/>
      </c>
      <c r="Y26" s="720">
        <f>'Pipe Data'!DS19</f>
        <v>3</v>
      </c>
      <c r="Z26" s="727">
        <f ca="1">IF('Pipe Data'!DW19=1,'Pipe Data'!EM19,'Pipe Data'!EN19)</f>
        <v>0.1101931875953228</v>
      </c>
      <c r="AA26" s="714" t="str">
        <f ca="1">IF(AND(M26&lt;&gt;"N/A",R26&gt;=W26),"Y",IF(AND(Y26="1 in Station",'Pipe Data'!DQ19=1,Z26&lt;=0.72),"Y",IF(AND(Y26="1 in Station",'Pipe Data'!DZ19&gt;=DATE(1961,7,1),Z26&gt;0.5),"N",IF(AND(OR(AND(Y26="1 in Public Road Crossing",'Pipe Data'!DQ19=1),AND(Y26="1 in Hard Road Parallel",'Pipe Data'!DQ19=1)),'Pipe Data'!DZ19&gt;=DATE(1961,7,1),'Pipe Data'!I19&lt;&gt;"Casing",Z26&lt;=0.72),"Y",IF(AND(AND(Y26="2 in Hard Road Crossing",OR('Pipe Data'!DQ19="1",'Pipe Data'!DQ19="1 in Public Road Crossing",'Pipe Data'!DQ19=2)),'Pipe Data'!DZ19&gt;=DATE(1961,7,1),'Pipe Data'!I19&lt;&gt;"Casing",Z26&lt;=0.6),"Y",IF(AND(OR(Y26="1 in Public Road Crossing",Y26="1 in Hard Road Parallel"),'Pipe Data'!DZ19&gt;=DATE(1961,7,1),'Pipe Data'!I19&lt;&gt;"Casing",Z26&gt;0.6),"N",IF(AND(Y26="1 on Bridge",'Pipe Data'!DZ19&gt;=DATE(1961,7,1),Z26&gt;0.6),"N",IF(AND(OR(Y26=1,Y26="1 in Station",Y26="1 in Public Road Crossing",Y26="1 in Hard Road Parallel",Y26="1 on Bridge"),Z26&lt;=0.72),"Y",IF(AND(Y26="2 in Station",'Pipe Data'!DQ19=2,Z26&lt;=0.6),"Y",IF(AND(Y26="2 in Station",'Pipe Data'!DZ19&gt;=DATE(1961,7,1),Z26&gt;0.5),"N",IF(AND(Y26="2 in Hard Road Crossing",'Pipe Data'!DZ19&gt;=DATE(1961,7,1),'Pipe Data'!I19&lt;&gt;"Casing",Z26&gt;0.5),"N",IF(OR(AND(OR(Y26=2,Y26="2 in Station",Y26="2 in Hard Road Crossing"),Z26&lt;=0.6),AND(OR(Y26=2,Y26="2 in Station",Y26="2 in Hard Road Crossing"),'Pipe Data'!EJ19&lt;&gt;"N/A",Z26&lt;=0.72)),"Y",IF(OR(AND(OR(Y26=3,Y26="3 in Station",Y26="3 in Hard Road Crossing"),Z26&lt;=0.5),AND(OR(Y26=3,Y26="3 in Station",Y26="3 in Hard Road Crossing"),'Pipe Data'!EJ19&lt;&gt;"N/A",Z26&lt;=0.6)),"Y",IF(OR(AND(Y26=4,Z26&lt;=0.4),AND(Y26=4,'Pipe Data'!EJ19&lt;&gt;"N/A",Z26&lt;=0.5)),"Y","N"))))))))))))))</f>
        <v>Y</v>
      </c>
      <c r="AB26" s="714" t="str">
        <f ca="1">IF(AND(R26='Pipe Data'!EJ19,R26&gt;=W26),"R",IF(AND(R26='Pipe Data'!EJ19,R26&lt;W26),"D",IF(AND(M26&lt;&gt;"N/A",R26&gt;=W26),"R",IF(AND(M26&lt;&gt;"N/A",R26&lt;W26),"D",IF(AND(V26="N/A",W26&lt;=R26),"R",IF(AND(V26="N/A",W26&gt;R26),"D",IF(AND(V26&gt;=W26,R26&gt;=W26),"R",IF(AND(V26&gt;=W26,R26&lt;W26),"D",IF(AND(V26&lt;W26,R26&gt;=W26),"T",IF(AND(V26&lt;W26,R26&lt;W26),IF(V26=R26,"D",IF(MIN(V26,R26)=V26,"T","D")),"R"))))))))))</f>
        <v>R</v>
      </c>
      <c r="AC26" s="714">
        <f ca="1">IF(AND(R26='Pipe Data'!EJ19,R26&gt;=W26),W26,IF(AND(R26='Pipe Data'!EJ19,R26&lt;W26),R26,IF(AND(M26&lt;&gt;"N/A",R26&gt;=W26),W26,IF(AND(M26&lt;&gt;"N/A",R26&lt;W26),R26,IF(AND(V26="N/A",W26&lt;=R26),W26,IF(AND(V26="N/A",W26&gt;R26),R26,IF(AND(V26&gt;=W26,R26&gt;=W26),W26,IF(AND(V26&gt;=W26,R26&lt;W26),R26,IF(AND(V26&lt;W26,R26&gt;=W26),V26,IF(AND(V26&lt;W26,R26&lt;W26),IF(V26=R26,R26,MIN(V26,R26)),W26))))))))))</f>
        <v>204</v>
      </c>
    </row>
    <row r="27" spans="1:29" ht="14.25" x14ac:dyDescent="0.2">
      <c r="A27" s="717">
        <f>'Pipe Data'!G20</f>
        <v>18</v>
      </c>
      <c r="B27" s="718" t="str">
        <f>IF('Pipe Data'!L20&gt;0,'Pipe Data'!L20,"")</f>
        <v/>
      </c>
      <c r="C27" s="719">
        <f>'Pipe Data'!A20</f>
        <v>0</v>
      </c>
      <c r="D27" s="719">
        <f>'Pipe Data'!B20</f>
        <v>0</v>
      </c>
      <c r="E27" s="720" t="str">
        <f>'Pipe Data'!CX20</f>
        <v>Pipe</v>
      </c>
      <c r="F27" s="714">
        <f>IF(OR('Pipe Data'!DZ20="",'Pipe Data'!DZ20="unknown",'Pipe Data'!DZ20="Unknown"),"Unknown",YEAR('Pipe Data'!DZ20))</f>
        <v>1988</v>
      </c>
      <c r="G27" s="721">
        <f ca="1">IF('Pipe Data'!DI20="ERROR","ERROR",IF(OR('Pipe Data'!DW20=1,'Pipe Data'!DY20&lt;&gt;"N/A"),'Pipe Data'!DH20,'Pipe Data'!DI20))</f>
        <v>12.75</v>
      </c>
      <c r="H27" s="722" t="str">
        <f>IF('Pipe Data'!DJ20&gt;0,'Pipe Data'!DJ20,"")</f>
        <v/>
      </c>
      <c r="I27" s="723">
        <f ca="1">IF('Pipe Data'!DW20=1,'Pipe Data'!DC20,'Pipe Data'!DE20)</f>
        <v>0.28100000000000003</v>
      </c>
      <c r="J27" s="722" t="str">
        <f>IF('Pipe Data'!DG20&gt;0,'Pipe Data'!DG20,"")</f>
        <v/>
      </c>
      <c r="K27" s="720">
        <f>IF('Pipe Data'!CZ20=0,"N/A",'Pipe Data'!CZ20)</f>
        <v>42000</v>
      </c>
      <c r="L27" s="722" t="str">
        <f>IF('Pipe Data'!DB20&gt;0,'Pipe Data'!DB20,"")</f>
        <v/>
      </c>
      <c r="M27" s="720" t="str">
        <f>IF(OR('Pipe Data'!DO20="Unknown",'Pipe Data'!DO20="N/A"),"N/A",'Pipe Data'!DO20)</f>
        <v>N/A</v>
      </c>
      <c r="N27" s="722" t="str">
        <f>IF('Pipe Data'!DP20&gt;0,'Pipe Data'!DP20,"")</f>
        <v/>
      </c>
      <c r="O27" s="724" t="str">
        <f>'Pipe Data'!DK20</f>
        <v>Electric Resistance Weld</v>
      </c>
      <c r="P27" s="722" t="str">
        <f>IF('Pipe Data'!DN20&gt;0,'Pipe Data'!DN20,"")</f>
        <v/>
      </c>
      <c r="Q27" s="725">
        <f>IF('Pipe Data'!CX20="Cap","N/A",'Pipe Data'!DM20)</f>
        <v>1</v>
      </c>
      <c r="R27" s="720">
        <f ca="1">IF('Pipe Data'!EJ20&lt;&gt;"N/A",'Pipe Data'!EJ20,IF('Pipe Data'!DY20&lt;&gt;"N/A",'Pipe Data'!DY20,'Pipe Data'!DX20))</f>
        <v>925</v>
      </c>
      <c r="S27" s="726" t="str">
        <f ca="1">IF(R27='Pipe Data'!EJ20,"A","")</f>
        <v/>
      </c>
      <c r="T27" s="720">
        <f>IF('Pipe Data'!EC20="N/A","N/A",'Pipe Data'!EC20)</f>
        <v>1690</v>
      </c>
      <c r="U27" s="714">
        <f>IF('Pipe Data'!EA20="N/A","N/A",YEAR('Pipe Data'!EA20))</f>
        <v>1988</v>
      </c>
      <c r="V27" s="720">
        <f ca="1">IF(R27='Pipe Data'!EJ20,"N/A",'Pipe Data'!EH20)</f>
        <v>1126</v>
      </c>
      <c r="W27" s="720">
        <f>'Pipe Data'!EK20</f>
        <v>204</v>
      </c>
      <c r="X27" s="722" t="str">
        <f>IF(OR('Pipe Data'!EL20="y",'Pipe Data'!EL20="yes",'Pipe Data'!EL20="Y",'Pipe Data'!EL20="Yes"),"B","")</f>
        <v/>
      </c>
      <c r="Y27" s="720">
        <f>'Pipe Data'!DS20</f>
        <v>3</v>
      </c>
      <c r="Z27" s="727">
        <f ca="1">IF('Pipe Data'!DW20=1,'Pipe Data'!EM20,'Pipe Data'!EN20)</f>
        <v>0.1101931875953228</v>
      </c>
      <c r="AA27" s="714" t="str">
        <f ca="1">IF(AND(M27&lt;&gt;"N/A",R27&gt;=W27),"Y",IF(AND(Y27="1 in Station",'Pipe Data'!DQ20=1,Z27&lt;=0.72),"Y",IF(AND(Y27="1 in Station",'Pipe Data'!DZ20&gt;=DATE(1961,7,1),Z27&gt;0.5),"N",IF(AND(OR(AND(Y27="1 in Public Road Crossing",'Pipe Data'!DQ20=1),AND(Y27="1 in Hard Road Parallel",'Pipe Data'!DQ20=1)),'Pipe Data'!DZ20&gt;=DATE(1961,7,1),'Pipe Data'!I20&lt;&gt;"Casing",Z27&lt;=0.72),"Y",IF(AND(AND(Y27="2 in Hard Road Crossing",OR('Pipe Data'!DQ20="1",'Pipe Data'!DQ20="1 in Public Road Crossing",'Pipe Data'!DQ20=2)),'Pipe Data'!DZ20&gt;=DATE(1961,7,1),'Pipe Data'!I20&lt;&gt;"Casing",Z27&lt;=0.6),"Y",IF(AND(OR(Y27="1 in Public Road Crossing",Y27="1 in Hard Road Parallel"),'Pipe Data'!DZ20&gt;=DATE(1961,7,1),'Pipe Data'!I20&lt;&gt;"Casing",Z27&gt;0.6),"N",IF(AND(Y27="1 on Bridge",'Pipe Data'!DZ20&gt;=DATE(1961,7,1),Z27&gt;0.6),"N",IF(AND(OR(Y27=1,Y27="1 in Station",Y27="1 in Public Road Crossing",Y27="1 in Hard Road Parallel",Y27="1 on Bridge"),Z27&lt;=0.72),"Y",IF(AND(Y27="2 in Station",'Pipe Data'!DQ20=2,Z27&lt;=0.6),"Y",IF(AND(Y27="2 in Station",'Pipe Data'!DZ20&gt;=DATE(1961,7,1),Z27&gt;0.5),"N",IF(AND(Y27="2 in Hard Road Crossing",'Pipe Data'!DZ20&gt;=DATE(1961,7,1),'Pipe Data'!I20&lt;&gt;"Casing",Z27&gt;0.5),"N",IF(OR(AND(OR(Y27=2,Y27="2 in Station",Y27="2 in Hard Road Crossing"),Z27&lt;=0.6),AND(OR(Y27=2,Y27="2 in Station",Y27="2 in Hard Road Crossing"),'Pipe Data'!EJ20&lt;&gt;"N/A",Z27&lt;=0.72)),"Y",IF(OR(AND(OR(Y27=3,Y27="3 in Station",Y27="3 in Hard Road Crossing"),Z27&lt;=0.5),AND(OR(Y27=3,Y27="3 in Station",Y27="3 in Hard Road Crossing"),'Pipe Data'!EJ20&lt;&gt;"N/A",Z27&lt;=0.6)),"Y",IF(OR(AND(Y27=4,Z27&lt;=0.4),AND(Y27=4,'Pipe Data'!EJ20&lt;&gt;"N/A",Z27&lt;=0.5)),"Y","N"))))))))))))))</f>
        <v>Y</v>
      </c>
      <c r="AB27" s="714" t="str">
        <f ca="1">IF(AND(R27='Pipe Data'!EJ20,R27&gt;=W27),"R",IF(AND(R27='Pipe Data'!EJ20,R27&lt;W27),"D",IF(AND(M27&lt;&gt;"N/A",R27&gt;=W27),"R",IF(AND(M27&lt;&gt;"N/A",R27&lt;W27),"D",IF(AND(V27="N/A",W27&lt;=R27),"R",IF(AND(V27="N/A",W27&gt;R27),"D",IF(AND(V27&gt;=W27,R27&gt;=W27),"R",IF(AND(V27&gt;=W27,R27&lt;W27),"D",IF(AND(V27&lt;W27,R27&gt;=W27),"T",IF(AND(V27&lt;W27,R27&lt;W27),IF(V27=R27,"D",IF(MIN(V27,R27)=V27,"T","D")),"R"))))))))))</f>
        <v>R</v>
      </c>
      <c r="AC27" s="714">
        <f ca="1">IF(AND(R27='Pipe Data'!EJ20,R27&gt;=W27),W27,IF(AND(R27='Pipe Data'!EJ20,R27&lt;W27),R27,IF(AND(M27&lt;&gt;"N/A",R27&gt;=W27),W27,IF(AND(M27&lt;&gt;"N/A",R27&lt;W27),R27,IF(AND(V27="N/A",W27&lt;=R27),W27,IF(AND(V27="N/A",W27&gt;R27),R27,IF(AND(V27&gt;=W27,R27&gt;=W27),W27,IF(AND(V27&gt;=W27,R27&lt;W27),R27,IF(AND(V27&lt;W27,R27&gt;=W27),V27,IF(AND(V27&lt;W27,R27&lt;W27),IF(V27=R27,R27,MIN(V27,R27)),W27))))))))))</f>
        <v>204</v>
      </c>
    </row>
    <row r="28" spans="1:29" ht="14.25" x14ac:dyDescent="0.2">
      <c r="A28" s="717">
        <f>'Pipe Data'!G21</f>
        <v>19</v>
      </c>
      <c r="B28" s="718" t="str">
        <f>IF('Pipe Data'!L21&gt;0,'Pipe Data'!L21,"")</f>
        <v/>
      </c>
      <c r="C28" s="719">
        <f>'Pipe Data'!A21</f>
        <v>0</v>
      </c>
      <c r="D28" s="719">
        <f>'Pipe Data'!B21</f>
        <v>0</v>
      </c>
      <c r="E28" s="720" t="str">
        <f>'Pipe Data'!CX21</f>
        <v>Mfg Bend</v>
      </c>
      <c r="F28" s="714">
        <f>IF(OR('Pipe Data'!DZ21="",'Pipe Data'!DZ21="unknown",'Pipe Data'!DZ21="Unknown"),"Unknown",YEAR('Pipe Data'!DZ21))</f>
        <v>1988</v>
      </c>
      <c r="G28" s="721">
        <f ca="1">IF('Pipe Data'!DI21="ERROR","ERROR",IF(OR('Pipe Data'!DW21=1,'Pipe Data'!DY21&lt;&gt;"N/A"),'Pipe Data'!DH21,'Pipe Data'!DI21))</f>
        <v>12.75</v>
      </c>
      <c r="H28" s="722" t="str">
        <f>IF('Pipe Data'!DJ21&gt;0,'Pipe Data'!DJ21,"")</f>
        <v/>
      </c>
      <c r="I28" s="723">
        <f ca="1">IF('Pipe Data'!DW21=1,'Pipe Data'!DC21,'Pipe Data'!DE21)</f>
        <v>0.375</v>
      </c>
      <c r="J28" s="722">
        <f>IF('Pipe Data'!DG21&gt;0,'Pipe Data'!DG21,"")</f>
        <v>1</v>
      </c>
      <c r="K28" s="720">
        <f>IF('Pipe Data'!CZ21=0,"N/A",'Pipe Data'!CZ21)</f>
        <v>35000</v>
      </c>
      <c r="L28" s="722">
        <f>IF('Pipe Data'!DB21&gt;0,'Pipe Data'!DB21,"")</f>
        <v>1</v>
      </c>
      <c r="M28" s="720" t="str">
        <f>IF(OR('Pipe Data'!DO21="Unknown",'Pipe Data'!DO21="N/A"),"N/A",'Pipe Data'!DO21)</f>
        <v>N/A</v>
      </c>
      <c r="N28" s="722" t="str">
        <f>IF('Pipe Data'!DP21&gt;0,'Pipe Data'!DP21,"")</f>
        <v/>
      </c>
      <c r="O28" s="724" t="str">
        <f>'Pipe Data'!DK21</f>
        <v>Unknown</v>
      </c>
      <c r="P28" s="722" t="str">
        <f>IF('Pipe Data'!DN21&gt;0,'Pipe Data'!DN21,"")</f>
        <v/>
      </c>
      <c r="Q28" s="725">
        <f>IF('Pipe Data'!CX21="Cap","N/A",'Pipe Data'!DM21)</f>
        <v>1</v>
      </c>
      <c r="R28" s="720">
        <f ca="1">IF('Pipe Data'!EJ21&lt;&gt;"N/A",'Pipe Data'!EJ21,IF('Pipe Data'!DY21&lt;&gt;"N/A",'Pipe Data'!DY21,'Pipe Data'!DX21))</f>
        <v>1029</v>
      </c>
      <c r="S28" s="726" t="str">
        <f ca="1">IF(R28='Pipe Data'!EJ21,"A","")</f>
        <v/>
      </c>
      <c r="T28" s="720">
        <f>IF('Pipe Data'!EC21="N/A","N/A",'Pipe Data'!EC21)</f>
        <v>1690</v>
      </c>
      <c r="U28" s="714">
        <f>IF('Pipe Data'!EA21="N/A","N/A",YEAR('Pipe Data'!EA21))</f>
        <v>1988</v>
      </c>
      <c r="V28" s="720">
        <f ca="1">IF(R28='Pipe Data'!EJ21,"N/A",'Pipe Data'!EH21)</f>
        <v>1126</v>
      </c>
      <c r="W28" s="720">
        <f>'Pipe Data'!EK21</f>
        <v>204</v>
      </c>
      <c r="X28" s="722" t="str">
        <f>IF(OR('Pipe Data'!EL21="y",'Pipe Data'!EL21="yes",'Pipe Data'!EL21="Y",'Pipe Data'!EL21="Yes"),"B","")</f>
        <v/>
      </c>
      <c r="Y28" s="720">
        <f>'Pipe Data'!DS21</f>
        <v>3</v>
      </c>
      <c r="Z28" s="727">
        <f ca="1">IF('Pipe Data'!DW21=1,'Pipe Data'!EM21,'Pipe Data'!EN21)</f>
        <v>9.9085714285714291E-2</v>
      </c>
      <c r="AA28" s="714" t="str">
        <f ca="1">IF(AND(M28&lt;&gt;"N/A",R28&gt;=W28),"Y",IF(AND(Y28="1 in Station",'Pipe Data'!DQ21=1,Z28&lt;=0.72),"Y",IF(AND(Y28="1 in Station",'Pipe Data'!DZ21&gt;=DATE(1961,7,1),Z28&gt;0.5),"N",IF(AND(OR(AND(Y28="1 in Public Road Crossing",'Pipe Data'!DQ21=1),AND(Y28="1 in Hard Road Parallel",'Pipe Data'!DQ21=1)),'Pipe Data'!DZ21&gt;=DATE(1961,7,1),'Pipe Data'!I21&lt;&gt;"Casing",Z28&lt;=0.72),"Y",IF(AND(AND(Y28="2 in Hard Road Crossing",OR('Pipe Data'!DQ21="1",'Pipe Data'!DQ21="1 in Public Road Crossing",'Pipe Data'!DQ21=2)),'Pipe Data'!DZ21&gt;=DATE(1961,7,1),'Pipe Data'!I21&lt;&gt;"Casing",Z28&lt;=0.6),"Y",IF(AND(OR(Y28="1 in Public Road Crossing",Y28="1 in Hard Road Parallel"),'Pipe Data'!DZ21&gt;=DATE(1961,7,1),'Pipe Data'!I21&lt;&gt;"Casing",Z28&gt;0.6),"N",IF(AND(Y28="1 on Bridge",'Pipe Data'!DZ21&gt;=DATE(1961,7,1),Z28&gt;0.6),"N",IF(AND(OR(Y28=1,Y28="1 in Station",Y28="1 in Public Road Crossing",Y28="1 in Hard Road Parallel",Y28="1 on Bridge"),Z28&lt;=0.72),"Y",IF(AND(Y28="2 in Station",'Pipe Data'!DQ21=2,Z28&lt;=0.6),"Y",IF(AND(Y28="2 in Station",'Pipe Data'!DZ21&gt;=DATE(1961,7,1),Z28&gt;0.5),"N",IF(AND(Y28="2 in Hard Road Crossing",'Pipe Data'!DZ21&gt;=DATE(1961,7,1),'Pipe Data'!I21&lt;&gt;"Casing",Z28&gt;0.5),"N",IF(OR(AND(OR(Y28=2,Y28="2 in Station",Y28="2 in Hard Road Crossing"),Z28&lt;=0.6),AND(OR(Y28=2,Y28="2 in Station",Y28="2 in Hard Road Crossing"),'Pipe Data'!EJ21&lt;&gt;"N/A",Z28&lt;=0.72)),"Y",IF(OR(AND(OR(Y28=3,Y28="3 in Station",Y28="3 in Hard Road Crossing"),Z28&lt;=0.5),AND(OR(Y28=3,Y28="3 in Station",Y28="3 in Hard Road Crossing"),'Pipe Data'!EJ21&lt;&gt;"N/A",Z28&lt;=0.6)),"Y",IF(OR(AND(Y28=4,Z28&lt;=0.4),AND(Y28=4,'Pipe Data'!EJ21&lt;&gt;"N/A",Z28&lt;=0.5)),"Y","N"))))))))))))))</f>
        <v>Y</v>
      </c>
      <c r="AB28" s="714" t="str">
        <f ca="1">IF(AND(R28='Pipe Data'!EJ21,R28&gt;=W28),"R",IF(AND(R28='Pipe Data'!EJ21,R28&lt;W28),"D",IF(AND(M28&lt;&gt;"N/A",R28&gt;=W28),"R",IF(AND(M28&lt;&gt;"N/A",R28&lt;W28),"D",IF(AND(V28="N/A",W28&lt;=R28),"R",IF(AND(V28="N/A",W28&gt;R28),"D",IF(AND(V28&gt;=W28,R28&gt;=W28),"R",IF(AND(V28&gt;=W28,R28&lt;W28),"D",IF(AND(V28&lt;W28,R28&gt;=W28),"T",IF(AND(V28&lt;W28,R28&lt;W28),IF(V28=R28,"D",IF(MIN(V28,R28)=V28,"T","D")),"R"))))))))))</f>
        <v>R</v>
      </c>
      <c r="AC28" s="714">
        <f ca="1">IF(AND(R28='Pipe Data'!EJ21,R28&gt;=W28),W28,IF(AND(R28='Pipe Data'!EJ21,R28&lt;W28),R28,IF(AND(M28&lt;&gt;"N/A",R28&gt;=W28),W28,IF(AND(M28&lt;&gt;"N/A",R28&lt;W28),R28,IF(AND(V28="N/A",W28&lt;=R28),W28,IF(AND(V28="N/A",W28&gt;R28),R28,IF(AND(V28&gt;=W28,R28&gt;=W28),W28,IF(AND(V28&gt;=W28,R28&lt;W28),R28,IF(AND(V28&lt;W28,R28&gt;=W28),V28,IF(AND(V28&lt;W28,R28&lt;W28),IF(V28=R28,R28,MIN(V28,R28)),W28))))))))))</f>
        <v>204</v>
      </c>
    </row>
    <row r="29" spans="1:29" ht="14.25" x14ac:dyDescent="0.2">
      <c r="A29" s="717">
        <f>'Pipe Data'!G22</f>
        <v>20</v>
      </c>
      <c r="B29" s="718" t="str">
        <f>IF('Pipe Data'!L22&gt;0,'Pipe Data'!L22,"")</f>
        <v/>
      </c>
      <c r="C29" s="719">
        <f>'Pipe Data'!A22</f>
        <v>0</v>
      </c>
      <c r="D29" s="719">
        <f>'Pipe Data'!B22</f>
        <v>0</v>
      </c>
      <c r="E29" s="720" t="str">
        <f>'Pipe Data'!CX22</f>
        <v>Pipe</v>
      </c>
      <c r="F29" s="714">
        <f>IF(OR('Pipe Data'!DZ22="",'Pipe Data'!DZ22="unknown",'Pipe Data'!DZ22="Unknown"),"Unknown",YEAR('Pipe Data'!DZ22))</f>
        <v>1988</v>
      </c>
      <c r="G29" s="721">
        <f ca="1">IF('Pipe Data'!DI22="ERROR","ERROR",IF(OR('Pipe Data'!DW22=1,'Pipe Data'!DY22&lt;&gt;"N/A"),'Pipe Data'!DH22,'Pipe Data'!DI22))</f>
        <v>12.75</v>
      </c>
      <c r="H29" s="722" t="str">
        <f>IF('Pipe Data'!DJ22&gt;0,'Pipe Data'!DJ22,"")</f>
        <v/>
      </c>
      <c r="I29" s="723">
        <f ca="1">IF('Pipe Data'!DW22=1,'Pipe Data'!DC22,'Pipe Data'!DE22)</f>
        <v>0.28100000000000003</v>
      </c>
      <c r="J29" s="722" t="str">
        <f>IF('Pipe Data'!DG22&gt;0,'Pipe Data'!DG22,"")</f>
        <v/>
      </c>
      <c r="K29" s="720">
        <f>IF('Pipe Data'!CZ22=0,"N/A",'Pipe Data'!CZ22)</f>
        <v>42000</v>
      </c>
      <c r="L29" s="722" t="str">
        <f>IF('Pipe Data'!DB22&gt;0,'Pipe Data'!DB22,"")</f>
        <v/>
      </c>
      <c r="M29" s="720" t="str">
        <f>IF(OR('Pipe Data'!DO22="Unknown",'Pipe Data'!DO22="N/A"),"N/A",'Pipe Data'!DO22)</f>
        <v>N/A</v>
      </c>
      <c r="N29" s="722" t="str">
        <f>IF('Pipe Data'!DP22&gt;0,'Pipe Data'!DP22,"")</f>
        <v/>
      </c>
      <c r="O29" s="724" t="str">
        <f>'Pipe Data'!DK22</f>
        <v>Electric Resistance Weld</v>
      </c>
      <c r="P29" s="722" t="str">
        <f>IF('Pipe Data'!DN22&gt;0,'Pipe Data'!DN22,"")</f>
        <v/>
      </c>
      <c r="Q29" s="725">
        <f>IF('Pipe Data'!CX22="Cap","N/A",'Pipe Data'!DM22)</f>
        <v>1</v>
      </c>
      <c r="R29" s="720">
        <f ca="1">IF('Pipe Data'!EJ22&lt;&gt;"N/A",'Pipe Data'!EJ22,IF('Pipe Data'!DY22&lt;&gt;"N/A",'Pipe Data'!DY22,'Pipe Data'!DX22))</f>
        <v>925</v>
      </c>
      <c r="S29" s="726" t="str">
        <f ca="1">IF(R29='Pipe Data'!EJ22,"A","")</f>
        <v/>
      </c>
      <c r="T29" s="720">
        <f>IF('Pipe Data'!EC22="N/A","N/A",'Pipe Data'!EC22)</f>
        <v>1690</v>
      </c>
      <c r="U29" s="714">
        <f>IF('Pipe Data'!EA22="N/A","N/A",YEAR('Pipe Data'!EA22))</f>
        <v>1988</v>
      </c>
      <c r="V29" s="720">
        <f ca="1">IF(R29='Pipe Data'!EJ22,"N/A",'Pipe Data'!EH22)</f>
        <v>1126</v>
      </c>
      <c r="W29" s="720">
        <f>'Pipe Data'!EK22</f>
        <v>204</v>
      </c>
      <c r="X29" s="722" t="str">
        <f>IF(OR('Pipe Data'!EL22="y",'Pipe Data'!EL22="yes",'Pipe Data'!EL22="Y",'Pipe Data'!EL22="Yes"),"B","")</f>
        <v/>
      </c>
      <c r="Y29" s="720">
        <f>'Pipe Data'!DS22</f>
        <v>3</v>
      </c>
      <c r="Z29" s="727">
        <f ca="1">IF('Pipe Data'!DW22=1,'Pipe Data'!EM22,'Pipe Data'!EN22)</f>
        <v>0.1101931875953228</v>
      </c>
      <c r="AA29" s="714" t="str">
        <f ca="1">IF(AND(M29&lt;&gt;"N/A",R29&gt;=W29),"Y",IF(AND(Y29="1 in Station",'Pipe Data'!DQ22=1,Z29&lt;=0.72),"Y",IF(AND(Y29="1 in Station",'Pipe Data'!DZ22&gt;=DATE(1961,7,1),Z29&gt;0.5),"N",IF(AND(OR(AND(Y29="1 in Public Road Crossing",'Pipe Data'!DQ22=1),AND(Y29="1 in Hard Road Parallel",'Pipe Data'!DQ22=1)),'Pipe Data'!DZ22&gt;=DATE(1961,7,1),'Pipe Data'!I22&lt;&gt;"Casing",Z29&lt;=0.72),"Y",IF(AND(AND(Y29="2 in Hard Road Crossing",OR('Pipe Data'!DQ22="1",'Pipe Data'!DQ22="1 in Public Road Crossing",'Pipe Data'!DQ22=2)),'Pipe Data'!DZ22&gt;=DATE(1961,7,1),'Pipe Data'!I22&lt;&gt;"Casing",Z29&lt;=0.6),"Y",IF(AND(OR(Y29="1 in Public Road Crossing",Y29="1 in Hard Road Parallel"),'Pipe Data'!DZ22&gt;=DATE(1961,7,1),'Pipe Data'!I22&lt;&gt;"Casing",Z29&gt;0.6),"N",IF(AND(Y29="1 on Bridge",'Pipe Data'!DZ22&gt;=DATE(1961,7,1),Z29&gt;0.6),"N",IF(AND(OR(Y29=1,Y29="1 in Station",Y29="1 in Public Road Crossing",Y29="1 in Hard Road Parallel",Y29="1 on Bridge"),Z29&lt;=0.72),"Y",IF(AND(Y29="2 in Station",'Pipe Data'!DQ22=2,Z29&lt;=0.6),"Y",IF(AND(Y29="2 in Station",'Pipe Data'!DZ22&gt;=DATE(1961,7,1),Z29&gt;0.5),"N",IF(AND(Y29="2 in Hard Road Crossing",'Pipe Data'!DZ22&gt;=DATE(1961,7,1),'Pipe Data'!I22&lt;&gt;"Casing",Z29&gt;0.5),"N",IF(OR(AND(OR(Y29=2,Y29="2 in Station",Y29="2 in Hard Road Crossing"),Z29&lt;=0.6),AND(OR(Y29=2,Y29="2 in Station",Y29="2 in Hard Road Crossing"),'Pipe Data'!EJ22&lt;&gt;"N/A",Z29&lt;=0.72)),"Y",IF(OR(AND(OR(Y29=3,Y29="3 in Station",Y29="3 in Hard Road Crossing"),Z29&lt;=0.5),AND(OR(Y29=3,Y29="3 in Station",Y29="3 in Hard Road Crossing"),'Pipe Data'!EJ22&lt;&gt;"N/A",Z29&lt;=0.6)),"Y",IF(OR(AND(Y29=4,Z29&lt;=0.4),AND(Y29=4,'Pipe Data'!EJ22&lt;&gt;"N/A",Z29&lt;=0.5)),"Y","N"))))))))))))))</f>
        <v>Y</v>
      </c>
      <c r="AB29" s="714" t="str">
        <f ca="1">IF(AND(R29='Pipe Data'!EJ22,R29&gt;=W29),"R",IF(AND(R29='Pipe Data'!EJ22,R29&lt;W29),"D",IF(AND(M29&lt;&gt;"N/A",R29&gt;=W29),"R",IF(AND(M29&lt;&gt;"N/A",R29&lt;W29),"D",IF(AND(V29="N/A",W29&lt;=R29),"R",IF(AND(V29="N/A",W29&gt;R29),"D",IF(AND(V29&gt;=W29,R29&gt;=W29),"R",IF(AND(V29&gt;=W29,R29&lt;W29),"D",IF(AND(V29&lt;W29,R29&gt;=W29),"T",IF(AND(V29&lt;W29,R29&lt;W29),IF(V29=R29,"D",IF(MIN(V29,R29)=V29,"T","D")),"R"))))))))))</f>
        <v>R</v>
      </c>
      <c r="AC29" s="714">
        <f ca="1">IF(AND(R29='Pipe Data'!EJ22,R29&gt;=W29),W29,IF(AND(R29='Pipe Data'!EJ22,R29&lt;W29),R29,IF(AND(M29&lt;&gt;"N/A",R29&gt;=W29),W29,IF(AND(M29&lt;&gt;"N/A",R29&lt;W29),R29,IF(AND(V29="N/A",W29&lt;=R29),W29,IF(AND(V29="N/A",W29&gt;R29),R29,IF(AND(V29&gt;=W29,R29&gt;=W29),W29,IF(AND(V29&gt;=W29,R29&lt;W29),R29,IF(AND(V29&lt;W29,R29&gt;=W29),V29,IF(AND(V29&lt;W29,R29&lt;W29),IF(V29=R29,R29,MIN(V29,R29)),W29))))))))))</f>
        <v>204</v>
      </c>
    </row>
    <row r="30" spans="1:29" ht="14.25" x14ac:dyDescent="0.2">
      <c r="A30" s="717">
        <f>'Pipe Data'!G23</f>
        <v>21</v>
      </c>
      <c r="B30" s="718" t="str">
        <f>IF('Pipe Data'!L23&gt;0,'Pipe Data'!L23,"")</f>
        <v/>
      </c>
      <c r="C30" s="719">
        <f>'Pipe Data'!A23</f>
        <v>0</v>
      </c>
      <c r="D30" s="719">
        <f>'Pipe Data'!B23</f>
        <v>0</v>
      </c>
      <c r="E30" s="720" t="str">
        <f>'Pipe Data'!CX23</f>
        <v>Mfg Bend</v>
      </c>
      <c r="F30" s="714">
        <f>IF(OR('Pipe Data'!DZ23="",'Pipe Data'!DZ23="unknown",'Pipe Data'!DZ23="Unknown"),"Unknown",YEAR('Pipe Data'!DZ23))</f>
        <v>1988</v>
      </c>
      <c r="G30" s="721">
        <f ca="1">IF('Pipe Data'!DI23="ERROR","ERROR",IF(OR('Pipe Data'!DW23=1,'Pipe Data'!DY23&lt;&gt;"N/A"),'Pipe Data'!DH23,'Pipe Data'!DI23))</f>
        <v>12.75</v>
      </c>
      <c r="H30" s="722" t="str">
        <f>IF('Pipe Data'!DJ23&gt;0,'Pipe Data'!DJ23,"")</f>
        <v/>
      </c>
      <c r="I30" s="723">
        <f ca="1">IF('Pipe Data'!DW23=1,'Pipe Data'!DC23,'Pipe Data'!DE23)</f>
        <v>0.375</v>
      </c>
      <c r="J30" s="722">
        <f>IF('Pipe Data'!DG23&gt;0,'Pipe Data'!DG23,"")</f>
        <v>1</v>
      </c>
      <c r="K30" s="720">
        <f>IF('Pipe Data'!CZ23=0,"N/A",'Pipe Data'!CZ23)</f>
        <v>35000</v>
      </c>
      <c r="L30" s="722">
        <f>IF('Pipe Data'!DB23&gt;0,'Pipe Data'!DB23,"")</f>
        <v>1</v>
      </c>
      <c r="M30" s="720" t="str">
        <f>IF(OR('Pipe Data'!DO23="Unknown",'Pipe Data'!DO23="N/A"),"N/A",'Pipe Data'!DO23)</f>
        <v>N/A</v>
      </c>
      <c r="N30" s="722" t="str">
        <f>IF('Pipe Data'!DP23&gt;0,'Pipe Data'!DP23,"")</f>
        <v/>
      </c>
      <c r="O30" s="724" t="str">
        <f>'Pipe Data'!DK23</f>
        <v>Unknown</v>
      </c>
      <c r="P30" s="722" t="str">
        <f>IF('Pipe Data'!DN23&gt;0,'Pipe Data'!DN23,"")</f>
        <v/>
      </c>
      <c r="Q30" s="725">
        <f>IF('Pipe Data'!CX23="Cap","N/A",'Pipe Data'!DM23)</f>
        <v>1</v>
      </c>
      <c r="R30" s="720">
        <f ca="1">IF('Pipe Data'!EJ23&lt;&gt;"N/A",'Pipe Data'!EJ23,IF('Pipe Data'!DY23&lt;&gt;"N/A",'Pipe Data'!DY23,'Pipe Data'!DX23))</f>
        <v>1029</v>
      </c>
      <c r="S30" s="726" t="str">
        <f ca="1">IF(R30='Pipe Data'!EJ23,"A","")</f>
        <v/>
      </c>
      <c r="T30" s="720">
        <f>IF('Pipe Data'!EC23="N/A","N/A",'Pipe Data'!EC23)</f>
        <v>1690</v>
      </c>
      <c r="U30" s="714">
        <f>IF('Pipe Data'!EA23="N/A","N/A",YEAR('Pipe Data'!EA23))</f>
        <v>1988</v>
      </c>
      <c r="V30" s="720">
        <f ca="1">IF(R30='Pipe Data'!EJ23,"N/A",'Pipe Data'!EH23)</f>
        <v>1126</v>
      </c>
      <c r="W30" s="720">
        <f>'Pipe Data'!EK23</f>
        <v>204</v>
      </c>
      <c r="X30" s="722" t="str">
        <f>IF(OR('Pipe Data'!EL23="y",'Pipe Data'!EL23="yes",'Pipe Data'!EL23="Y",'Pipe Data'!EL23="Yes"),"B","")</f>
        <v/>
      </c>
      <c r="Y30" s="720">
        <f>'Pipe Data'!DS23</f>
        <v>3</v>
      </c>
      <c r="Z30" s="727">
        <f ca="1">IF('Pipe Data'!DW23=1,'Pipe Data'!EM23,'Pipe Data'!EN23)</f>
        <v>9.9085714285714291E-2</v>
      </c>
      <c r="AA30" s="714" t="str">
        <f ca="1">IF(AND(M30&lt;&gt;"N/A",R30&gt;=W30),"Y",IF(AND(Y30="1 in Station",'Pipe Data'!DQ23=1,Z30&lt;=0.72),"Y",IF(AND(Y30="1 in Station",'Pipe Data'!DZ23&gt;=DATE(1961,7,1),Z30&gt;0.5),"N",IF(AND(OR(AND(Y30="1 in Public Road Crossing",'Pipe Data'!DQ23=1),AND(Y30="1 in Hard Road Parallel",'Pipe Data'!DQ23=1)),'Pipe Data'!DZ23&gt;=DATE(1961,7,1),'Pipe Data'!I23&lt;&gt;"Casing",Z30&lt;=0.72),"Y",IF(AND(AND(Y30="2 in Hard Road Crossing",OR('Pipe Data'!DQ23="1",'Pipe Data'!DQ23="1 in Public Road Crossing",'Pipe Data'!DQ23=2)),'Pipe Data'!DZ23&gt;=DATE(1961,7,1),'Pipe Data'!I23&lt;&gt;"Casing",Z30&lt;=0.6),"Y",IF(AND(OR(Y30="1 in Public Road Crossing",Y30="1 in Hard Road Parallel"),'Pipe Data'!DZ23&gt;=DATE(1961,7,1),'Pipe Data'!I23&lt;&gt;"Casing",Z30&gt;0.6),"N",IF(AND(Y30="1 on Bridge",'Pipe Data'!DZ23&gt;=DATE(1961,7,1),Z30&gt;0.6),"N",IF(AND(OR(Y30=1,Y30="1 in Station",Y30="1 in Public Road Crossing",Y30="1 in Hard Road Parallel",Y30="1 on Bridge"),Z30&lt;=0.72),"Y",IF(AND(Y30="2 in Station",'Pipe Data'!DQ23=2,Z30&lt;=0.6),"Y",IF(AND(Y30="2 in Station",'Pipe Data'!DZ23&gt;=DATE(1961,7,1),Z30&gt;0.5),"N",IF(AND(Y30="2 in Hard Road Crossing",'Pipe Data'!DZ23&gt;=DATE(1961,7,1),'Pipe Data'!I23&lt;&gt;"Casing",Z30&gt;0.5),"N",IF(OR(AND(OR(Y30=2,Y30="2 in Station",Y30="2 in Hard Road Crossing"),Z30&lt;=0.6),AND(OR(Y30=2,Y30="2 in Station",Y30="2 in Hard Road Crossing"),'Pipe Data'!EJ23&lt;&gt;"N/A",Z30&lt;=0.72)),"Y",IF(OR(AND(OR(Y30=3,Y30="3 in Station",Y30="3 in Hard Road Crossing"),Z30&lt;=0.5),AND(OR(Y30=3,Y30="3 in Station",Y30="3 in Hard Road Crossing"),'Pipe Data'!EJ23&lt;&gt;"N/A",Z30&lt;=0.6)),"Y",IF(OR(AND(Y30=4,Z30&lt;=0.4),AND(Y30=4,'Pipe Data'!EJ23&lt;&gt;"N/A",Z30&lt;=0.5)),"Y","N"))))))))))))))</f>
        <v>Y</v>
      </c>
      <c r="AB30" s="714" t="str">
        <f ca="1">IF(AND(R30='Pipe Data'!EJ23,R30&gt;=W30),"R",IF(AND(R30='Pipe Data'!EJ23,R30&lt;W30),"D",IF(AND(M30&lt;&gt;"N/A",R30&gt;=W30),"R",IF(AND(M30&lt;&gt;"N/A",R30&lt;W30),"D",IF(AND(V30="N/A",W30&lt;=R30),"R",IF(AND(V30="N/A",W30&gt;R30),"D",IF(AND(V30&gt;=W30,R30&gt;=W30),"R",IF(AND(V30&gt;=W30,R30&lt;W30),"D",IF(AND(V30&lt;W30,R30&gt;=W30),"T",IF(AND(V30&lt;W30,R30&lt;W30),IF(V30=R30,"D",IF(MIN(V30,R30)=V30,"T","D")),"R"))))))))))</f>
        <v>R</v>
      </c>
      <c r="AC30" s="714">
        <f ca="1">IF(AND(R30='Pipe Data'!EJ23,R30&gt;=W30),W30,IF(AND(R30='Pipe Data'!EJ23,R30&lt;W30),R30,IF(AND(M30&lt;&gt;"N/A",R30&gt;=W30),W30,IF(AND(M30&lt;&gt;"N/A",R30&lt;W30),R30,IF(AND(V30="N/A",W30&lt;=R30),W30,IF(AND(V30="N/A",W30&gt;R30),R30,IF(AND(V30&gt;=W30,R30&gt;=W30),W30,IF(AND(V30&gt;=W30,R30&lt;W30),R30,IF(AND(V30&lt;W30,R30&gt;=W30),V30,IF(AND(V30&lt;W30,R30&lt;W30),IF(V30=R30,R30,MIN(V30,R30)),W30))))))))))</f>
        <v>204</v>
      </c>
    </row>
    <row r="31" spans="1:29" ht="14.25" x14ac:dyDescent="0.2">
      <c r="A31" s="717">
        <f>'Pipe Data'!G24</f>
        <v>22</v>
      </c>
      <c r="B31" s="718" t="str">
        <f>IF('Pipe Data'!L24&gt;0,'Pipe Data'!L24,"")</f>
        <v/>
      </c>
      <c r="C31" s="719">
        <f>'Pipe Data'!A24</f>
        <v>0</v>
      </c>
      <c r="D31" s="719">
        <f>'Pipe Data'!B24</f>
        <v>0</v>
      </c>
      <c r="E31" s="720" t="str">
        <f>'Pipe Data'!CX24</f>
        <v>Pipe</v>
      </c>
      <c r="F31" s="714">
        <f>IF(OR('Pipe Data'!DZ24="",'Pipe Data'!DZ24="unknown",'Pipe Data'!DZ24="Unknown"),"Unknown",YEAR('Pipe Data'!DZ24))</f>
        <v>1988</v>
      </c>
      <c r="G31" s="721">
        <f ca="1">IF('Pipe Data'!DI24="ERROR","ERROR",IF(OR('Pipe Data'!DW24=1,'Pipe Data'!DY24&lt;&gt;"N/A"),'Pipe Data'!DH24,'Pipe Data'!DI24))</f>
        <v>12.75</v>
      </c>
      <c r="H31" s="722" t="str">
        <f>IF('Pipe Data'!DJ24&gt;0,'Pipe Data'!DJ24,"")</f>
        <v/>
      </c>
      <c r="I31" s="723">
        <f ca="1">IF('Pipe Data'!DW24=1,'Pipe Data'!DC24,'Pipe Data'!DE24)</f>
        <v>0.28100000000000003</v>
      </c>
      <c r="J31" s="722" t="str">
        <f>IF('Pipe Data'!DG24&gt;0,'Pipe Data'!DG24,"")</f>
        <v/>
      </c>
      <c r="K31" s="720">
        <f>IF('Pipe Data'!CZ24=0,"N/A",'Pipe Data'!CZ24)</f>
        <v>42000</v>
      </c>
      <c r="L31" s="722" t="str">
        <f>IF('Pipe Data'!DB24&gt;0,'Pipe Data'!DB24,"")</f>
        <v/>
      </c>
      <c r="M31" s="720" t="str">
        <f>IF(OR('Pipe Data'!DO24="Unknown",'Pipe Data'!DO24="N/A"),"N/A",'Pipe Data'!DO24)</f>
        <v>N/A</v>
      </c>
      <c r="N31" s="722" t="str">
        <f>IF('Pipe Data'!DP24&gt;0,'Pipe Data'!DP24,"")</f>
        <v/>
      </c>
      <c r="O31" s="724" t="str">
        <f>'Pipe Data'!DK24</f>
        <v>Electric Resistance Weld</v>
      </c>
      <c r="P31" s="722" t="str">
        <f>IF('Pipe Data'!DN24&gt;0,'Pipe Data'!DN24,"")</f>
        <v/>
      </c>
      <c r="Q31" s="725">
        <f>IF('Pipe Data'!CX24="Cap","N/A",'Pipe Data'!DM24)</f>
        <v>1</v>
      </c>
      <c r="R31" s="720">
        <f ca="1">IF('Pipe Data'!EJ24&lt;&gt;"N/A",'Pipe Data'!EJ24,IF('Pipe Data'!DY24&lt;&gt;"N/A",'Pipe Data'!DY24,'Pipe Data'!DX24))</f>
        <v>925</v>
      </c>
      <c r="S31" s="726" t="str">
        <f ca="1">IF(R31='Pipe Data'!EJ24,"A","")</f>
        <v/>
      </c>
      <c r="T31" s="720">
        <f>IF('Pipe Data'!EC24="N/A","N/A",'Pipe Data'!EC24)</f>
        <v>1690</v>
      </c>
      <c r="U31" s="714">
        <f>IF('Pipe Data'!EA24="N/A","N/A",YEAR('Pipe Data'!EA24))</f>
        <v>1988</v>
      </c>
      <c r="V31" s="720">
        <f ca="1">IF(R31='Pipe Data'!EJ24,"N/A",'Pipe Data'!EH24)</f>
        <v>1126</v>
      </c>
      <c r="W31" s="720">
        <f>'Pipe Data'!EK24</f>
        <v>204</v>
      </c>
      <c r="X31" s="722" t="str">
        <f>IF(OR('Pipe Data'!EL24="y",'Pipe Data'!EL24="yes",'Pipe Data'!EL24="Y",'Pipe Data'!EL24="Yes"),"B","")</f>
        <v/>
      </c>
      <c r="Y31" s="720">
        <f>'Pipe Data'!DS24</f>
        <v>3</v>
      </c>
      <c r="Z31" s="727">
        <f ca="1">IF('Pipe Data'!DW24=1,'Pipe Data'!EM24,'Pipe Data'!EN24)</f>
        <v>0.1101931875953228</v>
      </c>
      <c r="AA31" s="714" t="str">
        <f ca="1">IF(AND(M31&lt;&gt;"N/A",R31&gt;=W31),"Y",IF(AND(Y31="1 in Station",'Pipe Data'!DQ24=1,Z31&lt;=0.72),"Y",IF(AND(Y31="1 in Station",'Pipe Data'!DZ24&gt;=DATE(1961,7,1),Z31&gt;0.5),"N",IF(AND(OR(AND(Y31="1 in Public Road Crossing",'Pipe Data'!DQ24=1),AND(Y31="1 in Hard Road Parallel",'Pipe Data'!DQ24=1)),'Pipe Data'!DZ24&gt;=DATE(1961,7,1),'Pipe Data'!I24&lt;&gt;"Casing",Z31&lt;=0.72),"Y",IF(AND(AND(Y31="2 in Hard Road Crossing",OR('Pipe Data'!DQ24="1",'Pipe Data'!DQ24="1 in Public Road Crossing",'Pipe Data'!DQ24=2)),'Pipe Data'!DZ24&gt;=DATE(1961,7,1),'Pipe Data'!I24&lt;&gt;"Casing",Z31&lt;=0.6),"Y",IF(AND(OR(Y31="1 in Public Road Crossing",Y31="1 in Hard Road Parallel"),'Pipe Data'!DZ24&gt;=DATE(1961,7,1),'Pipe Data'!I24&lt;&gt;"Casing",Z31&gt;0.6),"N",IF(AND(Y31="1 on Bridge",'Pipe Data'!DZ24&gt;=DATE(1961,7,1),Z31&gt;0.6),"N",IF(AND(OR(Y31=1,Y31="1 in Station",Y31="1 in Public Road Crossing",Y31="1 in Hard Road Parallel",Y31="1 on Bridge"),Z31&lt;=0.72),"Y",IF(AND(Y31="2 in Station",'Pipe Data'!DQ24=2,Z31&lt;=0.6),"Y",IF(AND(Y31="2 in Station",'Pipe Data'!DZ24&gt;=DATE(1961,7,1),Z31&gt;0.5),"N",IF(AND(Y31="2 in Hard Road Crossing",'Pipe Data'!DZ24&gt;=DATE(1961,7,1),'Pipe Data'!I24&lt;&gt;"Casing",Z31&gt;0.5),"N",IF(OR(AND(OR(Y31=2,Y31="2 in Station",Y31="2 in Hard Road Crossing"),Z31&lt;=0.6),AND(OR(Y31=2,Y31="2 in Station",Y31="2 in Hard Road Crossing"),'Pipe Data'!EJ24&lt;&gt;"N/A",Z31&lt;=0.72)),"Y",IF(OR(AND(OR(Y31=3,Y31="3 in Station",Y31="3 in Hard Road Crossing"),Z31&lt;=0.5),AND(OR(Y31=3,Y31="3 in Station",Y31="3 in Hard Road Crossing"),'Pipe Data'!EJ24&lt;&gt;"N/A",Z31&lt;=0.6)),"Y",IF(OR(AND(Y31=4,Z31&lt;=0.4),AND(Y31=4,'Pipe Data'!EJ24&lt;&gt;"N/A",Z31&lt;=0.5)),"Y","N"))))))))))))))</f>
        <v>Y</v>
      </c>
      <c r="AB31" s="714" t="str">
        <f ca="1">IF(AND(R31='Pipe Data'!EJ24,R31&gt;=W31),"R",IF(AND(R31='Pipe Data'!EJ24,R31&lt;W31),"D",IF(AND(M31&lt;&gt;"N/A",R31&gt;=W31),"R",IF(AND(M31&lt;&gt;"N/A",R31&lt;W31),"D",IF(AND(V31="N/A",W31&lt;=R31),"R",IF(AND(V31="N/A",W31&gt;R31),"D",IF(AND(V31&gt;=W31,R31&gt;=W31),"R",IF(AND(V31&gt;=W31,R31&lt;W31),"D",IF(AND(V31&lt;W31,R31&gt;=W31),"T",IF(AND(V31&lt;W31,R31&lt;W31),IF(V31=R31,"D",IF(MIN(V31,R31)=V31,"T","D")),"R"))))))))))</f>
        <v>R</v>
      </c>
      <c r="AC31" s="714">
        <f ca="1">IF(AND(R31='Pipe Data'!EJ24,R31&gt;=W31),W31,IF(AND(R31='Pipe Data'!EJ24,R31&lt;W31),R31,IF(AND(M31&lt;&gt;"N/A",R31&gt;=W31),W31,IF(AND(M31&lt;&gt;"N/A",R31&lt;W31),R31,IF(AND(V31="N/A",W31&lt;=R31),W31,IF(AND(V31="N/A",W31&gt;R31),R31,IF(AND(V31&gt;=W31,R31&gt;=W31),W31,IF(AND(V31&gt;=W31,R31&lt;W31),R31,IF(AND(V31&lt;W31,R31&gt;=W31),V31,IF(AND(V31&lt;W31,R31&lt;W31),IF(V31=R31,R31,MIN(V31,R31)),W31))))))))))</f>
        <v>204</v>
      </c>
    </row>
    <row r="32" spans="1:29" ht="14.25" x14ac:dyDescent="0.2">
      <c r="A32" s="717">
        <f>'Pipe Data'!G25</f>
        <v>23</v>
      </c>
      <c r="B32" s="718" t="str">
        <f>IF('Pipe Data'!L25&gt;0,'Pipe Data'!L25,"")</f>
        <v/>
      </c>
      <c r="C32" s="719">
        <f>'Pipe Data'!A25</f>
        <v>0</v>
      </c>
      <c r="D32" s="719">
        <f>'Pipe Data'!B25</f>
        <v>0</v>
      </c>
      <c r="E32" s="720" t="str">
        <f>'Pipe Data'!CX25</f>
        <v>Pipe</v>
      </c>
      <c r="F32" s="714">
        <f>IF(OR('Pipe Data'!DZ25="",'Pipe Data'!DZ25="unknown",'Pipe Data'!DZ25="Unknown"),"Unknown",YEAR('Pipe Data'!DZ25))</f>
        <v>1985</v>
      </c>
      <c r="G32" s="721">
        <f ca="1">IF('Pipe Data'!DI25="ERROR","ERROR",IF(OR('Pipe Data'!DW25=1,'Pipe Data'!DY25&lt;&gt;"N/A"),'Pipe Data'!DH25,'Pipe Data'!DI25))</f>
        <v>12.75</v>
      </c>
      <c r="H32" s="722" t="str">
        <f>IF('Pipe Data'!DJ25&gt;0,'Pipe Data'!DJ25,"")</f>
        <v/>
      </c>
      <c r="I32" s="723">
        <f ca="1">IF('Pipe Data'!DW25=1,'Pipe Data'!DC25,'Pipe Data'!DE25)</f>
        <v>0.312</v>
      </c>
      <c r="J32" s="722" t="str">
        <f>IF('Pipe Data'!DG25&gt;0,'Pipe Data'!DG25,"")</f>
        <v/>
      </c>
      <c r="K32" s="720">
        <f>IF('Pipe Data'!CZ25=0,"N/A",'Pipe Data'!CZ25)</f>
        <v>42000</v>
      </c>
      <c r="L32" s="722" t="str">
        <f>IF('Pipe Data'!DB25&gt;0,'Pipe Data'!DB25,"")</f>
        <v/>
      </c>
      <c r="M32" s="720" t="str">
        <f>IF(OR('Pipe Data'!DO25="Unknown",'Pipe Data'!DO25="N/A"),"N/A",'Pipe Data'!DO25)</f>
        <v>N/A</v>
      </c>
      <c r="N32" s="722" t="str">
        <f>IF('Pipe Data'!DP25&gt;0,'Pipe Data'!DP25,"")</f>
        <v/>
      </c>
      <c r="O32" s="724" t="str">
        <f>'Pipe Data'!DK25</f>
        <v>Electric Resistance Weld</v>
      </c>
      <c r="P32" s="722" t="str">
        <f>IF('Pipe Data'!DN25&gt;0,'Pipe Data'!DN25,"")</f>
        <v/>
      </c>
      <c r="Q32" s="725">
        <f>IF('Pipe Data'!CX25="Cap","N/A",'Pipe Data'!DM25)</f>
        <v>1</v>
      </c>
      <c r="R32" s="720">
        <f ca="1">IF('Pipe Data'!EJ25&lt;&gt;"N/A",'Pipe Data'!EJ25,IF('Pipe Data'!DY25&lt;&gt;"N/A",'Pipe Data'!DY25,'Pipe Data'!DX25))</f>
        <v>1027</v>
      </c>
      <c r="S32" s="726" t="str">
        <f ca="1">IF(R32='Pipe Data'!EJ25,"A","")</f>
        <v/>
      </c>
      <c r="T32" s="720">
        <f>IF('Pipe Data'!EC25="N/A","N/A",'Pipe Data'!EC25)</f>
        <v>1898</v>
      </c>
      <c r="U32" s="714">
        <f>IF('Pipe Data'!EA25="N/A","N/A",YEAR('Pipe Data'!EA25))</f>
        <v>1985</v>
      </c>
      <c r="V32" s="720">
        <f ca="1">IF(R32='Pipe Data'!EJ25,"N/A",'Pipe Data'!EH25)</f>
        <v>1265</v>
      </c>
      <c r="W32" s="720">
        <f>'Pipe Data'!EK25</f>
        <v>204</v>
      </c>
      <c r="X32" s="722" t="str">
        <f>IF(OR('Pipe Data'!EL25="y",'Pipe Data'!EL25="yes",'Pipe Data'!EL25="Y",'Pipe Data'!EL25="Yes"),"B","")</f>
        <v/>
      </c>
      <c r="Y32" s="720">
        <f>'Pipe Data'!DS25</f>
        <v>3</v>
      </c>
      <c r="Z32" s="727">
        <f ca="1">IF('Pipe Data'!DW25=1,'Pipe Data'!EM25,'Pipe Data'!EN25)</f>
        <v>9.9244505494505489E-2</v>
      </c>
      <c r="AA32" s="714" t="str">
        <f ca="1">IF(AND(M32&lt;&gt;"N/A",R32&gt;=W32),"Y",IF(AND(Y32="1 in Station",'Pipe Data'!DQ25=1,Z32&lt;=0.72),"Y",IF(AND(Y32="1 in Station",'Pipe Data'!DZ25&gt;=DATE(1961,7,1),Z32&gt;0.5),"N",IF(AND(OR(AND(Y32="1 in Public Road Crossing",'Pipe Data'!DQ25=1),AND(Y32="1 in Hard Road Parallel",'Pipe Data'!DQ25=1)),'Pipe Data'!DZ25&gt;=DATE(1961,7,1),'Pipe Data'!I25&lt;&gt;"Casing",Z32&lt;=0.72),"Y",IF(AND(AND(Y32="2 in Hard Road Crossing",OR('Pipe Data'!DQ25="1",'Pipe Data'!DQ25="1 in Public Road Crossing",'Pipe Data'!DQ25=2)),'Pipe Data'!DZ25&gt;=DATE(1961,7,1),'Pipe Data'!I25&lt;&gt;"Casing",Z32&lt;=0.6),"Y",IF(AND(OR(Y32="1 in Public Road Crossing",Y32="1 in Hard Road Parallel"),'Pipe Data'!DZ25&gt;=DATE(1961,7,1),'Pipe Data'!I25&lt;&gt;"Casing",Z32&gt;0.6),"N",IF(AND(Y32="1 on Bridge",'Pipe Data'!DZ25&gt;=DATE(1961,7,1),Z32&gt;0.6),"N",IF(AND(OR(Y32=1,Y32="1 in Station",Y32="1 in Public Road Crossing",Y32="1 in Hard Road Parallel",Y32="1 on Bridge"),Z32&lt;=0.72),"Y",IF(AND(Y32="2 in Station",'Pipe Data'!DQ25=2,Z32&lt;=0.6),"Y",IF(AND(Y32="2 in Station",'Pipe Data'!DZ25&gt;=DATE(1961,7,1),Z32&gt;0.5),"N",IF(AND(Y32="2 in Hard Road Crossing",'Pipe Data'!DZ25&gt;=DATE(1961,7,1),'Pipe Data'!I25&lt;&gt;"Casing",Z32&gt;0.5),"N",IF(OR(AND(OR(Y32=2,Y32="2 in Station",Y32="2 in Hard Road Crossing"),Z32&lt;=0.6),AND(OR(Y32=2,Y32="2 in Station",Y32="2 in Hard Road Crossing"),'Pipe Data'!EJ25&lt;&gt;"N/A",Z32&lt;=0.72)),"Y",IF(OR(AND(OR(Y32=3,Y32="3 in Station",Y32="3 in Hard Road Crossing"),Z32&lt;=0.5),AND(OR(Y32=3,Y32="3 in Station",Y32="3 in Hard Road Crossing"),'Pipe Data'!EJ25&lt;&gt;"N/A",Z32&lt;=0.6)),"Y",IF(OR(AND(Y32=4,Z32&lt;=0.4),AND(Y32=4,'Pipe Data'!EJ25&lt;&gt;"N/A",Z32&lt;=0.5)),"Y","N"))))))))))))))</f>
        <v>Y</v>
      </c>
      <c r="AB32" s="714" t="str">
        <f ca="1">IF(AND(R32='Pipe Data'!EJ25,R32&gt;=W32),"R",IF(AND(R32='Pipe Data'!EJ25,R32&lt;W32),"D",IF(AND(M32&lt;&gt;"N/A",R32&gt;=W32),"R",IF(AND(M32&lt;&gt;"N/A",R32&lt;W32),"D",IF(AND(V32="N/A",W32&lt;=R32),"R",IF(AND(V32="N/A",W32&gt;R32),"D",IF(AND(V32&gt;=W32,R32&gt;=W32),"R",IF(AND(V32&gt;=W32,R32&lt;W32),"D",IF(AND(V32&lt;W32,R32&gt;=W32),"T",IF(AND(V32&lt;W32,R32&lt;W32),IF(V32=R32,"D",IF(MIN(V32,R32)=V32,"T","D")),"R"))))))))))</f>
        <v>R</v>
      </c>
      <c r="AC32" s="714">
        <f ca="1">IF(AND(R32='Pipe Data'!EJ25,R32&gt;=W32),W32,IF(AND(R32='Pipe Data'!EJ25,R32&lt;W32),R32,IF(AND(M32&lt;&gt;"N/A",R32&gt;=W32),W32,IF(AND(M32&lt;&gt;"N/A",R32&lt;W32),R32,IF(AND(V32="N/A",W32&lt;=R32),W32,IF(AND(V32="N/A",W32&gt;R32),R32,IF(AND(V32&gt;=W32,R32&gt;=W32),W32,IF(AND(V32&gt;=W32,R32&lt;W32),R32,IF(AND(V32&lt;W32,R32&gt;=W32),V32,IF(AND(V32&lt;W32,R32&lt;W32),IF(V32=R32,R32,MIN(V32,R32)),W32))))))))))</f>
        <v>204</v>
      </c>
    </row>
    <row r="33" spans="1:29" ht="14.25" x14ac:dyDescent="0.2">
      <c r="A33" s="717">
        <f>'Pipe Data'!G26</f>
        <v>24</v>
      </c>
      <c r="B33" s="718" t="str">
        <f>IF('Pipe Data'!L26&gt;0,'Pipe Data'!L26,"")</f>
        <v/>
      </c>
      <c r="C33" s="719">
        <f>'Pipe Data'!A26</f>
        <v>0</v>
      </c>
      <c r="D33" s="719">
        <f>'Pipe Data'!B26</f>
        <v>0</v>
      </c>
      <c r="E33" s="720" t="str">
        <f>'Pipe Data'!CX26</f>
        <v>Field Bend</v>
      </c>
      <c r="F33" s="714">
        <f>IF(OR('Pipe Data'!DZ26="",'Pipe Data'!DZ26="unknown",'Pipe Data'!DZ26="Unknown"),"Unknown",YEAR('Pipe Data'!DZ26))</f>
        <v>1985</v>
      </c>
      <c r="G33" s="721">
        <f ca="1">IF('Pipe Data'!DI26="ERROR","ERROR",IF(OR('Pipe Data'!DW26=1,'Pipe Data'!DY26&lt;&gt;"N/A"),'Pipe Data'!DH26,'Pipe Data'!DI26))</f>
        <v>12.75</v>
      </c>
      <c r="H33" s="722" t="str">
        <f>IF('Pipe Data'!DJ26&gt;0,'Pipe Data'!DJ26,"")</f>
        <v/>
      </c>
      <c r="I33" s="723">
        <f ca="1">IF('Pipe Data'!DW26=1,'Pipe Data'!DC26,'Pipe Data'!DE26)</f>
        <v>0.312</v>
      </c>
      <c r="J33" s="722" t="str">
        <f>IF('Pipe Data'!DG26&gt;0,'Pipe Data'!DG26,"")</f>
        <v/>
      </c>
      <c r="K33" s="720">
        <f>IF('Pipe Data'!CZ26=0,"N/A",'Pipe Data'!CZ26)</f>
        <v>42000</v>
      </c>
      <c r="L33" s="722" t="str">
        <f>IF('Pipe Data'!DB26&gt;0,'Pipe Data'!DB26,"")</f>
        <v/>
      </c>
      <c r="M33" s="720" t="str">
        <f>IF(OR('Pipe Data'!DO26="Unknown",'Pipe Data'!DO26="N/A"),"N/A",'Pipe Data'!DO26)</f>
        <v>N/A</v>
      </c>
      <c r="N33" s="722" t="str">
        <f>IF('Pipe Data'!DP26&gt;0,'Pipe Data'!DP26,"")</f>
        <v/>
      </c>
      <c r="O33" s="724" t="str">
        <f>'Pipe Data'!DK26</f>
        <v>Electric Resistance Weld</v>
      </c>
      <c r="P33" s="722" t="str">
        <f>IF('Pipe Data'!DN26&gt;0,'Pipe Data'!DN26,"")</f>
        <v/>
      </c>
      <c r="Q33" s="725">
        <f>IF('Pipe Data'!CX26="Cap","N/A",'Pipe Data'!DM26)</f>
        <v>1</v>
      </c>
      <c r="R33" s="720">
        <f ca="1">IF('Pipe Data'!EJ26&lt;&gt;"N/A",'Pipe Data'!EJ26,IF('Pipe Data'!DY26&lt;&gt;"N/A",'Pipe Data'!DY26,'Pipe Data'!DX26))</f>
        <v>1027</v>
      </c>
      <c r="S33" s="726" t="str">
        <f ca="1">IF(R33='Pipe Data'!EJ26,"A","")</f>
        <v/>
      </c>
      <c r="T33" s="720">
        <f>IF('Pipe Data'!EC26="N/A","N/A",'Pipe Data'!EC26)</f>
        <v>1898</v>
      </c>
      <c r="U33" s="714">
        <f>IF('Pipe Data'!EA26="N/A","N/A",YEAR('Pipe Data'!EA26))</f>
        <v>1985</v>
      </c>
      <c r="V33" s="720">
        <f ca="1">IF(R33='Pipe Data'!EJ26,"N/A",'Pipe Data'!EH26)</f>
        <v>1265</v>
      </c>
      <c r="W33" s="720">
        <f>'Pipe Data'!EK26</f>
        <v>204</v>
      </c>
      <c r="X33" s="722" t="str">
        <f>IF(OR('Pipe Data'!EL26="y",'Pipe Data'!EL26="yes",'Pipe Data'!EL26="Y",'Pipe Data'!EL26="Yes"),"B","")</f>
        <v/>
      </c>
      <c r="Y33" s="720">
        <f>'Pipe Data'!DS26</f>
        <v>3</v>
      </c>
      <c r="Z33" s="727">
        <f ca="1">IF('Pipe Data'!DW26=1,'Pipe Data'!EM26,'Pipe Data'!EN26)</f>
        <v>9.9244505494505489E-2</v>
      </c>
      <c r="AA33" s="714" t="str">
        <f ca="1">IF(AND(M33&lt;&gt;"N/A",R33&gt;=W33),"Y",IF(AND(Y33="1 in Station",'Pipe Data'!DQ26=1,Z33&lt;=0.72),"Y",IF(AND(Y33="1 in Station",'Pipe Data'!DZ26&gt;=DATE(1961,7,1),Z33&gt;0.5),"N",IF(AND(OR(AND(Y33="1 in Public Road Crossing",'Pipe Data'!DQ26=1),AND(Y33="1 in Hard Road Parallel",'Pipe Data'!DQ26=1)),'Pipe Data'!DZ26&gt;=DATE(1961,7,1),'Pipe Data'!I26&lt;&gt;"Casing",Z33&lt;=0.72),"Y",IF(AND(AND(Y33="2 in Hard Road Crossing",OR('Pipe Data'!DQ26="1",'Pipe Data'!DQ26="1 in Public Road Crossing",'Pipe Data'!DQ26=2)),'Pipe Data'!DZ26&gt;=DATE(1961,7,1),'Pipe Data'!I26&lt;&gt;"Casing",Z33&lt;=0.6),"Y",IF(AND(OR(Y33="1 in Public Road Crossing",Y33="1 in Hard Road Parallel"),'Pipe Data'!DZ26&gt;=DATE(1961,7,1),'Pipe Data'!I26&lt;&gt;"Casing",Z33&gt;0.6),"N",IF(AND(Y33="1 on Bridge",'Pipe Data'!DZ26&gt;=DATE(1961,7,1),Z33&gt;0.6),"N",IF(AND(OR(Y33=1,Y33="1 in Station",Y33="1 in Public Road Crossing",Y33="1 in Hard Road Parallel",Y33="1 on Bridge"),Z33&lt;=0.72),"Y",IF(AND(Y33="2 in Station",'Pipe Data'!DQ26=2,Z33&lt;=0.6),"Y",IF(AND(Y33="2 in Station",'Pipe Data'!DZ26&gt;=DATE(1961,7,1),Z33&gt;0.5),"N",IF(AND(Y33="2 in Hard Road Crossing",'Pipe Data'!DZ26&gt;=DATE(1961,7,1),'Pipe Data'!I26&lt;&gt;"Casing",Z33&gt;0.5),"N",IF(OR(AND(OR(Y33=2,Y33="2 in Station",Y33="2 in Hard Road Crossing"),Z33&lt;=0.6),AND(OR(Y33=2,Y33="2 in Station",Y33="2 in Hard Road Crossing"),'Pipe Data'!EJ26&lt;&gt;"N/A",Z33&lt;=0.72)),"Y",IF(OR(AND(OR(Y33=3,Y33="3 in Station",Y33="3 in Hard Road Crossing"),Z33&lt;=0.5),AND(OR(Y33=3,Y33="3 in Station",Y33="3 in Hard Road Crossing"),'Pipe Data'!EJ26&lt;&gt;"N/A",Z33&lt;=0.6)),"Y",IF(OR(AND(Y33=4,Z33&lt;=0.4),AND(Y33=4,'Pipe Data'!EJ26&lt;&gt;"N/A",Z33&lt;=0.5)),"Y","N"))))))))))))))</f>
        <v>Y</v>
      </c>
      <c r="AB33" s="714" t="str">
        <f ca="1">IF(AND(R33='Pipe Data'!EJ26,R33&gt;=W33),"R",IF(AND(R33='Pipe Data'!EJ26,R33&lt;W33),"D",IF(AND(M33&lt;&gt;"N/A",R33&gt;=W33),"R",IF(AND(M33&lt;&gt;"N/A",R33&lt;W33),"D",IF(AND(V33="N/A",W33&lt;=R33),"R",IF(AND(V33="N/A",W33&gt;R33),"D",IF(AND(V33&gt;=W33,R33&gt;=W33),"R",IF(AND(V33&gt;=W33,R33&lt;W33),"D",IF(AND(V33&lt;W33,R33&gt;=W33),"T",IF(AND(V33&lt;W33,R33&lt;W33),IF(V33=R33,"D",IF(MIN(V33,R33)=V33,"T","D")),"R"))))))))))</f>
        <v>R</v>
      </c>
      <c r="AC33" s="714">
        <f ca="1">IF(AND(R33='Pipe Data'!EJ26,R33&gt;=W33),W33,IF(AND(R33='Pipe Data'!EJ26,R33&lt;W33),R33,IF(AND(M33&lt;&gt;"N/A",R33&gt;=W33),W33,IF(AND(M33&lt;&gt;"N/A",R33&lt;W33),R33,IF(AND(V33="N/A",W33&lt;=R33),W33,IF(AND(V33="N/A",W33&gt;R33),R33,IF(AND(V33&gt;=W33,R33&gt;=W33),W33,IF(AND(V33&gt;=W33,R33&lt;W33),R33,IF(AND(V33&lt;W33,R33&gt;=W33),V33,IF(AND(V33&lt;W33,R33&lt;W33),IF(V33=R33,R33,MIN(V33,R33)),W33))))))))))</f>
        <v>204</v>
      </c>
    </row>
    <row r="34" spans="1:29" ht="14.25" x14ac:dyDescent="0.2">
      <c r="A34" s="717">
        <f>'Pipe Data'!G27</f>
        <v>25</v>
      </c>
      <c r="B34" s="718" t="str">
        <f>IF('Pipe Data'!L27&gt;0,'Pipe Data'!L27,"")</f>
        <v/>
      </c>
      <c r="C34" s="719">
        <f>'Pipe Data'!A27</f>
        <v>0</v>
      </c>
      <c r="D34" s="719">
        <f>'Pipe Data'!B27</f>
        <v>0</v>
      </c>
      <c r="E34" s="720" t="str">
        <f>'Pipe Data'!CX27</f>
        <v>Pipe</v>
      </c>
      <c r="F34" s="714">
        <f>IF(OR('Pipe Data'!DZ27="",'Pipe Data'!DZ27="unknown",'Pipe Data'!DZ27="Unknown"),"Unknown",YEAR('Pipe Data'!DZ27))</f>
        <v>1985</v>
      </c>
      <c r="G34" s="721">
        <f ca="1">IF('Pipe Data'!DI27="ERROR","ERROR",IF(OR('Pipe Data'!DW27=1,'Pipe Data'!DY27&lt;&gt;"N/A"),'Pipe Data'!DH27,'Pipe Data'!DI27))</f>
        <v>12.75</v>
      </c>
      <c r="H34" s="722" t="str">
        <f>IF('Pipe Data'!DJ27&gt;0,'Pipe Data'!DJ27,"")</f>
        <v/>
      </c>
      <c r="I34" s="723">
        <f ca="1">IF('Pipe Data'!DW27=1,'Pipe Data'!DC27,'Pipe Data'!DE27)</f>
        <v>0.312</v>
      </c>
      <c r="J34" s="722" t="str">
        <f>IF('Pipe Data'!DG27&gt;0,'Pipe Data'!DG27,"")</f>
        <v/>
      </c>
      <c r="K34" s="720">
        <f>IF('Pipe Data'!CZ27=0,"N/A",'Pipe Data'!CZ27)</f>
        <v>42000</v>
      </c>
      <c r="L34" s="722" t="str">
        <f>IF('Pipe Data'!DB27&gt;0,'Pipe Data'!DB27,"")</f>
        <v/>
      </c>
      <c r="M34" s="720" t="str">
        <f>IF(OR('Pipe Data'!DO27="Unknown",'Pipe Data'!DO27="N/A"),"N/A",'Pipe Data'!DO27)</f>
        <v>N/A</v>
      </c>
      <c r="N34" s="722" t="str">
        <f>IF('Pipe Data'!DP27&gt;0,'Pipe Data'!DP27,"")</f>
        <v/>
      </c>
      <c r="O34" s="724" t="str">
        <f>'Pipe Data'!DK27</f>
        <v>Electric Resistance Weld</v>
      </c>
      <c r="P34" s="722" t="str">
        <f>IF('Pipe Data'!DN27&gt;0,'Pipe Data'!DN27,"")</f>
        <v/>
      </c>
      <c r="Q34" s="725">
        <f>IF('Pipe Data'!CX27="Cap","N/A",'Pipe Data'!DM27)</f>
        <v>1</v>
      </c>
      <c r="R34" s="720">
        <f ca="1">IF('Pipe Data'!EJ27&lt;&gt;"N/A",'Pipe Data'!EJ27,IF('Pipe Data'!DY27&lt;&gt;"N/A",'Pipe Data'!DY27,'Pipe Data'!DX27))</f>
        <v>1027</v>
      </c>
      <c r="S34" s="726" t="str">
        <f ca="1">IF(R34='Pipe Data'!EJ27,"A","")</f>
        <v/>
      </c>
      <c r="T34" s="720">
        <f>IF('Pipe Data'!EC27="N/A","N/A",'Pipe Data'!EC27)</f>
        <v>1898</v>
      </c>
      <c r="U34" s="714">
        <f>IF('Pipe Data'!EA27="N/A","N/A",YEAR('Pipe Data'!EA27))</f>
        <v>1985</v>
      </c>
      <c r="V34" s="720">
        <f ca="1">IF(R34='Pipe Data'!EJ27,"N/A",'Pipe Data'!EH27)</f>
        <v>1265</v>
      </c>
      <c r="W34" s="720">
        <f>'Pipe Data'!EK27</f>
        <v>204</v>
      </c>
      <c r="X34" s="722" t="str">
        <f>IF(OR('Pipe Data'!EL27="y",'Pipe Data'!EL27="yes",'Pipe Data'!EL27="Y",'Pipe Data'!EL27="Yes"),"B","")</f>
        <v/>
      </c>
      <c r="Y34" s="720">
        <f>'Pipe Data'!DS27</f>
        <v>3</v>
      </c>
      <c r="Z34" s="727">
        <f ca="1">IF('Pipe Data'!DW27=1,'Pipe Data'!EM27,'Pipe Data'!EN27)</f>
        <v>9.9244505494505489E-2</v>
      </c>
      <c r="AA34" s="714" t="str">
        <f ca="1">IF(AND(M34&lt;&gt;"N/A",R34&gt;=W34),"Y",IF(AND(Y34="1 in Station",'Pipe Data'!DQ27=1,Z34&lt;=0.72),"Y",IF(AND(Y34="1 in Station",'Pipe Data'!DZ27&gt;=DATE(1961,7,1),Z34&gt;0.5),"N",IF(AND(OR(AND(Y34="1 in Public Road Crossing",'Pipe Data'!DQ27=1),AND(Y34="1 in Hard Road Parallel",'Pipe Data'!DQ27=1)),'Pipe Data'!DZ27&gt;=DATE(1961,7,1),'Pipe Data'!I27&lt;&gt;"Casing",Z34&lt;=0.72),"Y",IF(AND(AND(Y34="2 in Hard Road Crossing",OR('Pipe Data'!DQ27="1",'Pipe Data'!DQ27="1 in Public Road Crossing",'Pipe Data'!DQ27=2)),'Pipe Data'!DZ27&gt;=DATE(1961,7,1),'Pipe Data'!I27&lt;&gt;"Casing",Z34&lt;=0.6),"Y",IF(AND(OR(Y34="1 in Public Road Crossing",Y34="1 in Hard Road Parallel"),'Pipe Data'!DZ27&gt;=DATE(1961,7,1),'Pipe Data'!I27&lt;&gt;"Casing",Z34&gt;0.6),"N",IF(AND(Y34="1 on Bridge",'Pipe Data'!DZ27&gt;=DATE(1961,7,1),Z34&gt;0.6),"N",IF(AND(OR(Y34=1,Y34="1 in Station",Y34="1 in Public Road Crossing",Y34="1 in Hard Road Parallel",Y34="1 on Bridge"),Z34&lt;=0.72),"Y",IF(AND(Y34="2 in Station",'Pipe Data'!DQ27=2,Z34&lt;=0.6),"Y",IF(AND(Y34="2 in Station",'Pipe Data'!DZ27&gt;=DATE(1961,7,1),Z34&gt;0.5),"N",IF(AND(Y34="2 in Hard Road Crossing",'Pipe Data'!DZ27&gt;=DATE(1961,7,1),'Pipe Data'!I27&lt;&gt;"Casing",Z34&gt;0.5),"N",IF(OR(AND(OR(Y34=2,Y34="2 in Station",Y34="2 in Hard Road Crossing"),Z34&lt;=0.6),AND(OR(Y34=2,Y34="2 in Station",Y34="2 in Hard Road Crossing"),'Pipe Data'!EJ27&lt;&gt;"N/A",Z34&lt;=0.72)),"Y",IF(OR(AND(OR(Y34=3,Y34="3 in Station",Y34="3 in Hard Road Crossing"),Z34&lt;=0.5),AND(OR(Y34=3,Y34="3 in Station",Y34="3 in Hard Road Crossing"),'Pipe Data'!EJ27&lt;&gt;"N/A",Z34&lt;=0.6)),"Y",IF(OR(AND(Y34=4,Z34&lt;=0.4),AND(Y34=4,'Pipe Data'!EJ27&lt;&gt;"N/A",Z34&lt;=0.5)),"Y","N"))))))))))))))</f>
        <v>Y</v>
      </c>
      <c r="AB34" s="714" t="str">
        <f ca="1">IF(AND(R34='Pipe Data'!EJ27,R34&gt;=W34),"R",IF(AND(R34='Pipe Data'!EJ27,R34&lt;W34),"D",IF(AND(M34&lt;&gt;"N/A",R34&gt;=W34),"R",IF(AND(M34&lt;&gt;"N/A",R34&lt;W34),"D",IF(AND(V34="N/A",W34&lt;=R34),"R",IF(AND(V34="N/A",W34&gt;R34),"D",IF(AND(V34&gt;=W34,R34&gt;=W34),"R",IF(AND(V34&gt;=W34,R34&lt;W34),"D",IF(AND(V34&lt;W34,R34&gt;=W34),"T",IF(AND(V34&lt;W34,R34&lt;W34),IF(V34=R34,"D",IF(MIN(V34,R34)=V34,"T","D")),"R"))))))))))</f>
        <v>R</v>
      </c>
      <c r="AC34" s="714">
        <f ca="1">IF(AND(R34='Pipe Data'!EJ27,R34&gt;=W34),W34,IF(AND(R34='Pipe Data'!EJ27,R34&lt;W34),R34,IF(AND(M34&lt;&gt;"N/A",R34&gt;=W34),W34,IF(AND(M34&lt;&gt;"N/A",R34&lt;W34),R34,IF(AND(V34="N/A",W34&lt;=R34),W34,IF(AND(V34="N/A",W34&gt;R34),R34,IF(AND(V34&gt;=W34,R34&gt;=W34),W34,IF(AND(V34&gt;=W34,R34&lt;W34),R34,IF(AND(V34&lt;W34,R34&gt;=W34),V34,IF(AND(V34&lt;W34,R34&lt;W34),IF(V34=R34,R34,MIN(V34,R34)),W34))))))))))</f>
        <v>204</v>
      </c>
    </row>
    <row r="35" spans="1:29" ht="14.25" x14ac:dyDescent="0.2">
      <c r="A35" s="717">
        <f>'Pipe Data'!G28</f>
        <v>25.1</v>
      </c>
      <c r="B35" s="718" t="str">
        <f>IF('Pipe Data'!L28&gt;0,'Pipe Data'!L28,"")</f>
        <v/>
      </c>
      <c r="C35" s="719">
        <f>'Pipe Data'!A28</f>
        <v>0</v>
      </c>
      <c r="D35" s="719">
        <f>'Pipe Data'!B28</f>
        <v>0</v>
      </c>
      <c r="E35" s="720" t="str">
        <f>'Pipe Data'!CX28</f>
        <v>Pipe</v>
      </c>
      <c r="F35" s="714">
        <f>IF(OR('Pipe Data'!DZ28="",'Pipe Data'!DZ28="unknown",'Pipe Data'!DZ28="Unknown"),"Unknown",YEAR('Pipe Data'!DZ28))</f>
        <v>1988</v>
      </c>
      <c r="G35" s="721">
        <f ca="1">IF('Pipe Data'!DI28="ERROR","ERROR",IF(OR('Pipe Data'!DW28=1,'Pipe Data'!DY28&lt;&gt;"N/A"),'Pipe Data'!DH28,'Pipe Data'!DI28))</f>
        <v>12.75</v>
      </c>
      <c r="H35" s="722" t="str">
        <f>IF('Pipe Data'!DJ28&gt;0,'Pipe Data'!DJ28,"")</f>
        <v/>
      </c>
      <c r="I35" s="723">
        <f ca="1">IF('Pipe Data'!DW28=1,'Pipe Data'!DC28,'Pipe Data'!DE28)</f>
        <v>0.28100000000000003</v>
      </c>
      <c r="J35" s="722" t="str">
        <f>IF('Pipe Data'!DG28&gt;0,'Pipe Data'!DG28,"")</f>
        <v/>
      </c>
      <c r="K35" s="720">
        <f>IF('Pipe Data'!CZ28=0,"N/A",'Pipe Data'!CZ28)</f>
        <v>42000</v>
      </c>
      <c r="L35" s="722" t="str">
        <f>IF('Pipe Data'!DB28&gt;0,'Pipe Data'!DB28,"")</f>
        <v/>
      </c>
      <c r="M35" s="720" t="str">
        <f>IF(OR('Pipe Data'!DO28="Unknown",'Pipe Data'!DO28="N/A"),"N/A",'Pipe Data'!DO28)</f>
        <v>N/A</v>
      </c>
      <c r="N35" s="722" t="str">
        <f>IF('Pipe Data'!DP28&gt;0,'Pipe Data'!DP28,"")</f>
        <v/>
      </c>
      <c r="O35" s="724" t="str">
        <f>'Pipe Data'!DK28</f>
        <v>Electric Resistance Weld</v>
      </c>
      <c r="P35" s="722" t="str">
        <f>IF('Pipe Data'!DN28&gt;0,'Pipe Data'!DN28,"")</f>
        <v/>
      </c>
      <c r="Q35" s="725">
        <f>IF('Pipe Data'!CX28="Cap","N/A",'Pipe Data'!DM28)</f>
        <v>1</v>
      </c>
      <c r="R35" s="720">
        <f ca="1">IF('Pipe Data'!EJ28&lt;&gt;"N/A",'Pipe Data'!EJ28,IF('Pipe Data'!DY28&lt;&gt;"N/A",'Pipe Data'!DY28,'Pipe Data'!DX28))</f>
        <v>925</v>
      </c>
      <c r="S35" s="726" t="str">
        <f ca="1">IF(R35='Pipe Data'!EJ28,"A","")</f>
        <v/>
      </c>
      <c r="T35" s="720">
        <f>IF('Pipe Data'!EC28="N/A","N/A",'Pipe Data'!EC28)</f>
        <v>1200</v>
      </c>
      <c r="U35" s="714">
        <f>IF('Pipe Data'!EA28="N/A","N/A",YEAR('Pipe Data'!EA28))</f>
        <v>1988</v>
      </c>
      <c r="V35" s="720">
        <f ca="1">IF(R35='Pipe Data'!EJ28,"N/A",'Pipe Data'!EH28)</f>
        <v>555</v>
      </c>
      <c r="W35" s="720">
        <f>'Pipe Data'!EK28</f>
        <v>204</v>
      </c>
      <c r="X35" s="722" t="str">
        <f>IF(OR('Pipe Data'!EL28="y",'Pipe Data'!EL28="yes",'Pipe Data'!EL28="Y",'Pipe Data'!EL28="Yes"),"B","")</f>
        <v/>
      </c>
      <c r="Y35" s="720">
        <f>'Pipe Data'!DS28</f>
        <v>3</v>
      </c>
      <c r="Z35" s="727">
        <f ca="1">IF('Pipe Data'!DW28=1,'Pipe Data'!EM28,'Pipe Data'!EN28)</f>
        <v>0.1101931875953228</v>
      </c>
      <c r="AA35" s="714" t="str">
        <f ca="1">IF(AND(M35&lt;&gt;"N/A",R35&gt;=W35),"Y",IF(AND(Y35="1 in Station",'Pipe Data'!DQ28=1,Z35&lt;=0.72),"Y",IF(AND(Y35="1 in Station",'Pipe Data'!DZ28&gt;=DATE(1961,7,1),Z35&gt;0.5),"N",IF(AND(OR(AND(Y35="1 in Public Road Crossing",'Pipe Data'!DQ28=1),AND(Y35="1 in Hard Road Parallel",'Pipe Data'!DQ28=1)),'Pipe Data'!DZ28&gt;=DATE(1961,7,1),'Pipe Data'!I28&lt;&gt;"Casing",Z35&lt;=0.72),"Y",IF(AND(AND(Y35="2 in Hard Road Crossing",OR('Pipe Data'!DQ28="1",'Pipe Data'!DQ28="1 in Public Road Crossing",'Pipe Data'!DQ28=2)),'Pipe Data'!DZ28&gt;=DATE(1961,7,1),'Pipe Data'!I28&lt;&gt;"Casing",Z35&lt;=0.6),"Y",IF(AND(OR(Y35="1 in Public Road Crossing",Y35="1 in Hard Road Parallel"),'Pipe Data'!DZ28&gt;=DATE(1961,7,1),'Pipe Data'!I28&lt;&gt;"Casing",Z35&gt;0.6),"N",IF(AND(Y35="1 on Bridge",'Pipe Data'!DZ28&gt;=DATE(1961,7,1),Z35&gt;0.6),"N",IF(AND(OR(Y35=1,Y35="1 in Station",Y35="1 in Public Road Crossing",Y35="1 in Hard Road Parallel",Y35="1 on Bridge"),Z35&lt;=0.72),"Y",IF(AND(Y35="2 in Station",'Pipe Data'!DQ28=2,Z35&lt;=0.6),"Y",IF(AND(Y35="2 in Station",'Pipe Data'!DZ28&gt;=DATE(1961,7,1),Z35&gt;0.5),"N",IF(AND(Y35="2 in Hard Road Crossing",'Pipe Data'!DZ28&gt;=DATE(1961,7,1),'Pipe Data'!I28&lt;&gt;"Casing",Z35&gt;0.5),"N",IF(OR(AND(OR(Y35=2,Y35="2 in Station",Y35="2 in Hard Road Crossing"),Z35&lt;=0.6),AND(OR(Y35=2,Y35="2 in Station",Y35="2 in Hard Road Crossing"),'Pipe Data'!EJ28&lt;&gt;"N/A",Z35&lt;=0.72)),"Y",IF(OR(AND(OR(Y35=3,Y35="3 in Station",Y35="3 in Hard Road Crossing"),Z35&lt;=0.5),AND(OR(Y35=3,Y35="3 in Station",Y35="3 in Hard Road Crossing"),'Pipe Data'!EJ28&lt;&gt;"N/A",Z35&lt;=0.6)),"Y",IF(OR(AND(Y35=4,Z35&lt;=0.4),AND(Y35=4,'Pipe Data'!EJ28&lt;&gt;"N/A",Z35&lt;=0.5)),"Y","N"))))))))))))))</f>
        <v>Y</v>
      </c>
      <c r="AB35" s="714" t="str">
        <f ca="1">IF(AND(R35='Pipe Data'!EJ28,R35&gt;=W35),"R",IF(AND(R35='Pipe Data'!EJ28,R35&lt;W35),"D",IF(AND(M35&lt;&gt;"N/A",R35&gt;=W35),"R",IF(AND(M35&lt;&gt;"N/A",R35&lt;W35),"D",IF(AND(V35="N/A",W35&lt;=R35),"R",IF(AND(V35="N/A",W35&gt;R35),"D",IF(AND(V35&gt;=W35,R35&gt;=W35),"R",IF(AND(V35&gt;=W35,R35&lt;W35),"D",IF(AND(V35&lt;W35,R35&gt;=W35),"T",IF(AND(V35&lt;W35,R35&lt;W35),IF(V35=R35,"D",IF(MIN(V35,R35)=V35,"T","D")),"R"))))))))))</f>
        <v>R</v>
      </c>
      <c r="AC35" s="714">
        <f ca="1">IF(AND(R35='Pipe Data'!EJ28,R35&gt;=W35),W35,IF(AND(R35='Pipe Data'!EJ28,R35&lt;W35),R35,IF(AND(M35&lt;&gt;"N/A",R35&gt;=W35),W35,IF(AND(M35&lt;&gt;"N/A",R35&lt;W35),R35,IF(AND(V35="N/A",W35&lt;=R35),W35,IF(AND(V35="N/A",W35&gt;R35),R35,IF(AND(V35&gt;=W35,R35&gt;=W35),W35,IF(AND(V35&gt;=W35,R35&lt;W35),R35,IF(AND(V35&lt;W35,R35&gt;=W35),V35,IF(AND(V35&lt;W35,R35&lt;W35),IF(V35=R35,R35,MIN(V35,R35)),W35))))))))))</f>
        <v>204</v>
      </c>
    </row>
    <row r="36" spans="1:29" ht="14.25" x14ac:dyDescent="0.2">
      <c r="A36" s="717">
        <f>'Pipe Data'!G29</f>
        <v>26</v>
      </c>
      <c r="B36" s="718" t="str">
        <f>IF('Pipe Data'!L29&gt;0,'Pipe Data'!L29,"")</f>
        <v/>
      </c>
      <c r="C36" s="719">
        <f>'Pipe Data'!A29</f>
        <v>0</v>
      </c>
      <c r="D36" s="719">
        <f>'Pipe Data'!B29</f>
        <v>0</v>
      </c>
      <c r="E36" s="720" t="str">
        <f>'Pipe Data'!CX29</f>
        <v>Tee</v>
      </c>
      <c r="F36" s="714">
        <f>IF(OR('Pipe Data'!DZ29="",'Pipe Data'!DZ29="unknown",'Pipe Data'!DZ29="Unknown"),"Unknown",YEAR('Pipe Data'!DZ29))</f>
        <v>1988</v>
      </c>
      <c r="G36" s="721">
        <f ca="1">IF('Pipe Data'!DI29="ERROR","ERROR",IF(OR('Pipe Data'!DW29=1,'Pipe Data'!DY29&lt;&gt;"N/A"),'Pipe Data'!DH29,'Pipe Data'!DI29))</f>
        <v>12.75</v>
      </c>
      <c r="H36" s="722" t="str">
        <f>IF('Pipe Data'!DJ29&gt;0,'Pipe Data'!DJ29,"")</f>
        <v/>
      </c>
      <c r="I36" s="723">
        <f ca="1">IF('Pipe Data'!DW29=1,'Pipe Data'!DC29,'Pipe Data'!DE29)</f>
        <v>0.375</v>
      </c>
      <c r="J36" s="722" t="str">
        <f>IF('Pipe Data'!DG29&gt;0,'Pipe Data'!DG29,"")</f>
        <v/>
      </c>
      <c r="K36" s="720">
        <f>IF('Pipe Data'!CZ29=0,"N/A",'Pipe Data'!CZ29)</f>
        <v>35000</v>
      </c>
      <c r="L36" s="722">
        <f>IF('Pipe Data'!DB29&gt;0,'Pipe Data'!DB29,"")</f>
        <v>1</v>
      </c>
      <c r="M36" s="720" t="str">
        <f>IF(OR('Pipe Data'!DO29="Unknown",'Pipe Data'!DO29="N/A"),"N/A",'Pipe Data'!DO29)</f>
        <v>N/A</v>
      </c>
      <c r="N36" s="722" t="str">
        <f>IF('Pipe Data'!DP29&gt;0,'Pipe Data'!DP29,"")</f>
        <v/>
      </c>
      <c r="O36" s="724" t="str">
        <f>'Pipe Data'!DK29</f>
        <v>Unknown</v>
      </c>
      <c r="P36" s="722" t="str">
        <f>IF('Pipe Data'!DN29&gt;0,'Pipe Data'!DN29,"")</f>
        <v/>
      </c>
      <c r="Q36" s="725">
        <f>IF('Pipe Data'!CX29="Cap","N/A",'Pipe Data'!DM29)</f>
        <v>1</v>
      </c>
      <c r="R36" s="720">
        <f ca="1">IF('Pipe Data'!EJ29&lt;&gt;"N/A",'Pipe Data'!EJ29,IF('Pipe Data'!DY29&lt;&gt;"N/A",'Pipe Data'!DY29,'Pipe Data'!DX29))</f>
        <v>1029</v>
      </c>
      <c r="S36" s="726" t="str">
        <f ca="1">IF(R36='Pipe Data'!EJ29,"A","")</f>
        <v/>
      </c>
      <c r="T36" s="720">
        <f>IF('Pipe Data'!EC29="N/A","N/A",'Pipe Data'!EC29)</f>
        <v>1200</v>
      </c>
      <c r="U36" s="714">
        <f>IF('Pipe Data'!EA29="N/A","N/A",YEAR('Pipe Data'!EA29))</f>
        <v>1988</v>
      </c>
      <c r="V36" s="720">
        <f ca="1">IF(R36='Pipe Data'!EJ29,"N/A",'Pipe Data'!EH29)</f>
        <v>617</v>
      </c>
      <c r="W36" s="720">
        <f>'Pipe Data'!EK29</f>
        <v>204</v>
      </c>
      <c r="X36" s="722" t="str">
        <f>IF(OR('Pipe Data'!EL29="y",'Pipe Data'!EL29="yes",'Pipe Data'!EL29="Y",'Pipe Data'!EL29="Yes"),"B","")</f>
        <v/>
      </c>
      <c r="Y36" s="720">
        <f>'Pipe Data'!DS29</f>
        <v>3</v>
      </c>
      <c r="Z36" s="727">
        <f ca="1">IF('Pipe Data'!DW29=1,'Pipe Data'!EM29,'Pipe Data'!EN29)</f>
        <v>9.9085714285714291E-2</v>
      </c>
      <c r="AA36" s="714" t="str">
        <f ca="1">IF(AND(M36&lt;&gt;"N/A",R36&gt;=W36),"Y",IF(AND(Y36="1 in Station",'Pipe Data'!DQ29=1,Z36&lt;=0.72),"Y",IF(AND(Y36="1 in Station",'Pipe Data'!DZ29&gt;=DATE(1961,7,1),Z36&gt;0.5),"N",IF(AND(OR(AND(Y36="1 in Public Road Crossing",'Pipe Data'!DQ29=1),AND(Y36="1 in Hard Road Parallel",'Pipe Data'!DQ29=1)),'Pipe Data'!DZ29&gt;=DATE(1961,7,1),'Pipe Data'!I29&lt;&gt;"Casing",Z36&lt;=0.72),"Y",IF(AND(AND(Y36="2 in Hard Road Crossing",OR('Pipe Data'!DQ29="1",'Pipe Data'!DQ29="1 in Public Road Crossing",'Pipe Data'!DQ29=2)),'Pipe Data'!DZ29&gt;=DATE(1961,7,1),'Pipe Data'!I29&lt;&gt;"Casing",Z36&lt;=0.6),"Y",IF(AND(OR(Y36="1 in Public Road Crossing",Y36="1 in Hard Road Parallel"),'Pipe Data'!DZ29&gt;=DATE(1961,7,1),'Pipe Data'!I29&lt;&gt;"Casing",Z36&gt;0.6),"N",IF(AND(Y36="1 on Bridge",'Pipe Data'!DZ29&gt;=DATE(1961,7,1),Z36&gt;0.6),"N",IF(AND(OR(Y36=1,Y36="1 in Station",Y36="1 in Public Road Crossing",Y36="1 in Hard Road Parallel",Y36="1 on Bridge"),Z36&lt;=0.72),"Y",IF(AND(Y36="2 in Station",'Pipe Data'!DQ29=2,Z36&lt;=0.6),"Y",IF(AND(Y36="2 in Station",'Pipe Data'!DZ29&gt;=DATE(1961,7,1),Z36&gt;0.5),"N",IF(AND(Y36="2 in Hard Road Crossing",'Pipe Data'!DZ29&gt;=DATE(1961,7,1),'Pipe Data'!I29&lt;&gt;"Casing",Z36&gt;0.5),"N",IF(OR(AND(OR(Y36=2,Y36="2 in Station",Y36="2 in Hard Road Crossing"),Z36&lt;=0.6),AND(OR(Y36=2,Y36="2 in Station",Y36="2 in Hard Road Crossing"),'Pipe Data'!EJ29&lt;&gt;"N/A",Z36&lt;=0.72)),"Y",IF(OR(AND(OR(Y36=3,Y36="3 in Station",Y36="3 in Hard Road Crossing"),Z36&lt;=0.5),AND(OR(Y36=3,Y36="3 in Station",Y36="3 in Hard Road Crossing"),'Pipe Data'!EJ29&lt;&gt;"N/A",Z36&lt;=0.6)),"Y",IF(OR(AND(Y36=4,Z36&lt;=0.4),AND(Y36=4,'Pipe Data'!EJ29&lt;&gt;"N/A",Z36&lt;=0.5)),"Y","N"))))))))))))))</f>
        <v>Y</v>
      </c>
      <c r="AB36" s="714" t="str">
        <f ca="1">IF(AND(R36='Pipe Data'!EJ29,R36&gt;=W36),"R",IF(AND(R36='Pipe Data'!EJ29,R36&lt;W36),"D",IF(AND(M36&lt;&gt;"N/A",R36&gt;=W36),"R",IF(AND(M36&lt;&gt;"N/A",R36&lt;W36),"D",IF(AND(V36="N/A",W36&lt;=R36),"R",IF(AND(V36="N/A",W36&gt;R36),"D",IF(AND(V36&gt;=W36,R36&gt;=W36),"R",IF(AND(V36&gt;=W36,R36&lt;W36),"D",IF(AND(V36&lt;W36,R36&gt;=W36),"T",IF(AND(V36&lt;W36,R36&lt;W36),IF(V36=R36,"D",IF(MIN(V36,R36)=V36,"T","D")),"R"))))))))))</f>
        <v>R</v>
      </c>
      <c r="AC36" s="714">
        <f ca="1">IF(AND(R36='Pipe Data'!EJ29,R36&gt;=W36),W36,IF(AND(R36='Pipe Data'!EJ29,R36&lt;W36),R36,IF(AND(M36&lt;&gt;"N/A",R36&gt;=W36),W36,IF(AND(M36&lt;&gt;"N/A",R36&lt;W36),R36,IF(AND(V36="N/A",W36&lt;=R36),W36,IF(AND(V36="N/A",W36&gt;R36),R36,IF(AND(V36&gt;=W36,R36&gt;=W36),W36,IF(AND(V36&gt;=W36,R36&lt;W36),R36,IF(AND(V36&lt;W36,R36&gt;=W36),V36,IF(AND(V36&lt;W36,R36&lt;W36),IF(V36=R36,R36,MIN(V36,R36)),W36))))))))))</f>
        <v>204</v>
      </c>
    </row>
    <row r="37" spans="1:29" ht="14.25" x14ac:dyDescent="0.2">
      <c r="A37" s="717">
        <f>'Pipe Data'!G30</f>
        <v>29</v>
      </c>
      <c r="B37" s="718" t="str">
        <f>IF('Pipe Data'!L30&gt;0,'Pipe Data'!L30,"")</f>
        <v/>
      </c>
      <c r="C37" s="719">
        <f>'Pipe Data'!A30</f>
        <v>0</v>
      </c>
      <c r="D37" s="719">
        <f>'Pipe Data'!B30</f>
        <v>0</v>
      </c>
      <c r="E37" s="720" t="str">
        <f>'Pipe Data'!CX30</f>
        <v>Pipe</v>
      </c>
      <c r="F37" s="714">
        <f>IF(OR('Pipe Data'!DZ30="",'Pipe Data'!DZ30="unknown",'Pipe Data'!DZ30="Unknown"),"Unknown",YEAR('Pipe Data'!DZ30))</f>
        <v>1988</v>
      </c>
      <c r="G37" s="721">
        <f ca="1">IF('Pipe Data'!DI30="ERROR","ERROR",IF(OR('Pipe Data'!DW30=1,'Pipe Data'!DY30&lt;&gt;"N/A"),'Pipe Data'!DH30,'Pipe Data'!DI30))</f>
        <v>6.625</v>
      </c>
      <c r="H37" s="722" t="str">
        <f>IF('Pipe Data'!DJ30&gt;0,'Pipe Data'!DJ30,"")</f>
        <v/>
      </c>
      <c r="I37" s="723">
        <f ca="1">IF('Pipe Data'!DW30=1,'Pipe Data'!DC30,'Pipe Data'!DE30)</f>
        <v>0.28000000000000003</v>
      </c>
      <c r="J37" s="722" t="str">
        <f>IF('Pipe Data'!DG30&gt;0,'Pipe Data'!DG30,"")</f>
        <v/>
      </c>
      <c r="K37" s="720">
        <f>IF('Pipe Data'!CZ30=0,"N/A",'Pipe Data'!CZ30)</f>
        <v>35000</v>
      </c>
      <c r="L37" s="722" t="str">
        <f>IF('Pipe Data'!DB30&gt;0,'Pipe Data'!DB30,"")</f>
        <v/>
      </c>
      <c r="M37" s="720" t="str">
        <f>IF(OR('Pipe Data'!DO30="Unknown",'Pipe Data'!DO30="N/A"),"N/A",'Pipe Data'!DO30)</f>
        <v>N/A</v>
      </c>
      <c r="N37" s="722" t="str">
        <f>IF('Pipe Data'!DP30&gt;0,'Pipe Data'!DP30,"")</f>
        <v/>
      </c>
      <c r="O37" s="724" t="str">
        <f>'Pipe Data'!DK30</f>
        <v>Seamless</v>
      </c>
      <c r="P37" s="722" t="str">
        <f>IF('Pipe Data'!DN30&gt;0,'Pipe Data'!DN30,"")</f>
        <v/>
      </c>
      <c r="Q37" s="725">
        <f>IF('Pipe Data'!CX30="Cap","N/A",'Pipe Data'!DM30)</f>
        <v>1</v>
      </c>
      <c r="R37" s="720">
        <f ca="1">IF('Pipe Data'!EJ30&lt;&gt;"N/A",'Pipe Data'!EJ30,IF('Pipe Data'!DY30&lt;&gt;"N/A",'Pipe Data'!DY30,'Pipe Data'!DX30))</f>
        <v>1479</v>
      </c>
      <c r="S37" s="726" t="str">
        <f ca="1">IF(R37='Pipe Data'!EJ30,"A","")</f>
        <v/>
      </c>
      <c r="T37" s="720">
        <f>IF('Pipe Data'!EC30="N/A","N/A",'Pipe Data'!EC30)</f>
        <v>1200</v>
      </c>
      <c r="U37" s="714">
        <f>IF('Pipe Data'!EA30="N/A","N/A",YEAR('Pipe Data'!EA30))</f>
        <v>1988</v>
      </c>
      <c r="V37" s="720">
        <f ca="1">IF(R37='Pipe Data'!EJ30,"N/A",'Pipe Data'!EH30)</f>
        <v>800</v>
      </c>
      <c r="W37" s="720">
        <f>'Pipe Data'!EK30</f>
        <v>204</v>
      </c>
      <c r="X37" s="722" t="str">
        <f>IF(OR('Pipe Data'!EL30="y",'Pipe Data'!EL30="yes",'Pipe Data'!EL30="Y",'Pipe Data'!EL30="Yes"),"B","")</f>
        <v/>
      </c>
      <c r="Y37" s="720">
        <f>'Pipe Data'!DS30</f>
        <v>3</v>
      </c>
      <c r="Z37" s="727">
        <f ca="1">IF('Pipe Data'!DW30=1,'Pipe Data'!EM30,'Pipe Data'!EN30)</f>
        <v>6.8954081632653055E-2</v>
      </c>
      <c r="AA37" s="714" t="str">
        <f ca="1">IF(AND(M37&lt;&gt;"N/A",R37&gt;=W37),"Y",IF(AND(Y37="1 in Station",'Pipe Data'!DQ30=1,Z37&lt;=0.72),"Y",IF(AND(Y37="1 in Station",'Pipe Data'!DZ30&gt;=DATE(1961,7,1),Z37&gt;0.5),"N",IF(AND(OR(AND(Y37="1 in Public Road Crossing",'Pipe Data'!DQ30=1),AND(Y37="1 in Hard Road Parallel",'Pipe Data'!DQ30=1)),'Pipe Data'!DZ30&gt;=DATE(1961,7,1),'Pipe Data'!I30&lt;&gt;"Casing",Z37&lt;=0.72),"Y",IF(AND(AND(Y37="2 in Hard Road Crossing",OR('Pipe Data'!DQ30="1",'Pipe Data'!DQ30="1 in Public Road Crossing",'Pipe Data'!DQ30=2)),'Pipe Data'!DZ30&gt;=DATE(1961,7,1),'Pipe Data'!I30&lt;&gt;"Casing",Z37&lt;=0.6),"Y",IF(AND(OR(Y37="1 in Public Road Crossing",Y37="1 in Hard Road Parallel"),'Pipe Data'!DZ30&gt;=DATE(1961,7,1),'Pipe Data'!I30&lt;&gt;"Casing",Z37&gt;0.6),"N",IF(AND(Y37="1 on Bridge",'Pipe Data'!DZ30&gt;=DATE(1961,7,1),Z37&gt;0.6),"N",IF(AND(OR(Y37=1,Y37="1 in Station",Y37="1 in Public Road Crossing",Y37="1 in Hard Road Parallel",Y37="1 on Bridge"),Z37&lt;=0.72),"Y",IF(AND(Y37="2 in Station",'Pipe Data'!DQ30=2,Z37&lt;=0.6),"Y",IF(AND(Y37="2 in Station",'Pipe Data'!DZ30&gt;=DATE(1961,7,1),Z37&gt;0.5),"N",IF(AND(Y37="2 in Hard Road Crossing",'Pipe Data'!DZ30&gt;=DATE(1961,7,1),'Pipe Data'!I30&lt;&gt;"Casing",Z37&gt;0.5),"N",IF(OR(AND(OR(Y37=2,Y37="2 in Station",Y37="2 in Hard Road Crossing"),Z37&lt;=0.6),AND(OR(Y37=2,Y37="2 in Station",Y37="2 in Hard Road Crossing"),'Pipe Data'!EJ30&lt;&gt;"N/A",Z37&lt;=0.72)),"Y",IF(OR(AND(OR(Y37=3,Y37="3 in Station",Y37="3 in Hard Road Crossing"),Z37&lt;=0.5),AND(OR(Y37=3,Y37="3 in Station",Y37="3 in Hard Road Crossing"),'Pipe Data'!EJ30&lt;&gt;"N/A",Z37&lt;=0.6)),"Y",IF(OR(AND(Y37=4,Z37&lt;=0.4),AND(Y37=4,'Pipe Data'!EJ30&lt;&gt;"N/A",Z37&lt;=0.5)),"Y","N"))))))))))))))</f>
        <v>Y</v>
      </c>
      <c r="AB37" s="714" t="str">
        <f ca="1">IF(AND(R37='Pipe Data'!EJ30,R37&gt;=W37),"R",IF(AND(R37='Pipe Data'!EJ30,R37&lt;W37),"D",IF(AND(M37&lt;&gt;"N/A",R37&gt;=W37),"R",IF(AND(M37&lt;&gt;"N/A",R37&lt;W37),"D",IF(AND(V37="N/A",W37&lt;=R37),"R",IF(AND(V37="N/A",W37&gt;R37),"D",IF(AND(V37&gt;=W37,R37&gt;=W37),"R",IF(AND(V37&gt;=W37,R37&lt;W37),"D",IF(AND(V37&lt;W37,R37&gt;=W37),"T",IF(AND(V37&lt;W37,R37&lt;W37),IF(V37=R37,"D",IF(MIN(V37,R37)=V37,"T","D")),"R"))))))))))</f>
        <v>R</v>
      </c>
      <c r="AC37" s="714">
        <f ca="1">IF(AND(R37='Pipe Data'!EJ30,R37&gt;=W37),W37,IF(AND(R37='Pipe Data'!EJ30,R37&lt;W37),R37,IF(AND(M37&lt;&gt;"N/A",R37&gt;=W37),W37,IF(AND(M37&lt;&gt;"N/A",R37&lt;W37),R37,IF(AND(V37="N/A",W37&lt;=R37),W37,IF(AND(V37="N/A",W37&gt;R37),R37,IF(AND(V37&gt;=W37,R37&gt;=W37),W37,IF(AND(V37&gt;=W37,R37&lt;W37),R37,IF(AND(V37&lt;W37,R37&gt;=W37),V37,IF(AND(V37&lt;W37,R37&lt;W37),IF(V37=R37,R37,MIN(V37,R37)),W37))))))))))</f>
        <v>204</v>
      </c>
    </row>
    <row r="38" spans="1:29" ht="14.25" x14ac:dyDescent="0.2">
      <c r="A38" s="717">
        <f>'Pipe Data'!G31</f>
        <v>30</v>
      </c>
      <c r="B38" s="718" t="str">
        <f>IF('Pipe Data'!L31&gt;0,'Pipe Data'!L31,"")</f>
        <v/>
      </c>
      <c r="C38" s="719">
        <f>'Pipe Data'!A31</f>
        <v>0</v>
      </c>
      <c r="D38" s="719">
        <f>'Pipe Data'!B31</f>
        <v>0</v>
      </c>
      <c r="E38" s="720" t="str">
        <f>'Pipe Data'!CX31</f>
        <v>Valve</v>
      </c>
      <c r="F38" s="714">
        <f>IF(OR('Pipe Data'!DZ31="",'Pipe Data'!DZ31="unknown",'Pipe Data'!DZ31="Unknown"),"Unknown",YEAR('Pipe Data'!DZ31))</f>
        <v>1988</v>
      </c>
      <c r="G38" s="721">
        <f ca="1">IF('Pipe Data'!DI31="ERROR","ERROR",IF(OR('Pipe Data'!DW31=1,'Pipe Data'!DY31&lt;&gt;"N/A"),'Pipe Data'!DH31,'Pipe Data'!DI31))</f>
        <v>6.625</v>
      </c>
      <c r="H38" s="722" t="str">
        <f>IF('Pipe Data'!DJ31&gt;0,'Pipe Data'!DJ31,"")</f>
        <v/>
      </c>
      <c r="I38" s="723" t="str">
        <f ca="1">IF('Pipe Data'!DW31=1,'Pipe Data'!DC31,'Pipe Data'!DE31)</f>
        <v>N/A</v>
      </c>
      <c r="J38" s="722" t="str">
        <f>IF('Pipe Data'!DG31&gt;0,'Pipe Data'!DG31,"")</f>
        <v/>
      </c>
      <c r="K38" s="720" t="str">
        <f>IF('Pipe Data'!CZ31=0,"N/A",'Pipe Data'!CZ31)</f>
        <v>N/A</v>
      </c>
      <c r="L38" s="722" t="str">
        <f>IF('Pipe Data'!DB31&gt;0,'Pipe Data'!DB31,"")</f>
        <v/>
      </c>
      <c r="M38" s="720" t="str">
        <f>IF(OR('Pipe Data'!DO31="Unknown",'Pipe Data'!DO31="N/A"),"N/A",'Pipe Data'!DO31)</f>
        <v>ANSI 300 #</v>
      </c>
      <c r="N38" s="722" t="str">
        <f>IF('Pipe Data'!DP31&gt;0,'Pipe Data'!DP31,"")</f>
        <v/>
      </c>
      <c r="O38" s="724" t="str">
        <f>'Pipe Data'!DK31</f>
        <v>N/A</v>
      </c>
      <c r="P38" s="722" t="str">
        <f>IF('Pipe Data'!DN31&gt;0,'Pipe Data'!DN31,"")</f>
        <v/>
      </c>
      <c r="Q38" s="725" t="str">
        <f>IF('Pipe Data'!CX31="Cap","N/A",'Pipe Data'!DM31)</f>
        <v>N/A</v>
      </c>
      <c r="R38" s="720">
        <f ca="1">IF('Pipe Data'!EJ31&lt;&gt;"N/A",'Pipe Data'!EJ31,IF('Pipe Data'!DY31&lt;&gt;"N/A",'Pipe Data'!DY31,'Pipe Data'!DX31))</f>
        <v>720</v>
      </c>
      <c r="S38" s="726" t="str">
        <f ca="1">IF(R38='Pipe Data'!EJ31,"A","")</f>
        <v/>
      </c>
      <c r="T38" s="720">
        <f>IF('Pipe Data'!EC31="N/A","N/A",'Pipe Data'!EC31)</f>
        <v>1200</v>
      </c>
      <c r="U38" s="714">
        <f>IF('Pipe Data'!EA31="N/A","N/A",YEAR('Pipe Data'!EA31))</f>
        <v>1988</v>
      </c>
      <c r="V38" s="720" t="str">
        <f ca="1">IF(R38='Pipe Data'!EJ31,"N/A",'Pipe Data'!EH31)</f>
        <v>N/A</v>
      </c>
      <c r="W38" s="720">
        <f>'Pipe Data'!EK31</f>
        <v>204</v>
      </c>
      <c r="X38" s="722" t="str">
        <f>IF(OR('Pipe Data'!EL31="y",'Pipe Data'!EL31="yes",'Pipe Data'!EL31="Y",'Pipe Data'!EL31="Yes"),"B","")</f>
        <v/>
      </c>
      <c r="Y38" s="720">
        <f>'Pipe Data'!DS31</f>
        <v>3</v>
      </c>
      <c r="Z38" s="727" t="str">
        <f ca="1">IF('Pipe Data'!DW31=1,'Pipe Data'!EM31,'Pipe Data'!EN31)</f>
        <v>N/A</v>
      </c>
      <c r="AA38" s="714" t="str">
        <f ca="1">IF(AND(M38&lt;&gt;"N/A",R38&gt;=W38),"Y",IF(AND(Y38="1 in Station",'Pipe Data'!DQ31=1,Z38&lt;=0.72),"Y",IF(AND(Y38="1 in Station",'Pipe Data'!DZ31&gt;=DATE(1961,7,1),Z38&gt;0.5),"N",IF(AND(OR(AND(Y38="1 in Public Road Crossing",'Pipe Data'!DQ31=1),AND(Y38="1 in Hard Road Parallel",'Pipe Data'!DQ31=1)),'Pipe Data'!DZ31&gt;=DATE(1961,7,1),'Pipe Data'!I31&lt;&gt;"Casing",Z38&lt;=0.72),"Y",IF(AND(AND(Y38="2 in Hard Road Crossing",OR('Pipe Data'!DQ31="1",'Pipe Data'!DQ31="1 in Public Road Crossing",'Pipe Data'!DQ31=2)),'Pipe Data'!DZ31&gt;=DATE(1961,7,1),'Pipe Data'!I31&lt;&gt;"Casing",Z38&lt;=0.6),"Y",IF(AND(OR(Y38="1 in Public Road Crossing",Y38="1 in Hard Road Parallel"),'Pipe Data'!DZ31&gt;=DATE(1961,7,1),'Pipe Data'!I31&lt;&gt;"Casing",Z38&gt;0.6),"N",IF(AND(Y38="1 on Bridge",'Pipe Data'!DZ31&gt;=DATE(1961,7,1),Z38&gt;0.6),"N",IF(AND(OR(Y38=1,Y38="1 in Station",Y38="1 in Public Road Crossing",Y38="1 in Hard Road Parallel",Y38="1 on Bridge"),Z38&lt;=0.72),"Y",IF(AND(Y38="2 in Station",'Pipe Data'!DQ31=2,Z38&lt;=0.6),"Y",IF(AND(Y38="2 in Station",'Pipe Data'!DZ31&gt;=DATE(1961,7,1),Z38&gt;0.5),"N",IF(AND(Y38="2 in Hard Road Crossing",'Pipe Data'!DZ31&gt;=DATE(1961,7,1),'Pipe Data'!I31&lt;&gt;"Casing",Z38&gt;0.5),"N",IF(OR(AND(OR(Y38=2,Y38="2 in Station",Y38="2 in Hard Road Crossing"),Z38&lt;=0.6),AND(OR(Y38=2,Y38="2 in Station",Y38="2 in Hard Road Crossing"),'Pipe Data'!EJ31&lt;&gt;"N/A",Z38&lt;=0.72)),"Y",IF(OR(AND(OR(Y38=3,Y38="3 in Station",Y38="3 in Hard Road Crossing"),Z38&lt;=0.5),AND(OR(Y38=3,Y38="3 in Station",Y38="3 in Hard Road Crossing"),'Pipe Data'!EJ31&lt;&gt;"N/A",Z38&lt;=0.6)),"Y",IF(OR(AND(Y38=4,Z38&lt;=0.4),AND(Y38=4,'Pipe Data'!EJ31&lt;&gt;"N/A",Z38&lt;=0.5)),"Y","N"))))))))))))))</f>
        <v>Y</v>
      </c>
      <c r="AB38" s="714" t="str">
        <f ca="1">IF(AND(R38='Pipe Data'!EJ31,R38&gt;=W38),"R",IF(AND(R38='Pipe Data'!EJ31,R38&lt;W38),"D",IF(AND(M38&lt;&gt;"N/A",R38&gt;=W38),"R",IF(AND(M38&lt;&gt;"N/A",R38&lt;W38),"D",IF(AND(V38="N/A",W38&lt;=R38),"R",IF(AND(V38="N/A",W38&gt;R38),"D",IF(AND(V38&gt;=W38,R38&gt;=W38),"R",IF(AND(V38&gt;=W38,R38&lt;W38),"D",IF(AND(V38&lt;W38,R38&gt;=W38),"T",IF(AND(V38&lt;W38,R38&lt;W38),IF(V38=R38,"D",IF(MIN(V38,R38)=V38,"T","D")),"R"))))))))))</f>
        <v>R</v>
      </c>
      <c r="AC38" s="714">
        <f ca="1">IF(AND(R38='Pipe Data'!EJ31,R38&gt;=W38),W38,IF(AND(R38='Pipe Data'!EJ31,R38&lt;W38),R38,IF(AND(M38&lt;&gt;"N/A",R38&gt;=W38),W38,IF(AND(M38&lt;&gt;"N/A",R38&lt;W38),R38,IF(AND(V38="N/A",W38&lt;=R38),W38,IF(AND(V38="N/A",W38&gt;R38),R38,IF(AND(V38&gt;=W38,R38&gt;=W38),W38,IF(AND(V38&gt;=W38,R38&lt;W38),R38,IF(AND(V38&lt;W38,R38&gt;=W38),V38,IF(AND(V38&lt;W38,R38&lt;W38),IF(V38=R38,R38,MIN(V38,R38)),W38))))))))))</f>
        <v>204</v>
      </c>
    </row>
    <row r="39" spans="1:29" ht="14.25" x14ac:dyDescent="0.2">
      <c r="A39" s="717">
        <f>'Pipe Data'!G32</f>
        <v>31</v>
      </c>
      <c r="B39" s="718" t="str">
        <f>IF('Pipe Data'!L32&gt;0,'Pipe Data'!L32,"")</f>
        <v/>
      </c>
      <c r="C39" s="719">
        <f>'Pipe Data'!A32</f>
        <v>0</v>
      </c>
      <c r="D39" s="719">
        <f>'Pipe Data'!B32</f>
        <v>0</v>
      </c>
      <c r="E39" s="720" t="str">
        <f>'Pipe Data'!CX32</f>
        <v>Pipe</v>
      </c>
      <c r="F39" s="714">
        <f>IF(OR('Pipe Data'!DZ32="",'Pipe Data'!DZ32="unknown",'Pipe Data'!DZ32="Unknown"),"Unknown",YEAR('Pipe Data'!DZ32))</f>
        <v>1988</v>
      </c>
      <c r="G39" s="721">
        <f ca="1">IF('Pipe Data'!DI32="ERROR","ERROR",IF(OR('Pipe Data'!DW32=1,'Pipe Data'!DY32&lt;&gt;"N/A"),'Pipe Data'!DH32,'Pipe Data'!DI32))</f>
        <v>6.625</v>
      </c>
      <c r="H39" s="722" t="str">
        <f>IF('Pipe Data'!DJ32&gt;0,'Pipe Data'!DJ32,"")</f>
        <v/>
      </c>
      <c r="I39" s="723">
        <f ca="1">IF('Pipe Data'!DW32=1,'Pipe Data'!DC32,'Pipe Data'!DE32)</f>
        <v>0.28000000000000003</v>
      </c>
      <c r="J39" s="722" t="str">
        <f>IF('Pipe Data'!DG32&gt;0,'Pipe Data'!DG32,"")</f>
        <v/>
      </c>
      <c r="K39" s="720">
        <f>IF('Pipe Data'!CZ32=0,"N/A",'Pipe Data'!CZ32)</f>
        <v>35000</v>
      </c>
      <c r="L39" s="722" t="str">
        <f>IF('Pipe Data'!DB32&gt;0,'Pipe Data'!DB32,"")</f>
        <v/>
      </c>
      <c r="M39" s="720" t="str">
        <f>IF(OR('Pipe Data'!DO32="Unknown",'Pipe Data'!DO32="N/A"),"N/A",'Pipe Data'!DO32)</f>
        <v>N/A</v>
      </c>
      <c r="N39" s="722" t="str">
        <f>IF('Pipe Data'!DP32&gt;0,'Pipe Data'!DP32,"")</f>
        <v/>
      </c>
      <c r="O39" s="724" t="str">
        <f>'Pipe Data'!DK32</f>
        <v>Seamless</v>
      </c>
      <c r="P39" s="722" t="str">
        <f>IF('Pipe Data'!DN32&gt;0,'Pipe Data'!DN32,"")</f>
        <v/>
      </c>
      <c r="Q39" s="725">
        <f>IF('Pipe Data'!CX32="Cap","N/A",'Pipe Data'!DM32)</f>
        <v>1</v>
      </c>
      <c r="R39" s="720">
        <f ca="1">IF('Pipe Data'!EJ32&lt;&gt;"N/A",'Pipe Data'!EJ32,IF('Pipe Data'!DY32&lt;&gt;"N/A",'Pipe Data'!DY32,'Pipe Data'!DX32))</f>
        <v>1479</v>
      </c>
      <c r="S39" s="726" t="str">
        <f ca="1">IF(R39='Pipe Data'!EJ32,"A","")</f>
        <v/>
      </c>
      <c r="T39" s="720">
        <f>IF('Pipe Data'!EC32="N/A","N/A",'Pipe Data'!EC32)</f>
        <v>1200</v>
      </c>
      <c r="U39" s="714">
        <f>IF('Pipe Data'!EA32="N/A","N/A",YEAR('Pipe Data'!EA32))</f>
        <v>1988</v>
      </c>
      <c r="V39" s="720">
        <f ca="1">IF(R39='Pipe Data'!EJ32,"N/A",'Pipe Data'!EH32)</f>
        <v>800</v>
      </c>
      <c r="W39" s="720">
        <f>'Pipe Data'!EK32</f>
        <v>204</v>
      </c>
      <c r="X39" s="722" t="str">
        <f>IF(OR('Pipe Data'!EL32="y",'Pipe Data'!EL32="yes",'Pipe Data'!EL32="Y",'Pipe Data'!EL32="Yes"),"B","")</f>
        <v/>
      </c>
      <c r="Y39" s="720">
        <f>'Pipe Data'!DS32</f>
        <v>3</v>
      </c>
      <c r="Z39" s="727">
        <f ca="1">IF('Pipe Data'!DW32=1,'Pipe Data'!EM32,'Pipe Data'!EN32)</f>
        <v>6.8954081632653055E-2</v>
      </c>
      <c r="AA39" s="714" t="str">
        <f ca="1">IF(AND(M39&lt;&gt;"N/A",R39&gt;=W39),"Y",IF(AND(Y39="1 in Station",'Pipe Data'!DQ32=1,Z39&lt;=0.72),"Y",IF(AND(Y39="1 in Station",'Pipe Data'!DZ32&gt;=DATE(1961,7,1),Z39&gt;0.5),"N",IF(AND(OR(AND(Y39="1 in Public Road Crossing",'Pipe Data'!DQ32=1),AND(Y39="1 in Hard Road Parallel",'Pipe Data'!DQ32=1)),'Pipe Data'!DZ32&gt;=DATE(1961,7,1),'Pipe Data'!I32&lt;&gt;"Casing",Z39&lt;=0.72),"Y",IF(AND(AND(Y39="2 in Hard Road Crossing",OR('Pipe Data'!DQ32="1",'Pipe Data'!DQ32="1 in Public Road Crossing",'Pipe Data'!DQ32=2)),'Pipe Data'!DZ32&gt;=DATE(1961,7,1),'Pipe Data'!I32&lt;&gt;"Casing",Z39&lt;=0.6),"Y",IF(AND(OR(Y39="1 in Public Road Crossing",Y39="1 in Hard Road Parallel"),'Pipe Data'!DZ32&gt;=DATE(1961,7,1),'Pipe Data'!I32&lt;&gt;"Casing",Z39&gt;0.6),"N",IF(AND(Y39="1 on Bridge",'Pipe Data'!DZ32&gt;=DATE(1961,7,1),Z39&gt;0.6),"N",IF(AND(OR(Y39=1,Y39="1 in Station",Y39="1 in Public Road Crossing",Y39="1 in Hard Road Parallel",Y39="1 on Bridge"),Z39&lt;=0.72),"Y",IF(AND(Y39="2 in Station",'Pipe Data'!DQ32=2,Z39&lt;=0.6),"Y",IF(AND(Y39="2 in Station",'Pipe Data'!DZ32&gt;=DATE(1961,7,1),Z39&gt;0.5),"N",IF(AND(Y39="2 in Hard Road Crossing",'Pipe Data'!DZ32&gt;=DATE(1961,7,1),'Pipe Data'!I32&lt;&gt;"Casing",Z39&gt;0.5),"N",IF(OR(AND(OR(Y39=2,Y39="2 in Station",Y39="2 in Hard Road Crossing"),Z39&lt;=0.6),AND(OR(Y39=2,Y39="2 in Station",Y39="2 in Hard Road Crossing"),'Pipe Data'!EJ32&lt;&gt;"N/A",Z39&lt;=0.72)),"Y",IF(OR(AND(OR(Y39=3,Y39="3 in Station",Y39="3 in Hard Road Crossing"),Z39&lt;=0.5),AND(OR(Y39=3,Y39="3 in Station",Y39="3 in Hard Road Crossing"),'Pipe Data'!EJ32&lt;&gt;"N/A",Z39&lt;=0.6)),"Y",IF(OR(AND(Y39=4,Z39&lt;=0.4),AND(Y39=4,'Pipe Data'!EJ32&lt;&gt;"N/A",Z39&lt;=0.5)),"Y","N"))))))))))))))</f>
        <v>Y</v>
      </c>
      <c r="AB39" s="714" t="str">
        <f ca="1">IF(AND(R39='Pipe Data'!EJ32,R39&gt;=W39),"R",IF(AND(R39='Pipe Data'!EJ32,R39&lt;W39),"D",IF(AND(M39&lt;&gt;"N/A",R39&gt;=W39),"R",IF(AND(M39&lt;&gt;"N/A",R39&lt;W39),"D",IF(AND(V39="N/A",W39&lt;=R39),"R",IF(AND(V39="N/A",W39&gt;R39),"D",IF(AND(V39&gt;=W39,R39&gt;=W39),"R",IF(AND(V39&gt;=W39,R39&lt;W39),"D",IF(AND(V39&lt;W39,R39&gt;=W39),"T",IF(AND(V39&lt;W39,R39&lt;W39),IF(V39=R39,"D",IF(MIN(V39,R39)=V39,"T","D")),"R"))))))))))</f>
        <v>R</v>
      </c>
      <c r="AC39" s="714">
        <f ca="1">IF(AND(R39='Pipe Data'!EJ32,R39&gt;=W39),W39,IF(AND(R39='Pipe Data'!EJ32,R39&lt;W39),R39,IF(AND(M39&lt;&gt;"N/A",R39&gt;=W39),W39,IF(AND(M39&lt;&gt;"N/A",R39&lt;W39),R39,IF(AND(V39="N/A",W39&lt;=R39),W39,IF(AND(V39="N/A",W39&gt;R39),R39,IF(AND(V39&gt;=W39,R39&gt;=W39),W39,IF(AND(V39&gt;=W39,R39&lt;W39),R39,IF(AND(V39&lt;W39,R39&gt;=W39),V39,IF(AND(V39&lt;W39,R39&lt;W39),IF(V39=R39,R39,MIN(V39,R39)),W39))))))))))</f>
        <v>204</v>
      </c>
    </row>
    <row r="40" spans="1:29" ht="14.25" x14ac:dyDescent="0.2">
      <c r="A40" s="717">
        <f>'Pipe Data'!G33</f>
        <v>32</v>
      </c>
      <c r="B40" s="718" t="str">
        <f>IF('Pipe Data'!L33&gt;0,'Pipe Data'!L33,"")</f>
        <v/>
      </c>
      <c r="C40" s="719">
        <f>'Pipe Data'!A33</f>
        <v>0</v>
      </c>
      <c r="D40" s="719">
        <f>'Pipe Data'!B33</f>
        <v>0</v>
      </c>
      <c r="E40" s="720" t="str">
        <f>'Pipe Data'!CX33</f>
        <v>Mfg Bend</v>
      </c>
      <c r="F40" s="714">
        <f>IF(OR('Pipe Data'!DZ33="",'Pipe Data'!DZ33="unknown",'Pipe Data'!DZ33="Unknown"),"Unknown",YEAR('Pipe Data'!DZ33))</f>
        <v>1988</v>
      </c>
      <c r="G40" s="721">
        <f ca="1">IF('Pipe Data'!DI33="ERROR","ERROR",IF(OR('Pipe Data'!DW33=1,'Pipe Data'!DY33&lt;&gt;"N/A"),'Pipe Data'!DH33,'Pipe Data'!DI33))</f>
        <v>6.625</v>
      </c>
      <c r="H40" s="722" t="str">
        <f>IF('Pipe Data'!DJ33&gt;0,'Pipe Data'!DJ33,"")</f>
        <v/>
      </c>
      <c r="I40" s="723">
        <f ca="1">IF('Pipe Data'!DW33=1,'Pipe Data'!DC33,'Pipe Data'!DE33)</f>
        <v>0.28000000000000003</v>
      </c>
      <c r="J40" s="722">
        <f>IF('Pipe Data'!DG33&gt;0,'Pipe Data'!DG33,"")</f>
        <v>1</v>
      </c>
      <c r="K40" s="720">
        <f>IF('Pipe Data'!CZ33=0,"N/A",'Pipe Data'!CZ33)</f>
        <v>35000</v>
      </c>
      <c r="L40" s="722">
        <f>IF('Pipe Data'!DB33&gt;0,'Pipe Data'!DB33,"")</f>
        <v>1</v>
      </c>
      <c r="M40" s="720" t="str">
        <f>IF(OR('Pipe Data'!DO33="Unknown",'Pipe Data'!DO33="N/A"),"N/A",'Pipe Data'!DO33)</f>
        <v>N/A</v>
      </c>
      <c r="N40" s="722" t="str">
        <f>IF('Pipe Data'!DP33&gt;0,'Pipe Data'!DP33,"")</f>
        <v/>
      </c>
      <c r="O40" s="724" t="str">
        <f>'Pipe Data'!DK33</f>
        <v>Unknown</v>
      </c>
      <c r="P40" s="722" t="str">
        <f>IF('Pipe Data'!DN33&gt;0,'Pipe Data'!DN33,"")</f>
        <v/>
      </c>
      <c r="Q40" s="725">
        <f>IF('Pipe Data'!CX33="Cap","N/A",'Pipe Data'!DM33)</f>
        <v>1</v>
      </c>
      <c r="R40" s="720">
        <f ca="1">IF('Pipe Data'!EJ33&lt;&gt;"N/A",'Pipe Data'!EJ33,IF('Pipe Data'!DY33&lt;&gt;"N/A",'Pipe Data'!DY33,'Pipe Data'!DX33))</f>
        <v>1479</v>
      </c>
      <c r="S40" s="726" t="str">
        <f ca="1">IF(R40='Pipe Data'!EJ33,"A","")</f>
        <v/>
      </c>
      <c r="T40" s="720">
        <f>IF('Pipe Data'!EC33="N/A","N/A",'Pipe Data'!EC33)</f>
        <v>1200</v>
      </c>
      <c r="U40" s="714">
        <f>IF('Pipe Data'!EA33="N/A","N/A",YEAR('Pipe Data'!EA33))</f>
        <v>1988</v>
      </c>
      <c r="V40" s="720">
        <f ca="1">IF(R40='Pipe Data'!EJ33,"N/A",'Pipe Data'!EH33)</f>
        <v>800</v>
      </c>
      <c r="W40" s="720">
        <f>'Pipe Data'!EK33</f>
        <v>204</v>
      </c>
      <c r="X40" s="722" t="str">
        <f>IF(OR('Pipe Data'!EL33="y",'Pipe Data'!EL33="yes",'Pipe Data'!EL33="Y",'Pipe Data'!EL33="Yes"),"B","")</f>
        <v/>
      </c>
      <c r="Y40" s="720">
        <f>'Pipe Data'!DS33</f>
        <v>3</v>
      </c>
      <c r="Z40" s="727">
        <f ca="1">IF('Pipe Data'!DW33=1,'Pipe Data'!EM33,'Pipe Data'!EN33)</f>
        <v>6.8954081632653055E-2</v>
      </c>
      <c r="AA40" s="714" t="str">
        <f ca="1">IF(AND(M40&lt;&gt;"N/A",R40&gt;=W40),"Y",IF(AND(Y40="1 in Station",'Pipe Data'!DQ33=1,Z40&lt;=0.72),"Y",IF(AND(Y40="1 in Station",'Pipe Data'!DZ33&gt;=DATE(1961,7,1),Z40&gt;0.5),"N",IF(AND(OR(AND(Y40="1 in Public Road Crossing",'Pipe Data'!DQ33=1),AND(Y40="1 in Hard Road Parallel",'Pipe Data'!DQ33=1)),'Pipe Data'!DZ33&gt;=DATE(1961,7,1),'Pipe Data'!I33&lt;&gt;"Casing",Z40&lt;=0.72),"Y",IF(AND(AND(Y40="2 in Hard Road Crossing",OR('Pipe Data'!DQ33="1",'Pipe Data'!DQ33="1 in Public Road Crossing",'Pipe Data'!DQ33=2)),'Pipe Data'!DZ33&gt;=DATE(1961,7,1),'Pipe Data'!I33&lt;&gt;"Casing",Z40&lt;=0.6),"Y",IF(AND(OR(Y40="1 in Public Road Crossing",Y40="1 in Hard Road Parallel"),'Pipe Data'!DZ33&gt;=DATE(1961,7,1),'Pipe Data'!I33&lt;&gt;"Casing",Z40&gt;0.6),"N",IF(AND(Y40="1 on Bridge",'Pipe Data'!DZ33&gt;=DATE(1961,7,1),Z40&gt;0.6),"N",IF(AND(OR(Y40=1,Y40="1 in Station",Y40="1 in Public Road Crossing",Y40="1 in Hard Road Parallel",Y40="1 on Bridge"),Z40&lt;=0.72),"Y",IF(AND(Y40="2 in Station",'Pipe Data'!DQ33=2,Z40&lt;=0.6),"Y",IF(AND(Y40="2 in Station",'Pipe Data'!DZ33&gt;=DATE(1961,7,1),Z40&gt;0.5),"N",IF(AND(Y40="2 in Hard Road Crossing",'Pipe Data'!DZ33&gt;=DATE(1961,7,1),'Pipe Data'!I33&lt;&gt;"Casing",Z40&gt;0.5),"N",IF(OR(AND(OR(Y40=2,Y40="2 in Station",Y40="2 in Hard Road Crossing"),Z40&lt;=0.6),AND(OR(Y40=2,Y40="2 in Station",Y40="2 in Hard Road Crossing"),'Pipe Data'!EJ33&lt;&gt;"N/A",Z40&lt;=0.72)),"Y",IF(OR(AND(OR(Y40=3,Y40="3 in Station",Y40="3 in Hard Road Crossing"),Z40&lt;=0.5),AND(OR(Y40=3,Y40="3 in Station",Y40="3 in Hard Road Crossing"),'Pipe Data'!EJ33&lt;&gt;"N/A",Z40&lt;=0.6)),"Y",IF(OR(AND(Y40=4,Z40&lt;=0.4),AND(Y40=4,'Pipe Data'!EJ33&lt;&gt;"N/A",Z40&lt;=0.5)),"Y","N"))))))))))))))</f>
        <v>Y</v>
      </c>
      <c r="AB40" s="714" t="str">
        <f ca="1">IF(AND(R40='Pipe Data'!EJ33,R40&gt;=W40),"R",IF(AND(R40='Pipe Data'!EJ33,R40&lt;W40),"D",IF(AND(M40&lt;&gt;"N/A",R40&gt;=W40),"R",IF(AND(M40&lt;&gt;"N/A",R40&lt;W40),"D",IF(AND(V40="N/A",W40&lt;=R40),"R",IF(AND(V40="N/A",W40&gt;R40),"D",IF(AND(V40&gt;=W40,R40&gt;=W40),"R",IF(AND(V40&gt;=W40,R40&lt;W40),"D",IF(AND(V40&lt;W40,R40&gt;=W40),"T",IF(AND(V40&lt;W40,R40&lt;W40),IF(V40=R40,"D",IF(MIN(V40,R40)=V40,"T","D")),"R"))))))))))</f>
        <v>R</v>
      </c>
      <c r="AC40" s="714">
        <f ca="1">IF(AND(R40='Pipe Data'!EJ33,R40&gt;=W40),W40,IF(AND(R40='Pipe Data'!EJ33,R40&lt;W40),R40,IF(AND(M40&lt;&gt;"N/A",R40&gt;=W40),W40,IF(AND(M40&lt;&gt;"N/A",R40&lt;W40),R40,IF(AND(V40="N/A",W40&lt;=R40),W40,IF(AND(V40="N/A",W40&gt;R40),R40,IF(AND(V40&gt;=W40,R40&gt;=W40),W40,IF(AND(V40&gt;=W40,R40&lt;W40),R40,IF(AND(V40&lt;W40,R40&gt;=W40),V40,IF(AND(V40&lt;W40,R40&lt;W40),IF(V40=R40,R40,MIN(V40,R40)),W40))))))))))</f>
        <v>204</v>
      </c>
    </row>
    <row r="41" spans="1:29" ht="14.25" x14ac:dyDescent="0.2">
      <c r="A41" s="717">
        <f>'Pipe Data'!G34</f>
        <v>33</v>
      </c>
      <c r="B41" s="718" t="str">
        <f>IF('Pipe Data'!L34&gt;0,'Pipe Data'!L34,"")</f>
        <v/>
      </c>
      <c r="C41" s="719">
        <f>'Pipe Data'!A34</f>
        <v>0</v>
      </c>
      <c r="D41" s="719">
        <f>'Pipe Data'!B34</f>
        <v>0</v>
      </c>
      <c r="E41" s="720" t="str">
        <f>'Pipe Data'!CX34</f>
        <v>Mfg Bend</v>
      </c>
      <c r="F41" s="714">
        <f>IF(OR('Pipe Data'!DZ34="",'Pipe Data'!DZ34="unknown",'Pipe Data'!DZ34="Unknown"),"Unknown",YEAR('Pipe Data'!DZ34))</f>
        <v>1988</v>
      </c>
      <c r="G41" s="721">
        <f ca="1">IF('Pipe Data'!DI34="ERROR","ERROR",IF(OR('Pipe Data'!DW34=1,'Pipe Data'!DY34&lt;&gt;"N/A"),'Pipe Data'!DH34,'Pipe Data'!DI34))</f>
        <v>6.625</v>
      </c>
      <c r="H41" s="722" t="str">
        <f>IF('Pipe Data'!DJ34&gt;0,'Pipe Data'!DJ34,"")</f>
        <v/>
      </c>
      <c r="I41" s="723">
        <f ca="1">IF('Pipe Data'!DW34=1,'Pipe Data'!DC34,'Pipe Data'!DE34)</f>
        <v>0.28000000000000003</v>
      </c>
      <c r="J41" s="722">
        <f>IF('Pipe Data'!DG34&gt;0,'Pipe Data'!DG34,"")</f>
        <v>1</v>
      </c>
      <c r="K41" s="720">
        <f>IF('Pipe Data'!CZ34=0,"N/A",'Pipe Data'!CZ34)</f>
        <v>35000</v>
      </c>
      <c r="L41" s="722">
        <f>IF('Pipe Data'!DB34&gt;0,'Pipe Data'!DB34,"")</f>
        <v>1</v>
      </c>
      <c r="M41" s="720" t="str">
        <f>IF(OR('Pipe Data'!DO34="Unknown",'Pipe Data'!DO34="N/A"),"N/A",'Pipe Data'!DO34)</f>
        <v>N/A</v>
      </c>
      <c r="N41" s="722" t="str">
        <f>IF('Pipe Data'!DP34&gt;0,'Pipe Data'!DP34,"")</f>
        <v/>
      </c>
      <c r="O41" s="724" t="str">
        <f>'Pipe Data'!DK34</f>
        <v>Unknown</v>
      </c>
      <c r="P41" s="722" t="str">
        <f>IF('Pipe Data'!DN34&gt;0,'Pipe Data'!DN34,"")</f>
        <v/>
      </c>
      <c r="Q41" s="725">
        <f>IF('Pipe Data'!CX34="Cap","N/A",'Pipe Data'!DM34)</f>
        <v>1</v>
      </c>
      <c r="R41" s="720">
        <f ca="1">IF('Pipe Data'!EJ34&lt;&gt;"N/A",'Pipe Data'!EJ34,IF('Pipe Data'!DY34&lt;&gt;"N/A",'Pipe Data'!DY34,'Pipe Data'!DX34))</f>
        <v>1479</v>
      </c>
      <c r="S41" s="726" t="str">
        <f ca="1">IF(R41='Pipe Data'!EJ34,"A","")</f>
        <v/>
      </c>
      <c r="T41" s="720">
        <f>IF('Pipe Data'!EC34="N/A","N/A",'Pipe Data'!EC34)</f>
        <v>1200</v>
      </c>
      <c r="U41" s="714">
        <f>IF('Pipe Data'!EA34="N/A","N/A",YEAR('Pipe Data'!EA34))</f>
        <v>1988</v>
      </c>
      <c r="V41" s="720">
        <f ca="1">IF(R41='Pipe Data'!EJ34,"N/A",'Pipe Data'!EH34)</f>
        <v>800</v>
      </c>
      <c r="W41" s="720">
        <f>'Pipe Data'!EK34</f>
        <v>204</v>
      </c>
      <c r="X41" s="722" t="str">
        <f>IF(OR('Pipe Data'!EL34="y",'Pipe Data'!EL34="yes",'Pipe Data'!EL34="Y",'Pipe Data'!EL34="Yes"),"B","")</f>
        <v/>
      </c>
      <c r="Y41" s="720">
        <f>'Pipe Data'!DS34</f>
        <v>3</v>
      </c>
      <c r="Z41" s="727">
        <f ca="1">IF('Pipe Data'!DW34=1,'Pipe Data'!EM34,'Pipe Data'!EN34)</f>
        <v>6.8954081632653055E-2</v>
      </c>
      <c r="AA41" s="714" t="str">
        <f ca="1">IF(AND(M41&lt;&gt;"N/A",R41&gt;=W41),"Y",IF(AND(Y41="1 in Station",'Pipe Data'!DQ34=1,Z41&lt;=0.72),"Y",IF(AND(Y41="1 in Station",'Pipe Data'!DZ34&gt;=DATE(1961,7,1),Z41&gt;0.5),"N",IF(AND(OR(AND(Y41="1 in Public Road Crossing",'Pipe Data'!DQ34=1),AND(Y41="1 in Hard Road Parallel",'Pipe Data'!DQ34=1)),'Pipe Data'!DZ34&gt;=DATE(1961,7,1),'Pipe Data'!I34&lt;&gt;"Casing",Z41&lt;=0.72),"Y",IF(AND(AND(Y41="2 in Hard Road Crossing",OR('Pipe Data'!DQ34="1",'Pipe Data'!DQ34="1 in Public Road Crossing",'Pipe Data'!DQ34=2)),'Pipe Data'!DZ34&gt;=DATE(1961,7,1),'Pipe Data'!I34&lt;&gt;"Casing",Z41&lt;=0.6),"Y",IF(AND(OR(Y41="1 in Public Road Crossing",Y41="1 in Hard Road Parallel"),'Pipe Data'!DZ34&gt;=DATE(1961,7,1),'Pipe Data'!I34&lt;&gt;"Casing",Z41&gt;0.6),"N",IF(AND(Y41="1 on Bridge",'Pipe Data'!DZ34&gt;=DATE(1961,7,1),Z41&gt;0.6),"N",IF(AND(OR(Y41=1,Y41="1 in Station",Y41="1 in Public Road Crossing",Y41="1 in Hard Road Parallel",Y41="1 on Bridge"),Z41&lt;=0.72),"Y",IF(AND(Y41="2 in Station",'Pipe Data'!DQ34=2,Z41&lt;=0.6),"Y",IF(AND(Y41="2 in Station",'Pipe Data'!DZ34&gt;=DATE(1961,7,1),Z41&gt;0.5),"N",IF(AND(Y41="2 in Hard Road Crossing",'Pipe Data'!DZ34&gt;=DATE(1961,7,1),'Pipe Data'!I34&lt;&gt;"Casing",Z41&gt;0.5),"N",IF(OR(AND(OR(Y41=2,Y41="2 in Station",Y41="2 in Hard Road Crossing"),Z41&lt;=0.6),AND(OR(Y41=2,Y41="2 in Station",Y41="2 in Hard Road Crossing"),'Pipe Data'!EJ34&lt;&gt;"N/A",Z41&lt;=0.72)),"Y",IF(OR(AND(OR(Y41=3,Y41="3 in Station",Y41="3 in Hard Road Crossing"),Z41&lt;=0.5),AND(OR(Y41=3,Y41="3 in Station",Y41="3 in Hard Road Crossing"),'Pipe Data'!EJ34&lt;&gt;"N/A",Z41&lt;=0.6)),"Y",IF(OR(AND(Y41=4,Z41&lt;=0.4),AND(Y41=4,'Pipe Data'!EJ34&lt;&gt;"N/A",Z41&lt;=0.5)),"Y","N"))))))))))))))</f>
        <v>Y</v>
      </c>
      <c r="AB41" s="714" t="str">
        <f ca="1">IF(AND(R41='Pipe Data'!EJ34,R41&gt;=W41),"R",IF(AND(R41='Pipe Data'!EJ34,R41&lt;W41),"D",IF(AND(M41&lt;&gt;"N/A",R41&gt;=W41),"R",IF(AND(M41&lt;&gt;"N/A",R41&lt;W41),"D",IF(AND(V41="N/A",W41&lt;=R41),"R",IF(AND(V41="N/A",W41&gt;R41),"D",IF(AND(V41&gt;=W41,R41&gt;=W41),"R",IF(AND(V41&gt;=W41,R41&lt;W41),"D",IF(AND(V41&lt;W41,R41&gt;=W41),"T",IF(AND(V41&lt;W41,R41&lt;W41),IF(V41=R41,"D",IF(MIN(V41,R41)=V41,"T","D")),"R"))))))))))</f>
        <v>R</v>
      </c>
      <c r="AC41" s="714">
        <f ca="1">IF(AND(R41='Pipe Data'!EJ34,R41&gt;=W41),W41,IF(AND(R41='Pipe Data'!EJ34,R41&lt;W41),R41,IF(AND(M41&lt;&gt;"N/A",R41&gt;=W41),W41,IF(AND(M41&lt;&gt;"N/A",R41&lt;W41),R41,IF(AND(V41="N/A",W41&lt;=R41),W41,IF(AND(V41="N/A",W41&gt;R41),R41,IF(AND(V41&gt;=W41,R41&gt;=W41),W41,IF(AND(V41&gt;=W41,R41&lt;W41),R41,IF(AND(V41&lt;W41,R41&gt;=W41),V41,IF(AND(V41&lt;W41,R41&lt;W41),IF(V41=R41,R41,MIN(V41,R41)),W41))))))))))</f>
        <v>204</v>
      </c>
    </row>
    <row r="42" spans="1:29" ht="14.25" x14ac:dyDescent="0.2">
      <c r="A42" s="717">
        <f>'Pipe Data'!G35</f>
        <v>34</v>
      </c>
      <c r="B42" s="718" t="str">
        <f>IF('Pipe Data'!L35&gt;0,'Pipe Data'!L35,"")</f>
        <v/>
      </c>
      <c r="C42" s="719">
        <f>'Pipe Data'!A35</f>
        <v>0</v>
      </c>
      <c r="D42" s="719">
        <f>'Pipe Data'!B35</f>
        <v>0</v>
      </c>
      <c r="E42" s="720" t="str">
        <f>'Pipe Data'!CX35</f>
        <v>Pipe</v>
      </c>
      <c r="F42" s="714">
        <f>IF(OR('Pipe Data'!DZ35="",'Pipe Data'!DZ35="unknown",'Pipe Data'!DZ35="Unknown"),"Unknown",YEAR('Pipe Data'!DZ35))</f>
        <v>1988</v>
      </c>
      <c r="G42" s="721">
        <f ca="1">IF('Pipe Data'!DI35="ERROR","ERROR",IF(OR('Pipe Data'!DW35=1,'Pipe Data'!DY35&lt;&gt;"N/A"),'Pipe Data'!DH35,'Pipe Data'!DI35))</f>
        <v>6.625</v>
      </c>
      <c r="H42" s="722" t="str">
        <f>IF('Pipe Data'!DJ35&gt;0,'Pipe Data'!DJ35,"")</f>
        <v/>
      </c>
      <c r="I42" s="723">
        <f ca="1">IF('Pipe Data'!DW35=1,'Pipe Data'!DC35,'Pipe Data'!DE35)</f>
        <v>0.28000000000000003</v>
      </c>
      <c r="J42" s="722" t="str">
        <f>IF('Pipe Data'!DG35&gt;0,'Pipe Data'!DG35,"")</f>
        <v/>
      </c>
      <c r="K42" s="720">
        <f>IF('Pipe Data'!CZ35=0,"N/A",'Pipe Data'!CZ35)</f>
        <v>35000</v>
      </c>
      <c r="L42" s="722" t="str">
        <f>IF('Pipe Data'!DB35&gt;0,'Pipe Data'!DB35,"")</f>
        <v/>
      </c>
      <c r="M42" s="720" t="str">
        <f>IF(OR('Pipe Data'!DO35="Unknown",'Pipe Data'!DO35="N/A"),"N/A",'Pipe Data'!DO35)</f>
        <v>N/A</v>
      </c>
      <c r="N42" s="722" t="str">
        <f>IF('Pipe Data'!DP35&gt;0,'Pipe Data'!DP35,"")</f>
        <v/>
      </c>
      <c r="O42" s="724" t="str">
        <f>'Pipe Data'!DK35</f>
        <v>Seamless</v>
      </c>
      <c r="P42" s="722" t="str">
        <f>IF('Pipe Data'!DN35&gt;0,'Pipe Data'!DN35,"")</f>
        <v/>
      </c>
      <c r="Q42" s="725">
        <f>IF('Pipe Data'!CX35="Cap","N/A",'Pipe Data'!DM35)</f>
        <v>1</v>
      </c>
      <c r="R42" s="720">
        <f ca="1">IF('Pipe Data'!EJ35&lt;&gt;"N/A",'Pipe Data'!EJ35,IF('Pipe Data'!DY35&lt;&gt;"N/A",'Pipe Data'!DY35,'Pipe Data'!DX35))</f>
        <v>1479</v>
      </c>
      <c r="S42" s="726" t="str">
        <f ca="1">IF(R42='Pipe Data'!EJ35,"A","")</f>
        <v/>
      </c>
      <c r="T42" s="720">
        <f>IF('Pipe Data'!EC35="N/A","N/A",'Pipe Data'!EC35)</f>
        <v>1200</v>
      </c>
      <c r="U42" s="714">
        <f>IF('Pipe Data'!EA35="N/A","N/A",YEAR('Pipe Data'!EA35))</f>
        <v>1988</v>
      </c>
      <c r="V42" s="720">
        <f ca="1">IF(R42='Pipe Data'!EJ35,"N/A",'Pipe Data'!EH35)</f>
        <v>800</v>
      </c>
      <c r="W42" s="720">
        <f>'Pipe Data'!EK35</f>
        <v>204</v>
      </c>
      <c r="X42" s="722" t="str">
        <f>IF(OR('Pipe Data'!EL35="y",'Pipe Data'!EL35="yes",'Pipe Data'!EL35="Y",'Pipe Data'!EL35="Yes"),"B","")</f>
        <v/>
      </c>
      <c r="Y42" s="720">
        <f>'Pipe Data'!DS35</f>
        <v>3</v>
      </c>
      <c r="Z42" s="727">
        <f ca="1">IF('Pipe Data'!DW35=1,'Pipe Data'!EM35,'Pipe Data'!EN35)</f>
        <v>6.8954081632653055E-2</v>
      </c>
      <c r="AA42" s="714" t="str">
        <f ca="1">IF(AND(M42&lt;&gt;"N/A",R42&gt;=W42),"Y",IF(AND(Y42="1 in Station",'Pipe Data'!DQ35=1,Z42&lt;=0.72),"Y",IF(AND(Y42="1 in Station",'Pipe Data'!DZ35&gt;=DATE(1961,7,1),Z42&gt;0.5),"N",IF(AND(OR(AND(Y42="1 in Public Road Crossing",'Pipe Data'!DQ35=1),AND(Y42="1 in Hard Road Parallel",'Pipe Data'!DQ35=1)),'Pipe Data'!DZ35&gt;=DATE(1961,7,1),'Pipe Data'!I35&lt;&gt;"Casing",Z42&lt;=0.72),"Y",IF(AND(AND(Y42="2 in Hard Road Crossing",OR('Pipe Data'!DQ35="1",'Pipe Data'!DQ35="1 in Public Road Crossing",'Pipe Data'!DQ35=2)),'Pipe Data'!DZ35&gt;=DATE(1961,7,1),'Pipe Data'!I35&lt;&gt;"Casing",Z42&lt;=0.6),"Y",IF(AND(OR(Y42="1 in Public Road Crossing",Y42="1 in Hard Road Parallel"),'Pipe Data'!DZ35&gt;=DATE(1961,7,1),'Pipe Data'!I35&lt;&gt;"Casing",Z42&gt;0.6),"N",IF(AND(Y42="1 on Bridge",'Pipe Data'!DZ35&gt;=DATE(1961,7,1),Z42&gt;0.6),"N",IF(AND(OR(Y42=1,Y42="1 in Station",Y42="1 in Public Road Crossing",Y42="1 in Hard Road Parallel",Y42="1 on Bridge"),Z42&lt;=0.72),"Y",IF(AND(Y42="2 in Station",'Pipe Data'!DQ35=2,Z42&lt;=0.6),"Y",IF(AND(Y42="2 in Station",'Pipe Data'!DZ35&gt;=DATE(1961,7,1),Z42&gt;0.5),"N",IF(AND(Y42="2 in Hard Road Crossing",'Pipe Data'!DZ35&gt;=DATE(1961,7,1),'Pipe Data'!I35&lt;&gt;"Casing",Z42&gt;0.5),"N",IF(OR(AND(OR(Y42=2,Y42="2 in Station",Y42="2 in Hard Road Crossing"),Z42&lt;=0.6),AND(OR(Y42=2,Y42="2 in Station",Y42="2 in Hard Road Crossing"),'Pipe Data'!EJ35&lt;&gt;"N/A",Z42&lt;=0.72)),"Y",IF(OR(AND(OR(Y42=3,Y42="3 in Station",Y42="3 in Hard Road Crossing"),Z42&lt;=0.5),AND(OR(Y42=3,Y42="3 in Station",Y42="3 in Hard Road Crossing"),'Pipe Data'!EJ35&lt;&gt;"N/A",Z42&lt;=0.6)),"Y",IF(OR(AND(Y42=4,Z42&lt;=0.4),AND(Y42=4,'Pipe Data'!EJ35&lt;&gt;"N/A",Z42&lt;=0.5)),"Y","N"))))))))))))))</f>
        <v>Y</v>
      </c>
      <c r="AB42" s="714" t="str">
        <f ca="1">IF(AND(R42='Pipe Data'!EJ35,R42&gt;=W42),"R",IF(AND(R42='Pipe Data'!EJ35,R42&lt;W42),"D",IF(AND(M42&lt;&gt;"N/A",R42&gt;=W42),"R",IF(AND(M42&lt;&gt;"N/A",R42&lt;W42),"D",IF(AND(V42="N/A",W42&lt;=R42),"R",IF(AND(V42="N/A",W42&gt;R42),"D",IF(AND(V42&gt;=W42,R42&gt;=W42),"R",IF(AND(V42&gt;=W42,R42&lt;W42),"D",IF(AND(V42&lt;W42,R42&gt;=W42),"T",IF(AND(V42&lt;W42,R42&lt;W42),IF(V42=R42,"D",IF(MIN(V42,R42)=V42,"T","D")),"R"))))))))))</f>
        <v>R</v>
      </c>
      <c r="AC42" s="714">
        <f ca="1">IF(AND(R42='Pipe Data'!EJ35,R42&gt;=W42),W42,IF(AND(R42='Pipe Data'!EJ35,R42&lt;W42),R42,IF(AND(M42&lt;&gt;"N/A",R42&gt;=W42),W42,IF(AND(M42&lt;&gt;"N/A",R42&lt;W42),R42,IF(AND(V42="N/A",W42&lt;=R42),W42,IF(AND(V42="N/A",W42&gt;R42),R42,IF(AND(V42&gt;=W42,R42&gt;=W42),W42,IF(AND(V42&gt;=W42,R42&lt;W42),R42,IF(AND(V42&lt;W42,R42&gt;=W42),V42,IF(AND(V42&lt;W42,R42&lt;W42),IF(V42=R42,R42,MIN(V42,R42)),W42))))))))))</f>
        <v>204</v>
      </c>
    </row>
    <row r="43" spans="1:29" ht="14.25" x14ac:dyDescent="0.2">
      <c r="A43" s="717">
        <f>'Pipe Data'!G36</f>
        <v>35</v>
      </c>
      <c r="B43" s="718" t="str">
        <f>IF('Pipe Data'!L36&gt;0,'Pipe Data'!L36,"")</f>
        <v/>
      </c>
      <c r="C43" s="719">
        <f>'Pipe Data'!A36</f>
        <v>0</v>
      </c>
      <c r="D43" s="719">
        <f>'Pipe Data'!B36</f>
        <v>0</v>
      </c>
      <c r="E43" s="720" t="str">
        <f>'Pipe Data'!CX36</f>
        <v>Mfg Bend</v>
      </c>
      <c r="F43" s="714">
        <f>IF(OR('Pipe Data'!DZ36="",'Pipe Data'!DZ36="unknown",'Pipe Data'!DZ36="Unknown"),"Unknown",YEAR('Pipe Data'!DZ36))</f>
        <v>1988</v>
      </c>
      <c r="G43" s="721">
        <f ca="1">IF('Pipe Data'!DI36="ERROR","ERROR",IF(OR('Pipe Data'!DW36=1,'Pipe Data'!DY36&lt;&gt;"N/A"),'Pipe Data'!DH36,'Pipe Data'!DI36))</f>
        <v>6.625</v>
      </c>
      <c r="H43" s="722" t="str">
        <f>IF('Pipe Data'!DJ36&gt;0,'Pipe Data'!DJ36,"")</f>
        <v/>
      </c>
      <c r="I43" s="723">
        <f ca="1">IF('Pipe Data'!DW36=1,'Pipe Data'!DC36,'Pipe Data'!DE36)</f>
        <v>0.28000000000000003</v>
      </c>
      <c r="J43" s="722">
        <f>IF('Pipe Data'!DG36&gt;0,'Pipe Data'!DG36,"")</f>
        <v>1</v>
      </c>
      <c r="K43" s="720">
        <f>IF('Pipe Data'!CZ36=0,"N/A",'Pipe Data'!CZ36)</f>
        <v>35000</v>
      </c>
      <c r="L43" s="722">
        <f>IF('Pipe Data'!DB36&gt;0,'Pipe Data'!DB36,"")</f>
        <v>1</v>
      </c>
      <c r="M43" s="720" t="str">
        <f>IF(OR('Pipe Data'!DO36="Unknown",'Pipe Data'!DO36="N/A"),"N/A",'Pipe Data'!DO36)</f>
        <v>N/A</v>
      </c>
      <c r="N43" s="722" t="str">
        <f>IF('Pipe Data'!DP36&gt;0,'Pipe Data'!DP36,"")</f>
        <v/>
      </c>
      <c r="O43" s="724" t="str">
        <f>'Pipe Data'!DK36</f>
        <v>Unknown</v>
      </c>
      <c r="P43" s="722" t="str">
        <f>IF('Pipe Data'!DN36&gt;0,'Pipe Data'!DN36,"")</f>
        <v/>
      </c>
      <c r="Q43" s="725">
        <f>IF('Pipe Data'!CX36="Cap","N/A",'Pipe Data'!DM36)</f>
        <v>1</v>
      </c>
      <c r="R43" s="720">
        <f ca="1">IF('Pipe Data'!EJ36&lt;&gt;"N/A",'Pipe Data'!EJ36,IF('Pipe Data'!DY36&lt;&gt;"N/A",'Pipe Data'!DY36,'Pipe Data'!DX36))</f>
        <v>1479</v>
      </c>
      <c r="S43" s="726" t="str">
        <f ca="1">IF(R43='Pipe Data'!EJ36,"A","")</f>
        <v/>
      </c>
      <c r="T43" s="720">
        <f>IF('Pipe Data'!EC36="N/A","N/A",'Pipe Data'!EC36)</f>
        <v>1200</v>
      </c>
      <c r="U43" s="714">
        <f>IF('Pipe Data'!EA36="N/A","N/A",YEAR('Pipe Data'!EA36))</f>
        <v>1988</v>
      </c>
      <c r="V43" s="720">
        <f ca="1">IF(R43='Pipe Data'!EJ36,"N/A",'Pipe Data'!EH36)</f>
        <v>800</v>
      </c>
      <c r="W43" s="720">
        <f>'Pipe Data'!EK36</f>
        <v>204</v>
      </c>
      <c r="X43" s="722" t="str">
        <f>IF(OR('Pipe Data'!EL36="y",'Pipe Data'!EL36="yes",'Pipe Data'!EL36="Y",'Pipe Data'!EL36="Yes"),"B","")</f>
        <v/>
      </c>
      <c r="Y43" s="720">
        <f>'Pipe Data'!DS36</f>
        <v>3</v>
      </c>
      <c r="Z43" s="727">
        <f ca="1">IF('Pipe Data'!DW36=1,'Pipe Data'!EM36,'Pipe Data'!EN36)</f>
        <v>6.8954081632653055E-2</v>
      </c>
      <c r="AA43" s="714" t="str">
        <f ca="1">IF(AND(M43&lt;&gt;"N/A",R43&gt;=W43),"Y",IF(AND(Y43="1 in Station",'Pipe Data'!DQ36=1,Z43&lt;=0.72),"Y",IF(AND(Y43="1 in Station",'Pipe Data'!DZ36&gt;=DATE(1961,7,1),Z43&gt;0.5),"N",IF(AND(OR(AND(Y43="1 in Public Road Crossing",'Pipe Data'!DQ36=1),AND(Y43="1 in Hard Road Parallel",'Pipe Data'!DQ36=1)),'Pipe Data'!DZ36&gt;=DATE(1961,7,1),'Pipe Data'!I36&lt;&gt;"Casing",Z43&lt;=0.72),"Y",IF(AND(AND(Y43="2 in Hard Road Crossing",OR('Pipe Data'!DQ36="1",'Pipe Data'!DQ36="1 in Public Road Crossing",'Pipe Data'!DQ36=2)),'Pipe Data'!DZ36&gt;=DATE(1961,7,1),'Pipe Data'!I36&lt;&gt;"Casing",Z43&lt;=0.6),"Y",IF(AND(OR(Y43="1 in Public Road Crossing",Y43="1 in Hard Road Parallel"),'Pipe Data'!DZ36&gt;=DATE(1961,7,1),'Pipe Data'!I36&lt;&gt;"Casing",Z43&gt;0.6),"N",IF(AND(Y43="1 on Bridge",'Pipe Data'!DZ36&gt;=DATE(1961,7,1),Z43&gt;0.6),"N",IF(AND(OR(Y43=1,Y43="1 in Station",Y43="1 in Public Road Crossing",Y43="1 in Hard Road Parallel",Y43="1 on Bridge"),Z43&lt;=0.72),"Y",IF(AND(Y43="2 in Station",'Pipe Data'!DQ36=2,Z43&lt;=0.6),"Y",IF(AND(Y43="2 in Station",'Pipe Data'!DZ36&gt;=DATE(1961,7,1),Z43&gt;0.5),"N",IF(AND(Y43="2 in Hard Road Crossing",'Pipe Data'!DZ36&gt;=DATE(1961,7,1),'Pipe Data'!I36&lt;&gt;"Casing",Z43&gt;0.5),"N",IF(OR(AND(OR(Y43=2,Y43="2 in Station",Y43="2 in Hard Road Crossing"),Z43&lt;=0.6),AND(OR(Y43=2,Y43="2 in Station",Y43="2 in Hard Road Crossing"),'Pipe Data'!EJ36&lt;&gt;"N/A",Z43&lt;=0.72)),"Y",IF(OR(AND(OR(Y43=3,Y43="3 in Station",Y43="3 in Hard Road Crossing"),Z43&lt;=0.5),AND(OR(Y43=3,Y43="3 in Station",Y43="3 in Hard Road Crossing"),'Pipe Data'!EJ36&lt;&gt;"N/A",Z43&lt;=0.6)),"Y",IF(OR(AND(Y43=4,Z43&lt;=0.4),AND(Y43=4,'Pipe Data'!EJ36&lt;&gt;"N/A",Z43&lt;=0.5)),"Y","N"))))))))))))))</f>
        <v>Y</v>
      </c>
      <c r="AB43" s="714" t="str">
        <f ca="1">IF(AND(R43='Pipe Data'!EJ36,R43&gt;=W43),"R",IF(AND(R43='Pipe Data'!EJ36,R43&lt;W43),"D",IF(AND(M43&lt;&gt;"N/A",R43&gt;=W43),"R",IF(AND(M43&lt;&gt;"N/A",R43&lt;W43),"D",IF(AND(V43="N/A",W43&lt;=R43),"R",IF(AND(V43="N/A",W43&gt;R43),"D",IF(AND(V43&gt;=W43,R43&gt;=W43),"R",IF(AND(V43&gt;=W43,R43&lt;W43),"D",IF(AND(V43&lt;W43,R43&gt;=W43),"T",IF(AND(V43&lt;W43,R43&lt;W43),IF(V43=R43,"D",IF(MIN(V43,R43)=V43,"T","D")),"R"))))))))))</f>
        <v>R</v>
      </c>
      <c r="AC43" s="714">
        <f ca="1">IF(AND(R43='Pipe Data'!EJ36,R43&gt;=W43),W43,IF(AND(R43='Pipe Data'!EJ36,R43&lt;W43),R43,IF(AND(M43&lt;&gt;"N/A",R43&gt;=W43),W43,IF(AND(M43&lt;&gt;"N/A",R43&lt;W43),R43,IF(AND(V43="N/A",W43&lt;=R43),W43,IF(AND(V43="N/A",W43&gt;R43),R43,IF(AND(V43&gt;=W43,R43&gt;=W43),W43,IF(AND(V43&gt;=W43,R43&lt;W43),R43,IF(AND(V43&lt;W43,R43&gt;=W43),V43,IF(AND(V43&lt;W43,R43&lt;W43),IF(V43=R43,R43,MIN(V43,R43)),W43))))))))))</f>
        <v>204</v>
      </c>
    </row>
    <row r="44" spans="1:29" ht="14.25" x14ac:dyDescent="0.2">
      <c r="A44" s="717">
        <f>'Pipe Data'!G37</f>
        <v>36</v>
      </c>
      <c r="B44" s="718" t="str">
        <f>IF('Pipe Data'!L37&gt;0,'Pipe Data'!L37,"")</f>
        <v/>
      </c>
      <c r="C44" s="719">
        <f>'Pipe Data'!A37</f>
        <v>0</v>
      </c>
      <c r="D44" s="719">
        <f>'Pipe Data'!B37</f>
        <v>0</v>
      </c>
      <c r="E44" s="720" t="str">
        <f>'Pipe Data'!CX37</f>
        <v>Pipe</v>
      </c>
      <c r="F44" s="714">
        <f>IF(OR('Pipe Data'!DZ37="",'Pipe Data'!DZ37="unknown",'Pipe Data'!DZ37="Unknown"),"Unknown",YEAR('Pipe Data'!DZ37))</f>
        <v>1988</v>
      </c>
      <c r="G44" s="721">
        <f ca="1">IF('Pipe Data'!DI37="ERROR","ERROR",IF(OR('Pipe Data'!DW37=1,'Pipe Data'!DY37&lt;&gt;"N/A"),'Pipe Data'!DH37,'Pipe Data'!DI37))</f>
        <v>6.625</v>
      </c>
      <c r="H44" s="722" t="str">
        <f>IF('Pipe Data'!DJ37&gt;0,'Pipe Data'!DJ37,"")</f>
        <v/>
      </c>
      <c r="I44" s="723">
        <f ca="1">IF('Pipe Data'!DW37=1,'Pipe Data'!DC37,'Pipe Data'!DE37)</f>
        <v>0.28000000000000003</v>
      </c>
      <c r="J44" s="722" t="str">
        <f>IF('Pipe Data'!DG37&gt;0,'Pipe Data'!DG37,"")</f>
        <v/>
      </c>
      <c r="K44" s="720">
        <f>IF('Pipe Data'!CZ37=0,"N/A",'Pipe Data'!CZ37)</f>
        <v>35000</v>
      </c>
      <c r="L44" s="722" t="str">
        <f>IF('Pipe Data'!DB37&gt;0,'Pipe Data'!DB37,"")</f>
        <v/>
      </c>
      <c r="M44" s="720" t="str">
        <f>IF(OR('Pipe Data'!DO37="Unknown",'Pipe Data'!DO37="N/A"),"N/A",'Pipe Data'!DO37)</f>
        <v>N/A</v>
      </c>
      <c r="N44" s="722" t="str">
        <f>IF('Pipe Data'!DP37&gt;0,'Pipe Data'!DP37,"")</f>
        <v/>
      </c>
      <c r="O44" s="724" t="str">
        <f>'Pipe Data'!DK37</f>
        <v>Seamless</v>
      </c>
      <c r="P44" s="722" t="str">
        <f>IF('Pipe Data'!DN37&gt;0,'Pipe Data'!DN37,"")</f>
        <v/>
      </c>
      <c r="Q44" s="725">
        <f>IF('Pipe Data'!CX37="Cap","N/A",'Pipe Data'!DM37)</f>
        <v>1</v>
      </c>
      <c r="R44" s="720">
        <f ca="1">IF('Pipe Data'!EJ37&lt;&gt;"N/A",'Pipe Data'!EJ37,IF('Pipe Data'!DY37&lt;&gt;"N/A",'Pipe Data'!DY37,'Pipe Data'!DX37))</f>
        <v>1479</v>
      </c>
      <c r="S44" s="726" t="str">
        <f ca="1">IF(R44='Pipe Data'!EJ37,"A","")</f>
        <v/>
      </c>
      <c r="T44" s="720">
        <f>IF('Pipe Data'!EC37="N/A","N/A",'Pipe Data'!EC37)</f>
        <v>1200</v>
      </c>
      <c r="U44" s="714">
        <f>IF('Pipe Data'!EA37="N/A","N/A",YEAR('Pipe Data'!EA37))</f>
        <v>1988</v>
      </c>
      <c r="V44" s="720">
        <f ca="1">IF(R44='Pipe Data'!EJ37,"N/A",'Pipe Data'!EH37)</f>
        <v>800</v>
      </c>
      <c r="W44" s="720">
        <f>'Pipe Data'!EK37</f>
        <v>204</v>
      </c>
      <c r="X44" s="722" t="str">
        <f>IF(OR('Pipe Data'!EL37="y",'Pipe Data'!EL37="yes",'Pipe Data'!EL37="Y",'Pipe Data'!EL37="Yes"),"B","")</f>
        <v/>
      </c>
      <c r="Y44" s="720">
        <f>'Pipe Data'!DS37</f>
        <v>3</v>
      </c>
      <c r="Z44" s="727">
        <f ca="1">IF('Pipe Data'!DW37=1,'Pipe Data'!EM37,'Pipe Data'!EN37)</f>
        <v>6.8954081632653055E-2</v>
      </c>
      <c r="AA44" s="714" t="str">
        <f ca="1">IF(AND(M44&lt;&gt;"N/A",R44&gt;=W44),"Y",IF(AND(Y44="1 in Station",'Pipe Data'!DQ37=1,Z44&lt;=0.72),"Y",IF(AND(Y44="1 in Station",'Pipe Data'!DZ37&gt;=DATE(1961,7,1),Z44&gt;0.5),"N",IF(AND(OR(AND(Y44="1 in Public Road Crossing",'Pipe Data'!DQ37=1),AND(Y44="1 in Hard Road Parallel",'Pipe Data'!DQ37=1)),'Pipe Data'!DZ37&gt;=DATE(1961,7,1),'Pipe Data'!I37&lt;&gt;"Casing",Z44&lt;=0.72),"Y",IF(AND(AND(Y44="2 in Hard Road Crossing",OR('Pipe Data'!DQ37="1",'Pipe Data'!DQ37="1 in Public Road Crossing",'Pipe Data'!DQ37=2)),'Pipe Data'!DZ37&gt;=DATE(1961,7,1),'Pipe Data'!I37&lt;&gt;"Casing",Z44&lt;=0.6),"Y",IF(AND(OR(Y44="1 in Public Road Crossing",Y44="1 in Hard Road Parallel"),'Pipe Data'!DZ37&gt;=DATE(1961,7,1),'Pipe Data'!I37&lt;&gt;"Casing",Z44&gt;0.6),"N",IF(AND(Y44="1 on Bridge",'Pipe Data'!DZ37&gt;=DATE(1961,7,1),Z44&gt;0.6),"N",IF(AND(OR(Y44=1,Y44="1 in Station",Y44="1 in Public Road Crossing",Y44="1 in Hard Road Parallel",Y44="1 on Bridge"),Z44&lt;=0.72),"Y",IF(AND(Y44="2 in Station",'Pipe Data'!DQ37=2,Z44&lt;=0.6),"Y",IF(AND(Y44="2 in Station",'Pipe Data'!DZ37&gt;=DATE(1961,7,1),Z44&gt;0.5),"N",IF(AND(Y44="2 in Hard Road Crossing",'Pipe Data'!DZ37&gt;=DATE(1961,7,1),'Pipe Data'!I37&lt;&gt;"Casing",Z44&gt;0.5),"N",IF(OR(AND(OR(Y44=2,Y44="2 in Station",Y44="2 in Hard Road Crossing"),Z44&lt;=0.6),AND(OR(Y44=2,Y44="2 in Station",Y44="2 in Hard Road Crossing"),'Pipe Data'!EJ37&lt;&gt;"N/A",Z44&lt;=0.72)),"Y",IF(OR(AND(OR(Y44=3,Y44="3 in Station",Y44="3 in Hard Road Crossing"),Z44&lt;=0.5),AND(OR(Y44=3,Y44="3 in Station",Y44="3 in Hard Road Crossing"),'Pipe Data'!EJ37&lt;&gt;"N/A",Z44&lt;=0.6)),"Y",IF(OR(AND(Y44=4,Z44&lt;=0.4),AND(Y44=4,'Pipe Data'!EJ37&lt;&gt;"N/A",Z44&lt;=0.5)),"Y","N"))))))))))))))</f>
        <v>Y</v>
      </c>
      <c r="AB44" s="714" t="str">
        <f ca="1">IF(AND(R44='Pipe Data'!EJ37,R44&gt;=W44),"R",IF(AND(R44='Pipe Data'!EJ37,R44&lt;W44),"D",IF(AND(M44&lt;&gt;"N/A",R44&gt;=W44),"R",IF(AND(M44&lt;&gt;"N/A",R44&lt;W44),"D",IF(AND(V44="N/A",W44&lt;=R44),"R",IF(AND(V44="N/A",W44&gt;R44),"D",IF(AND(V44&gt;=W44,R44&gt;=W44),"R",IF(AND(V44&gt;=W44,R44&lt;W44),"D",IF(AND(V44&lt;W44,R44&gt;=W44),"T",IF(AND(V44&lt;W44,R44&lt;W44),IF(V44=R44,"D",IF(MIN(V44,R44)=V44,"T","D")),"R"))))))))))</f>
        <v>R</v>
      </c>
      <c r="AC44" s="714">
        <f ca="1">IF(AND(R44='Pipe Data'!EJ37,R44&gt;=W44),W44,IF(AND(R44='Pipe Data'!EJ37,R44&lt;W44),R44,IF(AND(M44&lt;&gt;"N/A",R44&gt;=W44),W44,IF(AND(M44&lt;&gt;"N/A",R44&lt;W44),R44,IF(AND(V44="N/A",W44&lt;=R44),W44,IF(AND(V44="N/A",W44&gt;R44),R44,IF(AND(V44&gt;=W44,R44&gt;=W44),W44,IF(AND(V44&gt;=W44,R44&lt;W44),R44,IF(AND(V44&lt;W44,R44&gt;=W44),V44,IF(AND(V44&lt;W44,R44&lt;W44),IF(V44=R44,R44,MIN(V44,R44)),W44))))))))))</f>
        <v>204</v>
      </c>
    </row>
    <row r="45" spans="1:29" ht="14.25" x14ac:dyDescent="0.2">
      <c r="A45" s="717">
        <f>'Pipe Data'!G38</f>
        <v>37</v>
      </c>
      <c r="B45" s="718" t="str">
        <f>IF('Pipe Data'!L38&gt;0,'Pipe Data'!L38,"")</f>
        <v/>
      </c>
      <c r="C45" s="719">
        <f>'Pipe Data'!A38</f>
        <v>0</v>
      </c>
      <c r="D45" s="719">
        <f>'Pipe Data'!B38</f>
        <v>0</v>
      </c>
      <c r="E45" s="720" t="str">
        <f>'Pipe Data'!CX38</f>
        <v>Mfg Bend</v>
      </c>
      <c r="F45" s="714">
        <f>IF(OR('Pipe Data'!DZ38="",'Pipe Data'!DZ38="unknown",'Pipe Data'!DZ38="Unknown"),"Unknown",YEAR('Pipe Data'!DZ38))</f>
        <v>1988</v>
      </c>
      <c r="G45" s="721">
        <f ca="1">IF('Pipe Data'!DI38="ERROR","ERROR",IF(OR('Pipe Data'!DW38=1,'Pipe Data'!DY38&lt;&gt;"N/A"),'Pipe Data'!DH38,'Pipe Data'!DI38))</f>
        <v>6.625</v>
      </c>
      <c r="H45" s="722" t="str">
        <f>IF('Pipe Data'!DJ38&gt;0,'Pipe Data'!DJ38,"")</f>
        <v/>
      </c>
      <c r="I45" s="723">
        <f ca="1">IF('Pipe Data'!DW38=1,'Pipe Data'!DC38,'Pipe Data'!DE38)</f>
        <v>0.28000000000000003</v>
      </c>
      <c r="J45" s="722">
        <f>IF('Pipe Data'!DG38&gt;0,'Pipe Data'!DG38,"")</f>
        <v>1</v>
      </c>
      <c r="K45" s="720">
        <f>IF('Pipe Data'!CZ38=0,"N/A",'Pipe Data'!CZ38)</f>
        <v>35000</v>
      </c>
      <c r="L45" s="722">
        <f>IF('Pipe Data'!DB38&gt;0,'Pipe Data'!DB38,"")</f>
        <v>1</v>
      </c>
      <c r="M45" s="720" t="str">
        <f>IF(OR('Pipe Data'!DO38="Unknown",'Pipe Data'!DO38="N/A"),"N/A",'Pipe Data'!DO38)</f>
        <v>N/A</v>
      </c>
      <c r="N45" s="722" t="str">
        <f>IF('Pipe Data'!DP38&gt;0,'Pipe Data'!DP38,"")</f>
        <v/>
      </c>
      <c r="O45" s="724" t="str">
        <f>'Pipe Data'!DK38</f>
        <v>Unknown</v>
      </c>
      <c r="P45" s="722" t="str">
        <f>IF('Pipe Data'!DN38&gt;0,'Pipe Data'!DN38,"")</f>
        <v/>
      </c>
      <c r="Q45" s="725">
        <f>IF('Pipe Data'!CX38="Cap","N/A",'Pipe Data'!DM38)</f>
        <v>1</v>
      </c>
      <c r="R45" s="720">
        <f ca="1">IF('Pipe Data'!EJ38&lt;&gt;"N/A",'Pipe Data'!EJ38,IF('Pipe Data'!DY38&lt;&gt;"N/A",'Pipe Data'!DY38,'Pipe Data'!DX38))</f>
        <v>1479</v>
      </c>
      <c r="S45" s="726" t="str">
        <f ca="1">IF(R45='Pipe Data'!EJ38,"A","")</f>
        <v/>
      </c>
      <c r="T45" s="720">
        <f>IF('Pipe Data'!EC38="N/A","N/A",'Pipe Data'!EC38)</f>
        <v>1200</v>
      </c>
      <c r="U45" s="714">
        <f>IF('Pipe Data'!EA38="N/A","N/A",YEAR('Pipe Data'!EA38))</f>
        <v>1988</v>
      </c>
      <c r="V45" s="720">
        <f ca="1">IF(R45='Pipe Data'!EJ38,"N/A",'Pipe Data'!EH38)</f>
        <v>800</v>
      </c>
      <c r="W45" s="720">
        <f>'Pipe Data'!EK38</f>
        <v>204</v>
      </c>
      <c r="X45" s="722" t="str">
        <f>IF(OR('Pipe Data'!EL38="y",'Pipe Data'!EL38="yes",'Pipe Data'!EL38="Y",'Pipe Data'!EL38="Yes"),"B","")</f>
        <v/>
      </c>
      <c r="Y45" s="720">
        <f>'Pipe Data'!DS38</f>
        <v>3</v>
      </c>
      <c r="Z45" s="727">
        <f ca="1">IF('Pipe Data'!DW38=1,'Pipe Data'!EM38,'Pipe Data'!EN38)</f>
        <v>6.8954081632653055E-2</v>
      </c>
      <c r="AA45" s="714" t="str">
        <f ca="1">IF(AND(M45&lt;&gt;"N/A",R45&gt;=W45),"Y",IF(AND(Y45="1 in Station",'Pipe Data'!DQ38=1,Z45&lt;=0.72),"Y",IF(AND(Y45="1 in Station",'Pipe Data'!DZ38&gt;=DATE(1961,7,1),Z45&gt;0.5),"N",IF(AND(OR(AND(Y45="1 in Public Road Crossing",'Pipe Data'!DQ38=1),AND(Y45="1 in Hard Road Parallel",'Pipe Data'!DQ38=1)),'Pipe Data'!DZ38&gt;=DATE(1961,7,1),'Pipe Data'!I38&lt;&gt;"Casing",Z45&lt;=0.72),"Y",IF(AND(AND(Y45="2 in Hard Road Crossing",OR('Pipe Data'!DQ38="1",'Pipe Data'!DQ38="1 in Public Road Crossing",'Pipe Data'!DQ38=2)),'Pipe Data'!DZ38&gt;=DATE(1961,7,1),'Pipe Data'!I38&lt;&gt;"Casing",Z45&lt;=0.6),"Y",IF(AND(OR(Y45="1 in Public Road Crossing",Y45="1 in Hard Road Parallel"),'Pipe Data'!DZ38&gt;=DATE(1961,7,1),'Pipe Data'!I38&lt;&gt;"Casing",Z45&gt;0.6),"N",IF(AND(Y45="1 on Bridge",'Pipe Data'!DZ38&gt;=DATE(1961,7,1),Z45&gt;0.6),"N",IF(AND(OR(Y45=1,Y45="1 in Station",Y45="1 in Public Road Crossing",Y45="1 in Hard Road Parallel",Y45="1 on Bridge"),Z45&lt;=0.72),"Y",IF(AND(Y45="2 in Station",'Pipe Data'!DQ38=2,Z45&lt;=0.6),"Y",IF(AND(Y45="2 in Station",'Pipe Data'!DZ38&gt;=DATE(1961,7,1),Z45&gt;0.5),"N",IF(AND(Y45="2 in Hard Road Crossing",'Pipe Data'!DZ38&gt;=DATE(1961,7,1),'Pipe Data'!I38&lt;&gt;"Casing",Z45&gt;0.5),"N",IF(OR(AND(OR(Y45=2,Y45="2 in Station",Y45="2 in Hard Road Crossing"),Z45&lt;=0.6),AND(OR(Y45=2,Y45="2 in Station",Y45="2 in Hard Road Crossing"),'Pipe Data'!EJ38&lt;&gt;"N/A",Z45&lt;=0.72)),"Y",IF(OR(AND(OR(Y45=3,Y45="3 in Station",Y45="3 in Hard Road Crossing"),Z45&lt;=0.5),AND(OR(Y45=3,Y45="3 in Station",Y45="3 in Hard Road Crossing"),'Pipe Data'!EJ38&lt;&gt;"N/A",Z45&lt;=0.6)),"Y",IF(OR(AND(Y45=4,Z45&lt;=0.4),AND(Y45=4,'Pipe Data'!EJ38&lt;&gt;"N/A",Z45&lt;=0.5)),"Y","N"))))))))))))))</f>
        <v>Y</v>
      </c>
      <c r="AB45" s="714" t="str">
        <f ca="1">IF(AND(R45='Pipe Data'!EJ38,R45&gt;=W45),"R",IF(AND(R45='Pipe Data'!EJ38,R45&lt;W45),"D",IF(AND(M45&lt;&gt;"N/A",R45&gt;=W45),"R",IF(AND(M45&lt;&gt;"N/A",R45&lt;W45),"D",IF(AND(V45="N/A",W45&lt;=R45),"R",IF(AND(V45="N/A",W45&gt;R45),"D",IF(AND(V45&gt;=W45,R45&gt;=W45),"R",IF(AND(V45&gt;=W45,R45&lt;W45),"D",IF(AND(V45&lt;W45,R45&gt;=W45),"T",IF(AND(V45&lt;W45,R45&lt;W45),IF(V45=R45,"D",IF(MIN(V45,R45)=V45,"T","D")),"R"))))))))))</f>
        <v>R</v>
      </c>
      <c r="AC45" s="714">
        <f ca="1">IF(AND(R45='Pipe Data'!EJ38,R45&gt;=W45),W45,IF(AND(R45='Pipe Data'!EJ38,R45&lt;W45),R45,IF(AND(M45&lt;&gt;"N/A",R45&gt;=W45),W45,IF(AND(M45&lt;&gt;"N/A",R45&lt;W45),R45,IF(AND(V45="N/A",W45&lt;=R45),W45,IF(AND(V45="N/A",W45&gt;R45),R45,IF(AND(V45&gt;=W45,R45&gt;=W45),W45,IF(AND(V45&gt;=W45,R45&lt;W45),R45,IF(AND(V45&lt;W45,R45&gt;=W45),V45,IF(AND(V45&lt;W45,R45&lt;W45),IF(V45=R45,R45,MIN(V45,R45)),W45))))))))))</f>
        <v>204</v>
      </c>
    </row>
    <row r="46" spans="1:29" ht="14.25" x14ac:dyDescent="0.2">
      <c r="A46" s="717">
        <f>'Pipe Data'!G39</f>
        <v>38</v>
      </c>
      <c r="B46" s="718" t="str">
        <f>IF('Pipe Data'!L39&gt;0,'Pipe Data'!L39,"")</f>
        <v/>
      </c>
      <c r="C46" s="719">
        <f>'Pipe Data'!A39</f>
        <v>0</v>
      </c>
      <c r="D46" s="719">
        <f>'Pipe Data'!B39</f>
        <v>0</v>
      </c>
      <c r="E46" s="720" t="str">
        <f>'Pipe Data'!CX39</f>
        <v>Pipe</v>
      </c>
      <c r="F46" s="714">
        <f>IF(OR('Pipe Data'!DZ39="",'Pipe Data'!DZ39="unknown",'Pipe Data'!DZ39="Unknown"),"Unknown",YEAR('Pipe Data'!DZ39))</f>
        <v>1988</v>
      </c>
      <c r="G46" s="721">
        <f ca="1">IF('Pipe Data'!DI39="ERROR","ERROR",IF(OR('Pipe Data'!DW39=1,'Pipe Data'!DY39&lt;&gt;"N/A"),'Pipe Data'!DH39,'Pipe Data'!DI39))</f>
        <v>6.625</v>
      </c>
      <c r="H46" s="722" t="str">
        <f>IF('Pipe Data'!DJ39&gt;0,'Pipe Data'!DJ39,"")</f>
        <v/>
      </c>
      <c r="I46" s="723">
        <f ca="1">IF('Pipe Data'!DW39=1,'Pipe Data'!DC39,'Pipe Data'!DE39)</f>
        <v>0.28000000000000003</v>
      </c>
      <c r="J46" s="722" t="str">
        <f>IF('Pipe Data'!DG39&gt;0,'Pipe Data'!DG39,"")</f>
        <v/>
      </c>
      <c r="K46" s="720">
        <f>IF('Pipe Data'!CZ39=0,"N/A",'Pipe Data'!CZ39)</f>
        <v>35000</v>
      </c>
      <c r="L46" s="722" t="str">
        <f>IF('Pipe Data'!DB39&gt;0,'Pipe Data'!DB39,"")</f>
        <v/>
      </c>
      <c r="M46" s="720" t="str">
        <f>IF(OR('Pipe Data'!DO39="Unknown",'Pipe Data'!DO39="N/A"),"N/A",'Pipe Data'!DO39)</f>
        <v>N/A</v>
      </c>
      <c r="N46" s="722" t="str">
        <f>IF('Pipe Data'!DP39&gt;0,'Pipe Data'!DP39,"")</f>
        <v/>
      </c>
      <c r="O46" s="724" t="str">
        <f>'Pipe Data'!DK39</f>
        <v>Seamless</v>
      </c>
      <c r="P46" s="722" t="str">
        <f>IF('Pipe Data'!DN39&gt;0,'Pipe Data'!DN39,"")</f>
        <v/>
      </c>
      <c r="Q46" s="725">
        <f>IF('Pipe Data'!CX39="Cap","N/A",'Pipe Data'!DM39)</f>
        <v>1</v>
      </c>
      <c r="R46" s="720">
        <f ca="1">IF('Pipe Data'!EJ39&lt;&gt;"N/A",'Pipe Data'!EJ39,IF('Pipe Data'!DY39&lt;&gt;"N/A",'Pipe Data'!DY39,'Pipe Data'!DX39))</f>
        <v>1479</v>
      </c>
      <c r="S46" s="726" t="str">
        <f ca="1">IF(R46='Pipe Data'!EJ39,"A","")</f>
        <v/>
      </c>
      <c r="T46" s="720">
        <f>IF('Pipe Data'!EC39="N/A","N/A",'Pipe Data'!EC39)</f>
        <v>1200</v>
      </c>
      <c r="U46" s="714">
        <f>IF('Pipe Data'!EA39="N/A","N/A",YEAR('Pipe Data'!EA39))</f>
        <v>1988</v>
      </c>
      <c r="V46" s="720">
        <f ca="1">IF(R46='Pipe Data'!EJ39,"N/A",'Pipe Data'!EH39)</f>
        <v>800</v>
      </c>
      <c r="W46" s="720">
        <f>'Pipe Data'!EK39</f>
        <v>204</v>
      </c>
      <c r="X46" s="722" t="str">
        <f>IF(OR('Pipe Data'!EL39="y",'Pipe Data'!EL39="yes",'Pipe Data'!EL39="Y",'Pipe Data'!EL39="Yes"),"B","")</f>
        <v/>
      </c>
      <c r="Y46" s="720">
        <f>'Pipe Data'!DS39</f>
        <v>3</v>
      </c>
      <c r="Z46" s="727">
        <f ca="1">IF('Pipe Data'!DW39=1,'Pipe Data'!EM39,'Pipe Data'!EN39)</f>
        <v>6.8954081632653055E-2</v>
      </c>
      <c r="AA46" s="714" t="str">
        <f ca="1">IF(AND(M46&lt;&gt;"N/A",R46&gt;=W46),"Y",IF(AND(Y46="1 in Station",'Pipe Data'!DQ39=1,Z46&lt;=0.72),"Y",IF(AND(Y46="1 in Station",'Pipe Data'!DZ39&gt;=DATE(1961,7,1),Z46&gt;0.5),"N",IF(AND(OR(AND(Y46="1 in Public Road Crossing",'Pipe Data'!DQ39=1),AND(Y46="1 in Hard Road Parallel",'Pipe Data'!DQ39=1)),'Pipe Data'!DZ39&gt;=DATE(1961,7,1),'Pipe Data'!I39&lt;&gt;"Casing",Z46&lt;=0.72),"Y",IF(AND(AND(Y46="2 in Hard Road Crossing",OR('Pipe Data'!DQ39="1",'Pipe Data'!DQ39="1 in Public Road Crossing",'Pipe Data'!DQ39=2)),'Pipe Data'!DZ39&gt;=DATE(1961,7,1),'Pipe Data'!I39&lt;&gt;"Casing",Z46&lt;=0.6),"Y",IF(AND(OR(Y46="1 in Public Road Crossing",Y46="1 in Hard Road Parallel"),'Pipe Data'!DZ39&gt;=DATE(1961,7,1),'Pipe Data'!I39&lt;&gt;"Casing",Z46&gt;0.6),"N",IF(AND(Y46="1 on Bridge",'Pipe Data'!DZ39&gt;=DATE(1961,7,1),Z46&gt;0.6),"N",IF(AND(OR(Y46=1,Y46="1 in Station",Y46="1 in Public Road Crossing",Y46="1 in Hard Road Parallel",Y46="1 on Bridge"),Z46&lt;=0.72),"Y",IF(AND(Y46="2 in Station",'Pipe Data'!DQ39=2,Z46&lt;=0.6),"Y",IF(AND(Y46="2 in Station",'Pipe Data'!DZ39&gt;=DATE(1961,7,1),Z46&gt;0.5),"N",IF(AND(Y46="2 in Hard Road Crossing",'Pipe Data'!DZ39&gt;=DATE(1961,7,1),'Pipe Data'!I39&lt;&gt;"Casing",Z46&gt;0.5),"N",IF(OR(AND(OR(Y46=2,Y46="2 in Station",Y46="2 in Hard Road Crossing"),Z46&lt;=0.6),AND(OR(Y46=2,Y46="2 in Station",Y46="2 in Hard Road Crossing"),'Pipe Data'!EJ39&lt;&gt;"N/A",Z46&lt;=0.72)),"Y",IF(OR(AND(OR(Y46=3,Y46="3 in Station",Y46="3 in Hard Road Crossing"),Z46&lt;=0.5),AND(OR(Y46=3,Y46="3 in Station",Y46="3 in Hard Road Crossing"),'Pipe Data'!EJ39&lt;&gt;"N/A",Z46&lt;=0.6)),"Y",IF(OR(AND(Y46=4,Z46&lt;=0.4),AND(Y46=4,'Pipe Data'!EJ39&lt;&gt;"N/A",Z46&lt;=0.5)),"Y","N"))))))))))))))</f>
        <v>Y</v>
      </c>
      <c r="AB46" s="714" t="str">
        <f ca="1">IF(AND(R46='Pipe Data'!EJ39,R46&gt;=W46),"R",IF(AND(R46='Pipe Data'!EJ39,R46&lt;W46),"D",IF(AND(M46&lt;&gt;"N/A",R46&gt;=W46),"R",IF(AND(M46&lt;&gt;"N/A",R46&lt;W46),"D",IF(AND(V46="N/A",W46&lt;=R46),"R",IF(AND(V46="N/A",W46&gt;R46),"D",IF(AND(V46&gt;=W46,R46&gt;=W46),"R",IF(AND(V46&gt;=W46,R46&lt;W46),"D",IF(AND(V46&lt;W46,R46&gt;=W46),"T",IF(AND(V46&lt;W46,R46&lt;W46),IF(V46=R46,"D",IF(MIN(V46,R46)=V46,"T","D")),"R"))))))))))</f>
        <v>R</v>
      </c>
      <c r="AC46" s="714">
        <f ca="1">IF(AND(R46='Pipe Data'!EJ39,R46&gt;=W46),W46,IF(AND(R46='Pipe Data'!EJ39,R46&lt;W46),R46,IF(AND(M46&lt;&gt;"N/A",R46&gt;=W46),W46,IF(AND(M46&lt;&gt;"N/A",R46&lt;W46),R46,IF(AND(V46="N/A",W46&lt;=R46),W46,IF(AND(V46="N/A",W46&gt;R46),R46,IF(AND(V46&gt;=W46,R46&gt;=W46),W46,IF(AND(V46&gt;=W46,R46&lt;W46),R46,IF(AND(V46&lt;W46,R46&gt;=W46),V46,IF(AND(V46&lt;W46,R46&lt;W46),IF(V46=R46,R46,MIN(V46,R46)),W46))))))))))</f>
        <v>204</v>
      </c>
    </row>
    <row r="47" spans="1:29" ht="14.25" x14ac:dyDescent="0.2">
      <c r="A47" s="717">
        <f>'Pipe Data'!G40</f>
        <v>39</v>
      </c>
      <c r="B47" s="718" t="str">
        <f>IF('Pipe Data'!L40&gt;0,'Pipe Data'!L40,"")</f>
        <v/>
      </c>
      <c r="C47" s="719">
        <f>'Pipe Data'!A40</f>
        <v>0</v>
      </c>
      <c r="D47" s="719">
        <f>'Pipe Data'!B40</f>
        <v>0</v>
      </c>
      <c r="E47" s="720" t="str">
        <f>'Pipe Data'!CX40</f>
        <v>Appurtenance</v>
      </c>
      <c r="F47" s="714">
        <f>IF(OR('Pipe Data'!DZ40="",'Pipe Data'!DZ40="unknown",'Pipe Data'!DZ40="Unknown"),"Unknown",YEAR('Pipe Data'!DZ40))</f>
        <v>1988</v>
      </c>
      <c r="G47" s="721" t="e">
        <f ca="1">IF('Pipe Data'!DI40="ERROR","ERROR",IF(OR('Pipe Data'!DW40=1,'Pipe Data'!DY40&lt;&gt;"N/A"),'Pipe Data'!DH40,'Pipe Data'!DI40))</f>
        <v>#VALUE!</v>
      </c>
      <c r="H47" s="722" t="str">
        <f>IF('Pipe Data'!DJ40&gt;0,'Pipe Data'!DJ40,"")</f>
        <v/>
      </c>
      <c r="I47" s="723" t="e">
        <f ca="1">IF('Pipe Data'!DW40=1,'Pipe Data'!DC40,'Pipe Data'!DE40)</f>
        <v>#VALUE!</v>
      </c>
      <c r="J47" s="722" t="str">
        <f>IF('Pipe Data'!DG40&gt;0,'Pipe Data'!DG40,"")</f>
        <v/>
      </c>
      <c r="K47" s="720" t="str">
        <f>IF('Pipe Data'!CZ40=0,"N/A",'Pipe Data'!CZ40)</f>
        <v>N/A</v>
      </c>
      <c r="L47" s="722" t="str">
        <f>IF('Pipe Data'!DB40&gt;0,'Pipe Data'!DB40,"")</f>
        <v/>
      </c>
      <c r="M47" s="720" t="str">
        <f>IF(OR('Pipe Data'!DO40="Unknown",'Pipe Data'!DO40="N/A"),"N/A",'Pipe Data'!DO40)</f>
        <v>N/A</v>
      </c>
      <c r="N47" s="722" t="str">
        <f>IF('Pipe Data'!DP40&gt;0,'Pipe Data'!DP40,"")</f>
        <v/>
      </c>
      <c r="O47" s="724" t="str">
        <f>'Pipe Data'!DK40</f>
        <v>N/A</v>
      </c>
      <c r="P47" s="722" t="str">
        <f>IF('Pipe Data'!DN40&gt;0,'Pipe Data'!DN40,"")</f>
        <v/>
      </c>
      <c r="Q47" s="725" t="str">
        <f>IF('Pipe Data'!CX40="Cap","N/A",'Pipe Data'!DM40)</f>
        <v>N/A</v>
      </c>
      <c r="R47" s="720" t="e">
        <f ca="1">IF('Pipe Data'!EJ40&lt;&gt;"N/A",'Pipe Data'!EJ40,IF('Pipe Data'!DY40&lt;&gt;"N/A",'Pipe Data'!DY40,'Pipe Data'!DX40))</f>
        <v>#VALUE!</v>
      </c>
      <c r="S47" s="726" t="e">
        <f ca="1">IF(R47='Pipe Data'!EJ40,"A","")</f>
        <v>#VALUE!</v>
      </c>
      <c r="T47" s="720">
        <f>IF('Pipe Data'!EC40="N/A","N/A",'Pipe Data'!EC40)</f>
        <v>1200</v>
      </c>
      <c r="U47" s="714">
        <f>IF('Pipe Data'!EA40="N/A","N/A",YEAR('Pipe Data'!EA40))</f>
        <v>1988</v>
      </c>
      <c r="V47" s="720" t="e">
        <f ca="1">IF(R47='Pipe Data'!EJ40,"N/A",'Pipe Data'!EH40)</f>
        <v>#VALUE!</v>
      </c>
      <c r="W47" s="720">
        <f>'Pipe Data'!EK40</f>
        <v>204</v>
      </c>
      <c r="X47" s="722" t="str">
        <f>IF(OR('Pipe Data'!EL40="y",'Pipe Data'!EL40="yes",'Pipe Data'!EL40="Y",'Pipe Data'!EL40="Yes"),"B","")</f>
        <v/>
      </c>
      <c r="Y47" s="720">
        <f>'Pipe Data'!DS40</f>
        <v>3</v>
      </c>
      <c r="Z47" s="727" t="e">
        <f ca="1">IF('Pipe Data'!DW40=1,'Pipe Data'!EM40,'Pipe Data'!EN40)</f>
        <v>#VALUE!</v>
      </c>
      <c r="AA47" s="714" t="e">
        <f ca="1">IF(AND(M47&lt;&gt;"N/A",R47&gt;=W47),"Y",IF(AND(Y47="1 in Station",'Pipe Data'!DQ40=1,Z47&lt;=0.72),"Y",IF(AND(Y47="1 in Station",'Pipe Data'!DZ40&gt;=DATE(1961,7,1),Z47&gt;0.5),"N",IF(AND(OR(AND(Y47="1 in Public Road Crossing",'Pipe Data'!DQ40=1),AND(Y47="1 in Hard Road Parallel",'Pipe Data'!DQ40=1)),'Pipe Data'!DZ40&gt;=DATE(1961,7,1),'Pipe Data'!I40&lt;&gt;"Casing",Z47&lt;=0.72),"Y",IF(AND(AND(Y47="2 in Hard Road Crossing",OR('Pipe Data'!DQ40="1",'Pipe Data'!DQ40="1 in Public Road Crossing",'Pipe Data'!DQ40=2)),'Pipe Data'!DZ40&gt;=DATE(1961,7,1),'Pipe Data'!I40&lt;&gt;"Casing",Z47&lt;=0.6),"Y",IF(AND(OR(Y47="1 in Public Road Crossing",Y47="1 in Hard Road Parallel"),'Pipe Data'!DZ40&gt;=DATE(1961,7,1),'Pipe Data'!I40&lt;&gt;"Casing",Z47&gt;0.6),"N",IF(AND(Y47="1 on Bridge",'Pipe Data'!DZ40&gt;=DATE(1961,7,1),Z47&gt;0.6),"N",IF(AND(OR(Y47=1,Y47="1 in Station",Y47="1 in Public Road Crossing",Y47="1 in Hard Road Parallel",Y47="1 on Bridge"),Z47&lt;=0.72),"Y",IF(AND(Y47="2 in Station",'Pipe Data'!DQ40=2,Z47&lt;=0.6),"Y",IF(AND(Y47="2 in Station",'Pipe Data'!DZ40&gt;=DATE(1961,7,1),Z47&gt;0.5),"N",IF(AND(Y47="2 in Hard Road Crossing",'Pipe Data'!DZ40&gt;=DATE(1961,7,1),'Pipe Data'!I40&lt;&gt;"Casing",Z47&gt;0.5),"N",IF(OR(AND(OR(Y47=2,Y47="2 in Station",Y47="2 in Hard Road Crossing"),Z47&lt;=0.6),AND(OR(Y47=2,Y47="2 in Station",Y47="2 in Hard Road Crossing"),'Pipe Data'!EJ40&lt;&gt;"N/A",Z47&lt;=0.72)),"Y",IF(OR(AND(OR(Y47=3,Y47="3 in Station",Y47="3 in Hard Road Crossing"),Z47&lt;=0.5),AND(OR(Y47=3,Y47="3 in Station",Y47="3 in Hard Road Crossing"),'Pipe Data'!EJ40&lt;&gt;"N/A",Z47&lt;=0.6)),"Y",IF(OR(AND(Y47=4,Z47&lt;=0.4),AND(Y47=4,'Pipe Data'!EJ40&lt;&gt;"N/A",Z47&lt;=0.5)),"Y","N"))))))))))))))</f>
        <v>#VALUE!</v>
      </c>
      <c r="AB47" s="714" t="e">
        <f ca="1">IF(AND(R47='Pipe Data'!EJ40,R47&gt;=W47),"R",IF(AND(R47='Pipe Data'!EJ40,R47&lt;W47),"D",IF(AND(M47&lt;&gt;"N/A",R47&gt;=W47),"R",IF(AND(M47&lt;&gt;"N/A",R47&lt;W47),"D",IF(AND(V47="N/A",W47&lt;=R47),"R",IF(AND(V47="N/A",W47&gt;R47),"D",IF(AND(V47&gt;=W47,R47&gt;=W47),"R",IF(AND(V47&gt;=W47,R47&lt;W47),"D",IF(AND(V47&lt;W47,R47&gt;=W47),"T",IF(AND(V47&lt;W47,R47&lt;W47),IF(V47=R47,"D",IF(MIN(V47,R47)=V47,"T","D")),"R"))))))))))</f>
        <v>#VALUE!</v>
      </c>
      <c r="AC47" s="714" t="e">
        <f ca="1">IF(AND(R47='Pipe Data'!EJ40,R47&gt;=W47),W47,IF(AND(R47='Pipe Data'!EJ40,R47&lt;W47),R47,IF(AND(M47&lt;&gt;"N/A",R47&gt;=W47),W47,IF(AND(M47&lt;&gt;"N/A",R47&lt;W47),R47,IF(AND(V47="N/A",W47&lt;=R47),W47,IF(AND(V47="N/A",W47&gt;R47),R47,IF(AND(V47&gt;=W47,R47&gt;=W47),W47,IF(AND(V47&gt;=W47,R47&lt;W47),R47,IF(AND(V47&lt;W47,R47&gt;=W47),V47,IF(AND(V47&lt;W47,R47&lt;W47),IF(V47=R47,R47,MIN(V47,R47)),W47))))))))))</f>
        <v>#VALUE!</v>
      </c>
    </row>
    <row r="48" spans="1:29" ht="14.25" x14ac:dyDescent="0.2">
      <c r="A48" s="717">
        <f>'Pipe Data'!G41</f>
        <v>40</v>
      </c>
      <c r="B48" s="718" t="str">
        <f>IF('Pipe Data'!L41&gt;0,'Pipe Data'!L41,"")</f>
        <v/>
      </c>
      <c r="C48" s="719">
        <f>'Pipe Data'!A41</f>
        <v>0</v>
      </c>
      <c r="D48" s="719">
        <f>'Pipe Data'!B41</f>
        <v>0</v>
      </c>
      <c r="E48" s="720" t="str">
        <f>'Pipe Data'!CX41</f>
        <v>Pipe</v>
      </c>
      <c r="F48" s="714">
        <f>IF(OR('Pipe Data'!DZ41="",'Pipe Data'!DZ41="unknown",'Pipe Data'!DZ41="Unknown"),"Unknown",YEAR('Pipe Data'!DZ41))</f>
        <v>1988</v>
      </c>
      <c r="G48" s="721">
        <f ca="1">IF('Pipe Data'!DI41="ERROR","ERROR",IF(OR('Pipe Data'!DW41=1,'Pipe Data'!DY41&lt;&gt;"N/A"),'Pipe Data'!DH41,'Pipe Data'!DI41))</f>
        <v>6.625</v>
      </c>
      <c r="H48" s="722" t="str">
        <f>IF('Pipe Data'!DJ41&gt;0,'Pipe Data'!DJ41,"")</f>
        <v/>
      </c>
      <c r="I48" s="723">
        <f ca="1">IF('Pipe Data'!DW41=1,'Pipe Data'!DC41,'Pipe Data'!DE41)</f>
        <v>0.28000000000000003</v>
      </c>
      <c r="J48" s="722" t="str">
        <f>IF('Pipe Data'!DG41&gt;0,'Pipe Data'!DG41,"")</f>
        <v/>
      </c>
      <c r="K48" s="720">
        <f>IF('Pipe Data'!CZ41=0,"N/A",'Pipe Data'!CZ41)</f>
        <v>35000</v>
      </c>
      <c r="L48" s="722" t="str">
        <f>IF('Pipe Data'!DB41&gt;0,'Pipe Data'!DB41,"")</f>
        <v/>
      </c>
      <c r="M48" s="720" t="str">
        <f>IF(OR('Pipe Data'!DO41="Unknown",'Pipe Data'!DO41="N/A"),"N/A",'Pipe Data'!DO41)</f>
        <v>N/A</v>
      </c>
      <c r="N48" s="722" t="str">
        <f>IF('Pipe Data'!DP41&gt;0,'Pipe Data'!DP41,"")</f>
        <v/>
      </c>
      <c r="O48" s="724" t="str">
        <f>'Pipe Data'!DK41</f>
        <v>Seamless</v>
      </c>
      <c r="P48" s="722" t="str">
        <f>IF('Pipe Data'!DN41&gt;0,'Pipe Data'!DN41,"")</f>
        <v/>
      </c>
      <c r="Q48" s="725">
        <f>IF('Pipe Data'!CX41="Cap","N/A",'Pipe Data'!DM41)</f>
        <v>1</v>
      </c>
      <c r="R48" s="720">
        <f ca="1">IF('Pipe Data'!EJ41&lt;&gt;"N/A",'Pipe Data'!EJ41,IF('Pipe Data'!DY41&lt;&gt;"N/A",'Pipe Data'!DY41,'Pipe Data'!DX41))</f>
        <v>1479</v>
      </c>
      <c r="S48" s="726" t="str">
        <f ca="1">IF(R48='Pipe Data'!EJ41,"A","")</f>
        <v/>
      </c>
      <c r="T48" s="720">
        <f>IF('Pipe Data'!EC41="N/A","N/A",'Pipe Data'!EC41)</f>
        <v>1200</v>
      </c>
      <c r="U48" s="714">
        <f>IF('Pipe Data'!EA41="N/A","N/A",YEAR('Pipe Data'!EA41))</f>
        <v>1988</v>
      </c>
      <c r="V48" s="720">
        <f ca="1">IF(R48='Pipe Data'!EJ41,"N/A",'Pipe Data'!EH41)</f>
        <v>800</v>
      </c>
      <c r="W48" s="720">
        <f>'Pipe Data'!EK41</f>
        <v>204</v>
      </c>
      <c r="X48" s="722" t="str">
        <f>IF(OR('Pipe Data'!EL41="y",'Pipe Data'!EL41="yes",'Pipe Data'!EL41="Y",'Pipe Data'!EL41="Yes"),"B","")</f>
        <v/>
      </c>
      <c r="Y48" s="720">
        <f>'Pipe Data'!DS41</f>
        <v>3</v>
      </c>
      <c r="Z48" s="727">
        <f ca="1">IF('Pipe Data'!DW41=1,'Pipe Data'!EM41,'Pipe Data'!EN41)</f>
        <v>6.8954081632653055E-2</v>
      </c>
      <c r="AA48" s="714" t="str">
        <f ca="1">IF(AND(M48&lt;&gt;"N/A",R48&gt;=W48),"Y",IF(AND(Y48="1 in Station",'Pipe Data'!DQ41=1,Z48&lt;=0.72),"Y",IF(AND(Y48="1 in Station",'Pipe Data'!DZ41&gt;=DATE(1961,7,1),Z48&gt;0.5),"N",IF(AND(OR(AND(Y48="1 in Public Road Crossing",'Pipe Data'!DQ41=1),AND(Y48="1 in Hard Road Parallel",'Pipe Data'!DQ41=1)),'Pipe Data'!DZ41&gt;=DATE(1961,7,1),'Pipe Data'!I41&lt;&gt;"Casing",Z48&lt;=0.72),"Y",IF(AND(AND(Y48="2 in Hard Road Crossing",OR('Pipe Data'!DQ41="1",'Pipe Data'!DQ41="1 in Public Road Crossing",'Pipe Data'!DQ41=2)),'Pipe Data'!DZ41&gt;=DATE(1961,7,1),'Pipe Data'!I41&lt;&gt;"Casing",Z48&lt;=0.6),"Y",IF(AND(OR(Y48="1 in Public Road Crossing",Y48="1 in Hard Road Parallel"),'Pipe Data'!DZ41&gt;=DATE(1961,7,1),'Pipe Data'!I41&lt;&gt;"Casing",Z48&gt;0.6),"N",IF(AND(Y48="1 on Bridge",'Pipe Data'!DZ41&gt;=DATE(1961,7,1),Z48&gt;0.6),"N",IF(AND(OR(Y48=1,Y48="1 in Station",Y48="1 in Public Road Crossing",Y48="1 in Hard Road Parallel",Y48="1 on Bridge"),Z48&lt;=0.72),"Y",IF(AND(Y48="2 in Station",'Pipe Data'!DQ41=2,Z48&lt;=0.6),"Y",IF(AND(Y48="2 in Station",'Pipe Data'!DZ41&gt;=DATE(1961,7,1),Z48&gt;0.5),"N",IF(AND(Y48="2 in Hard Road Crossing",'Pipe Data'!DZ41&gt;=DATE(1961,7,1),'Pipe Data'!I41&lt;&gt;"Casing",Z48&gt;0.5),"N",IF(OR(AND(OR(Y48=2,Y48="2 in Station",Y48="2 in Hard Road Crossing"),Z48&lt;=0.6),AND(OR(Y48=2,Y48="2 in Station",Y48="2 in Hard Road Crossing"),'Pipe Data'!EJ41&lt;&gt;"N/A",Z48&lt;=0.72)),"Y",IF(OR(AND(OR(Y48=3,Y48="3 in Station",Y48="3 in Hard Road Crossing"),Z48&lt;=0.5),AND(OR(Y48=3,Y48="3 in Station",Y48="3 in Hard Road Crossing"),'Pipe Data'!EJ41&lt;&gt;"N/A",Z48&lt;=0.6)),"Y",IF(OR(AND(Y48=4,Z48&lt;=0.4),AND(Y48=4,'Pipe Data'!EJ41&lt;&gt;"N/A",Z48&lt;=0.5)),"Y","N"))))))))))))))</f>
        <v>Y</v>
      </c>
      <c r="AB48" s="714" t="str">
        <f ca="1">IF(AND(R48='Pipe Data'!EJ41,R48&gt;=W48),"R",IF(AND(R48='Pipe Data'!EJ41,R48&lt;W48),"D",IF(AND(M48&lt;&gt;"N/A",R48&gt;=W48),"R",IF(AND(M48&lt;&gt;"N/A",R48&lt;W48),"D",IF(AND(V48="N/A",W48&lt;=R48),"R",IF(AND(V48="N/A",W48&gt;R48),"D",IF(AND(V48&gt;=W48,R48&gt;=W48),"R",IF(AND(V48&gt;=W48,R48&lt;W48),"D",IF(AND(V48&lt;W48,R48&gt;=W48),"T",IF(AND(V48&lt;W48,R48&lt;W48),IF(V48=R48,"D",IF(MIN(V48,R48)=V48,"T","D")),"R"))))))))))</f>
        <v>R</v>
      </c>
      <c r="AC48" s="714">
        <f ca="1">IF(AND(R48='Pipe Data'!EJ41,R48&gt;=W48),W48,IF(AND(R48='Pipe Data'!EJ41,R48&lt;W48),R48,IF(AND(M48&lt;&gt;"N/A",R48&gt;=W48),W48,IF(AND(M48&lt;&gt;"N/A",R48&lt;W48),R48,IF(AND(V48="N/A",W48&lt;=R48),W48,IF(AND(V48="N/A",W48&gt;R48),R48,IF(AND(V48&gt;=W48,R48&gt;=W48),W48,IF(AND(V48&gt;=W48,R48&lt;W48),R48,IF(AND(V48&lt;W48,R48&gt;=W48),V48,IF(AND(V48&lt;W48,R48&lt;W48),IF(V48=R48,R48,MIN(V48,R48)),W48))))))))))</f>
        <v>204</v>
      </c>
    </row>
    <row r="49" spans="1:29" ht="14.25" x14ac:dyDescent="0.2">
      <c r="A49" s="717">
        <f>'Pipe Data'!G42</f>
        <v>41</v>
      </c>
      <c r="B49" s="718">
        <f>IF('Pipe Data'!L42&gt;0,'Pipe Data'!L42,"")</f>
        <v>0.75</v>
      </c>
      <c r="C49" s="719">
        <f>'Pipe Data'!A42</f>
        <v>3960</v>
      </c>
      <c r="D49" s="719">
        <f>'Pipe Data'!B42</f>
        <v>0</v>
      </c>
      <c r="E49" s="720" t="str">
        <f>'Pipe Data'!CX42</f>
        <v>Tee</v>
      </c>
      <c r="F49" s="714">
        <f>IF(OR('Pipe Data'!DZ42="",'Pipe Data'!DZ42="unknown",'Pipe Data'!DZ42="Unknown"),"Unknown",YEAR('Pipe Data'!DZ42))</f>
        <v>1988</v>
      </c>
      <c r="G49" s="721">
        <f ca="1">IF('Pipe Data'!DI42="ERROR","ERROR",IF(OR('Pipe Data'!DW42=1,'Pipe Data'!DY42&lt;&gt;"N/A"),'Pipe Data'!DH42,'Pipe Data'!DI42))</f>
        <v>6.625</v>
      </c>
      <c r="H49" s="722" t="str">
        <f>IF('Pipe Data'!DJ42&gt;0,'Pipe Data'!DJ42,"")</f>
        <v/>
      </c>
      <c r="I49" s="723">
        <f ca="1">IF('Pipe Data'!DW42=1,'Pipe Data'!DC42,'Pipe Data'!DE42)</f>
        <v>0.28000000000000003</v>
      </c>
      <c r="J49" s="722" t="str">
        <f>IF('Pipe Data'!DG42&gt;0,'Pipe Data'!DG42,"")</f>
        <v/>
      </c>
      <c r="K49" s="720">
        <f>IF('Pipe Data'!CZ42=0,"N/A",'Pipe Data'!CZ42)</f>
        <v>35000</v>
      </c>
      <c r="L49" s="722" t="str">
        <f>IF('Pipe Data'!DB42&gt;0,'Pipe Data'!DB42,"")</f>
        <v/>
      </c>
      <c r="M49" s="720" t="str">
        <f>IF(OR('Pipe Data'!DO42="Unknown",'Pipe Data'!DO42="N/A"),"N/A",'Pipe Data'!DO42)</f>
        <v>N/A</v>
      </c>
      <c r="N49" s="722" t="str">
        <f>IF('Pipe Data'!DP42&gt;0,'Pipe Data'!DP42,"")</f>
        <v/>
      </c>
      <c r="O49" s="724" t="str">
        <f>'Pipe Data'!DK42</f>
        <v>Unknown</v>
      </c>
      <c r="P49" s="722" t="str">
        <f>IF('Pipe Data'!DN42&gt;0,'Pipe Data'!DN42,"")</f>
        <v/>
      </c>
      <c r="Q49" s="725">
        <f>IF('Pipe Data'!CX42="Cap","N/A",'Pipe Data'!DM42)</f>
        <v>1</v>
      </c>
      <c r="R49" s="720">
        <f ca="1">IF('Pipe Data'!EJ42&lt;&gt;"N/A",'Pipe Data'!EJ42,IF('Pipe Data'!DY42&lt;&gt;"N/A",'Pipe Data'!DY42,'Pipe Data'!DX42))</f>
        <v>1479</v>
      </c>
      <c r="S49" s="726" t="str">
        <f ca="1">IF(R49='Pipe Data'!EJ42,"A","")</f>
        <v/>
      </c>
      <c r="T49" s="720">
        <f>IF('Pipe Data'!EC42="N/A","N/A",'Pipe Data'!EC42)</f>
        <v>1200</v>
      </c>
      <c r="U49" s="714">
        <f>IF('Pipe Data'!EA42="N/A","N/A",YEAR('Pipe Data'!EA42))</f>
        <v>1988</v>
      </c>
      <c r="V49" s="720">
        <f ca="1">IF(R49='Pipe Data'!EJ42,"N/A",'Pipe Data'!EH42)</f>
        <v>800</v>
      </c>
      <c r="W49" s="720">
        <f>'Pipe Data'!EK42</f>
        <v>204</v>
      </c>
      <c r="X49" s="722" t="str">
        <f>IF(OR('Pipe Data'!EL42="y",'Pipe Data'!EL42="yes",'Pipe Data'!EL42="Y",'Pipe Data'!EL42="Yes"),"B","")</f>
        <v/>
      </c>
      <c r="Y49" s="720">
        <f>'Pipe Data'!DS42</f>
        <v>3</v>
      </c>
      <c r="Z49" s="727">
        <f ca="1">IF('Pipe Data'!DW42=1,'Pipe Data'!EM42,'Pipe Data'!EN42)</f>
        <v>6.8954081632653055E-2</v>
      </c>
      <c r="AA49" s="714" t="str">
        <f ca="1">IF(AND(M49&lt;&gt;"N/A",R49&gt;=W49),"Y",IF(AND(Y49="1 in Station",'Pipe Data'!DQ42=1,Z49&lt;=0.72),"Y",IF(AND(Y49="1 in Station",'Pipe Data'!DZ42&gt;=DATE(1961,7,1),Z49&gt;0.5),"N",IF(AND(OR(AND(Y49="1 in Public Road Crossing",'Pipe Data'!DQ42=1),AND(Y49="1 in Hard Road Parallel",'Pipe Data'!DQ42=1)),'Pipe Data'!DZ42&gt;=DATE(1961,7,1),'Pipe Data'!I42&lt;&gt;"Casing",Z49&lt;=0.72),"Y",IF(AND(AND(Y49="2 in Hard Road Crossing",OR('Pipe Data'!DQ42="1",'Pipe Data'!DQ42="1 in Public Road Crossing",'Pipe Data'!DQ42=2)),'Pipe Data'!DZ42&gt;=DATE(1961,7,1),'Pipe Data'!I42&lt;&gt;"Casing",Z49&lt;=0.6),"Y",IF(AND(OR(Y49="1 in Public Road Crossing",Y49="1 in Hard Road Parallel"),'Pipe Data'!DZ42&gt;=DATE(1961,7,1),'Pipe Data'!I42&lt;&gt;"Casing",Z49&gt;0.6),"N",IF(AND(Y49="1 on Bridge",'Pipe Data'!DZ42&gt;=DATE(1961,7,1),Z49&gt;0.6),"N",IF(AND(OR(Y49=1,Y49="1 in Station",Y49="1 in Public Road Crossing",Y49="1 in Hard Road Parallel",Y49="1 on Bridge"),Z49&lt;=0.72),"Y",IF(AND(Y49="2 in Station",'Pipe Data'!DQ42=2,Z49&lt;=0.6),"Y",IF(AND(Y49="2 in Station",'Pipe Data'!DZ42&gt;=DATE(1961,7,1),Z49&gt;0.5),"N",IF(AND(Y49="2 in Hard Road Crossing",'Pipe Data'!DZ42&gt;=DATE(1961,7,1),'Pipe Data'!I42&lt;&gt;"Casing",Z49&gt;0.5),"N",IF(OR(AND(OR(Y49=2,Y49="2 in Station",Y49="2 in Hard Road Crossing"),Z49&lt;=0.6),AND(OR(Y49=2,Y49="2 in Station",Y49="2 in Hard Road Crossing"),'Pipe Data'!EJ42&lt;&gt;"N/A",Z49&lt;=0.72)),"Y",IF(OR(AND(OR(Y49=3,Y49="3 in Station",Y49="3 in Hard Road Crossing"),Z49&lt;=0.5),AND(OR(Y49=3,Y49="3 in Station",Y49="3 in Hard Road Crossing"),'Pipe Data'!EJ42&lt;&gt;"N/A",Z49&lt;=0.6)),"Y",IF(OR(AND(Y49=4,Z49&lt;=0.4),AND(Y49=4,'Pipe Data'!EJ42&lt;&gt;"N/A",Z49&lt;=0.5)),"Y","N"))))))))))))))</f>
        <v>Y</v>
      </c>
      <c r="AB49" s="714" t="str">
        <f ca="1">IF(AND(R49='Pipe Data'!EJ42,R49&gt;=W49),"R",IF(AND(R49='Pipe Data'!EJ42,R49&lt;W49),"D",IF(AND(M49&lt;&gt;"N/A",R49&gt;=W49),"R",IF(AND(M49&lt;&gt;"N/A",R49&lt;W49),"D",IF(AND(V49="N/A",W49&lt;=R49),"R",IF(AND(V49="N/A",W49&gt;R49),"D",IF(AND(V49&gt;=W49,R49&gt;=W49),"R",IF(AND(V49&gt;=W49,R49&lt;W49),"D",IF(AND(V49&lt;W49,R49&gt;=W49),"T",IF(AND(V49&lt;W49,R49&lt;W49),IF(V49=R49,"D",IF(MIN(V49,R49)=V49,"T","D")),"R"))))))))))</f>
        <v>R</v>
      </c>
      <c r="AC49" s="714">
        <f ca="1">IF(AND(R49='Pipe Data'!EJ42,R49&gt;=W49),W49,IF(AND(R49='Pipe Data'!EJ42,R49&lt;W49),R49,IF(AND(M49&lt;&gt;"N/A",R49&gt;=W49),W49,IF(AND(M49&lt;&gt;"N/A",R49&lt;W49),R49,IF(AND(V49="N/A",W49&lt;=R49),W49,IF(AND(V49="N/A",W49&gt;R49),R49,IF(AND(V49&gt;=W49,R49&gt;=W49),W49,IF(AND(V49&gt;=W49,R49&lt;W49),R49,IF(AND(V49&lt;W49,R49&gt;=W49),V49,IF(AND(V49&lt;W49,R49&lt;W49),IF(V49=R49,R49,MIN(V49,R49)),W49))))))))))</f>
        <v>204</v>
      </c>
    </row>
  </sheetData>
  <mergeCells count="8">
    <mergeCell ref="R9:S9"/>
    <mergeCell ref="W9:X9"/>
    <mergeCell ref="B7:C7"/>
    <mergeCell ref="G9:H9"/>
    <mergeCell ref="I9:J9"/>
    <mergeCell ref="K9:L9"/>
    <mergeCell ref="M9:N9"/>
    <mergeCell ref="O9:P9"/>
  </mergeCells>
  <conditionalFormatting sqref="AA10">
    <cfRule type="expression" dxfId="30" priority="18" stopIfTrue="1">
      <formula>AA10="N"</formula>
    </cfRule>
  </conditionalFormatting>
  <conditionalFormatting sqref="AC10">
    <cfRule type="expression" dxfId="29" priority="17">
      <formula>AC10&lt;W10</formula>
    </cfRule>
  </conditionalFormatting>
  <conditionalFormatting sqref="W10">
    <cfRule type="expression" dxfId="28" priority="14" stopIfTrue="1">
      <formula>W10=0</formula>
    </cfRule>
  </conditionalFormatting>
  <conditionalFormatting sqref="G10">
    <cfRule type="expression" dxfId="27" priority="11">
      <formula>G10="Unknown"</formula>
    </cfRule>
  </conditionalFormatting>
  <conditionalFormatting sqref="M10">
    <cfRule type="expression" dxfId="26" priority="10">
      <formula>M10="ERROR"</formula>
    </cfRule>
  </conditionalFormatting>
  <conditionalFormatting sqref="G10">
    <cfRule type="expression" dxfId="25" priority="9">
      <formula>G10="ERROR"</formula>
    </cfRule>
  </conditionalFormatting>
  <conditionalFormatting sqref="AA11:AA49">
    <cfRule type="expression" dxfId="24" priority="8" stopIfTrue="1">
      <formula>AA11="N"</formula>
    </cfRule>
  </conditionalFormatting>
  <conditionalFormatting sqref="AC11:AC49">
    <cfRule type="expression" dxfId="23" priority="7">
      <formula>AC11&lt;W11</formula>
    </cfRule>
  </conditionalFormatting>
  <conditionalFormatting sqref="W11:W49">
    <cfRule type="expression" dxfId="22" priority="6" stopIfTrue="1">
      <formula>W11=0</formula>
    </cfRule>
  </conditionalFormatting>
  <conditionalFormatting sqref="G11:G49">
    <cfRule type="expression" dxfId="21" priority="3">
      <formula>G11="Unknown"</formula>
    </cfRule>
  </conditionalFormatting>
  <conditionalFormatting sqref="M11:M49">
    <cfRule type="expression" dxfId="20" priority="2">
      <formula>M11="ERROR"</formula>
    </cfRule>
  </conditionalFormatting>
  <conditionalFormatting sqref="G11:G49">
    <cfRule type="expression" dxfId="19" priority="1">
      <formula>G11="ERROR"</formula>
    </cfRule>
  </conditionalFormatting>
  <pageMargins left="0.2" right="0.2" top="0.25" bottom="1.1000000000000001" header="0.3" footer="0.05"/>
  <pageSetup paperSize="5" scale="84" fitToHeight="0" orientation="landscape" r:id="rId1"/>
  <headerFooter>
    <oddFooter>&amp;C&amp;G&amp;R&amp;P of &amp;N</oddFooter>
  </headerFooter>
  <legacyDrawingHF r:id="rId2"/>
  <extLst>
    <ext xmlns:x14="http://schemas.microsoft.com/office/spreadsheetml/2009/9/main" uri="{78C0D931-6437-407d-A8EE-F0AAD7539E65}">
      <x14:conditionalFormattings>
        <x14:conditionalFormatting xmlns:xm="http://schemas.microsoft.com/office/excel/2006/main">
          <x14:cfRule type="expression" priority="13" id="{130D47D4-76E0-44F0-B17D-5379A56DBA4F}">
            <xm:f>OR(AND(IF(ISERR(FIND("Remove",'Pipe Data'!$ES$2)),0,FIND("Remove",'Pipe Data'!$ES$2)),'Pipe Data'!$ES3="R"),AND(IF(ISERR(FIND("Remove",'Pipe Data'!$EU$2)),0,FIND("Remove",'Pipe Data'!$EU$2)),'Pipe Data'!$EU3="R"))</xm:f>
            <x14:dxf>
              <fill>
                <patternFill>
                  <bgColor rgb="FFFF0000"/>
                </patternFill>
              </fill>
            </x14:dxf>
          </x14:cfRule>
          <xm:sqref>A10:AC10</xm:sqref>
        </x14:conditionalFormatting>
        <x14:conditionalFormatting xmlns:xm="http://schemas.microsoft.com/office/excel/2006/main">
          <x14:cfRule type="expression" priority="12" id="{DA511699-0382-4066-AF64-F17FC89CDE53}">
            <xm:f>OR(AND(IF(ISERR(FIND("Remove",'Pipe Data'!$ES$2)),0,FIND("Remove",'Pipe Data'!$ES$2)),'Pipe Data'!$ES3="D"),AND(IF(ISERR(FIND("Remove",'Pipe Data'!$EU$2)),0,FIND("Remove",'Pipe Data'!$EU$2)),'Pipe Data'!$EU3="D"))</xm:f>
            <x14:dxf>
              <font>
                <strike/>
              </font>
              <fill>
                <patternFill>
                  <bgColor rgb="FFFF0000"/>
                </patternFill>
              </fill>
            </x14:dxf>
          </x14:cfRule>
          <xm:sqref>A10:AC10</xm:sqref>
        </x14:conditionalFormatting>
        <x14:conditionalFormatting xmlns:xm="http://schemas.microsoft.com/office/excel/2006/main">
          <x14:cfRule type="expression" priority="278" id="{130D47D4-76E0-44F0-B17D-5379A56DBA4F}">
            <xm:f>OR(AND(IF(ISERR(FIND("Remove",'Pipe Data'!$ES$2)),0,FIND("Remove",'Pipe Data'!$ES$2)),'Pipe Data'!#REF!="R"),AND(IF(ISERR(FIND("Remove",'Pipe Data'!$EU$2)),0,FIND("Remove",'Pipe Data'!$EU$2)),'Pipe Data'!#REF!="R"))</xm:f>
            <x14:dxf>
              <fill>
                <patternFill>
                  <bgColor rgb="FFFF0000"/>
                </patternFill>
              </fill>
            </x14:dxf>
          </x14:cfRule>
          <xm:sqref>A50:AC106</xm:sqref>
        </x14:conditionalFormatting>
        <x14:conditionalFormatting xmlns:xm="http://schemas.microsoft.com/office/excel/2006/main">
          <x14:cfRule type="expression" priority="282" id="{DA511699-0382-4066-AF64-F17FC89CDE53}">
            <xm:f>OR(AND(IF(ISERR(FIND("Remove",'Pipe Data'!$ES$2)),0,FIND("Remove",'Pipe Data'!$ES$2)),'Pipe Data'!#REF!="D"),AND(IF(ISERR(FIND("Remove",'Pipe Data'!$EU$2)),0,FIND("Remove",'Pipe Data'!$EU$2)),'Pipe Data'!#REF!="D"))</xm:f>
            <x14:dxf>
              <font>
                <strike/>
              </font>
              <fill>
                <patternFill>
                  <bgColor rgb="FFFF0000"/>
                </patternFill>
              </fill>
            </x14:dxf>
          </x14:cfRule>
          <xm:sqref>A50:AC106</xm:sqref>
        </x14:conditionalFormatting>
        <x14:conditionalFormatting xmlns:xm="http://schemas.microsoft.com/office/excel/2006/main">
          <x14:cfRule type="expression" priority="398" id="{130D47D4-76E0-44F0-B17D-5379A56DBA4F}">
            <xm:f>OR(AND(IF(ISERR(FIND("Remove",'Pipe Data'!$ES$2)),0,FIND("Remove",'Pipe Data'!$ES$2)),'Pipe Data'!#REF!="R"),AND(IF(ISERR(FIND("Remove",'Pipe Data'!$EU$2)),0,FIND("Remove",'Pipe Data'!$EU$2)),'Pipe Data'!#REF!="R"))</xm:f>
            <x14:dxf>
              <fill>
                <patternFill>
                  <bgColor rgb="FFFF0000"/>
                </patternFill>
              </fill>
            </x14:dxf>
          </x14:cfRule>
          <xm:sqref>A107:AC107</xm:sqref>
        </x14:conditionalFormatting>
        <x14:conditionalFormatting xmlns:xm="http://schemas.microsoft.com/office/excel/2006/main">
          <x14:cfRule type="expression" priority="400" id="{DA511699-0382-4066-AF64-F17FC89CDE53}">
            <xm:f>OR(AND(IF(ISERR(FIND("Remove",'Pipe Data'!$ES$2)),0,FIND("Remove",'Pipe Data'!$ES$2)),'Pipe Data'!#REF!="D"),AND(IF(ISERR(FIND("Remove",'Pipe Data'!$EU$2)),0,FIND("Remove",'Pipe Data'!$EU$2)),'Pipe Data'!#REF!="D"))</xm:f>
            <x14:dxf>
              <font>
                <strike/>
              </font>
              <fill>
                <patternFill>
                  <bgColor rgb="FFFF0000"/>
                </patternFill>
              </fill>
            </x14:dxf>
          </x14:cfRule>
          <xm:sqref>A107:AC107</xm:sqref>
        </x14:conditionalFormatting>
        <x14:conditionalFormatting xmlns:xm="http://schemas.microsoft.com/office/excel/2006/main">
          <x14:cfRule type="expression" priority="560" id="{130D47D4-76E0-44F0-B17D-5379A56DBA4F}">
            <xm:f>OR(AND(IF(ISERR(FIND("Remove",'Pipe Data'!$ES$2)),0,FIND("Remove",'Pipe Data'!$ES$2)),'Pipe Data'!#REF!="R"),AND(IF(ISERR(FIND("Remove",'Pipe Data'!$EU$2)),0,FIND("Remove",'Pipe Data'!$EU$2)),'Pipe Data'!#REF!="R"))</xm:f>
            <x14:dxf>
              <fill>
                <patternFill>
                  <bgColor rgb="FFFF0000"/>
                </patternFill>
              </fill>
            </x14:dxf>
          </x14:cfRule>
          <xm:sqref>A108:AC124</xm:sqref>
        </x14:conditionalFormatting>
        <x14:conditionalFormatting xmlns:xm="http://schemas.microsoft.com/office/excel/2006/main">
          <x14:cfRule type="expression" priority="564" id="{DA511699-0382-4066-AF64-F17FC89CDE53}">
            <xm:f>OR(AND(IF(ISERR(FIND("Remove",'Pipe Data'!$ES$2)),0,FIND("Remove",'Pipe Data'!$ES$2)),'Pipe Data'!#REF!="D"),AND(IF(ISERR(FIND("Remove",'Pipe Data'!$EU$2)),0,FIND("Remove",'Pipe Data'!$EU$2)),'Pipe Data'!#REF!="D"))</xm:f>
            <x14:dxf>
              <font>
                <strike/>
              </font>
              <fill>
                <patternFill>
                  <bgColor rgb="FFFF0000"/>
                </patternFill>
              </fill>
            </x14:dxf>
          </x14:cfRule>
          <xm:sqref>A108:AC124</xm:sqref>
        </x14:conditionalFormatting>
        <x14:conditionalFormatting xmlns:xm="http://schemas.microsoft.com/office/excel/2006/main">
          <x14:cfRule type="expression" priority="648" id="{130D47D4-76E0-44F0-B17D-5379A56DBA4F}">
            <xm:f>OR(AND(IF(ISERR(FIND("Remove",'Pipe Data'!$ES$2)),0,FIND("Remove",'Pipe Data'!$ES$2)),'Pipe Data'!#REF!="R"),AND(IF(ISERR(FIND("Remove",'Pipe Data'!$EU$2)),0,FIND("Remove",'Pipe Data'!$EU$2)),'Pipe Data'!#REF!="R"))</xm:f>
            <x14:dxf>
              <fill>
                <patternFill>
                  <bgColor rgb="FFFF0000"/>
                </patternFill>
              </fill>
            </x14:dxf>
          </x14:cfRule>
          <xm:sqref>A127:AC127</xm:sqref>
        </x14:conditionalFormatting>
        <x14:conditionalFormatting xmlns:xm="http://schemas.microsoft.com/office/excel/2006/main">
          <x14:cfRule type="expression" priority="652" id="{DA511699-0382-4066-AF64-F17FC89CDE53}">
            <xm:f>OR(AND(IF(ISERR(FIND("Remove",'Pipe Data'!$ES$2)),0,FIND("Remove",'Pipe Data'!$ES$2)),'Pipe Data'!#REF!="D"),AND(IF(ISERR(FIND("Remove",'Pipe Data'!$EU$2)),0,FIND("Remove",'Pipe Data'!$EU$2)),'Pipe Data'!#REF!="D"))</xm:f>
            <x14:dxf>
              <font>
                <strike/>
              </font>
              <fill>
                <patternFill>
                  <bgColor rgb="FFFF0000"/>
                </patternFill>
              </fill>
            </x14:dxf>
          </x14:cfRule>
          <xm:sqref>A127:AC127</xm:sqref>
        </x14:conditionalFormatting>
        <x14:conditionalFormatting xmlns:xm="http://schemas.microsoft.com/office/excel/2006/main">
          <x14:cfRule type="expression" priority="795" id="{130D47D4-76E0-44F0-B17D-5379A56DBA4F}">
            <xm:f>OR(AND(IF(ISERR(FIND("Remove",'Pipe Data'!$ES$2)),0,FIND("Remove",'Pipe Data'!$ES$2)),'Pipe Data'!#REF!="R"),AND(IF(ISERR(FIND("Remove",'Pipe Data'!$EU$2)),0,FIND("Remove",'Pipe Data'!$EU$2)),'Pipe Data'!#REF!="R"))</xm:f>
            <x14:dxf>
              <fill>
                <patternFill>
                  <bgColor rgb="FFFF0000"/>
                </patternFill>
              </fill>
            </x14:dxf>
          </x14:cfRule>
          <xm:sqref>A125:AC126</xm:sqref>
        </x14:conditionalFormatting>
        <x14:conditionalFormatting xmlns:xm="http://schemas.microsoft.com/office/excel/2006/main">
          <x14:cfRule type="expression" priority="796" id="{DA511699-0382-4066-AF64-F17FC89CDE53}">
            <xm:f>OR(AND(IF(ISERR(FIND("Remove",'Pipe Data'!$ES$2)),0,FIND("Remove",'Pipe Data'!$ES$2)),'Pipe Data'!#REF!="D"),AND(IF(ISERR(FIND("Remove",'Pipe Data'!$EU$2)),0,FIND("Remove",'Pipe Data'!$EU$2)),'Pipe Data'!#REF!="D"))</xm:f>
            <x14:dxf>
              <font>
                <strike/>
              </font>
              <fill>
                <patternFill>
                  <bgColor rgb="FFFF0000"/>
                </patternFill>
              </fill>
            </x14:dxf>
          </x14:cfRule>
          <xm:sqref>A125:AC126</xm:sqref>
        </x14:conditionalFormatting>
        <x14:conditionalFormatting xmlns:xm="http://schemas.microsoft.com/office/excel/2006/main">
          <x14:cfRule type="expression" priority="1036" id="{130D47D4-76E0-44F0-B17D-5379A56DBA4F}">
            <xm:f>OR(AND(IF(ISERR(FIND("Remove",'Pipe Data'!$ES$2)),0,FIND("Remove",'Pipe Data'!$ES$2)),'Pipe Data'!#REF!="R"),AND(IF(ISERR(FIND("Remove",'Pipe Data'!$EU$2)),0,FIND("Remove",'Pipe Data'!$EU$2)),'Pipe Data'!#REF!="R"))</xm:f>
            <x14:dxf>
              <fill>
                <patternFill>
                  <bgColor rgb="FFFF0000"/>
                </patternFill>
              </fill>
            </x14:dxf>
          </x14:cfRule>
          <xm:sqref>A128:AC128</xm:sqref>
        </x14:conditionalFormatting>
        <x14:conditionalFormatting xmlns:xm="http://schemas.microsoft.com/office/excel/2006/main">
          <x14:cfRule type="expression" priority="1037" id="{130D47D4-76E0-44F0-B17D-5379A56DBA4F}">
            <xm:f>OR(AND(IF(ISERR(FIND("Remove",'Pipe Data'!$ES$2)),0,FIND("Remove",'Pipe Data'!$ES$2)),'Pipe Data'!#REF!="R"),AND(IF(ISERR(FIND("Remove",'Pipe Data'!$EU$2)),0,FIND("Remove",'Pipe Data'!$EU$2)),'Pipe Data'!#REF!="R"))</xm:f>
            <x14:dxf>
              <fill>
                <patternFill>
                  <bgColor rgb="FFFF0000"/>
                </patternFill>
              </fill>
            </x14:dxf>
          </x14:cfRule>
          <xm:sqref>A129:AC509</xm:sqref>
        </x14:conditionalFormatting>
        <x14:conditionalFormatting xmlns:xm="http://schemas.microsoft.com/office/excel/2006/main">
          <x14:cfRule type="expression" priority="1038" id="{DA511699-0382-4066-AF64-F17FC89CDE53}">
            <xm:f>OR(AND(IF(ISERR(FIND("Remove",'Pipe Data'!$ES$2)),0,FIND("Remove",'Pipe Data'!$ES$2)),'Pipe Data'!#REF!="D"),AND(IF(ISERR(FIND("Remove",'Pipe Data'!$EU$2)),0,FIND("Remove",'Pipe Data'!$EU$2)),'Pipe Data'!#REF!="D"))</xm:f>
            <x14:dxf>
              <font>
                <strike/>
              </font>
              <fill>
                <patternFill>
                  <bgColor rgb="FFFF0000"/>
                </patternFill>
              </fill>
            </x14:dxf>
          </x14:cfRule>
          <xm:sqref>A128:AC128</xm:sqref>
        </x14:conditionalFormatting>
        <x14:conditionalFormatting xmlns:xm="http://schemas.microsoft.com/office/excel/2006/main">
          <x14:cfRule type="expression" priority="1039" id="{DA511699-0382-4066-AF64-F17FC89CDE53}">
            <xm:f>OR(AND(IF(ISERR(FIND("Remove",'Pipe Data'!$ES$2)),0,FIND("Remove",'Pipe Data'!$ES$2)),'Pipe Data'!#REF!="D"),AND(IF(ISERR(FIND("Remove",'Pipe Data'!$EU$2)),0,FIND("Remove",'Pipe Data'!$EU$2)),'Pipe Data'!#REF!="D"))</xm:f>
            <x14:dxf>
              <font>
                <strike/>
              </font>
              <fill>
                <patternFill>
                  <bgColor rgb="FFFF0000"/>
                </patternFill>
              </fill>
            </x14:dxf>
          </x14:cfRule>
          <xm:sqref>A129:AC503</xm:sqref>
        </x14:conditionalFormatting>
        <x14:conditionalFormatting xmlns:xm="http://schemas.microsoft.com/office/excel/2006/main">
          <x14:cfRule type="expression" priority="5" id="{08C668DD-D47A-4289-BE56-3992EF677E95}">
            <xm:f>OR(AND(IF(ISERR(FIND("Remove",'Pipe Data'!$ES$2)),0,FIND("Remove",'Pipe Data'!$ES$2)),'Pipe Data'!$ES4="R"),AND(IF(ISERR(FIND("Remove",'Pipe Data'!$EU$2)),0,FIND("Remove",'Pipe Data'!$EU$2)),'Pipe Data'!$EU4="R"))</xm:f>
            <x14:dxf>
              <fill>
                <patternFill>
                  <bgColor rgb="FFFF0000"/>
                </patternFill>
              </fill>
            </x14:dxf>
          </x14:cfRule>
          <xm:sqref>A11:AC49</xm:sqref>
        </x14:conditionalFormatting>
        <x14:conditionalFormatting xmlns:xm="http://schemas.microsoft.com/office/excel/2006/main">
          <x14:cfRule type="expression" priority="4" id="{E55CD714-8E80-484F-A808-C47C8170786F}">
            <xm:f>OR(AND(IF(ISERR(FIND("Remove",'Pipe Data'!$ES$2)),0,FIND("Remove",'Pipe Data'!$ES$2)),'Pipe Data'!$ES4="D"),AND(IF(ISERR(FIND("Remove",'Pipe Data'!$EU$2)),0,FIND("Remove",'Pipe Data'!$EU$2)),'Pipe Data'!$EU4="D"))</xm:f>
            <x14:dxf>
              <font>
                <strike/>
              </font>
              <fill>
                <patternFill>
                  <bgColor rgb="FFFF0000"/>
                </patternFill>
              </fill>
            </x14:dxf>
          </x14:cfRule>
          <xm:sqref>A11:AC49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pageSetUpPr fitToPage="1"/>
  </sheetPr>
  <dimension ref="A1:N49"/>
  <sheetViews>
    <sheetView zoomScale="85" zoomScaleNormal="85" zoomScaleSheetLayoutView="70" workbookViewId="0">
      <pane ySplit="1" topLeftCell="A2" activePane="bottomLeft" state="frozenSplit"/>
      <selection pane="bottomLeft" activeCell="H2" sqref="H2:H6"/>
    </sheetView>
  </sheetViews>
  <sheetFormatPr defaultColWidth="9.140625" defaultRowHeight="12.75" x14ac:dyDescent="0.2"/>
  <cols>
    <col min="1" max="1" width="10.5703125" style="837" customWidth="1"/>
    <col min="2" max="2" width="10.5703125" style="838" customWidth="1"/>
    <col min="3" max="3" width="10.5703125" style="839" customWidth="1"/>
    <col min="4" max="4" width="12.7109375" style="838" customWidth="1"/>
    <col min="5" max="7" width="16" style="840" customWidth="1"/>
    <col min="8" max="8" width="16.28515625" style="840" customWidth="1"/>
    <col min="9" max="10" width="19.140625" style="841" customWidth="1"/>
    <col min="11" max="11" width="72.5703125" style="843" customWidth="1"/>
    <col min="12" max="12" width="12.7109375" style="840" customWidth="1"/>
    <col min="13" max="13" width="12.5703125" style="837" customWidth="1"/>
    <col min="14" max="14" width="52" style="843" customWidth="1"/>
    <col min="15" max="16384" width="9.140625" style="843"/>
  </cols>
  <sheetData>
    <row r="1" spans="1:14" s="820" customFormat="1" ht="39" thickBot="1" x14ac:dyDescent="0.25">
      <c r="A1" s="811" t="s">
        <v>649</v>
      </c>
      <c r="B1" s="812" t="s">
        <v>2063</v>
      </c>
      <c r="C1" s="813" t="s">
        <v>2064</v>
      </c>
      <c r="D1" s="812" t="s">
        <v>2065</v>
      </c>
      <c r="E1" s="814" t="s">
        <v>2066</v>
      </c>
      <c r="F1" s="814" t="s">
        <v>2067</v>
      </c>
      <c r="G1" s="814" t="s">
        <v>2068</v>
      </c>
      <c r="H1" s="814" t="s">
        <v>2069</v>
      </c>
      <c r="I1" s="815" t="s">
        <v>489</v>
      </c>
      <c r="J1" s="815" t="s">
        <v>486</v>
      </c>
      <c r="K1" s="816" t="s">
        <v>2070</v>
      </c>
      <c r="L1" s="817" t="s">
        <v>2071</v>
      </c>
      <c r="M1" s="818" t="s">
        <v>2072</v>
      </c>
      <c r="N1" s="819" t="s">
        <v>2073</v>
      </c>
    </row>
    <row r="2" spans="1:14" s="829" customFormat="1" ht="24" customHeight="1" x14ac:dyDescent="0.2">
      <c r="A2" s="821">
        <v>41264</v>
      </c>
      <c r="B2" s="822"/>
      <c r="C2" s="823"/>
      <c r="D2" s="822" t="s">
        <v>2074</v>
      </c>
      <c r="E2" s="824" t="s">
        <v>1998</v>
      </c>
      <c r="F2" s="825" t="s">
        <v>13</v>
      </c>
      <c r="G2" s="825" t="s">
        <v>19</v>
      </c>
      <c r="H2" s="825" t="s">
        <v>2138</v>
      </c>
      <c r="I2" s="826" t="s">
        <v>778</v>
      </c>
      <c r="J2" s="826" t="s">
        <v>387</v>
      </c>
      <c r="K2" s="827"/>
      <c r="L2" s="825"/>
      <c r="M2" s="821"/>
      <c r="N2" s="828"/>
    </row>
    <row r="3" spans="1:14" s="829" customFormat="1" ht="24" customHeight="1" x14ac:dyDescent="0.2">
      <c r="A3" s="821">
        <v>41264</v>
      </c>
      <c r="B3" s="822"/>
      <c r="C3" s="823"/>
      <c r="D3" s="822"/>
      <c r="E3" s="824" t="s">
        <v>1998</v>
      </c>
      <c r="F3" s="825" t="s">
        <v>13</v>
      </c>
      <c r="G3" s="825" t="s">
        <v>19</v>
      </c>
      <c r="H3" s="825" t="s">
        <v>2138</v>
      </c>
      <c r="I3" s="830" t="s">
        <v>599</v>
      </c>
      <c r="J3" s="826" t="s">
        <v>604</v>
      </c>
      <c r="K3" s="831"/>
      <c r="L3" s="832"/>
      <c r="M3" s="833"/>
      <c r="N3" s="834"/>
    </row>
    <row r="4" spans="1:14" s="829" customFormat="1" ht="24" customHeight="1" x14ac:dyDescent="0.2">
      <c r="A4" s="821">
        <v>41264</v>
      </c>
      <c r="B4" s="822"/>
      <c r="C4" s="823"/>
      <c r="D4" s="822">
        <v>30</v>
      </c>
      <c r="E4" s="824" t="s">
        <v>1998</v>
      </c>
      <c r="F4" s="825" t="s">
        <v>13</v>
      </c>
      <c r="G4" s="825" t="s">
        <v>19</v>
      </c>
      <c r="H4" s="825" t="s">
        <v>2138</v>
      </c>
      <c r="I4" s="830" t="s">
        <v>780</v>
      </c>
      <c r="J4" s="826" t="s">
        <v>848</v>
      </c>
      <c r="K4" s="831"/>
      <c r="L4" s="832"/>
      <c r="M4" s="833"/>
      <c r="N4" s="834"/>
    </row>
    <row r="5" spans="1:14" s="829" customFormat="1" ht="24" customHeight="1" x14ac:dyDescent="0.2">
      <c r="A5" s="821">
        <v>41264</v>
      </c>
      <c r="B5" s="822"/>
      <c r="C5" s="823"/>
      <c r="D5" s="822"/>
      <c r="E5" s="824" t="s">
        <v>1998</v>
      </c>
      <c r="F5" s="825" t="s">
        <v>13</v>
      </c>
      <c r="G5" s="825" t="s">
        <v>19</v>
      </c>
      <c r="H5" s="825" t="s">
        <v>2138</v>
      </c>
      <c r="I5" s="830" t="s">
        <v>599</v>
      </c>
      <c r="J5" s="826"/>
      <c r="K5" s="831"/>
      <c r="L5" s="832"/>
      <c r="M5" s="833"/>
      <c r="N5" s="834"/>
    </row>
    <row r="6" spans="1:14" s="829" customFormat="1" ht="24" customHeight="1" x14ac:dyDescent="0.2">
      <c r="A6" s="821">
        <v>41264</v>
      </c>
      <c r="B6" s="822"/>
      <c r="C6" s="823"/>
      <c r="D6" s="822"/>
      <c r="E6" s="824" t="s">
        <v>1998</v>
      </c>
      <c r="F6" s="825" t="s">
        <v>13</v>
      </c>
      <c r="G6" s="825" t="s">
        <v>19</v>
      </c>
      <c r="H6" s="825" t="s">
        <v>2138</v>
      </c>
      <c r="I6" s="830" t="s">
        <v>599</v>
      </c>
      <c r="J6" s="826" t="s">
        <v>600</v>
      </c>
      <c r="K6" s="831"/>
      <c r="L6" s="832"/>
      <c r="M6" s="833"/>
      <c r="N6" s="834"/>
    </row>
    <row r="7" spans="1:14" s="829" customFormat="1" ht="24" customHeight="1" x14ac:dyDescent="0.2">
      <c r="A7" s="833"/>
      <c r="B7" s="835"/>
      <c r="C7" s="836"/>
      <c r="D7" s="835"/>
      <c r="E7" s="832"/>
      <c r="F7" s="832"/>
      <c r="G7" s="832"/>
      <c r="H7" s="832"/>
      <c r="I7" s="830"/>
      <c r="J7" s="826"/>
      <c r="K7" s="834"/>
      <c r="L7" s="832"/>
      <c r="M7" s="833"/>
      <c r="N7" s="834"/>
    </row>
    <row r="8" spans="1:14" s="829" customFormat="1" ht="24" customHeight="1" x14ac:dyDescent="0.2">
      <c r="A8" s="833"/>
      <c r="B8" s="835"/>
      <c r="C8" s="836"/>
      <c r="D8" s="835"/>
      <c r="E8" s="832"/>
      <c r="F8" s="832"/>
      <c r="G8" s="832"/>
      <c r="H8" s="832"/>
      <c r="I8" s="830"/>
      <c r="J8" s="826"/>
      <c r="K8" s="834"/>
      <c r="L8" s="832"/>
      <c r="M8" s="833"/>
      <c r="N8" s="834"/>
    </row>
    <row r="9" spans="1:14" s="829" customFormat="1" ht="24" customHeight="1" x14ac:dyDescent="0.2">
      <c r="A9" s="833"/>
      <c r="B9" s="835"/>
      <c r="C9" s="836"/>
      <c r="D9" s="835"/>
      <c r="E9" s="832"/>
      <c r="F9" s="832"/>
      <c r="G9" s="832"/>
      <c r="H9" s="832"/>
      <c r="I9" s="830"/>
      <c r="J9" s="826"/>
      <c r="K9" s="834"/>
      <c r="L9" s="832"/>
      <c r="M9" s="833"/>
      <c r="N9" s="834"/>
    </row>
    <row r="10" spans="1:14" s="829" customFormat="1" ht="24" customHeight="1" x14ac:dyDescent="0.2">
      <c r="A10" s="833"/>
      <c r="B10" s="835"/>
      <c r="C10" s="836"/>
      <c r="D10" s="835"/>
      <c r="E10" s="832"/>
      <c r="F10" s="832"/>
      <c r="G10" s="832"/>
      <c r="H10" s="832"/>
      <c r="I10" s="830"/>
      <c r="J10" s="826"/>
      <c r="K10" s="834"/>
      <c r="L10" s="832"/>
      <c r="M10" s="833"/>
      <c r="N10" s="834"/>
    </row>
    <row r="11" spans="1:14" s="829" customFormat="1" ht="24" customHeight="1" x14ac:dyDescent="0.2">
      <c r="A11" s="833"/>
      <c r="B11" s="835"/>
      <c r="C11" s="836"/>
      <c r="D11" s="835"/>
      <c r="E11" s="832"/>
      <c r="F11" s="832"/>
      <c r="G11" s="832"/>
      <c r="H11" s="832"/>
      <c r="I11" s="830"/>
      <c r="J11" s="826"/>
      <c r="K11" s="834"/>
      <c r="L11" s="832"/>
      <c r="M11" s="833"/>
      <c r="N11" s="834"/>
    </row>
    <row r="12" spans="1:14" s="829" customFormat="1" ht="24" customHeight="1" x14ac:dyDescent="0.2">
      <c r="A12" s="833"/>
      <c r="B12" s="835"/>
      <c r="C12" s="836"/>
      <c r="D12" s="835"/>
      <c r="E12" s="832"/>
      <c r="F12" s="832"/>
      <c r="G12" s="832"/>
      <c r="H12" s="832"/>
      <c r="I12" s="830"/>
      <c r="J12" s="826"/>
      <c r="K12" s="834"/>
      <c r="L12" s="832"/>
      <c r="M12" s="833"/>
      <c r="N12" s="834"/>
    </row>
    <row r="13" spans="1:14" s="829" customFormat="1" ht="24" customHeight="1" x14ac:dyDescent="0.2">
      <c r="A13" s="833"/>
      <c r="B13" s="835"/>
      <c r="C13" s="836"/>
      <c r="D13" s="835"/>
      <c r="E13" s="832"/>
      <c r="F13" s="832"/>
      <c r="G13" s="832"/>
      <c r="H13" s="832"/>
      <c r="I13" s="830"/>
      <c r="J13" s="826"/>
      <c r="K13" s="834"/>
      <c r="L13" s="832"/>
      <c r="M13" s="833"/>
      <c r="N13" s="834"/>
    </row>
    <row r="14" spans="1:14" s="829" customFormat="1" ht="24" customHeight="1" x14ac:dyDescent="0.2">
      <c r="A14" s="833"/>
      <c r="B14" s="835"/>
      <c r="C14" s="836"/>
      <c r="D14" s="835"/>
      <c r="E14" s="832"/>
      <c r="F14" s="832"/>
      <c r="G14" s="832"/>
      <c r="H14" s="832"/>
      <c r="I14" s="830"/>
      <c r="J14" s="826"/>
      <c r="K14" s="834"/>
      <c r="L14" s="832"/>
      <c r="M14" s="833"/>
      <c r="N14" s="834"/>
    </row>
    <row r="15" spans="1:14" s="829" customFormat="1" ht="24" customHeight="1" x14ac:dyDescent="0.2">
      <c r="A15" s="833"/>
      <c r="B15" s="835"/>
      <c r="C15" s="836"/>
      <c r="D15" s="835"/>
      <c r="E15" s="832"/>
      <c r="F15" s="832"/>
      <c r="G15" s="832"/>
      <c r="H15" s="832"/>
      <c r="I15" s="830"/>
      <c r="J15" s="826"/>
      <c r="K15" s="834"/>
      <c r="L15" s="832"/>
      <c r="M15" s="833"/>
      <c r="N15" s="834"/>
    </row>
    <row r="16" spans="1:14" s="829" customFormat="1" ht="24" customHeight="1" x14ac:dyDescent="0.2">
      <c r="A16" s="833"/>
      <c r="B16" s="835"/>
      <c r="C16" s="836"/>
      <c r="D16" s="835"/>
      <c r="E16" s="832"/>
      <c r="F16" s="832"/>
      <c r="G16" s="832"/>
      <c r="H16" s="832"/>
      <c r="I16" s="830"/>
      <c r="J16" s="826"/>
      <c r="K16" s="834"/>
      <c r="L16" s="832"/>
      <c r="M16" s="833"/>
      <c r="N16" s="834"/>
    </row>
    <row r="17" spans="1:14" s="829" customFormat="1" ht="24" customHeight="1" x14ac:dyDescent="0.2">
      <c r="A17" s="833"/>
      <c r="B17" s="835"/>
      <c r="C17" s="836"/>
      <c r="D17" s="835"/>
      <c r="E17" s="832"/>
      <c r="F17" s="832"/>
      <c r="G17" s="832"/>
      <c r="H17" s="832"/>
      <c r="I17" s="830"/>
      <c r="J17" s="826"/>
      <c r="K17" s="834"/>
      <c r="L17" s="832"/>
      <c r="M17" s="833"/>
      <c r="N17" s="834"/>
    </row>
    <row r="18" spans="1:14" s="829" customFormat="1" ht="24" customHeight="1" x14ac:dyDescent="0.2">
      <c r="A18" s="833"/>
      <c r="B18" s="835"/>
      <c r="C18" s="836"/>
      <c r="D18" s="835"/>
      <c r="E18" s="832"/>
      <c r="F18" s="832"/>
      <c r="G18" s="832"/>
      <c r="H18" s="832"/>
      <c r="I18" s="830"/>
      <c r="J18" s="826"/>
      <c r="K18" s="834"/>
      <c r="L18" s="832"/>
      <c r="M18" s="833"/>
      <c r="N18" s="834"/>
    </row>
    <row r="19" spans="1:14" s="829" customFormat="1" ht="24" customHeight="1" x14ac:dyDescent="0.2">
      <c r="A19" s="833"/>
      <c r="B19" s="835"/>
      <c r="C19" s="836"/>
      <c r="D19" s="835"/>
      <c r="E19" s="832"/>
      <c r="F19" s="832"/>
      <c r="G19" s="832"/>
      <c r="H19" s="832"/>
      <c r="I19" s="830"/>
      <c r="J19" s="826"/>
      <c r="K19" s="834"/>
      <c r="L19" s="832"/>
      <c r="M19" s="833"/>
      <c r="N19" s="834"/>
    </row>
    <row r="20" spans="1:14" s="829" customFormat="1" ht="24" customHeight="1" x14ac:dyDescent="0.2">
      <c r="A20" s="833"/>
      <c r="B20" s="835"/>
      <c r="C20" s="836"/>
      <c r="D20" s="835"/>
      <c r="E20" s="832"/>
      <c r="F20" s="832"/>
      <c r="G20" s="832"/>
      <c r="H20" s="832"/>
      <c r="I20" s="830"/>
      <c r="J20" s="826"/>
      <c r="K20" s="834"/>
      <c r="L20" s="832"/>
      <c r="M20" s="833"/>
      <c r="N20" s="834"/>
    </row>
    <row r="21" spans="1:14" s="829" customFormat="1" ht="24" customHeight="1" x14ac:dyDescent="0.2">
      <c r="A21" s="833"/>
      <c r="B21" s="835"/>
      <c r="C21" s="836"/>
      <c r="D21" s="835"/>
      <c r="E21" s="832"/>
      <c r="F21" s="832"/>
      <c r="G21" s="832"/>
      <c r="H21" s="832"/>
      <c r="I21" s="830"/>
      <c r="J21" s="826"/>
      <c r="K21" s="834"/>
      <c r="L21" s="832"/>
      <c r="M21" s="833"/>
      <c r="N21" s="834"/>
    </row>
    <row r="22" spans="1:14" s="829" customFormat="1" ht="24" customHeight="1" x14ac:dyDescent="0.2">
      <c r="A22" s="833"/>
      <c r="B22" s="835"/>
      <c r="C22" s="836"/>
      <c r="D22" s="835"/>
      <c r="E22" s="832"/>
      <c r="F22" s="832"/>
      <c r="G22" s="832"/>
      <c r="H22" s="832"/>
      <c r="I22" s="830"/>
      <c r="J22" s="826"/>
      <c r="K22" s="834"/>
      <c r="L22" s="832"/>
      <c r="M22" s="833"/>
      <c r="N22" s="834"/>
    </row>
    <row r="23" spans="1:14" s="829" customFormat="1" ht="24" customHeight="1" x14ac:dyDescent="0.2">
      <c r="A23" s="833"/>
      <c r="B23" s="835"/>
      <c r="C23" s="836"/>
      <c r="D23" s="835"/>
      <c r="E23" s="832"/>
      <c r="F23" s="832"/>
      <c r="G23" s="832"/>
      <c r="H23" s="832"/>
      <c r="I23" s="830"/>
      <c r="J23" s="830"/>
      <c r="K23" s="834"/>
      <c r="L23" s="832"/>
      <c r="M23" s="833"/>
      <c r="N23" s="834"/>
    </row>
    <row r="24" spans="1:14" x14ac:dyDescent="0.2">
      <c r="J24" s="842"/>
    </row>
    <row r="25" spans="1:14" x14ac:dyDescent="0.2">
      <c r="J25" s="842"/>
    </row>
    <row r="26" spans="1:14" x14ac:dyDescent="0.2">
      <c r="J26" s="842"/>
    </row>
    <row r="27" spans="1:14" x14ac:dyDescent="0.2">
      <c r="J27" s="842"/>
    </row>
    <row r="28" spans="1:14" x14ac:dyDescent="0.2">
      <c r="J28" s="842"/>
    </row>
    <row r="29" spans="1:14" x14ac:dyDescent="0.2">
      <c r="J29" s="842"/>
    </row>
    <row r="30" spans="1:14" x14ac:dyDescent="0.2">
      <c r="J30" s="842"/>
    </row>
    <row r="31" spans="1:14" x14ac:dyDescent="0.2">
      <c r="J31" s="842"/>
    </row>
    <row r="32" spans="1:14" x14ac:dyDescent="0.2">
      <c r="J32" s="842"/>
    </row>
    <row r="33" spans="10:10" x14ac:dyDescent="0.2">
      <c r="J33" s="842"/>
    </row>
    <row r="34" spans="10:10" x14ac:dyDescent="0.2">
      <c r="J34" s="842"/>
    </row>
    <row r="35" spans="10:10" x14ac:dyDescent="0.2">
      <c r="J35" s="842"/>
    </row>
    <row r="36" spans="10:10" x14ac:dyDescent="0.2">
      <c r="J36" s="842"/>
    </row>
    <row r="37" spans="10:10" x14ac:dyDescent="0.2">
      <c r="J37" s="842"/>
    </row>
    <row r="38" spans="10:10" x14ac:dyDescent="0.2">
      <c r="J38" s="842"/>
    </row>
    <row r="39" spans="10:10" x14ac:dyDescent="0.2">
      <c r="J39" s="842"/>
    </row>
    <row r="40" spans="10:10" x14ac:dyDescent="0.2">
      <c r="J40" s="842"/>
    </row>
    <row r="41" spans="10:10" x14ac:dyDescent="0.2">
      <c r="J41" s="842"/>
    </row>
    <row r="42" spans="10:10" x14ac:dyDescent="0.2">
      <c r="J42" s="842"/>
    </row>
    <row r="43" spans="10:10" x14ac:dyDescent="0.2">
      <c r="J43" s="842"/>
    </row>
    <row r="44" spans="10:10" x14ac:dyDescent="0.2">
      <c r="J44" s="842"/>
    </row>
    <row r="45" spans="10:10" x14ac:dyDescent="0.2">
      <c r="J45" s="842"/>
    </row>
    <row r="46" spans="10:10" x14ac:dyDescent="0.2">
      <c r="J46" s="842"/>
    </row>
    <row r="47" spans="10:10" x14ac:dyDescent="0.2">
      <c r="J47" s="842"/>
    </row>
    <row r="48" spans="10:10" x14ac:dyDescent="0.2">
      <c r="J48" s="842"/>
    </row>
    <row r="49" spans="10:10" x14ac:dyDescent="0.2">
      <c r="J49" s="842"/>
    </row>
  </sheetData>
  <sheetProtection sheet="1" formatCells="0" formatColumns="0" formatRows="0" insertRows="0" insertHyperlinks="0" deleteRows="0" sort="0" autoFilter="0" pivotTables="0"/>
  <dataValidations count="8">
    <dataValidation type="list" allowBlank="1" showInputMessage="1" showErrorMessage="1" sqref="J2:J49">
      <formula1>INDIRECT(SUBSTITUTE(I2," ", ""))</formula1>
    </dataValidation>
    <dataValidation type="list" allowBlank="1" showInputMessage="1" showErrorMessage="1" sqref="G2:G1048576">
      <formula1>ProcessSteps</formula1>
    </dataValidation>
    <dataValidation type="list" allowBlank="1" showInputMessage="1" showErrorMessage="1" sqref="H2:H1048576">
      <formula1>OrgAssignedList</formula1>
    </dataValidation>
    <dataValidation type="list" allowBlank="1" showInputMessage="1" showErrorMessage="1" sqref="F2:F1048576">
      <formula1>OrganizationList</formula1>
    </dataValidation>
    <dataValidation type="decimal" allowBlank="1" showInputMessage="1" showErrorMessage="1" sqref="C2:C1048576">
      <formula1>0</formula1>
      <formula2>999999</formula2>
    </dataValidation>
    <dataValidation type="date" allowBlank="1" showInputMessage="1" showErrorMessage="1" sqref="M2:M1048576 A2:A1048576">
      <formula1>40544</formula1>
      <formula2>44196</formula2>
    </dataValidation>
    <dataValidation type="list" allowBlank="1" showInputMessage="1" showErrorMessage="1" sqref="I2:I1048576">
      <formula1>CategoryPFLIssues</formula1>
    </dataValidation>
    <dataValidation type="list" allowBlank="1" showInputMessage="1" showErrorMessage="1" sqref="J50:J65535">
      <formula1>INDIRECT(SUBSTITUTE(I51," ", ""))</formula1>
    </dataValidation>
  </dataValidations>
  <printOptions horizontalCentered="1"/>
  <pageMargins left="0.5" right="0.5" top="1" bottom="1" header="0.5" footer="0.5"/>
  <pageSetup paperSize="119" scale="45" fitToHeight="0" orientation="landscape" r:id="rId1"/>
  <headerFooter alignWithMargins="0">
    <oddHeader xml:space="preserve">&amp;C&amp;"Arial,Bold"&amp;A&amp;"Arial,Regular" </oddHeader>
    <oddFooter>&amp;C&amp;F&amp;RPage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70C0"/>
  </sheetPr>
  <dimension ref="A1:Q47"/>
  <sheetViews>
    <sheetView workbookViewId="0">
      <selection activeCell="K5" sqref="K5"/>
    </sheetView>
  </sheetViews>
  <sheetFormatPr defaultColWidth="9.140625" defaultRowHeight="12.75" x14ac:dyDescent="0.2"/>
  <cols>
    <col min="1" max="1" width="2.140625" style="443" customWidth="1"/>
    <col min="2" max="2" width="23.5703125" style="443" customWidth="1"/>
    <col min="3" max="3" width="34.7109375" style="458" customWidth="1"/>
    <col min="4" max="5" width="2.140625" style="461" customWidth="1"/>
    <col min="6" max="6" width="22.7109375" style="495" customWidth="1"/>
    <col min="7" max="8" width="2.140625" style="461" customWidth="1"/>
    <col min="9" max="9" width="34.7109375" style="458" customWidth="1"/>
    <col min="10" max="10" width="4.140625" style="443" customWidth="1"/>
    <col min="11" max="16384" width="9.140625" style="443"/>
  </cols>
  <sheetData>
    <row r="1" spans="1:10" ht="16.5" thickBot="1" x14ac:dyDescent="0.3">
      <c r="A1" s="875" t="s">
        <v>869</v>
      </c>
      <c r="B1" s="876"/>
      <c r="C1" s="876"/>
      <c r="D1" s="877"/>
      <c r="E1" s="442"/>
      <c r="F1" s="488" t="s">
        <v>868</v>
      </c>
      <c r="G1" s="442"/>
      <c r="H1" s="442"/>
      <c r="I1" s="533" t="s">
        <v>1582</v>
      </c>
    </row>
    <row r="2" spans="1:10" x14ac:dyDescent="0.2">
      <c r="A2" s="476"/>
      <c r="B2" s="483" t="s">
        <v>136</v>
      </c>
      <c r="C2" s="444"/>
      <c r="D2" s="479"/>
      <c r="E2" s="442"/>
      <c r="F2" s="489"/>
      <c r="G2" s="442"/>
      <c r="H2" s="442"/>
      <c r="I2" s="530"/>
    </row>
    <row r="3" spans="1:10" ht="13.5" thickBot="1" x14ac:dyDescent="0.25">
      <c r="A3" s="476"/>
      <c r="B3" s="484" t="s">
        <v>137</v>
      </c>
      <c r="C3" s="446"/>
      <c r="D3" s="479"/>
      <c r="E3" s="442"/>
      <c r="F3" s="490"/>
      <c r="G3" s="442"/>
      <c r="H3" s="442"/>
      <c r="I3" s="530"/>
    </row>
    <row r="4" spans="1:10" ht="13.5" thickBot="1" x14ac:dyDescent="0.25">
      <c r="A4" s="476"/>
      <c r="B4" s="477" t="s">
        <v>138</v>
      </c>
      <c r="C4" s="478" t="str">
        <f>unnamedbranch(C2,C3)</f>
        <v/>
      </c>
      <c r="D4" s="479"/>
      <c r="E4" s="442"/>
      <c r="F4" s="490"/>
      <c r="G4" s="442"/>
      <c r="H4" s="442"/>
      <c r="I4" s="530"/>
    </row>
    <row r="5" spans="1:10" ht="13.5" thickBot="1" x14ac:dyDescent="0.25">
      <c r="A5" s="476"/>
      <c r="B5" s="485"/>
      <c r="C5" s="485"/>
      <c r="D5" s="479"/>
      <c r="E5" s="442"/>
      <c r="F5" s="491"/>
      <c r="G5" s="442"/>
      <c r="H5" s="442"/>
      <c r="I5" s="530"/>
    </row>
    <row r="6" spans="1:10" x14ac:dyDescent="0.2">
      <c r="A6" s="476"/>
      <c r="B6" s="483" t="s">
        <v>1416</v>
      </c>
      <c r="C6" s="444"/>
      <c r="D6" s="479"/>
      <c r="E6" s="447"/>
      <c r="F6" s="491"/>
      <c r="G6" s="442"/>
      <c r="H6" s="448"/>
      <c r="I6" s="531"/>
    </row>
    <row r="7" spans="1:10" x14ac:dyDescent="0.2">
      <c r="A7" s="476"/>
      <c r="B7" s="486" t="s">
        <v>1417</v>
      </c>
      <c r="C7" s="449"/>
      <c r="D7" s="479"/>
      <c r="E7" s="442"/>
      <c r="F7" s="491"/>
      <c r="G7" s="448"/>
      <c r="H7" s="448"/>
      <c r="I7" s="531"/>
    </row>
    <row r="8" spans="1:10" x14ac:dyDescent="0.2">
      <c r="A8" s="476"/>
      <c r="B8" s="487" t="s">
        <v>1418</v>
      </c>
      <c r="C8" s="449"/>
      <c r="D8" s="479"/>
      <c r="E8" s="442"/>
      <c r="F8" s="492"/>
      <c r="G8" s="442"/>
      <c r="H8" s="442"/>
      <c r="I8" s="532"/>
    </row>
    <row r="9" spans="1:10" x14ac:dyDescent="0.2">
      <c r="A9" s="476"/>
      <c r="B9" s="486" t="s">
        <v>1419</v>
      </c>
      <c r="C9" s="446"/>
      <c r="D9" s="479"/>
      <c r="E9" s="442"/>
      <c r="F9" s="443"/>
      <c r="G9" s="442"/>
      <c r="H9" s="442"/>
      <c r="I9" s="445" t="s">
        <v>1360</v>
      </c>
    </row>
    <row r="10" spans="1:10" ht="13.5" thickBot="1" x14ac:dyDescent="0.25">
      <c r="A10" s="476"/>
      <c r="B10" s="484" t="s">
        <v>1420</v>
      </c>
      <c r="C10" s="450"/>
      <c r="D10" s="479"/>
      <c r="E10" s="442"/>
      <c r="F10" s="443"/>
      <c r="G10" s="442"/>
      <c r="H10" s="442"/>
      <c r="I10" s="445" t="s">
        <v>1362</v>
      </c>
    </row>
    <row r="11" spans="1:10" ht="13.5" thickBot="1" x14ac:dyDescent="0.25">
      <c r="A11" s="476"/>
      <c r="B11" s="477" t="s">
        <v>1421</v>
      </c>
      <c r="C11" s="478" t="str">
        <f>workbookname(C6,C7,C8,C9,C10)</f>
        <v/>
      </c>
      <c r="D11" s="479"/>
      <c r="E11" s="442"/>
      <c r="F11" s="443"/>
      <c r="G11" s="442"/>
      <c r="H11" s="442"/>
      <c r="I11" s="445" t="s">
        <v>1363</v>
      </c>
    </row>
    <row r="12" spans="1:10" x14ac:dyDescent="0.2">
      <c r="A12" s="480"/>
      <c r="B12" s="481"/>
      <c r="C12" s="481"/>
      <c r="D12" s="482"/>
      <c r="E12" s="451"/>
      <c r="F12" s="443"/>
      <c r="G12" s="442"/>
      <c r="H12" s="442"/>
      <c r="I12" s="445" t="s">
        <v>1361</v>
      </c>
    </row>
    <row r="13" spans="1:10" x14ac:dyDescent="0.2">
      <c r="C13" s="452"/>
      <c r="D13" s="451"/>
      <c r="E13" s="451"/>
      <c r="F13" s="443"/>
      <c r="G13" s="442"/>
      <c r="H13" s="442"/>
      <c r="I13" s="443"/>
    </row>
    <row r="14" spans="1:10" ht="15.75" x14ac:dyDescent="0.25">
      <c r="A14" s="878" t="s">
        <v>870</v>
      </c>
      <c r="B14" s="879"/>
      <c r="C14" s="462"/>
      <c r="D14" s="463"/>
      <c r="E14" s="463"/>
      <c r="F14" s="462"/>
      <c r="G14" s="463"/>
      <c r="H14" s="463"/>
      <c r="I14" s="464"/>
      <c r="J14" s="453"/>
    </row>
    <row r="15" spans="1:10" ht="15" x14ac:dyDescent="0.25">
      <c r="A15" s="473"/>
      <c r="B15" s="474" t="s">
        <v>867</v>
      </c>
      <c r="C15" s="465"/>
      <c r="D15" s="466"/>
      <c r="E15" s="466"/>
      <c r="F15" s="465"/>
      <c r="G15" s="466"/>
      <c r="H15" s="466"/>
      <c r="I15" s="467"/>
      <c r="J15" s="453"/>
    </row>
    <row r="16" spans="1:10" ht="18.75" x14ac:dyDescent="0.3">
      <c r="A16" s="473"/>
      <c r="B16" s="454"/>
      <c r="C16" s="465"/>
      <c r="D16" s="466"/>
      <c r="E16" s="466"/>
      <c r="F16" s="465"/>
      <c r="G16" s="466"/>
      <c r="H16" s="466"/>
      <c r="I16" s="467"/>
      <c r="J16" s="453"/>
    </row>
    <row r="17" spans="1:17" x14ac:dyDescent="0.2">
      <c r="A17" s="473"/>
      <c r="B17" s="465"/>
      <c r="C17" s="465"/>
      <c r="D17" s="466"/>
      <c r="E17" s="466"/>
      <c r="F17" s="465"/>
      <c r="G17" s="466"/>
      <c r="H17" s="466"/>
      <c r="I17" s="467"/>
      <c r="J17" s="453"/>
    </row>
    <row r="18" spans="1:17" x14ac:dyDescent="0.2">
      <c r="A18" s="475"/>
      <c r="B18" s="468"/>
      <c r="C18" s="468"/>
      <c r="D18" s="469"/>
      <c r="E18" s="469"/>
      <c r="F18" s="468"/>
      <c r="G18" s="469"/>
      <c r="H18" s="469"/>
      <c r="I18" s="470"/>
      <c r="J18" s="453"/>
    </row>
    <row r="19" spans="1:17" ht="15" x14ac:dyDescent="0.25">
      <c r="C19" s="493" t="s">
        <v>865</v>
      </c>
      <c r="D19" s="471"/>
      <c r="E19" s="472"/>
      <c r="F19" s="496" t="s">
        <v>934</v>
      </c>
      <c r="G19" s="472"/>
      <c r="H19" s="471"/>
      <c r="I19" s="494" t="s">
        <v>866</v>
      </c>
    </row>
    <row r="20" spans="1:17" x14ac:dyDescent="0.2">
      <c r="C20" s="455"/>
      <c r="D20" s="456"/>
      <c r="E20" s="456"/>
      <c r="F20" s="497"/>
      <c r="G20" s="456"/>
      <c r="H20" s="456"/>
      <c r="I20" s="455"/>
    </row>
    <row r="21" spans="1:17" x14ac:dyDescent="0.2">
      <c r="D21" s="456"/>
      <c r="E21" s="456"/>
      <c r="F21" s="497"/>
      <c r="G21" s="456"/>
      <c r="H21" s="456"/>
      <c r="I21" s="455"/>
    </row>
    <row r="22" spans="1:17" ht="15" x14ac:dyDescent="0.25">
      <c r="D22" s="456"/>
      <c r="E22" s="456"/>
      <c r="F22" s="497"/>
      <c r="G22" s="456"/>
      <c r="H22" s="456"/>
      <c r="I22" s="455"/>
      <c r="J22" s="459"/>
    </row>
    <row r="23" spans="1:17" x14ac:dyDescent="0.2">
      <c r="D23" s="456"/>
      <c r="E23" s="456"/>
      <c r="F23" s="497"/>
      <c r="G23" s="456"/>
      <c r="H23" s="456"/>
      <c r="I23" s="457"/>
      <c r="J23" s="460"/>
    </row>
    <row r="24" spans="1:17" x14ac:dyDescent="0.2">
      <c r="D24" s="456"/>
      <c r="E24" s="456"/>
      <c r="F24" s="497"/>
      <c r="G24" s="456"/>
      <c r="H24" s="456"/>
      <c r="I24" s="457"/>
      <c r="J24" s="460"/>
      <c r="K24" s="460"/>
    </row>
    <row r="25" spans="1:17" x14ac:dyDescent="0.2">
      <c r="D25" s="456"/>
      <c r="E25" s="456"/>
      <c r="F25" s="497"/>
      <c r="G25" s="456"/>
      <c r="H25" s="456"/>
      <c r="I25" s="457"/>
      <c r="J25" s="460"/>
      <c r="K25" s="460"/>
    </row>
    <row r="26" spans="1:17" x14ac:dyDescent="0.2">
      <c r="D26" s="456"/>
      <c r="E26" s="456"/>
      <c r="F26" s="497"/>
      <c r="G26" s="456"/>
      <c r="H26" s="456"/>
      <c r="I26" s="457"/>
      <c r="J26" s="460"/>
      <c r="K26" s="460"/>
    </row>
    <row r="27" spans="1:17" x14ac:dyDescent="0.2">
      <c r="D27" s="456"/>
      <c r="E27" s="456"/>
      <c r="F27" s="497"/>
      <c r="G27" s="456"/>
      <c r="H27" s="456"/>
      <c r="I27" s="457"/>
      <c r="J27" s="460"/>
      <c r="K27" s="460"/>
      <c r="Q27" s="445"/>
    </row>
    <row r="28" spans="1:17" x14ac:dyDescent="0.2">
      <c r="D28" s="456"/>
      <c r="E28" s="456"/>
      <c r="F28" s="497"/>
      <c r="G28" s="456"/>
      <c r="H28" s="456"/>
      <c r="I28" s="457"/>
      <c r="J28" s="460"/>
      <c r="K28" s="460"/>
    </row>
    <row r="29" spans="1:17" x14ac:dyDescent="0.2">
      <c r="D29" s="456"/>
      <c r="E29" s="456"/>
      <c r="F29" s="497"/>
      <c r="G29" s="456"/>
      <c r="H29" s="456"/>
      <c r="I29" s="457"/>
      <c r="J29" s="460"/>
      <c r="K29" s="460"/>
    </row>
    <row r="30" spans="1:17" x14ac:dyDescent="0.2">
      <c r="D30" s="456"/>
      <c r="E30" s="456"/>
      <c r="F30" s="497"/>
      <c r="G30" s="456"/>
      <c r="H30" s="456"/>
      <c r="I30" s="457"/>
      <c r="J30" s="460"/>
      <c r="K30" s="460"/>
    </row>
    <row r="31" spans="1:17" x14ac:dyDescent="0.2">
      <c r="D31" s="456"/>
      <c r="E31" s="456"/>
      <c r="F31" s="497"/>
      <c r="G31" s="456"/>
      <c r="H31" s="456"/>
      <c r="I31" s="457"/>
      <c r="J31" s="460"/>
      <c r="K31" s="460"/>
    </row>
    <row r="32" spans="1:17" x14ac:dyDescent="0.2">
      <c r="D32" s="456"/>
      <c r="E32" s="456"/>
      <c r="F32" s="497"/>
      <c r="G32" s="456"/>
      <c r="H32" s="456"/>
      <c r="I32" s="457"/>
      <c r="J32" s="460"/>
      <c r="K32" s="460"/>
    </row>
    <row r="33" spans="4:11" x14ac:dyDescent="0.2">
      <c r="D33" s="456"/>
      <c r="E33" s="456"/>
      <c r="F33" s="497"/>
      <c r="G33" s="456"/>
      <c r="H33" s="456"/>
      <c r="I33" s="457"/>
      <c r="J33" s="460"/>
      <c r="K33" s="460"/>
    </row>
    <row r="34" spans="4:11" x14ac:dyDescent="0.2">
      <c r="D34" s="456"/>
      <c r="E34" s="456"/>
      <c r="F34" s="497"/>
      <c r="G34" s="456"/>
      <c r="H34" s="456"/>
      <c r="I34" s="457"/>
      <c r="J34" s="460"/>
      <c r="K34" s="460"/>
    </row>
    <row r="35" spans="4:11" x14ac:dyDescent="0.2">
      <c r="D35" s="456"/>
      <c r="E35" s="456"/>
      <c r="F35" s="497"/>
      <c r="G35" s="456"/>
      <c r="H35" s="456"/>
      <c r="I35" s="457"/>
      <c r="J35" s="460"/>
      <c r="K35" s="460"/>
    </row>
    <row r="36" spans="4:11" x14ac:dyDescent="0.2">
      <c r="D36" s="456"/>
      <c r="E36" s="456"/>
      <c r="F36" s="497"/>
      <c r="G36" s="456"/>
      <c r="H36" s="456"/>
      <c r="I36" s="457"/>
      <c r="J36" s="460"/>
      <c r="K36" s="460"/>
    </row>
    <row r="37" spans="4:11" x14ac:dyDescent="0.2">
      <c r="D37" s="456"/>
      <c r="E37" s="456"/>
      <c r="F37" s="497"/>
      <c r="G37" s="456"/>
      <c r="H37" s="456"/>
      <c r="I37" s="457"/>
      <c r="J37" s="460"/>
      <c r="K37" s="460"/>
    </row>
    <row r="38" spans="4:11" x14ac:dyDescent="0.2">
      <c r="D38" s="456"/>
      <c r="E38" s="456"/>
      <c r="F38" s="497"/>
      <c r="G38" s="456"/>
      <c r="H38" s="456"/>
      <c r="I38" s="457"/>
      <c r="J38" s="460"/>
      <c r="K38" s="460"/>
    </row>
    <row r="39" spans="4:11" x14ac:dyDescent="0.2">
      <c r="D39" s="456"/>
      <c r="E39" s="456"/>
      <c r="F39" s="497"/>
      <c r="G39" s="456"/>
      <c r="H39" s="456"/>
      <c r="I39" s="457"/>
      <c r="J39" s="460"/>
      <c r="K39" s="460"/>
    </row>
    <row r="40" spans="4:11" x14ac:dyDescent="0.2">
      <c r="D40" s="456"/>
      <c r="E40" s="456"/>
      <c r="F40" s="497"/>
      <c r="G40" s="456"/>
      <c r="H40" s="456"/>
      <c r="I40" s="457"/>
      <c r="J40" s="460"/>
      <c r="K40" s="460"/>
    </row>
    <row r="41" spans="4:11" x14ac:dyDescent="0.2">
      <c r="D41" s="456"/>
      <c r="E41" s="456"/>
      <c r="F41" s="497"/>
      <c r="G41" s="456"/>
      <c r="H41" s="456"/>
      <c r="I41" s="457"/>
      <c r="J41" s="460"/>
      <c r="K41" s="460"/>
    </row>
    <row r="42" spans="4:11" x14ac:dyDescent="0.2">
      <c r="D42" s="456"/>
      <c r="E42" s="456"/>
      <c r="F42" s="497"/>
      <c r="G42" s="456"/>
      <c r="H42" s="456"/>
      <c r="I42" s="457"/>
      <c r="J42" s="460"/>
      <c r="K42" s="460"/>
    </row>
    <row r="43" spans="4:11" x14ac:dyDescent="0.2">
      <c r="D43" s="456"/>
      <c r="E43" s="456"/>
      <c r="F43" s="497"/>
      <c r="G43" s="456"/>
      <c r="H43" s="456"/>
      <c r="I43" s="457"/>
      <c r="J43" s="460"/>
      <c r="K43" s="460"/>
    </row>
    <row r="44" spans="4:11" x14ac:dyDescent="0.2">
      <c r="D44" s="456"/>
      <c r="E44" s="456"/>
      <c r="F44" s="497"/>
      <c r="G44" s="456"/>
      <c r="H44" s="456"/>
      <c r="I44" s="457"/>
      <c r="J44" s="460"/>
      <c r="K44" s="460"/>
    </row>
    <row r="45" spans="4:11" x14ac:dyDescent="0.2">
      <c r="J45" s="460"/>
      <c r="K45" s="460"/>
    </row>
    <row r="46" spans="4:11" x14ac:dyDescent="0.2">
      <c r="J46" s="460"/>
      <c r="K46" s="460"/>
    </row>
    <row r="47" spans="4:11" x14ac:dyDescent="0.2">
      <c r="J47" s="460"/>
      <c r="K47" s="460"/>
    </row>
  </sheetData>
  <sheetProtection formatCells="0" insertHyperlinks="0" sort="0" autoFilter="0" pivotTables="0"/>
  <mergeCells count="2">
    <mergeCell ref="A1:D1"/>
    <mergeCell ref="A14:B14"/>
  </mergeCells>
  <phoneticPr fontId="0" type="noConversion"/>
  <conditionalFormatting sqref="F20:F987">
    <cfRule type="cellIs" dxfId="0" priority="1" operator="equal">
      <formula>"MISSING"</formula>
    </cfRule>
  </conditionalFormatting>
  <dataValidations count="1">
    <dataValidation type="list" allowBlank="1" showInputMessage="1" showErrorMessage="1" sqref="C2">
      <formula1>BranchType</formula1>
    </dataValidation>
  </dataValidations>
  <pageMargins left="0.7" right="0.7" top="0.75" bottom="0.75" header="0.3" footer="0.3"/>
  <pageSetup orientation="portrait" r:id="rId1"/>
  <headerFooter>
    <oddHeader>&amp;A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validationClick">
                <anchor moveWithCells="1" sizeWithCells="1">
                  <from>
                    <xdr:col>5</xdr:col>
                    <xdr:colOff>152400</xdr:colOff>
                    <xdr:row>1</xdr:row>
                    <xdr:rowOff>123825</xdr:rowOff>
                  </from>
                  <to>
                    <xdr:col>5</xdr:col>
                    <xdr:colOff>1704975</xdr:colOff>
                    <xdr:row>4</xdr:row>
                    <xdr:rowOff>76200</xdr:rowOff>
                  </to>
                </anchor>
              </controlPr>
            </control>
          </mc:Choice>
        </mc:AlternateContent>
        <mc:AlternateContent xmlns:mc="http://schemas.openxmlformats.org/markup-compatibility/2006">
          <mc:Choice Requires="x14">
            <control shapeId="13321" r:id="rId5" name="Button 9">
              <controlPr defaultSize="0" print="0" autoFill="0" autoPict="0" macro="[0]!imageCheck_Click">
                <anchor moveWithCells="1" sizeWithCells="1">
                  <from>
                    <xdr:col>2</xdr:col>
                    <xdr:colOff>314325</xdr:colOff>
                    <xdr:row>13</xdr:row>
                    <xdr:rowOff>104775</xdr:rowOff>
                  </from>
                  <to>
                    <xdr:col>2</xdr:col>
                    <xdr:colOff>2847975</xdr:colOff>
                    <xdr:row>15</xdr:row>
                    <xdr:rowOff>57150</xdr:rowOff>
                  </to>
                </anchor>
              </controlPr>
            </control>
          </mc:Choice>
        </mc:AlternateContent>
        <mc:AlternateContent xmlns:mc="http://schemas.openxmlformats.org/markup-compatibility/2006">
          <mc:Choice Requires="x14">
            <control shapeId="13322" r:id="rId6" name="Button 10">
              <controlPr defaultSize="0" print="0" autoFill="0" autoPict="0" macro="[0]!ClearFile_Click">
                <anchor moveWithCells="1" sizeWithCells="1">
                  <from>
                    <xdr:col>2</xdr:col>
                    <xdr:colOff>323850</xdr:colOff>
                    <xdr:row>15</xdr:row>
                    <xdr:rowOff>180975</xdr:rowOff>
                  </from>
                  <to>
                    <xdr:col>2</xdr:col>
                    <xdr:colOff>2838450</xdr:colOff>
                    <xdr:row>16</xdr:row>
                    <xdr:rowOff>180975</xdr:rowOff>
                  </to>
                </anchor>
              </controlPr>
            </control>
          </mc:Choice>
        </mc:AlternateContent>
        <mc:AlternateContent xmlns:mc="http://schemas.openxmlformats.org/markup-compatibility/2006">
          <mc:Choice Requires="x14">
            <control shapeId="13346" r:id="rId7" name="Button 34">
              <controlPr defaultSize="0" print="0" autoFill="0" autoPict="0" macro="[0]!dataValidation_Click">
                <anchor moveWithCells="1" sizeWithCells="1">
                  <from>
                    <xdr:col>5</xdr:col>
                    <xdr:colOff>152400</xdr:colOff>
                    <xdr:row>1</xdr:row>
                    <xdr:rowOff>123825</xdr:rowOff>
                  </from>
                  <to>
                    <xdr:col>5</xdr:col>
                    <xdr:colOff>1704975</xdr:colOff>
                    <xdr:row>4</xdr:row>
                    <xdr:rowOff>76200</xdr:rowOff>
                  </to>
                </anchor>
              </controlPr>
            </control>
          </mc:Choice>
        </mc:AlternateContent>
        <mc:AlternateContent xmlns:mc="http://schemas.openxmlformats.org/markup-compatibility/2006">
          <mc:Choice Requires="x14">
            <control shapeId="13347" r:id="rId8" name="Button 35">
              <controlPr defaultSize="0" print="0" autoFill="0" autoPict="0" macro="[0]!validClean_Click">
                <anchor moveWithCells="1" sizeWithCells="1">
                  <from>
                    <xdr:col>5</xdr:col>
                    <xdr:colOff>171450</xdr:colOff>
                    <xdr:row>5</xdr:row>
                    <xdr:rowOff>0</xdr:rowOff>
                  </from>
                  <to>
                    <xdr:col>5</xdr:col>
                    <xdr:colOff>1666875</xdr:colOff>
                    <xdr:row>7</xdr:row>
                    <xdr:rowOff>28575</xdr:rowOff>
                  </to>
                </anchor>
              </controlPr>
            </control>
          </mc:Choice>
        </mc:AlternateContent>
        <mc:AlternateContent xmlns:mc="http://schemas.openxmlformats.org/markup-compatibility/2006">
          <mc:Choice Requires="x14">
            <control shapeId="13350" r:id="rId9" name="Button 38">
              <controlPr defaultSize="0" print="0" autoFill="0" autoPict="0" macro="[0]!AddImageLinks">
                <anchor moveWithCells="1" sizeWithCells="1">
                  <from>
                    <xdr:col>8</xdr:col>
                    <xdr:colOff>152400</xdr:colOff>
                    <xdr:row>1</xdr:row>
                    <xdr:rowOff>123825</xdr:rowOff>
                  </from>
                  <to>
                    <xdr:col>8</xdr:col>
                    <xdr:colOff>1704975</xdr:colOff>
                    <xdr:row>4</xdr:row>
                    <xdr:rowOff>76200</xdr:rowOff>
                  </to>
                </anchor>
              </controlPr>
            </control>
          </mc:Choice>
        </mc:AlternateContent>
        <mc:AlternateContent xmlns:mc="http://schemas.openxmlformats.org/markup-compatibility/2006">
          <mc:Choice Requires="x14">
            <control shapeId="13352" r:id="rId10" name="Button 40">
              <controlPr defaultSize="0" print="0" autoFill="0" autoPict="0" macro="[0]!RemoveImageLinks">
                <anchor moveWithCells="1" sizeWithCells="1">
                  <from>
                    <xdr:col>8</xdr:col>
                    <xdr:colOff>171450</xdr:colOff>
                    <xdr:row>5</xdr:row>
                    <xdr:rowOff>0</xdr:rowOff>
                  </from>
                  <to>
                    <xdr:col>8</xdr:col>
                    <xdr:colOff>1666875</xdr:colOff>
                    <xdr:row>7</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C000"/>
    <pageSetUpPr fitToPage="1"/>
  </sheetPr>
  <dimension ref="A1:D64"/>
  <sheetViews>
    <sheetView workbookViewId="0">
      <pane ySplit="7" topLeftCell="A8" activePane="bottomLeft" state="frozen"/>
      <selection pane="bottomLeft" activeCell="D12" sqref="D12"/>
    </sheetView>
  </sheetViews>
  <sheetFormatPr defaultColWidth="47.28515625" defaultRowHeight="29.25" customHeight="1" x14ac:dyDescent="0.2"/>
  <cols>
    <col min="1" max="3" width="7.140625" style="511" customWidth="1"/>
    <col min="4" max="4" width="137.140625" style="511" bestFit="1" customWidth="1"/>
    <col min="5" max="16384" width="47.28515625" style="511"/>
  </cols>
  <sheetData>
    <row r="1" spans="1:4" ht="18" customHeight="1" thickBot="1" x14ac:dyDescent="0.25">
      <c r="A1" s="880" t="s">
        <v>1528</v>
      </c>
      <c r="B1" s="881"/>
      <c r="C1" s="881"/>
      <c r="D1" s="882"/>
    </row>
    <row r="2" spans="1:4" ht="13.5" thickBot="1" x14ac:dyDescent="0.25">
      <c r="A2" s="883" t="s">
        <v>1583</v>
      </c>
      <c r="B2" s="883"/>
      <c r="C2" s="883"/>
      <c r="D2" s="514" t="s">
        <v>1529</v>
      </c>
    </row>
    <row r="3" spans="1:4" ht="12.75" x14ac:dyDescent="0.2">
      <c r="A3" s="515"/>
      <c r="B3" s="512"/>
      <c r="C3" s="513" t="s">
        <v>1527</v>
      </c>
      <c r="D3" s="516">
        <f>COUNTIF(A8:A54,TRUE)</f>
        <v>0</v>
      </c>
    </row>
    <row r="4" spans="1:4" ht="12.75" x14ac:dyDescent="0.2">
      <c r="A4" s="515"/>
      <c r="B4" s="512"/>
      <c r="C4" s="513" t="s">
        <v>1533</v>
      </c>
      <c r="D4" s="509">
        <f>COUNTIF(B8:B54,TRUE)</f>
        <v>0</v>
      </c>
    </row>
    <row r="5" spans="1:4" ht="13.5" thickBot="1" x14ac:dyDescent="0.25">
      <c r="A5" s="515"/>
      <c r="B5" s="512"/>
      <c r="C5" s="513" t="s">
        <v>1534</v>
      </c>
      <c r="D5" s="510">
        <f>COUNTIF(C8:C54,TRUE)</f>
        <v>0</v>
      </c>
    </row>
    <row r="6" spans="1:4" ht="7.5" customHeight="1" thickBot="1" x14ac:dyDescent="0.25">
      <c r="A6" s="515"/>
      <c r="B6" s="515"/>
      <c r="C6" s="515"/>
      <c r="D6" s="517"/>
    </row>
    <row r="7" spans="1:4" ht="29.25" customHeight="1" thickBot="1" x14ac:dyDescent="0.25">
      <c r="A7" s="380" t="s">
        <v>1518</v>
      </c>
      <c r="B7" s="381" t="s">
        <v>110</v>
      </c>
      <c r="C7" s="382" t="s">
        <v>1519</v>
      </c>
      <c r="D7" s="542" t="s">
        <v>1520</v>
      </c>
    </row>
    <row r="8" spans="1:4" ht="38.25" customHeight="1" thickBot="1" x14ac:dyDescent="0.25">
      <c r="A8" s="502" t="b">
        <v>0</v>
      </c>
      <c r="B8" s="502" t="b">
        <v>0</v>
      </c>
      <c r="C8" s="503" t="b">
        <v>0</v>
      </c>
      <c r="D8" s="540" t="s">
        <v>1584</v>
      </c>
    </row>
    <row r="9" spans="1:4" ht="38.25" customHeight="1" thickBot="1" x14ac:dyDescent="0.25">
      <c r="A9" s="502" t="b">
        <v>0</v>
      </c>
      <c r="B9" s="502" t="b">
        <v>0</v>
      </c>
      <c r="C9" s="503" t="b">
        <v>0</v>
      </c>
      <c r="D9" s="541" t="s">
        <v>1585</v>
      </c>
    </row>
    <row r="10" spans="1:4" ht="38.25" customHeight="1" thickBot="1" x14ac:dyDescent="0.25">
      <c r="A10" s="502" t="b">
        <v>0</v>
      </c>
      <c r="B10" s="502" t="b">
        <v>0</v>
      </c>
      <c r="C10" s="503" t="b">
        <v>0</v>
      </c>
      <c r="D10" s="541" t="s">
        <v>1586</v>
      </c>
    </row>
    <row r="11" spans="1:4" ht="38.25" customHeight="1" thickBot="1" x14ac:dyDescent="0.25">
      <c r="A11" s="502" t="b">
        <v>0</v>
      </c>
      <c r="B11" s="502" t="b">
        <v>0</v>
      </c>
      <c r="C11" s="503" t="b">
        <v>0</v>
      </c>
      <c r="D11" s="541" t="s">
        <v>1587</v>
      </c>
    </row>
    <row r="12" spans="1:4" ht="38.25" customHeight="1" thickBot="1" x14ac:dyDescent="0.25">
      <c r="A12" s="502" t="b">
        <v>0</v>
      </c>
      <c r="B12" s="502" t="b">
        <v>0</v>
      </c>
      <c r="C12" s="503" t="b">
        <v>0</v>
      </c>
      <c r="D12" s="541" t="s">
        <v>1588</v>
      </c>
    </row>
    <row r="13" spans="1:4" ht="38.25" customHeight="1" thickBot="1" x14ac:dyDescent="0.25">
      <c r="A13" s="502" t="b">
        <v>0</v>
      </c>
      <c r="B13" s="502" t="b">
        <v>0</v>
      </c>
      <c r="C13" s="503" t="b">
        <v>0</v>
      </c>
      <c r="D13" s="541" t="s">
        <v>1589</v>
      </c>
    </row>
    <row r="14" spans="1:4" ht="38.25" customHeight="1" thickBot="1" x14ac:dyDescent="0.25">
      <c r="A14" s="502" t="b">
        <v>0</v>
      </c>
      <c r="B14" s="502" t="b">
        <v>0</v>
      </c>
      <c r="C14" s="503" t="b">
        <v>0</v>
      </c>
      <c r="D14" s="541" t="s">
        <v>1590</v>
      </c>
    </row>
    <row r="15" spans="1:4" ht="38.25" customHeight="1" thickBot="1" x14ac:dyDescent="0.25">
      <c r="A15" s="502" t="b">
        <v>0</v>
      </c>
      <c r="B15" s="502" t="b">
        <v>0</v>
      </c>
      <c r="C15" s="503" t="b">
        <v>0</v>
      </c>
      <c r="D15" s="543" t="s">
        <v>1591</v>
      </c>
    </row>
    <row r="16" spans="1:4" ht="38.25" customHeight="1" thickBot="1" x14ac:dyDescent="0.25">
      <c r="A16" s="504"/>
      <c r="B16" s="505"/>
      <c r="C16" s="506"/>
      <c r="D16" s="542" t="s">
        <v>1521</v>
      </c>
    </row>
    <row r="17" spans="1:4" ht="38.25" customHeight="1" thickBot="1" x14ac:dyDescent="0.25">
      <c r="A17" s="502" t="b">
        <v>0</v>
      </c>
      <c r="B17" s="502" t="b">
        <v>0</v>
      </c>
      <c r="C17" s="503" t="b">
        <v>0</v>
      </c>
      <c r="D17" s="540" t="s">
        <v>1592</v>
      </c>
    </row>
    <row r="18" spans="1:4" ht="38.25" customHeight="1" thickBot="1" x14ac:dyDescent="0.25">
      <c r="A18" s="502" t="b">
        <v>0</v>
      </c>
      <c r="B18" s="502" t="b">
        <v>0</v>
      </c>
      <c r="C18" s="503" t="b">
        <v>0</v>
      </c>
      <c r="D18" s="541" t="s">
        <v>1593</v>
      </c>
    </row>
    <row r="19" spans="1:4" ht="38.25" customHeight="1" thickBot="1" x14ac:dyDescent="0.25">
      <c r="A19" s="502" t="b">
        <v>0</v>
      </c>
      <c r="B19" s="502" t="b">
        <v>0</v>
      </c>
      <c r="C19" s="503" t="b">
        <v>0</v>
      </c>
      <c r="D19" s="541" t="s">
        <v>1594</v>
      </c>
    </row>
    <row r="20" spans="1:4" ht="38.25" customHeight="1" thickBot="1" x14ac:dyDescent="0.25">
      <c r="A20" s="502" t="b">
        <v>0</v>
      </c>
      <c r="B20" s="502" t="b">
        <v>0</v>
      </c>
      <c r="C20" s="503" t="b">
        <v>0</v>
      </c>
      <c r="D20" s="541" t="s">
        <v>1595</v>
      </c>
    </row>
    <row r="21" spans="1:4" ht="38.25" customHeight="1" thickBot="1" x14ac:dyDescent="0.25">
      <c r="A21" s="502" t="b">
        <v>0</v>
      </c>
      <c r="B21" s="502" t="b">
        <v>0</v>
      </c>
      <c r="C21" s="503" t="b">
        <v>0</v>
      </c>
      <c r="D21" s="541" t="s">
        <v>1596</v>
      </c>
    </row>
    <row r="22" spans="1:4" ht="38.25" customHeight="1" thickBot="1" x14ac:dyDescent="0.25">
      <c r="A22" s="502" t="b">
        <v>0</v>
      </c>
      <c r="B22" s="502" t="b">
        <v>0</v>
      </c>
      <c r="C22" s="503" t="b">
        <v>0</v>
      </c>
      <c r="D22" s="541" t="s">
        <v>1597</v>
      </c>
    </row>
    <row r="23" spans="1:4" ht="38.25" customHeight="1" thickBot="1" x14ac:dyDescent="0.25">
      <c r="A23" s="502" t="b">
        <v>0</v>
      </c>
      <c r="B23" s="502" t="b">
        <v>0</v>
      </c>
      <c r="C23" s="503" t="b">
        <v>0</v>
      </c>
      <c r="D23" s="541" t="s">
        <v>1598</v>
      </c>
    </row>
    <row r="24" spans="1:4" ht="38.25" customHeight="1" thickBot="1" x14ac:dyDescent="0.25">
      <c r="A24" s="502" t="b">
        <v>0</v>
      </c>
      <c r="B24" s="502" t="b">
        <v>0</v>
      </c>
      <c r="C24" s="503" t="b">
        <v>0</v>
      </c>
      <c r="D24" s="541" t="s">
        <v>1599</v>
      </c>
    </row>
    <row r="25" spans="1:4" ht="38.25" customHeight="1" thickBot="1" x14ac:dyDescent="0.25">
      <c r="A25" s="502" t="b">
        <v>0</v>
      </c>
      <c r="B25" s="502" t="b">
        <v>0</v>
      </c>
      <c r="C25" s="503" t="b">
        <v>0</v>
      </c>
      <c r="D25" s="541" t="s">
        <v>1600</v>
      </c>
    </row>
    <row r="26" spans="1:4" ht="38.25" customHeight="1" thickBot="1" x14ac:dyDescent="0.25">
      <c r="A26" s="502" t="b">
        <v>0</v>
      </c>
      <c r="B26" s="502" t="b">
        <v>0</v>
      </c>
      <c r="C26" s="503" t="b">
        <v>0</v>
      </c>
      <c r="D26" s="543" t="s">
        <v>1601</v>
      </c>
    </row>
    <row r="27" spans="1:4" ht="38.25" customHeight="1" thickBot="1" x14ac:dyDescent="0.25">
      <c r="A27" s="504"/>
      <c r="B27" s="505"/>
      <c r="C27" s="506"/>
      <c r="D27" s="542" t="s">
        <v>196</v>
      </c>
    </row>
    <row r="28" spans="1:4" ht="38.25" customHeight="1" thickBot="1" x14ac:dyDescent="0.25">
      <c r="A28" s="502" t="b">
        <v>0</v>
      </c>
      <c r="B28" s="502" t="b">
        <v>0</v>
      </c>
      <c r="C28" s="503" t="b">
        <v>0</v>
      </c>
      <c r="D28" s="540" t="s">
        <v>1602</v>
      </c>
    </row>
    <row r="29" spans="1:4" ht="38.25" customHeight="1" thickBot="1" x14ac:dyDescent="0.25">
      <c r="A29" s="502" t="b">
        <v>0</v>
      </c>
      <c r="B29" s="502" t="b">
        <v>0</v>
      </c>
      <c r="C29" s="503" t="b">
        <v>0</v>
      </c>
      <c r="D29" s="541" t="s">
        <v>1603</v>
      </c>
    </row>
    <row r="30" spans="1:4" ht="38.25" customHeight="1" thickBot="1" x14ac:dyDescent="0.25">
      <c r="A30" s="502" t="b">
        <v>0</v>
      </c>
      <c r="B30" s="502" t="b">
        <v>0</v>
      </c>
      <c r="C30" s="503" t="b">
        <v>0</v>
      </c>
      <c r="D30" s="541" t="s">
        <v>1604</v>
      </c>
    </row>
    <row r="31" spans="1:4" ht="38.25" customHeight="1" thickBot="1" x14ac:dyDescent="0.25">
      <c r="A31" s="502" t="b">
        <v>0</v>
      </c>
      <c r="B31" s="502" t="b">
        <v>0</v>
      </c>
      <c r="C31" s="503" t="b">
        <v>0</v>
      </c>
      <c r="D31" s="541" t="s">
        <v>1605</v>
      </c>
    </row>
    <row r="32" spans="1:4" ht="38.25" customHeight="1" thickBot="1" x14ac:dyDescent="0.25">
      <c r="A32" s="502" t="b">
        <v>0</v>
      </c>
      <c r="B32" s="502" t="b">
        <v>0</v>
      </c>
      <c r="C32" s="503" t="b">
        <v>0</v>
      </c>
      <c r="D32" s="541" t="s">
        <v>1606</v>
      </c>
    </row>
    <row r="33" spans="1:4" ht="38.25" customHeight="1" thickBot="1" x14ac:dyDescent="0.25">
      <c r="A33" s="502" t="b">
        <v>0</v>
      </c>
      <c r="B33" s="502" t="b">
        <v>0</v>
      </c>
      <c r="C33" s="503" t="b">
        <v>0</v>
      </c>
      <c r="D33" s="541" t="s">
        <v>1607</v>
      </c>
    </row>
    <row r="34" spans="1:4" ht="38.25" customHeight="1" thickBot="1" x14ac:dyDescent="0.25">
      <c r="A34" s="502" t="b">
        <v>0</v>
      </c>
      <c r="B34" s="502" t="b">
        <v>0</v>
      </c>
      <c r="C34" s="503" t="b">
        <v>0</v>
      </c>
      <c r="D34" s="541" t="s">
        <v>1608</v>
      </c>
    </row>
    <row r="35" spans="1:4" ht="38.25" customHeight="1" thickBot="1" x14ac:dyDescent="0.25">
      <c r="A35" s="502" t="b">
        <v>0</v>
      </c>
      <c r="B35" s="502" t="b">
        <v>0</v>
      </c>
      <c r="C35" s="503" t="b">
        <v>0</v>
      </c>
      <c r="D35" s="541" t="s">
        <v>1609</v>
      </c>
    </row>
    <row r="36" spans="1:4" ht="38.25" customHeight="1" thickBot="1" x14ac:dyDescent="0.25">
      <c r="A36" s="502" t="b">
        <v>0</v>
      </c>
      <c r="B36" s="502" t="b">
        <v>0</v>
      </c>
      <c r="C36" s="503" t="b">
        <v>0</v>
      </c>
      <c r="D36" s="541" t="s">
        <v>1610</v>
      </c>
    </row>
    <row r="37" spans="1:4" ht="38.25" customHeight="1" thickBot="1" x14ac:dyDescent="0.25">
      <c r="A37" s="502" t="b">
        <v>0</v>
      </c>
      <c r="B37" s="502" t="b">
        <v>0</v>
      </c>
      <c r="C37" s="503" t="b">
        <v>0</v>
      </c>
      <c r="D37" s="543" t="s">
        <v>1611</v>
      </c>
    </row>
    <row r="38" spans="1:4" ht="38.25" customHeight="1" thickBot="1" x14ac:dyDescent="0.25">
      <c r="A38" s="504"/>
      <c r="B38" s="505"/>
      <c r="C38" s="506"/>
      <c r="D38" s="542" t="s">
        <v>782</v>
      </c>
    </row>
    <row r="39" spans="1:4" ht="38.25" customHeight="1" thickBot="1" x14ac:dyDescent="0.25">
      <c r="A39" s="502" t="b">
        <v>0</v>
      </c>
      <c r="B39" s="502" t="b">
        <v>0</v>
      </c>
      <c r="C39" s="503" t="b">
        <v>0</v>
      </c>
      <c r="D39" s="540" t="s">
        <v>1612</v>
      </c>
    </row>
    <row r="40" spans="1:4" ht="38.25" customHeight="1" thickBot="1" x14ac:dyDescent="0.25">
      <c r="A40" s="502" t="b">
        <v>0</v>
      </c>
      <c r="B40" s="502" t="b">
        <v>0</v>
      </c>
      <c r="C40" s="503" t="b">
        <v>0</v>
      </c>
      <c r="D40" s="541" t="s">
        <v>1613</v>
      </c>
    </row>
    <row r="41" spans="1:4" ht="38.25" customHeight="1" thickBot="1" x14ac:dyDescent="0.25">
      <c r="A41" s="502" t="b">
        <v>0</v>
      </c>
      <c r="B41" s="502" t="b">
        <v>0</v>
      </c>
      <c r="C41" s="503" t="b">
        <v>0</v>
      </c>
      <c r="D41" s="541" t="s">
        <v>1614</v>
      </c>
    </row>
    <row r="42" spans="1:4" ht="38.25" customHeight="1" thickBot="1" x14ac:dyDescent="0.25">
      <c r="A42" s="502" t="b">
        <v>0</v>
      </c>
      <c r="B42" s="502" t="b">
        <v>0</v>
      </c>
      <c r="C42" s="503" t="b">
        <v>0</v>
      </c>
      <c r="D42" s="541" t="s">
        <v>1615</v>
      </c>
    </row>
    <row r="43" spans="1:4" ht="38.25" customHeight="1" thickBot="1" x14ac:dyDescent="0.25">
      <c r="A43" s="502" t="b">
        <v>0</v>
      </c>
      <c r="B43" s="502" t="b">
        <v>0</v>
      </c>
      <c r="C43" s="503" t="b">
        <v>0</v>
      </c>
      <c r="D43" s="541" t="s">
        <v>1616</v>
      </c>
    </row>
    <row r="44" spans="1:4" ht="38.25" customHeight="1" thickBot="1" x14ac:dyDescent="0.25">
      <c r="A44" s="502" t="b">
        <v>0</v>
      </c>
      <c r="B44" s="502" t="b">
        <v>0</v>
      </c>
      <c r="C44" s="503" t="b">
        <v>0</v>
      </c>
      <c r="D44" s="541" t="s">
        <v>2087</v>
      </c>
    </row>
    <row r="45" spans="1:4" ht="38.25" customHeight="1" thickBot="1" x14ac:dyDescent="0.25">
      <c r="A45" s="502" t="b">
        <v>0</v>
      </c>
      <c r="B45" s="502" t="b">
        <v>0</v>
      </c>
      <c r="C45" s="503" t="b">
        <v>0</v>
      </c>
      <c r="D45" s="543" t="s">
        <v>1617</v>
      </c>
    </row>
    <row r="46" spans="1:4" ht="38.25" customHeight="1" thickBot="1" x14ac:dyDescent="0.25">
      <c r="A46" s="504"/>
      <c r="B46" s="505"/>
      <c r="C46" s="506"/>
      <c r="D46" s="542" t="s">
        <v>1522</v>
      </c>
    </row>
    <row r="47" spans="1:4" ht="38.25" customHeight="1" thickBot="1" x14ac:dyDescent="0.25">
      <c r="A47" s="502" t="b">
        <v>0</v>
      </c>
      <c r="B47" s="502" t="b">
        <v>0</v>
      </c>
      <c r="C47" s="503" t="b">
        <v>0</v>
      </c>
      <c r="D47" s="540" t="s">
        <v>1618</v>
      </c>
    </row>
    <row r="48" spans="1:4" ht="38.25" customHeight="1" thickBot="1" x14ac:dyDescent="0.25">
      <c r="A48" s="502" t="b">
        <v>0</v>
      </c>
      <c r="B48" s="502" t="b">
        <v>0</v>
      </c>
      <c r="C48" s="503" t="b">
        <v>0</v>
      </c>
      <c r="D48" s="541" t="s">
        <v>1619</v>
      </c>
    </row>
    <row r="49" spans="1:4" ht="38.25" customHeight="1" thickBot="1" x14ac:dyDescent="0.25">
      <c r="A49" s="502" t="b">
        <v>0</v>
      </c>
      <c r="B49" s="502" t="b">
        <v>0</v>
      </c>
      <c r="C49" s="503" t="b">
        <v>0</v>
      </c>
      <c r="D49" s="541" t="s">
        <v>1620</v>
      </c>
    </row>
    <row r="50" spans="1:4" ht="38.25" customHeight="1" thickBot="1" x14ac:dyDescent="0.25">
      <c r="A50" s="502" t="b">
        <v>0</v>
      </c>
      <c r="B50" s="502" t="b">
        <v>0</v>
      </c>
      <c r="C50" s="503" t="b">
        <v>0</v>
      </c>
      <c r="D50" s="541" t="s">
        <v>1621</v>
      </c>
    </row>
    <row r="51" spans="1:4" ht="38.25" customHeight="1" thickBot="1" x14ac:dyDescent="0.25">
      <c r="A51" s="502" t="b">
        <v>0</v>
      </c>
      <c r="B51" s="507" t="b">
        <v>0</v>
      </c>
      <c r="C51" s="508" t="b">
        <v>0</v>
      </c>
      <c r="D51" s="543" t="s">
        <v>1622</v>
      </c>
    </row>
    <row r="52" spans="1:4" ht="38.25" customHeight="1" thickBot="1" x14ac:dyDescent="0.25">
      <c r="A52" s="504"/>
      <c r="B52" s="505"/>
      <c r="C52" s="506"/>
      <c r="D52" s="542" t="s">
        <v>1623</v>
      </c>
    </row>
    <row r="53" spans="1:4" ht="38.25" customHeight="1" thickBot="1" x14ac:dyDescent="0.25">
      <c r="A53" s="502" t="b">
        <v>0</v>
      </c>
      <c r="B53" s="507" t="b">
        <v>0</v>
      </c>
      <c r="C53" s="508" t="b">
        <v>0</v>
      </c>
      <c r="D53" s="540" t="s">
        <v>1624</v>
      </c>
    </row>
    <row r="54" spans="1:4" ht="38.25" customHeight="1" thickBot="1" x14ac:dyDescent="0.25">
      <c r="A54" s="502" t="b">
        <v>0</v>
      </c>
      <c r="B54" s="502" t="b">
        <v>0</v>
      </c>
      <c r="C54" s="503" t="b">
        <v>0</v>
      </c>
      <c r="D54" s="544" t="s">
        <v>1625</v>
      </c>
    </row>
    <row r="55" spans="1:4" ht="12.75" x14ac:dyDescent="0.2"/>
    <row r="56" spans="1:4" ht="15" x14ac:dyDescent="0.2">
      <c r="C56" s="536"/>
      <c r="D56" s="537" t="s">
        <v>1626</v>
      </c>
    </row>
    <row r="57" spans="1:4" ht="38.25" x14ac:dyDescent="0.2">
      <c r="C57" s="539" t="s">
        <v>1627</v>
      </c>
      <c r="D57" s="538" t="s">
        <v>1628</v>
      </c>
    </row>
    <row r="58" spans="1:4" ht="38.25" x14ac:dyDescent="0.2">
      <c r="C58" s="539" t="s">
        <v>1629</v>
      </c>
      <c r="D58" s="538" t="s">
        <v>1630</v>
      </c>
    </row>
    <row r="59" spans="1:4" ht="25.5" x14ac:dyDescent="0.2">
      <c r="C59" s="539" t="s">
        <v>1631</v>
      </c>
      <c r="D59" s="538" t="s">
        <v>1632</v>
      </c>
    </row>
    <row r="60" spans="1:4" ht="25.5" x14ac:dyDescent="0.2">
      <c r="C60" s="539" t="s">
        <v>1633</v>
      </c>
      <c r="D60" s="538" t="s">
        <v>1634</v>
      </c>
    </row>
    <row r="61" spans="1:4" ht="25.5" x14ac:dyDescent="0.2">
      <c r="C61" s="539" t="s">
        <v>1635</v>
      </c>
      <c r="D61" s="538" t="s">
        <v>1636</v>
      </c>
    </row>
    <row r="62" spans="1:4" ht="25.5" x14ac:dyDescent="0.2">
      <c r="C62" s="539" t="s">
        <v>1637</v>
      </c>
      <c r="D62" s="538" t="s">
        <v>1638</v>
      </c>
    </row>
    <row r="63" spans="1:4" ht="15" x14ac:dyDescent="0.2">
      <c r="C63" s="539" t="s">
        <v>1639</v>
      </c>
      <c r="D63" s="538" t="s">
        <v>1640</v>
      </c>
    </row>
    <row r="64" spans="1:4" ht="38.25" x14ac:dyDescent="0.2">
      <c r="C64" s="539" t="s">
        <v>1641</v>
      </c>
      <c r="D64" s="538" t="s">
        <v>1642</v>
      </c>
    </row>
  </sheetData>
  <sheetProtection formatCells="0" formatColumns="0" formatRows="0" sort="0" autoFilter="0"/>
  <mergeCells count="2">
    <mergeCell ref="A1:D1"/>
    <mergeCell ref="A2:C2"/>
  </mergeCells>
  <conditionalFormatting sqref="D3">
    <cfRule type="dataBar" priority="3">
      <dataBar showValue="0">
        <cfvo type="num" val="0"/>
        <cfvo type="num" val="42"/>
        <color rgb="FF638EC6"/>
      </dataBar>
      <extLst>
        <ext xmlns:x14="http://schemas.microsoft.com/office/spreadsheetml/2009/9/main" uri="{B025F937-C7B1-47D3-B67F-A62EFF666E3E}">
          <x14:id>{CA8314E2-3CCA-4DD9-9AE0-CEDA15743CE8}</x14:id>
        </ext>
      </extLst>
    </cfRule>
  </conditionalFormatting>
  <conditionalFormatting sqref="D4">
    <cfRule type="dataBar" priority="2">
      <dataBar showValue="0">
        <cfvo type="num" val="0"/>
        <cfvo type="num" val="42"/>
        <color rgb="FF92D050"/>
      </dataBar>
      <extLst>
        <ext xmlns:x14="http://schemas.microsoft.com/office/spreadsheetml/2009/9/main" uri="{B025F937-C7B1-47D3-B67F-A62EFF666E3E}">
          <x14:id>{511B793D-0556-4DE9-B72A-D9CD5E5756C1}</x14:id>
        </ext>
      </extLst>
    </cfRule>
  </conditionalFormatting>
  <conditionalFormatting sqref="D5">
    <cfRule type="dataBar" priority="1">
      <dataBar showValue="0">
        <cfvo type="num" val="0"/>
        <cfvo type="num" val="42"/>
        <color theme="5"/>
      </dataBar>
      <extLst>
        <ext xmlns:x14="http://schemas.microsoft.com/office/spreadsheetml/2009/9/main" uri="{B025F937-C7B1-47D3-B67F-A62EFF666E3E}">
          <x14:id>{804B728F-404D-4750-895F-35C93338CC1A}</x14:id>
        </ext>
      </extLst>
    </cfRule>
  </conditionalFormatting>
  <hyperlinks>
    <hyperlink ref="A2" r:id="rId1" display="Printable Checklist"/>
    <hyperlink ref="A2:C2" r:id="rId2" display="Link to Current Version"/>
  </hyperlinks>
  <pageMargins left="0.7" right="0.7" top="0.75" bottom="0.75" header="0.3" footer="0.3"/>
  <pageSetup scale="58" fitToHeight="0"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82" r:id="rId6" name="Check Box 2">
              <controlPr defaultSize="0" autoFill="0" autoLine="0" autoPict="0">
                <anchor moveWithCells="1">
                  <from>
                    <xdr:col>0</xdr:col>
                    <xdr:colOff>142875</xdr:colOff>
                    <xdr:row>7</xdr:row>
                    <xdr:rowOff>0</xdr:rowOff>
                  </from>
                  <to>
                    <xdr:col>1</xdr:col>
                    <xdr:colOff>0</xdr:colOff>
                    <xdr:row>7</xdr:row>
                    <xdr:rowOff>466725</xdr:rowOff>
                  </to>
                </anchor>
              </controlPr>
            </control>
          </mc:Choice>
        </mc:AlternateContent>
        <mc:AlternateContent xmlns:mc="http://schemas.openxmlformats.org/markup-compatibility/2006">
          <mc:Choice Requires="x14">
            <control shapeId="20483" r:id="rId7" name="Check Box 3">
              <controlPr defaultSize="0" autoFill="0" autoLine="0" autoPict="0">
                <anchor moveWithCells="1">
                  <from>
                    <xdr:col>1</xdr:col>
                    <xdr:colOff>142875</xdr:colOff>
                    <xdr:row>7</xdr:row>
                    <xdr:rowOff>0</xdr:rowOff>
                  </from>
                  <to>
                    <xdr:col>2</xdr:col>
                    <xdr:colOff>0</xdr:colOff>
                    <xdr:row>7</xdr:row>
                    <xdr:rowOff>466725</xdr:rowOff>
                  </to>
                </anchor>
              </controlPr>
            </control>
          </mc:Choice>
        </mc:AlternateContent>
        <mc:AlternateContent xmlns:mc="http://schemas.openxmlformats.org/markup-compatibility/2006">
          <mc:Choice Requires="x14">
            <control shapeId="20484" r:id="rId8" name="Check Box 4">
              <controlPr defaultSize="0" autoFill="0" autoLine="0" autoPict="0">
                <anchor moveWithCells="1">
                  <from>
                    <xdr:col>2</xdr:col>
                    <xdr:colOff>142875</xdr:colOff>
                    <xdr:row>7</xdr:row>
                    <xdr:rowOff>0</xdr:rowOff>
                  </from>
                  <to>
                    <xdr:col>3</xdr:col>
                    <xdr:colOff>0</xdr:colOff>
                    <xdr:row>7</xdr:row>
                    <xdr:rowOff>466725</xdr:rowOff>
                  </to>
                </anchor>
              </controlPr>
            </control>
          </mc:Choice>
        </mc:AlternateContent>
        <mc:AlternateContent xmlns:mc="http://schemas.openxmlformats.org/markup-compatibility/2006">
          <mc:Choice Requires="x14">
            <control shapeId="20485" r:id="rId9" name="Check Box 5">
              <controlPr defaultSize="0" autoFill="0" autoLine="0" autoPict="0">
                <anchor moveWithCells="1">
                  <from>
                    <xdr:col>0</xdr:col>
                    <xdr:colOff>142875</xdr:colOff>
                    <xdr:row>8</xdr:row>
                    <xdr:rowOff>0</xdr:rowOff>
                  </from>
                  <to>
                    <xdr:col>1</xdr:col>
                    <xdr:colOff>0</xdr:colOff>
                    <xdr:row>8</xdr:row>
                    <xdr:rowOff>466725</xdr:rowOff>
                  </to>
                </anchor>
              </controlPr>
            </control>
          </mc:Choice>
        </mc:AlternateContent>
        <mc:AlternateContent xmlns:mc="http://schemas.openxmlformats.org/markup-compatibility/2006">
          <mc:Choice Requires="x14">
            <control shapeId="20486" r:id="rId10" name="Check Box 6">
              <controlPr defaultSize="0" autoFill="0" autoLine="0" autoPict="0">
                <anchor moveWithCells="1">
                  <from>
                    <xdr:col>1</xdr:col>
                    <xdr:colOff>142875</xdr:colOff>
                    <xdr:row>8</xdr:row>
                    <xdr:rowOff>0</xdr:rowOff>
                  </from>
                  <to>
                    <xdr:col>2</xdr:col>
                    <xdr:colOff>0</xdr:colOff>
                    <xdr:row>8</xdr:row>
                    <xdr:rowOff>466725</xdr:rowOff>
                  </to>
                </anchor>
              </controlPr>
            </control>
          </mc:Choice>
        </mc:AlternateContent>
        <mc:AlternateContent xmlns:mc="http://schemas.openxmlformats.org/markup-compatibility/2006">
          <mc:Choice Requires="x14">
            <control shapeId="20487" r:id="rId11" name="Check Box 7">
              <controlPr defaultSize="0" autoFill="0" autoLine="0" autoPict="0">
                <anchor moveWithCells="1">
                  <from>
                    <xdr:col>2</xdr:col>
                    <xdr:colOff>142875</xdr:colOff>
                    <xdr:row>8</xdr:row>
                    <xdr:rowOff>0</xdr:rowOff>
                  </from>
                  <to>
                    <xdr:col>3</xdr:col>
                    <xdr:colOff>0</xdr:colOff>
                    <xdr:row>8</xdr:row>
                    <xdr:rowOff>466725</xdr:rowOff>
                  </to>
                </anchor>
              </controlPr>
            </control>
          </mc:Choice>
        </mc:AlternateContent>
        <mc:AlternateContent xmlns:mc="http://schemas.openxmlformats.org/markup-compatibility/2006">
          <mc:Choice Requires="x14">
            <control shapeId="20488" r:id="rId12" name="Check Box 8">
              <controlPr defaultSize="0" autoFill="0" autoLine="0" autoPict="0">
                <anchor moveWithCells="1">
                  <from>
                    <xdr:col>0</xdr:col>
                    <xdr:colOff>142875</xdr:colOff>
                    <xdr:row>9</xdr:row>
                    <xdr:rowOff>0</xdr:rowOff>
                  </from>
                  <to>
                    <xdr:col>1</xdr:col>
                    <xdr:colOff>0</xdr:colOff>
                    <xdr:row>9</xdr:row>
                    <xdr:rowOff>466725</xdr:rowOff>
                  </to>
                </anchor>
              </controlPr>
            </control>
          </mc:Choice>
        </mc:AlternateContent>
        <mc:AlternateContent xmlns:mc="http://schemas.openxmlformats.org/markup-compatibility/2006">
          <mc:Choice Requires="x14">
            <control shapeId="20489" r:id="rId13" name="Check Box 9">
              <controlPr defaultSize="0" autoFill="0" autoLine="0" autoPict="0">
                <anchor moveWithCells="1">
                  <from>
                    <xdr:col>1</xdr:col>
                    <xdr:colOff>142875</xdr:colOff>
                    <xdr:row>9</xdr:row>
                    <xdr:rowOff>0</xdr:rowOff>
                  </from>
                  <to>
                    <xdr:col>2</xdr:col>
                    <xdr:colOff>0</xdr:colOff>
                    <xdr:row>9</xdr:row>
                    <xdr:rowOff>466725</xdr:rowOff>
                  </to>
                </anchor>
              </controlPr>
            </control>
          </mc:Choice>
        </mc:AlternateContent>
        <mc:AlternateContent xmlns:mc="http://schemas.openxmlformats.org/markup-compatibility/2006">
          <mc:Choice Requires="x14">
            <control shapeId="20490" r:id="rId14" name="Check Box 10">
              <controlPr defaultSize="0" autoFill="0" autoLine="0" autoPict="0">
                <anchor moveWithCells="1">
                  <from>
                    <xdr:col>2</xdr:col>
                    <xdr:colOff>142875</xdr:colOff>
                    <xdr:row>9</xdr:row>
                    <xdr:rowOff>0</xdr:rowOff>
                  </from>
                  <to>
                    <xdr:col>3</xdr:col>
                    <xdr:colOff>0</xdr:colOff>
                    <xdr:row>9</xdr:row>
                    <xdr:rowOff>466725</xdr:rowOff>
                  </to>
                </anchor>
              </controlPr>
            </control>
          </mc:Choice>
        </mc:AlternateContent>
        <mc:AlternateContent xmlns:mc="http://schemas.openxmlformats.org/markup-compatibility/2006">
          <mc:Choice Requires="x14">
            <control shapeId="20491" r:id="rId15" name="Check Box 11">
              <controlPr defaultSize="0" autoFill="0" autoLine="0" autoPict="0">
                <anchor moveWithCells="1">
                  <from>
                    <xdr:col>0</xdr:col>
                    <xdr:colOff>142875</xdr:colOff>
                    <xdr:row>10</xdr:row>
                    <xdr:rowOff>0</xdr:rowOff>
                  </from>
                  <to>
                    <xdr:col>1</xdr:col>
                    <xdr:colOff>0</xdr:colOff>
                    <xdr:row>10</xdr:row>
                    <xdr:rowOff>466725</xdr:rowOff>
                  </to>
                </anchor>
              </controlPr>
            </control>
          </mc:Choice>
        </mc:AlternateContent>
        <mc:AlternateContent xmlns:mc="http://schemas.openxmlformats.org/markup-compatibility/2006">
          <mc:Choice Requires="x14">
            <control shapeId="20492" r:id="rId16" name="Check Box 12">
              <controlPr defaultSize="0" autoFill="0" autoLine="0" autoPict="0">
                <anchor moveWithCells="1">
                  <from>
                    <xdr:col>1</xdr:col>
                    <xdr:colOff>142875</xdr:colOff>
                    <xdr:row>10</xdr:row>
                    <xdr:rowOff>0</xdr:rowOff>
                  </from>
                  <to>
                    <xdr:col>2</xdr:col>
                    <xdr:colOff>0</xdr:colOff>
                    <xdr:row>10</xdr:row>
                    <xdr:rowOff>466725</xdr:rowOff>
                  </to>
                </anchor>
              </controlPr>
            </control>
          </mc:Choice>
        </mc:AlternateContent>
        <mc:AlternateContent xmlns:mc="http://schemas.openxmlformats.org/markup-compatibility/2006">
          <mc:Choice Requires="x14">
            <control shapeId="20493" r:id="rId17" name="Check Box 13">
              <controlPr defaultSize="0" autoFill="0" autoLine="0" autoPict="0">
                <anchor moveWithCells="1">
                  <from>
                    <xdr:col>2</xdr:col>
                    <xdr:colOff>142875</xdr:colOff>
                    <xdr:row>10</xdr:row>
                    <xdr:rowOff>0</xdr:rowOff>
                  </from>
                  <to>
                    <xdr:col>3</xdr:col>
                    <xdr:colOff>0</xdr:colOff>
                    <xdr:row>10</xdr:row>
                    <xdr:rowOff>466725</xdr:rowOff>
                  </to>
                </anchor>
              </controlPr>
            </control>
          </mc:Choice>
        </mc:AlternateContent>
        <mc:AlternateContent xmlns:mc="http://schemas.openxmlformats.org/markup-compatibility/2006">
          <mc:Choice Requires="x14">
            <control shapeId="20494" r:id="rId18" name="Check Box 14">
              <controlPr defaultSize="0" autoFill="0" autoLine="0" autoPict="0">
                <anchor moveWithCells="1">
                  <from>
                    <xdr:col>0</xdr:col>
                    <xdr:colOff>142875</xdr:colOff>
                    <xdr:row>11</xdr:row>
                    <xdr:rowOff>0</xdr:rowOff>
                  </from>
                  <to>
                    <xdr:col>1</xdr:col>
                    <xdr:colOff>0</xdr:colOff>
                    <xdr:row>11</xdr:row>
                    <xdr:rowOff>466725</xdr:rowOff>
                  </to>
                </anchor>
              </controlPr>
            </control>
          </mc:Choice>
        </mc:AlternateContent>
        <mc:AlternateContent xmlns:mc="http://schemas.openxmlformats.org/markup-compatibility/2006">
          <mc:Choice Requires="x14">
            <control shapeId="20495" r:id="rId19" name="Check Box 15">
              <controlPr defaultSize="0" autoFill="0" autoLine="0" autoPict="0">
                <anchor moveWithCells="1">
                  <from>
                    <xdr:col>1</xdr:col>
                    <xdr:colOff>142875</xdr:colOff>
                    <xdr:row>11</xdr:row>
                    <xdr:rowOff>0</xdr:rowOff>
                  </from>
                  <to>
                    <xdr:col>2</xdr:col>
                    <xdr:colOff>0</xdr:colOff>
                    <xdr:row>11</xdr:row>
                    <xdr:rowOff>466725</xdr:rowOff>
                  </to>
                </anchor>
              </controlPr>
            </control>
          </mc:Choice>
        </mc:AlternateContent>
        <mc:AlternateContent xmlns:mc="http://schemas.openxmlformats.org/markup-compatibility/2006">
          <mc:Choice Requires="x14">
            <control shapeId="20496" r:id="rId20" name="Check Box 16">
              <controlPr defaultSize="0" autoFill="0" autoLine="0" autoPict="0">
                <anchor moveWithCells="1">
                  <from>
                    <xdr:col>2</xdr:col>
                    <xdr:colOff>142875</xdr:colOff>
                    <xdr:row>11</xdr:row>
                    <xdr:rowOff>0</xdr:rowOff>
                  </from>
                  <to>
                    <xdr:col>3</xdr:col>
                    <xdr:colOff>0</xdr:colOff>
                    <xdr:row>11</xdr:row>
                    <xdr:rowOff>466725</xdr:rowOff>
                  </to>
                </anchor>
              </controlPr>
            </control>
          </mc:Choice>
        </mc:AlternateContent>
        <mc:AlternateContent xmlns:mc="http://schemas.openxmlformats.org/markup-compatibility/2006">
          <mc:Choice Requires="x14">
            <control shapeId="20497" r:id="rId21" name="Check Box 17">
              <controlPr defaultSize="0" autoFill="0" autoLine="0" autoPict="0">
                <anchor moveWithCells="1">
                  <from>
                    <xdr:col>0</xdr:col>
                    <xdr:colOff>142875</xdr:colOff>
                    <xdr:row>12</xdr:row>
                    <xdr:rowOff>0</xdr:rowOff>
                  </from>
                  <to>
                    <xdr:col>1</xdr:col>
                    <xdr:colOff>0</xdr:colOff>
                    <xdr:row>12</xdr:row>
                    <xdr:rowOff>466725</xdr:rowOff>
                  </to>
                </anchor>
              </controlPr>
            </control>
          </mc:Choice>
        </mc:AlternateContent>
        <mc:AlternateContent xmlns:mc="http://schemas.openxmlformats.org/markup-compatibility/2006">
          <mc:Choice Requires="x14">
            <control shapeId="20498" r:id="rId22" name="Check Box 18">
              <controlPr defaultSize="0" autoFill="0" autoLine="0" autoPict="0">
                <anchor moveWithCells="1">
                  <from>
                    <xdr:col>1</xdr:col>
                    <xdr:colOff>142875</xdr:colOff>
                    <xdr:row>12</xdr:row>
                    <xdr:rowOff>0</xdr:rowOff>
                  </from>
                  <to>
                    <xdr:col>2</xdr:col>
                    <xdr:colOff>0</xdr:colOff>
                    <xdr:row>12</xdr:row>
                    <xdr:rowOff>466725</xdr:rowOff>
                  </to>
                </anchor>
              </controlPr>
            </control>
          </mc:Choice>
        </mc:AlternateContent>
        <mc:AlternateContent xmlns:mc="http://schemas.openxmlformats.org/markup-compatibility/2006">
          <mc:Choice Requires="x14">
            <control shapeId="20499" r:id="rId23" name="Check Box 19">
              <controlPr defaultSize="0" autoFill="0" autoLine="0" autoPict="0">
                <anchor moveWithCells="1">
                  <from>
                    <xdr:col>2</xdr:col>
                    <xdr:colOff>142875</xdr:colOff>
                    <xdr:row>12</xdr:row>
                    <xdr:rowOff>0</xdr:rowOff>
                  </from>
                  <to>
                    <xdr:col>3</xdr:col>
                    <xdr:colOff>0</xdr:colOff>
                    <xdr:row>12</xdr:row>
                    <xdr:rowOff>466725</xdr:rowOff>
                  </to>
                </anchor>
              </controlPr>
            </control>
          </mc:Choice>
        </mc:AlternateContent>
        <mc:AlternateContent xmlns:mc="http://schemas.openxmlformats.org/markup-compatibility/2006">
          <mc:Choice Requires="x14">
            <control shapeId="20500" r:id="rId24" name="Check Box 20">
              <controlPr defaultSize="0" autoFill="0" autoLine="0" autoPict="0">
                <anchor moveWithCells="1">
                  <from>
                    <xdr:col>0</xdr:col>
                    <xdr:colOff>142875</xdr:colOff>
                    <xdr:row>13</xdr:row>
                    <xdr:rowOff>0</xdr:rowOff>
                  </from>
                  <to>
                    <xdr:col>1</xdr:col>
                    <xdr:colOff>0</xdr:colOff>
                    <xdr:row>13</xdr:row>
                    <xdr:rowOff>466725</xdr:rowOff>
                  </to>
                </anchor>
              </controlPr>
            </control>
          </mc:Choice>
        </mc:AlternateContent>
        <mc:AlternateContent xmlns:mc="http://schemas.openxmlformats.org/markup-compatibility/2006">
          <mc:Choice Requires="x14">
            <control shapeId="20501" r:id="rId25" name="Check Box 21">
              <controlPr defaultSize="0" autoFill="0" autoLine="0" autoPict="0">
                <anchor moveWithCells="1">
                  <from>
                    <xdr:col>1</xdr:col>
                    <xdr:colOff>142875</xdr:colOff>
                    <xdr:row>13</xdr:row>
                    <xdr:rowOff>0</xdr:rowOff>
                  </from>
                  <to>
                    <xdr:col>2</xdr:col>
                    <xdr:colOff>0</xdr:colOff>
                    <xdr:row>13</xdr:row>
                    <xdr:rowOff>466725</xdr:rowOff>
                  </to>
                </anchor>
              </controlPr>
            </control>
          </mc:Choice>
        </mc:AlternateContent>
        <mc:AlternateContent xmlns:mc="http://schemas.openxmlformats.org/markup-compatibility/2006">
          <mc:Choice Requires="x14">
            <control shapeId="20502" r:id="rId26" name="Check Box 22">
              <controlPr defaultSize="0" autoFill="0" autoLine="0" autoPict="0">
                <anchor moveWithCells="1">
                  <from>
                    <xdr:col>2</xdr:col>
                    <xdr:colOff>142875</xdr:colOff>
                    <xdr:row>13</xdr:row>
                    <xdr:rowOff>0</xdr:rowOff>
                  </from>
                  <to>
                    <xdr:col>3</xdr:col>
                    <xdr:colOff>0</xdr:colOff>
                    <xdr:row>13</xdr:row>
                    <xdr:rowOff>466725</xdr:rowOff>
                  </to>
                </anchor>
              </controlPr>
            </control>
          </mc:Choice>
        </mc:AlternateContent>
        <mc:AlternateContent xmlns:mc="http://schemas.openxmlformats.org/markup-compatibility/2006">
          <mc:Choice Requires="x14">
            <control shapeId="20503" r:id="rId27" name="Check Box 23">
              <controlPr defaultSize="0" autoFill="0" autoLine="0" autoPict="0">
                <anchor moveWithCells="1">
                  <from>
                    <xdr:col>0</xdr:col>
                    <xdr:colOff>142875</xdr:colOff>
                    <xdr:row>14</xdr:row>
                    <xdr:rowOff>0</xdr:rowOff>
                  </from>
                  <to>
                    <xdr:col>1</xdr:col>
                    <xdr:colOff>0</xdr:colOff>
                    <xdr:row>14</xdr:row>
                    <xdr:rowOff>466725</xdr:rowOff>
                  </to>
                </anchor>
              </controlPr>
            </control>
          </mc:Choice>
        </mc:AlternateContent>
        <mc:AlternateContent xmlns:mc="http://schemas.openxmlformats.org/markup-compatibility/2006">
          <mc:Choice Requires="x14">
            <control shapeId="20504" r:id="rId28" name="Check Box 24">
              <controlPr defaultSize="0" autoFill="0" autoLine="0" autoPict="0">
                <anchor moveWithCells="1">
                  <from>
                    <xdr:col>1</xdr:col>
                    <xdr:colOff>142875</xdr:colOff>
                    <xdr:row>14</xdr:row>
                    <xdr:rowOff>0</xdr:rowOff>
                  </from>
                  <to>
                    <xdr:col>2</xdr:col>
                    <xdr:colOff>0</xdr:colOff>
                    <xdr:row>14</xdr:row>
                    <xdr:rowOff>466725</xdr:rowOff>
                  </to>
                </anchor>
              </controlPr>
            </control>
          </mc:Choice>
        </mc:AlternateContent>
        <mc:AlternateContent xmlns:mc="http://schemas.openxmlformats.org/markup-compatibility/2006">
          <mc:Choice Requires="x14">
            <control shapeId="20505" r:id="rId29" name="Check Box 25">
              <controlPr defaultSize="0" autoFill="0" autoLine="0" autoPict="0">
                <anchor moveWithCells="1">
                  <from>
                    <xdr:col>2</xdr:col>
                    <xdr:colOff>142875</xdr:colOff>
                    <xdr:row>14</xdr:row>
                    <xdr:rowOff>0</xdr:rowOff>
                  </from>
                  <to>
                    <xdr:col>3</xdr:col>
                    <xdr:colOff>0</xdr:colOff>
                    <xdr:row>14</xdr:row>
                    <xdr:rowOff>466725</xdr:rowOff>
                  </to>
                </anchor>
              </controlPr>
            </control>
          </mc:Choice>
        </mc:AlternateContent>
        <mc:AlternateContent xmlns:mc="http://schemas.openxmlformats.org/markup-compatibility/2006">
          <mc:Choice Requires="x14">
            <control shapeId="20506" r:id="rId30" name="Check Box 26">
              <controlPr defaultSize="0" autoFill="0" autoLine="0" autoPict="0">
                <anchor moveWithCells="1">
                  <from>
                    <xdr:col>0</xdr:col>
                    <xdr:colOff>142875</xdr:colOff>
                    <xdr:row>16</xdr:row>
                    <xdr:rowOff>0</xdr:rowOff>
                  </from>
                  <to>
                    <xdr:col>1</xdr:col>
                    <xdr:colOff>0</xdr:colOff>
                    <xdr:row>16</xdr:row>
                    <xdr:rowOff>466725</xdr:rowOff>
                  </to>
                </anchor>
              </controlPr>
            </control>
          </mc:Choice>
        </mc:AlternateContent>
        <mc:AlternateContent xmlns:mc="http://schemas.openxmlformats.org/markup-compatibility/2006">
          <mc:Choice Requires="x14">
            <control shapeId="20507" r:id="rId31" name="Check Box 27">
              <controlPr defaultSize="0" autoFill="0" autoLine="0" autoPict="0">
                <anchor moveWithCells="1">
                  <from>
                    <xdr:col>1</xdr:col>
                    <xdr:colOff>142875</xdr:colOff>
                    <xdr:row>16</xdr:row>
                    <xdr:rowOff>0</xdr:rowOff>
                  </from>
                  <to>
                    <xdr:col>2</xdr:col>
                    <xdr:colOff>0</xdr:colOff>
                    <xdr:row>16</xdr:row>
                    <xdr:rowOff>466725</xdr:rowOff>
                  </to>
                </anchor>
              </controlPr>
            </control>
          </mc:Choice>
        </mc:AlternateContent>
        <mc:AlternateContent xmlns:mc="http://schemas.openxmlformats.org/markup-compatibility/2006">
          <mc:Choice Requires="x14">
            <control shapeId="20508" r:id="rId32" name="Check Box 28">
              <controlPr defaultSize="0" autoFill="0" autoLine="0" autoPict="0">
                <anchor moveWithCells="1">
                  <from>
                    <xdr:col>2</xdr:col>
                    <xdr:colOff>142875</xdr:colOff>
                    <xdr:row>16</xdr:row>
                    <xdr:rowOff>0</xdr:rowOff>
                  </from>
                  <to>
                    <xdr:col>3</xdr:col>
                    <xdr:colOff>0</xdr:colOff>
                    <xdr:row>16</xdr:row>
                    <xdr:rowOff>466725</xdr:rowOff>
                  </to>
                </anchor>
              </controlPr>
            </control>
          </mc:Choice>
        </mc:AlternateContent>
        <mc:AlternateContent xmlns:mc="http://schemas.openxmlformats.org/markup-compatibility/2006">
          <mc:Choice Requires="x14">
            <control shapeId="20509" r:id="rId33" name="Check Box 29">
              <controlPr defaultSize="0" autoFill="0" autoLine="0" autoPict="0">
                <anchor moveWithCells="1">
                  <from>
                    <xdr:col>0</xdr:col>
                    <xdr:colOff>142875</xdr:colOff>
                    <xdr:row>17</xdr:row>
                    <xdr:rowOff>0</xdr:rowOff>
                  </from>
                  <to>
                    <xdr:col>1</xdr:col>
                    <xdr:colOff>0</xdr:colOff>
                    <xdr:row>17</xdr:row>
                    <xdr:rowOff>466725</xdr:rowOff>
                  </to>
                </anchor>
              </controlPr>
            </control>
          </mc:Choice>
        </mc:AlternateContent>
        <mc:AlternateContent xmlns:mc="http://schemas.openxmlformats.org/markup-compatibility/2006">
          <mc:Choice Requires="x14">
            <control shapeId="20510" r:id="rId34" name="Check Box 30">
              <controlPr defaultSize="0" autoFill="0" autoLine="0" autoPict="0">
                <anchor moveWithCells="1">
                  <from>
                    <xdr:col>1</xdr:col>
                    <xdr:colOff>142875</xdr:colOff>
                    <xdr:row>17</xdr:row>
                    <xdr:rowOff>0</xdr:rowOff>
                  </from>
                  <to>
                    <xdr:col>2</xdr:col>
                    <xdr:colOff>0</xdr:colOff>
                    <xdr:row>17</xdr:row>
                    <xdr:rowOff>466725</xdr:rowOff>
                  </to>
                </anchor>
              </controlPr>
            </control>
          </mc:Choice>
        </mc:AlternateContent>
        <mc:AlternateContent xmlns:mc="http://schemas.openxmlformats.org/markup-compatibility/2006">
          <mc:Choice Requires="x14">
            <control shapeId="20511" r:id="rId35" name="Check Box 31">
              <controlPr defaultSize="0" autoFill="0" autoLine="0" autoPict="0">
                <anchor moveWithCells="1">
                  <from>
                    <xdr:col>2</xdr:col>
                    <xdr:colOff>142875</xdr:colOff>
                    <xdr:row>17</xdr:row>
                    <xdr:rowOff>0</xdr:rowOff>
                  </from>
                  <to>
                    <xdr:col>3</xdr:col>
                    <xdr:colOff>0</xdr:colOff>
                    <xdr:row>17</xdr:row>
                    <xdr:rowOff>466725</xdr:rowOff>
                  </to>
                </anchor>
              </controlPr>
            </control>
          </mc:Choice>
        </mc:AlternateContent>
        <mc:AlternateContent xmlns:mc="http://schemas.openxmlformats.org/markup-compatibility/2006">
          <mc:Choice Requires="x14">
            <control shapeId="20512" r:id="rId36" name="Check Box 32">
              <controlPr defaultSize="0" autoFill="0" autoLine="0" autoPict="0">
                <anchor moveWithCells="1">
                  <from>
                    <xdr:col>0</xdr:col>
                    <xdr:colOff>142875</xdr:colOff>
                    <xdr:row>18</xdr:row>
                    <xdr:rowOff>0</xdr:rowOff>
                  </from>
                  <to>
                    <xdr:col>1</xdr:col>
                    <xdr:colOff>0</xdr:colOff>
                    <xdr:row>18</xdr:row>
                    <xdr:rowOff>466725</xdr:rowOff>
                  </to>
                </anchor>
              </controlPr>
            </control>
          </mc:Choice>
        </mc:AlternateContent>
        <mc:AlternateContent xmlns:mc="http://schemas.openxmlformats.org/markup-compatibility/2006">
          <mc:Choice Requires="x14">
            <control shapeId="20513" r:id="rId37" name="Check Box 33">
              <controlPr defaultSize="0" autoFill="0" autoLine="0" autoPict="0">
                <anchor moveWithCells="1">
                  <from>
                    <xdr:col>1</xdr:col>
                    <xdr:colOff>142875</xdr:colOff>
                    <xdr:row>18</xdr:row>
                    <xdr:rowOff>0</xdr:rowOff>
                  </from>
                  <to>
                    <xdr:col>2</xdr:col>
                    <xdr:colOff>0</xdr:colOff>
                    <xdr:row>18</xdr:row>
                    <xdr:rowOff>466725</xdr:rowOff>
                  </to>
                </anchor>
              </controlPr>
            </control>
          </mc:Choice>
        </mc:AlternateContent>
        <mc:AlternateContent xmlns:mc="http://schemas.openxmlformats.org/markup-compatibility/2006">
          <mc:Choice Requires="x14">
            <control shapeId="20514" r:id="rId38" name="Check Box 34">
              <controlPr defaultSize="0" autoFill="0" autoLine="0" autoPict="0">
                <anchor moveWithCells="1">
                  <from>
                    <xdr:col>2</xdr:col>
                    <xdr:colOff>142875</xdr:colOff>
                    <xdr:row>18</xdr:row>
                    <xdr:rowOff>0</xdr:rowOff>
                  </from>
                  <to>
                    <xdr:col>3</xdr:col>
                    <xdr:colOff>0</xdr:colOff>
                    <xdr:row>18</xdr:row>
                    <xdr:rowOff>466725</xdr:rowOff>
                  </to>
                </anchor>
              </controlPr>
            </control>
          </mc:Choice>
        </mc:AlternateContent>
        <mc:AlternateContent xmlns:mc="http://schemas.openxmlformats.org/markup-compatibility/2006">
          <mc:Choice Requires="x14">
            <control shapeId="20515" r:id="rId39" name="Check Box 35">
              <controlPr defaultSize="0" autoFill="0" autoLine="0" autoPict="0">
                <anchor moveWithCells="1">
                  <from>
                    <xdr:col>0</xdr:col>
                    <xdr:colOff>142875</xdr:colOff>
                    <xdr:row>19</xdr:row>
                    <xdr:rowOff>0</xdr:rowOff>
                  </from>
                  <to>
                    <xdr:col>1</xdr:col>
                    <xdr:colOff>0</xdr:colOff>
                    <xdr:row>19</xdr:row>
                    <xdr:rowOff>466725</xdr:rowOff>
                  </to>
                </anchor>
              </controlPr>
            </control>
          </mc:Choice>
        </mc:AlternateContent>
        <mc:AlternateContent xmlns:mc="http://schemas.openxmlformats.org/markup-compatibility/2006">
          <mc:Choice Requires="x14">
            <control shapeId="20516" r:id="rId40" name="Check Box 36">
              <controlPr defaultSize="0" autoFill="0" autoLine="0" autoPict="0">
                <anchor moveWithCells="1">
                  <from>
                    <xdr:col>1</xdr:col>
                    <xdr:colOff>142875</xdr:colOff>
                    <xdr:row>19</xdr:row>
                    <xdr:rowOff>0</xdr:rowOff>
                  </from>
                  <to>
                    <xdr:col>2</xdr:col>
                    <xdr:colOff>0</xdr:colOff>
                    <xdr:row>19</xdr:row>
                    <xdr:rowOff>466725</xdr:rowOff>
                  </to>
                </anchor>
              </controlPr>
            </control>
          </mc:Choice>
        </mc:AlternateContent>
        <mc:AlternateContent xmlns:mc="http://schemas.openxmlformats.org/markup-compatibility/2006">
          <mc:Choice Requires="x14">
            <control shapeId="20517" r:id="rId41" name="Check Box 37">
              <controlPr defaultSize="0" autoFill="0" autoLine="0" autoPict="0">
                <anchor moveWithCells="1">
                  <from>
                    <xdr:col>2</xdr:col>
                    <xdr:colOff>142875</xdr:colOff>
                    <xdr:row>19</xdr:row>
                    <xdr:rowOff>0</xdr:rowOff>
                  </from>
                  <to>
                    <xdr:col>3</xdr:col>
                    <xdr:colOff>0</xdr:colOff>
                    <xdr:row>19</xdr:row>
                    <xdr:rowOff>466725</xdr:rowOff>
                  </to>
                </anchor>
              </controlPr>
            </control>
          </mc:Choice>
        </mc:AlternateContent>
        <mc:AlternateContent xmlns:mc="http://schemas.openxmlformats.org/markup-compatibility/2006">
          <mc:Choice Requires="x14">
            <control shapeId="20518" r:id="rId42" name="Check Box 38">
              <controlPr defaultSize="0" autoFill="0" autoLine="0" autoPict="0">
                <anchor moveWithCells="1">
                  <from>
                    <xdr:col>0</xdr:col>
                    <xdr:colOff>142875</xdr:colOff>
                    <xdr:row>20</xdr:row>
                    <xdr:rowOff>0</xdr:rowOff>
                  </from>
                  <to>
                    <xdr:col>1</xdr:col>
                    <xdr:colOff>0</xdr:colOff>
                    <xdr:row>20</xdr:row>
                    <xdr:rowOff>466725</xdr:rowOff>
                  </to>
                </anchor>
              </controlPr>
            </control>
          </mc:Choice>
        </mc:AlternateContent>
        <mc:AlternateContent xmlns:mc="http://schemas.openxmlformats.org/markup-compatibility/2006">
          <mc:Choice Requires="x14">
            <control shapeId="20519" r:id="rId43" name="Check Box 39">
              <controlPr defaultSize="0" autoFill="0" autoLine="0" autoPict="0">
                <anchor moveWithCells="1">
                  <from>
                    <xdr:col>1</xdr:col>
                    <xdr:colOff>142875</xdr:colOff>
                    <xdr:row>20</xdr:row>
                    <xdr:rowOff>0</xdr:rowOff>
                  </from>
                  <to>
                    <xdr:col>2</xdr:col>
                    <xdr:colOff>0</xdr:colOff>
                    <xdr:row>20</xdr:row>
                    <xdr:rowOff>466725</xdr:rowOff>
                  </to>
                </anchor>
              </controlPr>
            </control>
          </mc:Choice>
        </mc:AlternateContent>
        <mc:AlternateContent xmlns:mc="http://schemas.openxmlformats.org/markup-compatibility/2006">
          <mc:Choice Requires="x14">
            <control shapeId="20520" r:id="rId44" name="Check Box 40">
              <controlPr defaultSize="0" autoFill="0" autoLine="0" autoPict="0">
                <anchor moveWithCells="1">
                  <from>
                    <xdr:col>2</xdr:col>
                    <xdr:colOff>142875</xdr:colOff>
                    <xdr:row>20</xdr:row>
                    <xdr:rowOff>0</xdr:rowOff>
                  </from>
                  <to>
                    <xdr:col>3</xdr:col>
                    <xdr:colOff>0</xdr:colOff>
                    <xdr:row>20</xdr:row>
                    <xdr:rowOff>466725</xdr:rowOff>
                  </to>
                </anchor>
              </controlPr>
            </control>
          </mc:Choice>
        </mc:AlternateContent>
        <mc:AlternateContent xmlns:mc="http://schemas.openxmlformats.org/markup-compatibility/2006">
          <mc:Choice Requires="x14">
            <control shapeId="20521" r:id="rId45" name="Check Box 41">
              <controlPr defaultSize="0" autoFill="0" autoLine="0" autoPict="0">
                <anchor moveWithCells="1">
                  <from>
                    <xdr:col>0</xdr:col>
                    <xdr:colOff>142875</xdr:colOff>
                    <xdr:row>21</xdr:row>
                    <xdr:rowOff>0</xdr:rowOff>
                  </from>
                  <to>
                    <xdr:col>1</xdr:col>
                    <xdr:colOff>0</xdr:colOff>
                    <xdr:row>21</xdr:row>
                    <xdr:rowOff>466725</xdr:rowOff>
                  </to>
                </anchor>
              </controlPr>
            </control>
          </mc:Choice>
        </mc:AlternateContent>
        <mc:AlternateContent xmlns:mc="http://schemas.openxmlformats.org/markup-compatibility/2006">
          <mc:Choice Requires="x14">
            <control shapeId="20522" r:id="rId46" name="Check Box 42">
              <controlPr defaultSize="0" autoFill="0" autoLine="0" autoPict="0">
                <anchor moveWithCells="1">
                  <from>
                    <xdr:col>1</xdr:col>
                    <xdr:colOff>142875</xdr:colOff>
                    <xdr:row>21</xdr:row>
                    <xdr:rowOff>0</xdr:rowOff>
                  </from>
                  <to>
                    <xdr:col>2</xdr:col>
                    <xdr:colOff>0</xdr:colOff>
                    <xdr:row>21</xdr:row>
                    <xdr:rowOff>466725</xdr:rowOff>
                  </to>
                </anchor>
              </controlPr>
            </control>
          </mc:Choice>
        </mc:AlternateContent>
        <mc:AlternateContent xmlns:mc="http://schemas.openxmlformats.org/markup-compatibility/2006">
          <mc:Choice Requires="x14">
            <control shapeId="20523" r:id="rId47" name="Check Box 43">
              <controlPr defaultSize="0" autoFill="0" autoLine="0" autoPict="0">
                <anchor moveWithCells="1">
                  <from>
                    <xdr:col>2</xdr:col>
                    <xdr:colOff>142875</xdr:colOff>
                    <xdr:row>21</xdr:row>
                    <xdr:rowOff>0</xdr:rowOff>
                  </from>
                  <to>
                    <xdr:col>3</xdr:col>
                    <xdr:colOff>0</xdr:colOff>
                    <xdr:row>21</xdr:row>
                    <xdr:rowOff>466725</xdr:rowOff>
                  </to>
                </anchor>
              </controlPr>
            </control>
          </mc:Choice>
        </mc:AlternateContent>
        <mc:AlternateContent xmlns:mc="http://schemas.openxmlformats.org/markup-compatibility/2006">
          <mc:Choice Requires="x14">
            <control shapeId="20524" r:id="rId48" name="Check Box 44">
              <controlPr defaultSize="0" autoFill="0" autoLine="0" autoPict="0">
                <anchor moveWithCells="1">
                  <from>
                    <xdr:col>0</xdr:col>
                    <xdr:colOff>142875</xdr:colOff>
                    <xdr:row>22</xdr:row>
                    <xdr:rowOff>0</xdr:rowOff>
                  </from>
                  <to>
                    <xdr:col>1</xdr:col>
                    <xdr:colOff>0</xdr:colOff>
                    <xdr:row>22</xdr:row>
                    <xdr:rowOff>466725</xdr:rowOff>
                  </to>
                </anchor>
              </controlPr>
            </control>
          </mc:Choice>
        </mc:AlternateContent>
        <mc:AlternateContent xmlns:mc="http://schemas.openxmlformats.org/markup-compatibility/2006">
          <mc:Choice Requires="x14">
            <control shapeId="20525" r:id="rId49" name="Check Box 45">
              <controlPr defaultSize="0" autoFill="0" autoLine="0" autoPict="0">
                <anchor moveWithCells="1">
                  <from>
                    <xdr:col>1</xdr:col>
                    <xdr:colOff>142875</xdr:colOff>
                    <xdr:row>22</xdr:row>
                    <xdr:rowOff>0</xdr:rowOff>
                  </from>
                  <to>
                    <xdr:col>2</xdr:col>
                    <xdr:colOff>0</xdr:colOff>
                    <xdr:row>22</xdr:row>
                    <xdr:rowOff>466725</xdr:rowOff>
                  </to>
                </anchor>
              </controlPr>
            </control>
          </mc:Choice>
        </mc:AlternateContent>
        <mc:AlternateContent xmlns:mc="http://schemas.openxmlformats.org/markup-compatibility/2006">
          <mc:Choice Requires="x14">
            <control shapeId="20526" r:id="rId50" name="Check Box 46">
              <controlPr defaultSize="0" autoFill="0" autoLine="0" autoPict="0">
                <anchor moveWithCells="1">
                  <from>
                    <xdr:col>2</xdr:col>
                    <xdr:colOff>142875</xdr:colOff>
                    <xdr:row>22</xdr:row>
                    <xdr:rowOff>0</xdr:rowOff>
                  </from>
                  <to>
                    <xdr:col>3</xdr:col>
                    <xdr:colOff>0</xdr:colOff>
                    <xdr:row>22</xdr:row>
                    <xdr:rowOff>466725</xdr:rowOff>
                  </to>
                </anchor>
              </controlPr>
            </control>
          </mc:Choice>
        </mc:AlternateContent>
        <mc:AlternateContent xmlns:mc="http://schemas.openxmlformats.org/markup-compatibility/2006">
          <mc:Choice Requires="x14">
            <control shapeId="20527" r:id="rId51" name="Check Box 47">
              <controlPr defaultSize="0" autoFill="0" autoLine="0" autoPict="0">
                <anchor moveWithCells="1">
                  <from>
                    <xdr:col>0</xdr:col>
                    <xdr:colOff>142875</xdr:colOff>
                    <xdr:row>23</xdr:row>
                    <xdr:rowOff>0</xdr:rowOff>
                  </from>
                  <to>
                    <xdr:col>1</xdr:col>
                    <xdr:colOff>0</xdr:colOff>
                    <xdr:row>23</xdr:row>
                    <xdr:rowOff>466725</xdr:rowOff>
                  </to>
                </anchor>
              </controlPr>
            </control>
          </mc:Choice>
        </mc:AlternateContent>
        <mc:AlternateContent xmlns:mc="http://schemas.openxmlformats.org/markup-compatibility/2006">
          <mc:Choice Requires="x14">
            <control shapeId="20528" r:id="rId52" name="Check Box 48">
              <controlPr defaultSize="0" autoFill="0" autoLine="0" autoPict="0">
                <anchor moveWithCells="1">
                  <from>
                    <xdr:col>1</xdr:col>
                    <xdr:colOff>142875</xdr:colOff>
                    <xdr:row>23</xdr:row>
                    <xdr:rowOff>0</xdr:rowOff>
                  </from>
                  <to>
                    <xdr:col>2</xdr:col>
                    <xdr:colOff>0</xdr:colOff>
                    <xdr:row>23</xdr:row>
                    <xdr:rowOff>466725</xdr:rowOff>
                  </to>
                </anchor>
              </controlPr>
            </control>
          </mc:Choice>
        </mc:AlternateContent>
        <mc:AlternateContent xmlns:mc="http://schemas.openxmlformats.org/markup-compatibility/2006">
          <mc:Choice Requires="x14">
            <control shapeId="20529" r:id="rId53" name="Check Box 49">
              <controlPr defaultSize="0" autoFill="0" autoLine="0" autoPict="0">
                <anchor moveWithCells="1">
                  <from>
                    <xdr:col>2</xdr:col>
                    <xdr:colOff>142875</xdr:colOff>
                    <xdr:row>23</xdr:row>
                    <xdr:rowOff>0</xdr:rowOff>
                  </from>
                  <to>
                    <xdr:col>3</xdr:col>
                    <xdr:colOff>0</xdr:colOff>
                    <xdr:row>23</xdr:row>
                    <xdr:rowOff>466725</xdr:rowOff>
                  </to>
                </anchor>
              </controlPr>
            </control>
          </mc:Choice>
        </mc:AlternateContent>
        <mc:AlternateContent xmlns:mc="http://schemas.openxmlformats.org/markup-compatibility/2006">
          <mc:Choice Requires="x14">
            <control shapeId="20530" r:id="rId54" name="Check Box 50">
              <controlPr defaultSize="0" autoFill="0" autoLine="0" autoPict="0">
                <anchor moveWithCells="1">
                  <from>
                    <xdr:col>0</xdr:col>
                    <xdr:colOff>142875</xdr:colOff>
                    <xdr:row>24</xdr:row>
                    <xdr:rowOff>0</xdr:rowOff>
                  </from>
                  <to>
                    <xdr:col>1</xdr:col>
                    <xdr:colOff>0</xdr:colOff>
                    <xdr:row>24</xdr:row>
                    <xdr:rowOff>466725</xdr:rowOff>
                  </to>
                </anchor>
              </controlPr>
            </control>
          </mc:Choice>
        </mc:AlternateContent>
        <mc:AlternateContent xmlns:mc="http://schemas.openxmlformats.org/markup-compatibility/2006">
          <mc:Choice Requires="x14">
            <control shapeId="20531" r:id="rId55" name="Check Box 51">
              <controlPr defaultSize="0" autoFill="0" autoLine="0" autoPict="0">
                <anchor moveWithCells="1">
                  <from>
                    <xdr:col>1</xdr:col>
                    <xdr:colOff>142875</xdr:colOff>
                    <xdr:row>24</xdr:row>
                    <xdr:rowOff>0</xdr:rowOff>
                  </from>
                  <to>
                    <xdr:col>2</xdr:col>
                    <xdr:colOff>0</xdr:colOff>
                    <xdr:row>24</xdr:row>
                    <xdr:rowOff>466725</xdr:rowOff>
                  </to>
                </anchor>
              </controlPr>
            </control>
          </mc:Choice>
        </mc:AlternateContent>
        <mc:AlternateContent xmlns:mc="http://schemas.openxmlformats.org/markup-compatibility/2006">
          <mc:Choice Requires="x14">
            <control shapeId="20532" r:id="rId56" name="Check Box 52">
              <controlPr defaultSize="0" autoFill="0" autoLine="0" autoPict="0">
                <anchor moveWithCells="1">
                  <from>
                    <xdr:col>2</xdr:col>
                    <xdr:colOff>142875</xdr:colOff>
                    <xdr:row>24</xdr:row>
                    <xdr:rowOff>0</xdr:rowOff>
                  </from>
                  <to>
                    <xdr:col>3</xdr:col>
                    <xdr:colOff>0</xdr:colOff>
                    <xdr:row>24</xdr:row>
                    <xdr:rowOff>466725</xdr:rowOff>
                  </to>
                </anchor>
              </controlPr>
            </control>
          </mc:Choice>
        </mc:AlternateContent>
        <mc:AlternateContent xmlns:mc="http://schemas.openxmlformats.org/markup-compatibility/2006">
          <mc:Choice Requires="x14">
            <control shapeId="20533" r:id="rId57" name="Check Box 53">
              <controlPr defaultSize="0" autoFill="0" autoLine="0" autoPict="0">
                <anchor moveWithCells="1">
                  <from>
                    <xdr:col>0</xdr:col>
                    <xdr:colOff>142875</xdr:colOff>
                    <xdr:row>25</xdr:row>
                    <xdr:rowOff>0</xdr:rowOff>
                  </from>
                  <to>
                    <xdr:col>1</xdr:col>
                    <xdr:colOff>0</xdr:colOff>
                    <xdr:row>25</xdr:row>
                    <xdr:rowOff>466725</xdr:rowOff>
                  </to>
                </anchor>
              </controlPr>
            </control>
          </mc:Choice>
        </mc:AlternateContent>
        <mc:AlternateContent xmlns:mc="http://schemas.openxmlformats.org/markup-compatibility/2006">
          <mc:Choice Requires="x14">
            <control shapeId="20534" r:id="rId58" name="Check Box 54">
              <controlPr defaultSize="0" autoFill="0" autoLine="0" autoPict="0">
                <anchor moveWithCells="1">
                  <from>
                    <xdr:col>1</xdr:col>
                    <xdr:colOff>142875</xdr:colOff>
                    <xdr:row>25</xdr:row>
                    <xdr:rowOff>0</xdr:rowOff>
                  </from>
                  <to>
                    <xdr:col>2</xdr:col>
                    <xdr:colOff>0</xdr:colOff>
                    <xdr:row>25</xdr:row>
                    <xdr:rowOff>466725</xdr:rowOff>
                  </to>
                </anchor>
              </controlPr>
            </control>
          </mc:Choice>
        </mc:AlternateContent>
        <mc:AlternateContent xmlns:mc="http://schemas.openxmlformats.org/markup-compatibility/2006">
          <mc:Choice Requires="x14">
            <control shapeId="20535" r:id="rId59" name="Check Box 55">
              <controlPr defaultSize="0" autoFill="0" autoLine="0" autoPict="0">
                <anchor moveWithCells="1">
                  <from>
                    <xdr:col>2</xdr:col>
                    <xdr:colOff>142875</xdr:colOff>
                    <xdr:row>25</xdr:row>
                    <xdr:rowOff>0</xdr:rowOff>
                  </from>
                  <to>
                    <xdr:col>3</xdr:col>
                    <xdr:colOff>0</xdr:colOff>
                    <xdr:row>25</xdr:row>
                    <xdr:rowOff>466725</xdr:rowOff>
                  </to>
                </anchor>
              </controlPr>
            </control>
          </mc:Choice>
        </mc:AlternateContent>
        <mc:AlternateContent xmlns:mc="http://schemas.openxmlformats.org/markup-compatibility/2006">
          <mc:Choice Requires="x14">
            <control shapeId="20536" r:id="rId60" name="Check Box 56">
              <controlPr defaultSize="0" autoFill="0" autoLine="0" autoPict="0">
                <anchor moveWithCells="1">
                  <from>
                    <xdr:col>0</xdr:col>
                    <xdr:colOff>142875</xdr:colOff>
                    <xdr:row>27</xdr:row>
                    <xdr:rowOff>0</xdr:rowOff>
                  </from>
                  <to>
                    <xdr:col>1</xdr:col>
                    <xdr:colOff>0</xdr:colOff>
                    <xdr:row>27</xdr:row>
                    <xdr:rowOff>466725</xdr:rowOff>
                  </to>
                </anchor>
              </controlPr>
            </control>
          </mc:Choice>
        </mc:AlternateContent>
        <mc:AlternateContent xmlns:mc="http://schemas.openxmlformats.org/markup-compatibility/2006">
          <mc:Choice Requires="x14">
            <control shapeId="20537" r:id="rId61" name="Check Box 57">
              <controlPr defaultSize="0" autoFill="0" autoLine="0" autoPict="0">
                <anchor moveWithCells="1">
                  <from>
                    <xdr:col>1</xdr:col>
                    <xdr:colOff>142875</xdr:colOff>
                    <xdr:row>27</xdr:row>
                    <xdr:rowOff>0</xdr:rowOff>
                  </from>
                  <to>
                    <xdr:col>2</xdr:col>
                    <xdr:colOff>0</xdr:colOff>
                    <xdr:row>27</xdr:row>
                    <xdr:rowOff>466725</xdr:rowOff>
                  </to>
                </anchor>
              </controlPr>
            </control>
          </mc:Choice>
        </mc:AlternateContent>
        <mc:AlternateContent xmlns:mc="http://schemas.openxmlformats.org/markup-compatibility/2006">
          <mc:Choice Requires="x14">
            <control shapeId="20538" r:id="rId62" name="Check Box 58">
              <controlPr defaultSize="0" autoFill="0" autoLine="0" autoPict="0">
                <anchor moveWithCells="1">
                  <from>
                    <xdr:col>2</xdr:col>
                    <xdr:colOff>142875</xdr:colOff>
                    <xdr:row>27</xdr:row>
                    <xdr:rowOff>0</xdr:rowOff>
                  </from>
                  <to>
                    <xdr:col>3</xdr:col>
                    <xdr:colOff>0</xdr:colOff>
                    <xdr:row>27</xdr:row>
                    <xdr:rowOff>466725</xdr:rowOff>
                  </to>
                </anchor>
              </controlPr>
            </control>
          </mc:Choice>
        </mc:AlternateContent>
        <mc:AlternateContent xmlns:mc="http://schemas.openxmlformats.org/markup-compatibility/2006">
          <mc:Choice Requires="x14">
            <control shapeId="20539" r:id="rId63" name="Check Box 59">
              <controlPr defaultSize="0" autoFill="0" autoLine="0" autoPict="0">
                <anchor moveWithCells="1">
                  <from>
                    <xdr:col>0</xdr:col>
                    <xdr:colOff>142875</xdr:colOff>
                    <xdr:row>28</xdr:row>
                    <xdr:rowOff>0</xdr:rowOff>
                  </from>
                  <to>
                    <xdr:col>1</xdr:col>
                    <xdr:colOff>0</xdr:colOff>
                    <xdr:row>28</xdr:row>
                    <xdr:rowOff>466725</xdr:rowOff>
                  </to>
                </anchor>
              </controlPr>
            </control>
          </mc:Choice>
        </mc:AlternateContent>
        <mc:AlternateContent xmlns:mc="http://schemas.openxmlformats.org/markup-compatibility/2006">
          <mc:Choice Requires="x14">
            <control shapeId="20540" r:id="rId64" name="Check Box 60">
              <controlPr defaultSize="0" autoFill="0" autoLine="0" autoPict="0">
                <anchor moveWithCells="1">
                  <from>
                    <xdr:col>1</xdr:col>
                    <xdr:colOff>142875</xdr:colOff>
                    <xdr:row>28</xdr:row>
                    <xdr:rowOff>0</xdr:rowOff>
                  </from>
                  <to>
                    <xdr:col>2</xdr:col>
                    <xdr:colOff>0</xdr:colOff>
                    <xdr:row>28</xdr:row>
                    <xdr:rowOff>466725</xdr:rowOff>
                  </to>
                </anchor>
              </controlPr>
            </control>
          </mc:Choice>
        </mc:AlternateContent>
        <mc:AlternateContent xmlns:mc="http://schemas.openxmlformats.org/markup-compatibility/2006">
          <mc:Choice Requires="x14">
            <control shapeId="20541" r:id="rId65" name="Check Box 61">
              <controlPr defaultSize="0" autoFill="0" autoLine="0" autoPict="0">
                <anchor moveWithCells="1">
                  <from>
                    <xdr:col>2</xdr:col>
                    <xdr:colOff>142875</xdr:colOff>
                    <xdr:row>28</xdr:row>
                    <xdr:rowOff>0</xdr:rowOff>
                  </from>
                  <to>
                    <xdr:col>3</xdr:col>
                    <xdr:colOff>0</xdr:colOff>
                    <xdr:row>28</xdr:row>
                    <xdr:rowOff>466725</xdr:rowOff>
                  </to>
                </anchor>
              </controlPr>
            </control>
          </mc:Choice>
        </mc:AlternateContent>
        <mc:AlternateContent xmlns:mc="http://schemas.openxmlformats.org/markup-compatibility/2006">
          <mc:Choice Requires="x14">
            <control shapeId="20542" r:id="rId66" name="Check Box 62">
              <controlPr defaultSize="0" autoFill="0" autoLine="0" autoPict="0">
                <anchor moveWithCells="1">
                  <from>
                    <xdr:col>0</xdr:col>
                    <xdr:colOff>142875</xdr:colOff>
                    <xdr:row>29</xdr:row>
                    <xdr:rowOff>0</xdr:rowOff>
                  </from>
                  <to>
                    <xdr:col>1</xdr:col>
                    <xdr:colOff>0</xdr:colOff>
                    <xdr:row>29</xdr:row>
                    <xdr:rowOff>466725</xdr:rowOff>
                  </to>
                </anchor>
              </controlPr>
            </control>
          </mc:Choice>
        </mc:AlternateContent>
        <mc:AlternateContent xmlns:mc="http://schemas.openxmlformats.org/markup-compatibility/2006">
          <mc:Choice Requires="x14">
            <control shapeId="20543" r:id="rId67" name="Check Box 63">
              <controlPr defaultSize="0" autoFill="0" autoLine="0" autoPict="0">
                <anchor moveWithCells="1">
                  <from>
                    <xdr:col>1</xdr:col>
                    <xdr:colOff>142875</xdr:colOff>
                    <xdr:row>29</xdr:row>
                    <xdr:rowOff>0</xdr:rowOff>
                  </from>
                  <to>
                    <xdr:col>2</xdr:col>
                    <xdr:colOff>0</xdr:colOff>
                    <xdr:row>29</xdr:row>
                    <xdr:rowOff>466725</xdr:rowOff>
                  </to>
                </anchor>
              </controlPr>
            </control>
          </mc:Choice>
        </mc:AlternateContent>
        <mc:AlternateContent xmlns:mc="http://schemas.openxmlformats.org/markup-compatibility/2006">
          <mc:Choice Requires="x14">
            <control shapeId="20544" r:id="rId68" name="Check Box 64">
              <controlPr defaultSize="0" autoFill="0" autoLine="0" autoPict="0">
                <anchor moveWithCells="1">
                  <from>
                    <xdr:col>2</xdr:col>
                    <xdr:colOff>142875</xdr:colOff>
                    <xdr:row>29</xdr:row>
                    <xdr:rowOff>0</xdr:rowOff>
                  </from>
                  <to>
                    <xdr:col>3</xdr:col>
                    <xdr:colOff>0</xdr:colOff>
                    <xdr:row>29</xdr:row>
                    <xdr:rowOff>466725</xdr:rowOff>
                  </to>
                </anchor>
              </controlPr>
            </control>
          </mc:Choice>
        </mc:AlternateContent>
        <mc:AlternateContent xmlns:mc="http://schemas.openxmlformats.org/markup-compatibility/2006">
          <mc:Choice Requires="x14">
            <control shapeId="20545" r:id="rId69" name="Check Box 65">
              <controlPr defaultSize="0" autoFill="0" autoLine="0" autoPict="0">
                <anchor moveWithCells="1">
                  <from>
                    <xdr:col>0</xdr:col>
                    <xdr:colOff>142875</xdr:colOff>
                    <xdr:row>30</xdr:row>
                    <xdr:rowOff>0</xdr:rowOff>
                  </from>
                  <to>
                    <xdr:col>1</xdr:col>
                    <xdr:colOff>0</xdr:colOff>
                    <xdr:row>30</xdr:row>
                    <xdr:rowOff>466725</xdr:rowOff>
                  </to>
                </anchor>
              </controlPr>
            </control>
          </mc:Choice>
        </mc:AlternateContent>
        <mc:AlternateContent xmlns:mc="http://schemas.openxmlformats.org/markup-compatibility/2006">
          <mc:Choice Requires="x14">
            <control shapeId="20546" r:id="rId70" name="Check Box 66">
              <controlPr defaultSize="0" autoFill="0" autoLine="0" autoPict="0">
                <anchor moveWithCells="1">
                  <from>
                    <xdr:col>1</xdr:col>
                    <xdr:colOff>142875</xdr:colOff>
                    <xdr:row>30</xdr:row>
                    <xdr:rowOff>0</xdr:rowOff>
                  </from>
                  <to>
                    <xdr:col>2</xdr:col>
                    <xdr:colOff>0</xdr:colOff>
                    <xdr:row>30</xdr:row>
                    <xdr:rowOff>466725</xdr:rowOff>
                  </to>
                </anchor>
              </controlPr>
            </control>
          </mc:Choice>
        </mc:AlternateContent>
        <mc:AlternateContent xmlns:mc="http://schemas.openxmlformats.org/markup-compatibility/2006">
          <mc:Choice Requires="x14">
            <control shapeId="20547" r:id="rId71" name="Check Box 67">
              <controlPr defaultSize="0" autoFill="0" autoLine="0" autoPict="0">
                <anchor moveWithCells="1">
                  <from>
                    <xdr:col>2</xdr:col>
                    <xdr:colOff>142875</xdr:colOff>
                    <xdr:row>30</xdr:row>
                    <xdr:rowOff>0</xdr:rowOff>
                  </from>
                  <to>
                    <xdr:col>3</xdr:col>
                    <xdr:colOff>0</xdr:colOff>
                    <xdr:row>30</xdr:row>
                    <xdr:rowOff>466725</xdr:rowOff>
                  </to>
                </anchor>
              </controlPr>
            </control>
          </mc:Choice>
        </mc:AlternateContent>
        <mc:AlternateContent xmlns:mc="http://schemas.openxmlformats.org/markup-compatibility/2006">
          <mc:Choice Requires="x14">
            <control shapeId="20548" r:id="rId72" name="Check Box 68">
              <controlPr defaultSize="0" autoFill="0" autoLine="0" autoPict="0">
                <anchor moveWithCells="1">
                  <from>
                    <xdr:col>0</xdr:col>
                    <xdr:colOff>142875</xdr:colOff>
                    <xdr:row>31</xdr:row>
                    <xdr:rowOff>0</xdr:rowOff>
                  </from>
                  <to>
                    <xdr:col>1</xdr:col>
                    <xdr:colOff>0</xdr:colOff>
                    <xdr:row>31</xdr:row>
                    <xdr:rowOff>466725</xdr:rowOff>
                  </to>
                </anchor>
              </controlPr>
            </control>
          </mc:Choice>
        </mc:AlternateContent>
        <mc:AlternateContent xmlns:mc="http://schemas.openxmlformats.org/markup-compatibility/2006">
          <mc:Choice Requires="x14">
            <control shapeId="20549" r:id="rId73" name="Check Box 69">
              <controlPr defaultSize="0" autoFill="0" autoLine="0" autoPict="0">
                <anchor moveWithCells="1">
                  <from>
                    <xdr:col>1</xdr:col>
                    <xdr:colOff>142875</xdr:colOff>
                    <xdr:row>31</xdr:row>
                    <xdr:rowOff>0</xdr:rowOff>
                  </from>
                  <to>
                    <xdr:col>2</xdr:col>
                    <xdr:colOff>0</xdr:colOff>
                    <xdr:row>31</xdr:row>
                    <xdr:rowOff>466725</xdr:rowOff>
                  </to>
                </anchor>
              </controlPr>
            </control>
          </mc:Choice>
        </mc:AlternateContent>
        <mc:AlternateContent xmlns:mc="http://schemas.openxmlformats.org/markup-compatibility/2006">
          <mc:Choice Requires="x14">
            <control shapeId="20550" r:id="rId74" name="Check Box 70">
              <controlPr defaultSize="0" autoFill="0" autoLine="0" autoPict="0">
                <anchor moveWithCells="1">
                  <from>
                    <xdr:col>2</xdr:col>
                    <xdr:colOff>142875</xdr:colOff>
                    <xdr:row>31</xdr:row>
                    <xdr:rowOff>0</xdr:rowOff>
                  </from>
                  <to>
                    <xdr:col>3</xdr:col>
                    <xdr:colOff>0</xdr:colOff>
                    <xdr:row>31</xdr:row>
                    <xdr:rowOff>466725</xdr:rowOff>
                  </to>
                </anchor>
              </controlPr>
            </control>
          </mc:Choice>
        </mc:AlternateContent>
        <mc:AlternateContent xmlns:mc="http://schemas.openxmlformats.org/markup-compatibility/2006">
          <mc:Choice Requires="x14">
            <control shapeId="20551" r:id="rId75" name="Check Box 71">
              <controlPr defaultSize="0" autoFill="0" autoLine="0" autoPict="0">
                <anchor moveWithCells="1">
                  <from>
                    <xdr:col>0</xdr:col>
                    <xdr:colOff>142875</xdr:colOff>
                    <xdr:row>32</xdr:row>
                    <xdr:rowOff>0</xdr:rowOff>
                  </from>
                  <to>
                    <xdr:col>1</xdr:col>
                    <xdr:colOff>0</xdr:colOff>
                    <xdr:row>32</xdr:row>
                    <xdr:rowOff>466725</xdr:rowOff>
                  </to>
                </anchor>
              </controlPr>
            </control>
          </mc:Choice>
        </mc:AlternateContent>
        <mc:AlternateContent xmlns:mc="http://schemas.openxmlformats.org/markup-compatibility/2006">
          <mc:Choice Requires="x14">
            <control shapeId="20552" r:id="rId76" name="Check Box 72">
              <controlPr defaultSize="0" autoFill="0" autoLine="0" autoPict="0">
                <anchor moveWithCells="1">
                  <from>
                    <xdr:col>1</xdr:col>
                    <xdr:colOff>142875</xdr:colOff>
                    <xdr:row>32</xdr:row>
                    <xdr:rowOff>0</xdr:rowOff>
                  </from>
                  <to>
                    <xdr:col>2</xdr:col>
                    <xdr:colOff>0</xdr:colOff>
                    <xdr:row>32</xdr:row>
                    <xdr:rowOff>466725</xdr:rowOff>
                  </to>
                </anchor>
              </controlPr>
            </control>
          </mc:Choice>
        </mc:AlternateContent>
        <mc:AlternateContent xmlns:mc="http://schemas.openxmlformats.org/markup-compatibility/2006">
          <mc:Choice Requires="x14">
            <control shapeId="20553" r:id="rId77" name="Check Box 73">
              <controlPr defaultSize="0" autoFill="0" autoLine="0" autoPict="0">
                <anchor moveWithCells="1">
                  <from>
                    <xdr:col>2</xdr:col>
                    <xdr:colOff>142875</xdr:colOff>
                    <xdr:row>32</xdr:row>
                    <xdr:rowOff>0</xdr:rowOff>
                  </from>
                  <to>
                    <xdr:col>3</xdr:col>
                    <xdr:colOff>0</xdr:colOff>
                    <xdr:row>32</xdr:row>
                    <xdr:rowOff>466725</xdr:rowOff>
                  </to>
                </anchor>
              </controlPr>
            </control>
          </mc:Choice>
        </mc:AlternateContent>
        <mc:AlternateContent xmlns:mc="http://schemas.openxmlformats.org/markup-compatibility/2006">
          <mc:Choice Requires="x14">
            <control shapeId="20554" r:id="rId78" name="Check Box 74">
              <controlPr defaultSize="0" autoFill="0" autoLine="0" autoPict="0">
                <anchor moveWithCells="1">
                  <from>
                    <xdr:col>0</xdr:col>
                    <xdr:colOff>142875</xdr:colOff>
                    <xdr:row>33</xdr:row>
                    <xdr:rowOff>0</xdr:rowOff>
                  </from>
                  <to>
                    <xdr:col>1</xdr:col>
                    <xdr:colOff>0</xdr:colOff>
                    <xdr:row>33</xdr:row>
                    <xdr:rowOff>466725</xdr:rowOff>
                  </to>
                </anchor>
              </controlPr>
            </control>
          </mc:Choice>
        </mc:AlternateContent>
        <mc:AlternateContent xmlns:mc="http://schemas.openxmlformats.org/markup-compatibility/2006">
          <mc:Choice Requires="x14">
            <control shapeId="20555" r:id="rId79" name="Check Box 75">
              <controlPr defaultSize="0" autoFill="0" autoLine="0" autoPict="0">
                <anchor moveWithCells="1">
                  <from>
                    <xdr:col>1</xdr:col>
                    <xdr:colOff>142875</xdr:colOff>
                    <xdr:row>33</xdr:row>
                    <xdr:rowOff>0</xdr:rowOff>
                  </from>
                  <to>
                    <xdr:col>2</xdr:col>
                    <xdr:colOff>0</xdr:colOff>
                    <xdr:row>33</xdr:row>
                    <xdr:rowOff>466725</xdr:rowOff>
                  </to>
                </anchor>
              </controlPr>
            </control>
          </mc:Choice>
        </mc:AlternateContent>
        <mc:AlternateContent xmlns:mc="http://schemas.openxmlformats.org/markup-compatibility/2006">
          <mc:Choice Requires="x14">
            <control shapeId="20556" r:id="rId80" name="Check Box 76">
              <controlPr defaultSize="0" autoFill="0" autoLine="0" autoPict="0">
                <anchor moveWithCells="1">
                  <from>
                    <xdr:col>2</xdr:col>
                    <xdr:colOff>142875</xdr:colOff>
                    <xdr:row>33</xdr:row>
                    <xdr:rowOff>0</xdr:rowOff>
                  </from>
                  <to>
                    <xdr:col>3</xdr:col>
                    <xdr:colOff>0</xdr:colOff>
                    <xdr:row>33</xdr:row>
                    <xdr:rowOff>466725</xdr:rowOff>
                  </to>
                </anchor>
              </controlPr>
            </control>
          </mc:Choice>
        </mc:AlternateContent>
        <mc:AlternateContent xmlns:mc="http://schemas.openxmlformats.org/markup-compatibility/2006">
          <mc:Choice Requires="x14">
            <control shapeId="20557" r:id="rId81" name="Check Box 77">
              <controlPr defaultSize="0" autoFill="0" autoLine="0" autoPict="0">
                <anchor moveWithCells="1">
                  <from>
                    <xdr:col>0</xdr:col>
                    <xdr:colOff>142875</xdr:colOff>
                    <xdr:row>34</xdr:row>
                    <xdr:rowOff>0</xdr:rowOff>
                  </from>
                  <to>
                    <xdr:col>1</xdr:col>
                    <xdr:colOff>0</xdr:colOff>
                    <xdr:row>34</xdr:row>
                    <xdr:rowOff>466725</xdr:rowOff>
                  </to>
                </anchor>
              </controlPr>
            </control>
          </mc:Choice>
        </mc:AlternateContent>
        <mc:AlternateContent xmlns:mc="http://schemas.openxmlformats.org/markup-compatibility/2006">
          <mc:Choice Requires="x14">
            <control shapeId="20558" r:id="rId82" name="Check Box 78">
              <controlPr defaultSize="0" autoFill="0" autoLine="0" autoPict="0">
                <anchor moveWithCells="1">
                  <from>
                    <xdr:col>1</xdr:col>
                    <xdr:colOff>142875</xdr:colOff>
                    <xdr:row>34</xdr:row>
                    <xdr:rowOff>0</xdr:rowOff>
                  </from>
                  <to>
                    <xdr:col>2</xdr:col>
                    <xdr:colOff>0</xdr:colOff>
                    <xdr:row>34</xdr:row>
                    <xdr:rowOff>466725</xdr:rowOff>
                  </to>
                </anchor>
              </controlPr>
            </control>
          </mc:Choice>
        </mc:AlternateContent>
        <mc:AlternateContent xmlns:mc="http://schemas.openxmlformats.org/markup-compatibility/2006">
          <mc:Choice Requires="x14">
            <control shapeId="20559" r:id="rId83" name="Check Box 79">
              <controlPr defaultSize="0" autoFill="0" autoLine="0" autoPict="0">
                <anchor moveWithCells="1">
                  <from>
                    <xdr:col>2</xdr:col>
                    <xdr:colOff>142875</xdr:colOff>
                    <xdr:row>34</xdr:row>
                    <xdr:rowOff>0</xdr:rowOff>
                  </from>
                  <to>
                    <xdr:col>3</xdr:col>
                    <xdr:colOff>0</xdr:colOff>
                    <xdr:row>34</xdr:row>
                    <xdr:rowOff>466725</xdr:rowOff>
                  </to>
                </anchor>
              </controlPr>
            </control>
          </mc:Choice>
        </mc:AlternateContent>
        <mc:AlternateContent xmlns:mc="http://schemas.openxmlformats.org/markup-compatibility/2006">
          <mc:Choice Requires="x14">
            <control shapeId="20560" r:id="rId84" name="Check Box 80">
              <controlPr defaultSize="0" autoFill="0" autoLine="0" autoPict="0">
                <anchor moveWithCells="1">
                  <from>
                    <xdr:col>0</xdr:col>
                    <xdr:colOff>142875</xdr:colOff>
                    <xdr:row>35</xdr:row>
                    <xdr:rowOff>0</xdr:rowOff>
                  </from>
                  <to>
                    <xdr:col>1</xdr:col>
                    <xdr:colOff>0</xdr:colOff>
                    <xdr:row>35</xdr:row>
                    <xdr:rowOff>466725</xdr:rowOff>
                  </to>
                </anchor>
              </controlPr>
            </control>
          </mc:Choice>
        </mc:AlternateContent>
        <mc:AlternateContent xmlns:mc="http://schemas.openxmlformats.org/markup-compatibility/2006">
          <mc:Choice Requires="x14">
            <control shapeId="20561" r:id="rId85" name="Check Box 81">
              <controlPr defaultSize="0" autoFill="0" autoLine="0" autoPict="0">
                <anchor moveWithCells="1">
                  <from>
                    <xdr:col>1</xdr:col>
                    <xdr:colOff>142875</xdr:colOff>
                    <xdr:row>35</xdr:row>
                    <xdr:rowOff>0</xdr:rowOff>
                  </from>
                  <to>
                    <xdr:col>2</xdr:col>
                    <xdr:colOff>0</xdr:colOff>
                    <xdr:row>35</xdr:row>
                    <xdr:rowOff>466725</xdr:rowOff>
                  </to>
                </anchor>
              </controlPr>
            </control>
          </mc:Choice>
        </mc:AlternateContent>
        <mc:AlternateContent xmlns:mc="http://schemas.openxmlformats.org/markup-compatibility/2006">
          <mc:Choice Requires="x14">
            <control shapeId="20562" r:id="rId86" name="Check Box 82">
              <controlPr defaultSize="0" autoFill="0" autoLine="0" autoPict="0">
                <anchor moveWithCells="1">
                  <from>
                    <xdr:col>2</xdr:col>
                    <xdr:colOff>142875</xdr:colOff>
                    <xdr:row>35</xdr:row>
                    <xdr:rowOff>0</xdr:rowOff>
                  </from>
                  <to>
                    <xdr:col>3</xdr:col>
                    <xdr:colOff>0</xdr:colOff>
                    <xdr:row>35</xdr:row>
                    <xdr:rowOff>466725</xdr:rowOff>
                  </to>
                </anchor>
              </controlPr>
            </control>
          </mc:Choice>
        </mc:AlternateContent>
        <mc:AlternateContent xmlns:mc="http://schemas.openxmlformats.org/markup-compatibility/2006">
          <mc:Choice Requires="x14">
            <control shapeId="20563" r:id="rId87" name="Check Box 83">
              <controlPr defaultSize="0" autoFill="0" autoLine="0" autoPict="0">
                <anchor moveWithCells="1">
                  <from>
                    <xdr:col>0</xdr:col>
                    <xdr:colOff>142875</xdr:colOff>
                    <xdr:row>36</xdr:row>
                    <xdr:rowOff>0</xdr:rowOff>
                  </from>
                  <to>
                    <xdr:col>1</xdr:col>
                    <xdr:colOff>0</xdr:colOff>
                    <xdr:row>36</xdr:row>
                    <xdr:rowOff>466725</xdr:rowOff>
                  </to>
                </anchor>
              </controlPr>
            </control>
          </mc:Choice>
        </mc:AlternateContent>
        <mc:AlternateContent xmlns:mc="http://schemas.openxmlformats.org/markup-compatibility/2006">
          <mc:Choice Requires="x14">
            <control shapeId="20564" r:id="rId88" name="Check Box 84">
              <controlPr defaultSize="0" autoFill="0" autoLine="0" autoPict="0">
                <anchor moveWithCells="1">
                  <from>
                    <xdr:col>1</xdr:col>
                    <xdr:colOff>142875</xdr:colOff>
                    <xdr:row>36</xdr:row>
                    <xdr:rowOff>0</xdr:rowOff>
                  </from>
                  <to>
                    <xdr:col>2</xdr:col>
                    <xdr:colOff>0</xdr:colOff>
                    <xdr:row>36</xdr:row>
                    <xdr:rowOff>466725</xdr:rowOff>
                  </to>
                </anchor>
              </controlPr>
            </control>
          </mc:Choice>
        </mc:AlternateContent>
        <mc:AlternateContent xmlns:mc="http://schemas.openxmlformats.org/markup-compatibility/2006">
          <mc:Choice Requires="x14">
            <control shapeId="20565" r:id="rId89" name="Check Box 85">
              <controlPr defaultSize="0" autoFill="0" autoLine="0" autoPict="0">
                <anchor moveWithCells="1">
                  <from>
                    <xdr:col>2</xdr:col>
                    <xdr:colOff>142875</xdr:colOff>
                    <xdr:row>36</xdr:row>
                    <xdr:rowOff>0</xdr:rowOff>
                  </from>
                  <to>
                    <xdr:col>3</xdr:col>
                    <xdr:colOff>0</xdr:colOff>
                    <xdr:row>36</xdr:row>
                    <xdr:rowOff>466725</xdr:rowOff>
                  </to>
                </anchor>
              </controlPr>
            </control>
          </mc:Choice>
        </mc:AlternateContent>
        <mc:AlternateContent xmlns:mc="http://schemas.openxmlformats.org/markup-compatibility/2006">
          <mc:Choice Requires="x14">
            <control shapeId="20566" r:id="rId90" name="Check Box 86">
              <controlPr defaultSize="0" autoFill="0" autoLine="0" autoPict="0">
                <anchor moveWithCells="1">
                  <from>
                    <xdr:col>0</xdr:col>
                    <xdr:colOff>142875</xdr:colOff>
                    <xdr:row>38</xdr:row>
                    <xdr:rowOff>0</xdr:rowOff>
                  </from>
                  <to>
                    <xdr:col>1</xdr:col>
                    <xdr:colOff>0</xdr:colOff>
                    <xdr:row>38</xdr:row>
                    <xdr:rowOff>466725</xdr:rowOff>
                  </to>
                </anchor>
              </controlPr>
            </control>
          </mc:Choice>
        </mc:AlternateContent>
        <mc:AlternateContent xmlns:mc="http://schemas.openxmlformats.org/markup-compatibility/2006">
          <mc:Choice Requires="x14">
            <control shapeId="20567" r:id="rId91" name="Check Box 87">
              <controlPr defaultSize="0" autoFill="0" autoLine="0" autoPict="0">
                <anchor moveWithCells="1">
                  <from>
                    <xdr:col>1</xdr:col>
                    <xdr:colOff>142875</xdr:colOff>
                    <xdr:row>38</xdr:row>
                    <xdr:rowOff>0</xdr:rowOff>
                  </from>
                  <to>
                    <xdr:col>2</xdr:col>
                    <xdr:colOff>0</xdr:colOff>
                    <xdr:row>38</xdr:row>
                    <xdr:rowOff>466725</xdr:rowOff>
                  </to>
                </anchor>
              </controlPr>
            </control>
          </mc:Choice>
        </mc:AlternateContent>
        <mc:AlternateContent xmlns:mc="http://schemas.openxmlformats.org/markup-compatibility/2006">
          <mc:Choice Requires="x14">
            <control shapeId="20568" r:id="rId92" name="Check Box 88">
              <controlPr defaultSize="0" autoFill="0" autoLine="0" autoPict="0">
                <anchor moveWithCells="1">
                  <from>
                    <xdr:col>2</xdr:col>
                    <xdr:colOff>142875</xdr:colOff>
                    <xdr:row>38</xdr:row>
                    <xdr:rowOff>0</xdr:rowOff>
                  </from>
                  <to>
                    <xdr:col>3</xdr:col>
                    <xdr:colOff>0</xdr:colOff>
                    <xdr:row>38</xdr:row>
                    <xdr:rowOff>466725</xdr:rowOff>
                  </to>
                </anchor>
              </controlPr>
            </control>
          </mc:Choice>
        </mc:AlternateContent>
        <mc:AlternateContent xmlns:mc="http://schemas.openxmlformats.org/markup-compatibility/2006">
          <mc:Choice Requires="x14">
            <control shapeId="20569" r:id="rId93" name="Check Box 89">
              <controlPr defaultSize="0" autoFill="0" autoLine="0" autoPict="0">
                <anchor moveWithCells="1">
                  <from>
                    <xdr:col>0</xdr:col>
                    <xdr:colOff>142875</xdr:colOff>
                    <xdr:row>39</xdr:row>
                    <xdr:rowOff>0</xdr:rowOff>
                  </from>
                  <to>
                    <xdr:col>1</xdr:col>
                    <xdr:colOff>0</xdr:colOff>
                    <xdr:row>39</xdr:row>
                    <xdr:rowOff>466725</xdr:rowOff>
                  </to>
                </anchor>
              </controlPr>
            </control>
          </mc:Choice>
        </mc:AlternateContent>
        <mc:AlternateContent xmlns:mc="http://schemas.openxmlformats.org/markup-compatibility/2006">
          <mc:Choice Requires="x14">
            <control shapeId="20570" r:id="rId94" name="Check Box 90">
              <controlPr defaultSize="0" autoFill="0" autoLine="0" autoPict="0">
                <anchor moveWithCells="1">
                  <from>
                    <xdr:col>1</xdr:col>
                    <xdr:colOff>142875</xdr:colOff>
                    <xdr:row>39</xdr:row>
                    <xdr:rowOff>0</xdr:rowOff>
                  </from>
                  <to>
                    <xdr:col>2</xdr:col>
                    <xdr:colOff>0</xdr:colOff>
                    <xdr:row>39</xdr:row>
                    <xdr:rowOff>466725</xdr:rowOff>
                  </to>
                </anchor>
              </controlPr>
            </control>
          </mc:Choice>
        </mc:AlternateContent>
        <mc:AlternateContent xmlns:mc="http://schemas.openxmlformats.org/markup-compatibility/2006">
          <mc:Choice Requires="x14">
            <control shapeId="20571" r:id="rId95" name="Check Box 91">
              <controlPr defaultSize="0" autoFill="0" autoLine="0" autoPict="0">
                <anchor moveWithCells="1">
                  <from>
                    <xdr:col>2</xdr:col>
                    <xdr:colOff>142875</xdr:colOff>
                    <xdr:row>39</xdr:row>
                    <xdr:rowOff>0</xdr:rowOff>
                  </from>
                  <to>
                    <xdr:col>3</xdr:col>
                    <xdr:colOff>0</xdr:colOff>
                    <xdr:row>39</xdr:row>
                    <xdr:rowOff>466725</xdr:rowOff>
                  </to>
                </anchor>
              </controlPr>
            </control>
          </mc:Choice>
        </mc:AlternateContent>
        <mc:AlternateContent xmlns:mc="http://schemas.openxmlformats.org/markup-compatibility/2006">
          <mc:Choice Requires="x14">
            <control shapeId="20572" r:id="rId96" name="Check Box 92">
              <controlPr defaultSize="0" autoFill="0" autoLine="0" autoPict="0">
                <anchor moveWithCells="1">
                  <from>
                    <xdr:col>0</xdr:col>
                    <xdr:colOff>142875</xdr:colOff>
                    <xdr:row>40</xdr:row>
                    <xdr:rowOff>0</xdr:rowOff>
                  </from>
                  <to>
                    <xdr:col>1</xdr:col>
                    <xdr:colOff>0</xdr:colOff>
                    <xdr:row>40</xdr:row>
                    <xdr:rowOff>466725</xdr:rowOff>
                  </to>
                </anchor>
              </controlPr>
            </control>
          </mc:Choice>
        </mc:AlternateContent>
        <mc:AlternateContent xmlns:mc="http://schemas.openxmlformats.org/markup-compatibility/2006">
          <mc:Choice Requires="x14">
            <control shapeId="20573" r:id="rId97" name="Check Box 93">
              <controlPr defaultSize="0" autoFill="0" autoLine="0" autoPict="0">
                <anchor moveWithCells="1">
                  <from>
                    <xdr:col>1</xdr:col>
                    <xdr:colOff>142875</xdr:colOff>
                    <xdr:row>40</xdr:row>
                    <xdr:rowOff>0</xdr:rowOff>
                  </from>
                  <to>
                    <xdr:col>2</xdr:col>
                    <xdr:colOff>0</xdr:colOff>
                    <xdr:row>40</xdr:row>
                    <xdr:rowOff>466725</xdr:rowOff>
                  </to>
                </anchor>
              </controlPr>
            </control>
          </mc:Choice>
        </mc:AlternateContent>
        <mc:AlternateContent xmlns:mc="http://schemas.openxmlformats.org/markup-compatibility/2006">
          <mc:Choice Requires="x14">
            <control shapeId="20574" r:id="rId98" name="Check Box 94">
              <controlPr defaultSize="0" autoFill="0" autoLine="0" autoPict="0">
                <anchor moveWithCells="1">
                  <from>
                    <xdr:col>2</xdr:col>
                    <xdr:colOff>142875</xdr:colOff>
                    <xdr:row>40</xdr:row>
                    <xdr:rowOff>0</xdr:rowOff>
                  </from>
                  <to>
                    <xdr:col>3</xdr:col>
                    <xdr:colOff>0</xdr:colOff>
                    <xdr:row>40</xdr:row>
                    <xdr:rowOff>466725</xdr:rowOff>
                  </to>
                </anchor>
              </controlPr>
            </control>
          </mc:Choice>
        </mc:AlternateContent>
        <mc:AlternateContent xmlns:mc="http://schemas.openxmlformats.org/markup-compatibility/2006">
          <mc:Choice Requires="x14">
            <control shapeId="20575" r:id="rId99" name="Check Box 95">
              <controlPr defaultSize="0" autoFill="0" autoLine="0" autoPict="0">
                <anchor moveWithCells="1">
                  <from>
                    <xdr:col>0</xdr:col>
                    <xdr:colOff>142875</xdr:colOff>
                    <xdr:row>41</xdr:row>
                    <xdr:rowOff>0</xdr:rowOff>
                  </from>
                  <to>
                    <xdr:col>1</xdr:col>
                    <xdr:colOff>0</xdr:colOff>
                    <xdr:row>41</xdr:row>
                    <xdr:rowOff>466725</xdr:rowOff>
                  </to>
                </anchor>
              </controlPr>
            </control>
          </mc:Choice>
        </mc:AlternateContent>
        <mc:AlternateContent xmlns:mc="http://schemas.openxmlformats.org/markup-compatibility/2006">
          <mc:Choice Requires="x14">
            <control shapeId="20576" r:id="rId100" name="Check Box 96">
              <controlPr defaultSize="0" autoFill="0" autoLine="0" autoPict="0">
                <anchor moveWithCells="1">
                  <from>
                    <xdr:col>1</xdr:col>
                    <xdr:colOff>142875</xdr:colOff>
                    <xdr:row>41</xdr:row>
                    <xdr:rowOff>0</xdr:rowOff>
                  </from>
                  <to>
                    <xdr:col>2</xdr:col>
                    <xdr:colOff>0</xdr:colOff>
                    <xdr:row>41</xdr:row>
                    <xdr:rowOff>466725</xdr:rowOff>
                  </to>
                </anchor>
              </controlPr>
            </control>
          </mc:Choice>
        </mc:AlternateContent>
        <mc:AlternateContent xmlns:mc="http://schemas.openxmlformats.org/markup-compatibility/2006">
          <mc:Choice Requires="x14">
            <control shapeId="20577" r:id="rId101" name="Check Box 97">
              <controlPr defaultSize="0" autoFill="0" autoLine="0" autoPict="0">
                <anchor moveWithCells="1">
                  <from>
                    <xdr:col>2</xdr:col>
                    <xdr:colOff>142875</xdr:colOff>
                    <xdr:row>41</xdr:row>
                    <xdr:rowOff>0</xdr:rowOff>
                  </from>
                  <to>
                    <xdr:col>3</xdr:col>
                    <xdr:colOff>0</xdr:colOff>
                    <xdr:row>41</xdr:row>
                    <xdr:rowOff>466725</xdr:rowOff>
                  </to>
                </anchor>
              </controlPr>
            </control>
          </mc:Choice>
        </mc:AlternateContent>
        <mc:AlternateContent xmlns:mc="http://schemas.openxmlformats.org/markup-compatibility/2006">
          <mc:Choice Requires="x14">
            <control shapeId="20578" r:id="rId102" name="Check Box 98">
              <controlPr defaultSize="0" autoFill="0" autoLine="0" autoPict="0">
                <anchor moveWithCells="1">
                  <from>
                    <xdr:col>0</xdr:col>
                    <xdr:colOff>142875</xdr:colOff>
                    <xdr:row>42</xdr:row>
                    <xdr:rowOff>0</xdr:rowOff>
                  </from>
                  <to>
                    <xdr:col>1</xdr:col>
                    <xdr:colOff>0</xdr:colOff>
                    <xdr:row>42</xdr:row>
                    <xdr:rowOff>466725</xdr:rowOff>
                  </to>
                </anchor>
              </controlPr>
            </control>
          </mc:Choice>
        </mc:AlternateContent>
        <mc:AlternateContent xmlns:mc="http://schemas.openxmlformats.org/markup-compatibility/2006">
          <mc:Choice Requires="x14">
            <control shapeId="20579" r:id="rId103" name="Check Box 99">
              <controlPr defaultSize="0" autoFill="0" autoLine="0" autoPict="0">
                <anchor moveWithCells="1">
                  <from>
                    <xdr:col>1</xdr:col>
                    <xdr:colOff>142875</xdr:colOff>
                    <xdr:row>42</xdr:row>
                    <xdr:rowOff>0</xdr:rowOff>
                  </from>
                  <to>
                    <xdr:col>2</xdr:col>
                    <xdr:colOff>0</xdr:colOff>
                    <xdr:row>42</xdr:row>
                    <xdr:rowOff>466725</xdr:rowOff>
                  </to>
                </anchor>
              </controlPr>
            </control>
          </mc:Choice>
        </mc:AlternateContent>
        <mc:AlternateContent xmlns:mc="http://schemas.openxmlformats.org/markup-compatibility/2006">
          <mc:Choice Requires="x14">
            <control shapeId="20580" r:id="rId104" name="Check Box 100">
              <controlPr defaultSize="0" autoFill="0" autoLine="0" autoPict="0">
                <anchor moveWithCells="1">
                  <from>
                    <xdr:col>2</xdr:col>
                    <xdr:colOff>142875</xdr:colOff>
                    <xdr:row>42</xdr:row>
                    <xdr:rowOff>0</xdr:rowOff>
                  </from>
                  <to>
                    <xdr:col>3</xdr:col>
                    <xdr:colOff>0</xdr:colOff>
                    <xdr:row>42</xdr:row>
                    <xdr:rowOff>466725</xdr:rowOff>
                  </to>
                </anchor>
              </controlPr>
            </control>
          </mc:Choice>
        </mc:AlternateContent>
        <mc:AlternateContent xmlns:mc="http://schemas.openxmlformats.org/markup-compatibility/2006">
          <mc:Choice Requires="x14">
            <control shapeId="20581" r:id="rId105" name="Check Box 101">
              <controlPr defaultSize="0" autoFill="0" autoLine="0" autoPict="0">
                <anchor moveWithCells="1">
                  <from>
                    <xdr:col>0</xdr:col>
                    <xdr:colOff>142875</xdr:colOff>
                    <xdr:row>43</xdr:row>
                    <xdr:rowOff>0</xdr:rowOff>
                  </from>
                  <to>
                    <xdr:col>1</xdr:col>
                    <xdr:colOff>0</xdr:colOff>
                    <xdr:row>43</xdr:row>
                    <xdr:rowOff>466725</xdr:rowOff>
                  </to>
                </anchor>
              </controlPr>
            </control>
          </mc:Choice>
        </mc:AlternateContent>
        <mc:AlternateContent xmlns:mc="http://schemas.openxmlformats.org/markup-compatibility/2006">
          <mc:Choice Requires="x14">
            <control shapeId="20582" r:id="rId106" name="Check Box 102">
              <controlPr defaultSize="0" autoFill="0" autoLine="0" autoPict="0">
                <anchor moveWithCells="1">
                  <from>
                    <xdr:col>1</xdr:col>
                    <xdr:colOff>142875</xdr:colOff>
                    <xdr:row>43</xdr:row>
                    <xdr:rowOff>0</xdr:rowOff>
                  </from>
                  <to>
                    <xdr:col>2</xdr:col>
                    <xdr:colOff>0</xdr:colOff>
                    <xdr:row>43</xdr:row>
                    <xdr:rowOff>466725</xdr:rowOff>
                  </to>
                </anchor>
              </controlPr>
            </control>
          </mc:Choice>
        </mc:AlternateContent>
        <mc:AlternateContent xmlns:mc="http://schemas.openxmlformats.org/markup-compatibility/2006">
          <mc:Choice Requires="x14">
            <control shapeId="20583" r:id="rId107" name="Check Box 103">
              <controlPr defaultSize="0" autoFill="0" autoLine="0" autoPict="0">
                <anchor moveWithCells="1">
                  <from>
                    <xdr:col>2</xdr:col>
                    <xdr:colOff>142875</xdr:colOff>
                    <xdr:row>43</xdr:row>
                    <xdr:rowOff>0</xdr:rowOff>
                  </from>
                  <to>
                    <xdr:col>3</xdr:col>
                    <xdr:colOff>0</xdr:colOff>
                    <xdr:row>43</xdr:row>
                    <xdr:rowOff>466725</xdr:rowOff>
                  </to>
                </anchor>
              </controlPr>
            </control>
          </mc:Choice>
        </mc:AlternateContent>
        <mc:AlternateContent xmlns:mc="http://schemas.openxmlformats.org/markup-compatibility/2006">
          <mc:Choice Requires="x14">
            <control shapeId="20584" r:id="rId108" name="Check Box 104">
              <controlPr defaultSize="0" autoFill="0" autoLine="0" autoPict="0">
                <anchor moveWithCells="1">
                  <from>
                    <xdr:col>0</xdr:col>
                    <xdr:colOff>142875</xdr:colOff>
                    <xdr:row>44</xdr:row>
                    <xdr:rowOff>0</xdr:rowOff>
                  </from>
                  <to>
                    <xdr:col>1</xdr:col>
                    <xdr:colOff>0</xdr:colOff>
                    <xdr:row>44</xdr:row>
                    <xdr:rowOff>466725</xdr:rowOff>
                  </to>
                </anchor>
              </controlPr>
            </control>
          </mc:Choice>
        </mc:AlternateContent>
        <mc:AlternateContent xmlns:mc="http://schemas.openxmlformats.org/markup-compatibility/2006">
          <mc:Choice Requires="x14">
            <control shapeId="20585" r:id="rId109" name="Check Box 105">
              <controlPr defaultSize="0" autoFill="0" autoLine="0" autoPict="0">
                <anchor moveWithCells="1">
                  <from>
                    <xdr:col>1</xdr:col>
                    <xdr:colOff>142875</xdr:colOff>
                    <xdr:row>44</xdr:row>
                    <xdr:rowOff>0</xdr:rowOff>
                  </from>
                  <to>
                    <xdr:col>2</xdr:col>
                    <xdr:colOff>0</xdr:colOff>
                    <xdr:row>44</xdr:row>
                    <xdr:rowOff>466725</xdr:rowOff>
                  </to>
                </anchor>
              </controlPr>
            </control>
          </mc:Choice>
        </mc:AlternateContent>
        <mc:AlternateContent xmlns:mc="http://schemas.openxmlformats.org/markup-compatibility/2006">
          <mc:Choice Requires="x14">
            <control shapeId="20586" r:id="rId110" name="Check Box 106">
              <controlPr defaultSize="0" autoFill="0" autoLine="0" autoPict="0">
                <anchor moveWithCells="1">
                  <from>
                    <xdr:col>2</xdr:col>
                    <xdr:colOff>142875</xdr:colOff>
                    <xdr:row>44</xdr:row>
                    <xdr:rowOff>0</xdr:rowOff>
                  </from>
                  <to>
                    <xdr:col>3</xdr:col>
                    <xdr:colOff>0</xdr:colOff>
                    <xdr:row>44</xdr:row>
                    <xdr:rowOff>466725</xdr:rowOff>
                  </to>
                </anchor>
              </controlPr>
            </control>
          </mc:Choice>
        </mc:AlternateContent>
        <mc:AlternateContent xmlns:mc="http://schemas.openxmlformats.org/markup-compatibility/2006">
          <mc:Choice Requires="x14">
            <control shapeId="20587" r:id="rId111" name="Check Box 107">
              <controlPr defaultSize="0" autoFill="0" autoLine="0" autoPict="0">
                <anchor moveWithCells="1">
                  <from>
                    <xdr:col>0</xdr:col>
                    <xdr:colOff>142875</xdr:colOff>
                    <xdr:row>46</xdr:row>
                    <xdr:rowOff>0</xdr:rowOff>
                  </from>
                  <to>
                    <xdr:col>1</xdr:col>
                    <xdr:colOff>0</xdr:colOff>
                    <xdr:row>46</xdr:row>
                    <xdr:rowOff>466725</xdr:rowOff>
                  </to>
                </anchor>
              </controlPr>
            </control>
          </mc:Choice>
        </mc:AlternateContent>
        <mc:AlternateContent xmlns:mc="http://schemas.openxmlformats.org/markup-compatibility/2006">
          <mc:Choice Requires="x14">
            <control shapeId="20588" r:id="rId112" name="Check Box 108">
              <controlPr defaultSize="0" autoFill="0" autoLine="0" autoPict="0">
                <anchor moveWithCells="1">
                  <from>
                    <xdr:col>1</xdr:col>
                    <xdr:colOff>142875</xdr:colOff>
                    <xdr:row>46</xdr:row>
                    <xdr:rowOff>0</xdr:rowOff>
                  </from>
                  <to>
                    <xdr:col>2</xdr:col>
                    <xdr:colOff>0</xdr:colOff>
                    <xdr:row>46</xdr:row>
                    <xdr:rowOff>466725</xdr:rowOff>
                  </to>
                </anchor>
              </controlPr>
            </control>
          </mc:Choice>
        </mc:AlternateContent>
        <mc:AlternateContent xmlns:mc="http://schemas.openxmlformats.org/markup-compatibility/2006">
          <mc:Choice Requires="x14">
            <control shapeId="20589" r:id="rId113" name="Check Box 109">
              <controlPr defaultSize="0" autoFill="0" autoLine="0" autoPict="0">
                <anchor moveWithCells="1">
                  <from>
                    <xdr:col>2</xdr:col>
                    <xdr:colOff>142875</xdr:colOff>
                    <xdr:row>46</xdr:row>
                    <xdr:rowOff>0</xdr:rowOff>
                  </from>
                  <to>
                    <xdr:col>3</xdr:col>
                    <xdr:colOff>0</xdr:colOff>
                    <xdr:row>46</xdr:row>
                    <xdr:rowOff>466725</xdr:rowOff>
                  </to>
                </anchor>
              </controlPr>
            </control>
          </mc:Choice>
        </mc:AlternateContent>
        <mc:AlternateContent xmlns:mc="http://schemas.openxmlformats.org/markup-compatibility/2006">
          <mc:Choice Requires="x14">
            <control shapeId="20590" r:id="rId114" name="Check Box 110">
              <controlPr defaultSize="0" autoFill="0" autoLine="0" autoPict="0">
                <anchor moveWithCells="1">
                  <from>
                    <xdr:col>0</xdr:col>
                    <xdr:colOff>142875</xdr:colOff>
                    <xdr:row>47</xdr:row>
                    <xdr:rowOff>0</xdr:rowOff>
                  </from>
                  <to>
                    <xdr:col>1</xdr:col>
                    <xdr:colOff>0</xdr:colOff>
                    <xdr:row>47</xdr:row>
                    <xdr:rowOff>466725</xdr:rowOff>
                  </to>
                </anchor>
              </controlPr>
            </control>
          </mc:Choice>
        </mc:AlternateContent>
        <mc:AlternateContent xmlns:mc="http://schemas.openxmlformats.org/markup-compatibility/2006">
          <mc:Choice Requires="x14">
            <control shapeId="20591" r:id="rId115" name="Check Box 111">
              <controlPr defaultSize="0" autoFill="0" autoLine="0" autoPict="0">
                <anchor moveWithCells="1">
                  <from>
                    <xdr:col>1</xdr:col>
                    <xdr:colOff>142875</xdr:colOff>
                    <xdr:row>47</xdr:row>
                    <xdr:rowOff>0</xdr:rowOff>
                  </from>
                  <to>
                    <xdr:col>2</xdr:col>
                    <xdr:colOff>0</xdr:colOff>
                    <xdr:row>47</xdr:row>
                    <xdr:rowOff>466725</xdr:rowOff>
                  </to>
                </anchor>
              </controlPr>
            </control>
          </mc:Choice>
        </mc:AlternateContent>
        <mc:AlternateContent xmlns:mc="http://schemas.openxmlformats.org/markup-compatibility/2006">
          <mc:Choice Requires="x14">
            <control shapeId="20592" r:id="rId116" name="Check Box 112">
              <controlPr defaultSize="0" autoFill="0" autoLine="0" autoPict="0">
                <anchor moveWithCells="1">
                  <from>
                    <xdr:col>2</xdr:col>
                    <xdr:colOff>142875</xdr:colOff>
                    <xdr:row>47</xdr:row>
                    <xdr:rowOff>0</xdr:rowOff>
                  </from>
                  <to>
                    <xdr:col>3</xdr:col>
                    <xdr:colOff>0</xdr:colOff>
                    <xdr:row>47</xdr:row>
                    <xdr:rowOff>466725</xdr:rowOff>
                  </to>
                </anchor>
              </controlPr>
            </control>
          </mc:Choice>
        </mc:AlternateContent>
        <mc:AlternateContent xmlns:mc="http://schemas.openxmlformats.org/markup-compatibility/2006">
          <mc:Choice Requires="x14">
            <control shapeId="20593" r:id="rId117" name="Check Box 113">
              <controlPr defaultSize="0" autoFill="0" autoLine="0" autoPict="0">
                <anchor moveWithCells="1">
                  <from>
                    <xdr:col>0</xdr:col>
                    <xdr:colOff>142875</xdr:colOff>
                    <xdr:row>48</xdr:row>
                    <xdr:rowOff>0</xdr:rowOff>
                  </from>
                  <to>
                    <xdr:col>1</xdr:col>
                    <xdr:colOff>0</xdr:colOff>
                    <xdr:row>48</xdr:row>
                    <xdr:rowOff>466725</xdr:rowOff>
                  </to>
                </anchor>
              </controlPr>
            </control>
          </mc:Choice>
        </mc:AlternateContent>
        <mc:AlternateContent xmlns:mc="http://schemas.openxmlformats.org/markup-compatibility/2006">
          <mc:Choice Requires="x14">
            <control shapeId="20594" r:id="rId118" name="Check Box 114">
              <controlPr defaultSize="0" autoFill="0" autoLine="0" autoPict="0">
                <anchor moveWithCells="1">
                  <from>
                    <xdr:col>1</xdr:col>
                    <xdr:colOff>142875</xdr:colOff>
                    <xdr:row>48</xdr:row>
                    <xdr:rowOff>0</xdr:rowOff>
                  </from>
                  <to>
                    <xdr:col>2</xdr:col>
                    <xdr:colOff>0</xdr:colOff>
                    <xdr:row>48</xdr:row>
                    <xdr:rowOff>466725</xdr:rowOff>
                  </to>
                </anchor>
              </controlPr>
            </control>
          </mc:Choice>
        </mc:AlternateContent>
        <mc:AlternateContent xmlns:mc="http://schemas.openxmlformats.org/markup-compatibility/2006">
          <mc:Choice Requires="x14">
            <control shapeId="20595" r:id="rId119" name="Check Box 115">
              <controlPr defaultSize="0" autoFill="0" autoLine="0" autoPict="0">
                <anchor moveWithCells="1">
                  <from>
                    <xdr:col>2</xdr:col>
                    <xdr:colOff>142875</xdr:colOff>
                    <xdr:row>48</xdr:row>
                    <xdr:rowOff>0</xdr:rowOff>
                  </from>
                  <to>
                    <xdr:col>3</xdr:col>
                    <xdr:colOff>0</xdr:colOff>
                    <xdr:row>48</xdr:row>
                    <xdr:rowOff>466725</xdr:rowOff>
                  </to>
                </anchor>
              </controlPr>
            </control>
          </mc:Choice>
        </mc:AlternateContent>
        <mc:AlternateContent xmlns:mc="http://schemas.openxmlformats.org/markup-compatibility/2006">
          <mc:Choice Requires="x14">
            <control shapeId="20596" r:id="rId120" name="Check Box 116">
              <controlPr defaultSize="0" autoFill="0" autoLine="0" autoPict="0">
                <anchor moveWithCells="1">
                  <from>
                    <xdr:col>0</xdr:col>
                    <xdr:colOff>142875</xdr:colOff>
                    <xdr:row>49</xdr:row>
                    <xdr:rowOff>0</xdr:rowOff>
                  </from>
                  <to>
                    <xdr:col>1</xdr:col>
                    <xdr:colOff>0</xdr:colOff>
                    <xdr:row>49</xdr:row>
                    <xdr:rowOff>466725</xdr:rowOff>
                  </to>
                </anchor>
              </controlPr>
            </control>
          </mc:Choice>
        </mc:AlternateContent>
        <mc:AlternateContent xmlns:mc="http://schemas.openxmlformats.org/markup-compatibility/2006">
          <mc:Choice Requires="x14">
            <control shapeId="20597" r:id="rId121" name="Check Box 117">
              <controlPr defaultSize="0" autoFill="0" autoLine="0" autoPict="0">
                <anchor moveWithCells="1">
                  <from>
                    <xdr:col>1</xdr:col>
                    <xdr:colOff>142875</xdr:colOff>
                    <xdr:row>49</xdr:row>
                    <xdr:rowOff>0</xdr:rowOff>
                  </from>
                  <to>
                    <xdr:col>2</xdr:col>
                    <xdr:colOff>0</xdr:colOff>
                    <xdr:row>49</xdr:row>
                    <xdr:rowOff>466725</xdr:rowOff>
                  </to>
                </anchor>
              </controlPr>
            </control>
          </mc:Choice>
        </mc:AlternateContent>
        <mc:AlternateContent xmlns:mc="http://schemas.openxmlformats.org/markup-compatibility/2006">
          <mc:Choice Requires="x14">
            <control shapeId="20598" r:id="rId122" name="Check Box 118">
              <controlPr defaultSize="0" autoFill="0" autoLine="0" autoPict="0">
                <anchor moveWithCells="1">
                  <from>
                    <xdr:col>2</xdr:col>
                    <xdr:colOff>142875</xdr:colOff>
                    <xdr:row>49</xdr:row>
                    <xdr:rowOff>0</xdr:rowOff>
                  </from>
                  <to>
                    <xdr:col>3</xdr:col>
                    <xdr:colOff>0</xdr:colOff>
                    <xdr:row>49</xdr:row>
                    <xdr:rowOff>466725</xdr:rowOff>
                  </to>
                </anchor>
              </controlPr>
            </control>
          </mc:Choice>
        </mc:AlternateContent>
        <mc:AlternateContent xmlns:mc="http://schemas.openxmlformats.org/markup-compatibility/2006">
          <mc:Choice Requires="x14">
            <control shapeId="20599" r:id="rId123" name="Check Box 119">
              <controlPr defaultSize="0" autoFill="0" autoLine="0" autoPict="0">
                <anchor moveWithCells="1">
                  <from>
                    <xdr:col>0</xdr:col>
                    <xdr:colOff>142875</xdr:colOff>
                    <xdr:row>50</xdr:row>
                    <xdr:rowOff>0</xdr:rowOff>
                  </from>
                  <to>
                    <xdr:col>1</xdr:col>
                    <xdr:colOff>0</xdr:colOff>
                    <xdr:row>50</xdr:row>
                    <xdr:rowOff>466725</xdr:rowOff>
                  </to>
                </anchor>
              </controlPr>
            </control>
          </mc:Choice>
        </mc:AlternateContent>
        <mc:AlternateContent xmlns:mc="http://schemas.openxmlformats.org/markup-compatibility/2006">
          <mc:Choice Requires="x14">
            <control shapeId="20600" r:id="rId124" name="Check Box 120">
              <controlPr defaultSize="0" autoFill="0" autoLine="0" autoPict="0">
                <anchor moveWithCells="1">
                  <from>
                    <xdr:col>1</xdr:col>
                    <xdr:colOff>142875</xdr:colOff>
                    <xdr:row>50</xdr:row>
                    <xdr:rowOff>0</xdr:rowOff>
                  </from>
                  <to>
                    <xdr:col>2</xdr:col>
                    <xdr:colOff>0</xdr:colOff>
                    <xdr:row>50</xdr:row>
                    <xdr:rowOff>466725</xdr:rowOff>
                  </to>
                </anchor>
              </controlPr>
            </control>
          </mc:Choice>
        </mc:AlternateContent>
        <mc:AlternateContent xmlns:mc="http://schemas.openxmlformats.org/markup-compatibility/2006">
          <mc:Choice Requires="x14">
            <control shapeId="20601" r:id="rId125" name="Check Box 121">
              <controlPr defaultSize="0" autoFill="0" autoLine="0" autoPict="0">
                <anchor moveWithCells="1">
                  <from>
                    <xdr:col>2</xdr:col>
                    <xdr:colOff>142875</xdr:colOff>
                    <xdr:row>50</xdr:row>
                    <xdr:rowOff>0</xdr:rowOff>
                  </from>
                  <to>
                    <xdr:col>3</xdr:col>
                    <xdr:colOff>0</xdr:colOff>
                    <xdr:row>50</xdr:row>
                    <xdr:rowOff>466725</xdr:rowOff>
                  </to>
                </anchor>
              </controlPr>
            </control>
          </mc:Choice>
        </mc:AlternateContent>
        <mc:AlternateContent xmlns:mc="http://schemas.openxmlformats.org/markup-compatibility/2006">
          <mc:Choice Requires="x14">
            <control shapeId="20605" r:id="rId126" name="Check Box 125">
              <controlPr defaultSize="0" autoFill="0" autoLine="0" autoPict="0">
                <anchor moveWithCells="1">
                  <from>
                    <xdr:col>0</xdr:col>
                    <xdr:colOff>142875</xdr:colOff>
                    <xdr:row>52</xdr:row>
                    <xdr:rowOff>0</xdr:rowOff>
                  </from>
                  <to>
                    <xdr:col>1</xdr:col>
                    <xdr:colOff>0</xdr:colOff>
                    <xdr:row>52</xdr:row>
                    <xdr:rowOff>466725</xdr:rowOff>
                  </to>
                </anchor>
              </controlPr>
            </control>
          </mc:Choice>
        </mc:AlternateContent>
        <mc:AlternateContent xmlns:mc="http://schemas.openxmlformats.org/markup-compatibility/2006">
          <mc:Choice Requires="x14">
            <control shapeId="20606" r:id="rId127" name="Check Box 126">
              <controlPr defaultSize="0" autoFill="0" autoLine="0" autoPict="0">
                <anchor moveWithCells="1">
                  <from>
                    <xdr:col>1</xdr:col>
                    <xdr:colOff>142875</xdr:colOff>
                    <xdr:row>52</xdr:row>
                    <xdr:rowOff>0</xdr:rowOff>
                  </from>
                  <to>
                    <xdr:col>2</xdr:col>
                    <xdr:colOff>0</xdr:colOff>
                    <xdr:row>52</xdr:row>
                    <xdr:rowOff>466725</xdr:rowOff>
                  </to>
                </anchor>
              </controlPr>
            </control>
          </mc:Choice>
        </mc:AlternateContent>
        <mc:AlternateContent xmlns:mc="http://schemas.openxmlformats.org/markup-compatibility/2006">
          <mc:Choice Requires="x14">
            <control shapeId="20607" r:id="rId128" name="Check Box 127">
              <controlPr defaultSize="0" autoFill="0" autoLine="0" autoPict="0">
                <anchor moveWithCells="1">
                  <from>
                    <xdr:col>2</xdr:col>
                    <xdr:colOff>142875</xdr:colOff>
                    <xdr:row>52</xdr:row>
                    <xdr:rowOff>0</xdr:rowOff>
                  </from>
                  <to>
                    <xdr:col>3</xdr:col>
                    <xdr:colOff>0</xdr:colOff>
                    <xdr:row>52</xdr:row>
                    <xdr:rowOff>466725</xdr:rowOff>
                  </to>
                </anchor>
              </controlPr>
            </control>
          </mc:Choice>
        </mc:AlternateContent>
        <mc:AlternateContent xmlns:mc="http://schemas.openxmlformats.org/markup-compatibility/2006">
          <mc:Choice Requires="x14">
            <control shapeId="20608" r:id="rId129" name="Check Box 128">
              <controlPr defaultSize="0" autoFill="0" autoLine="0" autoPict="0">
                <anchor moveWithCells="1">
                  <from>
                    <xdr:col>0</xdr:col>
                    <xdr:colOff>142875</xdr:colOff>
                    <xdr:row>53</xdr:row>
                    <xdr:rowOff>0</xdr:rowOff>
                  </from>
                  <to>
                    <xdr:col>1</xdr:col>
                    <xdr:colOff>0</xdr:colOff>
                    <xdr:row>53</xdr:row>
                    <xdr:rowOff>466725</xdr:rowOff>
                  </to>
                </anchor>
              </controlPr>
            </control>
          </mc:Choice>
        </mc:AlternateContent>
        <mc:AlternateContent xmlns:mc="http://schemas.openxmlformats.org/markup-compatibility/2006">
          <mc:Choice Requires="x14">
            <control shapeId="20609" r:id="rId130" name="Check Box 129">
              <controlPr defaultSize="0" autoFill="0" autoLine="0" autoPict="0">
                <anchor moveWithCells="1">
                  <from>
                    <xdr:col>1</xdr:col>
                    <xdr:colOff>142875</xdr:colOff>
                    <xdr:row>53</xdr:row>
                    <xdr:rowOff>0</xdr:rowOff>
                  </from>
                  <to>
                    <xdr:col>2</xdr:col>
                    <xdr:colOff>0</xdr:colOff>
                    <xdr:row>53</xdr:row>
                    <xdr:rowOff>466725</xdr:rowOff>
                  </to>
                </anchor>
              </controlPr>
            </control>
          </mc:Choice>
        </mc:AlternateContent>
        <mc:AlternateContent xmlns:mc="http://schemas.openxmlformats.org/markup-compatibility/2006">
          <mc:Choice Requires="x14">
            <control shapeId="20610" r:id="rId131" name="Check Box 130">
              <controlPr defaultSize="0" autoFill="0" autoLine="0" autoPict="0">
                <anchor moveWithCells="1">
                  <from>
                    <xdr:col>2</xdr:col>
                    <xdr:colOff>142875</xdr:colOff>
                    <xdr:row>53</xdr:row>
                    <xdr:rowOff>0</xdr:rowOff>
                  </from>
                  <to>
                    <xdr:col>3</xdr:col>
                    <xdr:colOff>0</xdr:colOff>
                    <xdr:row>53</xdr:row>
                    <xdr:rowOff>466725</xdr:rowOff>
                  </to>
                </anchor>
              </controlPr>
            </control>
          </mc:Choice>
        </mc:AlternateContent>
        <mc:AlternateContent xmlns:mc="http://schemas.openxmlformats.org/markup-compatibility/2006">
          <mc:Choice Requires="x14">
            <control shapeId="20617" r:id="rId132" name="Check Box 137">
              <controlPr defaultSize="0" autoFill="0" autoLine="0" autoPict="0">
                <anchor moveWithCells="1">
                  <from>
                    <xdr:col>0</xdr:col>
                    <xdr:colOff>142875</xdr:colOff>
                    <xdr:row>52</xdr:row>
                    <xdr:rowOff>0</xdr:rowOff>
                  </from>
                  <to>
                    <xdr:col>1</xdr:col>
                    <xdr:colOff>0</xdr:colOff>
                    <xdr:row>52</xdr:row>
                    <xdr:rowOff>466725</xdr:rowOff>
                  </to>
                </anchor>
              </controlPr>
            </control>
          </mc:Choice>
        </mc:AlternateContent>
        <mc:AlternateContent xmlns:mc="http://schemas.openxmlformats.org/markup-compatibility/2006">
          <mc:Choice Requires="x14">
            <control shapeId="20618" r:id="rId133" name="Check Box 138">
              <controlPr defaultSize="0" autoFill="0" autoLine="0" autoPict="0">
                <anchor moveWithCells="1">
                  <from>
                    <xdr:col>0</xdr:col>
                    <xdr:colOff>142875</xdr:colOff>
                    <xdr:row>50</xdr:row>
                    <xdr:rowOff>0</xdr:rowOff>
                  </from>
                  <to>
                    <xdr:col>1</xdr:col>
                    <xdr:colOff>0</xdr:colOff>
                    <xdr:row>50</xdr:row>
                    <xdr:rowOff>466725</xdr:rowOff>
                  </to>
                </anchor>
              </controlPr>
            </control>
          </mc:Choice>
        </mc:AlternateContent>
        <mc:AlternateContent xmlns:mc="http://schemas.openxmlformats.org/markup-compatibility/2006">
          <mc:Choice Requires="x14">
            <control shapeId="20619" r:id="rId134" name="Check Box 139">
              <controlPr defaultSize="0" autoFill="0" autoLine="0" autoPict="0">
                <anchor moveWithCells="1">
                  <from>
                    <xdr:col>0</xdr:col>
                    <xdr:colOff>142875</xdr:colOff>
                    <xdr:row>46</xdr:row>
                    <xdr:rowOff>0</xdr:rowOff>
                  </from>
                  <to>
                    <xdr:col>1</xdr:col>
                    <xdr:colOff>0</xdr:colOff>
                    <xdr:row>46</xdr:row>
                    <xdr:rowOff>466725</xdr:rowOff>
                  </to>
                </anchor>
              </controlPr>
            </control>
          </mc:Choice>
        </mc:AlternateContent>
        <mc:AlternateContent xmlns:mc="http://schemas.openxmlformats.org/markup-compatibility/2006">
          <mc:Choice Requires="x14">
            <control shapeId="20620" r:id="rId135" name="Check Box 140">
              <controlPr defaultSize="0" autoFill="0" autoLine="0" autoPict="0">
                <anchor moveWithCells="1">
                  <from>
                    <xdr:col>0</xdr:col>
                    <xdr:colOff>142875</xdr:colOff>
                    <xdr:row>47</xdr:row>
                    <xdr:rowOff>0</xdr:rowOff>
                  </from>
                  <to>
                    <xdr:col>1</xdr:col>
                    <xdr:colOff>0</xdr:colOff>
                    <xdr:row>47</xdr:row>
                    <xdr:rowOff>466725</xdr:rowOff>
                  </to>
                </anchor>
              </controlPr>
            </control>
          </mc:Choice>
        </mc:AlternateContent>
        <mc:AlternateContent xmlns:mc="http://schemas.openxmlformats.org/markup-compatibility/2006">
          <mc:Choice Requires="x14">
            <control shapeId="20621" r:id="rId136" name="Check Box 141">
              <controlPr defaultSize="0" autoFill="0" autoLine="0" autoPict="0">
                <anchor moveWithCells="1">
                  <from>
                    <xdr:col>0</xdr:col>
                    <xdr:colOff>142875</xdr:colOff>
                    <xdr:row>48</xdr:row>
                    <xdr:rowOff>0</xdr:rowOff>
                  </from>
                  <to>
                    <xdr:col>1</xdr:col>
                    <xdr:colOff>0</xdr:colOff>
                    <xdr:row>48</xdr:row>
                    <xdr:rowOff>466725</xdr:rowOff>
                  </to>
                </anchor>
              </controlPr>
            </control>
          </mc:Choice>
        </mc:AlternateContent>
        <mc:AlternateContent xmlns:mc="http://schemas.openxmlformats.org/markup-compatibility/2006">
          <mc:Choice Requires="x14">
            <control shapeId="20622" r:id="rId137" name="Check Box 142">
              <controlPr defaultSize="0" autoFill="0" autoLine="0" autoPict="0">
                <anchor moveWithCells="1">
                  <from>
                    <xdr:col>0</xdr:col>
                    <xdr:colOff>142875</xdr:colOff>
                    <xdr:row>49</xdr:row>
                    <xdr:rowOff>0</xdr:rowOff>
                  </from>
                  <to>
                    <xdr:col>1</xdr:col>
                    <xdr:colOff>0</xdr:colOff>
                    <xdr:row>49</xdr:row>
                    <xdr:rowOff>466725</xdr:rowOff>
                  </to>
                </anchor>
              </controlPr>
            </control>
          </mc:Choice>
        </mc:AlternateContent>
        <mc:AlternateContent xmlns:mc="http://schemas.openxmlformats.org/markup-compatibility/2006">
          <mc:Choice Requires="x14">
            <control shapeId="20623" r:id="rId138" name="Check Box 143">
              <controlPr defaultSize="0" autoFill="0" autoLine="0" autoPict="0">
                <anchor moveWithCells="1">
                  <from>
                    <xdr:col>0</xdr:col>
                    <xdr:colOff>142875</xdr:colOff>
                    <xdr:row>38</xdr:row>
                    <xdr:rowOff>0</xdr:rowOff>
                  </from>
                  <to>
                    <xdr:col>1</xdr:col>
                    <xdr:colOff>0</xdr:colOff>
                    <xdr:row>38</xdr:row>
                    <xdr:rowOff>466725</xdr:rowOff>
                  </to>
                </anchor>
              </controlPr>
            </control>
          </mc:Choice>
        </mc:AlternateContent>
        <mc:AlternateContent xmlns:mc="http://schemas.openxmlformats.org/markup-compatibility/2006">
          <mc:Choice Requires="x14">
            <control shapeId="20624" r:id="rId139" name="Check Box 144">
              <controlPr defaultSize="0" autoFill="0" autoLine="0" autoPict="0">
                <anchor moveWithCells="1">
                  <from>
                    <xdr:col>0</xdr:col>
                    <xdr:colOff>142875</xdr:colOff>
                    <xdr:row>39</xdr:row>
                    <xdr:rowOff>0</xdr:rowOff>
                  </from>
                  <to>
                    <xdr:col>1</xdr:col>
                    <xdr:colOff>0</xdr:colOff>
                    <xdr:row>39</xdr:row>
                    <xdr:rowOff>466725</xdr:rowOff>
                  </to>
                </anchor>
              </controlPr>
            </control>
          </mc:Choice>
        </mc:AlternateContent>
        <mc:AlternateContent xmlns:mc="http://schemas.openxmlformats.org/markup-compatibility/2006">
          <mc:Choice Requires="x14">
            <control shapeId="20625" r:id="rId140" name="Check Box 145">
              <controlPr defaultSize="0" autoFill="0" autoLine="0" autoPict="0">
                <anchor moveWithCells="1">
                  <from>
                    <xdr:col>0</xdr:col>
                    <xdr:colOff>142875</xdr:colOff>
                    <xdr:row>40</xdr:row>
                    <xdr:rowOff>0</xdr:rowOff>
                  </from>
                  <to>
                    <xdr:col>1</xdr:col>
                    <xdr:colOff>0</xdr:colOff>
                    <xdr:row>40</xdr:row>
                    <xdr:rowOff>466725</xdr:rowOff>
                  </to>
                </anchor>
              </controlPr>
            </control>
          </mc:Choice>
        </mc:AlternateContent>
        <mc:AlternateContent xmlns:mc="http://schemas.openxmlformats.org/markup-compatibility/2006">
          <mc:Choice Requires="x14">
            <control shapeId="20626" r:id="rId141" name="Check Box 146">
              <controlPr defaultSize="0" autoFill="0" autoLine="0" autoPict="0">
                <anchor moveWithCells="1">
                  <from>
                    <xdr:col>0</xdr:col>
                    <xdr:colOff>142875</xdr:colOff>
                    <xdr:row>41</xdr:row>
                    <xdr:rowOff>0</xdr:rowOff>
                  </from>
                  <to>
                    <xdr:col>1</xdr:col>
                    <xdr:colOff>0</xdr:colOff>
                    <xdr:row>41</xdr:row>
                    <xdr:rowOff>466725</xdr:rowOff>
                  </to>
                </anchor>
              </controlPr>
            </control>
          </mc:Choice>
        </mc:AlternateContent>
        <mc:AlternateContent xmlns:mc="http://schemas.openxmlformats.org/markup-compatibility/2006">
          <mc:Choice Requires="x14">
            <control shapeId="20627" r:id="rId142" name="Check Box 147">
              <controlPr defaultSize="0" autoFill="0" autoLine="0" autoPict="0">
                <anchor moveWithCells="1">
                  <from>
                    <xdr:col>0</xdr:col>
                    <xdr:colOff>142875</xdr:colOff>
                    <xdr:row>42</xdr:row>
                    <xdr:rowOff>0</xdr:rowOff>
                  </from>
                  <to>
                    <xdr:col>1</xdr:col>
                    <xdr:colOff>0</xdr:colOff>
                    <xdr:row>42</xdr:row>
                    <xdr:rowOff>466725</xdr:rowOff>
                  </to>
                </anchor>
              </controlPr>
            </control>
          </mc:Choice>
        </mc:AlternateContent>
        <mc:AlternateContent xmlns:mc="http://schemas.openxmlformats.org/markup-compatibility/2006">
          <mc:Choice Requires="x14">
            <control shapeId="20628" r:id="rId143" name="Check Box 148">
              <controlPr defaultSize="0" autoFill="0" autoLine="0" autoPict="0">
                <anchor moveWithCells="1">
                  <from>
                    <xdr:col>0</xdr:col>
                    <xdr:colOff>142875</xdr:colOff>
                    <xdr:row>43</xdr:row>
                    <xdr:rowOff>0</xdr:rowOff>
                  </from>
                  <to>
                    <xdr:col>1</xdr:col>
                    <xdr:colOff>0</xdr:colOff>
                    <xdr:row>43</xdr:row>
                    <xdr:rowOff>466725</xdr:rowOff>
                  </to>
                </anchor>
              </controlPr>
            </control>
          </mc:Choice>
        </mc:AlternateContent>
        <mc:AlternateContent xmlns:mc="http://schemas.openxmlformats.org/markup-compatibility/2006">
          <mc:Choice Requires="x14">
            <control shapeId="20629" r:id="rId144" name="Check Box 149">
              <controlPr defaultSize="0" autoFill="0" autoLine="0" autoPict="0">
                <anchor moveWithCells="1">
                  <from>
                    <xdr:col>0</xdr:col>
                    <xdr:colOff>142875</xdr:colOff>
                    <xdr:row>44</xdr:row>
                    <xdr:rowOff>0</xdr:rowOff>
                  </from>
                  <to>
                    <xdr:col>1</xdr:col>
                    <xdr:colOff>0</xdr:colOff>
                    <xdr:row>44</xdr:row>
                    <xdr:rowOff>466725</xdr:rowOff>
                  </to>
                </anchor>
              </controlPr>
            </control>
          </mc:Choice>
        </mc:AlternateContent>
        <mc:AlternateContent xmlns:mc="http://schemas.openxmlformats.org/markup-compatibility/2006">
          <mc:Choice Requires="x14">
            <control shapeId="20630" r:id="rId145" name="Check Box 150">
              <controlPr defaultSize="0" autoFill="0" autoLine="0" autoPict="0">
                <anchor moveWithCells="1">
                  <from>
                    <xdr:col>0</xdr:col>
                    <xdr:colOff>142875</xdr:colOff>
                    <xdr:row>27</xdr:row>
                    <xdr:rowOff>0</xdr:rowOff>
                  </from>
                  <to>
                    <xdr:col>1</xdr:col>
                    <xdr:colOff>0</xdr:colOff>
                    <xdr:row>27</xdr:row>
                    <xdr:rowOff>466725</xdr:rowOff>
                  </to>
                </anchor>
              </controlPr>
            </control>
          </mc:Choice>
        </mc:AlternateContent>
        <mc:AlternateContent xmlns:mc="http://schemas.openxmlformats.org/markup-compatibility/2006">
          <mc:Choice Requires="x14">
            <control shapeId="20631" r:id="rId146" name="Check Box 151">
              <controlPr defaultSize="0" autoFill="0" autoLine="0" autoPict="0">
                <anchor moveWithCells="1">
                  <from>
                    <xdr:col>0</xdr:col>
                    <xdr:colOff>142875</xdr:colOff>
                    <xdr:row>27</xdr:row>
                    <xdr:rowOff>0</xdr:rowOff>
                  </from>
                  <to>
                    <xdr:col>1</xdr:col>
                    <xdr:colOff>0</xdr:colOff>
                    <xdr:row>27</xdr:row>
                    <xdr:rowOff>466725</xdr:rowOff>
                  </to>
                </anchor>
              </controlPr>
            </control>
          </mc:Choice>
        </mc:AlternateContent>
        <mc:AlternateContent xmlns:mc="http://schemas.openxmlformats.org/markup-compatibility/2006">
          <mc:Choice Requires="x14">
            <control shapeId="20632" r:id="rId147" name="Check Box 152">
              <controlPr defaultSize="0" autoFill="0" autoLine="0" autoPict="0">
                <anchor moveWithCells="1">
                  <from>
                    <xdr:col>0</xdr:col>
                    <xdr:colOff>142875</xdr:colOff>
                    <xdr:row>28</xdr:row>
                    <xdr:rowOff>0</xdr:rowOff>
                  </from>
                  <to>
                    <xdr:col>1</xdr:col>
                    <xdr:colOff>0</xdr:colOff>
                    <xdr:row>28</xdr:row>
                    <xdr:rowOff>466725</xdr:rowOff>
                  </to>
                </anchor>
              </controlPr>
            </control>
          </mc:Choice>
        </mc:AlternateContent>
        <mc:AlternateContent xmlns:mc="http://schemas.openxmlformats.org/markup-compatibility/2006">
          <mc:Choice Requires="x14">
            <control shapeId="20633" r:id="rId148" name="Check Box 153">
              <controlPr defaultSize="0" autoFill="0" autoLine="0" autoPict="0">
                <anchor moveWithCells="1">
                  <from>
                    <xdr:col>0</xdr:col>
                    <xdr:colOff>142875</xdr:colOff>
                    <xdr:row>28</xdr:row>
                    <xdr:rowOff>0</xdr:rowOff>
                  </from>
                  <to>
                    <xdr:col>1</xdr:col>
                    <xdr:colOff>0</xdr:colOff>
                    <xdr:row>28</xdr:row>
                    <xdr:rowOff>466725</xdr:rowOff>
                  </to>
                </anchor>
              </controlPr>
            </control>
          </mc:Choice>
        </mc:AlternateContent>
        <mc:AlternateContent xmlns:mc="http://schemas.openxmlformats.org/markup-compatibility/2006">
          <mc:Choice Requires="x14">
            <control shapeId="20634" r:id="rId149" name="Check Box 154">
              <controlPr defaultSize="0" autoFill="0" autoLine="0" autoPict="0">
                <anchor moveWithCells="1">
                  <from>
                    <xdr:col>0</xdr:col>
                    <xdr:colOff>142875</xdr:colOff>
                    <xdr:row>29</xdr:row>
                    <xdr:rowOff>0</xdr:rowOff>
                  </from>
                  <to>
                    <xdr:col>1</xdr:col>
                    <xdr:colOff>0</xdr:colOff>
                    <xdr:row>29</xdr:row>
                    <xdr:rowOff>466725</xdr:rowOff>
                  </to>
                </anchor>
              </controlPr>
            </control>
          </mc:Choice>
        </mc:AlternateContent>
        <mc:AlternateContent xmlns:mc="http://schemas.openxmlformats.org/markup-compatibility/2006">
          <mc:Choice Requires="x14">
            <control shapeId="20635" r:id="rId150" name="Check Box 155">
              <controlPr defaultSize="0" autoFill="0" autoLine="0" autoPict="0">
                <anchor moveWithCells="1">
                  <from>
                    <xdr:col>0</xdr:col>
                    <xdr:colOff>142875</xdr:colOff>
                    <xdr:row>29</xdr:row>
                    <xdr:rowOff>0</xdr:rowOff>
                  </from>
                  <to>
                    <xdr:col>1</xdr:col>
                    <xdr:colOff>0</xdr:colOff>
                    <xdr:row>29</xdr:row>
                    <xdr:rowOff>466725</xdr:rowOff>
                  </to>
                </anchor>
              </controlPr>
            </control>
          </mc:Choice>
        </mc:AlternateContent>
        <mc:AlternateContent xmlns:mc="http://schemas.openxmlformats.org/markup-compatibility/2006">
          <mc:Choice Requires="x14">
            <control shapeId="20636" r:id="rId151" name="Check Box 156">
              <controlPr defaultSize="0" autoFill="0" autoLine="0" autoPict="0">
                <anchor moveWithCells="1">
                  <from>
                    <xdr:col>0</xdr:col>
                    <xdr:colOff>142875</xdr:colOff>
                    <xdr:row>30</xdr:row>
                    <xdr:rowOff>0</xdr:rowOff>
                  </from>
                  <to>
                    <xdr:col>1</xdr:col>
                    <xdr:colOff>0</xdr:colOff>
                    <xdr:row>30</xdr:row>
                    <xdr:rowOff>466725</xdr:rowOff>
                  </to>
                </anchor>
              </controlPr>
            </control>
          </mc:Choice>
        </mc:AlternateContent>
        <mc:AlternateContent xmlns:mc="http://schemas.openxmlformats.org/markup-compatibility/2006">
          <mc:Choice Requires="x14">
            <control shapeId="20637" r:id="rId152" name="Check Box 157">
              <controlPr defaultSize="0" autoFill="0" autoLine="0" autoPict="0">
                <anchor moveWithCells="1">
                  <from>
                    <xdr:col>0</xdr:col>
                    <xdr:colOff>142875</xdr:colOff>
                    <xdr:row>30</xdr:row>
                    <xdr:rowOff>0</xdr:rowOff>
                  </from>
                  <to>
                    <xdr:col>1</xdr:col>
                    <xdr:colOff>0</xdr:colOff>
                    <xdr:row>30</xdr:row>
                    <xdr:rowOff>466725</xdr:rowOff>
                  </to>
                </anchor>
              </controlPr>
            </control>
          </mc:Choice>
        </mc:AlternateContent>
        <mc:AlternateContent xmlns:mc="http://schemas.openxmlformats.org/markup-compatibility/2006">
          <mc:Choice Requires="x14">
            <control shapeId="20638" r:id="rId153" name="Check Box 158">
              <controlPr defaultSize="0" autoFill="0" autoLine="0" autoPict="0">
                <anchor moveWithCells="1">
                  <from>
                    <xdr:col>0</xdr:col>
                    <xdr:colOff>142875</xdr:colOff>
                    <xdr:row>31</xdr:row>
                    <xdr:rowOff>0</xdr:rowOff>
                  </from>
                  <to>
                    <xdr:col>1</xdr:col>
                    <xdr:colOff>0</xdr:colOff>
                    <xdr:row>31</xdr:row>
                    <xdr:rowOff>466725</xdr:rowOff>
                  </to>
                </anchor>
              </controlPr>
            </control>
          </mc:Choice>
        </mc:AlternateContent>
        <mc:AlternateContent xmlns:mc="http://schemas.openxmlformats.org/markup-compatibility/2006">
          <mc:Choice Requires="x14">
            <control shapeId="20639" r:id="rId154" name="Check Box 159">
              <controlPr defaultSize="0" autoFill="0" autoLine="0" autoPict="0">
                <anchor moveWithCells="1">
                  <from>
                    <xdr:col>0</xdr:col>
                    <xdr:colOff>142875</xdr:colOff>
                    <xdr:row>31</xdr:row>
                    <xdr:rowOff>0</xdr:rowOff>
                  </from>
                  <to>
                    <xdr:col>1</xdr:col>
                    <xdr:colOff>0</xdr:colOff>
                    <xdr:row>31</xdr:row>
                    <xdr:rowOff>466725</xdr:rowOff>
                  </to>
                </anchor>
              </controlPr>
            </control>
          </mc:Choice>
        </mc:AlternateContent>
        <mc:AlternateContent xmlns:mc="http://schemas.openxmlformats.org/markup-compatibility/2006">
          <mc:Choice Requires="x14">
            <control shapeId="20640" r:id="rId155" name="Check Box 160">
              <controlPr defaultSize="0" autoFill="0" autoLine="0" autoPict="0">
                <anchor moveWithCells="1">
                  <from>
                    <xdr:col>0</xdr:col>
                    <xdr:colOff>142875</xdr:colOff>
                    <xdr:row>32</xdr:row>
                    <xdr:rowOff>0</xdr:rowOff>
                  </from>
                  <to>
                    <xdr:col>1</xdr:col>
                    <xdr:colOff>0</xdr:colOff>
                    <xdr:row>32</xdr:row>
                    <xdr:rowOff>466725</xdr:rowOff>
                  </to>
                </anchor>
              </controlPr>
            </control>
          </mc:Choice>
        </mc:AlternateContent>
        <mc:AlternateContent xmlns:mc="http://schemas.openxmlformats.org/markup-compatibility/2006">
          <mc:Choice Requires="x14">
            <control shapeId="20641" r:id="rId156" name="Check Box 161">
              <controlPr defaultSize="0" autoFill="0" autoLine="0" autoPict="0">
                <anchor moveWithCells="1">
                  <from>
                    <xdr:col>0</xdr:col>
                    <xdr:colOff>142875</xdr:colOff>
                    <xdr:row>32</xdr:row>
                    <xdr:rowOff>0</xdr:rowOff>
                  </from>
                  <to>
                    <xdr:col>1</xdr:col>
                    <xdr:colOff>0</xdr:colOff>
                    <xdr:row>32</xdr:row>
                    <xdr:rowOff>466725</xdr:rowOff>
                  </to>
                </anchor>
              </controlPr>
            </control>
          </mc:Choice>
        </mc:AlternateContent>
        <mc:AlternateContent xmlns:mc="http://schemas.openxmlformats.org/markup-compatibility/2006">
          <mc:Choice Requires="x14">
            <control shapeId="20642" r:id="rId157" name="Check Box 162">
              <controlPr defaultSize="0" autoFill="0" autoLine="0" autoPict="0">
                <anchor moveWithCells="1">
                  <from>
                    <xdr:col>0</xdr:col>
                    <xdr:colOff>142875</xdr:colOff>
                    <xdr:row>33</xdr:row>
                    <xdr:rowOff>0</xdr:rowOff>
                  </from>
                  <to>
                    <xdr:col>1</xdr:col>
                    <xdr:colOff>0</xdr:colOff>
                    <xdr:row>33</xdr:row>
                    <xdr:rowOff>466725</xdr:rowOff>
                  </to>
                </anchor>
              </controlPr>
            </control>
          </mc:Choice>
        </mc:AlternateContent>
        <mc:AlternateContent xmlns:mc="http://schemas.openxmlformats.org/markup-compatibility/2006">
          <mc:Choice Requires="x14">
            <control shapeId="20643" r:id="rId158" name="Check Box 163">
              <controlPr defaultSize="0" autoFill="0" autoLine="0" autoPict="0">
                <anchor moveWithCells="1">
                  <from>
                    <xdr:col>0</xdr:col>
                    <xdr:colOff>142875</xdr:colOff>
                    <xdr:row>33</xdr:row>
                    <xdr:rowOff>0</xdr:rowOff>
                  </from>
                  <to>
                    <xdr:col>1</xdr:col>
                    <xdr:colOff>0</xdr:colOff>
                    <xdr:row>33</xdr:row>
                    <xdr:rowOff>466725</xdr:rowOff>
                  </to>
                </anchor>
              </controlPr>
            </control>
          </mc:Choice>
        </mc:AlternateContent>
        <mc:AlternateContent xmlns:mc="http://schemas.openxmlformats.org/markup-compatibility/2006">
          <mc:Choice Requires="x14">
            <control shapeId="20644" r:id="rId159" name="Check Box 164">
              <controlPr defaultSize="0" autoFill="0" autoLine="0" autoPict="0">
                <anchor moveWithCells="1">
                  <from>
                    <xdr:col>0</xdr:col>
                    <xdr:colOff>142875</xdr:colOff>
                    <xdr:row>34</xdr:row>
                    <xdr:rowOff>0</xdr:rowOff>
                  </from>
                  <to>
                    <xdr:col>1</xdr:col>
                    <xdr:colOff>0</xdr:colOff>
                    <xdr:row>34</xdr:row>
                    <xdr:rowOff>466725</xdr:rowOff>
                  </to>
                </anchor>
              </controlPr>
            </control>
          </mc:Choice>
        </mc:AlternateContent>
        <mc:AlternateContent xmlns:mc="http://schemas.openxmlformats.org/markup-compatibility/2006">
          <mc:Choice Requires="x14">
            <control shapeId="20645" r:id="rId160" name="Check Box 165">
              <controlPr defaultSize="0" autoFill="0" autoLine="0" autoPict="0">
                <anchor moveWithCells="1">
                  <from>
                    <xdr:col>0</xdr:col>
                    <xdr:colOff>142875</xdr:colOff>
                    <xdr:row>34</xdr:row>
                    <xdr:rowOff>0</xdr:rowOff>
                  </from>
                  <to>
                    <xdr:col>1</xdr:col>
                    <xdr:colOff>0</xdr:colOff>
                    <xdr:row>34</xdr:row>
                    <xdr:rowOff>466725</xdr:rowOff>
                  </to>
                </anchor>
              </controlPr>
            </control>
          </mc:Choice>
        </mc:AlternateContent>
        <mc:AlternateContent xmlns:mc="http://schemas.openxmlformats.org/markup-compatibility/2006">
          <mc:Choice Requires="x14">
            <control shapeId="20646" r:id="rId161" name="Check Box 166">
              <controlPr defaultSize="0" autoFill="0" autoLine="0" autoPict="0">
                <anchor moveWithCells="1">
                  <from>
                    <xdr:col>0</xdr:col>
                    <xdr:colOff>142875</xdr:colOff>
                    <xdr:row>35</xdr:row>
                    <xdr:rowOff>0</xdr:rowOff>
                  </from>
                  <to>
                    <xdr:col>1</xdr:col>
                    <xdr:colOff>0</xdr:colOff>
                    <xdr:row>35</xdr:row>
                    <xdr:rowOff>466725</xdr:rowOff>
                  </to>
                </anchor>
              </controlPr>
            </control>
          </mc:Choice>
        </mc:AlternateContent>
        <mc:AlternateContent xmlns:mc="http://schemas.openxmlformats.org/markup-compatibility/2006">
          <mc:Choice Requires="x14">
            <control shapeId="20647" r:id="rId162" name="Check Box 167">
              <controlPr defaultSize="0" autoFill="0" autoLine="0" autoPict="0">
                <anchor moveWithCells="1">
                  <from>
                    <xdr:col>0</xdr:col>
                    <xdr:colOff>142875</xdr:colOff>
                    <xdr:row>35</xdr:row>
                    <xdr:rowOff>0</xdr:rowOff>
                  </from>
                  <to>
                    <xdr:col>1</xdr:col>
                    <xdr:colOff>0</xdr:colOff>
                    <xdr:row>35</xdr:row>
                    <xdr:rowOff>466725</xdr:rowOff>
                  </to>
                </anchor>
              </controlPr>
            </control>
          </mc:Choice>
        </mc:AlternateContent>
        <mc:AlternateContent xmlns:mc="http://schemas.openxmlformats.org/markup-compatibility/2006">
          <mc:Choice Requires="x14">
            <control shapeId="20648" r:id="rId163" name="Check Box 168">
              <controlPr defaultSize="0" autoFill="0" autoLine="0" autoPict="0">
                <anchor moveWithCells="1">
                  <from>
                    <xdr:col>0</xdr:col>
                    <xdr:colOff>142875</xdr:colOff>
                    <xdr:row>36</xdr:row>
                    <xdr:rowOff>0</xdr:rowOff>
                  </from>
                  <to>
                    <xdr:col>1</xdr:col>
                    <xdr:colOff>0</xdr:colOff>
                    <xdr:row>36</xdr:row>
                    <xdr:rowOff>466725</xdr:rowOff>
                  </to>
                </anchor>
              </controlPr>
            </control>
          </mc:Choice>
        </mc:AlternateContent>
        <mc:AlternateContent xmlns:mc="http://schemas.openxmlformats.org/markup-compatibility/2006">
          <mc:Choice Requires="x14">
            <control shapeId="20649" r:id="rId164" name="Check Box 169">
              <controlPr defaultSize="0" autoFill="0" autoLine="0" autoPict="0">
                <anchor moveWithCells="1">
                  <from>
                    <xdr:col>0</xdr:col>
                    <xdr:colOff>142875</xdr:colOff>
                    <xdr:row>36</xdr:row>
                    <xdr:rowOff>0</xdr:rowOff>
                  </from>
                  <to>
                    <xdr:col>1</xdr:col>
                    <xdr:colOff>0</xdr:colOff>
                    <xdr:row>36</xdr:row>
                    <xdr:rowOff>466725</xdr:rowOff>
                  </to>
                </anchor>
              </controlPr>
            </control>
          </mc:Choice>
        </mc:AlternateContent>
        <mc:AlternateContent xmlns:mc="http://schemas.openxmlformats.org/markup-compatibility/2006">
          <mc:Choice Requires="x14">
            <control shapeId="20650" r:id="rId165" name="Check Box 170">
              <controlPr defaultSize="0" autoFill="0" autoLine="0" autoPict="0">
                <anchor moveWithCells="1">
                  <from>
                    <xdr:col>0</xdr:col>
                    <xdr:colOff>142875</xdr:colOff>
                    <xdr:row>16</xdr:row>
                    <xdr:rowOff>0</xdr:rowOff>
                  </from>
                  <to>
                    <xdr:col>1</xdr:col>
                    <xdr:colOff>0</xdr:colOff>
                    <xdr:row>16</xdr:row>
                    <xdr:rowOff>466725</xdr:rowOff>
                  </to>
                </anchor>
              </controlPr>
            </control>
          </mc:Choice>
        </mc:AlternateContent>
        <mc:AlternateContent xmlns:mc="http://schemas.openxmlformats.org/markup-compatibility/2006">
          <mc:Choice Requires="x14">
            <control shapeId="20651" r:id="rId166" name="Check Box 171">
              <controlPr defaultSize="0" autoFill="0" autoLine="0" autoPict="0">
                <anchor moveWithCells="1">
                  <from>
                    <xdr:col>0</xdr:col>
                    <xdr:colOff>142875</xdr:colOff>
                    <xdr:row>16</xdr:row>
                    <xdr:rowOff>0</xdr:rowOff>
                  </from>
                  <to>
                    <xdr:col>1</xdr:col>
                    <xdr:colOff>0</xdr:colOff>
                    <xdr:row>16</xdr:row>
                    <xdr:rowOff>466725</xdr:rowOff>
                  </to>
                </anchor>
              </controlPr>
            </control>
          </mc:Choice>
        </mc:AlternateContent>
        <mc:AlternateContent xmlns:mc="http://schemas.openxmlformats.org/markup-compatibility/2006">
          <mc:Choice Requires="x14">
            <control shapeId="20652" r:id="rId167" name="Check Box 172">
              <controlPr defaultSize="0" autoFill="0" autoLine="0" autoPict="0">
                <anchor moveWithCells="1">
                  <from>
                    <xdr:col>0</xdr:col>
                    <xdr:colOff>142875</xdr:colOff>
                    <xdr:row>16</xdr:row>
                    <xdr:rowOff>0</xdr:rowOff>
                  </from>
                  <to>
                    <xdr:col>1</xdr:col>
                    <xdr:colOff>0</xdr:colOff>
                    <xdr:row>16</xdr:row>
                    <xdr:rowOff>466725</xdr:rowOff>
                  </to>
                </anchor>
              </controlPr>
            </control>
          </mc:Choice>
        </mc:AlternateContent>
        <mc:AlternateContent xmlns:mc="http://schemas.openxmlformats.org/markup-compatibility/2006">
          <mc:Choice Requires="x14">
            <control shapeId="20653" r:id="rId168" name="Check Box 173">
              <controlPr defaultSize="0" autoFill="0" autoLine="0" autoPict="0">
                <anchor moveWithCells="1">
                  <from>
                    <xdr:col>0</xdr:col>
                    <xdr:colOff>142875</xdr:colOff>
                    <xdr:row>17</xdr:row>
                    <xdr:rowOff>0</xdr:rowOff>
                  </from>
                  <to>
                    <xdr:col>1</xdr:col>
                    <xdr:colOff>0</xdr:colOff>
                    <xdr:row>17</xdr:row>
                    <xdr:rowOff>466725</xdr:rowOff>
                  </to>
                </anchor>
              </controlPr>
            </control>
          </mc:Choice>
        </mc:AlternateContent>
        <mc:AlternateContent xmlns:mc="http://schemas.openxmlformats.org/markup-compatibility/2006">
          <mc:Choice Requires="x14">
            <control shapeId="20654" r:id="rId169" name="Check Box 174">
              <controlPr defaultSize="0" autoFill="0" autoLine="0" autoPict="0">
                <anchor moveWithCells="1">
                  <from>
                    <xdr:col>0</xdr:col>
                    <xdr:colOff>142875</xdr:colOff>
                    <xdr:row>17</xdr:row>
                    <xdr:rowOff>0</xdr:rowOff>
                  </from>
                  <to>
                    <xdr:col>1</xdr:col>
                    <xdr:colOff>0</xdr:colOff>
                    <xdr:row>17</xdr:row>
                    <xdr:rowOff>466725</xdr:rowOff>
                  </to>
                </anchor>
              </controlPr>
            </control>
          </mc:Choice>
        </mc:AlternateContent>
        <mc:AlternateContent xmlns:mc="http://schemas.openxmlformats.org/markup-compatibility/2006">
          <mc:Choice Requires="x14">
            <control shapeId="20655" r:id="rId170" name="Check Box 175">
              <controlPr defaultSize="0" autoFill="0" autoLine="0" autoPict="0">
                <anchor moveWithCells="1">
                  <from>
                    <xdr:col>0</xdr:col>
                    <xdr:colOff>142875</xdr:colOff>
                    <xdr:row>17</xdr:row>
                    <xdr:rowOff>0</xdr:rowOff>
                  </from>
                  <to>
                    <xdr:col>1</xdr:col>
                    <xdr:colOff>0</xdr:colOff>
                    <xdr:row>17</xdr:row>
                    <xdr:rowOff>466725</xdr:rowOff>
                  </to>
                </anchor>
              </controlPr>
            </control>
          </mc:Choice>
        </mc:AlternateContent>
        <mc:AlternateContent xmlns:mc="http://schemas.openxmlformats.org/markup-compatibility/2006">
          <mc:Choice Requires="x14">
            <control shapeId="20656" r:id="rId171" name="Check Box 176">
              <controlPr defaultSize="0" autoFill="0" autoLine="0" autoPict="0">
                <anchor moveWithCells="1">
                  <from>
                    <xdr:col>0</xdr:col>
                    <xdr:colOff>142875</xdr:colOff>
                    <xdr:row>18</xdr:row>
                    <xdr:rowOff>0</xdr:rowOff>
                  </from>
                  <to>
                    <xdr:col>1</xdr:col>
                    <xdr:colOff>0</xdr:colOff>
                    <xdr:row>18</xdr:row>
                    <xdr:rowOff>466725</xdr:rowOff>
                  </to>
                </anchor>
              </controlPr>
            </control>
          </mc:Choice>
        </mc:AlternateContent>
        <mc:AlternateContent xmlns:mc="http://schemas.openxmlformats.org/markup-compatibility/2006">
          <mc:Choice Requires="x14">
            <control shapeId="20657" r:id="rId172" name="Check Box 177">
              <controlPr defaultSize="0" autoFill="0" autoLine="0" autoPict="0">
                <anchor moveWithCells="1">
                  <from>
                    <xdr:col>0</xdr:col>
                    <xdr:colOff>142875</xdr:colOff>
                    <xdr:row>18</xdr:row>
                    <xdr:rowOff>0</xdr:rowOff>
                  </from>
                  <to>
                    <xdr:col>1</xdr:col>
                    <xdr:colOff>0</xdr:colOff>
                    <xdr:row>18</xdr:row>
                    <xdr:rowOff>466725</xdr:rowOff>
                  </to>
                </anchor>
              </controlPr>
            </control>
          </mc:Choice>
        </mc:AlternateContent>
        <mc:AlternateContent xmlns:mc="http://schemas.openxmlformats.org/markup-compatibility/2006">
          <mc:Choice Requires="x14">
            <control shapeId="20658" r:id="rId173" name="Check Box 178">
              <controlPr defaultSize="0" autoFill="0" autoLine="0" autoPict="0">
                <anchor moveWithCells="1">
                  <from>
                    <xdr:col>0</xdr:col>
                    <xdr:colOff>142875</xdr:colOff>
                    <xdr:row>18</xdr:row>
                    <xdr:rowOff>0</xdr:rowOff>
                  </from>
                  <to>
                    <xdr:col>1</xdr:col>
                    <xdr:colOff>0</xdr:colOff>
                    <xdr:row>18</xdr:row>
                    <xdr:rowOff>466725</xdr:rowOff>
                  </to>
                </anchor>
              </controlPr>
            </control>
          </mc:Choice>
        </mc:AlternateContent>
        <mc:AlternateContent xmlns:mc="http://schemas.openxmlformats.org/markup-compatibility/2006">
          <mc:Choice Requires="x14">
            <control shapeId="20659" r:id="rId174" name="Check Box 179">
              <controlPr defaultSize="0" autoFill="0" autoLine="0" autoPict="0">
                <anchor moveWithCells="1">
                  <from>
                    <xdr:col>0</xdr:col>
                    <xdr:colOff>142875</xdr:colOff>
                    <xdr:row>19</xdr:row>
                    <xdr:rowOff>0</xdr:rowOff>
                  </from>
                  <to>
                    <xdr:col>1</xdr:col>
                    <xdr:colOff>0</xdr:colOff>
                    <xdr:row>19</xdr:row>
                    <xdr:rowOff>466725</xdr:rowOff>
                  </to>
                </anchor>
              </controlPr>
            </control>
          </mc:Choice>
        </mc:AlternateContent>
        <mc:AlternateContent xmlns:mc="http://schemas.openxmlformats.org/markup-compatibility/2006">
          <mc:Choice Requires="x14">
            <control shapeId="20660" r:id="rId175" name="Check Box 180">
              <controlPr defaultSize="0" autoFill="0" autoLine="0" autoPict="0">
                <anchor moveWithCells="1">
                  <from>
                    <xdr:col>0</xdr:col>
                    <xdr:colOff>142875</xdr:colOff>
                    <xdr:row>19</xdr:row>
                    <xdr:rowOff>0</xdr:rowOff>
                  </from>
                  <to>
                    <xdr:col>1</xdr:col>
                    <xdr:colOff>0</xdr:colOff>
                    <xdr:row>19</xdr:row>
                    <xdr:rowOff>466725</xdr:rowOff>
                  </to>
                </anchor>
              </controlPr>
            </control>
          </mc:Choice>
        </mc:AlternateContent>
        <mc:AlternateContent xmlns:mc="http://schemas.openxmlformats.org/markup-compatibility/2006">
          <mc:Choice Requires="x14">
            <control shapeId="20661" r:id="rId176" name="Check Box 181">
              <controlPr defaultSize="0" autoFill="0" autoLine="0" autoPict="0">
                <anchor moveWithCells="1">
                  <from>
                    <xdr:col>0</xdr:col>
                    <xdr:colOff>142875</xdr:colOff>
                    <xdr:row>19</xdr:row>
                    <xdr:rowOff>0</xdr:rowOff>
                  </from>
                  <to>
                    <xdr:col>1</xdr:col>
                    <xdr:colOff>0</xdr:colOff>
                    <xdr:row>19</xdr:row>
                    <xdr:rowOff>466725</xdr:rowOff>
                  </to>
                </anchor>
              </controlPr>
            </control>
          </mc:Choice>
        </mc:AlternateContent>
        <mc:AlternateContent xmlns:mc="http://schemas.openxmlformats.org/markup-compatibility/2006">
          <mc:Choice Requires="x14">
            <control shapeId="20662" r:id="rId177" name="Check Box 182">
              <controlPr defaultSize="0" autoFill="0" autoLine="0" autoPict="0">
                <anchor moveWithCells="1">
                  <from>
                    <xdr:col>0</xdr:col>
                    <xdr:colOff>142875</xdr:colOff>
                    <xdr:row>20</xdr:row>
                    <xdr:rowOff>0</xdr:rowOff>
                  </from>
                  <to>
                    <xdr:col>1</xdr:col>
                    <xdr:colOff>0</xdr:colOff>
                    <xdr:row>20</xdr:row>
                    <xdr:rowOff>466725</xdr:rowOff>
                  </to>
                </anchor>
              </controlPr>
            </control>
          </mc:Choice>
        </mc:AlternateContent>
        <mc:AlternateContent xmlns:mc="http://schemas.openxmlformats.org/markup-compatibility/2006">
          <mc:Choice Requires="x14">
            <control shapeId="20663" r:id="rId178" name="Check Box 183">
              <controlPr defaultSize="0" autoFill="0" autoLine="0" autoPict="0">
                <anchor moveWithCells="1">
                  <from>
                    <xdr:col>0</xdr:col>
                    <xdr:colOff>142875</xdr:colOff>
                    <xdr:row>20</xdr:row>
                    <xdr:rowOff>0</xdr:rowOff>
                  </from>
                  <to>
                    <xdr:col>1</xdr:col>
                    <xdr:colOff>0</xdr:colOff>
                    <xdr:row>20</xdr:row>
                    <xdr:rowOff>466725</xdr:rowOff>
                  </to>
                </anchor>
              </controlPr>
            </control>
          </mc:Choice>
        </mc:AlternateContent>
        <mc:AlternateContent xmlns:mc="http://schemas.openxmlformats.org/markup-compatibility/2006">
          <mc:Choice Requires="x14">
            <control shapeId="20664" r:id="rId179" name="Check Box 184">
              <controlPr defaultSize="0" autoFill="0" autoLine="0" autoPict="0">
                <anchor moveWithCells="1">
                  <from>
                    <xdr:col>0</xdr:col>
                    <xdr:colOff>142875</xdr:colOff>
                    <xdr:row>20</xdr:row>
                    <xdr:rowOff>0</xdr:rowOff>
                  </from>
                  <to>
                    <xdr:col>1</xdr:col>
                    <xdr:colOff>0</xdr:colOff>
                    <xdr:row>20</xdr:row>
                    <xdr:rowOff>466725</xdr:rowOff>
                  </to>
                </anchor>
              </controlPr>
            </control>
          </mc:Choice>
        </mc:AlternateContent>
        <mc:AlternateContent xmlns:mc="http://schemas.openxmlformats.org/markup-compatibility/2006">
          <mc:Choice Requires="x14">
            <control shapeId="20665" r:id="rId180" name="Check Box 185">
              <controlPr defaultSize="0" autoFill="0" autoLine="0" autoPict="0">
                <anchor moveWithCells="1">
                  <from>
                    <xdr:col>0</xdr:col>
                    <xdr:colOff>142875</xdr:colOff>
                    <xdr:row>21</xdr:row>
                    <xdr:rowOff>0</xdr:rowOff>
                  </from>
                  <to>
                    <xdr:col>1</xdr:col>
                    <xdr:colOff>0</xdr:colOff>
                    <xdr:row>21</xdr:row>
                    <xdr:rowOff>466725</xdr:rowOff>
                  </to>
                </anchor>
              </controlPr>
            </control>
          </mc:Choice>
        </mc:AlternateContent>
        <mc:AlternateContent xmlns:mc="http://schemas.openxmlformats.org/markup-compatibility/2006">
          <mc:Choice Requires="x14">
            <control shapeId="20666" r:id="rId181" name="Check Box 186">
              <controlPr defaultSize="0" autoFill="0" autoLine="0" autoPict="0">
                <anchor moveWithCells="1">
                  <from>
                    <xdr:col>0</xdr:col>
                    <xdr:colOff>142875</xdr:colOff>
                    <xdr:row>21</xdr:row>
                    <xdr:rowOff>0</xdr:rowOff>
                  </from>
                  <to>
                    <xdr:col>1</xdr:col>
                    <xdr:colOff>0</xdr:colOff>
                    <xdr:row>21</xdr:row>
                    <xdr:rowOff>466725</xdr:rowOff>
                  </to>
                </anchor>
              </controlPr>
            </control>
          </mc:Choice>
        </mc:AlternateContent>
        <mc:AlternateContent xmlns:mc="http://schemas.openxmlformats.org/markup-compatibility/2006">
          <mc:Choice Requires="x14">
            <control shapeId="20667" r:id="rId182" name="Check Box 187">
              <controlPr defaultSize="0" autoFill="0" autoLine="0" autoPict="0">
                <anchor moveWithCells="1">
                  <from>
                    <xdr:col>0</xdr:col>
                    <xdr:colOff>142875</xdr:colOff>
                    <xdr:row>21</xdr:row>
                    <xdr:rowOff>0</xdr:rowOff>
                  </from>
                  <to>
                    <xdr:col>1</xdr:col>
                    <xdr:colOff>0</xdr:colOff>
                    <xdr:row>21</xdr:row>
                    <xdr:rowOff>466725</xdr:rowOff>
                  </to>
                </anchor>
              </controlPr>
            </control>
          </mc:Choice>
        </mc:AlternateContent>
        <mc:AlternateContent xmlns:mc="http://schemas.openxmlformats.org/markup-compatibility/2006">
          <mc:Choice Requires="x14">
            <control shapeId="20668" r:id="rId183" name="Check Box 188">
              <controlPr defaultSize="0" autoFill="0" autoLine="0" autoPict="0">
                <anchor moveWithCells="1">
                  <from>
                    <xdr:col>0</xdr:col>
                    <xdr:colOff>142875</xdr:colOff>
                    <xdr:row>22</xdr:row>
                    <xdr:rowOff>0</xdr:rowOff>
                  </from>
                  <to>
                    <xdr:col>1</xdr:col>
                    <xdr:colOff>0</xdr:colOff>
                    <xdr:row>22</xdr:row>
                    <xdr:rowOff>466725</xdr:rowOff>
                  </to>
                </anchor>
              </controlPr>
            </control>
          </mc:Choice>
        </mc:AlternateContent>
        <mc:AlternateContent xmlns:mc="http://schemas.openxmlformats.org/markup-compatibility/2006">
          <mc:Choice Requires="x14">
            <control shapeId="20669" r:id="rId184" name="Check Box 189">
              <controlPr defaultSize="0" autoFill="0" autoLine="0" autoPict="0">
                <anchor moveWithCells="1">
                  <from>
                    <xdr:col>0</xdr:col>
                    <xdr:colOff>142875</xdr:colOff>
                    <xdr:row>22</xdr:row>
                    <xdr:rowOff>0</xdr:rowOff>
                  </from>
                  <to>
                    <xdr:col>1</xdr:col>
                    <xdr:colOff>0</xdr:colOff>
                    <xdr:row>22</xdr:row>
                    <xdr:rowOff>466725</xdr:rowOff>
                  </to>
                </anchor>
              </controlPr>
            </control>
          </mc:Choice>
        </mc:AlternateContent>
        <mc:AlternateContent xmlns:mc="http://schemas.openxmlformats.org/markup-compatibility/2006">
          <mc:Choice Requires="x14">
            <control shapeId="20670" r:id="rId185" name="Check Box 190">
              <controlPr defaultSize="0" autoFill="0" autoLine="0" autoPict="0">
                <anchor moveWithCells="1">
                  <from>
                    <xdr:col>0</xdr:col>
                    <xdr:colOff>142875</xdr:colOff>
                    <xdr:row>22</xdr:row>
                    <xdr:rowOff>0</xdr:rowOff>
                  </from>
                  <to>
                    <xdr:col>1</xdr:col>
                    <xdr:colOff>0</xdr:colOff>
                    <xdr:row>22</xdr:row>
                    <xdr:rowOff>466725</xdr:rowOff>
                  </to>
                </anchor>
              </controlPr>
            </control>
          </mc:Choice>
        </mc:AlternateContent>
        <mc:AlternateContent xmlns:mc="http://schemas.openxmlformats.org/markup-compatibility/2006">
          <mc:Choice Requires="x14">
            <control shapeId="20671" r:id="rId186" name="Check Box 191">
              <controlPr defaultSize="0" autoFill="0" autoLine="0" autoPict="0">
                <anchor moveWithCells="1">
                  <from>
                    <xdr:col>0</xdr:col>
                    <xdr:colOff>142875</xdr:colOff>
                    <xdr:row>23</xdr:row>
                    <xdr:rowOff>0</xdr:rowOff>
                  </from>
                  <to>
                    <xdr:col>1</xdr:col>
                    <xdr:colOff>0</xdr:colOff>
                    <xdr:row>23</xdr:row>
                    <xdr:rowOff>466725</xdr:rowOff>
                  </to>
                </anchor>
              </controlPr>
            </control>
          </mc:Choice>
        </mc:AlternateContent>
        <mc:AlternateContent xmlns:mc="http://schemas.openxmlformats.org/markup-compatibility/2006">
          <mc:Choice Requires="x14">
            <control shapeId="20672" r:id="rId187" name="Check Box 192">
              <controlPr defaultSize="0" autoFill="0" autoLine="0" autoPict="0">
                <anchor moveWithCells="1">
                  <from>
                    <xdr:col>0</xdr:col>
                    <xdr:colOff>142875</xdr:colOff>
                    <xdr:row>23</xdr:row>
                    <xdr:rowOff>0</xdr:rowOff>
                  </from>
                  <to>
                    <xdr:col>1</xdr:col>
                    <xdr:colOff>0</xdr:colOff>
                    <xdr:row>23</xdr:row>
                    <xdr:rowOff>466725</xdr:rowOff>
                  </to>
                </anchor>
              </controlPr>
            </control>
          </mc:Choice>
        </mc:AlternateContent>
        <mc:AlternateContent xmlns:mc="http://schemas.openxmlformats.org/markup-compatibility/2006">
          <mc:Choice Requires="x14">
            <control shapeId="20673" r:id="rId188" name="Check Box 193">
              <controlPr defaultSize="0" autoFill="0" autoLine="0" autoPict="0">
                <anchor moveWithCells="1">
                  <from>
                    <xdr:col>0</xdr:col>
                    <xdr:colOff>142875</xdr:colOff>
                    <xdr:row>23</xdr:row>
                    <xdr:rowOff>0</xdr:rowOff>
                  </from>
                  <to>
                    <xdr:col>1</xdr:col>
                    <xdr:colOff>0</xdr:colOff>
                    <xdr:row>23</xdr:row>
                    <xdr:rowOff>466725</xdr:rowOff>
                  </to>
                </anchor>
              </controlPr>
            </control>
          </mc:Choice>
        </mc:AlternateContent>
        <mc:AlternateContent xmlns:mc="http://schemas.openxmlformats.org/markup-compatibility/2006">
          <mc:Choice Requires="x14">
            <control shapeId="20674" r:id="rId189" name="Check Box 194">
              <controlPr defaultSize="0" autoFill="0" autoLine="0" autoPict="0">
                <anchor moveWithCells="1">
                  <from>
                    <xdr:col>0</xdr:col>
                    <xdr:colOff>142875</xdr:colOff>
                    <xdr:row>24</xdr:row>
                    <xdr:rowOff>0</xdr:rowOff>
                  </from>
                  <to>
                    <xdr:col>1</xdr:col>
                    <xdr:colOff>0</xdr:colOff>
                    <xdr:row>24</xdr:row>
                    <xdr:rowOff>466725</xdr:rowOff>
                  </to>
                </anchor>
              </controlPr>
            </control>
          </mc:Choice>
        </mc:AlternateContent>
        <mc:AlternateContent xmlns:mc="http://schemas.openxmlformats.org/markup-compatibility/2006">
          <mc:Choice Requires="x14">
            <control shapeId="20675" r:id="rId190" name="Check Box 195">
              <controlPr defaultSize="0" autoFill="0" autoLine="0" autoPict="0">
                <anchor moveWithCells="1">
                  <from>
                    <xdr:col>0</xdr:col>
                    <xdr:colOff>142875</xdr:colOff>
                    <xdr:row>24</xdr:row>
                    <xdr:rowOff>0</xdr:rowOff>
                  </from>
                  <to>
                    <xdr:col>1</xdr:col>
                    <xdr:colOff>0</xdr:colOff>
                    <xdr:row>24</xdr:row>
                    <xdr:rowOff>466725</xdr:rowOff>
                  </to>
                </anchor>
              </controlPr>
            </control>
          </mc:Choice>
        </mc:AlternateContent>
        <mc:AlternateContent xmlns:mc="http://schemas.openxmlformats.org/markup-compatibility/2006">
          <mc:Choice Requires="x14">
            <control shapeId="20676" r:id="rId191" name="Check Box 196">
              <controlPr defaultSize="0" autoFill="0" autoLine="0" autoPict="0">
                <anchor moveWithCells="1">
                  <from>
                    <xdr:col>0</xdr:col>
                    <xdr:colOff>142875</xdr:colOff>
                    <xdr:row>24</xdr:row>
                    <xdr:rowOff>0</xdr:rowOff>
                  </from>
                  <to>
                    <xdr:col>1</xdr:col>
                    <xdr:colOff>0</xdr:colOff>
                    <xdr:row>24</xdr:row>
                    <xdr:rowOff>466725</xdr:rowOff>
                  </to>
                </anchor>
              </controlPr>
            </control>
          </mc:Choice>
        </mc:AlternateContent>
        <mc:AlternateContent xmlns:mc="http://schemas.openxmlformats.org/markup-compatibility/2006">
          <mc:Choice Requires="x14">
            <control shapeId="20677" r:id="rId192" name="Check Box 197">
              <controlPr defaultSize="0" autoFill="0" autoLine="0" autoPict="0">
                <anchor moveWithCells="1">
                  <from>
                    <xdr:col>0</xdr:col>
                    <xdr:colOff>142875</xdr:colOff>
                    <xdr:row>25</xdr:row>
                    <xdr:rowOff>0</xdr:rowOff>
                  </from>
                  <to>
                    <xdr:col>1</xdr:col>
                    <xdr:colOff>0</xdr:colOff>
                    <xdr:row>25</xdr:row>
                    <xdr:rowOff>466725</xdr:rowOff>
                  </to>
                </anchor>
              </controlPr>
            </control>
          </mc:Choice>
        </mc:AlternateContent>
        <mc:AlternateContent xmlns:mc="http://schemas.openxmlformats.org/markup-compatibility/2006">
          <mc:Choice Requires="x14">
            <control shapeId="20678" r:id="rId193" name="Check Box 198">
              <controlPr defaultSize="0" autoFill="0" autoLine="0" autoPict="0">
                <anchor moveWithCells="1">
                  <from>
                    <xdr:col>0</xdr:col>
                    <xdr:colOff>142875</xdr:colOff>
                    <xdr:row>25</xdr:row>
                    <xdr:rowOff>0</xdr:rowOff>
                  </from>
                  <to>
                    <xdr:col>1</xdr:col>
                    <xdr:colOff>0</xdr:colOff>
                    <xdr:row>25</xdr:row>
                    <xdr:rowOff>466725</xdr:rowOff>
                  </to>
                </anchor>
              </controlPr>
            </control>
          </mc:Choice>
        </mc:AlternateContent>
        <mc:AlternateContent xmlns:mc="http://schemas.openxmlformats.org/markup-compatibility/2006">
          <mc:Choice Requires="x14">
            <control shapeId="20679" r:id="rId194" name="Check Box 199">
              <controlPr defaultSize="0" autoFill="0" autoLine="0" autoPict="0">
                <anchor moveWithCells="1">
                  <from>
                    <xdr:col>0</xdr:col>
                    <xdr:colOff>142875</xdr:colOff>
                    <xdr:row>25</xdr:row>
                    <xdr:rowOff>0</xdr:rowOff>
                  </from>
                  <to>
                    <xdr:col>1</xdr:col>
                    <xdr:colOff>0</xdr:colOff>
                    <xdr:row>25</xdr:row>
                    <xdr:rowOff>466725</xdr:rowOff>
                  </to>
                </anchor>
              </controlPr>
            </control>
          </mc:Choice>
        </mc:AlternateContent>
        <mc:AlternateContent xmlns:mc="http://schemas.openxmlformats.org/markup-compatibility/2006">
          <mc:Choice Requires="x14">
            <control shapeId="20680" r:id="rId195" name="Check Box 200">
              <controlPr defaultSize="0" autoFill="0" autoLine="0" autoPict="0">
                <anchor moveWithCells="1">
                  <from>
                    <xdr:col>0</xdr:col>
                    <xdr:colOff>142875</xdr:colOff>
                    <xdr:row>7</xdr:row>
                    <xdr:rowOff>0</xdr:rowOff>
                  </from>
                  <to>
                    <xdr:col>1</xdr:col>
                    <xdr:colOff>0</xdr:colOff>
                    <xdr:row>7</xdr:row>
                    <xdr:rowOff>466725</xdr:rowOff>
                  </to>
                </anchor>
              </controlPr>
            </control>
          </mc:Choice>
        </mc:AlternateContent>
        <mc:AlternateContent xmlns:mc="http://schemas.openxmlformats.org/markup-compatibility/2006">
          <mc:Choice Requires="x14">
            <control shapeId="20681" r:id="rId196" name="Check Box 201">
              <controlPr defaultSize="0" autoFill="0" autoLine="0" autoPict="0">
                <anchor moveWithCells="1">
                  <from>
                    <xdr:col>0</xdr:col>
                    <xdr:colOff>142875</xdr:colOff>
                    <xdr:row>7</xdr:row>
                    <xdr:rowOff>0</xdr:rowOff>
                  </from>
                  <to>
                    <xdr:col>1</xdr:col>
                    <xdr:colOff>0</xdr:colOff>
                    <xdr:row>7</xdr:row>
                    <xdr:rowOff>466725</xdr:rowOff>
                  </to>
                </anchor>
              </controlPr>
            </control>
          </mc:Choice>
        </mc:AlternateContent>
        <mc:AlternateContent xmlns:mc="http://schemas.openxmlformats.org/markup-compatibility/2006">
          <mc:Choice Requires="x14">
            <control shapeId="20682" r:id="rId197" name="Check Box 202">
              <controlPr defaultSize="0" autoFill="0" autoLine="0" autoPict="0">
                <anchor moveWithCells="1">
                  <from>
                    <xdr:col>0</xdr:col>
                    <xdr:colOff>142875</xdr:colOff>
                    <xdr:row>7</xdr:row>
                    <xdr:rowOff>0</xdr:rowOff>
                  </from>
                  <to>
                    <xdr:col>1</xdr:col>
                    <xdr:colOff>0</xdr:colOff>
                    <xdr:row>7</xdr:row>
                    <xdr:rowOff>466725</xdr:rowOff>
                  </to>
                </anchor>
              </controlPr>
            </control>
          </mc:Choice>
        </mc:AlternateContent>
        <mc:AlternateContent xmlns:mc="http://schemas.openxmlformats.org/markup-compatibility/2006">
          <mc:Choice Requires="x14">
            <control shapeId="20683" r:id="rId198" name="Check Box 203">
              <controlPr defaultSize="0" autoFill="0" autoLine="0" autoPict="0">
                <anchor moveWithCells="1">
                  <from>
                    <xdr:col>0</xdr:col>
                    <xdr:colOff>142875</xdr:colOff>
                    <xdr:row>7</xdr:row>
                    <xdr:rowOff>0</xdr:rowOff>
                  </from>
                  <to>
                    <xdr:col>1</xdr:col>
                    <xdr:colOff>0</xdr:colOff>
                    <xdr:row>7</xdr:row>
                    <xdr:rowOff>466725</xdr:rowOff>
                  </to>
                </anchor>
              </controlPr>
            </control>
          </mc:Choice>
        </mc:AlternateContent>
        <mc:AlternateContent xmlns:mc="http://schemas.openxmlformats.org/markup-compatibility/2006">
          <mc:Choice Requires="x14">
            <control shapeId="20684" r:id="rId199" name="Check Box 204">
              <controlPr defaultSize="0" autoFill="0" autoLine="0" autoPict="0">
                <anchor moveWithCells="1">
                  <from>
                    <xdr:col>0</xdr:col>
                    <xdr:colOff>142875</xdr:colOff>
                    <xdr:row>8</xdr:row>
                    <xdr:rowOff>0</xdr:rowOff>
                  </from>
                  <to>
                    <xdr:col>1</xdr:col>
                    <xdr:colOff>0</xdr:colOff>
                    <xdr:row>8</xdr:row>
                    <xdr:rowOff>466725</xdr:rowOff>
                  </to>
                </anchor>
              </controlPr>
            </control>
          </mc:Choice>
        </mc:AlternateContent>
        <mc:AlternateContent xmlns:mc="http://schemas.openxmlformats.org/markup-compatibility/2006">
          <mc:Choice Requires="x14">
            <control shapeId="20685" r:id="rId200" name="Check Box 205">
              <controlPr defaultSize="0" autoFill="0" autoLine="0" autoPict="0">
                <anchor moveWithCells="1">
                  <from>
                    <xdr:col>0</xdr:col>
                    <xdr:colOff>142875</xdr:colOff>
                    <xdr:row>8</xdr:row>
                    <xdr:rowOff>0</xdr:rowOff>
                  </from>
                  <to>
                    <xdr:col>1</xdr:col>
                    <xdr:colOff>0</xdr:colOff>
                    <xdr:row>8</xdr:row>
                    <xdr:rowOff>466725</xdr:rowOff>
                  </to>
                </anchor>
              </controlPr>
            </control>
          </mc:Choice>
        </mc:AlternateContent>
        <mc:AlternateContent xmlns:mc="http://schemas.openxmlformats.org/markup-compatibility/2006">
          <mc:Choice Requires="x14">
            <control shapeId="20686" r:id="rId201" name="Check Box 206">
              <controlPr defaultSize="0" autoFill="0" autoLine="0" autoPict="0">
                <anchor moveWithCells="1">
                  <from>
                    <xdr:col>0</xdr:col>
                    <xdr:colOff>142875</xdr:colOff>
                    <xdr:row>8</xdr:row>
                    <xdr:rowOff>0</xdr:rowOff>
                  </from>
                  <to>
                    <xdr:col>1</xdr:col>
                    <xdr:colOff>0</xdr:colOff>
                    <xdr:row>8</xdr:row>
                    <xdr:rowOff>466725</xdr:rowOff>
                  </to>
                </anchor>
              </controlPr>
            </control>
          </mc:Choice>
        </mc:AlternateContent>
        <mc:AlternateContent xmlns:mc="http://schemas.openxmlformats.org/markup-compatibility/2006">
          <mc:Choice Requires="x14">
            <control shapeId="20687" r:id="rId202" name="Check Box 207">
              <controlPr defaultSize="0" autoFill="0" autoLine="0" autoPict="0">
                <anchor moveWithCells="1">
                  <from>
                    <xdr:col>0</xdr:col>
                    <xdr:colOff>142875</xdr:colOff>
                    <xdr:row>8</xdr:row>
                    <xdr:rowOff>0</xdr:rowOff>
                  </from>
                  <to>
                    <xdr:col>1</xdr:col>
                    <xdr:colOff>0</xdr:colOff>
                    <xdr:row>8</xdr:row>
                    <xdr:rowOff>466725</xdr:rowOff>
                  </to>
                </anchor>
              </controlPr>
            </control>
          </mc:Choice>
        </mc:AlternateContent>
        <mc:AlternateContent xmlns:mc="http://schemas.openxmlformats.org/markup-compatibility/2006">
          <mc:Choice Requires="x14">
            <control shapeId="20688" r:id="rId203" name="Check Box 208">
              <controlPr defaultSize="0" autoFill="0" autoLine="0" autoPict="0">
                <anchor moveWithCells="1">
                  <from>
                    <xdr:col>0</xdr:col>
                    <xdr:colOff>142875</xdr:colOff>
                    <xdr:row>9</xdr:row>
                    <xdr:rowOff>0</xdr:rowOff>
                  </from>
                  <to>
                    <xdr:col>1</xdr:col>
                    <xdr:colOff>0</xdr:colOff>
                    <xdr:row>9</xdr:row>
                    <xdr:rowOff>466725</xdr:rowOff>
                  </to>
                </anchor>
              </controlPr>
            </control>
          </mc:Choice>
        </mc:AlternateContent>
        <mc:AlternateContent xmlns:mc="http://schemas.openxmlformats.org/markup-compatibility/2006">
          <mc:Choice Requires="x14">
            <control shapeId="20689" r:id="rId204" name="Check Box 209">
              <controlPr defaultSize="0" autoFill="0" autoLine="0" autoPict="0">
                <anchor moveWithCells="1">
                  <from>
                    <xdr:col>0</xdr:col>
                    <xdr:colOff>142875</xdr:colOff>
                    <xdr:row>9</xdr:row>
                    <xdr:rowOff>0</xdr:rowOff>
                  </from>
                  <to>
                    <xdr:col>1</xdr:col>
                    <xdr:colOff>0</xdr:colOff>
                    <xdr:row>9</xdr:row>
                    <xdr:rowOff>466725</xdr:rowOff>
                  </to>
                </anchor>
              </controlPr>
            </control>
          </mc:Choice>
        </mc:AlternateContent>
        <mc:AlternateContent xmlns:mc="http://schemas.openxmlformats.org/markup-compatibility/2006">
          <mc:Choice Requires="x14">
            <control shapeId="20690" r:id="rId205" name="Check Box 210">
              <controlPr defaultSize="0" autoFill="0" autoLine="0" autoPict="0">
                <anchor moveWithCells="1">
                  <from>
                    <xdr:col>0</xdr:col>
                    <xdr:colOff>142875</xdr:colOff>
                    <xdr:row>9</xdr:row>
                    <xdr:rowOff>0</xdr:rowOff>
                  </from>
                  <to>
                    <xdr:col>1</xdr:col>
                    <xdr:colOff>0</xdr:colOff>
                    <xdr:row>9</xdr:row>
                    <xdr:rowOff>466725</xdr:rowOff>
                  </to>
                </anchor>
              </controlPr>
            </control>
          </mc:Choice>
        </mc:AlternateContent>
        <mc:AlternateContent xmlns:mc="http://schemas.openxmlformats.org/markup-compatibility/2006">
          <mc:Choice Requires="x14">
            <control shapeId="20691" r:id="rId206" name="Check Box 211">
              <controlPr defaultSize="0" autoFill="0" autoLine="0" autoPict="0">
                <anchor moveWithCells="1">
                  <from>
                    <xdr:col>0</xdr:col>
                    <xdr:colOff>142875</xdr:colOff>
                    <xdr:row>9</xdr:row>
                    <xdr:rowOff>0</xdr:rowOff>
                  </from>
                  <to>
                    <xdr:col>1</xdr:col>
                    <xdr:colOff>0</xdr:colOff>
                    <xdr:row>9</xdr:row>
                    <xdr:rowOff>466725</xdr:rowOff>
                  </to>
                </anchor>
              </controlPr>
            </control>
          </mc:Choice>
        </mc:AlternateContent>
        <mc:AlternateContent xmlns:mc="http://schemas.openxmlformats.org/markup-compatibility/2006">
          <mc:Choice Requires="x14">
            <control shapeId="20692" r:id="rId207" name="Check Box 212">
              <controlPr defaultSize="0" autoFill="0" autoLine="0" autoPict="0">
                <anchor moveWithCells="1">
                  <from>
                    <xdr:col>0</xdr:col>
                    <xdr:colOff>142875</xdr:colOff>
                    <xdr:row>10</xdr:row>
                    <xdr:rowOff>0</xdr:rowOff>
                  </from>
                  <to>
                    <xdr:col>1</xdr:col>
                    <xdr:colOff>0</xdr:colOff>
                    <xdr:row>10</xdr:row>
                    <xdr:rowOff>466725</xdr:rowOff>
                  </to>
                </anchor>
              </controlPr>
            </control>
          </mc:Choice>
        </mc:AlternateContent>
        <mc:AlternateContent xmlns:mc="http://schemas.openxmlformats.org/markup-compatibility/2006">
          <mc:Choice Requires="x14">
            <control shapeId="20693" r:id="rId208" name="Check Box 213">
              <controlPr defaultSize="0" autoFill="0" autoLine="0" autoPict="0">
                <anchor moveWithCells="1">
                  <from>
                    <xdr:col>0</xdr:col>
                    <xdr:colOff>142875</xdr:colOff>
                    <xdr:row>10</xdr:row>
                    <xdr:rowOff>0</xdr:rowOff>
                  </from>
                  <to>
                    <xdr:col>1</xdr:col>
                    <xdr:colOff>0</xdr:colOff>
                    <xdr:row>10</xdr:row>
                    <xdr:rowOff>466725</xdr:rowOff>
                  </to>
                </anchor>
              </controlPr>
            </control>
          </mc:Choice>
        </mc:AlternateContent>
        <mc:AlternateContent xmlns:mc="http://schemas.openxmlformats.org/markup-compatibility/2006">
          <mc:Choice Requires="x14">
            <control shapeId="20694" r:id="rId209" name="Check Box 214">
              <controlPr defaultSize="0" autoFill="0" autoLine="0" autoPict="0">
                <anchor moveWithCells="1">
                  <from>
                    <xdr:col>0</xdr:col>
                    <xdr:colOff>142875</xdr:colOff>
                    <xdr:row>10</xdr:row>
                    <xdr:rowOff>0</xdr:rowOff>
                  </from>
                  <to>
                    <xdr:col>1</xdr:col>
                    <xdr:colOff>0</xdr:colOff>
                    <xdr:row>10</xdr:row>
                    <xdr:rowOff>466725</xdr:rowOff>
                  </to>
                </anchor>
              </controlPr>
            </control>
          </mc:Choice>
        </mc:AlternateContent>
        <mc:AlternateContent xmlns:mc="http://schemas.openxmlformats.org/markup-compatibility/2006">
          <mc:Choice Requires="x14">
            <control shapeId="20695" r:id="rId210" name="Check Box 215">
              <controlPr defaultSize="0" autoFill="0" autoLine="0" autoPict="0">
                <anchor moveWithCells="1">
                  <from>
                    <xdr:col>0</xdr:col>
                    <xdr:colOff>142875</xdr:colOff>
                    <xdr:row>10</xdr:row>
                    <xdr:rowOff>0</xdr:rowOff>
                  </from>
                  <to>
                    <xdr:col>1</xdr:col>
                    <xdr:colOff>0</xdr:colOff>
                    <xdr:row>10</xdr:row>
                    <xdr:rowOff>466725</xdr:rowOff>
                  </to>
                </anchor>
              </controlPr>
            </control>
          </mc:Choice>
        </mc:AlternateContent>
        <mc:AlternateContent xmlns:mc="http://schemas.openxmlformats.org/markup-compatibility/2006">
          <mc:Choice Requires="x14">
            <control shapeId="20696" r:id="rId211" name="Check Box 216">
              <controlPr defaultSize="0" autoFill="0" autoLine="0" autoPict="0">
                <anchor moveWithCells="1">
                  <from>
                    <xdr:col>0</xdr:col>
                    <xdr:colOff>142875</xdr:colOff>
                    <xdr:row>11</xdr:row>
                    <xdr:rowOff>0</xdr:rowOff>
                  </from>
                  <to>
                    <xdr:col>1</xdr:col>
                    <xdr:colOff>0</xdr:colOff>
                    <xdr:row>11</xdr:row>
                    <xdr:rowOff>466725</xdr:rowOff>
                  </to>
                </anchor>
              </controlPr>
            </control>
          </mc:Choice>
        </mc:AlternateContent>
        <mc:AlternateContent xmlns:mc="http://schemas.openxmlformats.org/markup-compatibility/2006">
          <mc:Choice Requires="x14">
            <control shapeId="20697" r:id="rId212" name="Check Box 217">
              <controlPr defaultSize="0" autoFill="0" autoLine="0" autoPict="0">
                <anchor moveWithCells="1">
                  <from>
                    <xdr:col>0</xdr:col>
                    <xdr:colOff>142875</xdr:colOff>
                    <xdr:row>11</xdr:row>
                    <xdr:rowOff>0</xdr:rowOff>
                  </from>
                  <to>
                    <xdr:col>1</xdr:col>
                    <xdr:colOff>0</xdr:colOff>
                    <xdr:row>11</xdr:row>
                    <xdr:rowOff>466725</xdr:rowOff>
                  </to>
                </anchor>
              </controlPr>
            </control>
          </mc:Choice>
        </mc:AlternateContent>
        <mc:AlternateContent xmlns:mc="http://schemas.openxmlformats.org/markup-compatibility/2006">
          <mc:Choice Requires="x14">
            <control shapeId="20698" r:id="rId213" name="Check Box 218">
              <controlPr defaultSize="0" autoFill="0" autoLine="0" autoPict="0">
                <anchor moveWithCells="1">
                  <from>
                    <xdr:col>0</xdr:col>
                    <xdr:colOff>142875</xdr:colOff>
                    <xdr:row>11</xdr:row>
                    <xdr:rowOff>0</xdr:rowOff>
                  </from>
                  <to>
                    <xdr:col>1</xdr:col>
                    <xdr:colOff>0</xdr:colOff>
                    <xdr:row>11</xdr:row>
                    <xdr:rowOff>466725</xdr:rowOff>
                  </to>
                </anchor>
              </controlPr>
            </control>
          </mc:Choice>
        </mc:AlternateContent>
        <mc:AlternateContent xmlns:mc="http://schemas.openxmlformats.org/markup-compatibility/2006">
          <mc:Choice Requires="x14">
            <control shapeId="20699" r:id="rId214" name="Check Box 219">
              <controlPr defaultSize="0" autoFill="0" autoLine="0" autoPict="0">
                <anchor moveWithCells="1">
                  <from>
                    <xdr:col>0</xdr:col>
                    <xdr:colOff>142875</xdr:colOff>
                    <xdr:row>11</xdr:row>
                    <xdr:rowOff>0</xdr:rowOff>
                  </from>
                  <to>
                    <xdr:col>1</xdr:col>
                    <xdr:colOff>0</xdr:colOff>
                    <xdr:row>11</xdr:row>
                    <xdr:rowOff>466725</xdr:rowOff>
                  </to>
                </anchor>
              </controlPr>
            </control>
          </mc:Choice>
        </mc:AlternateContent>
        <mc:AlternateContent xmlns:mc="http://schemas.openxmlformats.org/markup-compatibility/2006">
          <mc:Choice Requires="x14">
            <control shapeId="20700" r:id="rId215" name="Check Box 220">
              <controlPr defaultSize="0" autoFill="0" autoLine="0" autoPict="0">
                <anchor moveWithCells="1">
                  <from>
                    <xdr:col>0</xdr:col>
                    <xdr:colOff>142875</xdr:colOff>
                    <xdr:row>12</xdr:row>
                    <xdr:rowOff>0</xdr:rowOff>
                  </from>
                  <to>
                    <xdr:col>1</xdr:col>
                    <xdr:colOff>0</xdr:colOff>
                    <xdr:row>12</xdr:row>
                    <xdr:rowOff>466725</xdr:rowOff>
                  </to>
                </anchor>
              </controlPr>
            </control>
          </mc:Choice>
        </mc:AlternateContent>
        <mc:AlternateContent xmlns:mc="http://schemas.openxmlformats.org/markup-compatibility/2006">
          <mc:Choice Requires="x14">
            <control shapeId="20701" r:id="rId216" name="Check Box 221">
              <controlPr defaultSize="0" autoFill="0" autoLine="0" autoPict="0">
                <anchor moveWithCells="1">
                  <from>
                    <xdr:col>0</xdr:col>
                    <xdr:colOff>142875</xdr:colOff>
                    <xdr:row>12</xdr:row>
                    <xdr:rowOff>0</xdr:rowOff>
                  </from>
                  <to>
                    <xdr:col>1</xdr:col>
                    <xdr:colOff>0</xdr:colOff>
                    <xdr:row>12</xdr:row>
                    <xdr:rowOff>466725</xdr:rowOff>
                  </to>
                </anchor>
              </controlPr>
            </control>
          </mc:Choice>
        </mc:AlternateContent>
        <mc:AlternateContent xmlns:mc="http://schemas.openxmlformats.org/markup-compatibility/2006">
          <mc:Choice Requires="x14">
            <control shapeId="20702" r:id="rId217" name="Check Box 222">
              <controlPr defaultSize="0" autoFill="0" autoLine="0" autoPict="0">
                <anchor moveWithCells="1">
                  <from>
                    <xdr:col>0</xdr:col>
                    <xdr:colOff>142875</xdr:colOff>
                    <xdr:row>12</xdr:row>
                    <xdr:rowOff>0</xdr:rowOff>
                  </from>
                  <to>
                    <xdr:col>1</xdr:col>
                    <xdr:colOff>0</xdr:colOff>
                    <xdr:row>12</xdr:row>
                    <xdr:rowOff>466725</xdr:rowOff>
                  </to>
                </anchor>
              </controlPr>
            </control>
          </mc:Choice>
        </mc:AlternateContent>
        <mc:AlternateContent xmlns:mc="http://schemas.openxmlformats.org/markup-compatibility/2006">
          <mc:Choice Requires="x14">
            <control shapeId="20703" r:id="rId218" name="Check Box 223">
              <controlPr defaultSize="0" autoFill="0" autoLine="0" autoPict="0">
                <anchor moveWithCells="1">
                  <from>
                    <xdr:col>0</xdr:col>
                    <xdr:colOff>142875</xdr:colOff>
                    <xdr:row>12</xdr:row>
                    <xdr:rowOff>0</xdr:rowOff>
                  </from>
                  <to>
                    <xdr:col>1</xdr:col>
                    <xdr:colOff>0</xdr:colOff>
                    <xdr:row>12</xdr:row>
                    <xdr:rowOff>466725</xdr:rowOff>
                  </to>
                </anchor>
              </controlPr>
            </control>
          </mc:Choice>
        </mc:AlternateContent>
        <mc:AlternateContent xmlns:mc="http://schemas.openxmlformats.org/markup-compatibility/2006">
          <mc:Choice Requires="x14">
            <control shapeId="20704" r:id="rId219" name="Check Box 224">
              <controlPr defaultSize="0" autoFill="0" autoLine="0" autoPict="0">
                <anchor moveWithCells="1">
                  <from>
                    <xdr:col>0</xdr:col>
                    <xdr:colOff>142875</xdr:colOff>
                    <xdr:row>13</xdr:row>
                    <xdr:rowOff>0</xdr:rowOff>
                  </from>
                  <to>
                    <xdr:col>1</xdr:col>
                    <xdr:colOff>0</xdr:colOff>
                    <xdr:row>13</xdr:row>
                    <xdr:rowOff>466725</xdr:rowOff>
                  </to>
                </anchor>
              </controlPr>
            </control>
          </mc:Choice>
        </mc:AlternateContent>
        <mc:AlternateContent xmlns:mc="http://schemas.openxmlformats.org/markup-compatibility/2006">
          <mc:Choice Requires="x14">
            <control shapeId="20705" r:id="rId220" name="Check Box 225">
              <controlPr defaultSize="0" autoFill="0" autoLine="0" autoPict="0">
                <anchor moveWithCells="1">
                  <from>
                    <xdr:col>0</xdr:col>
                    <xdr:colOff>142875</xdr:colOff>
                    <xdr:row>13</xdr:row>
                    <xdr:rowOff>0</xdr:rowOff>
                  </from>
                  <to>
                    <xdr:col>1</xdr:col>
                    <xdr:colOff>0</xdr:colOff>
                    <xdr:row>13</xdr:row>
                    <xdr:rowOff>466725</xdr:rowOff>
                  </to>
                </anchor>
              </controlPr>
            </control>
          </mc:Choice>
        </mc:AlternateContent>
        <mc:AlternateContent xmlns:mc="http://schemas.openxmlformats.org/markup-compatibility/2006">
          <mc:Choice Requires="x14">
            <control shapeId="20706" r:id="rId221" name="Check Box 226">
              <controlPr defaultSize="0" autoFill="0" autoLine="0" autoPict="0">
                <anchor moveWithCells="1">
                  <from>
                    <xdr:col>0</xdr:col>
                    <xdr:colOff>142875</xdr:colOff>
                    <xdr:row>13</xdr:row>
                    <xdr:rowOff>0</xdr:rowOff>
                  </from>
                  <to>
                    <xdr:col>1</xdr:col>
                    <xdr:colOff>0</xdr:colOff>
                    <xdr:row>13</xdr:row>
                    <xdr:rowOff>466725</xdr:rowOff>
                  </to>
                </anchor>
              </controlPr>
            </control>
          </mc:Choice>
        </mc:AlternateContent>
        <mc:AlternateContent xmlns:mc="http://schemas.openxmlformats.org/markup-compatibility/2006">
          <mc:Choice Requires="x14">
            <control shapeId="20707" r:id="rId222" name="Check Box 227">
              <controlPr defaultSize="0" autoFill="0" autoLine="0" autoPict="0">
                <anchor moveWithCells="1">
                  <from>
                    <xdr:col>0</xdr:col>
                    <xdr:colOff>142875</xdr:colOff>
                    <xdr:row>13</xdr:row>
                    <xdr:rowOff>0</xdr:rowOff>
                  </from>
                  <to>
                    <xdr:col>1</xdr:col>
                    <xdr:colOff>0</xdr:colOff>
                    <xdr:row>13</xdr:row>
                    <xdr:rowOff>466725</xdr:rowOff>
                  </to>
                </anchor>
              </controlPr>
            </control>
          </mc:Choice>
        </mc:AlternateContent>
        <mc:AlternateContent xmlns:mc="http://schemas.openxmlformats.org/markup-compatibility/2006">
          <mc:Choice Requires="x14">
            <control shapeId="20708" r:id="rId223" name="Check Box 228">
              <controlPr defaultSize="0" autoFill="0" autoLine="0" autoPict="0">
                <anchor moveWithCells="1">
                  <from>
                    <xdr:col>0</xdr:col>
                    <xdr:colOff>142875</xdr:colOff>
                    <xdr:row>14</xdr:row>
                    <xdr:rowOff>0</xdr:rowOff>
                  </from>
                  <to>
                    <xdr:col>1</xdr:col>
                    <xdr:colOff>0</xdr:colOff>
                    <xdr:row>14</xdr:row>
                    <xdr:rowOff>466725</xdr:rowOff>
                  </to>
                </anchor>
              </controlPr>
            </control>
          </mc:Choice>
        </mc:AlternateContent>
        <mc:AlternateContent xmlns:mc="http://schemas.openxmlformats.org/markup-compatibility/2006">
          <mc:Choice Requires="x14">
            <control shapeId="20709" r:id="rId224" name="Check Box 229">
              <controlPr defaultSize="0" autoFill="0" autoLine="0" autoPict="0">
                <anchor moveWithCells="1">
                  <from>
                    <xdr:col>0</xdr:col>
                    <xdr:colOff>142875</xdr:colOff>
                    <xdr:row>14</xdr:row>
                    <xdr:rowOff>0</xdr:rowOff>
                  </from>
                  <to>
                    <xdr:col>1</xdr:col>
                    <xdr:colOff>0</xdr:colOff>
                    <xdr:row>14</xdr:row>
                    <xdr:rowOff>466725</xdr:rowOff>
                  </to>
                </anchor>
              </controlPr>
            </control>
          </mc:Choice>
        </mc:AlternateContent>
        <mc:AlternateContent xmlns:mc="http://schemas.openxmlformats.org/markup-compatibility/2006">
          <mc:Choice Requires="x14">
            <control shapeId="20710" r:id="rId225" name="Check Box 230">
              <controlPr defaultSize="0" autoFill="0" autoLine="0" autoPict="0">
                <anchor moveWithCells="1">
                  <from>
                    <xdr:col>0</xdr:col>
                    <xdr:colOff>142875</xdr:colOff>
                    <xdr:row>14</xdr:row>
                    <xdr:rowOff>0</xdr:rowOff>
                  </from>
                  <to>
                    <xdr:col>1</xdr:col>
                    <xdr:colOff>0</xdr:colOff>
                    <xdr:row>14</xdr:row>
                    <xdr:rowOff>466725</xdr:rowOff>
                  </to>
                </anchor>
              </controlPr>
            </control>
          </mc:Choice>
        </mc:AlternateContent>
        <mc:AlternateContent xmlns:mc="http://schemas.openxmlformats.org/markup-compatibility/2006">
          <mc:Choice Requires="x14">
            <control shapeId="20711" r:id="rId226" name="Check Box 231">
              <controlPr defaultSize="0" autoFill="0" autoLine="0" autoPict="0">
                <anchor moveWithCells="1">
                  <from>
                    <xdr:col>0</xdr:col>
                    <xdr:colOff>142875</xdr:colOff>
                    <xdr:row>14</xdr:row>
                    <xdr:rowOff>0</xdr:rowOff>
                  </from>
                  <to>
                    <xdr:col>1</xdr:col>
                    <xdr:colOff>0</xdr:colOff>
                    <xdr:row>14</xdr:row>
                    <xdr:rowOff>466725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A8314E2-3CCA-4DD9-9AE0-CEDA15743CE8}">
            <x14:dataBar minLength="0" maxLength="100" gradient="0">
              <x14:cfvo type="num">
                <xm:f>0</xm:f>
              </x14:cfvo>
              <x14:cfvo type="num">
                <xm:f>42</xm:f>
              </x14:cfvo>
              <x14:negativeFillColor rgb="FFFF0000"/>
              <x14:axisColor rgb="FF000000"/>
            </x14:dataBar>
          </x14:cfRule>
          <xm:sqref>D3</xm:sqref>
        </x14:conditionalFormatting>
        <x14:conditionalFormatting xmlns:xm="http://schemas.microsoft.com/office/excel/2006/main">
          <x14:cfRule type="dataBar" id="{511B793D-0556-4DE9-B72A-D9CD5E5756C1}">
            <x14:dataBar minLength="0" maxLength="100" gradient="0">
              <x14:cfvo type="num">
                <xm:f>0</xm:f>
              </x14:cfvo>
              <x14:cfvo type="num">
                <xm:f>42</xm:f>
              </x14:cfvo>
              <x14:negativeFillColor rgb="FFFF0000"/>
              <x14:axisColor rgb="FF000000"/>
            </x14:dataBar>
          </x14:cfRule>
          <xm:sqref>D4</xm:sqref>
        </x14:conditionalFormatting>
        <x14:conditionalFormatting xmlns:xm="http://schemas.microsoft.com/office/excel/2006/main">
          <x14:cfRule type="dataBar" id="{804B728F-404D-4750-895F-35C93338CC1A}">
            <x14:dataBar minLength="0" maxLength="100" gradient="0">
              <x14:cfvo type="num">
                <xm:f>0</xm:f>
              </x14:cfvo>
              <x14:cfvo type="num">
                <xm:f>42</xm:f>
              </x14:cfvo>
              <x14:negativeFillColor rgb="FFFF0000"/>
              <x14:axisColor rgb="FF000000"/>
            </x14:dataBar>
          </x14:cfRule>
          <xm:sqref>D5</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22"/>
    <pageSetUpPr fitToPage="1"/>
  </sheetPr>
  <dimension ref="A1:CG181"/>
  <sheetViews>
    <sheetView zoomScale="85" zoomScaleNormal="85" zoomScaleSheetLayoutView="100" workbookViewId="0">
      <pane ySplit="1" topLeftCell="A2" activePane="bottomLeft" state="frozen"/>
      <selection pane="bottomLeft" activeCell="D4" sqref="D4"/>
    </sheetView>
  </sheetViews>
  <sheetFormatPr defaultColWidth="9.140625" defaultRowHeight="12.75" x14ac:dyDescent="0.2"/>
  <cols>
    <col min="1" max="1" width="14.5703125" style="16" customWidth="1"/>
    <col min="2" max="2" width="18.140625" style="177" customWidth="1"/>
    <col min="3" max="3" width="33.7109375" style="15" customWidth="1"/>
    <col min="4" max="4" width="52.5703125" style="16" customWidth="1"/>
    <col min="5" max="5" width="50" style="16" customWidth="1"/>
    <col min="6" max="6" width="11.5703125" style="1" customWidth="1"/>
    <col min="7" max="16384" width="9.140625" style="1"/>
  </cols>
  <sheetData>
    <row r="1" spans="1:85" s="58" customFormat="1" ht="26.25" thickBot="1" x14ac:dyDescent="0.25">
      <c r="A1" s="53"/>
      <c r="B1" s="54" t="s">
        <v>261</v>
      </c>
      <c r="C1" s="55" t="s">
        <v>743</v>
      </c>
      <c r="D1" s="56" t="s">
        <v>409</v>
      </c>
      <c r="E1" s="56" t="s">
        <v>410</v>
      </c>
      <c r="F1" s="57" t="s">
        <v>483</v>
      </c>
    </row>
    <row r="2" spans="1:85" ht="64.5" thickTop="1" x14ac:dyDescent="0.2">
      <c r="A2" s="40" t="s">
        <v>1422</v>
      </c>
      <c r="B2" s="141" t="s">
        <v>174</v>
      </c>
      <c r="C2" s="241" t="s">
        <v>417</v>
      </c>
      <c r="D2" s="19" t="s">
        <v>1052</v>
      </c>
      <c r="E2" s="19" t="s">
        <v>1053</v>
      </c>
      <c r="F2" s="41" t="s">
        <v>484</v>
      </c>
    </row>
    <row r="3" spans="1:85" ht="76.5" x14ac:dyDescent="0.2">
      <c r="A3" s="40"/>
      <c r="B3" s="142" t="s">
        <v>175</v>
      </c>
      <c r="C3" s="242" t="s">
        <v>418</v>
      </c>
      <c r="D3" s="35" t="s">
        <v>1028</v>
      </c>
      <c r="E3" s="35" t="s">
        <v>1054</v>
      </c>
      <c r="F3" s="107" t="s">
        <v>484</v>
      </c>
    </row>
    <row r="4" spans="1:85" ht="140.25" x14ac:dyDescent="0.2">
      <c r="A4" s="50"/>
      <c r="B4" s="289" t="s">
        <v>1648</v>
      </c>
      <c r="C4" s="240" t="s">
        <v>1649</v>
      </c>
      <c r="D4" s="291" t="s">
        <v>2088</v>
      </c>
      <c r="E4" s="19" t="s">
        <v>2089</v>
      </c>
      <c r="F4" s="41" t="s">
        <v>484</v>
      </c>
    </row>
    <row r="5" spans="1:85" ht="242.25" x14ac:dyDescent="0.2">
      <c r="A5" s="40"/>
      <c r="B5" s="182" t="s">
        <v>908</v>
      </c>
      <c r="C5" s="243" t="s">
        <v>1568</v>
      </c>
      <c r="D5" s="228" t="s">
        <v>1650</v>
      </c>
      <c r="E5" s="228" t="s">
        <v>1651</v>
      </c>
      <c r="F5" s="47" t="s">
        <v>484</v>
      </c>
    </row>
    <row r="6" spans="1:85" ht="76.5" x14ac:dyDescent="0.2">
      <c r="A6" s="40"/>
      <c r="B6" s="141" t="s">
        <v>118</v>
      </c>
      <c r="C6" s="244" t="s">
        <v>2090</v>
      </c>
      <c r="D6" s="14" t="s">
        <v>1423</v>
      </c>
      <c r="E6" s="19" t="s">
        <v>1055</v>
      </c>
      <c r="F6" s="41" t="s">
        <v>482</v>
      </c>
    </row>
    <row r="7" spans="1:85" ht="114.75" x14ac:dyDescent="0.2">
      <c r="A7" s="49"/>
      <c r="B7" s="144" t="s">
        <v>182</v>
      </c>
      <c r="C7" s="245" t="s">
        <v>182</v>
      </c>
      <c r="D7" s="323" t="s">
        <v>1571</v>
      </c>
      <c r="E7" s="35" t="s">
        <v>419</v>
      </c>
      <c r="F7" s="51" t="s">
        <v>30</v>
      </c>
    </row>
    <row r="8" spans="1:85" s="112" customFormat="1" ht="114.75" x14ac:dyDescent="0.2">
      <c r="A8" s="111"/>
      <c r="B8" s="143" t="s">
        <v>471</v>
      </c>
      <c r="C8" s="246" t="s">
        <v>264</v>
      </c>
      <c r="D8" s="525" t="s">
        <v>1570</v>
      </c>
      <c r="E8" s="529" t="s">
        <v>1652</v>
      </c>
      <c r="F8" s="41" t="s">
        <v>484</v>
      </c>
    </row>
    <row r="9" spans="1:85" ht="63.75" x14ac:dyDescent="0.2">
      <c r="A9" s="40"/>
      <c r="B9" s="141" t="s">
        <v>51</v>
      </c>
      <c r="C9" s="241" t="s">
        <v>602</v>
      </c>
      <c r="D9" s="529" t="s">
        <v>1653</v>
      </c>
      <c r="E9" s="529" t="s">
        <v>1643</v>
      </c>
      <c r="F9" s="41" t="s">
        <v>484</v>
      </c>
    </row>
    <row r="10" spans="1:85" ht="51" x14ac:dyDescent="0.2">
      <c r="A10" s="40"/>
      <c r="B10" s="142" t="s">
        <v>342</v>
      </c>
      <c r="C10" s="242" t="s">
        <v>909</v>
      </c>
      <c r="D10" s="35" t="s">
        <v>1056</v>
      </c>
      <c r="E10" s="323" t="s">
        <v>1644</v>
      </c>
      <c r="F10" s="107"/>
    </row>
    <row r="11" spans="1:85" s="110" customFormat="1" ht="90" thickBot="1" x14ac:dyDescent="0.25">
      <c r="A11" s="113"/>
      <c r="B11" s="145" t="s">
        <v>343</v>
      </c>
      <c r="C11" s="238" t="s">
        <v>876</v>
      </c>
      <c r="D11" s="281" t="s">
        <v>1655</v>
      </c>
      <c r="E11" s="281" t="s">
        <v>1654</v>
      </c>
      <c r="F11" s="114" t="s">
        <v>484</v>
      </c>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row>
    <row r="12" spans="1:85" ht="102.75" thickTop="1" x14ac:dyDescent="0.2">
      <c r="A12" s="547"/>
      <c r="B12" s="152" t="s">
        <v>684</v>
      </c>
      <c r="C12" s="239" t="s">
        <v>1424</v>
      </c>
      <c r="D12" s="63" t="s">
        <v>1029</v>
      </c>
      <c r="E12" s="63" t="s">
        <v>2091</v>
      </c>
      <c r="F12" s="65" t="s">
        <v>31</v>
      </c>
    </row>
    <row r="13" spans="1:85" ht="114.75" x14ac:dyDescent="0.2">
      <c r="A13" s="50" t="s">
        <v>216</v>
      </c>
      <c r="B13" s="180" t="s">
        <v>341</v>
      </c>
      <c r="C13" s="121" t="s">
        <v>1030</v>
      </c>
      <c r="D13" s="290" t="s">
        <v>1057</v>
      </c>
      <c r="E13" s="181" t="s">
        <v>1058</v>
      </c>
      <c r="F13" s="44" t="s">
        <v>408</v>
      </c>
    </row>
    <row r="14" spans="1:85" ht="114.75" x14ac:dyDescent="0.2">
      <c r="A14" s="40"/>
      <c r="B14" s="146" t="s">
        <v>88</v>
      </c>
      <c r="C14" s="122" t="s">
        <v>267</v>
      </c>
      <c r="D14" s="34" t="s">
        <v>1425</v>
      </c>
      <c r="E14" s="34" t="s">
        <v>1031</v>
      </c>
      <c r="F14" s="45" t="s">
        <v>408</v>
      </c>
    </row>
    <row r="15" spans="1:85" ht="90" thickBot="1" x14ac:dyDescent="0.25">
      <c r="A15" s="40"/>
      <c r="B15" s="147" t="s">
        <v>89</v>
      </c>
      <c r="C15" s="123" t="s">
        <v>1059</v>
      </c>
      <c r="D15" s="124" t="s">
        <v>1032</v>
      </c>
      <c r="E15" s="124" t="s">
        <v>1426</v>
      </c>
      <c r="F15" s="51" t="s">
        <v>408</v>
      </c>
    </row>
    <row r="16" spans="1:85" ht="217.5" thickTop="1" x14ac:dyDescent="0.2">
      <c r="A16" s="115"/>
      <c r="B16" s="148" t="s">
        <v>777</v>
      </c>
      <c r="C16" s="117" t="s">
        <v>1033</v>
      </c>
      <c r="D16" s="282" t="s">
        <v>1656</v>
      </c>
      <c r="E16" s="282" t="s">
        <v>1657</v>
      </c>
      <c r="F16" s="116" t="s">
        <v>484</v>
      </c>
    </row>
    <row r="17" spans="1:6" ht="165.75" x14ac:dyDescent="0.2">
      <c r="A17" s="49" t="s">
        <v>273</v>
      </c>
      <c r="B17" s="149" t="s">
        <v>271</v>
      </c>
      <c r="C17" s="118" t="s">
        <v>265</v>
      </c>
      <c r="D17" s="228" t="s">
        <v>1658</v>
      </c>
      <c r="E17" s="228" t="s">
        <v>2092</v>
      </c>
      <c r="F17" s="47" t="s">
        <v>482</v>
      </c>
    </row>
    <row r="18" spans="1:6" ht="76.5" x14ac:dyDescent="0.2">
      <c r="A18" s="40"/>
      <c r="B18" s="150" t="s">
        <v>270</v>
      </c>
      <c r="C18" s="119" t="s">
        <v>910</v>
      </c>
      <c r="D18" s="529" t="s">
        <v>1659</v>
      </c>
      <c r="E18" s="321" t="s">
        <v>1660</v>
      </c>
      <c r="F18" s="41" t="s">
        <v>482</v>
      </c>
    </row>
    <row r="19" spans="1:6" ht="127.5" x14ac:dyDescent="0.2">
      <c r="A19" s="40"/>
      <c r="B19" s="141" t="s">
        <v>272</v>
      </c>
      <c r="C19" s="120" t="s">
        <v>265</v>
      </c>
      <c r="D19" s="529" t="s">
        <v>1661</v>
      </c>
      <c r="E19" s="19" t="s">
        <v>1234</v>
      </c>
      <c r="F19" s="41" t="s">
        <v>482</v>
      </c>
    </row>
    <row r="20" spans="1:6" ht="140.25" x14ac:dyDescent="0.2">
      <c r="A20" s="49"/>
      <c r="B20" s="141" t="s">
        <v>155</v>
      </c>
      <c r="C20" s="244" t="s">
        <v>200</v>
      </c>
      <c r="D20" s="524" t="s">
        <v>2093</v>
      </c>
      <c r="E20" s="298" t="s">
        <v>1100</v>
      </c>
      <c r="F20" s="41" t="s">
        <v>482</v>
      </c>
    </row>
    <row r="21" spans="1:6" ht="140.25" x14ac:dyDescent="0.2">
      <c r="A21" s="49" t="s">
        <v>682</v>
      </c>
      <c r="B21" s="150" t="s">
        <v>911</v>
      </c>
      <c r="C21" s="247" t="s">
        <v>912</v>
      </c>
      <c r="D21" s="19" t="s">
        <v>2094</v>
      </c>
      <c r="E21" s="19" t="s">
        <v>1427</v>
      </c>
      <c r="F21" s="45" t="s">
        <v>30</v>
      </c>
    </row>
    <row r="22" spans="1:6" ht="127.5" x14ac:dyDescent="0.2">
      <c r="A22" s="49"/>
      <c r="B22" s="141" t="s">
        <v>751</v>
      </c>
      <c r="C22" s="244" t="s">
        <v>608</v>
      </c>
      <c r="D22" s="19" t="s">
        <v>1662</v>
      </c>
      <c r="E22" s="19" t="s">
        <v>1663</v>
      </c>
      <c r="F22" s="41" t="s">
        <v>482</v>
      </c>
    </row>
    <row r="23" spans="1:6" ht="76.5" x14ac:dyDescent="0.2">
      <c r="A23" s="40"/>
      <c r="B23" s="143" t="s">
        <v>913</v>
      </c>
      <c r="C23" s="246" t="s">
        <v>794</v>
      </c>
      <c r="D23" s="19" t="s">
        <v>1664</v>
      </c>
      <c r="E23" s="19" t="s">
        <v>1428</v>
      </c>
      <c r="F23" s="41" t="s">
        <v>482</v>
      </c>
    </row>
    <row r="24" spans="1:6" ht="154.5" customHeight="1" x14ac:dyDescent="0.2">
      <c r="A24" s="40"/>
      <c r="B24" s="141" t="s">
        <v>97</v>
      </c>
      <c r="C24" s="244" t="s">
        <v>1060</v>
      </c>
      <c r="D24" s="125" t="s">
        <v>1429</v>
      </c>
      <c r="E24" s="356" t="s">
        <v>1665</v>
      </c>
      <c r="F24" s="45" t="s">
        <v>30</v>
      </c>
    </row>
    <row r="25" spans="1:6" ht="51.75" thickBot="1" x14ac:dyDescent="0.25">
      <c r="A25" s="40"/>
      <c r="B25" s="151" t="s">
        <v>883</v>
      </c>
      <c r="C25" s="248" t="s">
        <v>338</v>
      </c>
      <c r="D25" s="35" t="s">
        <v>1061</v>
      </c>
      <c r="E25" s="35" t="s">
        <v>1062</v>
      </c>
      <c r="F25" s="51" t="s">
        <v>31</v>
      </c>
    </row>
    <row r="26" spans="1:6" ht="192" thickTop="1" x14ac:dyDescent="0.2">
      <c r="A26" s="545"/>
      <c r="B26" s="152" t="s">
        <v>178</v>
      </c>
      <c r="C26" s="249" t="s">
        <v>795</v>
      </c>
      <c r="D26" s="282" t="s">
        <v>1152</v>
      </c>
      <c r="E26" s="282" t="s">
        <v>1666</v>
      </c>
      <c r="F26" s="65" t="s">
        <v>30</v>
      </c>
    </row>
    <row r="27" spans="1:6" ht="153" x14ac:dyDescent="0.2">
      <c r="A27" s="50" t="s">
        <v>354</v>
      </c>
      <c r="B27" s="289" t="s">
        <v>1243</v>
      </c>
      <c r="C27" s="250" t="s">
        <v>1430</v>
      </c>
      <c r="D27" s="346" t="s">
        <v>1667</v>
      </c>
      <c r="E27" s="346" t="s">
        <v>1668</v>
      </c>
      <c r="F27" s="45" t="s">
        <v>29</v>
      </c>
    </row>
    <row r="28" spans="1:6" ht="38.25" x14ac:dyDescent="0.2">
      <c r="A28" s="50"/>
      <c r="B28" s="141" t="s">
        <v>433</v>
      </c>
      <c r="C28" s="251" t="s">
        <v>353</v>
      </c>
      <c r="D28" s="19" t="s">
        <v>1034</v>
      </c>
      <c r="E28" s="19" t="s">
        <v>337</v>
      </c>
      <c r="F28" s="45" t="s">
        <v>31</v>
      </c>
    </row>
    <row r="29" spans="1:6" ht="83.25" customHeight="1" x14ac:dyDescent="0.2">
      <c r="A29" s="50"/>
      <c r="B29" s="153" t="s">
        <v>181</v>
      </c>
      <c r="C29" s="252" t="s">
        <v>1431</v>
      </c>
      <c r="D29" s="229" t="s">
        <v>1097</v>
      </c>
      <c r="E29" s="19" t="s">
        <v>1432</v>
      </c>
      <c r="F29" s="45" t="s">
        <v>31</v>
      </c>
    </row>
    <row r="30" spans="1:6" ht="58.5" customHeight="1" thickBot="1" x14ac:dyDescent="0.25">
      <c r="A30" s="546"/>
      <c r="B30" s="154" t="s">
        <v>177</v>
      </c>
      <c r="C30" s="253" t="s">
        <v>815</v>
      </c>
      <c r="D30" s="281" t="s">
        <v>1102</v>
      </c>
      <c r="E30" s="39" t="s">
        <v>816</v>
      </c>
      <c r="F30" s="46" t="s">
        <v>31</v>
      </c>
    </row>
    <row r="31" spans="1:6" ht="102.75" thickTop="1" x14ac:dyDescent="0.2">
      <c r="A31" s="50" t="s">
        <v>57</v>
      </c>
      <c r="B31" s="155" t="s">
        <v>163</v>
      </c>
      <c r="C31" s="254" t="s">
        <v>644</v>
      </c>
      <c r="D31" s="228" t="s">
        <v>1669</v>
      </c>
      <c r="E31" s="36" t="s">
        <v>1670</v>
      </c>
      <c r="F31" s="44" t="s">
        <v>31</v>
      </c>
    </row>
    <row r="32" spans="1:6" ht="89.25" x14ac:dyDescent="0.2">
      <c r="A32" s="50"/>
      <c r="B32" s="230" t="s">
        <v>1027</v>
      </c>
      <c r="C32" s="255" t="s">
        <v>263</v>
      </c>
      <c r="D32" s="19" t="s">
        <v>2095</v>
      </c>
      <c r="E32" s="19" t="s">
        <v>816</v>
      </c>
      <c r="F32" s="45" t="s">
        <v>31</v>
      </c>
    </row>
    <row r="33" spans="1:6" ht="64.5" thickBot="1" x14ac:dyDescent="0.25">
      <c r="A33" s="546"/>
      <c r="B33" s="156" t="s">
        <v>344</v>
      </c>
      <c r="C33" s="256" t="s">
        <v>645</v>
      </c>
      <c r="D33" s="39" t="s">
        <v>1671</v>
      </c>
      <c r="E33" s="39" t="s">
        <v>1433</v>
      </c>
      <c r="F33" s="45" t="s">
        <v>30</v>
      </c>
    </row>
    <row r="34" spans="1:6" s="18" customFormat="1" ht="39.75" thickTop="1" thickBot="1" x14ac:dyDescent="0.25">
      <c r="A34" s="48" t="s">
        <v>584</v>
      </c>
      <c r="B34" s="157" t="s">
        <v>586</v>
      </c>
      <c r="C34" s="257" t="s">
        <v>1434</v>
      </c>
      <c r="D34" s="39" t="s">
        <v>1035</v>
      </c>
      <c r="E34" s="39" t="s">
        <v>301</v>
      </c>
      <c r="F34" s="46" t="s">
        <v>30</v>
      </c>
    </row>
    <row r="35" spans="1:6" ht="64.5" thickTop="1" x14ac:dyDescent="0.2">
      <c r="A35" s="545" t="s">
        <v>164</v>
      </c>
      <c r="B35" s="158" t="s">
        <v>180</v>
      </c>
      <c r="C35" s="249" t="s">
        <v>518</v>
      </c>
      <c r="D35" s="63" t="s">
        <v>1672</v>
      </c>
      <c r="E35" s="63" t="s">
        <v>1036</v>
      </c>
      <c r="F35" s="65" t="s">
        <v>31</v>
      </c>
    </row>
    <row r="36" spans="1:6" ht="51.75" thickBot="1" x14ac:dyDescent="0.25">
      <c r="A36" s="50"/>
      <c r="B36" s="142" t="s">
        <v>160</v>
      </c>
      <c r="C36" s="258" t="s">
        <v>268</v>
      </c>
      <c r="D36" s="323" t="s">
        <v>1673</v>
      </c>
      <c r="E36" s="35" t="s">
        <v>1674</v>
      </c>
      <c r="F36" s="107" t="s">
        <v>482</v>
      </c>
    </row>
    <row r="37" spans="1:6" ht="64.5" thickTop="1" x14ac:dyDescent="0.2">
      <c r="A37" s="545" t="s">
        <v>355</v>
      </c>
      <c r="B37" s="159" t="s">
        <v>882</v>
      </c>
      <c r="C37" s="259" t="s">
        <v>1435</v>
      </c>
      <c r="D37" s="63" t="s">
        <v>1675</v>
      </c>
      <c r="E37" s="63" t="s">
        <v>2096</v>
      </c>
      <c r="F37" s="65" t="s">
        <v>30</v>
      </c>
    </row>
    <row r="38" spans="1:6" ht="26.25" thickBot="1" x14ac:dyDescent="0.25">
      <c r="A38" s="546"/>
      <c r="B38" s="157" t="s">
        <v>179</v>
      </c>
      <c r="C38" s="260" t="s">
        <v>897</v>
      </c>
      <c r="D38" s="39" t="s">
        <v>674</v>
      </c>
      <c r="E38" s="39" t="s">
        <v>1037</v>
      </c>
      <c r="F38" s="46" t="s">
        <v>31</v>
      </c>
    </row>
    <row r="39" spans="1:6" ht="26.25" thickTop="1" x14ac:dyDescent="0.2">
      <c r="A39" s="545"/>
      <c r="B39" s="158" t="s">
        <v>365</v>
      </c>
      <c r="C39" s="261" t="s">
        <v>3</v>
      </c>
      <c r="D39" s="63" t="s">
        <v>4</v>
      </c>
      <c r="E39" s="63" t="s">
        <v>1676</v>
      </c>
      <c r="F39" s="65" t="s">
        <v>31</v>
      </c>
    </row>
    <row r="40" spans="1:6" ht="38.25" x14ac:dyDescent="0.2">
      <c r="A40" s="50" t="s">
        <v>585</v>
      </c>
      <c r="B40" s="143" t="s">
        <v>312</v>
      </c>
      <c r="C40" s="262" t="s">
        <v>7</v>
      </c>
      <c r="D40" s="19" t="s">
        <v>1038</v>
      </c>
      <c r="E40" s="19" t="s">
        <v>6</v>
      </c>
      <c r="F40" s="45" t="s">
        <v>31</v>
      </c>
    </row>
    <row r="41" spans="1:6" ht="51" x14ac:dyDescent="0.2">
      <c r="A41" s="50"/>
      <c r="B41" s="143" t="s">
        <v>342</v>
      </c>
      <c r="C41" s="262" t="s">
        <v>2</v>
      </c>
      <c r="D41" s="19" t="s">
        <v>5</v>
      </c>
      <c r="E41" s="19" t="s">
        <v>1063</v>
      </c>
      <c r="F41" s="45" t="s">
        <v>30</v>
      </c>
    </row>
    <row r="42" spans="1:6" ht="64.5" thickBot="1" x14ac:dyDescent="0.25">
      <c r="A42" s="546"/>
      <c r="B42" s="160" t="s">
        <v>311</v>
      </c>
      <c r="C42" s="263" t="s">
        <v>311</v>
      </c>
      <c r="D42" s="39" t="s">
        <v>1436</v>
      </c>
      <c r="E42" s="39" t="s">
        <v>1064</v>
      </c>
      <c r="F42" s="46" t="s">
        <v>31</v>
      </c>
    </row>
    <row r="43" spans="1:6" s="17" customFormat="1" ht="128.25" thickTop="1" x14ac:dyDescent="0.2">
      <c r="A43" s="43" t="s">
        <v>336</v>
      </c>
      <c r="B43" s="148" t="s">
        <v>162</v>
      </c>
      <c r="C43" s="264" t="s">
        <v>162</v>
      </c>
      <c r="D43" s="228" t="s">
        <v>1677</v>
      </c>
      <c r="E43" s="228" t="s">
        <v>1142</v>
      </c>
      <c r="F43" s="44" t="s">
        <v>30</v>
      </c>
    </row>
    <row r="44" spans="1:6" ht="89.25" x14ac:dyDescent="0.2">
      <c r="A44" s="40"/>
      <c r="B44" s="141" t="s">
        <v>176</v>
      </c>
      <c r="C44" s="244" t="s">
        <v>199</v>
      </c>
      <c r="D44" s="19" t="s">
        <v>1437</v>
      </c>
      <c r="E44" s="19" t="s">
        <v>1065</v>
      </c>
      <c r="F44" s="45" t="s">
        <v>31</v>
      </c>
    </row>
    <row r="45" spans="1:6" s="18" customFormat="1" ht="39" thickBot="1" x14ac:dyDescent="0.25">
      <c r="A45" s="48"/>
      <c r="B45" s="154" t="s">
        <v>182</v>
      </c>
      <c r="C45" s="265" t="s">
        <v>182</v>
      </c>
      <c r="D45" s="39" t="s">
        <v>1066</v>
      </c>
      <c r="E45" s="39" t="s">
        <v>215</v>
      </c>
      <c r="F45" s="46" t="s">
        <v>31</v>
      </c>
    </row>
    <row r="46" spans="1:6" ht="51.75" thickTop="1" x14ac:dyDescent="0.2">
      <c r="A46" s="548"/>
      <c r="B46" s="148" t="s">
        <v>227</v>
      </c>
      <c r="C46" s="266" t="s">
        <v>351</v>
      </c>
      <c r="D46" s="282" t="s">
        <v>1239</v>
      </c>
      <c r="E46" s="63" t="s">
        <v>1438</v>
      </c>
      <c r="F46" s="65" t="s">
        <v>30</v>
      </c>
    </row>
    <row r="47" spans="1:6" ht="165.75" x14ac:dyDescent="0.2">
      <c r="A47" s="549"/>
      <c r="B47" s="141" t="s">
        <v>275</v>
      </c>
      <c r="C47" s="240" t="s">
        <v>2097</v>
      </c>
      <c r="D47" s="297" t="s">
        <v>1678</v>
      </c>
      <c r="E47" s="229" t="s">
        <v>1679</v>
      </c>
      <c r="F47" s="45" t="s">
        <v>30</v>
      </c>
    </row>
    <row r="48" spans="1:6" ht="76.5" x14ac:dyDescent="0.2">
      <c r="A48" s="549"/>
      <c r="B48" s="141" t="s">
        <v>313</v>
      </c>
      <c r="C48" s="240" t="s">
        <v>201</v>
      </c>
      <c r="D48" s="342" t="s">
        <v>1680</v>
      </c>
      <c r="E48" s="342" t="s">
        <v>1681</v>
      </c>
      <c r="F48" s="45" t="s">
        <v>30</v>
      </c>
    </row>
    <row r="49" spans="1:6" ht="63.75" x14ac:dyDescent="0.2">
      <c r="A49" s="20"/>
      <c r="B49" s="141" t="s">
        <v>673</v>
      </c>
      <c r="C49" s="240" t="s">
        <v>360</v>
      </c>
      <c r="D49" s="19" t="s">
        <v>1039</v>
      </c>
      <c r="E49" s="345" t="s">
        <v>1682</v>
      </c>
      <c r="F49" s="45" t="s">
        <v>30</v>
      </c>
    </row>
    <row r="50" spans="1:6" ht="102" x14ac:dyDescent="0.2">
      <c r="A50" s="20"/>
      <c r="B50" s="161" t="s">
        <v>672</v>
      </c>
      <c r="C50" s="188" t="s">
        <v>326</v>
      </c>
      <c r="D50" s="315" t="s">
        <v>2098</v>
      </c>
      <c r="E50" s="315" t="s">
        <v>2099</v>
      </c>
      <c r="F50" s="45" t="s">
        <v>30</v>
      </c>
    </row>
    <row r="51" spans="1:6" ht="102" x14ac:dyDescent="0.2">
      <c r="A51" s="20"/>
      <c r="B51" s="179" t="s">
        <v>293</v>
      </c>
      <c r="C51" s="188" t="s">
        <v>1370</v>
      </c>
      <c r="D51" s="357" t="s">
        <v>1683</v>
      </c>
      <c r="E51" s="229" t="s">
        <v>1369</v>
      </c>
      <c r="F51" s="45" t="s">
        <v>30</v>
      </c>
    </row>
    <row r="52" spans="1:6" ht="191.25" x14ac:dyDescent="0.2">
      <c r="A52" s="20"/>
      <c r="B52" s="150" t="s">
        <v>740</v>
      </c>
      <c r="C52" s="251" t="s">
        <v>1067</v>
      </c>
      <c r="D52" s="357" t="s">
        <v>1371</v>
      </c>
      <c r="E52" s="229" t="s">
        <v>1926</v>
      </c>
      <c r="F52" s="45" t="s">
        <v>30</v>
      </c>
    </row>
    <row r="53" spans="1:6" ht="192" thickBot="1" x14ac:dyDescent="0.25">
      <c r="A53" s="20"/>
      <c r="B53" s="142" t="s">
        <v>361</v>
      </c>
      <c r="C53" s="550" t="s">
        <v>213</v>
      </c>
      <c r="D53" s="323" t="s">
        <v>2100</v>
      </c>
      <c r="E53" s="323" t="s">
        <v>1558</v>
      </c>
      <c r="F53" s="51" t="s">
        <v>30</v>
      </c>
    </row>
    <row r="54" spans="1:6" s="555" customFormat="1" x14ac:dyDescent="0.2">
      <c r="A54" s="551"/>
      <c r="B54" s="552"/>
      <c r="C54" s="553"/>
      <c r="D54" s="551"/>
      <c r="E54" s="551"/>
      <c r="F54" s="554"/>
    </row>
    <row r="55" spans="1:6" ht="63.75" x14ac:dyDescent="0.2">
      <c r="A55" s="40" t="s">
        <v>701</v>
      </c>
      <c r="B55" s="162" t="s">
        <v>411</v>
      </c>
      <c r="C55" s="262" t="s">
        <v>1040</v>
      </c>
      <c r="D55" s="322" t="s">
        <v>1041</v>
      </c>
      <c r="E55" s="322" t="s">
        <v>1684</v>
      </c>
      <c r="F55" s="45" t="s">
        <v>30</v>
      </c>
    </row>
    <row r="56" spans="1:6" ht="25.5" x14ac:dyDescent="0.2">
      <c r="A56" s="40"/>
      <c r="B56" s="163" t="s">
        <v>733</v>
      </c>
      <c r="C56" s="262" t="s">
        <v>736</v>
      </c>
      <c r="D56" s="322" t="s">
        <v>577</v>
      </c>
      <c r="E56" s="322" t="s">
        <v>1685</v>
      </c>
      <c r="F56" s="45" t="s">
        <v>30</v>
      </c>
    </row>
    <row r="57" spans="1:6" ht="89.25" x14ac:dyDescent="0.2">
      <c r="A57" s="50"/>
      <c r="B57" s="164" t="s">
        <v>734</v>
      </c>
      <c r="C57" s="262" t="s">
        <v>1042</v>
      </c>
      <c r="D57" s="322" t="s">
        <v>1043</v>
      </c>
      <c r="E57" s="529" t="s">
        <v>1645</v>
      </c>
      <c r="F57" s="45" t="s">
        <v>30</v>
      </c>
    </row>
    <row r="58" spans="1:6" ht="25.5" x14ac:dyDescent="0.2">
      <c r="A58" s="40"/>
      <c r="B58" s="162" t="s">
        <v>735</v>
      </c>
      <c r="C58" s="243" t="s">
        <v>895</v>
      </c>
      <c r="D58" s="36" t="s">
        <v>577</v>
      </c>
      <c r="E58" s="36"/>
      <c r="F58" s="44" t="s">
        <v>30</v>
      </c>
    </row>
    <row r="59" spans="1:6" ht="66.75" customHeight="1" x14ac:dyDescent="0.2">
      <c r="A59" s="40" t="s">
        <v>703</v>
      </c>
      <c r="B59" s="165" t="s">
        <v>220</v>
      </c>
      <c r="C59" s="246" t="s">
        <v>220</v>
      </c>
      <c r="D59" s="354" t="s">
        <v>1691</v>
      </c>
      <c r="E59" s="19" t="s">
        <v>1686</v>
      </c>
      <c r="F59" s="45" t="s">
        <v>30</v>
      </c>
    </row>
    <row r="60" spans="1:6" ht="25.5" x14ac:dyDescent="0.2">
      <c r="A60" s="40"/>
      <c r="B60" s="165" t="s">
        <v>467</v>
      </c>
      <c r="C60" s="246" t="s">
        <v>467</v>
      </c>
      <c r="D60" s="19" t="s">
        <v>577</v>
      </c>
      <c r="E60" s="19" t="s">
        <v>1687</v>
      </c>
      <c r="F60" s="45" t="s">
        <v>30</v>
      </c>
    </row>
    <row r="61" spans="1:6" ht="38.25" x14ac:dyDescent="0.2">
      <c r="A61" s="40"/>
      <c r="B61" s="165" t="s">
        <v>172</v>
      </c>
      <c r="C61" s="246" t="s">
        <v>172</v>
      </c>
      <c r="D61" s="19" t="s">
        <v>1688</v>
      </c>
      <c r="E61" s="528" t="s">
        <v>1686</v>
      </c>
      <c r="F61" s="45" t="s">
        <v>30</v>
      </c>
    </row>
    <row r="62" spans="1:6" ht="25.5" x14ac:dyDescent="0.2">
      <c r="A62" s="40"/>
      <c r="B62" s="165" t="s">
        <v>468</v>
      </c>
      <c r="C62" s="246" t="s">
        <v>468</v>
      </c>
      <c r="D62" s="19" t="s">
        <v>577</v>
      </c>
      <c r="E62" s="528" t="s">
        <v>1687</v>
      </c>
      <c r="F62" s="45" t="s">
        <v>30</v>
      </c>
    </row>
    <row r="63" spans="1:6" ht="38.25" x14ac:dyDescent="0.2">
      <c r="A63" s="40"/>
      <c r="B63" s="165" t="s">
        <v>173</v>
      </c>
      <c r="C63" s="246" t="s">
        <v>173</v>
      </c>
      <c r="D63" s="19" t="s">
        <v>1689</v>
      </c>
      <c r="E63" s="528" t="s">
        <v>1686</v>
      </c>
      <c r="F63" s="45" t="s">
        <v>30</v>
      </c>
    </row>
    <row r="64" spans="1:6" ht="25.5" x14ac:dyDescent="0.2">
      <c r="A64" s="40"/>
      <c r="B64" s="165" t="s">
        <v>469</v>
      </c>
      <c r="C64" s="246" t="s">
        <v>469</v>
      </c>
      <c r="D64" s="19" t="s">
        <v>577</v>
      </c>
      <c r="E64" s="528" t="s">
        <v>1687</v>
      </c>
      <c r="F64" s="45" t="s">
        <v>30</v>
      </c>
    </row>
    <row r="65" spans="1:6" ht="38.25" x14ac:dyDescent="0.2">
      <c r="A65" s="40"/>
      <c r="B65" s="165" t="s">
        <v>413</v>
      </c>
      <c r="C65" s="246" t="s">
        <v>173</v>
      </c>
      <c r="D65" s="19" t="s">
        <v>1689</v>
      </c>
      <c r="E65" s="528" t="s">
        <v>1686</v>
      </c>
      <c r="F65" s="45" t="s">
        <v>30</v>
      </c>
    </row>
    <row r="66" spans="1:6" ht="26.25" thickBot="1" x14ac:dyDescent="0.25">
      <c r="A66" s="40"/>
      <c r="B66" s="556" t="s">
        <v>555</v>
      </c>
      <c r="C66" s="557" t="s">
        <v>469</v>
      </c>
      <c r="D66" s="35" t="s">
        <v>577</v>
      </c>
      <c r="E66" s="528" t="s">
        <v>1687</v>
      </c>
      <c r="F66" s="51" t="s">
        <v>30</v>
      </c>
    </row>
    <row r="67" spans="1:6" ht="140.25" x14ac:dyDescent="0.2">
      <c r="A67" s="558" t="s">
        <v>774</v>
      </c>
      <c r="B67" s="559" t="s">
        <v>772</v>
      </c>
      <c r="C67" s="560" t="s">
        <v>552</v>
      </c>
      <c r="D67" s="561" t="s">
        <v>1690</v>
      </c>
      <c r="E67" s="561" t="s">
        <v>1151</v>
      </c>
      <c r="F67" s="562" t="s">
        <v>31</v>
      </c>
    </row>
    <row r="68" spans="1:6" s="18" customFormat="1" ht="90" thickBot="1" x14ac:dyDescent="0.25">
      <c r="A68" s="48"/>
      <c r="B68" s="166" t="s">
        <v>773</v>
      </c>
      <c r="C68" s="267" t="s">
        <v>553</v>
      </c>
      <c r="D68" s="39" t="s">
        <v>1044</v>
      </c>
      <c r="E68" s="281" t="s">
        <v>1564</v>
      </c>
      <c r="F68" s="46" t="s">
        <v>31</v>
      </c>
    </row>
    <row r="69" spans="1:6" ht="26.25" thickTop="1" x14ac:dyDescent="0.2">
      <c r="A69" s="545"/>
      <c r="B69" s="152" t="s">
        <v>342</v>
      </c>
      <c r="C69" s="239" t="s">
        <v>131</v>
      </c>
      <c r="D69" s="282" t="s">
        <v>1692</v>
      </c>
      <c r="E69" s="282" t="s">
        <v>1230</v>
      </c>
      <c r="F69" s="186" t="s">
        <v>30</v>
      </c>
    </row>
    <row r="70" spans="1:6" ht="63.75" x14ac:dyDescent="0.2">
      <c r="A70" s="50"/>
      <c r="B70" s="153" t="s">
        <v>113</v>
      </c>
      <c r="C70" s="188" t="s">
        <v>923</v>
      </c>
      <c r="D70" s="19" t="s">
        <v>1693</v>
      </c>
      <c r="E70" s="19" t="s">
        <v>1045</v>
      </c>
      <c r="F70" s="45" t="s">
        <v>30</v>
      </c>
    </row>
    <row r="71" spans="1:6" ht="25.5" x14ac:dyDescent="0.2">
      <c r="A71" s="50" t="s">
        <v>44</v>
      </c>
      <c r="B71" s="153" t="s">
        <v>306</v>
      </c>
      <c r="C71" s="188" t="s">
        <v>512</v>
      </c>
      <c r="D71" s="19" t="s">
        <v>513</v>
      </c>
      <c r="E71" s="340" t="s">
        <v>1230</v>
      </c>
      <c r="F71" s="41" t="s">
        <v>482</v>
      </c>
    </row>
    <row r="72" spans="1:6" ht="63.75" x14ac:dyDescent="0.2">
      <c r="A72" s="50"/>
      <c r="B72" s="153" t="s">
        <v>742</v>
      </c>
      <c r="C72" s="188" t="s">
        <v>130</v>
      </c>
      <c r="D72" s="340" t="s">
        <v>1231</v>
      </c>
      <c r="E72" s="340" t="s">
        <v>1537</v>
      </c>
      <c r="F72" s="41" t="s">
        <v>482</v>
      </c>
    </row>
    <row r="73" spans="1:6" ht="63.75" x14ac:dyDescent="0.2">
      <c r="A73" s="50"/>
      <c r="B73" s="153" t="s">
        <v>643</v>
      </c>
      <c r="C73" s="188" t="s">
        <v>510</v>
      </c>
      <c r="D73" s="340" t="s">
        <v>1694</v>
      </c>
      <c r="E73" s="340" t="s">
        <v>1230</v>
      </c>
      <c r="F73" s="41" t="s">
        <v>482</v>
      </c>
    </row>
    <row r="74" spans="1:6" ht="76.5" x14ac:dyDescent="0.2">
      <c r="A74" s="50"/>
      <c r="B74" s="153" t="s">
        <v>307</v>
      </c>
      <c r="C74" s="188" t="s">
        <v>511</v>
      </c>
      <c r="D74" s="518" t="s">
        <v>1536</v>
      </c>
      <c r="E74" s="340" t="s">
        <v>1695</v>
      </c>
      <c r="F74" s="41" t="s">
        <v>482</v>
      </c>
    </row>
    <row r="75" spans="1:6" ht="38.25" x14ac:dyDescent="0.2">
      <c r="A75" s="50"/>
      <c r="B75" s="153" t="s">
        <v>741</v>
      </c>
      <c r="C75" s="188" t="s">
        <v>396</v>
      </c>
      <c r="D75" s="19" t="s">
        <v>1046</v>
      </c>
      <c r="E75" s="340" t="s">
        <v>1232</v>
      </c>
      <c r="F75" s="41" t="s">
        <v>482</v>
      </c>
    </row>
    <row r="76" spans="1:6" ht="51" x14ac:dyDescent="0.2">
      <c r="A76" s="50"/>
      <c r="B76" s="153" t="s">
        <v>308</v>
      </c>
      <c r="C76" s="188" t="s">
        <v>395</v>
      </c>
      <c r="D76" s="350" t="s">
        <v>1285</v>
      </c>
      <c r="E76" s="340" t="s">
        <v>1230</v>
      </c>
      <c r="F76" s="41" t="s">
        <v>482</v>
      </c>
    </row>
    <row r="77" spans="1:6" ht="38.25" x14ac:dyDescent="0.2">
      <c r="A77" s="50"/>
      <c r="B77" s="153" t="s">
        <v>309</v>
      </c>
      <c r="C77" s="188" t="s">
        <v>809</v>
      </c>
      <c r="D77" s="19" t="s">
        <v>2101</v>
      </c>
      <c r="E77" s="340" t="s">
        <v>1230</v>
      </c>
      <c r="F77" s="41" t="s">
        <v>482</v>
      </c>
    </row>
    <row r="78" spans="1:6" ht="63.75" x14ac:dyDescent="0.2">
      <c r="A78" s="50"/>
      <c r="B78" s="153" t="s">
        <v>893</v>
      </c>
      <c r="C78" s="188" t="s">
        <v>704</v>
      </c>
      <c r="D78" s="19" t="s">
        <v>1696</v>
      </c>
      <c r="E78" s="19" t="s">
        <v>397</v>
      </c>
      <c r="F78" s="187" t="s">
        <v>30</v>
      </c>
    </row>
    <row r="79" spans="1:6" ht="25.5" x14ac:dyDescent="0.2">
      <c r="A79" s="50"/>
      <c r="B79" s="153" t="s">
        <v>892</v>
      </c>
      <c r="C79" s="188" t="s">
        <v>706</v>
      </c>
      <c r="D79" s="19" t="s">
        <v>707</v>
      </c>
      <c r="E79" s="19" t="s">
        <v>397</v>
      </c>
      <c r="F79" s="187" t="s">
        <v>30</v>
      </c>
    </row>
    <row r="80" spans="1:6" s="18" customFormat="1" ht="39" thickBot="1" x14ac:dyDescent="0.25">
      <c r="A80" s="546"/>
      <c r="B80" s="157" t="s">
        <v>114</v>
      </c>
      <c r="C80" s="268" t="s">
        <v>793</v>
      </c>
      <c r="D80" s="39" t="s">
        <v>1047</v>
      </c>
      <c r="E80" s="39" t="s">
        <v>705</v>
      </c>
      <c r="F80" s="42" t="s">
        <v>482</v>
      </c>
    </row>
    <row r="81" spans="1:6" ht="39" thickTop="1" x14ac:dyDescent="0.2">
      <c r="A81" s="127" t="s">
        <v>713</v>
      </c>
      <c r="B81" s="167" t="s">
        <v>414</v>
      </c>
      <c r="C81" s="249" t="s">
        <v>414</v>
      </c>
      <c r="D81" s="63" t="s">
        <v>1698</v>
      </c>
      <c r="E81" s="63" t="s">
        <v>1697</v>
      </c>
      <c r="F81" s="65" t="s">
        <v>30</v>
      </c>
    </row>
    <row r="82" spans="1:6" ht="25.5" x14ac:dyDescent="0.2">
      <c r="A82" s="50" t="s">
        <v>714</v>
      </c>
      <c r="B82" s="165" t="s">
        <v>415</v>
      </c>
      <c r="C82" s="252" t="s">
        <v>415</v>
      </c>
      <c r="D82" s="19" t="s">
        <v>1699</v>
      </c>
      <c r="E82" s="19" t="s">
        <v>810</v>
      </c>
      <c r="F82" s="45" t="s">
        <v>30</v>
      </c>
    </row>
    <row r="83" spans="1:6" ht="25.5" x14ac:dyDescent="0.2">
      <c r="A83" s="50"/>
      <c r="B83" s="165" t="s">
        <v>711</v>
      </c>
      <c r="C83" s="252" t="s">
        <v>711</v>
      </c>
      <c r="D83" s="19" t="s">
        <v>1700</v>
      </c>
      <c r="E83" s="19" t="s">
        <v>810</v>
      </c>
      <c r="F83" s="45" t="s">
        <v>30</v>
      </c>
    </row>
    <row r="84" spans="1:6" ht="25.5" x14ac:dyDescent="0.2">
      <c r="A84" s="50"/>
      <c r="B84" s="165" t="s">
        <v>712</v>
      </c>
      <c r="C84" s="252" t="s">
        <v>712</v>
      </c>
      <c r="D84" s="19" t="s">
        <v>1701</v>
      </c>
      <c r="E84" s="19" t="s">
        <v>810</v>
      </c>
      <c r="F84" s="45" t="s">
        <v>30</v>
      </c>
    </row>
    <row r="85" spans="1:6" ht="25.5" x14ac:dyDescent="0.2">
      <c r="A85" s="50"/>
      <c r="B85" s="165" t="s">
        <v>212</v>
      </c>
      <c r="C85" s="252" t="s">
        <v>212</v>
      </c>
      <c r="D85" s="19" t="s">
        <v>1702</v>
      </c>
      <c r="E85" s="19" t="s">
        <v>810</v>
      </c>
      <c r="F85" s="45" t="s">
        <v>30</v>
      </c>
    </row>
    <row r="86" spans="1:6" s="18" customFormat="1" ht="26.25" thickBot="1" x14ac:dyDescent="0.25">
      <c r="A86" s="546"/>
      <c r="B86" s="166" t="s">
        <v>405</v>
      </c>
      <c r="C86" s="267" t="s">
        <v>406</v>
      </c>
      <c r="D86" s="39" t="s">
        <v>577</v>
      </c>
      <c r="E86" s="19" t="s">
        <v>1703</v>
      </c>
      <c r="F86" s="46" t="s">
        <v>30</v>
      </c>
    </row>
    <row r="87" spans="1:6" ht="128.25" thickTop="1" x14ac:dyDescent="0.2">
      <c r="A87" s="127"/>
      <c r="B87" s="332" t="s">
        <v>85</v>
      </c>
      <c r="C87" s="250" t="s">
        <v>85</v>
      </c>
      <c r="D87" s="19" t="s">
        <v>2102</v>
      </c>
      <c r="E87" s="229" t="s">
        <v>1439</v>
      </c>
      <c r="F87" s="109" t="s">
        <v>484</v>
      </c>
    </row>
    <row r="88" spans="1:6" ht="90" thickBot="1" x14ac:dyDescent="0.25">
      <c r="A88" s="546"/>
      <c r="B88" s="333" t="s">
        <v>1103</v>
      </c>
      <c r="C88" s="270" t="s">
        <v>1200</v>
      </c>
      <c r="D88" s="281" t="s">
        <v>1440</v>
      </c>
      <c r="E88" s="281" t="s">
        <v>1704</v>
      </c>
      <c r="F88" s="51" t="s">
        <v>942</v>
      </c>
    </row>
    <row r="89" spans="1:6" ht="26.25" thickTop="1" x14ac:dyDescent="0.2">
      <c r="A89" s="547" t="s">
        <v>2103</v>
      </c>
      <c r="B89" s="168" t="s">
        <v>670</v>
      </c>
      <c r="C89" s="239" t="s">
        <v>2104</v>
      </c>
      <c r="D89" s="64" t="s">
        <v>2105</v>
      </c>
      <c r="E89" s="63"/>
      <c r="F89" s="65" t="s">
        <v>30</v>
      </c>
    </row>
    <row r="90" spans="1:6" ht="25.5" x14ac:dyDescent="0.2">
      <c r="A90" s="20"/>
      <c r="B90" s="169" t="s">
        <v>671</v>
      </c>
      <c r="C90" s="188" t="s">
        <v>2104</v>
      </c>
      <c r="D90" s="15" t="s">
        <v>2106</v>
      </c>
      <c r="E90" s="19"/>
      <c r="F90" s="45" t="s">
        <v>30</v>
      </c>
    </row>
    <row r="91" spans="1:6" ht="25.5" x14ac:dyDescent="0.2">
      <c r="A91" s="20"/>
      <c r="B91" s="170" t="s">
        <v>2085</v>
      </c>
      <c r="C91" s="269" t="s">
        <v>2104</v>
      </c>
      <c r="D91" s="132" t="s">
        <v>2107</v>
      </c>
      <c r="E91" s="35"/>
      <c r="F91" s="51" t="s">
        <v>30</v>
      </c>
    </row>
    <row r="92" spans="1:6" ht="38.25" x14ac:dyDescent="0.2">
      <c r="A92" s="40"/>
      <c r="B92" s="171" t="s">
        <v>588</v>
      </c>
      <c r="C92" s="271" t="s">
        <v>132</v>
      </c>
      <c r="D92" s="133" t="s">
        <v>2108</v>
      </c>
      <c r="E92" s="20" t="s">
        <v>2109</v>
      </c>
      <c r="F92" s="52" t="s">
        <v>31</v>
      </c>
    </row>
    <row r="93" spans="1:6" ht="51" x14ac:dyDescent="0.2">
      <c r="A93" s="40"/>
      <c r="B93" s="330" t="s">
        <v>1441</v>
      </c>
      <c r="C93" s="246" t="s">
        <v>281</v>
      </c>
      <c r="D93" s="327" t="s">
        <v>1442</v>
      </c>
      <c r="E93" s="326" t="s">
        <v>1705</v>
      </c>
      <c r="F93" s="45" t="s">
        <v>30</v>
      </c>
    </row>
    <row r="94" spans="1:6" ht="51" x14ac:dyDescent="0.2">
      <c r="A94" s="40"/>
      <c r="B94" s="330" t="s">
        <v>1193</v>
      </c>
      <c r="C94" s="246" t="s">
        <v>282</v>
      </c>
      <c r="D94" s="327" t="s">
        <v>1443</v>
      </c>
      <c r="E94" s="528" t="s">
        <v>1705</v>
      </c>
      <c r="F94" s="45" t="s">
        <v>30</v>
      </c>
    </row>
    <row r="95" spans="1:6" ht="51" x14ac:dyDescent="0.2">
      <c r="A95" s="40"/>
      <c r="B95" s="330" t="s">
        <v>1194</v>
      </c>
      <c r="C95" s="246" t="s">
        <v>283</v>
      </c>
      <c r="D95" s="327" t="s">
        <v>1444</v>
      </c>
      <c r="E95" s="528" t="s">
        <v>1705</v>
      </c>
      <c r="F95" s="45" t="s">
        <v>30</v>
      </c>
    </row>
    <row r="96" spans="1:6" ht="51" x14ac:dyDescent="0.2">
      <c r="A96" s="40"/>
      <c r="B96" s="330" t="s">
        <v>1195</v>
      </c>
      <c r="C96" s="246" t="s">
        <v>284</v>
      </c>
      <c r="D96" s="327" t="s">
        <v>1445</v>
      </c>
      <c r="E96" s="528" t="s">
        <v>1705</v>
      </c>
      <c r="F96" s="45" t="s">
        <v>30</v>
      </c>
    </row>
    <row r="97" spans="1:6" ht="51.75" thickBot="1" x14ac:dyDescent="0.25">
      <c r="A97" s="40"/>
      <c r="B97" s="330" t="s">
        <v>1196</v>
      </c>
      <c r="C97" s="246" t="s">
        <v>285</v>
      </c>
      <c r="D97" s="327" t="s">
        <v>1446</v>
      </c>
      <c r="E97" s="528" t="s">
        <v>1705</v>
      </c>
      <c r="F97" s="45" t="s">
        <v>30</v>
      </c>
    </row>
    <row r="98" spans="1:6" ht="26.25" thickTop="1" x14ac:dyDescent="0.2">
      <c r="A98" s="545" t="s">
        <v>515</v>
      </c>
      <c r="B98" s="172" t="s">
        <v>154</v>
      </c>
      <c r="C98" s="272" t="s">
        <v>203</v>
      </c>
      <c r="D98" s="63" t="s">
        <v>1048</v>
      </c>
      <c r="E98" s="63" t="s">
        <v>185</v>
      </c>
      <c r="F98" s="65" t="s">
        <v>581</v>
      </c>
    </row>
    <row r="99" spans="1:6" ht="38.25" x14ac:dyDescent="0.2">
      <c r="A99" s="50"/>
      <c r="B99" s="173" t="s">
        <v>691</v>
      </c>
      <c r="C99" s="34" t="s">
        <v>715</v>
      </c>
      <c r="D99" s="529" t="s">
        <v>1647</v>
      </c>
      <c r="E99" s="19" t="s">
        <v>185</v>
      </c>
      <c r="F99" s="45" t="s">
        <v>581</v>
      </c>
    </row>
    <row r="100" spans="1:6" ht="38.25" x14ac:dyDescent="0.2">
      <c r="A100" s="50"/>
      <c r="B100" s="173" t="s">
        <v>202</v>
      </c>
      <c r="C100" s="34" t="s">
        <v>716</v>
      </c>
      <c r="D100" s="529" t="s">
        <v>1646</v>
      </c>
      <c r="E100" s="19" t="s">
        <v>185</v>
      </c>
      <c r="F100" s="45" t="s">
        <v>581</v>
      </c>
    </row>
    <row r="101" spans="1:6" ht="38.25" x14ac:dyDescent="0.2">
      <c r="A101" s="50"/>
      <c r="B101" s="173" t="s">
        <v>692</v>
      </c>
      <c r="C101" s="34" t="s">
        <v>717</v>
      </c>
      <c r="D101" s="19" t="s">
        <v>204</v>
      </c>
      <c r="E101" s="19" t="s">
        <v>185</v>
      </c>
      <c r="F101" s="45" t="s">
        <v>581</v>
      </c>
    </row>
    <row r="102" spans="1:6" ht="51" x14ac:dyDescent="0.2">
      <c r="A102" s="50"/>
      <c r="B102" s="173" t="s">
        <v>693</v>
      </c>
      <c r="C102" s="273" t="s">
        <v>693</v>
      </c>
      <c r="D102" s="229" t="s">
        <v>1049</v>
      </c>
      <c r="E102" s="19" t="s">
        <v>185</v>
      </c>
      <c r="F102" s="45" t="s">
        <v>581</v>
      </c>
    </row>
    <row r="103" spans="1:6" x14ac:dyDescent="0.2">
      <c r="B103" s="174"/>
      <c r="C103" s="274"/>
      <c r="F103" s="131"/>
    </row>
    <row r="104" spans="1:6" x14ac:dyDescent="0.2">
      <c r="B104" s="174"/>
      <c r="C104" s="274"/>
      <c r="F104" s="131"/>
    </row>
    <row r="105" spans="1:6" ht="13.5" thickBot="1" x14ac:dyDescent="0.25">
      <c r="B105" s="174"/>
      <c r="C105" s="274"/>
      <c r="F105" s="131"/>
    </row>
    <row r="106" spans="1:6" ht="14.25" thickTop="1" thickBot="1" x14ac:dyDescent="0.25">
      <c r="A106" s="129"/>
      <c r="B106" s="175" t="s">
        <v>1447</v>
      </c>
      <c r="C106" s="275"/>
      <c r="D106" s="129"/>
      <c r="E106" s="129"/>
      <c r="F106" s="130"/>
    </row>
    <row r="107" spans="1:6" s="225" customFormat="1" ht="128.25" thickTop="1" x14ac:dyDescent="0.2">
      <c r="A107" s="226"/>
      <c r="B107" s="938" t="s">
        <v>709</v>
      </c>
      <c r="C107" s="940" t="s">
        <v>1706</v>
      </c>
      <c r="D107" s="227" t="s">
        <v>1448</v>
      </c>
      <c r="E107" s="227" t="s">
        <v>1707</v>
      </c>
      <c r="F107" s="41" t="s">
        <v>482</v>
      </c>
    </row>
    <row r="108" spans="1:6" ht="140.25" x14ac:dyDescent="0.2">
      <c r="A108" s="128"/>
      <c r="B108" s="939"/>
      <c r="C108" s="941"/>
      <c r="D108" s="228" t="s">
        <v>1708</v>
      </c>
      <c r="E108" s="228"/>
      <c r="F108" s="41" t="s">
        <v>482</v>
      </c>
    </row>
    <row r="109" spans="1:6" ht="76.5" x14ac:dyDescent="0.2">
      <c r="A109" s="108" t="s">
        <v>698</v>
      </c>
      <c r="B109" s="141" t="s">
        <v>356</v>
      </c>
      <c r="C109" s="241" t="s">
        <v>651</v>
      </c>
      <c r="D109" s="19" t="s">
        <v>1068</v>
      </c>
      <c r="E109" s="19" t="s">
        <v>1709</v>
      </c>
      <c r="F109" s="41" t="s">
        <v>482</v>
      </c>
    </row>
    <row r="110" spans="1:6" ht="89.25" x14ac:dyDescent="0.2">
      <c r="A110" s="108"/>
      <c r="B110" s="141" t="s">
        <v>357</v>
      </c>
      <c r="C110" s="255" t="s">
        <v>614</v>
      </c>
      <c r="D110" s="343" t="s">
        <v>1237</v>
      </c>
      <c r="E110" s="343" t="s">
        <v>1238</v>
      </c>
      <c r="F110" s="45" t="s">
        <v>30</v>
      </c>
    </row>
    <row r="111" spans="1:6" ht="114.75" x14ac:dyDescent="0.2">
      <c r="A111" s="108"/>
      <c r="B111" s="289" t="s">
        <v>1198</v>
      </c>
      <c r="C111" s="250" t="s">
        <v>126</v>
      </c>
      <c r="D111" s="331" t="s">
        <v>2110</v>
      </c>
      <c r="E111" s="331" t="s">
        <v>1710</v>
      </c>
      <c r="F111" s="41" t="s">
        <v>482</v>
      </c>
    </row>
    <row r="112" spans="1:6" ht="89.25" x14ac:dyDescent="0.2">
      <c r="A112" s="108"/>
      <c r="B112" s="150" t="s">
        <v>359</v>
      </c>
      <c r="C112" s="251" t="s">
        <v>300</v>
      </c>
      <c r="D112" s="331" t="s">
        <v>1711</v>
      </c>
      <c r="E112" s="331" t="s">
        <v>1449</v>
      </c>
      <c r="F112" s="45" t="s">
        <v>30</v>
      </c>
    </row>
    <row r="113" spans="1:6" ht="38.25" x14ac:dyDescent="0.2">
      <c r="A113" s="108"/>
      <c r="B113" s="141" t="s">
        <v>217</v>
      </c>
      <c r="C113" s="250" t="s">
        <v>582</v>
      </c>
      <c r="D113" s="19" t="s">
        <v>1069</v>
      </c>
      <c r="E113" s="19" t="s">
        <v>816</v>
      </c>
      <c r="F113" s="45" t="s">
        <v>31</v>
      </c>
    </row>
    <row r="114" spans="1:6" x14ac:dyDescent="0.2">
      <c r="A114" s="108"/>
      <c r="B114" s="141" t="s">
        <v>345</v>
      </c>
      <c r="C114" s="240" t="s">
        <v>302</v>
      </c>
      <c r="D114" s="14" t="s">
        <v>1712</v>
      </c>
      <c r="E114" s="19" t="s">
        <v>303</v>
      </c>
      <c r="F114" s="45" t="s">
        <v>30</v>
      </c>
    </row>
    <row r="115" spans="1:6" ht="76.5" x14ac:dyDescent="0.2">
      <c r="A115" s="108"/>
      <c r="B115" s="176" t="s">
        <v>255</v>
      </c>
      <c r="C115" s="276" t="s">
        <v>1450</v>
      </c>
      <c r="D115" s="300" t="s">
        <v>1713</v>
      </c>
      <c r="E115" s="19" t="s">
        <v>1114</v>
      </c>
      <c r="F115" s="45" t="s">
        <v>31</v>
      </c>
    </row>
    <row r="116" spans="1:6" ht="153" x14ac:dyDescent="0.2">
      <c r="A116" s="108"/>
      <c r="B116" s="153" t="s">
        <v>358</v>
      </c>
      <c r="C116" s="251" t="s">
        <v>683</v>
      </c>
      <c r="D116" s="19" t="s">
        <v>1070</v>
      </c>
      <c r="E116" s="329" t="s">
        <v>1197</v>
      </c>
      <c r="F116" s="45" t="s">
        <v>31</v>
      </c>
    </row>
    <row r="117" spans="1:6" ht="153" x14ac:dyDescent="0.2">
      <c r="A117" s="108"/>
      <c r="B117" s="153" t="s">
        <v>362</v>
      </c>
      <c r="C117" s="188" t="s">
        <v>364</v>
      </c>
      <c r="D117" s="19" t="s">
        <v>2111</v>
      </c>
      <c r="E117" s="529" t="s">
        <v>1714</v>
      </c>
      <c r="F117" s="45" t="s">
        <v>31</v>
      </c>
    </row>
    <row r="118" spans="1:6" ht="191.25" x14ac:dyDescent="0.2">
      <c r="A118" s="108"/>
      <c r="B118" s="153" t="s">
        <v>363</v>
      </c>
      <c r="C118" s="188" t="s">
        <v>1050</v>
      </c>
      <c r="D118" s="229" t="s">
        <v>1715</v>
      </c>
      <c r="E118" s="229" t="s">
        <v>1148</v>
      </c>
      <c r="F118" s="45" t="s">
        <v>482</v>
      </c>
    </row>
    <row r="119" spans="1:6" ht="63.75" x14ac:dyDescent="0.2">
      <c r="A119" s="108"/>
      <c r="B119" s="230" t="s">
        <v>851</v>
      </c>
      <c r="C119" s="188" t="s">
        <v>852</v>
      </c>
      <c r="D119" s="229" t="s">
        <v>1407</v>
      </c>
      <c r="E119" s="229" t="s">
        <v>853</v>
      </c>
      <c r="F119" s="45" t="s">
        <v>30</v>
      </c>
    </row>
    <row r="120" spans="1:6" ht="153" x14ac:dyDescent="0.2">
      <c r="A120" s="108"/>
      <c r="B120" s="230" t="s">
        <v>940</v>
      </c>
      <c r="C120" s="188" t="s">
        <v>941</v>
      </c>
      <c r="D120" s="229" t="s">
        <v>1716</v>
      </c>
      <c r="E120" s="229" t="s">
        <v>1149</v>
      </c>
      <c r="F120" s="45" t="s">
        <v>30</v>
      </c>
    </row>
    <row r="121" spans="1:6" ht="38.25" x14ac:dyDescent="0.2">
      <c r="A121" s="108"/>
      <c r="B121" s="176" t="s">
        <v>699</v>
      </c>
      <c r="C121" s="250" t="s">
        <v>808</v>
      </c>
      <c r="D121" s="19" t="s">
        <v>1451</v>
      </c>
      <c r="E121" s="19" t="s">
        <v>1150</v>
      </c>
      <c r="F121" s="45" t="s">
        <v>30</v>
      </c>
    </row>
    <row r="122" spans="1:6" ht="76.5" x14ac:dyDescent="0.2">
      <c r="A122" s="108"/>
      <c r="B122" s="153" t="s">
        <v>700</v>
      </c>
      <c r="C122" s="252" t="s">
        <v>685</v>
      </c>
      <c r="D122" s="335" t="s">
        <v>1218</v>
      </c>
      <c r="E122" s="335" t="s">
        <v>1228</v>
      </c>
      <c r="F122" s="45" t="s">
        <v>30</v>
      </c>
    </row>
    <row r="123" spans="1:6" ht="114.75" x14ac:dyDescent="0.2">
      <c r="A123" s="108"/>
      <c r="B123" s="230" t="s">
        <v>1227</v>
      </c>
      <c r="C123" s="252" t="s">
        <v>1452</v>
      </c>
      <c r="D123" s="335" t="s">
        <v>1242</v>
      </c>
      <c r="E123" s="335" t="s">
        <v>1229</v>
      </c>
      <c r="F123" s="336" t="s">
        <v>30</v>
      </c>
    </row>
    <row r="124" spans="1:6" ht="51" x14ac:dyDescent="0.2">
      <c r="A124" s="108"/>
      <c r="B124" s="143" t="s">
        <v>708</v>
      </c>
      <c r="C124" s="262" t="s">
        <v>416</v>
      </c>
      <c r="D124" s="229" t="s">
        <v>1453</v>
      </c>
      <c r="E124" s="19" t="s">
        <v>1454</v>
      </c>
      <c r="F124" s="45" t="s">
        <v>29</v>
      </c>
    </row>
    <row r="125" spans="1:6" ht="13.5" thickBot="1" x14ac:dyDescent="0.25">
      <c r="A125" s="126"/>
      <c r="B125" s="160" t="s">
        <v>710</v>
      </c>
      <c r="C125" s="263" t="s">
        <v>0</v>
      </c>
      <c r="D125" s="39" t="s">
        <v>1</v>
      </c>
      <c r="E125" s="39" t="s">
        <v>933</v>
      </c>
      <c r="F125" s="46" t="s">
        <v>30</v>
      </c>
    </row>
    <row r="126" spans="1:6" ht="13.5" thickTop="1" x14ac:dyDescent="0.2">
      <c r="C126" s="188"/>
      <c r="F126" s="131"/>
    </row>
    <row r="127" spans="1:6" s="18" customFormat="1" ht="13.5" thickBot="1" x14ac:dyDescent="0.25">
      <c r="A127" s="48"/>
      <c r="B127" s="178" t="s">
        <v>587</v>
      </c>
      <c r="C127" s="277" t="s">
        <v>298</v>
      </c>
      <c r="D127" s="39" t="s">
        <v>299</v>
      </c>
      <c r="E127" s="39" t="s">
        <v>1051</v>
      </c>
      <c r="F127" s="46" t="s">
        <v>581</v>
      </c>
    </row>
    <row r="128" spans="1:6" ht="13.5" thickTop="1" x14ac:dyDescent="0.2"/>
    <row r="133" spans="4:11" ht="33.75" customHeight="1" thickBot="1" x14ac:dyDescent="0.35">
      <c r="D133" s="339" t="s">
        <v>1227</v>
      </c>
    </row>
    <row r="134" spans="4:11" ht="18.75" thickBot="1" x14ac:dyDescent="0.3">
      <c r="D134" s="943" t="s">
        <v>1219</v>
      </c>
      <c r="E134" s="944"/>
      <c r="F134" s="944"/>
      <c r="G134" s="944"/>
      <c r="H134" s="944"/>
      <c r="I134" s="944"/>
      <c r="J134" s="944"/>
      <c r="K134" s="945"/>
    </row>
    <row r="135" spans="4:11" ht="13.5" thickBot="1" x14ac:dyDescent="0.25">
      <c r="D135" s="360" t="s">
        <v>1220</v>
      </c>
      <c r="E135" s="361" t="s">
        <v>1374</v>
      </c>
      <c r="F135" s="362" t="s">
        <v>1221</v>
      </c>
      <c r="G135" s="363" t="s">
        <v>1222</v>
      </c>
      <c r="H135" s="363" t="s">
        <v>1223</v>
      </c>
      <c r="I135" s="363" t="s">
        <v>1224</v>
      </c>
      <c r="J135" s="364" t="s">
        <v>1225</v>
      </c>
      <c r="K135" s="365" t="s">
        <v>1226</v>
      </c>
    </row>
    <row r="136" spans="4:11" x14ac:dyDescent="0.2">
      <c r="D136" s="337">
        <v>14024</v>
      </c>
      <c r="E136" s="946">
        <v>1</v>
      </c>
      <c r="F136" s="949"/>
      <c r="G136" s="949"/>
      <c r="H136" s="949"/>
      <c r="I136" s="949"/>
      <c r="J136" s="949"/>
      <c r="K136" s="950"/>
    </row>
    <row r="137" spans="4:11" x14ac:dyDescent="0.2">
      <c r="D137" s="900">
        <v>17670</v>
      </c>
      <c r="E137" s="947"/>
      <c r="F137" s="366"/>
      <c r="G137" s="367"/>
      <c r="H137" s="927">
        <v>3</v>
      </c>
      <c r="I137" s="928"/>
      <c r="J137" s="928"/>
      <c r="K137" s="925"/>
    </row>
    <row r="138" spans="4:11" x14ac:dyDescent="0.2">
      <c r="D138" s="922"/>
      <c r="E138" s="948"/>
      <c r="F138" s="368"/>
      <c r="G138" s="369"/>
      <c r="H138" s="929"/>
      <c r="I138" s="930"/>
      <c r="J138" s="930"/>
      <c r="K138" s="934"/>
    </row>
    <row r="139" spans="4:11" x14ac:dyDescent="0.2">
      <c r="D139" s="900">
        <v>17726</v>
      </c>
      <c r="E139" s="923" t="s">
        <v>1375</v>
      </c>
      <c r="F139" s="902"/>
      <c r="G139" s="903"/>
      <c r="H139" s="929"/>
      <c r="I139" s="930"/>
      <c r="J139" s="930"/>
      <c r="K139" s="934"/>
    </row>
    <row r="140" spans="4:11" x14ac:dyDescent="0.2">
      <c r="D140" s="922"/>
      <c r="E140" s="923"/>
      <c r="F140" s="902"/>
      <c r="G140" s="903"/>
      <c r="H140" s="951"/>
      <c r="I140" s="952"/>
      <c r="J140" s="952"/>
      <c r="K140" s="931"/>
    </row>
    <row r="141" spans="4:11" x14ac:dyDescent="0.2">
      <c r="D141" s="900">
        <v>21251</v>
      </c>
      <c r="E141" s="923"/>
      <c r="F141" s="902"/>
      <c r="G141" s="903"/>
      <c r="H141" s="927">
        <v>5</v>
      </c>
      <c r="I141" s="928"/>
      <c r="J141" s="928"/>
      <c r="K141" s="925"/>
    </row>
    <row r="142" spans="4:11" x14ac:dyDescent="0.2">
      <c r="D142" s="922"/>
      <c r="E142" s="923"/>
      <c r="F142" s="902"/>
      <c r="G142" s="903"/>
      <c r="H142" s="929"/>
      <c r="I142" s="930"/>
      <c r="J142" s="930"/>
      <c r="K142" s="934"/>
    </row>
    <row r="143" spans="4:11" x14ac:dyDescent="0.2">
      <c r="D143" s="900">
        <v>21738</v>
      </c>
      <c r="E143" s="932">
        <v>4</v>
      </c>
      <c r="F143" s="928"/>
      <c r="G143" s="925"/>
      <c r="H143" s="929"/>
      <c r="I143" s="930"/>
      <c r="J143" s="930"/>
      <c r="K143" s="934"/>
    </row>
    <row r="144" spans="4:11" x14ac:dyDescent="0.2">
      <c r="D144" s="922"/>
      <c r="E144" s="933"/>
      <c r="F144" s="930"/>
      <c r="G144" s="934"/>
      <c r="H144" s="951"/>
      <c r="I144" s="952"/>
      <c r="J144" s="952"/>
      <c r="K144" s="931"/>
    </row>
    <row r="145" spans="4:11" x14ac:dyDescent="0.2">
      <c r="D145" s="900">
        <v>22034</v>
      </c>
      <c r="E145" s="933"/>
      <c r="F145" s="930"/>
      <c r="G145" s="934"/>
      <c r="H145" s="927">
        <v>8</v>
      </c>
      <c r="I145" s="928"/>
      <c r="J145" s="928"/>
      <c r="K145" s="925"/>
    </row>
    <row r="146" spans="4:11" x14ac:dyDescent="0.2">
      <c r="D146" s="922"/>
      <c r="E146" s="935"/>
      <c r="F146" s="952"/>
      <c r="G146" s="931"/>
      <c r="H146" s="929"/>
      <c r="I146" s="930"/>
      <c r="J146" s="930"/>
      <c r="K146" s="934"/>
    </row>
    <row r="147" spans="4:11" x14ac:dyDescent="0.2">
      <c r="D147" s="900">
        <v>22053</v>
      </c>
      <c r="E147" s="932">
        <v>6</v>
      </c>
      <c r="F147" s="925"/>
      <c r="G147" s="936"/>
      <c r="H147" s="929"/>
      <c r="I147" s="930"/>
      <c r="J147" s="930"/>
      <c r="K147" s="934"/>
    </row>
    <row r="148" spans="4:11" x14ac:dyDescent="0.2">
      <c r="D148" s="922"/>
      <c r="E148" s="933"/>
      <c r="F148" s="934"/>
      <c r="G148" s="936"/>
      <c r="H148" s="929"/>
      <c r="I148" s="930"/>
      <c r="J148" s="930"/>
      <c r="K148" s="934"/>
    </row>
    <row r="149" spans="4:11" x14ac:dyDescent="0.2">
      <c r="D149" s="900">
        <v>22068</v>
      </c>
      <c r="E149" s="933"/>
      <c r="F149" s="930"/>
      <c r="G149" s="903">
        <v>7</v>
      </c>
      <c r="H149" s="929"/>
      <c r="I149" s="930"/>
      <c r="J149" s="930"/>
      <c r="K149" s="934"/>
    </row>
    <row r="150" spans="4:11" x14ac:dyDescent="0.2">
      <c r="D150" s="922"/>
      <c r="E150" s="933"/>
      <c r="F150" s="930"/>
      <c r="G150" s="903"/>
      <c r="H150" s="951"/>
      <c r="I150" s="952"/>
      <c r="J150" s="952"/>
      <c r="K150" s="931"/>
    </row>
    <row r="151" spans="4:11" x14ac:dyDescent="0.2">
      <c r="D151" s="900">
        <v>23601</v>
      </c>
      <c r="E151" s="933"/>
      <c r="F151" s="934"/>
      <c r="G151" s="937"/>
      <c r="H151" s="913" t="s">
        <v>1376</v>
      </c>
      <c r="I151" s="914"/>
      <c r="J151" s="915"/>
      <c r="K151" s="370"/>
    </row>
    <row r="152" spans="4:11" x14ac:dyDescent="0.2">
      <c r="D152" s="922"/>
      <c r="E152" s="935"/>
      <c r="F152" s="931"/>
      <c r="G152" s="936"/>
      <c r="H152" s="916"/>
      <c r="I152" s="917"/>
      <c r="J152" s="918"/>
      <c r="K152" s="367"/>
    </row>
    <row r="153" spans="4:11" x14ac:dyDescent="0.2">
      <c r="D153" s="900">
        <v>23603</v>
      </c>
      <c r="E153" s="923">
        <v>9</v>
      </c>
      <c r="F153" s="902"/>
      <c r="G153" s="903"/>
      <c r="H153" s="916"/>
      <c r="I153" s="917"/>
      <c r="J153" s="918"/>
      <c r="K153" s="367"/>
    </row>
    <row r="154" spans="4:11" x14ac:dyDescent="0.2">
      <c r="D154" s="922"/>
      <c r="E154" s="923"/>
      <c r="F154" s="902"/>
      <c r="G154" s="903"/>
      <c r="H154" s="916"/>
      <c r="I154" s="917"/>
      <c r="J154" s="918"/>
      <c r="K154" s="367"/>
    </row>
    <row r="155" spans="4:11" x14ac:dyDescent="0.2">
      <c r="D155" s="900">
        <v>24750</v>
      </c>
      <c r="E155" s="923">
        <v>11</v>
      </c>
      <c r="F155" s="902"/>
      <c r="G155" s="903"/>
      <c r="H155" s="916"/>
      <c r="I155" s="917"/>
      <c r="J155" s="918"/>
      <c r="K155" s="367"/>
    </row>
    <row r="156" spans="4:11" x14ac:dyDescent="0.2">
      <c r="D156" s="922"/>
      <c r="E156" s="923"/>
      <c r="F156" s="902"/>
      <c r="G156" s="903"/>
      <c r="H156" s="919"/>
      <c r="I156" s="920"/>
      <c r="J156" s="921"/>
      <c r="K156" s="367"/>
    </row>
    <row r="157" spans="4:11" x14ac:dyDescent="0.2">
      <c r="D157" s="900">
        <v>26988</v>
      </c>
      <c r="E157" s="923"/>
      <c r="F157" s="902"/>
      <c r="G157" s="903"/>
      <c r="H157" s="927" t="s">
        <v>1377</v>
      </c>
      <c r="I157" s="928"/>
      <c r="J157" s="925"/>
      <c r="K157" s="942"/>
    </row>
    <row r="158" spans="4:11" x14ac:dyDescent="0.2">
      <c r="D158" s="922"/>
      <c r="E158" s="924"/>
      <c r="F158" s="925"/>
      <c r="G158" s="926"/>
      <c r="H158" s="929"/>
      <c r="I158" s="930"/>
      <c r="J158" s="931"/>
      <c r="K158" s="942"/>
    </row>
    <row r="159" spans="4:11" x14ac:dyDescent="0.2">
      <c r="D159" s="900">
        <v>40268</v>
      </c>
      <c r="E159" s="902">
        <v>13</v>
      </c>
      <c r="F159" s="903"/>
      <c r="G159" s="903"/>
      <c r="H159" s="903">
        <v>14</v>
      </c>
      <c r="I159" s="903"/>
      <c r="J159" s="906"/>
      <c r="K159" s="907"/>
    </row>
    <row r="160" spans="4:11" ht="13.5" thickBot="1" x14ac:dyDescent="0.25">
      <c r="D160" s="901"/>
      <c r="E160" s="904"/>
      <c r="F160" s="905"/>
      <c r="G160" s="905"/>
      <c r="H160" s="905"/>
      <c r="I160" s="905"/>
      <c r="J160" s="908"/>
      <c r="K160" s="909"/>
    </row>
    <row r="161" spans="4:11" x14ac:dyDescent="0.2">
      <c r="D161" t="s">
        <v>1378</v>
      </c>
      <c r="E161"/>
      <c r="F161"/>
      <c r="G161"/>
      <c r="H161"/>
      <c r="I161"/>
      <c r="J161"/>
      <c r="K161"/>
    </row>
    <row r="162" spans="4:11" x14ac:dyDescent="0.2">
      <c r="D162" s="338" t="s">
        <v>1379</v>
      </c>
      <c r="E162"/>
      <c r="F162"/>
      <c r="G162"/>
      <c r="H162"/>
      <c r="I162"/>
      <c r="J162"/>
      <c r="K162"/>
    </row>
    <row r="163" spans="4:11" x14ac:dyDescent="0.2">
      <c r="D163" s="338" t="s">
        <v>1380</v>
      </c>
      <c r="E163"/>
      <c r="F163"/>
      <c r="G163"/>
      <c r="H163"/>
      <c r="I163"/>
      <c r="J163"/>
      <c r="K163"/>
    </row>
    <row r="164" spans="4:11" ht="13.5" thickBot="1" x14ac:dyDescent="0.25">
      <c r="D164" s="371"/>
      <c r="E164" s="371"/>
      <c r="F164" s="371"/>
      <c r="G164" s="371"/>
      <c r="H164" s="371"/>
      <c r="I164" s="371"/>
      <c r="J164" s="371"/>
      <c r="K164"/>
    </row>
    <row r="165" spans="4:11" ht="18" x14ac:dyDescent="0.2">
      <c r="D165" s="372"/>
      <c r="E165" s="910" t="s">
        <v>1381</v>
      </c>
      <c r="F165" s="911"/>
      <c r="G165" s="911"/>
      <c r="H165" s="911"/>
      <c r="I165" s="911"/>
      <c r="J165" s="912"/>
      <c r="K165"/>
    </row>
    <row r="166" spans="4:11" ht="13.5" thickBot="1" x14ac:dyDescent="0.25">
      <c r="D166" s="373"/>
      <c r="E166" s="891" t="s">
        <v>1382</v>
      </c>
      <c r="F166" s="892"/>
      <c r="G166" s="892" t="s">
        <v>1383</v>
      </c>
      <c r="H166" s="892"/>
      <c r="I166" s="892" t="s">
        <v>1384</v>
      </c>
      <c r="J166" s="893"/>
    </row>
    <row r="167" spans="4:11" ht="13.5" thickBot="1" x14ac:dyDescent="0.25">
      <c r="D167" s="374" t="s">
        <v>1385</v>
      </c>
      <c r="E167" s="894"/>
      <c r="F167" s="895"/>
      <c r="G167" s="895"/>
      <c r="H167" s="895"/>
      <c r="I167" s="895"/>
      <c r="J167" s="896"/>
      <c r="K167"/>
    </row>
    <row r="168" spans="4:11" x14ac:dyDescent="0.2">
      <c r="D168" s="375">
        <v>1</v>
      </c>
      <c r="E168" s="897"/>
      <c r="F168" s="898"/>
      <c r="G168" s="897"/>
      <c r="H168" s="898"/>
      <c r="I168" s="899">
        <v>281095</v>
      </c>
      <c r="J168" s="898"/>
      <c r="K168"/>
    </row>
    <row r="169" spans="4:11" x14ac:dyDescent="0.2">
      <c r="D169" s="376">
        <v>2</v>
      </c>
      <c r="E169" s="887"/>
      <c r="F169" s="888"/>
      <c r="G169" s="887"/>
      <c r="H169" s="888"/>
      <c r="I169" s="889" t="s">
        <v>1386</v>
      </c>
      <c r="J169" s="888"/>
      <c r="K169"/>
    </row>
    <row r="170" spans="4:11" x14ac:dyDescent="0.2">
      <c r="D170" s="376">
        <v>3</v>
      </c>
      <c r="E170" s="887" t="s">
        <v>1387</v>
      </c>
      <c r="F170" s="888"/>
      <c r="G170" s="887"/>
      <c r="H170" s="888"/>
      <c r="I170" s="889" t="s">
        <v>1386</v>
      </c>
      <c r="J170" s="888"/>
      <c r="K170"/>
    </row>
    <row r="171" spans="4:11" x14ac:dyDescent="0.2">
      <c r="D171" s="376">
        <v>4</v>
      </c>
      <c r="E171" s="887"/>
      <c r="F171" s="888"/>
      <c r="G171" s="887"/>
      <c r="H171" s="888"/>
      <c r="I171" s="889" t="s">
        <v>1388</v>
      </c>
      <c r="J171" s="888"/>
      <c r="K171"/>
    </row>
    <row r="172" spans="4:11" x14ac:dyDescent="0.2">
      <c r="D172" s="376">
        <v>5</v>
      </c>
      <c r="E172" s="887" t="s">
        <v>1389</v>
      </c>
      <c r="F172" s="888"/>
      <c r="G172" s="887"/>
      <c r="H172" s="888"/>
      <c r="I172" s="889" t="s">
        <v>1390</v>
      </c>
      <c r="J172" s="888"/>
      <c r="K172"/>
    </row>
    <row r="173" spans="4:11" x14ac:dyDescent="0.2">
      <c r="D173" s="376">
        <v>6</v>
      </c>
      <c r="E173" s="887"/>
      <c r="F173" s="888"/>
      <c r="G173" s="887"/>
      <c r="H173" s="888"/>
      <c r="I173" s="889" t="s">
        <v>1391</v>
      </c>
      <c r="J173" s="888"/>
      <c r="K173"/>
    </row>
    <row r="174" spans="4:11" x14ac:dyDescent="0.2">
      <c r="D174" s="376">
        <v>7</v>
      </c>
      <c r="E174" s="887"/>
      <c r="F174" s="888"/>
      <c r="G174" s="887"/>
      <c r="H174" s="888"/>
      <c r="I174" s="889" t="s">
        <v>1392</v>
      </c>
      <c r="J174" s="888"/>
      <c r="K174"/>
    </row>
    <row r="175" spans="4:11" x14ac:dyDescent="0.2">
      <c r="D175" s="376">
        <v>8</v>
      </c>
      <c r="E175" s="887" t="s">
        <v>1393</v>
      </c>
      <c r="F175" s="888"/>
      <c r="G175" s="887"/>
      <c r="H175" s="888"/>
      <c r="I175" s="889" t="s">
        <v>1392</v>
      </c>
      <c r="J175" s="888"/>
      <c r="K175"/>
    </row>
    <row r="176" spans="4:11" x14ac:dyDescent="0.2">
      <c r="D176" s="376">
        <v>9</v>
      </c>
      <c r="E176" s="887"/>
      <c r="F176" s="888"/>
      <c r="G176" s="887"/>
      <c r="H176" s="888"/>
      <c r="I176" s="889" t="s">
        <v>1394</v>
      </c>
      <c r="J176" s="888"/>
      <c r="K176"/>
    </row>
    <row r="177" spans="4:11" x14ac:dyDescent="0.2">
      <c r="D177" s="376">
        <v>10</v>
      </c>
      <c r="E177" s="887" t="s">
        <v>1395</v>
      </c>
      <c r="F177" s="888"/>
      <c r="G177" s="887" t="s">
        <v>1396</v>
      </c>
      <c r="H177" s="888"/>
      <c r="I177" s="889" t="s">
        <v>1394</v>
      </c>
      <c r="J177" s="888"/>
      <c r="K177"/>
    </row>
    <row r="178" spans="4:11" x14ac:dyDescent="0.2">
      <c r="D178" s="376">
        <v>11</v>
      </c>
      <c r="E178" s="887"/>
      <c r="F178" s="888"/>
      <c r="G178" s="887"/>
      <c r="H178" s="888"/>
      <c r="I178" s="889" t="s">
        <v>1397</v>
      </c>
      <c r="J178" s="888"/>
      <c r="K178"/>
    </row>
    <row r="179" spans="4:11" x14ac:dyDescent="0.2">
      <c r="D179" s="376">
        <v>12</v>
      </c>
      <c r="E179" s="887" t="s">
        <v>1398</v>
      </c>
      <c r="F179" s="888"/>
      <c r="G179" s="887" t="s">
        <v>1399</v>
      </c>
      <c r="H179" s="888"/>
      <c r="I179" s="889" t="s">
        <v>1397</v>
      </c>
      <c r="J179" s="888"/>
      <c r="K179"/>
    </row>
    <row r="180" spans="4:11" x14ac:dyDescent="0.2">
      <c r="D180" s="376">
        <v>13</v>
      </c>
      <c r="E180" s="887"/>
      <c r="F180" s="888"/>
      <c r="G180" s="889"/>
      <c r="H180" s="888"/>
      <c r="I180" s="890" t="s">
        <v>1550</v>
      </c>
      <c r="J180" s="888"/>
      <c r="K180"/>
    </row>
    <row r="181" spans="4:11" ht="13.5" thickBot="1" x14ac:dyDescent="0.25">
      <c r="D181" s="377">
        <v>14</v>
      </c>
      <c r="E181" s="884" t="s">
        <v>1540</v>
      </c>
      <c r="F181" s="885"/>
      <c r="G181" s="886"/>
      <c r="H181" s="885"/>
      <c r="I181" s="884" t="s">
        <v>1541</v>
      </c>
      <c r="J181" s="885"/>
      <c r="K181"/>
    </row>
  </sheetData>
  <mergeCells count="81">
    <mergeCell ref="B107:B108"/>
    <mergeCell ref="C107:C108"/>
    <mergeCell ref="K157:K158"/>
    <mergeCell ref="D134:K134"/>
    <mergeCell ref="E136:E138"/>
    <mergeCell ref="F136:K136"/>
    <mergeCell ref="D137:D138"/>
    <mergeCell ref="H137:K140"/>
    <mergeCell ref="D139:D140"/>
    <mergeCell ref="E139:G142"/>
    <mergeCell ref="D141:D142"/>
    <mergeCell ref="H141:K144"/>
    <mergeCell ref="D143:D144"/>
    <mergeCell ref="E143:G146"/>
    <mergeCell ref="D145:D146"/>
    <mergeCell ref="H145:K150"/>
    <mergeCell ref="D147:D148"/>
    <mergeCell ref="E147:F152"/>
    <mergeCell ref="G147:G148"/>
    <mergeCell ref="D149:D150"/>
    <mergeCell ref="G149:G150"/>
    <mergeCell ref="D151:D152"/>
    <mergeCell ref="G151:G152"/>
    <mergeCell ref="H151:J156"/>
    <mergeCell ref="D153:D154"/>
    <mergeCell ref="E153:G154"/>
    <mergeCell ref="D155:D156"/>
    <mergeCell ref="E155:G158"/>
    <mergeCell ref="D157:D158"/>
    <mergeCell ref="H157:J158"/>
    <mergeCell ref="D159:D160"/>
    <mergeCell ref="E159:G160"/>
    <mergeCell ref="H159:I160"/>
    <mergeCell ref="J159:K160"/>
    <mergeCell ref="E165:J165"/>
    <mergeCell ref="E166:F166"/>
    <mergeCell ref="G166:H166"/>
    <mergeCell ref="I166:J166"/>
    <mergeCell ref="E167:J167"/>
    <mergeCell ref="E168:F168"/>
    <mergeCell ref="G168:H168"/>
    <mergeCell ref="I168:J168"/>
    <mergeCell ref="E169:F169"/>
    <mergeCell ref="G169:H169"/>
    <mergeCell ref="I169:J169"/>
    <mergeCell ref="E170:F170"/>
    <mergeCell ref="G170:H170"/>
    <mergeCell ref="I170:J170"/>
    <mergeCell ref="E171:F171"/>
    <mergeCell ref="G171:H171"/>
    <mergeCell ref="I171:J171"/>
    <mergeCell ref="E172:F172"/>
    <mergeCell ref="G172:H172"/>
    <mergeCell ref="I172:J172"/>
    <mergeCell ref="E173:F173"/>
    <mergeCell ref="G173:H173"/>
    <mergeCell ref="I173:J173"/>
    <mergeCell ref="E174:F174"/>
    <mergeCell ref="G174:H174"/>
    <mergeCell ref="I174:J174"/>
    <mergeCell ref="E175:F175"/>
    <mergeCell ref="G175:H175"/>
    <mergeCell ref="I175:J175"/>
    <mergeCell ref="E176:F176"/>
    <mergeCell ref="G176:H176"/>
    <mergeCell ref="I176:J176"/>
    <mergeCell ref="E177:F177"/>
    <mergeCell ref="G177:H177"/>
    <mergeCell ref="I177:J177"/>
    <mergeCell ref="E178:F178"/>
    <mergeCell ref="G178:H178"/>
    <mergeCell ref="I178:J178"/>
    <mergeCell ref="E181:F181"/>
    <mergeCell ref="G181:H181"/>
    <mergeCell ref="I181:J181"/>
    <mergeCell ref="E179:F179"/>
    <mergeCell ref="G179:H179"/>
    <mergeCell ref="I179:J179"/>
    <mergeCell ref="E180:F180"/>
    <mergeCell ref="G180:H180"/>
    <mergeCell ref="I180:J180"/>
  </mergeCells>
  <phoneticPr fontId="0" type="noConversion"/>
  <printOptions horizontalCentered="1" verticalCentered="1"/>
  <pageMargins left="0.25" right="0.25" top="0.5" bottom="0.5" header="0.25" footer="0.25"/>
  <pageSetup scale="75" fitToHeight="0" orientation="landscape" r:id="rId1"/>
  <headerFooter alignWithMargins="0">
    <oddHeader>&amp;C&amp;"Arial,Bold"&amp;A&amp;RPage &amp;P of &amp;N</oddHeader>
  </headerFooter>
  <rowBreaks count="2" manualBreakCount="2">
    <brk id="3" max="5" man="1"/>
    <brk id="39" max="5" man="1"/>
  </rowBreak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22"/>
  </sheetPr>
  <dimension ref="A2:V257"/>
  <sheetViews>
    <sheetView zoomScale="115" zoomScaleNormal="100" workbookViewId="0"/>
  </sheetViews>
  <sheetFormatPr defaultRowHeight="12.75" x14ac:dyDescent="0.2"/>
  <cols>
    <col min="1" max="1" width="18.28515625" customWidth="1"/>
    <col min="2" max="2" width="20.140625" style="21" customWidth="1"/>
    <col min="3" max="3" width="14.28515625" customWidth="1"/>
    <col min="5" max="5" width="7" customWidth="1"/>
    <col min="10" max="10" width="19.5703125" customWidth="1"/>
    <col min="11" max="11" width="6.5703125" customWidth="1"/>
    <col min="12" max="12" width="34.42578125" customWidth="1"/>
  </cols>
  <sheetData>
    <row r="2" spans="1:15" ht="13.5" thickBot="1" x14ac:dyDescent="0.25">
      <c r="A2" s="22" t="s">
        <v>905</v>
      </c>
      <c r="M2" t="s">
        <v>875</v>
      </c>
    </row>
    <row r="3" spans="1:15" ht="16.5" customHeight="1" x14ac:dyDescent="0.2">
      <c r="B3" s="959" t="s">
        <v>983</v>
      </c>
      <c r="C3" s="959"/>
      <c r="D3" s="959"/>
      <c r="E3" s="959"/>
      <c r="F3" s="959"/>
      <c r="G3" s="959"/>
      <c r="H3" s="959"/>
      <c r="I3" s="959"/>
      <c r="M3" s="231" t="s">
        <v>871</v>
      </c>
      <c r="N3" s="232" t="str">
        <f ca="1">TEXT(HOUR(NOW()),"00")&amp;TEXT(MINUTE(NOW()),"00")</f>
        <v>1701</v>
      </c>
    </row>
    <row r="4" spans="1:15" ht="18" customHeight="1" x14ac:dyDescent="0.2">
      <c r="A4">
        <v>1</v>
      </c>
      <c r="B4" s="959" t="s">
        <v>481</v>
      </c>
      <c r="C4" s="959"/>
      <c r="D4" s="959"/>
      <c r="E4" s="959"/>
      <c r="F4" s="959"/>
      <c r="G4" s="959"/>
      <c r="H4" s="959"/>
      <c r="I4" s="959"/>
      <c r="M4" s="233" t="s">
        <v>872</v>
      </c>
      <c r="N4" s="234">
        <f ca="1">IF(LEN(DAY(NOW()))=1, "0"&amp;DAY(NOW()),DAY(NOW()))</f>
        <v>10</v>
      </c>
    </row>
    <row r="5" spans="1:15" ht="15.75" customHeight="1" x14ac:dyDescent="0.2">
      <c r="A5">
        <v>2</v>
      </c>
      <c r="B5" s="959" t="s">
        <v>480</v>
      </c>
      <c r="C5" s="959"/>
      <c r="D5" s="959"/>
      <c r="E5" s="959"/>
      <c r="F5" s="959"/>
      <c r="G5" s="959"/>
      <c r="H5" s="959"/>
      <c r="I5" s="959"/>
      <c r="M5" s="233" t="s">
        <v>873</v>
      </c>
      <c r="N5" s="234" t="str">
        <f ca="1">IF(LEN(MONTH(NOW()))=1, "0"&amp;MONTH(NOW()),MONTH(NOW()))</f>
        <v>08</v>
      </c>
    </row>
    <row r="6" spans="1:15" ht="18" customHeight="1" thickBot="1" x14ac:dyDescent="0.25">
      <c r="A6">
        <v>3</v>
      </c>
      <c r="B6" s="959" t="s">
        <v>907</v>
      </c>
      <c r="C6" s="959"/>
      <c r="D6" s="959"/>
      <c r="E6" s="959"/>
      <c r="F6" s="959"/>
      <c r="G6" s="959"/>
      <c r="H6" s="959"/>
      <c r="I6" s="959"/>
      <c r="M6" s="235" t="s">
        <v>874</v>
      </c>
      <c r="N6" s="236">
        <f ca="1">YEAR(NOW())</f>
        <v>2015</v>
      </c>
    </row>
    <row r="7" spans="1:15" ht="17.25" customHeight="1" x14ac:dyDescent="0.2">
      <c r="A7">
        <v>4</v>
      </c>
      <c r="B7" s="959" t="s">
        <v>297</v>
      </c>
      <c r="C7" s="959"/>
      <c r="D7" s="959"/>
      <c r="E7" s="959"/>
      <c r="F7" s="959"/>
      <c r="G7" s="959"/>
      <c r="H7" s="959"/>
      <c r="I7" s="959"/>
    </row>
    <row r="8" spans="1:15" ht="17.25" customHeight="1" x14ac:dyDescent="0.2">
      <c r="A8">
        <v>5</v>
      </c>
      <c r="B8" s="959" t="s">
        <v>675</v>
      </c>
      <c r="C8" s="959"/>
      <c r="D8" s="959"/>
      <c r="E8" s="959"/>
      <c r="F8" s="959"/>
      <c r="G8" s="959"/>
      <c r="H8" s="959"/>
      <c r="I8" s="959"/>
    </row>
    <row r="9" spans="1:15" ht="18.75" customHeight="1" x14ac:dyDescent="0.2">
      <c r="A9">
        <v>6</v>
      </c>
      <c r="B9" s="959" t="s">
        <v>906</v>
      </c>
      <c r="C9" s="959"/>
      <c r="D9" s="959"/>
      <c r="E9" s="959"/>
      <c r="F9" s="959"/>
      <c r="G9" s="959"/>
      <c r="H9" s="959"/>
      <c r="I9" s="959"/>
    </row>
    <row r="10" spans="1:15" ht="18" customHeight="1" x14ac:dyDescent="0.2">
      <c r="B10" s="959" t="s">
        <v>139</v>
      </c>
      <c r="C10" s="959"/>
      <c r="D10" s="959"/>
      <c r="E10" s="959"/>
      <c r="F10" s="959"/>
      <c r="G10" s="959"/>
      <c r="H10" s="959"/>
      <c r="I10" s="959"/>
    </row>
    <row r="11" spans="1:15" ht="19.5" customHeight="1" x14ac:dyDescent="0.2">
      <c r="B11" s="959" t="s">
        <v>140</v>
      </c>
      <c r="C11" s="959"/>
      <c r="D11" s="959"/>
      <c r="E11" s="959"/>
      <c r="F11" s="959"/>
      <c r="G11" s="959"/>
      <c r="H11" s="959"/>
      <c r="I11" s="959"/>
    </row>
    <row r="12" spans="1:15" ht="19.5" customHeight="1" x14ac:dyDescent="0.2">
      <c r="C12" s="21"/>
      <c r="D12" s="21"/>
      <c r="E12" s="21"/>
      <c r="F12" s="21"/>
      <c r="G12" s="21"/>
      <c r="H12" s="21"/>
      <c r="I12" s="21"/>
    </row>
    <row r="13" spans="1:15" ht="19.5" customHeight="1" x14ac:dyDescent="0.2">
      <c r="A13" s="22" t="s">
        <v>8</v>
      </c>
      <c r="C13" s="21"/>
      <c r="D13" s="21"/>
      <c r="E13" s="21"/>
      <c r="F13" s="21"/>
      <c r="G13" s="21"/>
      <c r="H13" s="21"/>
      <c r="I13" s="21"/>
    </row>
    <row r="14" spans="1:15" ht="21" customHeight="1" x14ac:dyDescent="0.2">
      <c r="B14" s="31" t="s">
        <v>262</v>
      </c>
      <c r="C14" s="31"/>
      <c r="D14" s="31"/>
      <c r="E14" s="31"/>
      <c r="F14" s="31"/>
      <c r="G14" s="31"/>
      <c r="H14" s="31"/>
      <c r="I14" s="31"/>
      <c r="M14" s="195"/>
      <c r="N14" s="195"/>
      <c r="O14" s="195"/>
    </row>
    <row r="15" spans="1:15" ht="18.75" customHeight="1" x14ac:dyDescent="0.2">
      <c r="B15" s="527" t="s">
        <v>1580</v>
      </c>
      <c r="C15" s="21"/>
      <c r="D15" s="21"/>
      <c r="E15" s="21"/>
      <c r="F15" s="21"/>
      <c r="G15" s="21"/>
      <c r="H15" s="21"/>
      <c r="I15" s="21"/>
      <c r="M15" s="195"/>
      <c r="N15" s="195"/>
      <c r="O15" s="195"/>
    </row>
    <row r="16" spans="1:15" ht="69.75" customHeight="1" x14ac:dyDescent="0.2">
      <c r="B16" s="959" t="s">
        <v>952</v>
      </c>
      <c r="C16" s="959"/>
      <c r="D16" s="959"/>
      <c r="E16" s="959"/>
      <c r="F16" s="959"/>
      <c r="G16" s="959"/>
      <c r="H16" s="959"/>
      <c r="I16" s="959"/>
      <c r="J16" s="196"/>
      <c r="K16" s="201"/>
      <c r="L16" s="200"/>
      <c r="M16" s="195"/>
      <c r="N16" s="195"/>
      <c r="O16" s="195"/>
    </row>
    <row r="17" spans="1:22" ht="32.25" customHeight="1" x14ac:dyDescent="0.2">
      <c r="B17" s="959" t="s">
        <v>984</v>
      </c>
      <c r="C17" s="959"/>
      <c r="D17" s="959"/>
      <c r="E17" s="959"/>
      <c r="F17" s="959"/>
      <c r="G17" s="959"/>
      <c r="H17" s="959"/>
      <c r="I17" s="959"/>
      <c r="J17" s="196"/>
      <c r="K17" s="202"/>
      <c r="L17" s="199"/>
      <c r="M17" s="195"/>
      <c r="N17" s="195"/>
      <c r="O17" s="195"/>
    </row>
    <row r="18" spans="1:22" ht="53.25" customHeight="1" x14ac:dyDescent="0.2">
      <c r="B18" s="959" t="s">
        <v>985</v>
      </c>
      <c r="C18" s="959"/>
      <c r="D18" s="959"/>
      <c r="E18" s="959"/>
      <c r="F18" s="959"/>
      <c r="G18" s="959"/>
      <c r="H18" s="959"/>
      <c r="I18" s="959"/>
      <c r="J18" s="196"/>
      <c r="K18" s="202"/>
      <c r="L18" s="199"/>
      <c r="M18" s="195"/>
      <c r="N18" s="195"/>
      <c r="O18" s="195"/>
    </row>
    <row r="19" spans="1:22" ht="21" customHeight="1" x14ac:dyDescent="0.2">
      <c r="B19" s="959" t="s">
        <v>1008</v>
      </c>
      <c r="C19" s="959"/>
      <c r="D19" s="959"/>
      <c r="E19" s="959"/>
      <c r="F19" s="959"/>
      <c r="G19" s="959"/>
      <c r="H19" s="959"/>
      <c r="I19" s="959"/>
      <c r="J19" s="196"/>
      <c r="K19" s="202"/>
      <c r="L19" s="199"/>
      <c r="M19" s="195"/>
      <c r="N19" s="195"/>
      <c r="O19" s="195"/>
    </row>
    <row r="20" spans="1:22" ht="30.75" customHeight="1" x14ac:dyDescent="0.2">
      <c r="B20" s="967" t="s">
        <v>986</v>
      </c>
      <c r="C20" s="959"/>
      <c r="D20" s="959"/>
      <c r="E20" s="959"/>
      <c r="F20" s="959"/>
      <c r="G20" s="959"/>
      <c r="H20" s="959"/>
      <c r="I20" s="959"/>
      <c r="J20" s="196"/>
      <c r="K20" s="202"/>
      <c r="L20" s="199"/>
      <c r="M20" s="195"/>
      <c r="N20" s="195"/>
      <c r="O20" s="195"/>
    </row>
    <row r="21" spans="1:22" ht="20.25" customHeight="1" x14ac:dyDescent="0.2">
      <c r="C21" s="21"/>
      <c r="D21" s="21"/>
      <c r="E21" s="21"/>
      <c r="F21" s="21"/>
      <c r="G21" s="21"/>
      <c r="H21" s="21"/>
      <c r="I21" s="21"/>
      <c r="J21" s="198"/>
      <c r="K21" s="199"/>
      <c r="L21" s="199"/>
      <c r="M21" s="195"/>
      <c r="N21" s="195"/>
      <c r="O21" s="195"/>
      <c r="Q21" s="192"/>
      <c r="R21" s="192"/>
      <c r="S21" s="192"/>
      <c r="T21" s="192"/>
      <c r="U21" s="192"/>
      <c r="V21" s="192"/>
    </row>
    <row r="22" spans="1:22" x14ac:dyDescent="0.2">
      <c r="C22" s="21"/>
      <c r="D22" s="21"/>
      <c r="E22" s="21"/>
      <c r="F22" s="21"/>
      <c r="G22" s="21"/>
      <c r="H22" s="21"/>
      <c r="I22" s="21"/>
      <c r="K22" s="195"/>
      <c r="L22" s="195"/>
      <c r="M22" s="195"/>
      <c r="N22" s="195"/>
      <c r="O22" s="195"/>
    </row>
    <row r="23" spans="1:22" x14ac:dyDescent="0.2">
      <c r="A23" s="22" t="s">
        <v>686</v>
      </c>
      <c r="C23" s="21"/>
      <c r="D23" s="21"/>
      <c r="E23" s="21"/>
      <c r="F23" s="21"/>
      <c r="G23" s="21"/>
      <c r="H23" s="21"/>
      <c r="I23" s="21"/>
      <c r="K23" s="196"/>
      <c r="L23" s="197"/>
      <c r="M23" s="195"/>
      <c r="N23" s="195"/>
      <c r="O23" s="195"/>
    </row>
    <row r="24" spans="1:22" ht="64.5" customHeight="1" x14ac:dyDescent="0.2">
      <c r="B24" s="957" t="s">
        <v>2112</v>
      </c>
      <c r="C24" s="959"/>
      <c r="D24" s="959"/>
      <c r="E24" s="959"/>
      <c r="F24" s="959"/>
      <c r="G24" s="959"/>
      <c r="H24" s="959"/>
      <c r="I24" s="959"/>
      <c r="K24" s="196"/>
      <c r="L24" s="201"/>
      <c r="M24" s="195"/>
      <c r="N24" s="195"/>
      <c r="O24" s="195"/>
    </row>
    <row r="25" spans="1:22" ht="99.75" customHeight="1" x14ac:dyDescent="0.2">
      <c r="A25" s="29" t="s">
        <v>752</v>
      </c>
      <c r="B25" s="959" t="s">
        <v>987</v>
      </c>
      <c r="C25" s="959"/>
      <c r="D25" s="959"/>
      <c r="E25" s="959"/>
      <c r="F25" s="959"/>
      <c r="G25" s="959"/>
      <c r="H25" s="959"/>
      <c r="I25" s="959"/>
      <c r="K25" s="196"/>
      <c r="L25" s="202"/>
      <c r="M25" s="195"/>
      <c r="N25" s="195"/>
      <c r="O25" s="195"/>
    </row>
    <row r="26" spans="1:22" ht="99" customHeight="1" x14ac:dyDescent="0.2">
      <c r="A26" s="29" t="s">
        <v>753</v>
      </c>
      <c r="B26" s="959" t="s">
        <v>2113</v>
      </c>
      <c r="C26" s="959"/>
      <c r="D26" s="959"/>
      <c r="E26" s="959"/>
      <c r="F26" s="959"/>
      <c r="G26" s="959"/>
      <c r="H26" s="959"/>
      <c r="I26" s="959"/>
      <c r="K26" s="198"/>
      <c r="L26" s="199"/>
      <c r="M26" s="195"/>
      <c r="N26" s="195"/>
      <c r="O26" s="195"/>
    </row>
    <row r="27" spans="1:22" ht="101.25" customHeight="1" x14ac:dyDescent="0.2">
      <c r="A27" s="29" t="s">
        <v>687</v>
      </c>
      <c r="B27" s="959" t="s">
        <v>2114</v>
      </c>
      <c r="C27" s="959"/>
      <c r="D27" s="959"/>
      <c r="E27" s="959"/>
      <c r="F27" s="959"/>
      <c r="G27" s="959"/>
      <c r="H27" s="959"/>
      <c r="I27" s="959"/>
    </row>
    <row r="28" spans="1:22" ht="119.25" customHeight="1" x14ac:dyDescent="0.2">
      <c r="A28" s="29" t="s">
        <v>688</v>
      </c>
      <c r="B28" s="959" t="s">
        <v>2115</v>
      </c>
      <c r="C28" s="959"/>
      <c r="D28" s="959"/>
      <c r="E28" s="959"/>
      <c r="F28" s="959"/>
      <c r="G28" s="959"/>
      <c r="H28" s="959"/>
      <c r="I28" s="959"/>
    </row>
    <row r="29" spans="1:22" ht="71.25" customHeight="1" x14ac:dyDescent="0.2">
      <c r="A29" s="29" t="s">
        <v>579</v>
      </c>
      <c r="B29" s="959" t="s">
        <v>2116</v>
      </c>
      <c r="C29" s="959"/>
      <c r="D29" s="959"/>
      <c r="E29" s="959"/>
      <c r="F29" s="959"/>
      <c r="G29" s="959"/>
      <c r="H29" s="959"/>
      <c r="I29" s="959"/>
    </row>
    <row r="30" spans="1:22" ht="102.75" customHeight="1" x14ac:dyDescent="0.2">
      <c r="A30" s="29" t="s">
        <v>697</v>
      </c>
      <c r="B30" s="959" t="s">
        <v>1455</v>
      </c>
      <c r="C30" s="959"/>
      <c r="D30" s="959"/>
      <c r="E30" s="959"/>
      <c r="F30" s="959"/>
      <c r="G30" s="959"/>
      <c r="H30" s="959"/>
      <c r="I30" s="959"/>
    </row>
    <row r="31" spans="1:22" ht="43.5" customHeight="1" x14ac:dyDescent="0.2">
      <c r="A31" s="29"/>
      <c r="B31" s="959" t="s">
        <v>953</v>
      </c>
      <c r="C31" s="959"/>
      <c r="D31" s="959"/>
      <c r="E31" s="959"/>
      <c r="F31" s="959"/>
      <c r="G31" s="959"/>
      <c r="H31" s="959"/>
      <c r="I31" s="959"/>
    </row>
    <row r="32" spans="1:22" ht="87" customHeight="1" x14ac:dyDescent="0.2">
      <c r="A32" s="29"/>
      <c r="B32" s="959" t="s">
        <v>1456</v>
      </c>
      <c r="C32" s="959"/>
      <c r="D32" s="959"/>
      <c r="E32" s="959"/>
      <c r="F32" s="959"/>
      <c r="G32" s="959"/>
      <c r="H32" s="959"/>
      <c r="I32" s="959"/>
    </row>
    <row r="33" spans="1:12" ht="57" customHeight="1" x14ac:dyDescent="0.2">
      <c r="A33" s="29"/>
      <c r="B33" s="959" t="s">
        <v>954</v>
      </c>
      <c r="C33" s="959"/>
      <c r="D33" s="959"/>
      <c r="E33" s="959"/>
      <c r="F33" s="959"/>
      <c r="G33" s="959"/>
      <c r="H33" s="959"/>
      <c r="I33" s="959"/>
    </row>
    <row r="34" spans="1:12" ht="57" customHeight="1" x14ac:dyDescent="0.2">
      <c r="A34" s="29"/>
      <c r="C34" s="21"/>
      <c r="D34" s="21"/>
      <c r="E34" s="21"/>
      <c r="F34" s="21"/>
      <c r="G34" s="21"/>
      <c r="H34" s="21"/>
      <c r="I34" s="21"/>
    </row>
    <row r="35" spans="1:12" ht="80.25" customHeight="1" x14ac:dyDescent="0.2">
      <c r="A35" s="29"/>
      <c r="C35" s="21"/>
      <c r="D35" s="21"/>
      <c r="E35" s="21"/>
      <c r="F35" s="21"/>
      <c r="G35" s="21"/>
      <c r="H35" s="21"/>
      <c r="I35" s="21"/>
    </row>
    <row r="36" spans="1:12" ht="57" customHeight="1" x14ac:dyDescent="0.2">
      <c r="A36" s="29"/>
      <c r="C36" s="21"/>
      <c r="D36" s="21"/>
      <c r="E36" s="21"/>
      <c r="F36" s="21"/>
      <c r="G36" s="21"/>
      <c r="H36" s="21"/>
      <c r="I36" s="21"/>
    </row>
    <row r="37" spans="1:12" ht="41.25" customHeight="1" x14ac:dyDescent="0.2">
      <c r="A37" s="37" t="s">
        <v>128</v>
      </c>
      <c r="B37" s="959" t="s">
        <v>1457</v>
      </c>
      <c r="C37" s="959"/>
      <c r="D37" s="959"/>
      <c r="E37" s="959"/>
      <c r="F37" s="959"/>
      <c r="G37" s="959"/>
      <c r="H37" s="959"/>
      <c r="I37" s="959"/>
    </row>
    <row r="38" spans="1:12" ht="57.75" customHeight="1" x14ac:dyDescent="0.2">
      <c r="A38" s="29"/>
      <c r="B38" s="959" t="s">
        <v>988</v>
      </c>
      <c r="C38" s="959"/>
      <c r="D38" s="959"/>
      <c r="E38" s="959"/>
      <c r="F38" s="959"/>
      <c r="G38" s="959"/>
      <c r="H38" s="959"/>
      <c r="I38" s="959"/>
    </row>
    <row r="39" spans="1:12" ht="82.5" customHeight="1" x14ac:dyDescent="0.2">
      <c r="A39" s="29"/>
      <c r="B39" s="959" t="s">
        <v>2117</v>
      </c>
      <c r="C39" s="959"/>
      <c r="D39" s="959"/>
      <c r="E39" s="959"/>
      <c r="F39" s="959"/>
      <c r="G39" s="959"/>
      <c r="H39" s="959"/>
      <c r="I39" s="959"/>
    </row>
    <row r="40" spans="1:12" ht="57" customHeight="1" x14ac:dyDescent="0.2">
      <c r="A40" s="29"/>
      <c r="B40" s="959" t="s">
        <v>1458</v>
      </c>
      <c r="C40" s="959"/>
      <c r="D40" s="959"/>
      <c r="E40" s="959"/>
      <c r="F40" s="959"/>
      <c r="G40" s="959"/>
      <c r="H40" s="959"/>
      <c r="I40" s="959"/>
    </row>
    <row r="41" spans="1:12" ht="40.5" customHeight="1" x14ac:dyDescent="0.2">
      <c r="A41" s="29"/>
      <c r="B41" s="959" t="s">
        <v>2118</v>
      </c>
      <c r="C41" s="959"/>
      <c r="D41" s="959"/>
      <c r="E41" s="959"/>
      <c r="F41" s="959"/>
      <c r="G41" s="959"/>
      <c r="H41" s="959"/>
      <c r="I41" s="959"/>
    </row>
    <row r="42" spans="1:12" ht="80.25" customHeight="1" x14ac:dyDescent="0.2">
      <c r="A42" s="29"/>
      <c r="B42" s="959" t="s">
        <v>955</v>
      </c>
      <c r="C42" s="959"/>
      <c r="D42" s="959"/>
      <c r="E42" s="959"/>
      <c r="F42" s="959"/>
      <c r="G42" s="959"/>
      <c r="H42" s="959"/>
      <c r="I42" s="959"/>
    </row>
    <row r="43" spans="1:12" ht="41.25" customHeight="1" thickBot="1" x14ac:dyDescent="0.25">
      <c r="A43" s="29"/>
      <c r="B43" s="959" t="s">
        <v>1459</v>
      </c>
      <c r="C43" s="959"/>
      <c r="D43" s="959"/>
      <c r="E43" s="959"/>
      <c r="F43" s="959"/>
      <c r="G43" s="959"/>
      <c r="H43" s="959"/>
      <c r="I43" s="959"/>
      <c r="J43" s="223"/>
      <c r="K43" s="224"/>
      <c r="L43" s="222" t="s">
        <v>149</v>
      </c>
    </row>
    <row r="44" spans="1:12" ht="41.25" customHeight="1" x14ac:dyDescent="0.2">
      <c r="A44" s="29"/>
      <c r="B44" s="959" t="s">
        <v>2119</v>
      </c>
      <c r="C44" s="959"/>
      <c r="D44" s="959"/>
      <c r="E44" s="959"/>
      <c r="F44" s="959"/>
      <c r="G44" s="959"/>
      <c r="H44" s="959"/>
      <c r="I44" s="959"/>
      <c r="J44" s="965" t="s">
        <v>1460</v>
      </c>
      <c r="K44" s="966"/>
      <c r="L44" s="193" t="s">
        <v>1578</v>
      </c>
    </row>
    <row r="45" spans="1:12" ht="34.5" customHeight="1" thickBot="1" x14ac:dyDescent="0.25">
      <c r="A45" s="29"/>
      <c r="B45" s="959" t="s">
        <v>1461</v>
      </c>
      <c r="C45" s="959"/>
      <c r="D45" s="959"/>
      <c r="E45" s="959"/>
      <c r="F45" s="959"/>
      <c r="G45" s="959"/>
      <c r="H45" s="959"/>
      <c r="I45" s="959"/>
      <c r="J45" s="962" t="s">
        <v>1462</v>
      </c>
      <c r="K45" s="963"/>
      <c r="L45" s="194" t="s">
        <v>1565</v>
      </c>
    </row>
    <row r="46" spans="1:12" ht="32.25" customHeight="1" thickBot="1" x14ac:dyDescent="0.25">
      <c r="A46" s="29"/>
      <c r="B46" s="959" t="s">
        <v>150</v>
      </c>
      <c r="C46" s="959"/>
      <c r="D46" s="959"/>
      <c r="E46" s="959"/>
      <c r="F46" s="959"/>
      <c r="G46" s="959"/>
      <c r="H46" s="959"/>
      <c r="I46" s="964"/>
      <c r="J46" s="960" t="s">
        <v>1463</v>
      </c>
      <c r="K46" s="961"/>
      <c r="L46" s="203" t="str">
        <f ca="1">L45&amp;"_"&amp;L44&amp;"_"&amp;N6&amp;N5&amp;N4&amp;N3&amp;".pdf"</f>
        <v>3654C05_Dist-Plat_201508101701.pdf</v>
      </c>
    </row>
    <row r="47" spans="1:12" ht="32.25" customHeight="1" thickTop="1" x14ac:dyDescent="0.2">
      <c r="A47" s="29"/>
      <c r="B47" s="957" t="s">
        <v>1576</v>
      </c>
      <c r="C47" s="959"/>
      <c r="D47" s="959"/>
      <c r="E47" s="959"/>
      <c r="F47" s="959"/>
      <c r="G47" s="959"/>
      <c r="H47" s="959"/>
      <c r="I47" s="959"/>
      <c r="J47" s="205"/>
      <c r="K47" s="206"/>
      <c r="L47" s="199"/>
    </row>
    <row r="48" spans="1:12" ht="32.25" customHeight="1" x14ac:dyDescent="0.2">
      <c r="A48" s="29"/>
      <c r="B48" s="957" t="s">
        <v>1577</v>
      </c>
      <c r="C48" s="959"/>
      <c r="D48" s="959"/>
      <c r="E48" s="959"/>
      <c r="F48" s="959"/>
      <c r="G48" s="959"/>
      <c r="H48" s="959"/>
      <c r="I48" s="959"/>
      <c r="J48" s="205"/>
      <c r="K48" s="206"/>
      <c r="L48" s="199"/>
    </row>
    <row r="49" spans="1:12" ht="9.75" customHeight="1" x14ac:dyDescent="0.2">
      <c r="A49" s="29"/>
      <c r="C49" s="21"/>
      <c r="D49" s="21"/>
      <c r="E49" s="21"/>
      <c r="F49" s="21"/>
      <c r="G49" s="21"/>
      <c r="H49" s="21"/>
      <c r="I49" s="16"/>
      <c r="J49" s="205"/>
      <c r="K49" s="206"/>
      <c r="L49" s="199"/>
    </row>
    <row r="50" spans="1:12" ht="115.5" customHeight="1" x14ac:dyDescent="0.2">
      <c r="A50" s="29" t="s">
        <v>184</v>
      </c>
      <c r="B50" s="959" t="s">
        <v>1464</v>
      </c>
      <c r="C50" s="959"/>
      <c r="D50" s="959"/>
      <c r="E50" s="959"/>
      <c r="F50" s="959"/>
      <c r="G50" s="959"/>
      <c r="H50" s="959"/>
      <c r="I50" s="959"/>
    </row>
    <row r="51" spans="1:12" ht="66.75" customHeight="1" x14ac:dyDescent="0.2">
      <c r="A51" s="29"/>
      <c r="B51" s="959" t="s">
        <v>2120</v>
      </c>
      <c r="C51" s="959"/>
      <c r="D51" s="959"/>
      <c r="E51" s="959"/>
      <c r="F51" s="959"/>
      <c r="G51" s="959"/>
      <c r="H51" s="959"/>
      <c r="I51" s="959"/>
    </row>
    <row r="52" spans="1:12" ht="42" customHeight="1" x14ac:dyDescent="0.2">
      <c r="A52" s="29"/>
      <c r="B52" s="959" t="s">
        <v>989</v>
      </c>
      <c r="C52" s="959"/>
      <c r="D52" s="959"/>
      <c r="E52" s="959"/>
      <c r="F52" s="959"/>
      <c r="G52" s="959"/>
      <c r="H52" s="959"/>
      <c r="I52" s="959"/>
    </row>
    <row r="53" spans="1:12" ht="70.5" customHeight="1" x14ac:dyDescent="0.2">
      <c r="A53" s="29"/>
      <c r="B53" s="957" t="s">
        <v>1011</v>
      </c>
      <c r="C53" s="959"/>
      <c r="D53" s="959"/>
      <c r="E53" s="959"/>
      <c r="F53" s="959"/>
      <c r="G53" s="959"/>
      <c r="H53" s="959"/>
      <c r="I53" s="959"/>
    </row>
    <row r="54" spans="1:12" ht="70.5" customHeight="1" x14ac:dyDescent="0.2">
      <c r="A54" s="29"/>
      <c r="B54" s="959" t="s">
        <v>956</v>
      </c>
      <c r="C54" s="959"/>
      <c r="D54" s="959"/>
      <c r="E54" s="959"/>
      <c r="F54" s="959"/>
      <c r="G54" s="959"/>
      <c r="H54" s="959"/>
      <c r="I54" s="959"/>
    </row>
    <row r="55" spans="1:12" ht="33.75" customHeight="1" x14ac:dyDescent="0.2">
      <c r="A55" s="29"/>
      <c r="B55" s="959" t="s">
        <v>689</v>
      </c>
      <c r="C55" s="959"/>
      <c r="D55" s="959"/>
      <c r="E55" s="959"/>
      <c r="F55" s="959"/>
      <c r="G55" s="959"/>
      <c r="H55" s="959"/>
      <c r="I55" s="959"/>
    </row>
    <row r="56" spans="1:12" ht="42" customHeight="1" x14ac:dyDescent="0.2">
      <c r="A56" s="37" t="s">
        <v>684</v>
      </c>
      <c r="B56" s="959" t="s">
        <v>990</v>
      </c>
      <c r="C56" s="959"/>
      <c r="D56" s="959"/>
      <c r="E56" s="959"/>
      <c r="F56" s="959"/>
      <c r="G56" s="959"/>
      <c r="H56" s="959"/>
      <c r="I56" s="959"/>
    </row>
    <row r="57" spans="1:12" ht="26.25" customHeight="1" x14ac:dyDescent="0.2">
      <c r="A57" s="22" t="s">
        <v>494</v>
      </c>
      <c r="C57" s="21"/>
      <c r="D57" s="21"/>
      <c r="E57" s="21"/>
      <c r="F57" s="21"/>
      <c r="G57" s="21"/>
      <c r="H57" s="21"/>
      <c r="I57" s="21"/>
    </row>
    <row r="58" spans="1:12" ht="105" customHeight="1" x14ac:dyDescent="0.2">
      <c r="B58" s="959" t="s">
        <v>1465</v>
      </c>
      <c r="C58" s="959"/>
      <c r="D58" s="959"/>
      <c r="E58" s="959"/>
      <c r="F58" s="959"/>
      <c r="G58" s="959"/>
      <c r="H58" s="959"/>
      <c r="I58" s="959"/>
    </row>
    <row r="59" spans="1:12" ht="97.5" customHeight="1" x14ac:dyDescent="0.2">
      <c r="B59" s="959" t="s">
        <v>991</v>
      </c>
      <c r="C59" s="959"/>
      <c r="D59" s="959"/>
      <c r="E59" s="959"/>
      <c r="F59" s="959"/>
      <c r="G59" s="959"/>
      <c r="H59" s="959"/>
      <c r="I59" s="959"/>
    </row>
    <row r="60" spans="1:12" x14ac:dyDescent="0.2">
      <c r="C60" s="21"/>
      <c r="D60" s="21"/>
      <c r="E60" s="21"/>
      <c r="F60" s="21"/>
      <c r="G60" s="21"/>
      <c r="H60" s="21"/>
      <c r="I60" s="21"/>
    </row>
    <row r="61" spans="1:12" x14ac:dyDescent="0.2">
      <c r="A61" s="30" t="s">
        <v>694</v>
      </c>
      <c r="C61" s="21"/>
      <c r="D61" s="21"/>
      <c r="E61" s="21"/>
      <c r="F61" s="21"/>
      <c r="G61" s="21"/>
      <c r="H61" s="21"/>
      <c r="I61" s="21"/>
    </row>
    <row r="62" spans="1:12" ht="37.5" customHeight="1" x14ac:dyDescent="0.2">
      <c r="A62" s="29"/>
      <c r="B62" s="959" t="s">
        <v>1466</v>
      </c>
      <c r="C62" s="959"/>
      <c r="D62" s="959"/>
      <c r="E62" s="959"/>
      <c r="F62" s="959"/>
      <c r="G62" s="959"/>
      <c r="H62" s="959"/>
      <c r="I62" s="959"/>
    </row>
    <row r="63" spans="1:12" ht="55.5" customHeight="1" x14ac:dyDescent="0.2">
      <c r="A63" s="29"/>
      <c r="B63" s="959" t="s">
        <v>1467</v>
      </c>
      <c r="C63" s="959"/>
      <c r="D63" s="959"/>
      <c r="E63" s="959"/>
      <c r="F63" s="959"/>
      <c r="G63" s="959"/>
      <c r="H63" s="959"/>
      <c r="I63" s="959"/>
    </row>
    <row r="64" spans="1:12" ht="35.25" customHeight="1" x14ac:dyDescent="0.2">
      <c r="B64" s="959" t="s">
        <v>2121</v>
      </c>
      <c r="C64" s="959"/>
      <c r="D64" s="959"/>
      <c r="E64" s="959"/>
      <c r="F64" s="959"/>
      <c r="G64" s="959"/>
      <c r="H64" s="959"/>
      <c r="I64" s="959"/>
    </row>
    <row r="65" spans="1:9" ht="35.25" customHeight="1" x14ac:dyDescent="0.2">
      <c r="A65" s="22" t="s">
        <v>1365</v>
      </c>
      <c r="B65" s="355"/>
      <c r="C65" s="355"/>
      <c r="D65" s="355"/>
      <c r="E65" s="355"/>
      <c r="F65" s="355"/>
      <c r="G65" s="355"/>
      <c r="H65" s="355"/>
      <c r="I65" s="355"/>
    </row>
    <row r="66" spans="1:9" ht="55.5" customHeight="1" x14ac:dyDescent="0.2">
      <c r="B66" s="957" t="s">
        <v>2122</v>
      </c>
      <c r="C66" s="959"/>
      <c r="D66" s="959"/>
      <c r="E66" s="959"/>
      <c r="F66" s="959"/>
      <c r="G66" s="959"/>
      <c r="H66" s="959"/>
      <c r="I66" s="959"/>
    </row>
    <row r="67" spans="1:9" ht="18.75" customHeight="1" x14ac:dyDescent="0.2">
      <c r="A67" s="99"/>
    </row>
    <row r="68" spans="1:9" x14ac:dyDescent="0.2">
      <c r="C68" s="21"/>
      <c r="D68" s="21"/>
      <c r="E68" s="21"/>
      <c r="F68" s="21"/>
      <c r="G68" s="21"/>
      <c r="H68" s="21"/>
      <c r="I68" s="21"/>
    </row>
    <row r="69" spans="1:9" x14ac:dyDescent="0.2">
      <c r="A69" s="22" t="s">
        <v>929</v>
      </c>
      <c r="C69" s="21"/>
      <c r="D69" s="21"/>
      <c r="E69" s="21"/>
      <c r="F69" s="21"/>
      <c r="G69" s="21"/>
      <c r="H69" s="21"/>
      <c r="I69" s="21"/>
    </row>
    <row r="70" spans="1:9" ht="87.75" customHeight="1" x14ac:dyDescent="0.2">
      <c r="B70" s="959" t="s">
        <v>992</v>
      </c>
      <c r="C70" s="959"/>
      <c r="D70" s="959"/>
      <c r="E70" s="959"/>
      <c r="F70" s="959"/>
      <c r="G70" s="959"/>
      <c r="H70" s="959"/>
      <c r="I70" s="959"/>
    </row>
    <row r="71" spans="1:9" ht="93.75" customHeight="1" x14ac:dyDescent="0.2">
      <c r="A71" s="285" t="s">
        <v>951</v>
      </c>
      <c r="B71" s="957" t="s">
        <v>1026</v>
      </c>
      <c r="C71" s="959"/>
      <c r="D71" s="959"/>
      <c r="E71" s="959"/>
      <c r="F71" s="959"/>
      <c r="G71" s="959"/>
      <c r="H71" s="959"/>
      <c r="I71" s="959"/>
    </row>
    <row r="72" spans="1:9" x14ac:dyDescent="0.2">
      <c r="C72" s="21"/>
      <c r="D72" s="21"/>
      <c r="E72" s="21"/>
      <c r="F72" s="21"/>
      <c r="G72" s="21"/>
      <c r="H72" s="21"/>
      <c r="I72" s="21"/>
    </row>
    <row r="73" spans="1:9" ht="28.5" customHeight="1" x14ac:dyDescent="0.2">
      <c r="B73" s="959" t="s">
        <v>957</v>
      </c>
      <c r="C73" s="959"/>
      <c r="D73" s="959"/>
      <c r="E73" s="959"/>
      <c r="F73" s="959"/>
      <c r="G73" s="959"/>
      <c r="H73" s="959"/>
      <c r="I73" s="959"/>
    </row>
    <row r="74" spans="1:9" ht="42.75" customHeight="1" x14ac:dyDescent="0.2">
      <c r="B74" s="959" t="s">
        <v>228</v>
      </c>
      <c r="C74" s="959"/>
      <c r="D74" s="959"/>
      <c r="E74" s="959"/>
      <c r="F74" s="959"/>
      <c r="G74" s="959"/>
      <c r="H74" s="959"/>
      <c r="I74" s="959"/>
    </row>
    <row r="75" spans="1:9" x14ac:dyDescent="0.2">
      <c r="C75" s="21"/>
      <c r="D75" s="21"/>
      <c r="E75" s="21"/>
      <c r="F75" s="21"/>
      <c r="G75" s="21"/>
      <c r="H75" s="21"/>
      <c r="I75" s="21"/>
    </row>
    <row r="76" spans="1:9" ht="29.25" customHeight="1" x14ac:dyDescent="0.2">
      <c r="B76" s="23" t="s">
        <v>233</v>
      </c>
      <c r="C76" s="21"/>
      <c r="D76" s="959" t="s">
        <v>493</v>
      </c>
      <c r="E76" s="959"/>
      <c r="F76" s="959"/>
      <c r="G76" s="959"/>
      <c r="H76" s="959"/>
      <c r="I76" s="959"/>
    </row>
    <row r="77" spans="1:9" ht="55.5" customHeight="1" x14ac:dyDescent="0.2">
      <c r="B77" s="959" t="s">
        <v>2123</v>
      </c>
      <c r="C77" s="959"/>
      <c r="D77" s="959"/>
      <c r="E77" s="959"/>
      <c r="F77" s="959"/>
      <c r="G77" s="959"/>
      <c r="H77" s="959"/>
      <c r="I77" s="959"/>
    </row>
    <row r="78" spans="1:9" ht="80.25" customHeight="1" x14ac:dyDescent="0.2">
      <c r="B78" s="959" t="s">
        <v>1468</v>
      </c>
      <c r="C78" s="959"/>
      <c r="D78" s="959"/>
      <c r="E78" s="959"/>
      <c r="F78" s="959"/>
      <c r="G78" s="959"/>
      <c r="H78" s="959"/>
      <c r="I78" s="959"/>
    </row>
    <row r="79" spans="1:9" ht="55.5" customHeight="1" x14ac:dyDescent="0.2">
      <c r="B79" s="959" t="s">
        <v>1469</v>
      </c>
      <c r="C79" s="959"/>
      <c r="D79" s="959"/>
      <c r="E79" s="959"/>
      <c r="F79" s="959"/>
      <c r="G79" s="959"/>
      <c r="H79" s="959"/>
      <c r="I79" s="959"/>
    </row>
    <row r="80" spans="1:9" ht="13.5" customHeight="1" x14ac:dyDescent="0.2">
      <c r="B80" s="967" t="s">
        <v>244</v>
      </c>
      <c r="C80" s="967"/>
      <c r="D80" s="967"/>
      <c r="E80" s="967"/>
      <c r="F80" s="967"/>
      <c r="G80" s="967"/>
      <c r="H80" s="967"/>
      <c r="I80" s="967"/>
    </row>
    <row r="81" spans="2:12" ht="45" customHeight="1" x14ac:dyDescent="0.2">
      <c r="B81" s="959" t="s">
        <v>993</v>
      </c>
      <c r="C81" s="959"/>
      <c r="D81" s="959"/>
      <c r="E81" s="959"/>
      <c r="F81" s="959"/>
      <c r="G81" s="959"/>
      <c r="H81" s="959"/>
      <c r="I81" s="959"/>
    </row>
    <row r="82" spans="2:12" ht="45" customHeight="1" x14ac:dyDescent="0.2">
      <c r="B82" s="959" t="s">
        <v>1470</v>
      </c>
      <c r="C82" s="959"/>
      <c r="D82" s="959"/>
      <c r="E82" s="959"/>
      <c r="F82" s="959"/>
      <c r="G82" s="959"/>
      <c r="H82" s="959"/>
      <c r="I82" s="959"/>
    </row>
    <row r="83" spans="2:12" x14ac:dyDescent="0.2">
      <c r="C83" s="21"/>
      <c r="D83" s="21"/>
      <c r="E83" s="21"/>
      <c r="F83" s="21"/>
      <c r="G83" s="21"/>
      <c r="H83" s="21"/>
      <c r="I83" s="21"/>
    </row>
    <row r="84" spans="2:12" x14ac:dyDescent="0.2">
      <c r="B84" s="967" t="s">
        <v>125</v>
      </c>
      <c r="C84" s="959"/>
      <c r="D84" s="959"/>
      <c r="E84" s="959"/>
      <c r="F84" s="959"/>
      <c r="G84" s="959"/>
      <c r="H84" s="959"/>
      <c r="I84" s="959"/>
    </row>
    <row r="85" spans="2:12" ht="72.75" customHeight="1" x14ac:dyDescent="0.2">
      <c r="B85" s="969" t="s">
        <v>1471</v>
      </c>
      <c r="C85" s="969"/>
      <c r="D85" s="969"/>
      <c r="E85" s="969"/>
      <c r="F85" s="969"/>
      <c r="G85" s="969"/>
      <c r="H85" s="969"/>
      <c r="I85" s="969"/>
    </row>
    <row r="86" spans="2:12" ht="52.5" customHeight="1" x14ac:dyDescent="0.2">
      <c r="B86" s="968" t="s">
        <v>1012</v>
      </c>
      <c r="C86" s="969"/>
      <c r="D86" s="969"/>
      <c r="E86" s="969"/>
      <c r="F86" s="969"/>
      <c r="G86" s="969"/>
      <c r="H86" s="969"/>
      <c r="I86" s="969"/>
    </row>
    <row r="87" spans="2:12" ht="110.25" customHeight="1" x14ac:dyDescent="0.2">
      <c r="B87" s="971" t="s">
        <v>994</v>
      </c>
      <c r="C87" s="971"/>
      <c r="D87" s="971"/>
      <c r="E87" s="971"/>
      <c r="F87" s="971"/>
      <c r="G87" s="971"/>
      <c r="H87" s="971"/>
      <c r="I87" s="971"/>
    </row>
    <row r="88" spans="2:12" ht="67.5" customHeight="1" x14ac:dyDescent="0.2">
      <c r="B88" s="970" t="s">
        <v>958</v>
      </c>
      <c r="C88" s="959"/>
      <c r="D88" s="959"/>
      <c r="E88" s="959"/>
      <c r="F88" s="959"/>
      <c r="G88" s="959"/>
      <c r="H88" s="959"/>
      <c r="I88" s="959"/>
    </row>
    <row r="89" spans="2:12" ht="60" customHeight="1" x14ac:dyDescent="0.2">
      <c r="B89" s="957" t="s">
        <v>1013</v>
      </c>
      <c r="C89" s="959"/>
      <c r="D89" s="959"/>
      <c r="E89" s="959"/>
      <c r="F89" s="959"/>
      <c r="G89" s="959"/>
      <c r="H89" s="959"/>
      <c r="I89" s="959"/>
    </row>
    <row r="90" spans="2:12" ht="52.5" customHeight="1" thickBot="1" x14ac:dyDescent="0.25">
      <c r="B90" s="959" t="s">
        <v>1472</v>
      </c>
      <c r="C90" s="959"/>
      <c r="D90" s="959"/>
      <c r="E90" s="959"/>
      <c r="F90" s="959"/>
      <c r="G90" s="959"/>
      <c r="H90" s="959"/>
      <c r="I90" s="959"/>
    </row>
    <row r="91" spans="2:12" ht="41.25" customHeight="1" x14ac:dyDescent="0.2">
      <c r="B91" s="967" t="s">
        <v>1473</v>
      </c>
      <c r="C91" s="959"/>
      <c r="D91" s="959"/>
      <c r="E91" s="959"/>
      <c r="F91" s="959"/>
      <c r="G91" s="959"/>
      <c r="H91" s="959"/>
      <c r="I91" s="964"/>
      <c r="J91" s="24" t="s">
        <v>550</v>
      </c>
      <c r="K91" s="237">
        <v>45.34</v>
      </c>
      <c r="L91" s="21" t="s">
        <v>171</v>
      </c>
    </row>
    <row r="92" spans="2:12" ht="39.75" customHeight="1" x14ac:dyDescent="0.2">
      <c r="B92" s="959" t="s">
        <v>959</v>
      </c>
      <c r="C92" s="959"/>
      <c r="D92" s="959"/>
      <c r="E92" s="959"/>
      <c r="F92" s="959"/>
      <c r="G92" s="959"/>
      <c r="H92" s="959"/>
      <c r="I92" s="964"/>
      <c r="J92" s="25" t="s">
        <v>551</v>
      </c>
      <c r="K92" s="26">
        <v>1.5</v>
      </c>
      <c r="L92" s="286" t="s">
        <v>1014</v>
      </c>
    </row>
    <row r="93" spans="2:12" ht="43.5" customHeight="1" thickBot="1" x14ac:dyDescent="0.25">
      <c r="B93" s="957" t="s">
        <v>1474</v>
      </c>
      <c r="C93" s="959"/>
      <c r="D93" s="959"/>
      <c r="E93" s="959"/>
      <c r="F93" s="959"/>
      <c r="G93" s="959"/>
      <c r="H93" s="959"/>
      <c r="I93" s="964"/>
      <c r="J93" s="319" t="s">
        <v>1140</v>
      </c>
      <c r="K93" s="27">
        <v>24</v>
      </c>
      <c r="L93" s="317" t="s">
        <v>1141</v>
      </c>
    </row>
    <row r="94" spans="2:12" ht="31.5" customHeight="1" thickBot="1" x14ac:dyDescent="0.35">
      <c r="B94" s="959" t="s">
        <v>995</v>
      </c>
      <c r="C94" s="958"/>
      <c r="D94" s="958"/>
      <c r="E94" s="958"/>
      <c r="F94" s="958"/>
      <c r="G94" s="958"/>
      <c r="H94" s="958"/>
      <c r="I94" s="972"/>
      <c r="J94" s="28" t="s">
        <v>1015</v>
      </c>
      <c r="K94" s="38">
        <f>PRODUCT((K91)/360*2*3.14159*(K93*K92))/12</f>
        <v>2.3739948433333331</v>
      </c>
    </row>
    <row r="95" spans="2:12" ht="53.25" customHeight="1" x14ac:dyDescent="0.2">
      <c r="B95" s="957" t="s">
        <v>1475</v>
      </c>
      <c r="C95" s="959"/>
      <c r="D95" s="959"/>
      <c r="E95" s="959"/>
      <c r="F95" s="959"/>
      <c r="G95" s="959"/>
      <c r="H95" s="959"/>
      <c r="I95" s="959"/>
    </row>
    <row r="96" spans="2:12" ht="53.25" customHeight="1" thickBot="1" x14ac:dyDescent="0.25">
      <c r="B96" s="957" t="s">
        <v>996</v>
      </c>
      <c r="C96" s="958"/>
      <c r="D96" s="958"/>
      <c r="E96" s="958"/>
      <c r="F96" s="958"/>
      <c r="G96" s="958"/>
      <c r="H96" s="958"/>
      <c r="I96" s="958"/>
    </row>
    <row r="97" spans="2:12" ht="69" customHeight="1" thickBot="1" x14ac:dyDescent="0.25">
      <c r="B97" s="957" t="s">
        <v>1563</v>
      </c>
      <c r="C97" s="958"/>
      <c r="D97" s="958"/>
      <c r="E97" s="958"/>
      <c r="F97" s="958"/>
      <c r="G97" s="958"/>
      <c r="H97" s="958"/>
      <c r="I97" s="958"/>
      <c r="J97" s="520" t="s">
        <v>1560</v>
      </c>
      <c r="K97" s="521" t="s">
        <v>1562</v>
      </c>
      <c r="L97" s="521" t="s">
        <v>1561</v>
      </c>
    </row>
    <row r="98" spans="2:12" ht="30.75" customHeight="1" thickBot="1" x14ac:dyDescent="0.25">
      <c r="B98" s="959" t="s">
        <v>1476</v>
      </c>
      <c r="C98" s="958"/>
      <c r="D98" s="958"/>
      <c r="E98" s="958"/>
      <c r="F98" s="958"/>
      <c r="G98" s="958"/>
      <c r="H98" s="958"/>
      <c r="I98" s="958"/>
      <c r="J98" s="523">
        <v>0.25</v>
      </c>
      <c r="K98" s="522">
        <v>0.11899999999999999</v>
      </c>
      <c r="L98" s="522">
        <v>0.13</v>
      </c>
    </row>
    <row r="99" spans="2:12" ht="32.25" customHeight="1" thickBot="1" x14ac:dyDescent="0.25">
      <c r="B99" s="959" t="s">
        <v>960</v>
      </c>
      <c r="C99" s="958"/>
      <c r="D99" s="958"/>
      <c r="E99" s="958"/>
      <c r="F99" s="958"/>
      <c r="G99" s="958"/>
      <c r="H99" s="958"/>
      <c r="I99" s="958"/>
      <c r="J99" s="523">
        <v>0.38</v>
      </c>
      <c r="K99" s="522">
        <v>0.126</v>
      </c>
      <c r="L99" s="522">
        <v>0.13800000000000001</v>
      </c>
    </row>
    <row r="100" spans="2:12" ht="28.5" customHeight="1" thickBot="1" x14ac:dyDescent="0.25">
      <c r="B100" s="957" t="s">
        <v>1016</v>
      </c>
      <c r="C100" s="958"/>
      <c r="D100" s="958"/>
      <c r="E100" s="958"/>
      <c r="F100" s="958"/>
      <c r="G100" s="958"/>
      <c r="H100" s="958"/>
      <c r="I100" s="958"/>
      <c r="J100" s="523">
        <v>0.5</v>
      </c>
      <c r="K100" s="522">
        <v>0.14699999999999999</v>
      </c>
      <c r="L100" s="522">
        <v>0.161</v>
      </c>
    </row>
    <row r="101" spans="2:12" ht="42.75" customHeight="1" thickBot="1" x14ac:dyDescent="0.25">
      <c r="B101" s="959" t="s">
        <v>961</v>
      </c>
      <c r="C101" s="958"/>
      <c r="D101" s="958"/>
      <c r="E101" s="958"/>
      <c r="F101" s="958"/>
      <c r="G101" s="958"/>
      <c r="H101" s="958"/>
      <c r="I101" s="958"/>
      <c r="J101" s="523">
        <v>0.75</v>
      </c>
      <c r="K101" s="522">
        <v>0.154</v>
      </c>
      <c r="L101" s="522">
        <v>0.17</v>
      </c>
    </row>
    <row r="102" spans="2:12" ht="69" customHeight="1" thickBot="1" x14ac:dyDescent="0.25">
      <c r="B102" s="959" t="s">
        <v>2124</v>
      </c>
      <c r="C102" s="959"/>
      <c r="D102" s="959"/>
      <c r="E102" s="959"/>
      <c r="F102" s="959"/>
      <c r="G102" s="959"/>
      <c r="H102" s="959"/>
      <c r="I102" s="959"/>
      <c r="J102" s="523">
        <v>1</v>
      </c>
      <c r="K102" s="522">
        <v>0.17899999999999999</v>
      </c>
      <c r="L102" s="522">
        <v>0.19600000000000001</v>
      </c>
    </row>
    <row r="103" spans="2:12" ht="30.75" customHeight="1" thickBot="1" x14ac:dyDescent="0.25">
      <c r="B103" s="959" t="s">
        <v>962</v>
      </c>
      <c r="C103" s="959"/>
      <c r="D103" s="959"/>
      <c r="E103" s="959"/>
      <c r="F103" s="959"/>
      <c r="G103" s="959"/>
      <c r="H103" s="959"/>
      <c r="I103" s="959"/>
      <c r="J103" s="523">
        <v>1.25</v>
      </c>
      <c r="K103" s="522">
        <v>0.191</v>
      </c>
      <c r="L103" s="522">
        <v>0.20799999999999999</v>
      </c>
    </row>
    <row r="104" spans="2:12" ht="31.5" customHeight="1" thickBot="1" x14ac:dyDescent="0.25">
      <c r="B104" s="959" t="s">
        <v>963</v>
      </c>
      <c r="C104" s="959"/>
      <c r="D104" s="959"/>
      <c r="E104" s="959"/>
      <c r="F104" s="959"/>
      <c r="G104" s="959"/>
      <c r="H104" s="959"/>
      <c r="I104" s="959"/>
      <c r="J104" s="523">
        <v>1.5</v>
      </c>
      <c r="K104" s="522">
        <v>0.2</v>
      </c>
      <c r="L104" s="522">
        <v>0.219</v>
      </c>
    </row>
    <row r="105" spans="2:12" ht="35.25" customHeight="1" thickBot="1" x14ac:dyDescent="0.25">
      <c r="B105" s="959" t="s">
        <v>287</v>
      </c>
      <c r="C105" s="959"/>
      <c r="D105" s="959"/>
      <c r="E105" s="959"/>
      <c r="F105" s="959"/>
      <c r="G105" s="959"/>
      <c r="H105" s="959"/>
      <c r="I105" s="959"/>
      <c r="J105" s="523">
        <v>2</v>
      </c>
      <c r="K105" s="522">
        <v>0.218</v>
      </c>
      <c r="L105" s="522">
        <v>0.28100000000000003</v>
      </c>
    </row>
    <row r="106" spans="2:12" ht="35.25" customHeight="1" x14ac:dyDescent="0.2">
      <c r="B106" s="959" t="s">
        <v>997</v>
      </c>
      <c r="C106" s="959"/>
      <c r="D106" s="959"/>
      <c r="E106" s="959"/>
      <c r="F106" s="959"/>
      <c r="G106" s="959"/>
      <c r="H106" s="959"/>
      <c r="I106" s="959"/>
    </row>
    <row r="107" spans="2:12" ht="24.75" customHeight="1" x14ac:dyDescent="0.2">
      <c r="B107" s="959" t="s">
        <v>2125</v>
      </c>
      <c r="C107" s="959"/>
      <c r="D107" s="959"/>
      <c r="E107" s="959"/>
      <c r="F107" s="959"/>
      <c r="G107" s="959"/>
      <c r="H107" s="959"/>
      <c r="I107" s="959"/>
    </row>
    <row r="108" spans="2:12" ht="18" customHeight="1" x14ac:dyDescent="0.2">
      <c r="B108" s="957" t="s">
        <v>1017</v>
      </c>
      <c r="C108" s="959"/>
      <c r="D108" s="959"/>
      <c r="E108" s="959"/>
      <c r="F108" s="959"/>
      <c r="G108" s="959"/>
      <c r="H108" s="959"/>
      <c r="I108" s="959"/>
    </row>
    <row r="109" spans="2:12" x14ac:dyDescent="0.2">
      <c r="C109" s="21"/>
      <c r="D109" s="21"/>
      <c r="E109" s="21"/>
      <c r="F109" s="21"/>
      <c r="G109" s="21"/>
      <c r="H109" s="21"/>
      <c r="I109" s="21"/>
    </row>
    <row r="110" spans="2:12" ht="43.5" customHeight="1" x14ac:dyDescent="0.2">
      <c r="B110" s="967" t="s">
        <v>1477</v>
      </c>
      <c r="C110" s="959"/>
      <c r="D110" s="959"/>
      <c r="E110" s="959"/>
      <c r="F110" s="959"/>
      <c r="G110" s="959"/>
      <c r="H110" s="959"/>
      <c r="I110" s="959"/>
    </row>
    <row r="111" spans="2:12" ht="29.25" customHeight="1" x14ac:dyDescent="0.2">
      <c r="B111" s="959" t="s">
        <v>1478</v>
      </c>
      <c r="C111" s="959"/>
      <c r="D111" s="959"/>
      <c r="E111" s="959"/>
      <c r="F111" s="959"/>
      <c r="G111" s="959"/>
      <c r="H111" s="959"/>
      <c r="I111" s="959"/>
    </row>
    <row r="112" spans="2:12" ht="25.5" customHeight="1" x14ac:dyDescent="0.2">
      <c r="B112" s="959" t="s">
        <v>288</v>
      </c>
      <c r="C112" s="959"/>
      <c r="D112" s="959"/>
      <c r="E112" s="959"/>
      <c r="F112" s="959"/>
      <c r="G112" s="959"/>
      <c r="H112" s="959"/>
      <c r="I112" s="959"/>
    </row>
    <row r="113" spans="1:10" ht="18" customHeight="1" x14ac:dyDescent="0.2">
      <c r="C113" s="21"/>
      <c r="D113" s="21"/>
      <c r="E113" s="21"/>
      <c r="F113" s="21"/>
      <c r="G113" s="21"/>
      <c r="H113" s="21"/>
      <c r="I113" s="21"/>
    </row>
    <row r="114" spans="1:10" ht="46.5" customHeight="1" x14ac:dyDescent="0.2">
      <c r="A114" s="283" t="s">
        <v>964</v>
      </c>
      <c r="B114" s="957" t="s">
        <v>1479</v>
      </c>
      <c r="C114" s="959"/>
      <c r="D114" s="959"/>
      <c r="E114" s="959"/>
      <c r="F114" s="959"/>
      <c r="G114" s="959"/>
      <c r="H114" s="959"/>
      <c r="I114" s="959"/>
    </row>
    <row r="115" spans="1:10" ht="92.25" customHeight="1" x14ac:dyDescent="0.2">
      <c r="A115" s="283"/>
      <c r="B115" s="957" t="s">
        <v>998</v>
      </c>
      <c r="C115" s="959"/>
      <c r="D115" s="959"/>
      <c r="E115" s="959"/>
      <c r="F115" s="959"/>
      <c r="G115" s="959"/>
      <c r="H115" s="959"/>
      <c r="I115" s="959"/>
      <c r="J115" s="284"/>
    </row>
    <row r="116" spans="1:10" ht="54.75" customHeight="1" x14ac:dyDescent="0.2">
      <c r="A116" s="283"/>
      <c r="B116" s="957" t="s">
        <v>1480</v>
      </c>
      <c r="C116" s="959"/>
      <c r="D116" s="959"/>
      <c r="E116" s="959"/>
      <c r="F116" s="959"/>
      <c r="G116" s="959"/>
      <c r="H116" s="959"/>
      <c r="I116" s="959"/>
      <c r="J116" s="284"/>
    </row>
    <row r="117" spans="1:10" ht="64.5" customHeight="1" x14ac:dyDescent="0.2">
      <c r="A117" s="283"/>
      <c r="B117" s="957" t="s">
        <v>1018</v>
      </c>
      <c r="C117" s="959"/>
      <c r="D117" s="959"/>
      <c r="E117" s="959"/>
      <c r="F117" s="959"/>
      <c r="G117" s="959"/>
      <c r="H117" s="959"/>
      <c r="I117" s="959"/>
      <c r="J117" s="284"/>
    </row>
    <row r="118" spans="1:10" ht="33.75" customHeight="1" x14ac:dyDescent="0.2">
      <c r="A118" s="283"/>
      <c r="J118" s="284"/>
    </row>
    <row r="119" spans="1:10" x14ac:dyDescent="0.2">
      <c r="C119" s="21"/>
      <c r="D119" s="21"/>
      <c r="E119" s="21"/>
      <c r="F119" s="21"/>
      <c r="G119" s="21"/>
      <c r="H119" s="21"/>
      <c r="I119" s="21"/>
    </row>
    <row r="120" spans="1:10" x14ac:dyDescent="0.2">
      <c r="C120" s="21"/>
      <c r="D120" s="21"/>
      <c r="E120" s="21"/>
      <c r="F120" s="21"/>
      <c r="G120" s="21"/>
      <c r="H120" s="21"/>
      <c r="I120" s="21"/>
    </row>
    <row r="121" spans="1:10" x14ac:dyDescent="0.2">
      <c r="A121" s="22" t="s">
        <v>485</v>
      </c>
    </row>
    <row r="122" spans="1:10" x14ac:dyDescent="0.2">
      <c r="A122" s="22" t="s">
        <v>483</v>
      </c>
    </row>
    <row r="124" spans="1:10" ht="30.75" customHeight="1" x14ac:dyDescent="0.2">
      <c r="B124" s="33" t="s">
        <v>484</v>
      </c>
      <c r="C124" s="979" t="s">
        <v>1481</v>
      </c>
      <c r="D124" s="979"/>
      <c r="E124" s="979"/>
      <c r="F124" s="979"/>
      <c r="G124" s="979"/>
      <c r="H124" s="979"/>
      <c r="I124" s="979"/>
    </row>
    <row r="125" spans="1:10" ht="79.5" customHeight="1" x14ac:dyDescent="0.2">
      <c r="B125" s="33" t="s">
        <v>482</v>
      </c>
      <c r="C125" s="979" t="s">
        <v>1482</v>
      </c>
      <c r="D125" s="979"/>
      <c r="E125" s="979"/>
      <c r="F125" s="979"/>
      <c r="G125" s="979"/>
      <c r="H125" s="979"/>
      <c r="I125" s="979"/>
    </row>
    <row r="126" spans="1:10" ht="70.5" customHeight="1" x14ac:dyDescent="0.2">
      <c r="B126" s="34" t="s">
        <v>30</v>
      </c>
      <c r="C126" s="979" t="s">
        <v>1483</v>
      </c>
      <c r="D126" s="979"/>
      <c r="E126" s="979"/>
      <c r="F126" s="979"/>
      <c r="G126" s="979"/>
      <c r="H126" s="979"/>
      <c r="I126" s="979"/>
    </row>
    <row r="127" spans="1:10" ht="43.5" customHeight="1" x14ac:dyDescent="0.2">
      <c r="B127" s="34" t="s">
        <v>31</v>
      </c>
      <c r="C127" s="979" t="s">
        <v>965</v>
      </c>
      <c r="D127" s="979"/>
      <c r="E127" s="979"/>
      <c r="F127" s="979"/>
      <c r="G127" s="979"/>
      <c r="H127" s="979"/>
      <c r="I127" s="979"/>
    </row>
    <row r="128" spans="1:10" ht="63.75" customHeight="1" x14ac:dyDescent="0.2">
      <c r="B128" s="34" t="s">
        <v>408</v>
      </c>
      <c r="C128" s="979" t="s">
        <v>966</v>
      </c>
      <c r="D128" s="979"/>
      <c r="E128" s="979"/>
      <c r="F128" s="979"/>
      <c r="G128" s="979"/>
      <c r="H128" s="979"/>
      <c r="I128" s="979"/>
    </row>
    <row r="129" spans="1:14" ht="72.75" customHeight="1" x14ac:dyDescent="0.2">
      <c r="B129" s="34" t="s">
        <v>29</v>
      </c>
      <c r="C129" s="980" t="s">
        <v>1025</v>
      </c>
      <c r="D129" s="979"/>
      <c r="E129" s="979"/>
      <c r="F129" s="979"/>
      <c r="G129" s="979"/>
      <c r="H129" s="979"/>
      <c r="I129" s="979"/>
    </row>
    <row r="130" spans="1:14" x14ac:dyDescent="0.2">
      <c r="B130" s="32"/>
    </row>
    <row r="131" spans="1:14" x14ac:dyDescent="0.2">
      <c r="A131" s="22" t="s">
        <v>34</v>
      </c>
      <c r="B131" s="783"/>
    </row>
    <row r="132" spans="1:14" x14ac:dyDescent="0.2">
      <c r="A132" s="22" t="s">
        <v>38</v>
      </c>
      <c r="B132" s="783"/>
      <c r="J132" t="s">
        <v>854</v>
      </c>
    </row>
    <row r="133" spans="1:14" ht="69.75" customHeight="1" x14ac:dyDescent="0.2">
      <c r="A133" s="61" t="s">
        <v>37</v>
      </c>
      <c r="B133" s="974" t="s">
        <v>1539</v>
      </c>
      <c r="C133" s="975"/>
      <c r="D133" s="973" t="s">
        <v>194</v>
      </c>
      <c r="E133" s="973"/>
      <c r="F133" s="973"/>
      <c r="G133" s="973"/>
      <c r="H133" s="973"/>
      <c r="I133" s="973"/>
      <c r="J133">
        <v>2</v>
      </c>
    </row>
    <row r="134" spans="1:14" ht="68.25" customHeight="1" x14ac:dyDescent="0.2">
      <c r="A134" s="61" t="s">
        <v>39</v>
      </c>
      <c r="B134" s="974" t="s">
        <v>1357</v>
      </c>
      <c r="C134" s="975"/>
      <c r="D134" s="973" t="s">
        <v>193</v>
      </c>
      <c r="E134" s="973"/>
      <c r="F134" s="973"/>
      <c r="G134" s="973"/>
      <c r="H134" s="973"/>
      <c r="I134" s="973"/>
      <c r="J134">
        <v>2</v>
      </c>
    </row>
    <row r="135" spans="1:14" ht="80.25" customHeight="1" x14ac:dyDescent="0.2">
      <c r="A135" s="61" t="s">
        <v>40</v>
      </c>
      <c r="B135" s="974" t="s">
        <v>1358</v>
      </c>
      <c r="C135" s="975"/>
      <c r="D135" s="973" t="s">
        <v>802</v>
      </c>
      <c r="E135" s="973"/>
      <c r="F135" s="973"/>
      <c r="G135" s="973"/>
      <c r="H135" s="973"/>
      <c r="I135" s="973"/>
      <c r="J135">
        <v>2</v>
      </c>
    </row>
    <row r="136" spans="1:14" ht="126" customHeight="1" x14ac:dyDescent="0.2">
      <c r="A136" s="61" t="s">
        <v>41</v>
      </c>
      <c r="B136" s="974" t="s">
        <v>1959</v>
      </c>
      <c r="C136" s="975"/>
      <c r="D136" s="973" t="s">
        <v>769</v>
      </c>
      <c r="E136" s="973"/>
      <c r="F136" s="973"/>
      <c r="G136" s="973"/>
      <c r="H136" s="973"/>
      <c r="I136" s="973"/>
      <c r="J136">
        <v>1</v>
      </c>
    </row>
    <row r="137" spans="1:14" ht="43.5" customHeight="1" x14ac:dyDescent="0.2">
      <c r="A137" s="786" t="s">
        <v>42</v>
      </c>
      <c r="B137" s="976" t="s">
        <v>1960</v>
      </c>
      <c r="C137" s="977"/>
      <c r="D137" s="978" t="s">
        <v>1961</v>
      </c>
      <c r="E137" s="978"/>
      <c r="F137" s="978"/>
      <c r="G137" s="978"/>
      <c r="H137" s="978"/>
      <c r="I137" s="978"/>
      <c r="J137">
        <v>1</v>
      </c>
    </row>
    <row r="138" spans="1:14" ht="26.25" customHeight="1" x14ac:dyDescent="0.2">
      <c r="A138" s="787" t="s">
        <v>43</v>
      </c>
      <c r="B138" s="954" t="s">
        <v>1551</v>
      </c>
      <c r="C138" s="955"/>
      <c r="D138" s="954" t="s">
        <v>1552</v>
      </c>
      <c r="E138" s="956"/>
      <c r="F138" s="956"/>
      <c r="G138" s="956"/>
      <c r="H138" s="956"/>
      <c r="I138" s="956"/>
      <c r="J138">
        <v>0</v>
      </c>
    </row>
    <row r="139" spans="1:14" ht="26.25" customHeight="1" x14ac:dyDescent="0.2">
      <c r="A139" s="787" t="s">
        <v>806</v>
      </c>
      <c r="B139" s="956" t="s">
        <v>514</v>
      </c>
      <c r="C139" s="955"/>
      <c r="D139" s="956" t="s">
        <v>35</v>
      </c>
      <c r="E139" s="956"/>
      <c r="F139" s="956"/>
      <c r="G139" s="956"/>
      <c r="H139" s="956"/>
      <c r="I139" s="956"/>
      <c r="J139">
        <v>0</v>
      </c>
      <c r="L139" s="953"/>
      <c r="M139" s="953"/>
      <c r="N139" s="953"/>
    </row>
    <row r="141" spans="1:14" x14ac:dyDescent="0.2">
      <c r="A141" s="22" t="s">
        <v>803</v>
      </c>
      <c r="B141" s="783"/>
      <c r="K141" s="957" t="s">
        <v>1962</v>
      </c>
      <c r="L141" s="959"/>
    </row>
    <row r="142" spans="1:14" ht="40.5" customHeight="1" x14ac:dyDescent="0.2">
      <c r="A142" s="61" t="s">
        <v>37</v>
      </c>
      <c r="B142" s="974" t="s">
        <v>1963</v>
      </c>
      <c r="C142" s="975"/>
      <c r="D142" s="975"/>
      <c r="E142" s="975"/>
      <c r="F142" s="975"/>
      <c r="G142" s="973" t="s">
        <v>804</v>
      </c>
      <c r="H142" s="973"/>
      <c r="I142" s="973"/>
      <c r="J142" s="784">
        <v>2</v>
      </c>
      <c r="L142" s="957" t="s">
        <v>1964</v>
      </c>
      <c r="M142" s="958"/>
      <c r="N142" s="958"/>
    </row>
    <row r="143" spans="1:14" ht="33" customHeight="1" x14ac:dyDescent="0.2">
      <c r="A143" s="61" t="s">
        <v>39</v>
      </c>
      <c r="B143" s="973" t="s">
        <v>967</v>
      </c>
      <c r="C143" s="975"/>
      <c r="D143" s="975"/>
      <c r="E143" s="975"/>
      <c r="F143" s="975"/>
      <c r="G143" s="973" t="s">
        <v>804</v>
      </c>
      <c r="H143" s="973"/>
      <c r="I143" s="973"/>
      <c r="J143" s="206">
        <v>2</v>
      </c>
      <c r="L143" s="957" t="s">
        <v>1965</v>
      </c>
      <c r="M143" s="958"/>
      <c r="N143" s="958"/>
    </row>
    <row r="144" spans="1:14" ht="54.75" customHeight="1" x14ac:dyDescent="0.2">
      <c r="A144" s="61" t="s">
        <v>40</v>
      </c>
      <c r="B144" s="973" t="s">
        <v>1484</v>
      </c>
      <c r="C144" s="975"/>
      <c r="D144" s="975"/>
      <c r="E144" s="975"/>
      <c r="F144" s="975"/>
      <c r="G144" s="973" t="s">
        <v>647</v>
      </c>
      <c r="H144" s="973"/>
      <c r="I144" s="973"/>
      <c r="J144" s="206">
        <v>2</v>
      </c>
      <c r="L144" s="957" t="s">
        <v>1966</v>
      </c>
      <c r="M144" s="958"/>
      <c r="N144" s="958"/>
    </row>
    <row r="145" spans="1:14" ht="26.25" customHeight="1" x14ac:dyDescent="0.2">
      <c r="A145" s="61" t="s">
        <v>41</v>
      </c>
      <c r="B145" s="973" t="s">
        <v>999</v>
      </c>
      <c r="C145" s="975"/>
      <c r="D145" s="975"/>
      <c r="E145" s="975"/>
      <c r="F145" s="975"/>
      <c r="G145" s="973" t="s">
        <v>804</v>
      </c>
      <c r="H145" s="973"/>
      <c r="I145" s="973"/>
      <c r="J145" s="206">
        <v>2</v>
      </c>
      <c r="L145" s="957" t="s">
        <v>1967</v>
      </c>
      <c r="M145" s="958"/>
      <c r="N145" s="958"/>
    </row>
    <row r="146" spans="1:14" ht="36.75" customHeight="1" x14ac:dyDescent="0.2">
      <c r="A146" s="61" t="s">
        <v>42</v>
      </c>
      <c r="B146" s="973" t="s">
        <v>1485</v>
      </c>
      <c r="C146" s="975"/>
      <c r="D146" s="975"/>
      <c r="E146" s="975"/>
      <c r="F146" s="975"/>
      <c r="G146" s="973" t="s">
        <v>968</v>
      </c>
      <c r="H146" s="973"/>
      <c r="I146" s="973"/>
      <c r="J146" s="206">
        <v>1</v>
      </c>
      <c r="L146" s="957" t="s">
        <v>1968</v>
      </c>
      <c r="M146" s="958"/>
      <c r="N146" s="958"/>
    </row>
    <row r="147" spans="1:14" ht="43.5" customHeight="1" x14ac:dyDescent="0.2">
      <c r="A147" s="61" t="s">
        <v>43</v>
      </c>
      <c r="B147" s="973" t="s">
        <v>969</v>
      </c>
      <c r="C147" s="973"/>
      <c r="D147" s="973"/>
      <c r="E147" s="973"/>
      <c r="F147" s="973"/>
      <c r="G147" s="973" t="s">
        <v>269</v>
      </c>
      <c r="H147" s="973"/>
      <c r="I147" s="973"/>
      <c r="J147" s="206">
        <v>1</v>
      </c>
      <c r="L147" s="957" t="s">
        <v>1969</v>
      </c>
      <c r="M147" s="958"/>
      <c r="N147" s="958"/>
    </row>
    <row r="148" spans="1:14" ht="43.5" customHeight="1" x14ac:dyDescent="0.2">
      <c r="A148" s="61" t="s">
        <v>806</v>
      </c>
      <c r="B148" s="973" t="s">
        <v>970</v>
      </c>
      <c r="C148" s="973"/>
      <c r="D148" s="973"/>
      <c r="E148" s="973"/>
      <c r="F148" s="973"/>
      <c r="G148" s="973" t="s">
        <v>718</v>
      </c>
      <c r="H148" s="973"/>
      <c r="I148" s="973"/>
      <c r="J148" s="206">
        <v>1</v>
      </c>
      <c r="L148" s="957"/>
      <c r="M148" s="958"/>
      <c r="N148" s="958"/>
    </row>
    <row r="149" spans="1:14" ht="40.5" customHeight="1" x14ac:dyDescent="0.2">
      <c r="A149" s="62" t="s">
        <v>807</v>
      </c>
      <c r="B149" s="956" t="s">
        <v>971</v>
      </c>
      <c r="C149" s="955"/>
      <c r="D149" s="955"/>
      <c r="E149" s="955"/>
      <c r="F149" s="955"/>
      <c r="G149" s="956" t="s">
        <v>189</v>
      </c>
      <c r="H149" s="956"/>
      <c r="I149" s="956"/>
      <c r="J149" s="206">
        <v>0</v>
      </c>
      <c r="L149" s="957" t="s">
        <v>1970</v>
      </c>
      <c r="M149" s="958"/>
      <c r="N149" s="958"/>
    </row>
    <row r="150" spans="1:14" ht="33" customHeight="1" x14ac:dyDescent="0.2">
      <c r="A150" s="62" t="s">
        <v>190</v>
      </c>
      <c r="B150" s="954" t="s">
        <v>1215</v>
      </c>
      <c r="C150" s="955"/>
      <c r="D150" s="955"/>
      <c r="E150" s="955"/>
      <c r="F150" s="955"/>
      <c r="G150" s="956" t="s">
        <v>36</v>
      </c>
      <c r="H150" s="956"/>
      <c r="I150" s="956"/>
      <c r="J150" s="206">
        <v>0</v>
      </c>
      <c r="L150" s="957" t="s">
        <v>1971</v>
      </c>
      <c r="M150" s="958"/>
      <c r="N150" s="958"/>
    </row>
    <row r="151" spans="1:14" ht="33" customHeight="1" x14ac:dyDescent="0.2">
      <c r="A151" s="788" t="s">
        <v>191</v>
      </c>
      <c r="B151" s="1000" t="s">
        <v>1972</v>
      </c>
      <c r="C151" s="1001"/>
      <c r="D151" s="1001"/>
      <c r="E151" s="1001"/>
      <c r="F151" s="1001"/>
      <c r="G151" s="1000" t="s">
        <v>1973</v>
      </c>
      <c r="H151" s="1000"/>
      <c r="I151" s="1000"/>
      <c r="J151" s="206">
        <v>0</v>
      </c>
      <c r="L151" s="957" t="s">
        <v>1974</v>
      </c>
      <c r="M151" s="958"/>
      <c r="N151" s="958"/>
    </row>
    <row r="152" spans="1:14" ht="27.75" customHeight="1" x14ac:dyDescent="0.2">
      <c r="A152" s="788" t="s">
        <v>646</v>
      </c>
      <c r="B152" s="1000" t="s">
        <v>1975</v>
      </c>
      <c r="C152" s="1001"/>
      <c r="D152" s="1001"/>
      <c r="E152" s="1001"/>
      <c r="F152" s="1001"/>
      <c r="G152" s="1000" t="s">
        <v>1976</v>
      </c>
      <c r="H152" s="1000"/>
      <c r="I152" s="1000"/>
      <c r="J152" s="206">
        <v>0</v>
      </c>
      <c r="L152" s="957" t="s">
        <v>1977</v>
      </c>
      <c r="M152" s="958"/>
      <c r="N152" s="958"/>
    </row>
    <row r="153" spans="1:14" ht="27.75" customHeight="1" x14ac:dyDescent="0.2">
      <c r="A153" s="788" t="s">
        <v>1978</v>
      </c>
      <c r="B153" s="954" t="s">
        <v>1216</v>
      </c>
      <c r="C153" s="955"/>
      <c r="D153" s="955"/>
      <c r="E153" s="955"/>
      <c r="F153" s="955"/>
      <c r="G153" s="956" t="s">
        <v>192</v>
      </c>
      <c r="H153" s="956"/>
      <c r="I153" s="956"/>
      <c r="J153" s="206">
        <v>0</v>
      </c>
      <c r="L153" s="957" t="s">
        <v>1979</v>
      </c>
      <c r="M153" s="958"/>
      <c r="N153" s="958"/>
    </row>
    <row r="154" spans="1:14" ht="27.75" customHeight="1" x14ac:dyDescent="0.2">
      <c r="A154" s="788" t="s">
        <v>1980</v>
      </c>
      <c r="B154" s="956" t="s">
        <v>801</v>
      </c>
      <c r="C154" s="955"/>
      <c r="D154" s="955"/>
      <c r="E154" s="955"/>
      <c r="F154" s="955"/>
      <c r="G154" s="956" t="s">
        <v>805</v>
      </c>
      <c r="H154" s="956"/>
      <c r="I154" s="956"/>
      <c r="J154" s="206">
        <v>0</v>
      </c>
      <c r="L154" s="957" t="s">
        <v>1981</v>
      </c>
      <c r="M154" s="958"/>
      <c r="N154" s="958"/>
    </row>
    <row r="156" spans="1:14" x14ac:dyDescent="0.2">
      <c r="A156" s="213" t="s">
        <v>583</v>
      </c>
    </row>
    <row r="157" spans="1:14" ht="49.5" customHeight="1" x14ac:dyDescent="0.2">
      <c r="A157" s="212"/>
      <c r="B157" s="959" t="s">
        <v>1000</v>
      </c>
      <c r="C157" s="958"/>
      <c r="D157" s="958"/>
      <c r="E157" s="958"/>
      <c r="F157" s="958"/>
      <c r="G157" s="958"/>
      <c r="H157" s="958"/>
      <c r="I157" s="958"/>
    </row>
    <row r="158" spans="1:14" ht="30" customHeight="1" x14ac:dyDescent="0.2">
      <c r="A158" s="212"/>
      <c r="B158" s="959" t="s">
        <v>2126</v>
      </c>
      <c r="C158" s="958"/>
      <c r="D158" s="958"/>
      <c r="E158" s="958"/>
      <c r="F158" s="958"/>
      <c r="G158" s="958"/>
      <c r="H158" s="958"/>
      <c r="I158" s="958"/>
    </row>
    <row r="159" spans="1:14" ht="69" customHeight="1" x14ac:dyDescent="0.2">
      <c r="A159" s="212"/>
      <c r="B159" s="959" t="s">
        <v>2127</v>
      </c>
      <c r="C159" s="958"/>
      <c r="D159" s="958"/>
      <c r="E159" s="958"/>
      <c r="F159" s="958"/>
      <c r="G159" s="958"/>
      <c r="H159" s="958"/>
      <c r="I159" s="958"/>
    </row>
    <row r="160" spans="1:14" ht="29.25" customHeight="1" x14ac:dyDescent="0.2">
      <c r="A160" s="212"/>
      <c r="B160" s="959" t="s">
        <v>1486</v>
      </c>
      <c r="C160" s="958"/>
      <c r="D160" s="958"/>
      <c r="E160" s="958"/>
      <c r="F160" s="958"/>
      <c r="G160" s="958"/>
      <c r="H160" s="958"/>
      <c r="I160" s="958"/>
    </row>
    <row r="161" spans="1:9" ht="38.25" customHeight="1" x14ac:dyDescent="0.2">
      <c r="A161" s="212"/>
      <c r="B161" s="957" t="s">
        <v>1019</v>
      </c>
      <c r="C161" s="958"/>
      <c r="D161" s="958"/>
      <c r="E161" s="958"/>
      <c r="F161" s="958"/>
      <c r="G161" s="958"/>
      <c r="H161" s="958"/>
      <c r="I161" s="958"/>
    </row>
    <row r="162" spans="1:9" x14ac:dyDescent="0.2">
      <c r="A162" s="212"/>
    </row>
    <row r="163" spans="1:9" ht="13.5" thickBot="1" x14ac:dyDescent="0.25">
      <c r="A163" s="183"/>
      <c r="B163" s="16"/>
      <c r="C163" s="184"/>
      <c r="D163" s="184"/>
      <c r="E163" s="184"/>
      <c r="F163" s="184"/>
      <c r="G163" s="16"/>
      <c r="H163" s="16"/>
      <c r="I163" s="16"/>
    </row>
    <row r="164" spans="1:9" ht="13.5" thickTop="1" x14ac:dyDescent="0.2">
      <c r="A164" s="982" t="s">
        <v>782</v>
      </c>
      <c r="B164" s="983"/>
      <c r="C164" s="207"/>
      <c r="D164" s="207"/>
      <c r="E164" s="207"/>
      <c r="F164" s="207"/>
      <c r="G164" s="208"/>
      <c r="H164" s="208"/>
      <c r="I164" s="208"/>
    </row>
    <row r="165" spans="1:9" ht="72.75" customHeight="1" x14ac:dyDescent="0.2">
      <c r="B165" s="959" t="s">
        <v>1487</v>
      </c>
      <c r="C165" s="958"/>
      <c r="D165" s="958"/>
      <c r="E165" s="958"/>
      <c r="F165" s="958"/>
      <c r="G165" s="958"/>
      <c r="H165" s="958"/>
      <c r="I165" s="958"/>
    </row>
    <row r="166" spans="1:9" ht="45.75" customHeight="1" x14ac:dyDescent="0.2">
      <c r="B166" s="959" t="s">
        <v>1001</v>
      </c>
      <c r="C166" s="958"/>
      <c r="D166" s="958"/>
      <c r="E166" s="958"/>
      <c r="F166" s="958"/>
      <c r="G166" s="958"/>
      <c r="H166" s="958"/>
      <c r="I166" s="958"/>
    </row>
    <row r="167" spans="1:9" ht="42.75" customHeight="1" x14ac:dyDescent="0.2">
      <c r="B167" s="959" t="s">
        <v>1488</v>
      </c>
      <c r="C167" s="958"/>
      <c r="D167" s="958"/>
      <c r="E167" s="958"/>
      <c r="F167" s="958"/>
      <c r="G167" s="958"/>
      <c r="H167" s="958"/>
      <c r="I167" s="958"/>
    </row>
    <row r="168" spans="1:9" ht="19.5" customHeight="1" x14ac:dyDescent="0.2">
      <c r="B168" s="959" t="s">
        <v>574</v>
      </c>
      <c r="C168" s="958"/>
      <c r="D168" s="958"/>
      <c r="E168" s="958"/>
      <c r="F168" s="958"/>
      <c r="G168" s="958"/>
      <c r="H168" s="958"/>
      <c r="I168" s="958"/>
    </row>
    <row r="169" spans="1:9" ht="95.25" customHeight="1" x14ac:dyDescent="0.2">
      <c r="A169" s="219" t="s">
        <v>1489</v>
      </c>
      <c r="B169" s="959" t="s">
        <v>2128</v>
      </c>
      <c r="C169" s="959"/>
      <c r="D169" s="959"/>
      <c r="E169" s="959"/>
      <c r="F169" s="959"/>
      <c r="G169" s="959"/>
      <c r="H169" s="959"/>
      <c r="I169" s="959"/>
    </row>
    <row r="170" spans="1:9" ht="19.5" customHeight="1" x14ac:dyDescent="0.2">
      <c r="C170" s="31"/>
      <c r="D170" s="31"/>
      <c r="E170" s="31"/>
      <c r="F170" s="31"/>
      <c r="G170" s="31"/>
      <c r="H170" s="31"/>
      <c r="I170" s="31"/>
    </row>
    <row r="171" spans="1:9" ht="19.5" customHeight="1" x14ac:dyDescent="0.2">
      <c r="C171" s="31"/>
      <c r="D171" s="31"/>
      <c r="E171" s="31"/>
      <c r="F171" s="31"/>
      <c r="G171" s="31"/>
      <c r="H171" s="31"/>
      <c r="I171" s="31"/>
    </row>
    <row r="172" spans="1:9" ht="19.5" customHeight="1" x14ac:dyDescent="0.2">
      <c r="A172" s="1010" t="s">
        <v>1490</v>
      </c>
      <c r="B172" s="1010"/>
      <c r="C172" s="31"/>
      <c r="D172" s="31"/>
      <c r="E172" s="31"/>
      <c r="F172" s="31"/>
      <c r="G172" s="31"/>
      <c r="H172" s="31"/>
      <c r="I172" s="31"/>
    </row>
    <row r="173" spans="1:9" ht="79.5" customHeight="1" x14ac:dyDescent="0.2">
      <c r="A173" s="69" t="s">
        <v>599</v>
      </c>
      <c r="B173" s="980" t="s">
        <v>2129</v>
      </c>
      <c r="C173" s="986"/>
      <c r="D173" s="986"/>
      <c r="E173" s="986"/>
      <c r="F173" s="986"/>
      <c r="G173" s="986"/>
      <c r="H173" s="986"/>
      <c r="I173" s="986"/>
    </row>
    <row r="174" spans="1:9" ht="58.5" customHeight="1" x14ac:dyDescent="0.2">
      <c r="A174" s="19" t="s">
        <v>778</v>
      </c>
      <c r="B174" s="979" t="s">
        <v>1002</v>
      </c>
      <c r="C174" s="986"/>
      <c r="D174" s="986"/>
      <c r="E174" s="986"/>
      <c r="F174" s="986"/>
      <c r="G174" s="986"/>
      <c r="H174" s="986"/>
      <c r="I174" s="986"/>
    </row>
    <row r="175" spans="1:9" ht="45.75" customHeight="1" x14ac:dyDescent="0.2">
      <c r="A175" s="19" t="s">
        <v>780</v>
      </c>
      <c r="B175" s="979" t="s">
        <v>972</v>
      </c>
      <c r="C175" s="986"/>
      <c r="D175" s="986"/>
      <c r="E175" s="986"/>
      <c r="F175" s="986"/>
      <c r="G175" s="986"/>
      <c r="H175" s="986"/>
      <c r="I175" s="986"/>
    </row>
    <row r="176" spans="1:9" ht="56.25" customHeight="1" x14ac:dyDescent="0.2">
      <c r="A176" s="19" t="s">
        <v>781</v>
      </c>
      <c r="B176" s="980" t="s">
        <v>1020</v>
      </c>
      <c r="C176" s="986"/>
      <c r="D176" s="986"/>
      <c r="E176" s="986"/>
      <c r="F176" s="986"/>
      <c r="G176" s="986"/>
      <c r="H176" s="986"/>
      <c r="I176" s="986"/>
    </row>
    <row r="177" spans="1:9" ht="28.5" customHeight="1" x14ac:dyDescent="0.2">
      <c r="A177" s="218" t="s">
        <v>779</v>
      </c>
      <c r="B177" s="979" t="s">
        <v>973</v>
      </c>
      <c r="C177" s="986"/>
      <c r="D177" s="986"/>
      <c r="E177" s="986"/>
      <c r="F177" s="986"/>
      <c r="G177" s="986"/>
      <c r="H177" s="986"/>
      <c r="I177" s="986"/>
    </row>
    <row r="178" spans="1:9" ht="24" customHeight="1" x14ac:dyDescent="0.2">
      <c r="A178" s="215"/>
      <c r="B178" s="16"/>
      <c r="C178" s="184"/>
      <c r="D178" s="184"/>
      <c r="E178" s="184"/>
      <c r="F178" s="184"/>
      <c r="G178" s="184"/>
      <c r="H178" s="184"/>
      <c r="I178" s="184"/>
    </row>
    <row r="179" spans="1:9" ht="24" customHeight="1" x14ac:dyDescent="0.2">
      <c r="A179" s="215"/>
      <c r="B179" s="16"/>
      <c r="C179" s="184"/>
      <c r="D179" s="184"/>
      <c r="E179" s="184"/>
      <c r="F179" s="184"/>
      <c r="G179" s="184"/>
      <c r="H179" s="184"/>
      <c r="I179" s="184"/>
    </row>
    <row r="180" spans="1:9" ht="19.5" customHeight="1" x14ac:dyDescent="0.2">
      <c r="A180" s="287" t="s">
        <v>486</v>
      </c>
      <c r="C180" s="31"/>
      <c r="D180" s="31"/>
      <c r="E180" s="31"/>
      <c r="F180" s="31"/>
      <c r="G180" s="31"/>
      <c r="H180" s="31"/>
      <c r="I180" s="31"/>
    </row>
    <row r="181" spans="1:9" ht="27.75" customHeight="1" x14ac:dyDescent="0.2">
      <c r="A181" s="79" t="s">
        <v>599</v>
      </c>
      <c r="B181" s="1011" t="s">
        <v>1003</v>
      </c>
      <c r="C181" s="1011"/>
      <c r="D181" s="1011"/>
      <c r="E181" s="1011"/>
      <c r="F181" s="1011"/>
    </row>
    <row r="182" spans="1:9" ht="44.25" customHeight="1" x14ac:dyDescent="0.2">
      <c r="A182" s="288" t="s">
        <v>2130</v>
      </c>
      <c r="B182" s="991" t="s">
        <v>2131</v>
      </c>
      <c r="C182" s="992"/>
      <c r="D182" s="992"/>
      <c r="E182" s="992"/>
      <c r="F182" s="992"/>
    </row>
    <row r="183" spans="1:9" ht="42" customHeight="1" x14ac:dyDescent="0.2">
      <c r="A183" s="69" t="s">
        <v>601</v>
      </c>
      <c r="B183" s="1007" t="s">
        <v>2132</v>
      </c>
      <c r="C183" s="1008"/>
      <c r="D183" s="1008"/>
      <c r="E183" s="1008"/>
      <c r="F183" s="1009"/>
    </row>
    <row r="184" spans="1:9" ht="68.25" customHeight="1" x14ac:dyDescent="0.2">
      <c r="A184" s="384" t="s">
        <v>1546</v>
      </c>
      <c r="B184" s="997" t="s">
        <v>1524</v>
      </c>
      <c r="C184" s="998"/>
      <c r="D184" s="998"/>
      <c r="E184" s="998"/>
      <c r="F184" s="999"/>
      <c r="G184" s="383"/>
      <c r="H184" s="383"/>
      <c r="I184" s="383"/>
    </row>
    <row r="185" spans="1:9" ht="65.25" customHeight="1" x14ac:dyDescent="0.2">
      <c r="A185" s="69" t="s">
        <v>393</v>
      </c>
      <c r="B185" s="987" t="s">
        <v>1021</v>
      </c>
      <c r="C185" s="988"/>
      <c r="D185" s="988"/>
      <c r="E185" s="988"/>
      <c r="F185" s="989"/>
    </row>
    <row r="186" spans="1:9" ht="48.75" customHeight="1" x14ac:dyDescent="0.2">
      <c r="A186" s="69" t="s">
        <v>600</v>
      </c>
      <c r="B186" s="984" t="s">
        <v>435</v>
      </c>
      <c r="C186" s="985"/>
      <c r="D186" s="985"/>
      <c r="E186" s="985"/>
      <c r="F186" s="985"/>
    </row>
    <row r="187" spans="1:9" ht="60.75" customHeight="1" x14ac:dyDescent="0.2">
      <c r="A187" s="69" t="s">
        <v>603</v>
      </c>
      <c r="B187" s="984" t="s">
        <v>974</v>
      </c>
      <c r="C187" s="985"/>
      <c r="D187" s="985"/>
      <c r="E187" s="985"/>
      <c r="F187" s="985"/>
    </row>
    <row r="188" spans="1:9" ht="60.75" customHeight="1" x14ac:dyDescent="0.2">
      <c r="A188" s="69" t="s">
        <v>604</v>
      </c>
      <c r="B188" s="984" t="s">
        <v>975</v>
      </c>
      <c r="C188" s="985"/>
      <c r="D188" s="985"/>
      <c r="E188" s="985"/>
      <c r="F188" s="985"/>
    </row>
    <row r="189" spans="1:9" ht="60.75" customHeight="1" x14ac:dyDescent="0.2">
      <c r="A189" s="359" t="s">
        <v>378</v>
      </c>
      <c r="B189" s="984" t="s">
        <v>1491</v>
      </c>
      <c r="C189" s="985"/>
      <c r="D189" s="985"/>
      <c r="E189" s="985"/>
      <c r="F189" s="985"/>
    </row>
    <row r="190" spans="1:9" ht="60.75" customHeight="1" x14ac:dyDescent="0.2">
      <c r="A190" s="359" t="s">
        <v>1400</v>
      </c>
      <c r="B190" s="984" t="s">
        <v>1492</v>
      </c>
      <c r="C190" s="985"/>
      <c r="D190" s="985"/>
      <c r="E190" s="985"/>
      <c r="F190" s="985"/>
    </row>
    <row r="191" spans="1:9" ht="38.25" customHeight="1" x14ac:dyDescent="0.2">
      <c r="A191" s="359" t="s">
        <v>1401</v>
      </c>
      <c r="B191" s="984" t="s">
        <v>1493</v>
      </c>
      <c r="C191" s="985"/>
      <c r="D191" s="985"/>
      <c r="E191" s="985"/>
      <c r="F191" s="985"/>
    </row>
    <row r="192" spans="1:9" ht="20.25" customHeight="1" x14ac:dyDescent="0.2">
      <c r="A192" s="69" t="s">
        <v>1402</v>
      </c>
      <c r="B192" s="984" t="s">
        <v>1494</v>
      </c>
      <c r="C192" s="985"/>
      <c r="D192" s="985"/>
      <c r="E192" s="985"/>
      <c r="F192" s="985"/>
    </row>
    <row r="193" spans="1:6" ht="20.25" customHeight="1" x14ac:dyDescent="0.2"/>
    <row r="194" spans="1:6" ht="27.75" customHeight="1" x14ac:dyDescent="0.2">
      <c r="A194" s="287" t="s">
        <v>486</v>
      </c>
      <c r="B194" s="216"/>
      <c r="C194" s="217"/>
      <c r="D194" s="217"/>
      <c r="E194" s="217"/>
      <c r="F194" s="217"/>
    </row>
    <row r="195" spans="1:6" ht="16.5" customHeight="1" x14ac:dyDescent="0.2">
      <c r="A195" s="79" t="s">
        <v>778</v>
      </c>
      <c r="B195" s="993" t="s">
        <v>976</v>
      </c>
      <c r="C195" s="994"/>
      <c r="D195" s="994"/>
      <c r="E195" s="995"/>
      <c r="F195" s="996"/>
    </row>
    <row r="196" spans="1:6" ht="43.5" customHeight="1" x14ac:dyDescent="0.2">
      <c r="A196" s="34" t="s">
        <v>792</v>
      </c>
      <c r="B196" s="979" t="s">
        <v>369</v>
      </c>
      <c r="C196" s="979"/>
      <c r="D196" s="979"/>
      <c r="E196" s="979"/>
      <c r="F196" s="979"/>
    </row>
    <row r="197" spans="1:6" ht="18.75" customHeight="1" x14ac:dyDescent="0.2">
      <c r="A197" s="34" t="s">
        <v>87</v>
      </c>
      <c r="B197" s="979" t="s">
        <v>370</v>
      </c>
      <c r="C197" s="979"/>
      <c r="D197" s="979"/>
      <c r="E197" s="979"/>
      <c r="F197" s="979"/>
    </row>
    <row r="198" spans="1:6" ht="27" customHeight="1" x14ac:dyDescent="0.2">
      <c r="A198" s="34" t="s">
        <v>86</v>
      </c>
      <c r="B198" s="979" t="s">
        <v>371</v>
      </c>
      <c r="C198" s="979"/>
      <c r="D198" s="979"/>
      <c r="E198" s="979"/>
      <c r="F198" s="979"/>
    </row>
    <row r="199" spans="1:6" ht="25.5" customHeight="1" x14ac:dyDescent="0.2">
      <c r="A199" s="34" t="s">
        <v>184</v>
      </c>
      <c r="B199" s="979" t="s">
        <v>372</v>
      </c>
      <c r="C199" s="979"/>
      <c r="D199" s="979"/>
      <c r="E199" s="979"/>
      <c r="F199" s="979"/>
    </row>
    <row r="200" spans="1:6" ht="31.5" customHeight="1" x14ac:dyDescent="0.2">
      <c r="A200" s="34" t="s">
        <v>383</v>
      </c>
      <c r="B200" s="979" t="s">
        <v>373</v>
      </c>
      <c r="C200" s="979"/>
      <c r="D200" s="979"/>
      <c r="E200" s="979"/>
      <c r="F200" s="979"/>
    </row>
    <row r="201" spans="1:6" ht="21.75" customHeight="1" x14ac:dyDescent="0.2">
      <c r="A201" s="34" t="s">
        <v>384</v>
      </c>
      <c r="B201" s="979" t="s">
        <v>1009</v>
      </c>
      <c r="C201" s="979"/>
      <c r="D201" s="979"/>
      <c r="E201" s="979"/>
      <c r="F201" s="979"/>
    </row>
    <row r="202" spans="1:6" ht="29.25" customHeight="1" x14ac:dyDescent="0.2">
      <c r="A202" s="34" t="s">
        <v>385</v>
      </c>
      <c r="B202" s="979" t="s">
        <v>374</v>
      </c>
      <c r="C202" s="979"/>
      <c r="D202" s="979"/>
      <c r="E202" s="979"/>
      <c r="F202" s="979"/>
    </row>
    <row r="203" spans="1:6" ht="42" customHeight="1" x14ac:dyDescent="0.2">
      <c r="A203" s="34" t="s">
        <v>386</v>
      </c>
      <c r="B203" s="979" t="s">
        <v>1004</v>
      </c>
      <c r="C203" s="979"/>
      <c r="D203" s="979"/>
      <c r="E203" s="979"/>
      <c r="F203" s="979"/>
    </row>
    <row r="204" spans="1:6" ht="32.25" customHeight="1" x14ac:dyDescent="0.2">
      <c r="A204" s="34" t="s">
        <v>774</v>
      </c>
      <c r="B204" s="979" t="s">
        <v>1495</v>
      </c>
      <c r="C204" s="979"/>
      <c r="D204" s="979"/>
      <c r="E204" s="979"/>
      <c r="F204" s="979"/>
    </row>
    <row r="205" spans="1:6" ht="22.5" customHeight="1" x14ac:dyDescent="0.2">
      <c r="A205" s="34" t="s">
        <v>405</v>
      </c>
      <c r="B205" s="979" t="s">
        <v>375</v>
      </c>
      <c r="C205" s="979"/>
      <c r="D205" s="979"/>
      <c r="E205" s="979"/>
      <c r="F205" s="979"/>
    </row>
    <row r="206" spans="1:6" ht="36.75" customHeight="1" x14ac:dyDescent="0.2">
      <c r="A206" s="34" t="s">
        <v>114</v>
      </c>
      <c r="B206" s="979" t="s">
        <v>376</v>
      </c>
      <c r="C206" s="979"/>
      <c r="D206" s="979"/>
      <c r="E206" s="979"/>
      <c r="F206" s="979"/>
    </row>
    <row r="207" spans="1:6" ht="57.75" customHeight="1" x14ac:dyDescent="0.2">
      <c r="A207" s="34" t="s">
        <v>387</v>
      </c>
      <c r="B207" s="980" t="s">
        <v>977</v>
      </c>
      <c r="C207" s="980"/>
      <c r="D207" s="980"/>
      <c r="E207" s="980"/>
      <c r="F207" s="980"/>
    </row>
    <row r="208" spans="1:6" ht="66" customHeight="1" x14ac:dyDescent="0.2">
      <c r="A208" s="34" t="s">
        <v>388</v>
      </c>
      <c r="B208" s="990" t="s">
        <v>1005</v>
      </c>
      <c r="C208" s="980"/>
      <c r="D208" s="980"/>
      <c r="E208" s="980"/>
      <c r="F208" s="980"/>
    </row>
    <row r="209" spans="1:6" ht="49.5" customHeight="1" x14ac:dyDescent="0.2">
      <c r="A209" s="34" t="s">
        <v>98</v>
      </c>
      <c r="B209" s="990" t="s">
        <v>2133</v>
      </c>
      <c r="C209" s="980"/>
      <c r="D209" s="980"/>
      <c r="E209" s="980"/>
      <c r="F209" s="980"/>
    </row>
    <row r="210" spans="1:6" ht="29.25" customHeight="1" x14ac:dyDescent="0.2">
      <c r="A210" s="34" t="s">
        <v>389</v>
      </c>
      <c r="B210" s="980" t="s">
        <v>2134</v>
      </c>
      <c r="C210" s="980"/>
      <c r="D210" s="980"/>
      <c r="E210" s="980"/>
      <c r="F210" s="980"/>
    </row>
    <row r="211" spans="1:6" ht="30.75" customHeight="1" x14ac:dyDescent="0.2">
      <c r="A211" s="19" t="s">
        <v>390</v>
      </c>
      <c r="B211" s="979" t="s">
        <v>377</v>
      </c>
      <c r="C211" s="979"/>
      <c r="D211" s="979"/>
      <c r="E211" s="979"/>
      <c r="F211" s="979"/>
    </row>
    <row r="212" spans="1:6" ht="52.5" customHeight="1" x14ac:dyDescent="0.2">
      <c r="A212" s="19" t="s">
        <v>391</v>
      </c>
      <c r="B212" s="979" t="s">
        <v>576</v>
      </c>
      <c r="C212" s="979"/>
      <c r="D212" s="979"/>
      <c r="E212" s="979"/>
      <c r="F212" s="979"/>
    </row>
    <row r="214" spans="1:6" ht="29.25" customHeight="1" x14ac:dyDescent="0.2">
      <c r="A214" s="210" t="s">
        <v>486</v>
      </c>
      <c r="B214" s="214"/>
      <c r="C214" s="214"/>
      <c r="D214" s="214"/>
      <c r="E214" s="214"/>
      <c r="F214" s="214"/>
    </row>
    <row r="215" spans="1:6" x14ac:dyDescent="0.2">
      <c r="A215" s="211" t="s">
        <v>780</v>
      </c>
      <c r="B215" s="1012" t="s">
        <v>978</v>
      </c>
      <c r="C215" s="1013"/>
      <c r="D215" s="1013"/>
      <c r="E215" s="1013"/>
      <c r="F215" s="1013"/>
    </row>
    <row r="216" spans="1:6" ht="25.5" x14ac:dyDescent="0.2">
      <c r="A216" s="19" t="s">
        <v>394</v>
      </c>
      <c r="B216" s="979" t="s">
        <v>847</v>
      </c>
      <c r="C216" s="979"/>
      <c r="D216" s="979"/>
      <c r="E216" s="979"/>
      <c r="F216" s="979"/>
    </row>
    <row r="217" spans="1:6" ht="25.5" x14ac:dyDescent="0.2">
      <c r="A217" s="19" t="s">
        <v>845</v>
      </c>
      <c r="B217" s="979" t="s">
        <v>846</v>
      </c>
      <c r="C217" s="979"/>
      <c r="D217" s="979"/>
      <c r="E217" s="979"/>
      <c r="F217" s="979"/>
    </row>
    <row r="218" spans="1:6" ht="44.25" customHeight="1" x14ac:dyDescent="0.2">
      <c r="A218" s="19" t="s">
        <v>848</v>
      </c>
      <c r="B218" s="980" t="s">
        <v>1022</v>
      </c>
      <c r="C218" s="979"/>
      <c r="D218" s="979"/>
      <c r="E218" s="979"/>
      <c r="F218" s="979"/>
    </row>
    <row r="219" spans="1:6" ht="45" customHeight="1" x14ac:dyDescent="0.2">
      <c r="A219" s="19" t="s">
        <v>843</v>
      </c>
      <c r="B219" s="979" t="s">
        <v>1006</v>
      </c>
      <c r="C219" s="979"/>
      <c r="D219" s="979"/>
      <c r="E219" s="979"/>
      <c r="F219" s="979"/>
    </row>
    <row r="220" spans="1:6" ht="28.5" customHeight="1" x14ac:dyDescent="0.2">
      <c r="A220" s="19" t="s">
        <v>1496</v>
      </c>
      <c r="B220" s="979" t="s">
        <v>979</v>
      </c>
      <c r="C220" s="979"/>
      <c r="D220" s="979"/>
      <c r="E220" s="979"/>
      <c r="F220" s="979"/>
    </row>
    <row r="221" spans="1:6" x14ac:dyDescent="0.2">
      <c r="A221" s="19" t="s">
        <v>76</v>
      </c>
      <c r="B221" s="979" t="s">
        <v>568</v>
      </c>
      <c r="C221" s="986"/>
      <c r="D221" s="986"/>
      <c r="E221" s="986"/>
      <c r="F221" s="986"/>
    </row>
    <row r="222" spans="1:6" x14ac:dyDescent="0.2">
      <c r="A222" s="19" t="s">
        <v>844</v>
      </c>
      <c r="B222" s="979" t="s">
        <v>1497</v>
      </c>
      <c r="C222" s="979"/>
      <c r="D222" s="979"/>
      <c r="E222" s="979"/>
      <c r="F222" s="979"/>
    </row>
    <row r="223" spans="1:6" x14ac:dyDescent="0.2">
      <c r="A223" s="16"/>
      <c r="B223" s="16"/>
      <c r="C223" s="16"/>
      <c r="D223" s="16"/>
      <c r="E223" s="16"/>
      <c r="F223" s="16"/>
    </row>
    <row r="224" spans="1:6" ht="26.25" customHeight="1" x14ac:dyDescent="0.2">
      <c r="A224" s="287" t="s">
        <v>486</v>
      </c>
    </row>
    <row r="225" spans="1:6" ht="66" customHeight="1" x14ac:dyDescent="0.2">
      <c r="A225" s="211" t="s">
        <v>781</v>
      </c>
      <c r="B225" s="1002" t="s">
        <v>1498</v>
      </c>
      <c r="C225" s="986"/>
      <c r="D225" s="986"/>
      <c r="E225" s="986"/>
      <c r="F225" s="986"/>
    </row>
    <row r="226" spans="1:6" ht="60.75" customHeight="1" x14ac:dyDescent="0.2">
      <c r="A226" s="19" t="s">
        <v>394</v>
      </c>
      <c r="B226" s="979" t="s">
        <v>1499</v>
      </c>
      <c r="C226" s="979"/>
      <c r="D226" s="979"/>
      <c r="E226" s="979"/>
      <c r="F226" s="979"/>
    </row>
    <row r="227" spans="1:6" ht="57" customHeight="1" x14ac:dyDescent="0.2">
      <c r="A227" s="19" t="s">
        <v>842</v>
      </c>
      <c r="B227" s="980" t="s">
        <v>1023</v>
      </c>
      <c r="C227" s="986"/>
      <c r="D227" s="986"/>
      <c r="E227" s="986"/>
      <c r="F227" s="986"/>
    </row>
    <row r="228" spans="1:6" ht="50.25" customHeight="1" x14ac:dyDescent="0.2">
      <c r="A228" s="19" t="s">
        <v>843</v>
      </c>
      <c r="B228" s="979" t="s">
        <v>1007</v>
      </c>
      <c r="C228" s="979"/>
      <c r="D228" s="979"/>
      <c r="E228" s="979"/>
      <c r="F228" s="979"/>
    </row>
    <row r="229" spans="1:6" ht="28.5" customHeight="1" x14ac:dyDescent="0.2">
      <c r="A229" s="19" t="s">
        <v>567</v>
      </c>
      <c r="B229" s="980" t="s">
        <v>1024</v>
      </c>
      <c r="C229" s="986"/>
      <c r="D229" s="986"/>
      <c r="E229" s="986"/>
      <c r="F229" s="986"/>
    </row>
    <row r="230" spans="1:6" x14ac:dyDescent="0.2">
      <c r="A230" s="19" t="s">
        <v>844</v>
      </c>
      <c r="B230" s="979" t="s">
        <v>1500</v>
      </c>
      <c r="C230" s="979"/>
      <c r="D230" s="979"/>
      <c r="E230" s="979"/>
      <c r="F230" s="979"/>
    </row>
    <row r="231" spans="1:6" ht="68.25" customHeight="1" x14ac:dyDescent="0.2">
      <c r="A231" s="218" t="s">
        <v>565</v>
      </c>
      <c r="B231" s="979" t="s">
        <v>566</v>
      </c>
      <c r="C231" s="986"/>
      <c r="D231" s="986"/>
      <c r="E231" s="986"/>
      <c r="F231" s="986"/>
    </row>
    <row r="232" spans="1:6" ht="35.25" customHeight="1" x14ac:dyDescent="0.2">
      <c r="A232" s="19" t="s">
        <v>392</v>
      </c>
      <c r="B232" s="979" t="s">
        <v>980</v>
      </c>
      <c r="C232" s="979"/>
      <c r="D232" s="979"/>
      <c r="E232" s="979"/>
      <c r="F232" s="979"/>
    </row>
    <row r="233" spans="1:6" ht="30.75" customHeight="1" x14ac:dyDescent="0.2">
      <c r="A233" s="218" t="s">
        <v>569</v>
      </c>
      <c r="B233" s="979" t="s">
        <v>570</v>
      </c>
      <c r="C233" s="986"/>
      <c r="D233" s="986"/>
      <c r="E233" s="986"/>
      <c r="F233" s="986"/>
    </row>
    <row r="234" spans="1:6" ht="30.75" customHeight="1" x14ac:dyDescent="0.2">
      <c r="A234" s="19" t="s">
        <v>571</v>
      </c>
      <c r="B234" s="1004" t="s">
        <v>1501</v>
      </c>
      <c r="C234" s="1005"/>
      <c r="D234" s="1005"/>
      <c r="E234" s="1005"/>
      <c r="F234" s="1006"/>
    </row>
    <row r="235" spans="1:6" ht="30.75" customHeight="1" x14ac:dyDescent="0.2">
      <c r="A235" s="34" t="s">
        <v>114</v>
      </c>
      <c r="B235" s="979" t="s">
        <v>849</v>
      </c>
      <c r="C235" s="979"/>
      <c r="D235" s="979"/>
      <c r="E235" s="979"/>
      <c r="F235" s="979"/>
    </row>
    <row r="236" spans="1:6" ht="30.75" customHeight="1" x14ac:dyDescent="0.2">
      <c r="A236" s="34" t="s">
        <v>387</v>
      </c>
      <c r="B236" s="980" t="s">
        <v>1502</v>
      </c>
      <c r="C236" s="980"/>
      <c r="D236" s="980"/>
      <c r="E236" s="980"/>
      <c r="F236" s="980"/>
    </row>
    <row r="237" spans="1:6" ht="18.75" customHeight="1" x14ac:dyDescent="0.2">
      <c r="A237" s="34" t="s">
        <v>384</v>
      </c>
      <c r="B237" s="979" t="s">
        <v>1010</v>
      </c>
      <c r="C237" s="979"/>
      <c r="D237" s="979"/>
      <c r="E237" s="979"/>
      <c r="F237" s="979"/>
    </row>
    <row r="238" spans="1:6" x14ac:dyDescent="0.2">
      <c r="A238" s="19" t="s">
        <v>572</v>
      </c>
      <c r="B238" s="1004" t="s">
        <v>573</v>
      </c>
      <c r="C238" s="1005"/>
      <c r="D238" s="1005"/>
      <c r="E238" s="1005"/>
      <c r="F238" s="1006"/>
    </row>
    <row r="240" spans="1:6" ht="38.25" customHeight="1" x14ac:dyDescent="0.2"/>
    <row r="241" spans="1:6" ht="18" customHeight="1" x14ac:dyDescent="0.2">
      <c r="A241" s="106"/>
      <c r="B241" s="106"/>
      <c r="C241" s="209"/>
      <c r="D241" s="209"/>
      <c r="E241" s="209"/>
      <c r="F241" s="209"/>
    </row>
    <row r="242" spans="1:6" x14ac:dyDescent="0.2">
      <c r="A242" s="287" t="s">
        <v>486</v>
      </c>
    </row>
    <row r="243" spans="1:6" x14ac:dyDescent="0.2">
      <c r="A243" s="79" t="s">
        <v>779</v>
      </c>
      <c r="B243" s="1002" t="s">
        <v>791</v>
      </c>
      <c r="C243" s="1003"/>
      <c r="D243" s="1003"/>
      <c r="E243" s="1003"/>
      <c r="F243" s="1003"/>
    </row>
    <row r="244" spans="1:6" ht="27" customHeight="1" x14ac:dyDescent="0.2">
      <c r="A244" s="69" t="s">
        <v>152</v>
      </c>
      <c r="B244" s="984" t="s">
        <v>791</v>
      </c>
      <c r="C244" s="985"/>
      <c r="D244" s="985"/>
      <c r="E244" s="985"/>
      <c r="F244" s="985"/>
    </row>
    <row r="245" spans="1:6" ht="27" customHeight="1" x14ac:dyDescent="0.2">
      <c r="A245" s="69" t="s">
        <v>564</v>
      </c>
      <c r="B245" s="979" t="s">
        <v>563</v>
      </c>
      <c r="C245" s="986"/>
      <c r="D245" s="986"/>
      <c r="E245" s="986"/>
      <c r="F245" s="986"/>
    </row>
    <row r="246" spans="1:6" ht="27" customHeight="1" x14ac:dyDescent="0.2">
      <c r="A246" s="106"/>
      <c r="B246" s="981"/>
      <c r="C246" s="958"/>
      <c r="D246" s="958"/>
      <c r="E246" s="958"/>
      <c r="F246" s="958"/>
    </row>
    <row r="247" spans="1:6" x14ac:dyDescent="0.2">
      <c r="A247" s="106"/>
      <c r="B247" s="981"/>
      <c r="C247" s="958"/>
      <c r="D247" s="958"/>
      <c r="E247" s="958"/>
      <c r="F247" s="958"/>
    </row>
    <row r="248" spans="1:6" x14ac:dyDescent="0.2">
      <c r="A248" s="106"/>
    </row>
    <row r="249" spans="1:6" ht="24.75" customHeight="1" x14ac:dyDescent="0.2">
      <c r="A249" s="106"/>
    </row>
    <row r="250" spans="1:6" ht="42.75" customHeight="1" x14ac:dyDescent="0.2">
      <c r="A250" s="82" t="s">
        <v>18</v>
      </c>
      <c r="B250" s="979"/>
      <c r="C250" s="986"/>
      <c r="D250" s="986"/>
      <c r="E250" s="986"/>
      <c r="F250" s="986"/>
    </row>
    <row r="251" spans="1:6" ht="40.5" customHeight="1" x14ac:dyDescent="0.2">
      <c r="A251" s="69" t="s">
        <v>20</v>
      </c>
      <c r="B251" s="979" t="s">
        <v>2135</v>
      </c>
      <c r="C251" s="979"/>
      <c r="D251" s="979"/>
      <c r="E251" s="979"/>
      <c r="F251" s="979"/>
    </row>
    <row r="252" spans="1:6" ht="31.5" customHeight="1" x14ac:dyDescent="0.2">
      <c r="A252" s="69" t="s">
        <v>19</v>
      </c>
      <c r="B252" s="979" t="s">
        <v>26</v>
      </c>
      <c r="C252" s="979"/>
      <c r="D252" s="979"/>
      <c r="E252" s="979"/>
      <c r="F252" s="979"/>
    </row>
    <row r="253" spans="1:6" ht="26.25" customHeight="1" x14ac:dyDescent="0.2">
      <c r="A253" s="69" t="s">
        <v>21</v>
      </c>
      <c r="B253" s="979" t="s">
        <v>1503</v>
      </c>
      <c r="C253" s="979"/>
      <c r="D253" s="979"/>
      <c r="E253" s="979"/>
      <c r="F253" s="979"/>
    </row>
    <row r="254" spans="1:6" ht="30" customHeight="1" x14ac:dyDescent="0.2">
      <c r="A254" s="69" t="s">
        <v>22</v>
      </c>
      <c r="B254" s="979" t="s">
        <v>981</v>
      </c>
      <c r="C254" s="979"/>
      <c r="D254" s="979"/>
      <c r="E254" s="979"/>
      <c r="F254" s="979"/>
    </row>
    <row r="255" spans="1:6" ht="41.25" customHeight="1" x14ac:dyDescent="0.2">
      <c r="A255" s="69" t="s">
        <v>23</v>
      </c>
      <c r="B255" s="979" t="s">
        <v>1504</v>
      </c>
      <c r="C255" s="979"/>
      <c r="D255" s="979"/>
      <c r="E255" s="979"/>
      <c r="F255" s="979"/>
    </row>
    <row r="256" spans="1:6" ht="30" customHeight="1" x14ac:dyDescent="0.2">
      <c r="A256" s="69" t="s">
        <v>24</v>
      </c>
      <c r="B256" s="979" t="s">
        <v>28</v>
      </c>
      <c r="C256" s="979"/>
      <c r="D256" s="979"/>
      <c r="E256" s="979"/>
      <c r="F256" s="979"/>
    </row>
    <row r="257" spans="1:6" x14ac:dyDescent="0.2">
      <c r="A257" s="69" t="s">
        <v>25</v>
      </c>
      <c r="B257" s="979" t="s">
        <v>982</v>
      </c>
      <c r="C257" s="979"/>
      <c r="D257" s="979"/>
      <c r="E257" s="979"/>
      <c r="F257" s="979"/>
    </row>
  </sheetData>
  <mergeCells count="238">
    <mergeCell ref="B257:F257"/>
    <mergeCell ref="B173:I173"/>
    <mergeCell ref="B174:I174"/>
    <mergeCell ref="B175:I175"/>
    <mergeCell ref="B176:I176"/>
    <mergeCell ref="B177:I177"/>
    <mergeCell ref="B256:F256"/>
    <mergeCell ref="B251:F251"/>
    <mergeCell ref="B250:F250"/>
    <mergeCell ref="B244:F244"/>
    <mergeCell ref="B234:F234"/>
    <mergeCell ref="B202:F202"/>
    <mergeCell ref="B254:F254"/>
    <mergeCell ref="B207:F207"/>
    <mergeCell ref="B212:F212"/>
    <mergeCell ref="B236:F236"/>
    <mergeCell ref="B211:F211"/>
    <mergeCell ref="B208:F208"/>
    <mergeCell ref="B255:F255"/>
    <mergeCell ref="B216:F216"/>
    <mergeCell ref="B215:F215"/>
    <mergeCell ref="B252:F252"/>
    <mergeCell ref="B227:F227"/>
    <mergeCell ref="B217:F217"/>
    <mergeCell ref="B253:F253"/>
    <mergeCell ref="B220:F220"/>
    <mergeCell ref="B232:F232"/>
    <mergeCell ref="B168:I168"/>
    <mergeCell ref="B225:F225"/>
    <mergeCell ref="B243:F243"/>
    <mergeCell ref="B197:F197"/>
    <mergeCell ref="B201:F201"/>
    <mergeCell ref="B235:F235"/>
    <mergeCell ref="B231:F231"/>
    <mergeCell ref="B233:F233"/>
    <mergeCell ref="B237:F237"/>
    <mergeCell ref="B238:F238"/>
    <mergeCell ref="B246:F246"/>
    <mergeCell ref="B206:F206"/>
    <mergeCell ref="B192:F192"/>
    <mergeCell ref="B183:F183"/>
    <mergeCell ref="A172:B172"/>
    <mergeCell ref="B210:F210"/>
    <mergeCell ref="B181:F181"/>
    <mergeCell ref="B187:F187"/>
    <mergeCell ref="B205:F205"/>
    <mergeCell ref="B203:F203"/>
    <mergeCell ref="B204:F204"/>
    <mergeCell ref="B161:I161"/>
    <mergeCell ref="B148:F148"/>
    <mergeCell ref="G147:I147"/>
    <mergeCell ref="B160:I160"/>
    <mergeCell ref="B157:I157"/>
    <mergeCell ref="G152:I152"/>
    <mergeCell ref="B151:F151"/>
    <mergeCell ref="G150:I150"/>
    <mergeCell ref="B158:I158"/>
    <mergeCell ref="B150:F150"/>
    <mergeCell ref="B159:I159"/>
    <mergeCell ref="B152:F152"/>
    <mergeCell ref="G151:I151"/>
    <mergeCell ref="G148:I148"/>
    <mergeCell ref="G149:I149"/>
    <mergeCell ref="B147:F147"/>
    <mergeCell ref="B149:F149"/>
    <mergeCell ref="B196:F196"/>
    <mergeCell ref="B185:F185"/>
    <mergeCell ref="B169:I169"/>
    <mergeCell ref="B209:F209"/>
    <mergeCell ref="B182:F182"/>
    <mergeCell ref="B186:F186"/>
    <mergeCell ref="B195:F195"/>
    <mergeCell ref="B199:F199"/>
    <mergeCell ref="B200:F200"/>
    <mergeCell ref="B188:F188"/>
    <mergeCell ref="B184:F184"/>
    <mergeCell ref="C124:I124"/>
    <mergeCell ref="C125:I125"/>
    <mergeCell ref="C126:I126"/>
    <mergeCell ref="C129:I129"/>
    <mergeCell ref="C128:I128"/>
    <mergeCell ref="C127:I127"/>
    <mergeCell ref="B230:F230"/>
    <mergeCell ref="B247:F247"/>
    <mergeCell ref="B198:F198"/>
    <mergeCell ref="B218:F218"/>
    <mergeCell ref="B165:I165"/>
    <mergeCell ref="A164:B164"/>
    <mergeCell ref="B166:I166"/>
    <mergeCell ref="B167:I167"/>
    <mergeCell ref="B189:F189"/>
    <mergeCell ref="B190:F190"/>
    <mergeCell ref="B191:F191"/>
    <mergeCell ref="B245:F245"/>
    <mergeCell ref="B226:F226"/>
    <mergeCell ref="B228:F228"/>
    <mergeCell ref="B219:F219"/>
    <mergeCell ref="B222:F222"/>
    <mergeCell ref="B229:F229"/>
    <mergeCell ref="B221:F221"/>
    <mergeCell ref="D135:I135"/>
    <mergeCell ref="B135:C135"/>
    <mergeCell ref="G146:I146"/>
    <mergeCell ref="B146:F146"/>
    <mergeCell ref="B143:F143"/>
    <mergeCell ref="G143:I143"/>
    <mergeCell ref="G145:I145"/>
    <mergeCell ref="G144:I144"/>
    <mergeCell ref="B133:C133"/>
    <mergeCell ref="D133:I133"/>
    <mergeCell ref="B137:C137"/>
    <mergeCell ref="B145:F145"/>
    <mergeCell ref="B142:F142"/>
    <mergeCell ref="D138:I138"/>
    <mergeCell ref="B138:C138"/>
    <mergeCell ref="B144:F144"/>
    <mergeCell ref="B134:C134"/>
    <mergeCell ref="D136:I136"/>
    <mergeCell ref="G142:I142"/>
    <mergeCell ref="D137:I137"/>
    <mergeCell ref="B136:C136"/>
    <mergeCell ref="D134:I134"/>
    <mergeCell ref="B139:C139"/>
    <mergeCell ref="D139:I139"/>
    <mergeCell ref="B84:I84"/>
    <mergeCell ref="B106:I106"/>
    <mergeCell ref="B105:I105"/>
    <mergeCell ref="B117:I117"/>
    <mergeCell ref="B116:I116"/>
    <mergeCell ref="B108:I108"/>
    <mergeCell ref="B107:I107"/>
    <mergeCell ref="B104:I104"/>
    <mergeCell ref="B95:I95"/>
    <mergeCell ref="B85:I85"/>
    <mergeCell ref="B110:I110"/>
    <mergeCell ref="B111:I111"/>
    <mergeCell ref="B112:I112"/>
    <mergeCell ref="B114:I114"/>
    <mergeCell ref="B115:I115"/>
    <mergeCell ref="B96:I96"/>
    <mergeCell ref="B80:I80"/>
    <mergeCell ref="B74:I74"/>
    <mergeCell ref="B103:I103"/>
    <mergeCell ref="B92:I92"/>
    <mergeCell ref="B89:I89"/>
    <mergeCell ref="B91:I91"/>
    <mergeCell ref="B90:I90"/>
    <mergeCell ref="B86:I86"/>
    <mergeCell ref="B78:I78"/>
    <mergeCell ref="B77:I77"/>
    <mergeCell ref="B102:I102"/>
    <mergeCell ref="D76:I76"/>
    <mergeCell ref="B101:I101"/>
    <mergeCell ref="B99:I99"/>
    <mergeCell ref="B81:I81"/>
    <mergeCell ref="B79:I79"/>
    <mergeCell ref="B97:I97"/>
    <mergeCell ref="B100:I100"/>
    <mergeCell ref="B98:I98"/>
    <mergeCell ref="B82:I82"/>
    <mergeCell ref="B88:I88"/>
    <mergeCell ref="B87:I87"/>
    <mergeCell ref="B94:I94"/>
    <mergeCell ref="B93:I93"/>
    <mergeCell ref="B3:I3"/>
    <mergeCell ref="B5:I5"/>
    <mergeCell ref="B6:I6"/>
    <mergeCell ref="B7:I7"/>
    <mergeCell ref="B4:I4"/>
    <mergeCell ref="B38:I38"/>
    <mergeCell ref="B29:I29"/>
    <mergeCell ref="B31:I31"/>
    <mergeCell ref="B9:I9"/>
    <mergeCell ref="B33:I33"/>
    <mergeCell ref="B30:I30"/>
    <mergeCell ref="B37:I37"/>
    <mergeCell ref="B32:I32"/>
    <mergeCell ref="B8:I8"/>
    <mergeCell ref="B19:I19"/>
    <mergeCell ref="B20:I20"/>
    <mergeCell ref="B17:I17"/>
    <mergeCell ref="B18:I18"/>
    <mergeCell ref="B24:I24"/>
    <mergeCell ref="B10:I10"/>
    <mergeCell ref="B16:I16"/>
    <mergeCell ref="B11:I11"/>
    <mergeCell ref="B47:I47"/>
    <mergeCell ref="B56:I56"/>
    <mergeCell ref="J46:K46"/>
    <mergeCell ref="B48:I48"/>
    <mergeCell ref="J45:K45"/>
    <mergeCell ref="B45:I45"/>
    <mergeCell ref="B46:I46"/>
    <mergeCell ref="J44:K44"/>
    <mergeCell ref="B51:I51"/>
    <mergeCell ref="B53:I53"/>
    <mergeCell ref="B50:I50"/>
    <mergeCell ref="B39:I39"/>
    <mergeCell ref="B44:I44"/>
    <mergeCell ref="B25:I25"/>
    <mergeCell ref="B40:I40"/>
    <mergeCell ref="B43:I43"/>
    <mergeCell ref="B27:I27"/>
    <mergeCell ref="B26:I26"/>
    <mergeCell ref="B28:I28"/>
    <mergeCell ref="B42:I42"/>
    <mergeCell ref="B41:I41"/>
    <mergeCell ref="B73:I73"/>
    <mergeCell ref="B62:I62"/>
    <mergeCell ref="B66:I66"/>
    <mergeCell ref="B63:I63"/>
    <mergeCell ref="B70:I70"/>
    <mergeCell ref="B71:I71"/>
    <mergeCell ref="B54:I54"/>
    <mergeCell ref="B52:I52"/>
    <mergeCell ref="B59:I59"/>
    <mergeCell ref="B55:I55"/>
    <mergeCell ref="B58:I58"/>
    <mergeCell ref="B64:I64"/>
    <mergeCell ref="L139:N139"/>
    <mergeCell ref="B153:F153"/>
    <mergeCell ref="G153:I153"/>
    <mergeCell ref="L153:N153"/>
    <mergeCell ref="B154:F154"/>
    <mergeCell ref="G154:I154"/>
    <mergeCell ref="L154:N154"/>
    <mergeCell ref="K141:L141"/>
    <mergeCell ref="L142:N142"/>
    <mergeCell ref="L143:N143"/>
    <mergeCell ref="L144:N144"/>
    <mergeCell ref="L145:N145"/>
    <mergeCell ref="L146:N146"/>
    <mergeCell ref="L147:N147"/>
    <mergeCell ref="L148:N148"/>
    <mergeCell ref="L149:N149"/>
    <mergeCell ref="L150:N150"/>
    <mergeCell ref="L151:N151"/>
    <mergeCell ref="L152:N152"/>
  </mergeCells>
  <phoneticPr fontId="0" type="noConversion"/>
  <dataValidations count="2">
    <dataValidation type="list" allowBlank="1" showInputMessage="1" showErrorMessage="1" sqref="L23">
      <formula1>"OPMAP, DPLAT, OPDIA"</formula1>
    </dataValidation>
    <dataValidation type="list" allowBlank="1" showInputMessage="1" showErrorMessage="1" sqref="L44">
      <formula1>"Operating-Map, Dist-Plat, Operating-Diagram"</formula1>
    </dataValidation>
  </dataValidations>
  <pageMargins left="0.5" right="0.5" top="1" bottom="0.5" header="0.5" footer="0.25"/>
  <pageSetup orientation="portrait" r:id="rId1"/>
  <headerFooter alignWithMargins="0">
    <oddHeader>&amp;C&amp;"Arial,Bold"&amp;A&amp;RPage &amp;P of &amp;N</oddHeader>
  </headerFooter>
  <rowBreaks count="6" manualBreakCount="6">
    <brk id="33" max="8" man="1"/>
    <brk id="49" max="8" man="1"/>
    <brk id="67" max="8" man="1"/>
    <brk id="83" max="8" man="1"/>
    <brk id="119" max="8" man="1"/>
    <brk id="139" max="8"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22"/>
  </sheetPr>
  <dimension ref="A4:H241"/>
  <sheetViews>
    <sheetView workbookViewId="0"/>
  </sheetViews>
  <sheetFormatPr defaultRowHeight="12.75" x14ac:dyDescent="0.2"/>
  <cols>
    <col min="1" max="1" width="4.42578125" customWidth="1"/>
    <col min="2" max="2" width="34" customWidth="1"/>
  </cols>
  <sheetData>
    <row r="4" spans="1:2" x14ac:dyDescent="0.2">
      <c r="A4" s="99" t="s">
        <v>1240</v>
      </c>
    </row>
    <row r="5" spans="1:2" x14ac:dyDescent="0.2">
      <c r="A5" s="99"/>
      <c r="B5" s="99" t="s">
        <v>1742</v>
      </c>
    </row>
    <row r="6" spans="1:2" x14ac:dyDescent="0.2">
      <c r="A6" s="99"/>
      <c r="B6" s="99" t="s">
        <v>1737</v>
      </c>
    </row>
    <row r="7" spans="1:2" x14ac:dyDescent="0.2">
      <c r="A7" s="99"/>
      <c r="B7" s="99" t="s">
        <v>1717</v>
      </c>
    </row>
    <row r="8" spans="1:2" x14ac:dyDescent="0.2">
      <c r="A8" s="99"/>
      <c r="B8" s="99" t="s">
        <v>1581</v>
      </c>
    </row>
    <row r="9" spans="1:2" x14ac:dyDescent="0.2">
      <c r="A9" s="99"/>
      <c r="B9" s="99" t="s">
        <v>1574</v>
      </c>
    </row>
    <row r="10" spans="1:2" x14ac:dyDescent="0.2">
      <c r="A10" s="99"/>
      <c r="B10" s="99" t="s">
        <v>1573</v>
      </c>
    </row>
    <row r="11" spans="1:2" x14ac:dyDescent="0.2">
      <c r="A11" s="99"/>
      <c r="B11" t="s">
        <v>1569</v>
      </c>
    </row>
    <row r="12" spans="1:2" x14ac:dyDescent="0.2">
      <c r="A12" s="99"/>
      <c r="B12" s="99" t="s">
        <v>1567</v>
      </c>
    </row>
    <row r="13" spans="1:2" x14ac:dyDescent="0.2">
      <c r="A13" s="99"/>
      <c r="B13" s="352" t="s">
        <v>1579</v>
      </c>
    </row>
    <row r="14" spans="1:2" x14ac:dyDescent="0.2">
      <c r="A14" s="99"/>
      <c r="B14" s="99" t="s">
        <v>1566</v>
      </c>
    </row>
    <row r="15" spans="1:2" x14ac:dyDescent="0.2">
      <c r="A15" s="99"/>
      <c r="B15" s="99" t="s">
        <v>1559</v>
      </c>
    </row>
    <row r="16" spans="1:2" x14ac:dyDescent="0.2">
      <c r="A16" s="99"/>
      <c r="B16" s="99" t="s">
        <v>1538</v>
      </c>
    </row>
    <row r="17" spans="1:3" x14ac:dyDescent="0.2">
      <c r="A17" s="99"/>
      <c r="B17" s="99" t="s">
        <v>1553</v>
      </c>
    </row>
    <row r="18" spans="1:3" x14ac:dyDescent="0.2">
      <c r="A18" s="99"/>
      <c r="B18" s="99" t="s">
        <v>1535</v>
      </c>
    </row>
    <row r="19" spans="1:3" x14ac:dyDescent="0.2">
      <c r="A19" s="99"/>
      <c r="B19" s="99" t="s">
        <v>1523</v>
      </c>
    </row>
    <row r="20" spans="1:3" x14ac:dyDescent="0.2">
      <c r="A20" s="99"/>
      <c r="B20" s="99" t="s">
        <v>1549</v>
      </c>
    </row>
    <row r="21" spans="1:3" x14ac:dyDescent="0.2">
      <c r="A21" s="99"/>
      <c r="B21" s="99" t="s">
        <v>1548</v>
      </c>
    </row>
    <row r="22" spans="1:3" x14ac:dyDescent="0.2">
      <c r="A22" s="99"/>
      <c r="B22" s="99" t="s">
        <v>1547</v>
      </c>
    </row>
    <row r="23" spans="1:3" x14ac:dyDescent="0.2">
      <c r="A23" s="99"/>
      <c r="B23" s="352" t="s">
        <v>1526</v>
      </c>
    </row>
    <row r="24" spans="1:3" x14ac:dyDescent="0.2">
      <c r="A24" s="99"/>
      <c r="B24" s="99" t="s">
        <v>1525</v>
      </c>
    </row>
    <row r="25" spans="1:3" x14ac:dyDescent="0.2">
      <c r="A25" s="99"/>
      <c r="B25" s="352" t="s">
        <v>1544</v>
      </c>
    </row>
    <row r="26" spans="1:3" x14ac:dyDescent="0.2">
      <c r="A26" s="99"/>
      <c r="B26" s="352" t="s">
        <v>1545</v>
      </c>
    </row>
    <row r="27" spans="1:3" x14ac:dyDescent="0.2">
      <c r="A27" s="99"/>
      <c r="B27" s="352" t="s">
        <v>1406</v>
      </c>
    </row>
    <row r="28" spans="1:3" x14ac:dyDescent="0.2">
      <c r="A28" s="99"/>
      <c r="B28" s="352" t="s">
        <v>1405</v>
      </c>
    </row>
    <row r="29" spans="1:3" x14ac:dyDescent="0.2">
      <c r="A29" s="99"/>
      <c r="B29" s="352" t="s">
        <v>1403</v>
      </c>
    </row>
    <row r="30" spans="1:3" x14ac:dyDescent="0.2">
      <c r="A30" s="99"/>
      <c r="B30" s="352" t="s">
        <v>1373</v>
      </c>
    </row>
    <row r="31" spans="1:3" x14ac:dyDescent="0.2">
      <c r="A31" s="99"/>
      <c r="B31" s="352" t="s">
        <v>1505</v>
      </c>
      <c r="C31" s="99" t="s">
        <v>1368</v>
      </c>
    </row>
    <row r="32" spans="1:3" x14ac:dyDescent="0.2">
      <c r="A32" s="99"/>
      <c r="B32" s="352" t="s">
        <v>1366</v>
      </c>
    </row>
    <row r="33" spans="1:2" x14ac:dyDescent="0.2">
      <c r="A33" s="99"/>
      <c r="B33" s="352" t="s">
        <v>1364</v>
      </c>
    </row>
    <row r="34" spans="1:2" x14ac:dyDescent="0.2">
      <c r="A34" s="99"/>
      <c r="B34" s="352" t="s">
        <v>1359</v>
      </c>
    </row>
    <row r="35" spans="1:2" x14ac:dyDescent="0.2">
      <c r="A35" s="99"/>
      <c r="B35" s="352" t="s">
        <v>1356</v>
      </c>
    </row>
    <row r="36" spans="1:2" x14ac:dyDescent="0.2">
      <c r="A36" s="99"/>
      <c r="B36" s="99" t="s">
        <v>1284</v>
      </c>
    </row>
    <row r="37" spans="1:2" x14ac:dyDescent="0.2">
      <c r="A37" s="99"/>
      <c r="B37" s="99" t="s">
        <v>1268</v>
      </c>
    </row>
    <row r="38" spans="1:2" x14ac:dyDescent="0.2">
      <c r="A38" s="99"/>
      <c r="B38" s="99" t="s">
        <v>1266</v>
      </c>
    </row>
    <row r="39" spans="1:2" x14ac:dyDescent="0.2">
      <c r="A39" s="99"/>
      <c r="B39" s="99" t="s">
        <v>1260</v>
      </c>
    </row>
    <row r="40" spans="1:2" x14ac:dyDescent="0.2">
      <c r="A40" s="99"/>
      <c r="B40" s="99" t="s">
        <v>1248</v>
      </c>
    </row>
    <row r="41" spans="1:2" x14ac:dyDescent="0.2">
      <c r="A41" s="99"/>
      <c r="B41" s="99" t="s">
        <v>1247</v>
      </c>
    </row>
    <row r="42" spans="1:2" x14ac:dyDescent="0.2">
      <c r="B42" s="99" t="s">
        <v>1249</v>
      </c>
    </row>
    <row r="43" spans="1:2" x14ac:dyDescent="0.2">
      <c r="A43" s="99"/>
      <c r="B43" s="99" t="s">
        <v>1235</v>
      </c>
    </row>
    <row r="44" spans="1:2" x14ac:dyDescent="0.2">
      <c r="A44" s="99"/>
      <c r="B44" s="99"/>
    </row>
    <row r="45" spans="1:2" x14ac:dyDescent="0.2">
      <c r="A45" s="99" t="s">
        <v>1085</v>
      </c>
    </row>
    <row r="46" spans="1:2" x14ac:dyDescent="0.2">
      <c r="A46" s="99"/>
      <c r="B46" s="99" t="s">
        <v>1217</v>
      </c>
    </row>
    <row r="47" spans="1:2" x14ac:dyDescent="0.2">
      <c r="A47" s="99"/>
      <c r="B47" s="99" t="s">
        <v>1214</v>
      </c>
    </row>
    <row r="48" spans="1:2" x14ac:dyDescent="0.2">
      <c r="A48" s="99"/>
      <c r="B48" s="99" t="s">
        <v>1205</v>
      </c>
    </row>
    <row r="49" spans="1:2" x14ac:dyDescent="0.2">
      <c r="A49" s="99"/>
      <c r="B49" s="99" t="s">
        <v>1203</v>
      </c>
    </row>
    <row r="50" spans="1:2" x14ac:dyDescent="0.2">
      <c r="A50" s="99"/>
      <c r="B50" s="99" t="s">
        <v>1201</v>
      </c>
    </row>
    <row r="51" spans="1:2" x14ac:dyDescent="0.2">
      <c r="A51" s="99"/>
      <c r="B51" s="99" t="s">
        <v>1199</v>
      </c>
    </row>
    <row r="52" spans="1:2" x14ac:dyDescent="0.2">
      <c r="A52" s="99"/>
      <c r="B52" s="99" t="s">
        <v>1160</v>
      </c>
    </row>
    <row r="53" spans="1:2" x14ac:dyDescent="0.2">
      <c r="A53" s="99"/>
      <c r="B53" s="99" t="s">
        <v>1145</v>
      </c>
    </row>
    <row r="54" spans="1:2" x14ac:dyDescent="0.2">
      <c r="A54" s="99"/>
      <c r="B54" s="99" t="s">
        <v>1144</v>
      </c>
    </row>
    <row r="55" spans="1:2" x14ac:dyDescent="0.2">
      <c r="A55" s="99"/>
      <c r="B55" t="s">
        <v>1136</v>
      </c>
    </row>
    <row r="56" spans="1:2" x14ac:dyDescent="0.2">
      <c r="A56" s="99"/>
      <c r="B56" s="99" t="s">
        <v>1139</v>
      </c>
    </row>
    <row r="57" spans="1:2" x14ac:dyDescent="0.2">
      <c r="A57" s="99"/>
      <c r="B57" s="99" t="s">
        <v>1135</v>
      </c>
    </row>
    <row r="58" spans="1:2" x14ac:dyDescent="0.2">
      <c r="A58" s="99"/>
      <c r="B58" s="99" t="s">
        <v>1099</v>
      </c>
    </row>
    <row r="59" spans="1:2" x14ac:dyDescent="0.2">
      <c r="A59" s="99"/>
      <c r="B59" s="99" t="s">
        <v>1091</v>
      </c>
    </row>
    <row r="60" spans="1:2" x14ac:dyDescent="0.2">
      <c r="A60" s="99"/>
      <c r="B60" s="99" t="s">
        <v>1092</v>
      </c>
    </row>
    <row r="61" spans="1:2" x14ac:dyDescent="0.2">
      <c r="A61" s="99"/>
      <c r="B61" s="99" t="s">
        <v>1089</v>
      </c>
    </row>
    <row r="62" spans="1:2" x14ac:dyDescent="0.2">
      <c r="A62" s="99"/>
      <c r="B62" s="99" t="s">
        <v>1086</v>
      </c>
    </row>
    <row r="63" spans="1:2" x14ac:dyDescent="0.2">
      <c r="B63" s="99" t="s">
        <v>1087</v>
      </c>
    </row>
    <row r="64" spans="1:2" x14ac:dyDescent="0.2">
      <c r="B64" s="99" t="s">
        <v>1192</v>
      </c>
    </row>
    <row r="66" spans="1:2" x14ac:dyDescent="0.2">
      <c r="A66" t="s">
        <v>767</v>
      </c>
    </row>
    <row r="67" spans="1:2" x14ac:dyDescent="0.2">
      <c r="B67" t="s">
        <v>945</v>
      </c>
    </row>
    <row r="68" spans="1:2" x14ac:dyDescent="0.2">
      <c r="B68" s="220" t="s">
        <v>944</v>
      </c>
    </row>
    <row r="69" spans="1:2" x14ac:dyDescent="0.2">
      <c r="B69" s="204" t="s">
        <v>210</v>
      </c>
    </row>
    <row r="70" spans="1:2" x14ac:dyDescent="0.2">
      <c r="B70" s="99" t="s">
        <v>850</v>
      </c>
    </row>
    <row r="71" spans="1:2" x14ac:dyDescent="0.2">
      <c r="B71" s="99" t="s">
        <v>1071</v>
      </c>
    </row>
    <row r="72" spans="1:2" x14ac:dyDescent="0.2">
      <c r="B72" s="220" t="s">
        <v>1072</v>
      </c>
    </row>
    <row r="73" spans="1:2" x14ac:dyDescent="0.2">
      <c r="B73" s="204" t="s">
        <v>841</v>
      </c>
    </row>
    <row r="74" spans="1:2" x14ac:dyDescent="0.2">
      <c r="B74" s="99" t="s">
        <v>211</v>
      </c>
    </row>
    <row r="75" spans="1:2" x14ac:dyDescent="0.2">
      <c r="B75" s="220" t="s">
        <v>1073</v>
      </c>
    </row>
    <row r="76" spans="1:2" x14ac:dyDescent="0.2">
      <c r="B76" s="99" t="s">
        <v>1506</v>
      </c>
    </row>
    <row r="77" spans="1:2" x14ac:dyDescent="0.2">
      <c r="B77" s="220" t="s">
        <v>788</v>
      </c>
    </row>
    <row r="78" spans="1:2" x14ac:dyDescent="0.2">
      <c r="B78" s="220" t="s">
        <v>1074</v>
      </c>
    </row>
    <row r="79" spans="1:2" x14ac:dyDescent="0.2">
      <c r="B79" s="204" t="s">
        <v>1507</v>
      </c>
    </row>
    <row r="80" spans="1:2" x14ac:dyDescent="0.2">
      <c r="B80" t="s">
        <v>147</v>
      </c>
    </row>
    <row r="81" spans="2:8" x14ac:dyDescent="0.2">
      <c r="B81" s="204" t="s">
        <v>610</v>
      </c>
    </row>
    <row r="82" spans="2:8" x14ac:dyDescent="0.2">
      <c r="B82" t="s">
        <v>142</v>
      </c>
    </row>
    <row r="83" spans="2:8" x14ac:dyDescent="0.2">
      <c r="B83" t="s">
        <v>1508</v>
      </c>
    </row>
    <row r="84" spans="2:8" x14ac:dyDescent="0.2">
      <c r="B84" t="s">
        <v>1509</v>
      </c>
    </row>
    <row r="85" spans="2:8" x14ac:dyDescent="0.2">
      <c r="B85" t="s">
        <v>141</v>
      </c>
    </row>
    <row r="86" spans="2:8" x14ac:dyDescent="0.2">
      <c r="B86" s="204" t="s">
        <v>226</v>
      </c>
      <c r="C86" s="204"/>
      <c r="D86" s="204"/>
      <c r="E86" s="204"/>
      <c r="F86" s="204"/>
      <c r="G86" s="204"/>
      <c r="H86" s="204"/>
    </row>
    <row r="87" spans="2:8" x14ac:dyDescent="0.2">
      <c r="B87" s="204" t="s">
        <v>148</v>
      </c>
      <c r="C87" s="204"/>
      <c r="D87" s="204"/>
      <c r="E87" s="204"/>
      <c r="F87" s="204"/>
      <c r="G87" s="204"/>
      <c r="H87" s="204"/>
    </row>
    <row r="88" spans="2:8" x14ac:dyDescent="0.2">
      <c r="B88" s="220" t="s">
        <v>1075</v>
      </c>
      <c r="C88" s="204"/>
      <c r="D88" s="204"/>
      <c r="E88" s="204"/>
      <c r="F88" s="204"/>
      <c r="G88" s="204"/>
      <c r="H88" s="204"/>
    </row>
    <row r="89" spans="2:8" x14ac:dyDescent="0.2">
      <c r="B89" t="s">
        <v>145</v>
      </c>
    </row>
    <row r="90" spans="2:8" x14ac:dyDescent="0.2">
      <c r="B90" t="s">
        <v>146</v>
      </c>
    </row>
    <row r="91" spans="2:8" x14ac:dyDescent="0.2">
      <c r="B91" s="220" t="s">
        <v>1510</v>
      </c>
      <c r="C91" s="220"/>
      <c r="D91" s="204"/>
      <c r="E91" s="204"/>
      <c r="F91" s="204"/>
    </row>
    <row r="92" spans="2:8" x14ac:dyDescent="0.2">
      <c r="B92" s="220" t="s">
        <v>1511</v>
      </c>
      <c r="C92" s="220"/>
      <c r="D92" s="204"/>
      <c r="E92" s="204"/>
      <c r="F92" s="204"/>
    </row>
    <row r="93" spans="2:8" x14ac:dyDescent="0.2">
      <c r="B93" s="99" t="s">
        <v>789</v>
      </c>
      <c r="C93" s="99"/>
      <c r="D93" s="99"/>
      <c r="E93" s="99"/>
      <c r="F93" s="99"/>
    </row>
    <row r="94" spans="2:8" x14ac:dyDescent="0.2">
      <c r="B94" s="99" t="s">
        <v>943</v>
      </c>
      <c r="C94" s="99"/>
      <c r="D94" s="99"/>
      <c r="E94" s="99"/>
      <c r="F94" s="99"/>
    </row>
    <row r="95" spans="2:8" x14ac:dyDescent="0.2">
      <c r="B95" s="99" t="s">
        <v>143</v>
      </c>
      <c r="C95" s="99"/>
      <c r="D95" s="99"/>
      <c r="E95" s="99"/>
      <c r="F95" s="99"/>
    </row>
    <row r="96" spans="2:8" x14ac:dyDescent="0.2">
      <c r="B96" s="99" t="s">
        <v>669</v>
      </c>
    </row>
    <row r="97" spans="1:2" x14ac:dyDescent="0.2">
      <c r="B97" t="s">
        <v>605</v>
      </c>
    </row>
    <row r="98" spans="1:2" x14ac:dyDescent="0.2">
      <c r="B98" s="99" t="s">
        <v>1076</v>
      </c>
    </row>
    <row r="99" spans="1:2" x14ac:dyDescent="0.2">
      <c r="B99" t="s">
        <v>768</v>
      </c>
    </row>
    <row r="100" spans="1:2" x14ac:dyDescent="0.2">
      <c r="B100" t="s">
        <v>855</v>
      </c>
    </row>
    <row r="102" spans="1:2" x14ac:dyDescent="0.2">
      <c r="A102" t="s">
        <v>1512</v>
      </c>
    </row>
    <row r="103" spans="1:2" x14ac:dyDescent="0.2">
      <c r="B103" t="s">
        <v>650</v>
      </c>
    </row>
    <row r="104" spans="1:2" x14ac:dyDescent="0.2">
      <c r="B104" t="s">
        <v>790</v>
      </c>
    </row>
    <row r="105" spans="1:2" x14ac:dyDescent="0.2">
      <c r="B105" t="s">
        <v>1513</v>
      </c>
    </row>
    <row r="106" spans="1:2" x14ac:dyDescent="0.2">
      <c r="B106" t="s">
        <v>611</v>
      </c>
    </row>
    <row r="107" spans="1:2" x14ac:dyDescent="0.2">
      <c r="B107" t="s">
        <v>612</v>
      </c>
    </row>
    <row r="108" spans="1:2" x14ac:dyDescent="0.2">
      <c r="B108" t="s">
        <v>290</v>
      </c>
    </row>
    <row r="110" spans="1:2" x14ac:dyDescent="0.2">
      <c r="A110" t="s">
        <v>488</v>
      </c>
    </row>
    <row r="111" spans="1:2" x14ac:dyDescent="0.2">
      <c r="B111" t="s">
        <v>135</v>
      </c>
    </row>
    <row r="112" spans="1:2" x14ac:dyDescent="0.2">
      <c r="B112" t="s">
        <v>487</v>
      </c>
    </row>
    <row r="113" spans="1:2" x14ac:dyDescent="0.2">
      <c r="B113" t="s">
        <v>436</v>
      </c>
    </row>
    <row r="115" spans="1:2" x14ac:dyDescent="0.2">
      <c r="A115" s="99" t="s">
        <v>58</v>
      </c>
    </row>
    <row r="116" spans="1:2" x14ac:dyDescent="0.2">
      <c r="B116" s="99" t="s">
        <v>62</v>
      </c>
    </row>
    <row r="117" spans="1:2" x14ac:dyDescent="0.2">
      <c r="B117" s="99" t="s">
        <v>55</v>
      </c>
    </row>
    <row r="118" spans="1:2" x14ac:dyDescent="0.2">
      <c r="B118" s="99" t="s">
        <v>56</v>
      </c>
    </row>
    <row r="119" spans="1:2" x14ac:dyDescent="0.2">
      <c r="B119" s="99" t="s">
        <v>54</v>
      </c>
    </row>
    <row r="120" spans="1:2" x14ac:dyDescent="0.2">
      <c r="B120" s="99" t="s">
        <v>63</v>
      </c>
    </row>
    <row r="121" spans="1:2" x14ac:dyDescent="0.2">
      <c r="B121" s="99" t="s">
        <v>64</v>
      </c>
    </row>
    <row r="122" spans="1:2" x14ac:dyDescent="0.2">
      <c r="B122" s="99" t="s">
        <v>205</v>
      </c>
    </row>
    <row r="123" spans="1:2" x14ac:dyDescent="0.2">
      <c r="B123" s="99" t="s">
        <v>60</v>
      </c>
    </row>
    <row r="124" spans="1:2" x14ac:dyDescent="0.2">
      <c r="B124" s="99" t="s">
        <v>59</v>
      </c>
    </row>
    <row r="125" spans="1:2" x14ac:dyDescent="0.2">
      <c r="B125" s="99" t="s">
        <v>84</v>
      </c>
    </row>
    <row r="126" spans="1:2" x14ac:dyDescent="0.2">
      <c r="B126" s="99" t="s">
        <v>1077</v>
      </c>
    </row>
    <row r="127" spans="1:2" x14ac:dyDescent="0.2">
      <c r="B127" s="99"/>
    </row>
    <row r="129" spans="1:2" x14ac:dyDescent="0.2">
      <c r="A129" t="s">
        <v>613</v>
      </c>
    </row>
    <row r="130" spans="1:2" x14ac:dyDescent="0.2">
      <c r="B130" t="s">
        <v>294</v>
      </c>
    </row>
    <row r="131" spans="1:2" x14ac:dyDescent="0.2">
      <c r="B131" t="s">
        <v>295</v>
      </c>
    </row>
    <row r="132" spans="1:2" x14ac:dyDescent="0.2">
      <c r="B132" t="s">
        <v>296</v>
      </c>
    </row>
    <row r="133" spans="1:2" ht="12" customHeight="1" x14ac:dyDescent="0.2">
      <c r="B133" t="s">
        <v>1514</v>
      </c>
    </row>
    <row r="134" spans="1:2" ht="12" customHeight="1" x14ac:dyDescent="0.2">
      <c r="B134" t="s">
        <v>403</v>
      </c>
    </row>
    <row r="135" spans="1:2" x14ac:dyDescent="0.2">
      <c r="B135" s="99" t="s">
        <v>1078</v>
      </c>
    </row>
    <row r="137" spans="1:2" x14ac:dyDescent="0.2">
      <c r="A137" t="s">
        <v>231</v>
      </c>
    </row>
    <row r="138" spans="1:2" x14ac:dyDescent="0.2">
      <c r="B138" t="s">
        <v>168</v>
      </c>
    </row>
    <row r="139" spans="1:2" x14ac:dyDescent="0.2">
      <c r="B139" t="s">
        <v>609</v>
      </c>
    </row>
    <row r="140" spans="1:2" x14ac:dyDescent="0.2">
      <c r="B140" t="s">
        <v>169</v>
      </c>
    </row>
    <row r="141" spans="1:2" x14ac:dyDescent="0.2">
      <c r="B141" t="s">
        <v>721</v>
      </c>
    </row>
    <row r="142" spans="1:2" x14ac:dyDescent="0.2">
      <c r="B142" t="s">
        <v>727</v>
      </c>
    </row>
    <row r="143" spans="1:2" x14ac:dyDescent="0.2">
      <c r="B143" t="s">
        <v>726</v>
      </c>
    </row>
    <row r="144" spans="1:2" x14ac:dyDescent="0.2">
      <c r="B144" t="s">
        <v>722</v>
      </c>
    </row>
    <row r="146" spans="1:2" x14ac:dyDescent="0.2">
      <c r="A146" t="s">
        <v>578</v>
      </c>
    </row>
    <row r="147" spans="1:2" x14ac:dyDescent="0.2">
      <c r="B147" t="s">
        <v>235</v>
      </c>
    </row>
    <row r="149" spans="1:2" x14ac:dyDescent="0.2">
      <c r="A149" t="s">
        <v>477</v>
      </c>
    </row>
    <row r="150" spans="1:2" x14ac:dyDescent="0.2">
      <c r="B150" t="s">
        <v>124</v>
      </c>
    </row>
    <row r="151" spans="1:2" x14ac:dyDescent="0.2">
      <c r="B151" t="s">
        <v>894</v>
      </c>
    </row>
    <row r="152" spans="1:2" x14ac:dyDescent="0.2">
      <c r="B152" s="59" t="s">
        <v>922</v>
      </c>
    </row>
    <row r="153" spans="1:2" x14ac:dyDescent="0.2">
      <c r="B153" s="59" t="s">
        <v>398</v>
      </c>
    </row>
    <row r="154" spans="1:2" x14ac:dyDescent="0.2">
      <c r="B154" s="59" t="s">
        <v>509</v>
      </c>
    </row>
    <row r="155" spans="1:2" x14ac:dyDescent="0.2">
      <c r="B155" t="s">
        <v>224</v>
      </c>
    </row>
    <row r="156" spans="1:2" x14ac:dyDescent="0.2">
      <c r="B156" t="s">
        <v>167</v>
      </c>
    </row>
    <row r="157" spans="1:2" x14ac:dyDescent="0.2">
      <c r="B157" s="99" t="s">
        <v>1079</v>
      </c>
    </row>
    <row r="158" spans="1:2" x14ac:dyDescent="0.2">
      <c r="B158" t="s">
        <v>732</v>
      </c>
    </row>
    <row r="159" spans="1:2" x14ac:dyDescent="0.2">
      <c r="B159" t="s">
        <v>478</v>
      </c>
    </row>
    <row r="161" spans="1:2" x14ac:dyDescent="0.2">
      <c r="A161" t="s">
        <v>930</v>
      </c>
    </row>
    <row r="162" spans="1:2" x14ac:dyDescent="0.2">
      <c r="B162" t="s">
        <v>919</v>
      </c>
    </row>
    <row r="163" spans="1:2" x14ac:dyDescent="0.2">
      <c r="B163" t="s">
        <v>775</v>
      </c>
    </row>
    <row r="164" spans="1:2" x14ac:dyDescent="0.2">
      <c r="B164" t="s">
        <v>771</v>
      </c>
    </row>
    <row r="165" spans="1:2" x14ac:dyDescent="0.2">
      <c r="B165" t="s">
        <v>208</v>
      </c>
    </row>
    <row r="166" spans="1:2" x14ac:dyDescent="0.2">
      <c r="B166" t="s">
        <v>222</v>
      </c>
    </row>
    <row r="167" spans="1:2" x14ac:dyDescent="0.2">
      <c r="B167" t="s">
        <v>221</v>
      </c>
    </row>
    <row r="168" spans="1:2" x14ac:dyDescent="0.2">
      <c r="B168" t="s">
        <v>607</v>
      </c>
    </row>
    <row r="169" spans="1:2" x14ac:dyDescent="0.2">
      <c r="B169" t="s">
        <v>896</v>
      </c>
    </row>
    <row r="170" spans="1:2" x14ac:dyDescent="0.2">
      <c r="B170" t="s">
        <v>522</v>
      </c>
    </row>
    <row r="171" spans="1:2" x14ac:dyDescent="0.2">
      <c r="B171" t="s">
        <v>521</v>
      </c>
    </row>
    <row r="172" spans="1:2" x14ac:dyDescent="0.2">
      <c r="B172" t="s">
        <v>914</v>
      </c>
    </row>
    <row r="173" spans="1:2" x14ac:dyDescent="0.2">
      <c r="B173" t="s">
        <v>719</v>
      </c>
    </row>
    <row r="174" spans="1:2" x14ac:dyDescent="0.2">
      <c r="B174" t="s">
        <v>924</v>
      </c>
    </row>
    <row r="175" spans="1:2" x14ac:dyDescent="0.2">
      <c r="B175" t="s">
        <v>931</v>
      </c>
    </row>
    <row r="176" spans="1:2" x14ac:dyDescent="0.2">
      <c r="B176" t="s">
        <v>776</v>
      </c>
    </row>
    <row r="177" spans="1:2" x14ac:dyDescent="0.2">
      <c r="B177" t="s">
        <v>237</v>
      </c>
    </row>
    <row r="178" spans="1:2" x14ac:dyDescent="0.2">
      <c r="B178" t="s">
        <v>238</v>
      </c>
    </row>
    <row r="179" spans="1:2" x14ac:dyDescent="0.2">
      <c r="B179" t="s">
        <v>654</v>
      </c>
    </row>
    <row r="181" spans="1:2" x14ac:dyDescent="0.2">
      <c r="A181" t="s">
        <v>9</v>
      </c>
    </row>
    <row r="182" spans="1:2" x14ac:dyDescent="0.2">
      <c r="B182" t="s">
        <v>523</v>
      </c>
    </row>
    <row r="183" spans="1:2" x14ac:dyDescent="0.2">
      <c r="B183" t="s">
        <v>243</v>
      </c>
    </row>
    <row r="184" spans="1:2" x14ac:dyDescent="0.2">
      <c r="B184" t="s">
        <v>479</v>
      </c>
    </row>
    <row r="185" spans="1:2" x14ac:dyDescent="0.2">
      <c r="B185" t="s">
        <v>653</v>
      </c>
    </row>
    <row r="186" spans="1:2" x14ac:dyDescent="0.2">
      <c r="B186" t="s">
        <v>495</v>
      </c>
    </row>
    <row r="187" spans="1:2" x14ac:dyDescent="0.2">
      <c r="B187" t="s">
        <v>187</v>
      </c>
    </row>
    <row r="188" spans="1:2" x14ac:dyDescent="0.2">
      <c r="B188" t="s">
        <v>186</v>
      </c>
    </row>
    <row r="189" spans="1:2" x14ac:dyDescent="0.2">
      <c r="B189" t="s">
        <v>188</v>
      </c>
    </row>
    <row r="190" spans="1:2" x14ac:dyDescent="0.2">
      <c r="B190" t="s">
        <v>1515</v>
      </c>
    </row>
    <row r="191" spans="1:2" x14ac:dyDescent="0.2">
      <c r="B191" t="s">
        <v>648</v>
      </c>
    </row>
    <row r="192" spans="1:2" x14ac:dyDescent="0.2">
      <c r="B192" s="99" t="s">
        <v>1080</v>
      </c>
    </row>
    <row r="193" spans="1:2" x14ac:dyDescent="0.2">
      <c r="B193" t="s">
        <v>496</v>
      </c>
    </row>
    <row r="194" spans="1:2" x14ac:dyDescent="0.2">
      <c r="B194" s="99" t="s">
        <v>1081</v>
      </c>
    </row>
    <row r="195" spans="1:2" x14ac:dyDescent="0.2">
      <c r="B195" t="s">
        <v>339</v>
      </c>
    </row>
    <row r="196" spans="1:2" x14ac:dyDescent="0.2">
      <c r="B196" s="99" t="s">
        <v>1082</v>
      </c>
    </row>
    <row r="197" spans="1:2" x14ac:dyDescent="0.2">
      <c r="B197" t="s">
        <v>234</v>
      </c>
    </row>
    <row r="198" spans="1:2" x14ac:dyDescent="0.2">
      <c r="B198" t="s">
        <v>242</v>
      </c>
    </row>
    <row r="199" spans="1:2" x14ac:dyDescent="0.2">
      <c r="B199" t="s">
        <v>676</v>
      </c>
    </row>
    <row r="202" spans="1:2" x14ac:dyDescent="0.2">
      <c r="A202" t="s">
        <v>420</v>
      </c>
    </row>
    <row r="203" spans="1:2" x14ac:dyDescent="0.2">
      <c r="B203" t="s">
        <v>366</v>
      </c>
    </row>
    <row r="204" spans="1:2" x14ac:dyDescent="0.2">
      <c r="B204" t="s">
        <v>1516</v>
      </c>
    </row>
    <row r="205" spans="1:2" x14ac:dyDescent="0.2">
      <c r="B205" t="s">
        <v>677</v>
      </c>
    </row>
    <row r="206" spans="1:2" x14ac:dyDescent="0.2">
      <c r="B206" t="s">
        <v>507</v>
      </c>
    </row>
    <row r="207" spans="1:2" x14ac:dyDescent="0.2">
      <c r="B207" t="s">
        <v>506</v>
      </c>
    </row>
    <row r="208" spans="1:2" x14ac:dyDescent="0.2">
      <c r="B208" t="s">
        <v>770</v>
      </c>
    </row>
    <row r="209" spans="1:2" x14ac:dyDescent="0.2">
      <c r="B209" t="s">
        <v>209</v>
      </c>
    </row>
    <row r="210" spans="1:2" x14ac:dyDescent="0.2">
      <c r="B210" t="s">
        <v>404</v>
      </c>
    </row>
    <row r="211" spans="1:2" x14ac:dyDescent="0.2">
      <c r="B211" t="s">
        <v>421</v>
      </c>
    </row>
    <row r="212" spans="1:2" x14ac:dyDescent="0.2">
      <c r="B212" t="s">
        <v>127</v>
      </c>
    </row>
    <row r="213" spans="1:2" x14ac:dyDescent="0.2">
      <c r="B213" t="s">
        <v>183</v>
      </c>
    </row>
    <row r="215" spans="1:2" x14ac:dyDescent="0.2">
      <c r="A215" t="s">
        <v>229</v>
      </c>
    </row>
    <row r="216" spans="1:2" x14ac:dyDescent="0.2">
      <c r="B216" t="s">
        <v>170</v>
      </c>
    </row>
    <row r="217" spans="1:2" x14ac:dyDescent="0.2">
      <c r="B217" t="s">
        <v>407</v>
      </c>
    </row>
    <row r="218" spans="1:2" x14ac:dyDescent="0.2">
      <c r="B218" t="s">
        <v>33</v>
      </c>
    </row>
    <row r="219" spans="1:2" x14ac:dyDescent="0.2">
      <c r="B219" t="s">
        <v>549</v>
      </c>
    </row>
    <row r="220" spans="1:2" x14ac:dyDescent="0.2">
      <c r="B220" t="s">
        <v>696</v>
      </c>
    </row>
    <row r="221" spans="1:2" x14ac:dyDescent="0.2">
      <c r="B221" t="s">
        <v>2136</v>
      </c>
    </row>
    <row r="222" spans="1:2" x14ac:dyDescent="0.2">
      <c r="B222" t="s">
        <v>230</v>
      </c>
    </row>
    <row r="224" spans="1:2" x14ac:dyDescent="0.2">
      <c r="A224" t="s">
        <v>902</v>
      </c>
    </row>
    <row r="225" spans="1:2" x14ac:dyDescent="0.2">
      <c r="B225" t="s">
        <v>904</v>
      </c>
    </row>
    <row r="226" spans="1:2" x14ac:dyDescent="0.2">
      <c r="B226" t="s">
        <v>903</v>
      </c>
    </row>
    <row r="227" spans="1:2" x14ac:dyDescent="0.2">
      <c r="B227" t="s">
        <v>652</v>
      </c>
    </row>
    <row r="228" spans="1:2" x14ac:dyDescent="0.2">
      <c r="B228" t="s">
        <v>928</v>
      </c>
    </row>
    <row r="229" spans="1:2" x14ac:dyDescent="0.2">
      <c r="B229" t="s">
        <v>432</v>
      </c>
    </row>
    <row r="230" spans="1:2" x14ac:dyDescent="0.2">
      <c r="B230" t="s">
        <v>430</v>
      </c>
    </row>
    <row r="231" spans="1:2" x14ac:dyDescent="0.2">
      <c r="B231" t="s">
        <v>898</v>
      </c>
    </row>
    <row r="232" spans="1:2" x14ac:dyDescent="0.2">
      <c r="B232" t="s">
        <v>899</v>
      </c>
    </row>
    <row r="234" spans="1:2" x14ac:dyDescent="0.2">
      <c r="A234" t="s">
        <v>900</v>
      </c>
    </row>
    <row r="235" spans="1:2" x14ac:dyDescent="0.2">
      <c r="B235" t="s">
        <v>901</v>
      </c>
    </row>
    <row r="240" spans="1:2" x14ac:dyDescent="0.2">
      <c r="A240" t="s">
        <v>367</v>
      </c>
    </row>
    <row r="241" spans="2:2" x14ac:dyDescent="0.2">
      <c r="B241" t="s">
        <v>368</v>
      </c>
    </row>
  </sheetData>
  <phoneticPr fontId="0"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22"/>
  </sheetPr>
  <dimension ref="A4:E100"/>
  <sheetViews>
    <sheetView workbookViewId="0"/>
  </sheetViews>
  <sheetFormatPr defaultRowHeight="12.75" x14ac:dyDescent="0.2"/>
  <cols>
    <col min="1" max="1" width="7.28515625" style="770" customWidth="1"/>
    <col min="2" max="2" width="11.5703125" style="770" bestFit="1" customWidth="1"/>
    <col min="3" max="3" width="12.140625" style="770" bestFit="1" customWidth="1"/>
    <col min="4" max="4" width="39.7109375" style="767" customWidth="1"/>
    <col min="5" max="5" width="9.140625" bestFit="1" customWidth="1"/>
  </cols>
  <sheetData>
    <row r="4" spans="1:5" x14ac:dyDescent="0.2">
      <c r="A4" s="527" t="s">
        <v>1952</v>
      </c>
    </row>
    <row r="6" spans="1:5" x14ac:dyDescent="0.2">
      <c r="A6" s="780" t="s">
        <v>1940</v>
      </c>
      <c r="B6" s="780" t="s">
        <v>1941</v>
      </c>
      <c r="C6" s="780" t="s">
        <v>1946</v>
      </c>
      <c r="D6" s="781" t="s">
        <v>743</v>
      </c>
      <c r="E6" s="780" t="s">
        <v>649</v>
      </c>
    </row>
    <row r="7" spans="1:5" x14ac:dyDescent="0.2">
      <c r="A7" s="772">
        <v>1</v>
      </c>
      <c r="B7" s="771" t="s">
        <v>1942</v>
      </c>
      <c r="C7" s="771" t="s">
        <v>1947</v>
      </c>
      <c r="D7" s="773" t="s">
        <v>1943</v>
      </c>
      <c r="E7" s="774">
        <v>41279</v>
      </c>
    </row>
    <row r="8" spans="1:5" ht="38.25" x14ac:dyDescent="0.2">
      <c r="A8" s="772"/>
      <c r="B8" s="771" t="s">
        <v>1770</v>
      </c>
      <c r="C8" s="771" t="s">
        <v>1947</v>
      </c>
      <c r="D8" s="769" t="s">
        <v>1944</v>
      </c>
      <c r="E8" s="110"/>
    </row>
    <row r="9" spans="1:5" ht="25.5" x14ac:dyDescent="0.2">
      <c r="A9" s="772"/>
      <c r="B9" s="771" t="s">
        <v>1780</v>
      </c>
      <c r="C9" s="771" t="s">
        <v>1947</v>
      </c>
      <c r="D9" s="769" t="s">
        <v>1945</v>
      </c>
      <c r="E9" s="110"/>
    </row>
    <row r="10" spans="1:5" x14ac:dyDescent="0.2">
      <c r="A10" s="772"/>
      <c r="B10" s="771" t="s">
        <v>1912</v>
      </c>
      <c r="C10" s="771" t="s">
        <v>25</v>
      </c>
      <c r="D10" s="769" t="s">
        <v>1948</v>
      </c>
      <c r="E10" s="110"/>
    </row>
    <row r="11" spans="1:5" x14ac:dyDescent="0.2">
      <c r="A11" s="772"/>
      <c r="B11" s="771" t="s">
        <v>1770</v>
      </c>
      <c r="C11" s="771" t="s">
        <v>25</v>
      </c>
      <c r="D11" s="769" t="s">
        <v>1949</v>
      </c>
      <c r="E11" s="110"/>
    </row>
    <row r="12" spans="1:5" x14ac:dyDescent="0.2">
      <c r="A12" s="775"/>
      <c r="B12" s="776"/>
      <c r="C12" s="776"/>
      <c r="D12" s="777"/>
      <c r="E12" s="778"/>
    </row>
    <row r="13" spans="1:5" x14ac:dyDescent="0.2">
      <c r="A13" s="772">
        <v>2</v>
      </c>
      <c r="B13" s="771" t="s">
        <v>1942</v>
      </c>
      <c r="C13" s="771" t="s">
        <v>1947</v>
      </c>
      <c r="D13" s="769" t="s">
        <v>1951</v>
      </c>
      <c r="E13" s="774">
        <v>41281</v>
      </c>
    </row>
    <row r="14" spans="1:5" x14ac:dyDescent="0.2">
      <c r="A14" s="772"/>
      <c r="B14" s="771" t="s">
        <v>1950</v>
      </c>
      <c r="C14" s="771" t="s">
        <v>1947</v>
      </c>
      <c r="D14" s="769" t="s">
        <v>1943</v>
      </c>
      <c r="E14" s="110"/>
    </row>
    <row r="15" spans="1:5" x14ac:dyDescent="0.2">
      <c r="A15" s="775"/>
      <c r="B15" s="775"/>
      <c r="C15" s="775"/>
      <c r="D15" s="777"/>
      <c r="E15" s="779"/>
    </row>
    <row r="16" spans="1:5" ht="51" x14ac:dyDescent="0.2">
      <c r="A16" s="772">
        <v>3</v>
      </c>
      <c r="B16" s="771" t="s">
        <v>155</v>
      </c>
      <c r="C16" s="771" t="s">
        <v>1947</v>
      </c>
      <c r="D16" s="769" t="s">
        <v>1953</v>
      </c>
      <c r="E16" s="774">
        <v>41284</v>
      </c>
    </row>
    <row r="17" spans="1:5" ht="51" x14ac:dyDescent="0.2">
      <c r="A17" s="772"/>
      <c r="B17" s="771" t="s">
        <v>1768</v>
      </c>
      <c r="C17" s="771" t="s">
        <v>1947</v>
      </c>
      <c r="D17" s="769" t="s">
        <v>1954</v>
      </c>
      <c r="E17" s="110"/>
    </row>
    <row r="18" spans="1:5" x14ac:dyDescent="0.2">
      <c r="A18" s="775"/>
      <c r="B18" s="775"/>
      <c r="C18" s="775"/>
      <c r="D18" s="777"/>
      <c r="E18" s="779"/>
    </row>
    <row r="19" spans="1:5" ht="25.5" x14ac:dyDescent="0.2">
      <c r="A19" s="772">
        <v>4</v>
      </c>
      <c r="B19" s="771" t="s">
        <v>1765</v>
      </c>
      <c r="C19" s="771" t="s">
        <v>1947</v>
      </c>
      <c r="D19" s="782" t="s">
        <v>1955</v>
      </c>
      <c r="E19" s="110"/>
    </row>
    <row r="20" spans="1:5" ht="25.5" x14ac:dyDescent="0.2">
      <c r="A20" s="772"/>
      <c r="B20" s="771" t="s">
        <v>1912</v>
      </c>
      <c r="C20" s="771" t="s">
        <v>25</v>
      </c>
      <c r="D20" s="782" t="s">
        <v>1956</v>
      </c>
      <c r="E20" s="110"/>
    </row>
    <row r="21" spans="1:5" x14ac:dyDescent="0.2">
      <c r="A21" s="775"/>
      <c r="B21" s="775"/>
      <c r="C21" s="775"/>
      <c r="D21" s="777"/>
      <c r="E21" s="779"/>
    </row>
    <row r="22" spans="1:5" ht="25.5" x14ac:dyDescent="0.2">
      <c r="A22" s="772">
        <v>5</v>
      </c>
      <c r="B22" s="771" t="s">
        <v>1770</v>
      </c>
      <c r="C22" s="771" t="s">
        <v>1983</v>
      </c>
      <c r="D22" s="785" t="s">
        <v>1984</v>
      </c>
      <c r="E22" s="774">
        <v>41324</v>
      </c>
    </row>
    <row r="23" spans="1:5" x14ac:dyDescent="0.2">
      <c r="A23" s="772"/>
      <c r="B23" s="771" t="s">
        <v>1985</v>
      </c>
      <c r="C23" s="771" t="s">
        <v>1986</v>
      </c>
      <c r="D23" s="785" t="s">
        <v>1987</v>
      </c>
      <c r="E23" s="110"/>
    </row>
    <row r="24" spans="1:5" x14ac:dyDescent="0.2">
      <c r="A24" s="772"/>
      <c r="B24" s="772"/>
      <c r="C24" s="772"/>
      <c r="D24" s="768"/>
      <c r="E24" s="110"/>
    </row>
    <row r="25" spans="1:5" x14ac:dyDescent="0.2">
      <c r="A25" s="772"/>
      <c r="B25" s="772"/>
      <c r="C25" s="772"/>
      <c r="D25" s="768"/>
      <c r="E25" s="110"/>
    </row>
    <row r="26" spans="1:5" x14ac:dyDescent="0.2">
      <c r="A26" s="772"/>
      <c r="B26" s="772"/>
      <c r="C26" s="772"/>
      <c r="D26" s="768"/>
      <c r="E26" s="110"/>
    </row>
    <row r="27" spans="1:5" x14ac:dyDescent="0.2">
      <c r="A27" s="772"/>
      <c r="B27" s="772"/>
      <c r="C27" s="772"/>
      <c r="D27" s="768"/>
      <c r="E27" s="110"/>
    </row>
    <row r="28" spans="1:5" x14ac:dyDescent="0.2">
      <c r="A28" s="772"/>
      <c r="B28" s="772"/>
      <c r="C28" s="772"/>
      <c r="D28" s="768"/>
      <c r="E28" s="110"/>
    </row>
    <row r="29" spans="1:5" x14ac:dyDescent="0.2">
      <c r="A29" s="772"/>
      <c r="B29" s="772"/>
      <c r="C29" s="772"/>
      <c r="D29" s="768"/>
      <c r="E29" s="110"/>
    </row>
    <row r="30" spans="1:5" x14ac:dyDescent="0.2">
      <c r="A30" s="772"/>
      <c r="B30" s="772"/>
      <c r="C30" s="772"/>
      <c r="D30" s="768"/>
      <c r="E30" s="110"/>
    </row>
    <row r="31" spans="1:5" x14ac:dyDescent="0.2">
      <c r="A31" s="772"/>
      <c r="B31" s="772"/>
      <c r="C31" s="772"/>
      <c r="D31" s="768"/>
      <c r="E31" s="110"/>
    </row>
    <row r="32" spans="1:5" x14ac:dyDescent="0.2">
      <c r="A32" s="772"/>
      <c r="B32" s="772"/>
      <c r="C32" s="772"/>
      <c r="D32" s="768"/>
      <c r="E32" s="110"/>
    </row>
    <row r="33" spans="1:5" x14ac:dyDescent="0.2">
      <c r="A33" s="772"/>
      <c r="B33" s="772"/>
      <c r="C33" s="772"/>
      <c r="D33" s="768"/>
      <c r="E33" s="110"/>
    </row>
    <row r="34" spans="1:5" x14ac:dyDescent="0.2">
      <c r="A34" s="772"/>
      <c r="B34" s="772"/>
      <c r="C34" s="772"/>
      <c r="D34" s="768"/>
      <c r="E34" s="110"/>
    </row>
    <row r="35" spans="1:5" x14ac:dyDescent="0.2">
      <c r="A35" s="772"/>
      <c r="B35" s="772"/>
      <c r="C35" s="772"/>
      <c r="D35" s="768"/>
      <c r="E35" s="110"/>
    </row>
    <row r="36" spans="1:5" x14ac:dyDescent="0.2">
      <c r="A36" s="772"/>
      <c r="B36" s="772"/>
      <c r="C36" s="772"/>
      <c r="D36" s="768"/>
      <c r="E36" s="110"/>
    </row>
    <row r="37" spans="1:5" x14ac:dyDescent="0.2">
      <c r="A37" s="772"/>
      <c r="B37" s="772"/>
      <c r="C37" s="772"/>
      <c r="D37" s="768"/>
      <c r="E37" s="110"/>
    </row>
    <row r="38" spans="1:5" x14ac:dyDescent="0.2">
      <c r="A38" s="772"/>
      <c r="B38" s="772"/>
      <c r="C38" s="772"/>
      <c r="D38" s="768"/>
      <c r="E38" s="110"/>
    </row>
    <row r="39" spans="1:5" x14ac:dyDescent="0.2">
      <c r="A39" s="772"/>
      <c r="B39" s="772"/>
      <c r="C39" s="772"/>
      <c r="D39" s="768"/>
      <c r="E39" s="110"/>
    </row>
    <row r="40" spans="1:5" x14ac:dyDescent="0.2">
      <c r="A40" s="772"/>
      <c r="B40" s="772"/>
      <c r="C40" s="772"/>
      <c r="D40" s="768"/>
      <c r="E40" s="110"/>
    </row>
    <row r="41" spans="1:5" x14ac:dyDescent="0.2">
      <c r="A41" s="772"/>
      <c r="B41" s="772"/>
      <c r="C41" s="772"/>
      <c r="D41" s="768"/>
      <c r="E41" s="110"/>
    </row>
    <row r="42" spans="1:5" x14ac:dyDescent="0.2">
      <c r="A42" s="772"/>
      <c r="B42" s="772"/>
      <c r="C42" s="772"/>
      <c r="D42" s="768"/>
      <c r="E42" s="110"/>
    </row>
    <row r="43" spans="1:5" x14ac:dyDescent="0.2">
      <c r="A43" s="772"/>
      <c r="B43" s="772"/>
      <c r="C43" s="772"/>
      <c r="D43" s="768"/>
      <c r="E43" s="110"/>
    </row>
    <row r="44" spans="1:5" x14ac:dyDescent="0.2">
      <c r="A44" s="772"/>
      <c r="B44" s="772"/>
      <c r="C44" s="772"/>
      <c r="D44" s="768"/>
      <c r="E44" s="110"/>
    </row>
    <row r="45" spans="1:5" x14ac:dyDescent="0.2">
      <c r="A45" s="772"/>
      <c r="B45" s="772"/>
      <c r="C45" s="772"/>
      <c r="D45" s="768"/>
      <c r="E45" s="110"/>
    </row>
    <row r="46" spans="1:5" x14ac:dyDescent="0.2">
      <c r="A46" s="772"/>
      <c r="B46" s="772"/>
      <c r="C46" s="772"/>
      <c r="D46" s="768"/>
      <c r="E46" s="110"/>
    </row>
    <row r="47" spans="1:5" x14ac:dyDescent="0.2">
      <c r="A47" s="772"/>
      <c r="B47" s="772"/>
      <c r="C47" s="772"/>
      <c r="D47" s="768"/>
      <c r="E47" s="110"/>
    </row>
    <row r="48" spans="1:5" x14ac:dyDescent="0.2">
      <c r="A48" s="772"/>
      <c r="B48" s="772"/>
      <c r="C48" s="772"/>
      <c r="D48" s="768"/>
      <c r="E48" s="110"/>
    </row>
    <row r="49" spans="1:5" x14ac:dyDescent="0.2">
      <c r="A49" s="772"/>
      <c r="B49" s="772"/>
      <c r="C49" s="772"/>
      <c r="D49" s="768"/>
      <c r="E49" s="110"/>
    </row>
    <row r="50" spans="1:5" x14ac:dyDescent="0.2">
      <c r="A50" s="772"/>
      <c r="B50" s="772"/>
      <c r="C50" s="772"/>
      <c r="D50" s="768"/>
      <c r="E50" s="110"/>
    </row>
    <row r="51" spans="1:5" x14ac:dyDescent="0.2">
      <c r="A51" s="772"/>
      <c r="B51" s="772"/>
      <c r="C51" s="772"/>
      <c r="D51" s="768"/>
      <c r="E51" s="110"/>
    </row>
    <row r="52" spans="1:5" x14ac:dyDescent="0.2">
      <c r="A52" s="772"/>
      <c r="B52" s="772"/>
      <c r="C52" s="772"/>
      <c r="D52" s="768"/>
      <c r="E52" s="110"/>
    </row>
    <row r="53" spans="1:5" x14ac:dyDescent="0.2">
      <c r="A53" s="772"/>
      <c r="B53" s="772"/>
      <c r="C53" s="772"/>
      <c r="D53" s="768"/>
      <c r="E53" s="110"/>
    </row>
    <row r="54" spans="1:5" x14ac:dyDescent="0.2">
      <c r="A54" s="772"/>
      <c r="B54" s="772"/>
      <c r="C54" s="772"/>
      <c r="D54" s="768"/>
      <c r="E54" s="110"/>
    </row>
    <row r="55" spans="1:5" x14ac:dyDescent="0.2">
      <c r="A55" s="772"/>
      <c r="B55" s="772"/>
      <c r="C55" s="772"/>
      <c r="D55" s="768"/>
      <c r="E55" s="110"/>
    </row>
    <row r="56" spans="1:5" x14ac:dyDescent="0.2">
      <c r="A56" s="772"/>
      <c r="B56" s="772"/>
      <c r="C56" s="772"/>
      <c r="D56" s="768"/>
      <c r="E56" s="110"/>
    </row>
    <row r="57" spans="1:5" x14ac:dyDescent="0.2">
      <c r="A57" s="772"/>
      <c r="B57" s="772"/>
      <c r="C57" s="772"/>
      <c r="D57" s="768"/>
      <c r="E57" s="110"/>
    </row>
    <row r="58" spans="1:5" x14ac:dyDescent="0.2">
      <c r="A58" s="772"/>
      <c r="B58" s="772"/>
      <c r="C58" s="772"/>
      <c r="D58" s="768"/>
      <c r="E58" s="110"/>
    </row>
    <row r="59" spans="1:5" x14ac:dyDescent="0.2">
      <c r="A59" s="772"/>
      <c r="B59" s="772"/>
      <c r="C59" s="772"/>
      <c r="D59" s="768"/>
      <c r="E59" s="110"/>
    </row>
    <row r="60" spans="1:5" x14ac:dyDescent="0.2">
      <c r="A60" s="772"/>
      <c r="B60" s="772"/>
      <c r="C60" s="772"/>
      <c r="D60" s="768"/>
      <c r="E60" s="110"/>
    </row>
    <row r="61" spans="1:5" x14ac:dyDescent="0.2">
      <c r="A61" s="772"/>
      <c r="B61" s="772"/>
      <c r="C61" s="772"/>
      <c r="D61" s="768"/>
      <c r="E61" s="110"/>
    </row>
    <row r="62" spans="1:5" x14ac:dyDescent="0.2">
      <c r="A62" s="772"/>
      <c r="B62" s="772"/>
      <c r="C62" s="772"/>
      <c r="D62" s="768"/>
      <c r="E62" s="110"/>
    </row>
    <row r="63" spans="1:5" x14ac:dyDescent="0.2">
      <c r="A63" s="772"/>
      <c r="B63" s="772"/>
      <c r="C63" s="772"/>
      <c r="D63" s="768"/>
      <c r="E63" s="110"/>
    </row>
    <row r="64" spans="1:5" x14ac:dyDescent="0.2">
      <c r="A64" s="772"/>
      <c r="B64" s="772"/>
      <c r="C64" s="772"/>
      <c r="D64" s="768"/>
      <c r="E64" s="110"/>
    </row>
    <row r="65" spans="1:5" x14ac:dyDescent="0.2">
      <c r="A65" s="772"/>
      <c r="B65" s="772"/>
      <c r="C65" s="772"/>
      <c r="D65" s="768"/>
      <c r="E65" s="110"/>
    </row>
    <row r="66" spans="1:5" x14ac:dyDescent="0.2">
      <c r="A66" s="772"/>
      <c r="B66" s="772"/>
      <c r="C66" s="772"/>
      <c r="D66" s="768"/>
      <c r="E66" s="110"/>
    </row>
    <row r="67" spans="1:5" x14ac:dyDescent="0.2">
      <c r="A67" s="772"/>
      <c r="B67" s="772"/>
      <c r="C67" s="772"/>
      <c r="D67" s="768"/>
      <c r="E67" s="110"/>
    </row>
    <row r="68" spans="1:5" x14ac:dyDescent="0.2">
      <c r="A68" s="772"/>
      <c r="B68" s="772"/>
      <c r="C68" s="772"/>
      <c r="D68" s="768"/>
      <c r="E68" s="110"/>
    </row>
    <row r="69" spans="1:5" x14ac:dyDescent="0.2">
      <c r="A69" s="772"/>
      <c r="B69" s="772"/>
      <c r="C69" s="772"/>
      <c r="D69" s="768"/>
      <c r="E69" s="110"/>
    </row>
    <row r="70" spans="1:5" x14ac:dyDescent="0.2">
      <c r="A70" s="772"/>
      <c r="B70" s="772"/>
      <c r="C70" s="772"/>
      <c r="D70" s="768"/>
      <c r="E70" s="110"/>
    </row>
    <row r="71" spans="1:5" x14ac:dyDescent="0.2">
      <c r="A71" s="772"/>
      <c r="B71" s="772"/>
      <c r="C71" s="772"/>
      <c r="D71" s="768"/>
      <c r="E71" s="110"/>
    </row>
    <row r="72" spans="1:5" x14ac:dyDescent="0.2">
      <c r="A72" s="772"/>
      <c r="B72" s="772"/>
      <c r="C72" s="772"/>
      <c r="D72" s="768"/>
      <c r="E72" s="110"/>
    </row>
    <row r="73" spans="1:5" x14ac:dyDescent="0.2">
      <c r="A73" s="772"/>
      <c r="B73" s="772"/>
      <c r="C73" s="772"/>
      <c r="D73" s="768"/>
      <c r="E73" s="110"/>
    </row>
    <row r="74" spans="1:5" x14ac:dyDescent="0.2">
      <c r="A74" s="772"/>
      <c r="B74" s="772"/>
      <c r="C74" s="772"/>
      <c r="D74" s="768"/>
      <c r="E74" s="110"/>
    </row>
    <row r="75" spans="1:5" x14ac:dyDescent="0.2">
      <c r="A75" s="772"/>
      <c r="B75" s="772"/>
      <c r="C75" s="772"/>
      <c r="D75" s="768"/>
      <c r="E75" s="110"/>
    </row>
    <row r="76" spans="1:5" x14ac:dyDescent="0.2">
      <c r="A76" s="772"/>
      <c r="B76" s="772"/>
      <c r="C76" s="772"/>
      <c r="D76" s="768"/>
      <c r="E76" s="110"/>
    </row>
    <row r="77" spans="1:5" x14ac:dyDescent="0.2">
      <c r="A77" s="772"/>
      <c r="B77" s="772"/>
      <c r="C77" s="772"/>
      <c r="D77" s="768"/>
      <c r="E77" s="110"/>
    </row>
    <row r="78" spans="1:5" x14ac:dyDescent="0.2">
      <c r="A78" s="772"/>
      <c r="B78" s="772"/>
      <c r="C78" s="772"/>
      <c r="D78" s="768"/>
      <c r="E78" s="110"/>
    </row>
    <row r="79" spans="1:5" x14ac:dyDescent="0.2">
      <c r="A79" s="772"/>
      <c r="B79" s="772"/>
      <c r="C79" s="772"/>
      <c r="D79" s="768"/>
      <c r="E79" s="110"/>
    </row>
    <row r="80" spans="1:5" x14ac:dyDescent="0.2">
      <c r="A80" s="772"/>
      <c r="B80" s="772"/>
      <c r="C80" s="772"/>
      <c r="D80" s="768"/>
      <c r="E80" s="110"/>
    </row>
    <row r="81" spans="1:5" x14ac:dyDescent="0.2">
      <c r="A81" s="772"/>
      <c r="B81" s="772"/>
      <c r="C81" s="772"/>
      <c r="D81" s="768"/>
      <c r="E81" s="110"/>
    </row>
    <row r="82" spans="1:5" x14ac:dyDescent="0.2">
      <c r="A82" s="772"/>
      <c r="B82" s="772"/>
      <c r="C82" s="772"/>
      <c r="D82" s="768"/>
      <c r="E82" s="110"/>
    </row>
    <row r="83" spans="1:5" x14ac:dyDescent="0.2">
      <c r="A83" s="772"/>
      <c r="B83" s="772"/>
      <c r="C83" s="772"/>
      <c r="D83" s="768"/>
      <c r="E83" s="110"/>
    </row>
    <row r="84" spans="1:5" x14ac:dyDescent="0.2">
      <c r="A84" s="772"/>
      <c r="B84" s="772"/>
      <c r="C84" s="772"/>
      <c r="D84" s="768"/>
      <c r="E84" s="110"/>
    </row>
    <row r="85" spans="1:5" x14ac:dyDescent="0.2">
      <c r="A85" s="772"/>
      <c r="B85" s="772"/>
      <c r="C85" s="772"/>
      <c r="D85" s="768"/>
      <c r="E85" s="110"/>
    </row>
    <row r="86" spans="1:5" x14ac:dyDescent="0.2">
      <c r="A86" s="772"/>
      <c r="B86" s="772"/>
      <c r="C86" s="772"/>
      <c r="D86" s="768"/>
      <c r="E86" s="110"/>
    </row>
    <row r="87" spans="1:5" x14ac:dyDescent="0.2">
      <c r="A87" s="772"/>
      <c r="B87" s="772"/>
      <c r="C87" s="772"/>
      <c r="D87" s="768"/>
      <c r="E87" s="110"/>
    </row>
    <row r="88" spans="1:5" x14ac:dyDescent="0.2">
      <c r="A88" s="772"/>
      <c r="B88" s="772"/>
      <c r="C88" s="772"/>
      <c r="D88" s="768"/>
      <c r="E88" s="110"/>
    </row>
    <row r="89" spans="1:5" x14ac:dyDescent="0.2">
      <c r="A89" s="772"/>
      <c r="B89" s="772"/>
      <c r="C89" s="772"/>
      <c r="D89" s="768"/>
      <c r="E89" s="110"/>
    </row>
    <row r="90" spans="1:5" x14ac:dyDescent="0.2">
      <c r="A90" s="772"/>
      <c r="B90" s="772"/>
      <c r="C90" s="772"/>
      <c r="D90" s="768"/>
      <c r="E90" s="110"/>
    </row>
    <row r="91" spans="1:5" x14ac:dyDescent="0.2">
      <c r="A91" s="772"/>
      <c r="B91" s="772"/>
      <c r="C91" s="772"/>
      <c r="D91" s="768"/>
      <c r="E91" s="110"/>
    </row>
    <row r="92" spans="1:5" x14ac:dyDescent="0.2">
      <c r="A92" s="772"/>
      <c r="B92" s="772"/>
      <c r="C92" s="772"/>
      <c r="D92" s="768"/>
      <c r="E92" s="110"/>
    </row>
    <row r="93" spans="1:5" x14ac:dyDescent="0.2">
      <c r="A93" s="772"/>
      <c r="B93" s="772"/>
      <c r="C93" s="772"/>
      <c r="D93" s="768"/>
      <c r="E93" s="110"/>
    </row>
    <row r="94" spans="1:5" x14ac:dyDescent="0.2">
      <c r="A94" s="772"/>
      <c r="B94" s="772"/>
      <c r="C94" s="772"/>
      <c r="D94" s="768"/>
      <c r="E94" s="110"/>
    </row>
    <row r="95" spans="1:5" x14ac:dyDescent="0.2">
      <c r="A95" s="772"/>
      <c r="B95" s="772"/>
      <c r="C95" s="772"/>
      <c r="D95" s="768"/>
      <c r="E95" s="110"/>
    </row>
    <row r="96" spans="1:5" x14ac:dyDescent="0.2">
      <c r="A96" s="772"/>
      <c r="B96" s="772"/>
      <c r="C96" s="772"/>
      <c r="D96" s="768"/>
      <c r="E96" s="110"/>
    </row>
    <row r="97" spans="1:5" x14ac:dyDescent="0.2">
      <c r="A97" s="772"/>
      <c r="B97" s="772"/>
      <c r="C97" s="772"/>
      <c r="D97" s="768"/>
      <c r="E97" s="110"/>
    </row>
    <row r="98" spans="1:5" x14ac:dyDescent="0.2">
      <c r="A98" s="772"/>
      <c r="B98" s="772"/>
      <c r="C98" s="772"/>
      <c r="D98" s="768"/>
      <c r="E98" s="110"/>
    </row>
    <row r="99" spans="1:5" x14ac:dyDescent="0.2">
      <c r="A99" s="772"/>
      <c r="B99" s="772"/>
      <c r="C99" s="772"/>
      <c r="D99" s="768"/>
      <c r="E99" s="110"/>
    </row>
    <row r="100" spans="1:5" x14ac:dyDescent="0.2">
      <c r="A100" s="772"/>
      <c r="B100" s="772"/>
      <c r="C100" s="772"/>
      <c r="D100" s="768"/>
      <c r="E100" s="110"/>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8" tint="0.59999389629810485"/>
    <pageSetUpPr fitToPage="1"/>
  </sheetPr>
  <dimension ref="A1:BS325"/>
  <sheetViews>
    <sheetView zoomScale="85" zoomScaleNormal="85" workbookViewId="0"/>
  </sheetViews>
  <sheetFormatPr defaultColWidth="11" defaultRowHeight="14.25" x14ac:dyDescent="0.2"/>
  <cols>
    <col min="1" max="1" width="11.140625" style="616" bestFit="1" customWidth="1"/>
    <col min="2" max="2" width="24.140625" style="616" customWidth="1"/>
    <col min="3" max="4" width="11.5703125" style="616" bestFit="1" customWidth="1"/>
    <col min="5" max="5" width="13.85546875" style="616" customWidth="1"/>
    <col min="6" max="7" width="11.5703125" style="616" bestFit="1" customWidth="1"/>
    <col min="8" max="8" width="13.5703125" style="616" customWidth="1"/>
    <col min="9" max="9" width="16.7109375" style="616" customWidth="1"/>
    <col min="10" max="10" width="11.5703125" style="616" bestFit="1" customWidth="1"/>
    <col min="11" max="11" width="12.7109375" style="616" customWidth="1"/>
    <col min="12" max="12" width="12" style="616" customWidth="1"/>
    <col min="13" max="13" width="11.140625" style="616" bestFit="1" customWidth="1"/>
    <col min="14" max="14" width="11.5703125" style="616" bestFit="1" customWidth="1"/>
    <col min="15" max="15" width="13.140625" style="616" customWidth="1"/>
    <col min="16" max="16" width="11" style="616"/>
    <col min="17" max="17" width="12.140625" style="616" customWidth="1"/>
    <col min="18" max="16384" width="11" style="616"/>
  </cols>
  <sheetData>
    <row r="1" spans="1:71" s="605" customFormat="1" ht="3.75" customHeight="1" thickBot="1" x14ac:dyDescent="0.3">
      <c r="A1" s="604"/>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604"/>
      <c r="AK1" s="604"/>
      <c r="AL1" s="604"/>
      <c r="AM1" s="604"/>
      <c r="AN1" s="604"/>
      <c r="AO1" s="604"/>
      <c r="AP1" s="604"/>
      <c r="AQ1" s="604"/>
      <c r="AR1" s="604"/>
      <c r="AS1" s="604"/>
      <c r="AT1" s="604"/>
      <c r="AU1" s="604"/>
      <c r="AV1" s="604"/>
      <c r="AW1" s="604"/>
      <c r="AX1" s="604"/>
      <c r="AY1" s="604"/>
      <c r="AZ1" s="604"/>
      <c r="BA1" s="604"/>
      <c r="BB1" s="604"/>
      <c r="BC1" s="604"/>
      <c r="BD1" s="604"/>
      <c r="BE1" s="604"/>
      <c r="BF1" s="604"/>
      <c r="BG1" s="604"/>
      <c r="BH1" s="604"/>
      <c r="BI1" s="604"/>
      <c r="BJ1" s="604"/>
      <c r="BK1" s="604"/>
      <c r="BL1" s="604"/>
      <c r="BM1" s="604"/>
      <c r="BN1" s="604"/>
      <c r="BO1" s="604"/>
      <c r="BP1" s="604"/>
      <c r="BQ1" s="604"/>
      <c r="BR1" s="604"/>
      <c r="BS1" s="604"/>
    </row>
    <row r="2" spans="1:71" s="605" customFormat="1" ht="1.5" customHeight="1" x14ac:dyDescent="0.25">
      <c r="A2" s="606"/>
      <c r="B2" s="606"/>
      <c r="C2" s="606"/>
      <c r="D2" s="606"/>
      <c r="E2" s="606"/>
      <c r="F2" s="606"/>
      <c r="G2" s="606"/>
      <c r="H2" s="606"/>
      <c r="I2" s="606"/>
      <c r="J2" s="606"/>
      <c r="K2" s="606"/>
      <c r="L2" s="606"/>
      <c r="M2" s="606"/>
      <c r="N2" s="606"/>
      <c r="O2" s="606"/>
      <c r="P2" s="606"/>
      <c r="Q2" s="606"/>
      <c r="R2" s="606"/>
      <c r="S2" s="606"/>
      <c r="T2" s="606"/>
      <c r="U2" s="606"/>
      <c r="V2" s="606"/>
      <c r="W2" s="606"/>
      <c r="X2" s="606"/>
      <c r="Y2" s="606"/>
      <c r="Z2" s="606"/>
      <c r="AA2" s="606"/>
      <c r="AB2" s="606"/>
      <c r="AC2" s="606"/>
      <c r="AD2" s="606"/>
      <c r="AE2" s="606"/>
      <c r="AF2" s="606"/>
      <c r="AG2" s="606"/>
      <c r="AH2" s="606"/>
      <c r="AI2" s="606"/>
      <c r="AJ2" s="606"/>
      <c r="AK2" s="606"/>
      <c r="AL2" s="606"/>
      <c r="AM2" s="606"/>
      <c r="AN2" s="606"/>
      <c r="AO2" s="606"/>
      <c r="AP2" s="606"/>
      <c r="AQ2" s="606"/>
      <c r="AR2" s="606"/>
      <c r="AS2" s="606"/>
      <c r="AT2" s="606"/>
      <c r="AU2" s="606"/>
      <c r="AV2" s="606"/>
      <c r="AW2" s="606"/>
      <c r="AX2" s="606"/>
      <c r="AY2" s="606"/>
      <c r="AZ2" s="606"/>
      <c r="BA2" s="606"/>
      <c r="BB2" s="606"/>
      <c r="BC2" s="606"/>
      <c r="BD2" s="606"/>
      <c r="BE2" s="606"/>
      <c r="BF2" s="606"/>
      <c r="BG2" s="606"/>
      <c r="BH2" s="606"/>
      <c r="BI2" s="606"/>
      <c r="BJ2" s="606"/>
      <c r="BK2" s="606"/>
      <c r="BL2" s="606"/>
      <c r="BM2" s="606"/>
      <c r="BN2" s="606"/>
      <c r="BO2" s="606"/>
      <c r="BP2" s="606"/>
      <c r="BQ2" s="606"/>
      <c r="BR2" s="606"/>
      <c r="BS2" s="606"/>
    </row>
    <row r="3" spans="1:71" s="605" customFormat="1" ht="15" x14ac:dyDescent="0.25">
      <c r="A3" s="607" t="s">
        <v>2086</v>
      </c>
      <c r="B3" s="607"/>
      <c r="C3" s="607"/>
      <c r="D3" s="607"/>
      <c r="E3" s="607"/>
      <c r="F3" s="607"/>
      <c r="G3" s="607"/>
      <c r="H3" s="607"/>
      <c r="I3" s="607"/>
      <c r="J3" s="607"/>
      <c r="K3" s="607"/>
      <c r="L3" s="607"/>
      <c r="M3" s="607"/>
      <c r="N3" s="607"/>
      <c r="O3" s="607"/>
      <c r="P3" s="607"/>
      <c r="Q3" s="607"/>
      <c r="R3" s="607"/>
      <c r="S3" s="607"/>
      <c r="T3" s="607"/>
      <c r="U3" s="607"/>
      <c r="V3" s="607"/>
      <c r="W3" s="607"/>
      <c r="X3" s="607"/>
      <c r="Y3" s="607"/>
      <c r="Z3" s="607"/>
      <c r="AA3" s="607"/>
      <c r="AB3" s="607"/>
      <c r="AC3" s="607"/>
      <c r="AD3" s="607"/>
      <c r="AE3" s="607"/>
      <c r="AF3" s="607"/>
      <c r="AG3" s="607"/>
      <c r="AH3" s="607"/>
      <c r="AI3" s="607"/>
      <c r="AJ3" s="607"/>
      <c r="AK3" s="607"/>
      <c r="AL3" s="607"/>
      <c r="AM3" s="607"/>
      <c r="AN3" s="607"/>
      <c r="AO3" s="607"/>
      <c r="AP3" s="607"/>
      <c r="AQ3" s="607"/>
      <c r="AR3" s="607"/>
      <c r="AS3" s="607"/>
      <c r="AT3" s="607"/>
      <c r="AU3" s="607"/>
      <c r="AV3" s="607"/>
      <c r="AW3" s="607"/>
      <c r="AX3" s="607"/>
      <c r="AY3" s="607"/>
      <c r="AZ3" s="607"/>
      <c r="BA3" s="607"/>
      <c r="BB3" s="607"/>
      <c r="BC3" s="607"/>
      <c r="BD3" s="607"/>
      <c r="BE3" s="607"/>
      <c r="BF3" s="607"/>
      <c r="BG3" s="607"/>
      <c r="BH3" s="607"/>
      <c r="BI3" s="607"/>
      <c r="BJ3" s="607"/>
      <c r="BK3" s="607"/>
      <c r="BL3" s="607"/>
      <c r="BM3" s="607"/>
      <c r="BN3" s="607"/>
      <c r="BO3" s="607"/>
      <c r="BP3" s="607"/>
      <c r="BQ3" s="607"/>
      <c r="BR3" s="607"/>
      <c r="BS3" s="607"/>
    </row>
    <row r="4" spans="1:71" s="605" customFormat="1" ht="15" x14ac:dyDescent="0.25">
      <c r="A4" s="607" t="s">
        <v>1859</v>
      </c>
      <c r="B4" s="607"/>
      <c r="G4" s="608"/>
      <c r="H4" s="608"/>
      <c r="I4" s="608"/>
      <c r="J4" s="608"/>
      <c r="K4" s="608"/>
      <c r="L4" s="608"/>
      <c r="M4" s="608"/>
      <c r="N4" s="608"/>
      <c r="O4" s="608"/>
      <c r="P4" s="608"/>
      <c r="Q4" s="608"/>
      <c r="R4" s="608"/>
      <c r="S4" s="608"/>
      <c r="T4" s="608"/>
      <c r="U4" s="608"/>
      <c r="V4" s="608"/>
      <c r="W4" s="608"/>
      <c r="X4" s="608"/>
      <c r="Y4" s="608"/>
      <c r="Z4" s="608"/>
      <c r="AA4" s="608"/>
      <c r="AB4" s="608"/>
      <c r="AC4" s="608"/>
      <c r="AD4" s="608"/>
      <c r="AE4" s="608"/>
      <c r="AF4" s="608"/>
      <c r="AG4" s="608"/>
      <c r="AH4" s="608"/>
      <c r="AI4" s="608"/>
      <c r="AJ4" s="608"/>
      <c r="AK4" s="608"/>
      <c r="AL4" s="608"/>
      <c r="AM4" s="608"/>
      <c r="AN4" s="608"/>
      <c r="AO4" s="608"/>
      <c r="AP4" s="608"/>
      <c r="AQ4" s="608"/>
      <c r="AR4" s="608"/>
      <c r="AS4" s="608"/>
      <c r="AT4" s="608"/>
      <c r="AU4" s="608"/>
      <c r="AV4" s="608"/>
      <c r="AW4" s="608"/>
      <c r="AX4" s="608"/>
      <c r="AY4" s="608"/>
      <c r="AZ4" s="608"/>
      <c r="BA4" s="608"/>
      <c r="BB4" s="608"/>
      <c r="BC4" s="608"/>
      <c r="BD4" s="608"/>
      <c r="BE4" s="608"/>
      <c r="BF4" s="608"/>
      <c r="BG4" s="608"/>
      <c r="BH4" s="608"/>
      <c r="BI4" s="608"/>
      <c r="BJ4" s="608"/>
      <c r="BK4" s="608"/>
      <c r="BL4" s="608"/>
      <c r="BM4" s="608"/>
      <c r="BN4" s="608"/>
      <c r="BO4" s="608"/>
      <c r="BP4" s="608"/>
      <c r="BQ4" s="608"/>
      <c r="BR4" s="608"/>
      <c r="BS4" s="608"/>
    </row>
    <row r="5" spans="1:71" s="605" customFormat="1" ht="7.5" customHeight="1" x14ac:dyDescent="0.25">
      <c r="A5" s="609"/>
      <c r="B5" s="609"/>
      <c r="C5" s="607"/>
      <c r="D5" s="607"/>
      <c r="E5" s="607"/>
      <c r="F5" s="607"/>
      <c r="G5" s="607"/>
      <c r="H5" s="607"/>
      <c r="I5" s="610"/>
      <c r="J5" s="610"/>
      <c r="K5" s="610"/>
      <c r="L5" s="610"/>
      <c r="M5" s="610"/>
      <c r="N5" s="610"/>
      <c r="O5" s="610"/>
      <c r="P5" s="610"/>
      <c r="Q5" s="610"/>
      <c r="R5" s="610"/>
      <c r="S5" s="610"/>
      <c r="T5" s="610"/>
      <c r="U5" s="610"/>
      <c r="V5" s="610"/>
      <c r="W5" s="610"/>
      <c r="X5" s="610"/>
      <c r="Y5" s="610"/>
      <c r="Z5" s="610"/>
      <c r="AA5" s="610"/>
      <c r="AB5" s="610"/>
      <c r="AC5" s="610"/>
      <c r="AD5" s="610"/>
      <c r="AE5" s="610"/>
      <c r="AF5" s="610"/>
      <c r="AG5" s="610"/>
      <c r="AH5" s="610"/>
      <c r="AI5" s="610"/>
      <c r="AJ5" s="610"/>
      <c r="AK5" s="610"/>
      <c r="AL5" s="610"/>
      <c r="AM5" s="610"/>
      <c r="AN5" s="610"/>
      <c r="AO5" s="610"/>
      <c r="AP5" s="610"/>
      <c r="AQ5" s="610"/>
      <c r="AR5" s="610"/>
      <c r="AS5" s="610"/>
      <c r="AT5" s="610"/>
      <c r="AU5" s="610"/>
      <c r="AV5" s="610"/>
      <c r="AW5" s="610"/>
      <c r="AX5" s="610"/>
      <c r="AY5" s="610"/>
      <c r="AZ5" s="610"/>
      <c r="BA5" s="610"/>
      <c r="BB5" s="610"/>
      <c r="BC5" s="610"/>
      <c r="BD5" s="610"/>
      <c r="BE5" s="610"/>
      <c r="BF5" s="610"/>
      <c r="BG5" s="610"/>
      <c r="BH5" s="610"/>
      <c r="BI5" s="610"/>
      <c r="BJ5" s="610"/>
      <c r="BK5" s="610"/>
      <c r="BL5" s="610"/>
      <c r="BM5" s="610"/>
      <c r="BN5" s="610"/>
      <c r="BO5" s="610"/>
      <c r="BP5" s="610"/>
      <c r="BQ5" s="610"/>
      <c r="BR5" s="610"/>
      <c r="BS5" s="610"/>
    </row>
    <row r="6" spans="1:71" s="605" customFormat="1" ht="15" x14ac:dyDescent="0.25">
      <c r="A6" s="609" t="s">
        <v>1939</v>
      </c>
      <c r="B6" s="609"/>
      <c r="C6" s="607"/>
      <c r="D6" s="607"/>
      <c r="E6" s="607"/>
      <c r="F6" s="607"/>
      <c r="G6" s="607"/>
      <c r="H6" s="607"/>
      <c r="I6" s="610"/>
      <c r="J6" s="610"/>
      <c r="K6" s="610"/>
      <c r="L6" s="610"/>
      <c r="M6" s="610"/>
      <c r="N6" s="610"/>
      <c r="O6" s="610"/>
      <c r="P6" s="610"/>
      <c r="Q6" s="610"/>
      <c r="R6" s="610"/>
      <c r="S6" s="610"/>
      <c r="T6" s="610"/>
      <c r="U6" s="610"/>
      <c r="V6" s="610"/>
      <c r="W6" s="610"/>
      <c r="X6" s="610"/>
      <c r="Y6" s="610"/>
      <c r="Z6" s="610"/>
      <c r="AA6" s="610"/>
      <c r="AB6" s="610"/>
      <c r="AC6" s="610"/>
      <c r="AD6" s="610"/>
      <c r="AE6" s="610"/>
      <c r="AF6" s="610"/>
      <c r="AG6" s="610"/>
      <c r="AH6" s="610"/>
      <c r="AI6" s="610"/>
      <c r="AJ6" s="610"/>
      <c r="AK6" s="610"/>
      <c r="AL6" s="610"/>
      <c r="AM6" s="610"/>
      <c r="AN6" s="610"/>
      <c r="AO6" s="610"/>
      <c r="AP6" s="610"/>
      <c r="AQ6" s="610"/>
      <c r="AR6" s="610"/>
      <c r="AS6" s="610"/>
      <c r="AT6" s="610"/>
      <c r="AU6" s="610"/>
      <c r="AV6" s="610"/>
      <c r="AW6" s="610"/>
      <c r="AX6" s="610"/>
      <c r="AY6" s="610"/>
      <c r="AZ6" s="610"/>
      <c r="BA6" s="610"/>
      <c r="BB6" s="610"/>
      <c r="BC6" s="610"/>
      <c r="BD6" s="610"/>
      <c r="BE6" s="610"/>
      <c r="BF6" s="610"/>
      <c r="BG6" s="610"/>
      <c r="BH6" s="610"/>
      <c r="BI6" s="610"/>
      <c r="BJ6" s="610"/>
      <c r="BK6" s="610"/>
      <c r="BL6" s="610"/>
      <c r="BM6" s="610"/>
      <c r="BN6" s="610"/>
      <c r="BO6" s="610"/>
      <c r="BP6" s="610"/>
      <c r="BQ6" s="610"/>
      <c r="BR6" s="610"/>
      <c r="BS6" s="610"/>
    </row>
    <row r="7" spans="1:71" s="605" customFormat="1" ht="7.5" customHeight="1" x14ac:dyDescent="0.25">
      <c r="A7" s="609"/>
      <c r="B7" s="609"/>
      <c r="C7" s="607"/>
      <c r="D7" s="607"/>
      <c r="E7" s="607"/>
      <c r="F7" s="607"/>
      <c r="G7" s="607"/>
      <c r="H7" s="607"/>
      <c r="I7" s="610"/>
      <c r="J7" s="610"/>
      <c r="K7" s="610"/>
      <c r="L7" s="610"/>
      <c r="M7" s="610"/>
      <c r="N7" s="610"/>
      <c r="O7" s="610"/>
      <c r="P7" s="610"/>
      <c r="Q7" s="610"/>
      <c r="R7" s="610"/>
      <c r="S7" s="610"/>
      <c r="T7" s="610"/>
      <c r="U7" s="610"/>
      <c r="V7" s="610"/>
      <c r="W7" s="610"/>
      <c r="X7" s="610"/>
      <c r="Y7" s="610"/>
      <c r="Z7" s="610"/>
      <c r="AA7" s="610"/>
      <c r="AB7" s="610"/>
      <c r="AC7" s="610"/>
      <c r="AD7" s="610"/>
      <c r="AE7" s="610"/>
      <c r="AF7" s="610"/>
      <c r="AG7" s="610"/>
      <c r="AH7" s="610"/>
      <c r="AI7" s="610"/>
      <c r="AJ7" s="610"/>
      <c r="AK7" s="610"/>
      <c r="AL7" s="610"/>
      <c r="AM7" s="610"/>
      <c r="AN7" s="610"/>
      <c r="AO7" s="610"/>
      <c r="AP7" s="610"/>
      <c r="AQ7" s="610"/>
      <c r="AR7" s="610"/>
      <c r="AS7" s="610"/>
      <c r="AT7" s="610"/>
      <c r="AU7" s="610"/>
      <c r="AV7" s="610"/>
      <c r="AW7" s="610"/>
      <c r="AX7" s="610"/>
      <c r="AY7" s="610"/>
      <c r="AZ7" s="610"/>
      <c r="BA7" s="610"/>
      <c r="BB7" s="610"/>
      <c r="BC7" s="610"/>
      <c r="BD7" s="610"/>
      <c r="BE7" s="610"/>
      <c r="BF7" s="610"/>
      <c r="BG7" s="610"/>
      <c r="BH7" s="610"/>
      <c r="BI7" s="610"/>
      <c r="BJ7" s="610"/>
      <c r="BK7" s="610"/>
      <c r="BL7" s="610"/>
      <c r="BM7" s="610"/>
      <c r="BN7" s="610"/>
      <c r="BO7" s="610"/>
      <c r="BP7" s="610"/>
      <c r="BQ7" s="610"/>
      <c r="BR7" s="610"/>
      <c r="BS7" s="610"/>
    </row>
    <row r="8" spans="1:71" s="605" customFormat="1" ht="2.4500000000000002" customHeight="1" thickBot="1" x14ac:dyDescent="0.3">
      <c r="A8" s="611"/>
      <c r="B8" s="611"/>
      <c r="C8" s="611"/>
      <c r="D8" s="611"/>
      <c r="E8" s="611"/>
      <c r="F8" s="611"/>
      <c r="G8" s="611"/>
      <c r="H8" s="611"/>
      <c r="I8" s="611"/>
      <c r="J8" s="611"/>
      <c r="K8" s="611"/>
      <c r="L8" s="611"/>
      <c r="M8" s="611"/>
      <c r="N8" s="611"/>
      <c r="O8" s="611"/>
      <c r="P8" s="611"/>
      <c r="Q8" s="611"/>
      <c r="R8" s="611"/>
      <c r="S8" s="611"/>
      <c r="T8" s="611"/>
      <c r="U8" s="611"/>
      <c r="V8" s="611"/>
      <c r="W8" s="611"/>
      <c r="X8" s="611"/>
      <c r="Y8" s="611"/>
      <c r="Z8" s="611"/>
      <c r="AA8" s="611"/>
      <c r="AB8" s="611"/>
      <c r="AC8" s="611"/>
      <c r="AD8" s="611"/>
      <c r="AE8" s="611"/>
      <c r="AF8" s="611"/>
      <c r="AG8" s="611"/>
      <c r="AH8" s="611"/>
      <c r="AI8" s="611"/>
      <c r="AJ8" s="611"/>
      <c r="AK8" s="611"/>
      <c r="AL8" s="611"/>
      <c r="AM8" s="611"/>
      <c r="AN8" s="611"/>
      <c r="AO8" s="611"/>
      <c r="AP8" s="611"/>
      <c r="AQ8" s="611"/>
      <c r="AR8" s="611"/>
      <c r="AS8" s="611"/>
      <c r="AT8" s="611"/>
      <c r="AU8" s="611"/>
      <c r="AV8" s="611"/>
      <c r="AW8" s="611"/>
      <c r="AX8" s="611"/>
      <c r="AY8" s="611"/>
      <c r="AZ8" s="611"/>
      <c r="BA8" s="611"/>
      <c r="BB8" s="611"/>
      <c r="BC8" s="611"/>
      <c r="BD8" s="611"/>
      <c r="BE8" s="611"/>
      <c r="BF8" s="611"/>
      <c r="BG8" s="611"/>
      <c r="BH8" s="611"/>
      <c r="BI8" s="611"/>
      <c r="BJ8" s="611"/>
      <c r="BK8" s="611"/>
      <c r="BL8" s="611"/>
      <c r="BM8" s="611"/>
      <c r="BN8" s="611"/>
      <c r="BO8" s="611"/>
      <c r="BP8" s="611"/>
      <c r="BQ8" s="611"/>
      <c r="BR8" s="611"/>
      <c r="BS8" s="611"/>
    </row>
    <row r="9" spans="1:71" s="613" customFormat="1" ht="3.75" customHeight="1" x14ac:dyDescent="0.25">
      <c r="A9" s="612"/>
      <c r="B9" s="612"/>
      <c r="C9" s="612"/>
      <c r="D9" s="612"/>
      <c r="E9" s="612"/>
      <c r="F9" s="612"/>
      <c r="G9" s="612"/>
      <c r="H9" s="612"/>
      <c r="I9" s="612"/>
      <c r="J9" s="612"/>
      <c r="K9" s="612"/>
    </row>
    <row r="10" spans="1:71" s="613" customFormat="1" ht="3.75" customHeight="1" x14ac:dyDescent="0.25">
      <c r="A10" s="612" t="s">
        <v>1860</v>
      </c>
      <c r="B10" s="612"/>
      <c r="C10" s="612"/>
      <c r="D10" s="612"/>
      <c r="E10" s="612"/>
      <c r="F10" s="612"/>
      <c r="G10" s="612"/>
      <c r="H10" s="612"/>
      <c r="I10" s="612"/>
      <c r="J10" s="612"/>
      <c r="K10" s="612"/>
    </row>
    <row r="11" spans="1:71" ht="15" x14ac:dyDescent="0.25">
      <c r="A11" s="728" t="s">
        <v>1861</v>
      </c>
      <c r="B11" s="729"/>
      <c r="C11" s="729"/>
      <c r="D11" s="728"/>
      <c r="E11" s="728"/>
      <c r="F11" s="728"/>
      <c r="G11" s="728"/>
      <c r="H11" s="728"/>
      <c r="I11" s="729"/>
      <c r="J11" s="729"/>
      <c r="K11" s="729"/>
      <c r="L11" s="729"/>
    </row>
    <row r="12" spans="1:71" ht="30" x14ac:dyDescent="0.2">
      <c r="A12" s="617" t="s">
        <v>1862</v>
      </c>
      <c r="B12" s="617" t="s">
        <v>155</v>
      </c>
      <c r="C12" s="618"/>
      <c r="D12" s="618">
        <v>17899</v>
      </c>
      <c r="E12" s="618">
        <v>20120</v>
      </c>
      <c r="F12" s="618">
        <v>21878</v>
      </c>
      <c r="G12" s="618">
        <v>23663</v>
      </c>
      <c r="H12" s="618">
        <v>25720</v>
      </c>
      <c r="I12" s="618">
        <v>26709</v>
      </c>
      <c r="J12" s="618">
        <v>33082</v>
      </c>
      <c r="K12" s="618">
        <v>34758</v>
      </c>
      <c r="L12" s="618">
        <v>36087</v>
      </c>
      <c r="N12" s="619" t="s">
        <v>1863</v>
      </c>
      <c r="O12" s="620">
        <v>25720</v>
      </c>
    </row>
    <row r="13" spans="1:71" ht="30" x14ac:dyDescent="0.2">
      <c r="A13" s="617"/>
      <c r="B13" s="617"/>
      <c r="C13" s="621">
        <v>17898</v>
      </c>
      <c r="D13" s="621">
        <v>20119</v>
      </c>
      <c r="E13" s="621">
        <v>21877</v>
      </c>
      <c r="F13" s="621">
        <v>23662</v>
      </c>
      <c r="G13" s="621">
        <v>25719</v>
      </c>
      <c r="H13" s="621">
        <v>26708</v>
      </c>
      <c r="I13" s="621">
        <v>33081</v>
      </c>
      <c r="J13" s="621">
        <v>34757</v>
      </c>
      <c r="K13" s="621">
        <v>36086</v>
      </c>
      <c r="L13" s="617"/>
      <c r="N13" s="619" t="s">
        <v>1864</v>
      </c>
      <c r="O13" s="622">
        <v>1.05</v>
      </c>
    </row>
    <row r="14" spans="1:71" x14ac:dyDescent="0.2">
      <c r="A14" s="628">
        <v>3.5</v>
      </c>
      <c r="B14" s="628" t="s">
        <v>748</v>
      </c>
      <c r="C14" s="629">
        <v>28000</v>
      </c>
      <c r="D14" s="625">
        <v>28000</v>
      </c>
      <c r="E14" s="629">
        <v>28000</v>
      </c>
      <c r="F14" s="629">
        <v>28000</v>
      </c>
      <c r="G14" s="629">
        <v>28000</v>
      </c>
      <c r="H14" s="629">
        <v>25000</v>
      </c>
      <c r="I14" s="630" t="s">
        <v>1867</v>
      </c>
      <c r="J14" s="630" t="s">
        <v>1867</v>
      </c>
      <c r="K14" s="630" t="s">
        <v>1867</v>
      </c>
      <c r="L14" s="630" t="s">
        <v>1867</v>
      </c>
    </row>
    <row r="15" spans="1:71" ht="15" x14ac:dyDescent="0.25">
      <c r="A15" s="628">
        <v>3.5</v>
      </c>
      <c r="B15" s="632" t="s">
        <v>750</v>
      </c>
      <c r="C15" s="629">
        <v>28000</v>
      </c>
      <c r="D15" s="629">
        <v>25000</v>
      </c>
      <c r="E15" s="629">
        <v>28000</v>
      </c>
      <c r="F15" s="629">
        <v>28000</v>
      </c>
      <c r="G15" s="629">
        <v>28000</v>
      </c>
      <c r="H15" s="629">
        <v>25000</v>
      </c>
      <c r="I15" s="633">
        <v>35000</v>
      </c>
      <c r="J15" s="633">
        <v>35000</v>
      </c>
      <c r="K15" s="633">
        <v>35000</v>
      </c>
      <c r="L15" s="633">
        <v>35000</v>
      </c>
      <c r="M15" s="634" t="s">
        <v>1868</v>
      </c>
      <c r="N15" s="635"/>
      <c r="O15" s="635"/>
      <c r="P15" s="635"/>
      <c r="Q15" s="635"/>
      <c r="R15" s="635"/>
      <c r="S15" s="635"/>
    </row>
    <row r="16" spans="1:71" s="613" customFormat="1" ht="3.75" customHeight="1" x14ac:dyDescent="0.25">
      <c r="A16" s="612"/>
      <c r="B16" s="612"/>
      <c r="C16" s="612"/>
      <c r="D16" s="612"/>
      <c r="E16" s="612"/>
      <c r="F16" s="612"/>
      <c r="G16" s="612"/>
      <c r="H16" s="612"/>
      <c r="I16" s="612"/>
      <c r="J16" s="612"/>
      <c r="K16" s="612"/>
      <c r="P16" s="637"/>
      <c r="Q16" s="637"/>
      <c r="R16" s="637"/>
      <c r="S16" s="637"/>
      <c r="T16" s="637"/>
      <c r="U16" s="637"/>
      <c r="V16" s="637"/>
      <c r="W16" s="637"/>
      <c r="X16" s="637"/>
      <c r="Y16" s="637"/>
    </row>
    <row r="17" spans="1:25" ht="15" x14ac:dyDescent="0.2">
      <c r="A17" s="730" t="s">
        <v>1927</v>
      </c>
      <c r="B17" s="730"/>
      <c r="C17" s="730"/>
      <c r="D17" s="730"/>
      <c r="E17" s="730"/>
      <c r="F17" s="730"/>
      <c r="G17" s="730"/>
      <c r="H17" s="730"/>
      <c r="I17" s="730"/>
      <c r="J17" s="730"/>
      <c r="K17" s="730"/>
      <c r="L17" s="730"/>
    </row>
    <row r="18" spans="1:25" ht="30" x14ac:dyDescent="0.2">
      <c r="A18" s="617" t="s">
        <v>1862</v>
      </c>
      <c r="B18" s="617" t="s">
        <v>155</v>
      </c>
      <c r="C18" s="618"/>
      <c r="D18" s="618">
        <v>17899</v>
      </c>
      <c r="E18" s="618">
        <v>20120</v>
      </c>
      <c r="F18" s="618">
        <v>21878</v>
      </c>
      <c r="G18" s="618">
        <v>23663</v>
      </c>
      <c r="H18" s="618">
        <v>24772</v>
      </c>
      <c r="I18" s="618">
        <v>26709</v>
      </c>
      <c r="J18" s="618">
        <v>33082</v>
      </c>
      <c r="K18" s="618">
        <v>34758</v>
      </c>
      <c r="L18" s="618">
        <v>36087</v>
      </c>
      <c r="N18" s="619" t="s">
        <v>1863</v>
      </c>
      <c r="O18" s="620">
        <v>25720</v>
      </c>
    </row>
    <row r="19" spans="1:25" ht="30" x14ac:dyDescent="0.2">
      <c r="A19" s="617"/>
      <c r="B19" s="617"/>
      <c r="C19" s="621">
        <v>17898</v>
      </c>
      <c r="D19" s="621">
        <v>20119</v>
      </c>
      <c r="E19" s="621">
        <v>21877</v>
      </c>
      <c r="F19" s="621">
        <v>23662</v>
      </c>
      <c r="G19" s="621">
        <v>24771</v>
      </c>
      <c r="H19" s="621">
        <v>26708</v>
      </c>
      <c r="I19" s="621">
        <v>33081</v>
      </c>
      <c r="J19" s="621">
        <v>34757</v>
      </c>
      <c r="K19" s="621">
        <v>36086</v>
      </c>
      <c r="L19" s="617"/>
      <c r="N19" s="619" t="s">
        <v>1864</v>
      </c>
      <c r="O19" s="622">
        <v>1.05</v>
      </c>
    </row>
    <row r="20" spans="1:25" x14ac:dyDescent="0.2">
      <c r="A20" s="628">
        <v>4.5</v>
      </c>
      <c r="B20" s="628" t="s">
        <v>748</v>
      </c>
      <c r="C20" s="629">
        <v>28000</v>
      </c>
      <c r="D20" s="625">
        <v>28000</v>
      </c>
      <c r="E20" s="629">
        <v>28000</v>
      </c>
      <c r="F20" s="629">
        <v>28000</v>
      </c>
      <c r="G20" s="629">
        <v>28000</v>
      </c>
      <c r="H20" s="630" t="s">
        <v>1867</v>
      </c>
      <c r="I20" s="630" t="s">
        <v>1867</v>
      </c>
      <c r="J20" s="630" t="s">
        <v>1867</v>
      </c>
      <c r="K20" s="630" t="s">
        <v>1867</v>
      </c>
      <c r="L20" s="630" t="s">
        <v>1867</v>
      </c>
    </row>
    <row r="21" spans="1:25" ht="15" x14ac:dyDescent="0.25">
      <c r="A21" s="628">
        <v>4.5</v>
      </c>
      <c r="B21" s="632" t="s">
        <v>750</v>
      </c>
      <c r="C21" s="629">
        <v>28000</v>
      </c>
      <c r="D21" s="629">
        <v>25000</v>
      </c>
      <c r="E21" s="629">
        <v>28000</v>
      </c>
      <c r="F21" s="629">
        <v>28000</v>
      </c>
      <c r="G21" s="629">
        <v>28000</v>
      </c>
      <c r="H21" s="629">
        <v>28000</v>
      </c>
      <c r="I21" s="633">
        <v>35000</v>
      </c>
      <c r="J21" s="633">
        <v>35000</v>
      </c>
      <c r="K21" s="633">
        <v>35000</v>
      </c>
      <c r="L21" s="633">
        <v>35000</v>
      </c>
      <c r="M21" s="634" t="s">
        <v>1868</v>
      </c>
      <c r="N21" s="635"/>
      <c r="O21" s="635"/>
      <c r="P21" s="635"/>
      <c r="Q21" s="635"/>
      <c r="R21" s="635"/>
      <c r="S21" s="635"/>
    </row>
    <row r="22" spans="1:25" s="613" customFormat="1" ht="3.75" customHeight="1" x14ac:dyDescent="0.25">
      <c r="A22" s="612"/>
      <c r="B22" s="612"/>
      <c r="C22" s="612"/>
      <c r="D22" s="612"/>
      <c r="E22" s="612"/>
      <c r="F22" s="612"/>
      <c r="G22" s="612"/>
      <c r="H22" s="612"/>
      <c r="I22" s="612"/>
      <c r="J22" s="612"/>
      <c r="K22" s="612"/>
      <c r="P22" s="637"/>
      <c r="Q22" s="637"/>
      <c r="R22" s="637"/>
      <c r="S22" s="637"/>
      <c r="T22" s="637"/>
      <c r="U22" s="637"/>
      <c r="V22" s="637"/>
      <c r="W22" s="637"/>
      <c r="X22" s="637"/>
      <c r="Y22" s="637"/>
    </row>
    <row r="23" spans="1:25" ht="15" x14ac:dyDescent="0.25">
      <c r="A23" s="730" t="s">
        <v>1928</v>
      </c>
      <c r="B23" s="731"/>
      <c r="C23" s="731"/>
      <c r="D23" s="730"/>
    </row>
    <row r="24" spans="1:25" ht="30" x14ac:dyDescent="0.2">
      <c r="A24" s="617" t="s">
        <v>1862</v>
      </c>
      <c r="B24" s="617" t="s">
        <v>155</v>
      </c>
      <c r="C24" s="618"/>
      <c r="D24" s="618">
        <v>25720</v>
      </c>
    </row>
    <row r="25" spans="1:25" ht="15" x14ac:dyDescent="0.2">
      <c r="A25" s="617"/>
      <c r="B25" s="617"/>
      <c r="C25" s="621">
        <v>25719</v>
      </c>
      <c r="D25" s="618"/>
    </row>
    <row r="26" spans="1:25" x14ac:dyDescent="0.2">
      <c r="A26" s="622">
        <v>0.54</v>
      </c>
      <c r="B26" s="623" t="s">
        <v>748</v>
      </c>
      <c r="C26" s="624">
        <v>28000</v>
      </c>
      <c r="D26" s="624">
        <v>25000</v>
      </c>
    </row>
    <row r="27" spans="1:25" x14ac:dyDescent="0.2">
      <c r="A27" s="622">
        <v>0.84</v>
      </c>
      <c r="B27" s="623" t="s">
        <v>748</v>
      </c>
      <c r="C27" s="624">
        <v>28000</v>
      </c>
      <c r="D27" s="624">
        <v>25000</v>
      </c>
    </row>
    <row r="28" spans="1:25" x14ac:dyDescent="0.2">
      <c r="A28" s="622">
        <v>1.05</v>
      </c>
      <c r="B28" s="623" t="s">
        <v>748</v>
      </c>
      <c r="C28" s="624">
        <v>28000</v>
      </c>
      <c r="D28" s="624">
        <v>25000</v>
      </c>
    </row>
    <row r="29" spans="1:25" x14ac:dyDescent="0.2">
      <c r="A29" s="622">
        <v>1.3149999999999999</v>
      </c>
      <c r="B29" s="623" t="s">
        <v>748</v>
      </c>
      <c r="C29" s="624">
        <v>28000</v>
      </c>
      <c r="D29" s="624">
        <v>25000</v>
      </c>
    </row>
    <row r="30" spans="1:25" x14ac:dyDescent="0.2">
      <c r="A30" s="622">
        <v>1.66</v>
      </c>
      <c r="B30" s="623" t="s">
        <v>748</v>
      </c>
      <c r="C30" s="624">
        <v>28000</v>
      </c>
      <c r="D30" s="624">
        <v>25000</v>
      </c>
    </row>
    <row r="31" spans="1:25" x14ac:dyDescent="0.2">
      <c r="A31" s="622">
        <v>1.9</v>
      </c>
      <c r="B31" s="623" t="s">
        <v>748</v>
      </c>
      <c r="C31" s="624">
        <v>28000</v>
      </c>
      <c r="D31" s="624">
        <v>25000</v>
      </c>
    </row>
    <row r="32" spans="1:25" x14ac:dyDescent="0.2">
      <c r="A32" s="628">
        <v>2.375</v>
      </c>
      <c r="B32" s="628" t="s">
        <v>748</v>
      </c>
      <c r="C32" s="629">
        <v>28000</v>
      </c>
      <c r="D32" s="624">
        <v>25000</v>
      </c>
    </row>
    <row r="33" spans="1:25" x14ac:dyDescent="0.2">
      <c r="A33" s="622">
        <v>0.54</v>
      </c>
      <c r="B33" s="623" t="s">
        <v>750</v>
      </c>
      <c r="C33" s="624">
        <v>28000</v>
      </c>
      <c r="D33" s="624">
        <v>25000</v>
      </c>
    </row>
    <row r="34" spans="1:25" x14ac:dyDescent="0.2">
      <c r="A34" s="622">
        <v>0.84</v>
      </c>
      <c r="B34" s="623" t="s">
        <v>750</v>
      </c>
      <c r="C34" s="624">
        <v>28000</v>
      </c>
      <c r="D34" s="624">
        <v>25000</v>
      </c>
    </row>
    <row r="35" spans="1:25" x14ac:dyDescent="0.2">
      <c r="A35" s="622">
        <v>1.05</v>
      </c>
      <c r="B35" s="623" t="s">
        <v>750</v>
      </c>
      <c r="C35" s="624">
        <v>28000</v>
      </c>
      <c r="D35" s="624">
        <v>25000</v>
      </c>
    </row>
    <row r="36" spans="1:25" x14ac:dyDescent="0.2">
      <c r="A36" s="622">
        <v>1.3149999999999999</v>
      </c>
      <c r="B36" s="623" t="s">
        <v>750</v>
      </c>
      <c r="C36" s="624">
        <v>28000</v>
      </c>
      <c r="D36" s="624">
        <v>25000</v>
      </c>
    </row>
    <row r="37" spans="1:25" x14ac:dyDescent="0.2">
      <c r="A37" s="622">
        <v>1.66</v>
      </c>
      <c r="B37" s="623" t="s">
        <v>750</v>
      </c>
      <c r="C37" s="624">
        <v>28000</v>
      </c>
      <c r="D37" s="624">
        <v>25000</v>
      </c>
    </row>
    <row r="38" spans="1:25" x14ac:dyDescent="0.2">
      <c r="A38" s="622">
        <v>1.9</v>
      </c>
      <c r="B38" s="623" t="s">
        <v>750</v>
      </c>
      <c r="C38" s="624">
        <v>28000</v>
      </c>
      <c r="D38" s="624">
        <v>25000</v>
      </c>
    </row>
    <row r="39" spans="1:25" x14ac:dyDescent="0.2">
      <c r="A39" s="628">
        <v>2.375</v>
      </c>
      <c r="B39" s="623" t="s">
        <v>750</v>
      </c>
      <c r="C39" s="629">
        <v>28000</v>
      </c>
      <c r="D39" s="624">
        <v>25000</v>
      </c>
    </row>
    <row r="40" spans="1:25" s="613" customFormat="1" ht="3.75" customHeight="1" x14ac:dyDescent="0.25">
      <c r="A40" s="612"/>
      <c r="B40" s="612"/>
      <c r="C40" s="612"/>
      <c r="D40" s="612"/>
      <c r="E40" s="612"/>
      <c r="F40" s="612"/>
      <c r="G40" s="612"/>
      <c r="H40" s="612"/>
      <c r="I40" s="612"/>
      <c r="J40" s="612"/>
      <c r="K40" s="612"/>
      <c r="P40" s="637"/>
      <c r="Q40" s="637"/>
      <c r="R40" s="637"/>
      <c r="S40" s="637"/>
      <c r="T40" s="637"/>
      <c r="U40" s="637"/>
      <c r="V40" s="637"/>
      <c r="W40" s="637"/>
      <c r="X40" s="637"/>
      <c r="Y40" s="637"/>
    </row>
    <row r="41" spans="1:25" ht="15" x14ac:dyDescent="0.25">
      <c r="A41" s="730" t="s">
        <v>1869</v>
      </c>
      <c r="B41" s="731"/>
      <c r="C41" s="731"/>
      <c r="D41" s="730"/>
      <c r="E41" s="730"/>
      <c r="F41" s="730"/>
      <c r="G41" s="730"/>
      <c r="H41" s="730"/>
      <c r="I41" s="731"/>
      <c r="J41" s="731"/>
      <c r="K41" s="731"/>
      <c r="O41" s="636"/>
    </row>
    <row r="42" spans="1:25" ht="30" x14ac:dyDescent="0.2">
      <c r="A42" s="617" t="s">
        <v>1862</v>
      </c>
      <c r="B42" s="617" t="s">
        <v>155</v>
      </c>
      <c r="C42" s="617"/>
      <c r="D42" s="618">
        <v>17899</v>
      </c>
      <c r="E42" s="618">
        <v>20120</v>
      </c>
      <c r="F42" s="618">
        <v>21878</v>
      </c>
      <c r="G42" s="618">
        <v>23663</v>
      </c>
      <c r="H42" s="618">
        <v>26540</v>
      </c>
      <c r="I42" s="618">
        <v>398325</v>
      </c>
      <c r="J42" s="618">
        <v>34758</v>
      </c>
      <c r="K42" s="618">
        <v>36087</v>
      </c>
      <c r="M42" s="639"/>
      <c r="N42" s="640"/>
      <c r="O42" s="641"/>
    </row>
    <row r="43" spans="1:25" ht="30" x14ac:dyDescent="0.2">
      <c r="A43" s="617"/>
      <c r="B43" s="617"/>
      <c r="C43" s="621">
        <v>17898</v>
      </c>
      <c r="D43" s="621">
        <v>20119</v>
      </c>
      <c r="E43" s="621">
        <v>21877</v>
      </c>
      <c r="F43" s="621">
        <v>23662</v>
      </c>
      <c r="G43" s="621">
        <v>26539</v>
      </c>
      <c r="H43" s="621">
        <v>33081</v>
      </c>
      <c r="I43" s="621">
        <v>34757</v>
      </c>
      <c r="J43" s="621">
        <v>36086</v>
      </c>
      <c r="K43" s="617"/>
      <c r="M43" s="619" t="s">
        <v>1863</v>
      </c>
      <c r="N43" s="620">
        <v>17899</v>
      </c>
      <c r="O43" s="641"/>
    </row>
    <row r="44" spans="1:25" ht="30" x14ac:dyDescent="0.2">
      <c r="A44" s="622">
        <v>0.54</v>
      </c>
      <c r="B44" s="623" t="s">
        <v>745</v>
      </c>
      <c r="C44" s="624">
        <v>30000</v>
      </c>
      <c r="D44" s="624">
        <v>30000</v>
      </c>
      <c r="E44" s="624">
        <v>30000</v>
      </c>
      <c r="F44" s="624">
        <v>30000</v>
      </c>
      <c r="G44" s="624">
        <v>35000</v>
      </c>
      <c r="H44" s="624">
        <v>35000</v>
      </c>
      <c r="I44" s="624">
        <v>35000</v>
      </c>
      <c r="J44" s="624">
        <v>35000</v>
      </c>
      <c r="K44" s="624">
        <v>35000</v>
      </c>
      <c r="M44" s="619" t="s">
        <v>1864</v>
      </c>
      <c r="N44" s="642">
        <v>4.5</v>
      </c>
      <c r="O44" s="641"/>
    </row>
    <row r="45" spans="1:25" ht="45" x14ac:dyDescent="0.2">
      <c r="A45" s="622">
        <v>0.84</v>
      </c>
      <c r="B45" s="623" t="s">
        <v>745</v>
      </c>
      <c r="C45" s="624">
        <v>30000</v>
      </c>
      <c r="D45" s="624">
        <v>30000</v>
      </c>
      <c r="E45" s="624">
        <v>30000</v>
      </c>
      <c r="F45" s="624">
        <v>30000</v>
      </c>
      <c r="G45" s="624">
        <v>35000</v>
      </c>
      <c r="H45" s="624">
        <v>35000</v>
      </c>
      <c r="I45" s="624">
        <v>35000</v>
      </c>
      <c r="J45" s="624">
        <v>35000</v>
      </c>
      <c r="K45" s="624">
        <v>35000</v>
      </c>
      <c r="M45" s="619" t="s">
        <v>1865</v>
      </c>
      <c r="N45" s="628" t="s">
        <v>745</v>
      </c>
      <c r="O45" s="641"/>
    </row>
    <row r="46" spans="1:25" ht="30" x14ac:dyDescent="0.2">
      <c r="A46" s="622">
        <v>1.05</v>
      </c>
      <c r="B46" s="623" t="s">
        <v>745</v>
      </c>
      <c r="C46" s="624">
        <v>30000</v>
      </c>
      <c r="D46" s="624">
        <v>30000</v>
      </c>
      <c r="E46" s="624">
        <v>30000</v>
      </c>
      <c r="F46" s="624">
        <v>30000</v>
      </c>
      <c r="G46" s="624">
        <v>35000</v>
      </c>
      <c r="H46" s="624">
        <v>35000</v>
      </c>
      <c r="I46" s="624">
        <v>35000</v>
      </c>
      <c r="J46" s="624">
        <v>35000</v>
      </c>
      <c r="K46" s="624">
        <v>35000</v>
      </c>
      <c r="M46" s="619" t="s">
        <v>1866</v>
      </c>
      <c r="N46" s="626">
        <v>35000</v>
      </c>
      <c r="O46" s="641"/>
    </row>
    <row r="47" spans="1:25" ht="15" x14ac:dyDescent="0.25">
      <c r="A47" s="622">
        <v>1.3149999999999999</v>
      </c>
      <c r="B47" s="623" t="s">
        <v>745</v>
      </c>
      <c r="C47" s="624">
        <v>30000</v>
      </c>
      <c r="D47" s="624">
        <v>30000</v>
      </c>
      <c r="E47" s="624">
        <v>30000</v>
      </c>
      <c r="F47" s="624">
        <v>30000</v>
      </c>
      <c r="G47" s="624">
        <v>35000</v>
      </c>
      <c r="H47" s="624">
        <v>35000</v>
      </c>
      <c r="I47" s="624">
        <v>35000</v>
      </c>
      <c r="J47" s="624">
        <v>35000</v>
      </c>
      <c r="K47" s="624">
        <v>35000</v>
      </c>
      <c r="L47" s="627"/>
      <c r="M47" s="643"/>
      <c r="N47" s="644"/>
      <c r="O47" s="641"/>
    </row>
    <row r="48" spans="1:25" ht="15" x14ac:dyDescent="0.25">
      <c r="A48" s="622">
        <v>1.66</v>
      </c>
      <c r="B48" s="623" t="s">
        <v>745</v>
      </c>
      <c r="C48" s="624">
        <v>30000</v>
      </c>
      <c r="D48" s="624">
        <v>30000</v>
      </c>
      <c r="E48" s="624">
        <v>30000</v>
      </c>
      <c r="F48" s="624">
        <v>30000</v>
      </c>
      <c r="G48" s="624">
        <v>35000</v>
      </c>
      <c r="H48" s="624">
        <v>35000</v>
      </c>
      <c r="I48" s="624">
        <v>35000</v>
      </c>
      <c r="J48" s="624">
        <v>35000</v>
      </c>
      <c r="K48" s="624">
        <v>35000</v>
      </c>
      <c r="L48" s="627"/>
      <c r="M48" s="645"/>
      <c r="N48" s="644"/>
      <c r="O48" s="641"/>
    </row>
    <row r="49" spans="1:26" ht="15" x14ac:dyDescent="0.25">
      <c r="A49" s="622">
        <v>1.9</v>
      </c>
      <c r="B49" s="623" t="s">
        <v>745</v>
      </c>
      <c r="C49" s="624">
        <v>30000</v>
      </c>
      <c r="D49" s="624">
        <v>30000</v>
      </c>
      <c r="E49" s="624">
        <v>30000</v>
      </c>
      <c r="F49" s="624">
        <v>30000</v>
      </c>
      <c r="G49" s="624">
        <v>35000</v>
      </c>
      <c r="H49" s="624">
        <v>35000</v>
      </c>
      <c r="I49" s="624">
        <v>35000</v>
      </c>
      <c r="J49" s="624">
        <v>35000</v>
      </c>
      <c r="K49" s="624">
        <v>35000</v>
      </c>
      <c r="L49" s="627"/>
      <c r="M49" s="645"/>
      <c r="N49" s="644"/>
      <c r="O49" s="641"/>
    </row>
    <row r="50" spans="1:26" x14ac:dyDescent="0.2">
      <c r="A50" s="628">
        <v>2.375</v>
      </c>
      <c r="B50" s="628" t="s">
        <v>745</v>
      </c>
      <c r="C50" s="629">
        <v>30000</v>
      </c>
      <c r="D50" s="629">
        <v>30000</v>
      </c>
      <c r="E50" s="629">
        <v>30000</v>
      </c>
      <c r="F50" s="629">
        <v>30000</v>
      </c>
      <c r="G50" s="629">
        <v>35000</v>
      </c>
      <c r="H50" s="629">
        <v>35000</v>
      </c>
      <c r="I50" s="629">
        <v>35000</v>
      </c>
      <c r="J50" s="629">
        <v>35000</v>
      </c>
      <c r="K50" s="629">
        <v>35000</v>
      </c>
      <c r="N50" s="640"/>
      <c r="O50" s="641"/>
    </row>
    <row r="51" spans="1:26" x14ac:dyDescent="0.2">
      <c r="A51" s="628">
        <v>3.5</v>
      </c>
      <c r="B51" s="628" t="s">
        <v>745</v>
      </c>
      <c r="C51" s="629">
        <v>30000</v>
      </c>
      <c r="D51" s="629">
        <v>35000</v>
      </c>
      <c r="E51" s="629">
        <v>30000</v>
      </c>
      <c r="F51" s="629">
        <v>30000</v>
      </c>
      <c r="G51" s="629">
        <v>35000</v>
      </c>
      <c r="H51" s="629">
        <v>35000</v>
      </c>
      <c r="I51" s="629">
        <v>35000</v>
      </c>
      <c r="J51" s="629">
        <v>35000</v>
      </c>
      <c r="K51" s="629">
        <v>35000</v>
      </c>
      <c r="N51" s="640"/>
      <c r="O51" s="641"/>
    </row>
    <row r="52" spans="1:26" ht="28.5" x14ac:dyDescent="0.2">
      <c r="A52" s="628">
        <v>3.5</v>
      </c>
      <c r="B52" s="628" t="s">
        <v>730</v>
      </c>
      <c r="C52" s="629">
        <v>30000</v>
      </c>
      <c r="D52" s="629">
        <v>35000</v>
      </c>
      <c r="E52" s="629">
        <v>30000</v>
      </c>
      <c r="F52" s="629">
        <v>30000</v>
      </c>
      <c r="G52" s="629">
        <v>35000</v>
      </c>
      <c r="H52" s="629">
        <v>35000</v>
      </c>
      <c r="I52" s="629">
        <v>35000</v>
      </c>
      <c r="J52" s="629">
        <v>35000</v>
      </c>
      <c r="K52" s="629">
        <v>35000</v>
      </c>
      <c r="O52" s="641"/>
    </row>
    <row r="53" spans="1:26" ht="28.5" x14ac:dyDescent="0.2">
      <c r="A53" s="628">
        <v>3.5</v>
      </c>
      <c r="B53" s="628" t="s">
        <v>1828</v>
      </c>
      <c r="C53" s="629">
        <f>MIN(C51:C52)</f>
        <v>30000</v>
      </c>
      <c r="D53" s="629">
        <f t="shared" ref="D53:K53" si="0">MIN(D51:D52)</f>
        <v>35000</v>
      </c>
      <c r="E53" s="629">
        <f t="shared" si="0"/>
        <v>30000</v>
      </c>
      <c r="F53" s="629">
        <f t="shared" si="0"/>
        <v>30000</v>
      </c>
      <c r="G53" s="629">
        <f t="shared" si="0"/>
        <v>35000</v>
      </c>
      <c r="H53" s="629">
        <f t="shared" si="0"/>
        <v>35000</v>
      </c>
      <c r="I53" s="629">
        <f t="shared" si="0"/>
        <v>35000</v>
      </c>
      <c r="J53" s="629">
        <f t="shared" si="0"/>
        <v>35000</v>
      </c>
      <c r="K53" s="629">
        <f t="shared" si="0"/>
        <v>35000</v>
      </c>
      <c r="O53" s="641"/>
    </row>
    <row r="54" spans="1:26" x14ac:dyDescent="0.2">
      <c r="A54" s="646">
        <v>4.5</v>
      </c>
      <c r="B54" s="628" t="s">
        <v>745</v>
      </c>
      <c r="C54" s="629">
        <v>30000</v>
      </c>
      <c r="D54" s="629">
        <v>35000</v>
      </c>
      <c r="E54" s="629">
        <v>35000</v>
      </c>
      <c r="F54" s="629">
        <v>35000</v>
      </c>
      <c r="G54" s="629">
        <v>35000</v>
      </c>
      <c r="H54" s="629">
        <v>35000</v>
      </c>
      <c r="I54" s="629">
        <v>35000</v>
      </c>
      <c r="J54" s="629">
        <v>35000</v>
      </c>
      <c r="K54" s="629">
        <v>35000</v>
      </c>
      <c r="O54" s="641"/>
    </row>
    <row r="55" spans="1:26" ht="28.5" x14ac:dyDescent="0.2">
      <c r="A55" s="646">
        <v>4.5</v>
      </c>
      <c r="B55" s="628" t="s">
        <v>730</v>
      </c>
      <c r="C55" s="629">
        <v>30000</v>
      </c>
      <c r="D55" s="629">
        <v>35000</v>
      </c>
      <c r="E55" s="629">
        <v>35000</v>
      </c>
      <c r="F55" s="629">
        <v>35000</v>
      </c>
      <c r="G55" s="629">
        <v>35000</v>
      </c>
      <c r="H55" s="629">
        <v>35000</v>
      </c>
      <c r="I55" s="629">
        <v>35000</v>
      </c>
      <c r="J55" s="629">
        <v>35000</v>
      </c>
      <c r="K55" s="629">
        <v>35000</v>
      </c>
      <c r="O55" s="641"/>
    </row>
    <row r="56" spans="1:26" ht="28.5" x14ac:dyDescent="0.2">
      <c r="A56" s="646">
        <v>4.5</v>
      </c>
      <c r="B56" s="628" t="s">
        <v>1828</v>
      </c>
      <c r="C56" s="629">
        <f>MIN(C54:C55)</f>
        <v>30000</v>
      </c>
      <c r="D56" s="629">
        <f t="shared" ref="D56:K56" si="1">MIN(D54:D55)</f>
        <v>35000</v>
      </c>
      <c r="E56" s="629">
        <f t="shared" si="1"/>
        <v>35000</v>
      </c>
      <c r="F56" s="629">
        <f t="shared" si="1"/>
        <v>35000</v>
      </c>
      <c r="G56" s="629">
        <f t="shared" si="1"/>
        <v>35000</v>
      </c>
      <c r="H56" s="629">
        <f t="shared" si="1"/>
        <v>35000</v>
      </c>
      <c r="I56" s="629">
        <f t="shared" si="1"/>
        <v>35000</v>
      </c>
      <c r="J56" s="629">
        <f t="shared" si="1"/>
        <v>35000</v>
      </c>
      <c r="K56" s="629">
        <f t="shared" si="1"/>
        <v>35000</v>
      </c>
      <c r="L56" s="636"/>
      <c r="O56" s="641"/>
    </row>
    <row r="57" spans="1:26" ht="15" x14ac:dyDescent="0.25">
      <c r="A57" s="647">
        <v>4.5</v>
      </c>
      <c r="B57" s="647" t="s">
        <v>1870</v>
      </c>
      <c r="C57" s="648">
        <v>30000</v>
      </c>
      <c r="D57" s="648">
        <v>35000</v>
      </c>
      <c r="E57" s="648">
        <v>28000</v>
      </c>
      <c r="F57" s="648">
        <v>28000</v>
      </c>
      <c r="G57" s="648">
        <v>35000</v>
      </c>
      <c r="H57" s="648">
        <v>35000</v>
      </c>
      <c r="I57" s="648">
        <v>35000</v>
      </c>
      <c r="J57" s="648">
        <v>35000</v>
      </c>
      <c r="K57" s="648">
        <v>30000</v>
      </c>
      <c r="L57" s="634" t="s">
        <v>1871</v>
      </c>
      <c r="M57" s="634"/>
      <c r="N57" s="634"/>
      <c r="O57" s="634"/>
      <c r="P57" s="634"/>
    </row>
    <row r="58" spans="1:26" x14ac:dyDescent="0.2">
      <c r="A58" s="647">
        <v>6.625</v>
      </c>
      <c r="B58" s="647" t="s">
        <v>745</v>
      </c>
      <c r="C58" s="648">
        <v>30000</v>
      </c>
      <c r="D58" s="648">
        <v>35000</v>
      </c>
      <c r="E58" s="648">
        <v>35000</v>
      </c>
      <c r="F58" s="648">
        <v>35000</v>
      </c>
      <c r="G58" s="648">
        <v>35000</v>
      </c>
      <c r="H58" s="648">
        <v>35000</v>
      </c>
      <c r="I58" s="648">
        <v>35000</v>
      </c>
      <c r="J58" s="648">
        <v>35000</v>
      </c>
      <c r="K58" s="648">
        <v>35000</v>
      </c>
      <c r="N58" s="641"/>
    </row>
    <row r="59" spans="1:26" ht="28.5" x14ac:dyDescent="0.2">
      <c r="A59" s="647">
        <v>6.625</v>
      </c>
      <c r="B59" s="647" t="s">
        <v>730</v>
      </c>
      <c r="C59" s="648">
        <v>30000</v>
      </c>
      <c r="D59" s="648">
        <v>35000</v>
      </c>
      <c r="E59" s="648">
        <v>42000</v>
      </c>
      <c r="F59" s="648">
        <v>42000</v>
      </c>
      <c r="G59" s="648">
        <v>35000</v>
      </c>
      <c r="H59" s="648">
        <v>42000</v>
      </c>
      <c r="I59" s="648">
        <v>42000</v>
      </c>
      <c r="J59" s="648">
        <v>42000</v>
      </c>
      <c r="K59" s="648">
        <v>35000</v>
      </c>
      <c r="N59" s="641"/>
    </row>
    <row r="60" spans="1:26" ht="28.5" x14ac:dyDescent="0.2">
      <c r="A60" s="647">
        <v>6.625</v>
      </c>
      <c r="B60" s="647" t="s">
        <v>1828</v>
      </c>
      <c r="C60" s="629">
        <f>MIN(C58:C59)</f>
        <v>30000</v>
      </c>
      <c r="D60" s="629">
        <f t="shared" ref="D60:K60" si="2">MIN(D58:D59)</f>
        <v>35000</v>
      </c>
      <c r="E60" s="629">
        <f t="shared" si="2"/>
        <v>35000</v>
      </c>
      <c r="F60" s="629">
        <f t="shared" si="2"/>
        <v>35000</v>
      </c>
      <c r="G60" s="629">
        <f t="shared" si="2"/>
        <v>35000</v>
      </c>
      <c r="H60" s="629">
        <f t="shared" si="2"/>
        <v>35000</v>
      </c>
      <c r="I60" s="629">
        <f t="shared" si="2"/>
        <v>35000</v>
      </c>
      <c r="J60" s="629">
        <f t="shared" si="2"/>
        <v>35000</v>
      </c>
      <c r="K60" s="629">
        <f t="shared" si="2"/>
        <v>35000</v>
      </c>
      <c r="L60" s="636"/>
      <c r="O60" s="641"/>
    </row>
    <row r="61" spans="1:26" x14ac:dyDescent="0.2">
      <c r="A61" s="732">
        <v>8.625</v>
      </c>
      <c r="B61" s="628" t="s">
        <v>745</v>
      </c>
      <c r="C61" s="628">
        <v>30000</v>
      </c>
      <c r="D61" s="628">
        <v>35000</v>
      </c>
      <c r="E61" s="628">
        <v>35000</v>
      </c>
      <c r="F61" s="628">
        <v>35000</v>
      </c>
      <c r="G61" s="628">
        <v>35000</v>
      </c>
      <c r="H61" s="628">
        <v>35000</v>
      </c>
      <c r="I61" s="628">
        <v>35000</v>
      </c>
      <c r="J61" s="628">
        <v>35000</v>
      </c>
      <c r="K61" s="628">
        <v>35000</v>
      </c>
      <c r="L61" s="636"/>
      <c r="O61" s="641"/>
    </row>
    <row r="62" spans="1:26" ht="28.5" x14ac:dyDescent="0.2">
      <c r="A62" s="732">
        <v>8.625</v>
      </c>
      <c r="B62" s="628" t="s">
        <v>730</v>
      </c>
      <c r="C62" s="628">
        <v>30000</v>
      </c>
      <c r="D62" s="628">
        <v>35000</v>
      </c>
      <c r="E62" s="628">
        <v>42000</v>
      </c>
      <c r="F62" s="628">
        <v>42000</v>
      </c>
      <c r="G62" s="628">
        <v>35000</v>
      </c>
      <c r="H62" s="628">
        <v>42000</v>
      </c>
      <c r="I62" s="628">
        <v>42000</v>
      </c>
      <c r="J62" s="628">
        <v>42000</v>
      </c>
      <c r="K62" s="628">
        <v>35000</v>
      </c>
      <c r="L62" s="636"/>
      <c r="O62" s="641"/>
    </row>
    <row r="63" spans="1:26" ht="28.5" x14ac:dyDescent="0.2">
      <c r="A63" s="732">
        <v>8.625</v>
      </c>
      <c r="B63" s="628" t="s">
        <v>1828</v>
      </c>
      <c r="C63" s="629">
        <f>MIN(C61:C62)</f>
        <v>30000</v>
      </c>
      <c r="D63" s="629">
        <f t="shared" ref="D63:K63" si="3">MIN(D61:D62)</f>
        <v>35000</v>
      </c>
      <c r="E63" s="629">
        <f t="shared" si="3"/>
        <v>35000</v>
      </c>
      <c r="F63" s="629">
        <f t="shared" si="3"/>
        <v>35000</v>
      </c>
      <c r="G63" s="629">
        <f t="shared" si="3"/>
        <v>35000</v>
      </c>
      <c r="H63" s="629">
        <f t="shared" si="3"/>
        <v>35000</v>
      </c>
      <c r="I63" s="629">
        <f t="shared" si="3"/>
        <v>35000</v>
      </c>
      <c r="J63" s="629">
        <f t="shared" si="3"/>
        <v>35000</v>
      </c>
      <c r="K63" s="629">
        <f t="shared" si="3"/>
        <v>35000</v>
      </c>
      <c r="L63" s="636"/>
      <c r="O63" s="641"/>
    </row>
    <row r="64" spans="1:26" s="613" customFormat="1" ht="3.75" customHeight="1" x14ac:dyDescent="0.25">
      <c r="A64" s="612"/>
      <c r="B64" s="612"/>
      <c r="C64" s="612"/>
      <c r="D64" s="612"/>
      <c r="E64" s="612"/>
      <c r="F64" s="612"/>
      <c r="G64" s="612"/>
      <c r="H64" s="612"/>
      <c r="I64" s="612"/>
      <c r="J64" s="612"/>
      <c r="K64" s="612"/>
      <c r="L64" s="612"/>
      <c r="Q64" s="637"/>
      <c r="R64" s="637"/>
      <c r="S64" s="637"/>
      <c r="T64" s="637"/>
      <c r="U64" s="637"/>
      <c r="V64" s="637"/>
      <c r="W64" s="637"/>
      <c r="X64" s="637"/>
      <c r="Y64" s="637"/>
      <c r="Z64" s="637"/>
    </row>
    <row r="65" spans="1:26" ht="30" x14ac:dyDescent="0.2">
      <c r="A65" s="1021" t="s">
        <v>1872</v>
      </c>
      <c r="B65" s="1022"/>
      <c r="C65" s="1022"/>
      <c r="D65" s="1022"/>
      <c r="F65" s="619" t="s">
        <v>1863</v>
      </c>
      <c r="G65" s="620">
        <v>3746</v>
      </c>
      <c r="O65" s="636"/>
    </row>
    <row r="66" spans="1:26" ht="30" x14ac:dyDescent="0.2">
      <c r="A66" s="617" t="s">
        <v>1862</v>
      </c>
      <c r="B66" s="617" t="s">
        <v>155</v>
      </c>
      <c r="C66" s="649"/>
      <c r="D66" s="650">
        <v>11324</v>
      </c>
      <c r="E66" s="621">
        <v>14247</v>
      </c>
      <c r="G66" s="619" t="s">
        <v>1864</v>
      </c>
      <c r="H66" s="628">
        <v>6.625</v>
      </c>
      <c r="P66" s="636"/>
    </row>
    <row r="67" spans="1:26" ht="45" x14ac:dyDescent="0.2">
      <c r="A67" s="617"/>
      <c r="B67" s="617"/>
      <c r="C67" s="621">
        <v>11323</v>
      </c>
      <c r="D67" s="621">
        <v>14246</v>
      </c>
      <c r="E67" s="650"/>
      <c r="G67" s="619" t="s">
        <v>1865</v>
      </c>
      <c r="H67" s="628" t="s">
        <v>746</v>
      </c>
      <c r="P67" s="636"/>
    </row>
    <row r="68" spans="1:26" ht="15" x14ac:dyDescent="0.2">
      <c r="A68" s="628">
        <v>4.5</v>
      </c>
      <c r="B68" s="628" t="s">
        <v>746</v>
      </c>
      <c r="C68" s="629">
        <v>28000</v>
      </c>
      <c r="D68" s="629">
        <v>28000</v>
      </c>
      <c r="E68" s="651" t="s">
        <v>1867</v>
      </c>
      <c r="G68" s="619"/>
      <c r="H68" s="628"/>
      <c r="P68" s="636"/>
    </row>
    <row r="69" spans="1:26" ht="15" x14ac:dyDescent="0.2">
      <c r="A69" s="628">
        <v>6.625</v>
      </c>
      <c r="B69" s="628" t="s">
        <v>746</v>
      </c>
      <c r="C69" s="629">
        <v>28000</v>
      </c>
      <c r="D69" s="651" t="s">
        <v>1867</v>
      </c>
      <c r="E69" s="651" t="s">
        <v>1867</v>
      </c>
      <c r="G69" s="619"/>
      <c r="H69" s="628"/>
      <c r="P69" s="636"/>
    </row>
    <row r="70" spans="1:26" ht="15" x14ac:dyDescent="0.2">
      <c r="A70" s="628">
        <v>8.625</v>
      </c>
      <c r="B70" s="628" t="s">
        <v>746</v>
      </c>
      <c r="C70" s="629">
        <v>28000</v>
      </c>
      <c r="D70" s="651" t="s">
        <v>1867</v>
      </c>
      <c r="E70" s="651" t="s">
        <v>1867</v>
      </c>
      <c r="G70" s="619"/>
      <c r="H70" s="628"/>
      <c r="P70" s="636"/>
    </row>
    <row r="71" spans="1:26" ht="30" x14ac:dyDescent="0.2">
      <c r="A71" s="628">
        <v>10.75</v>
      </c>
      <c r="B71" s="628" t="s">
        <v>746</v>
      </c>
      <c r="C71" s="629">
        <v>28000</v>
      </c>
      <c r="D71" s="651" t="s">
        <v>1867</v>
      </c>
      <c r="E71" s="651" t="s">
        <v>1867</v>
      </c>
      <c r="F71" s="652"/>
      <c r="G71" s="619" t="s">
        <v>1866</v>
      </c>
      <c r="H71" s="626">
        <v>28000</v>
      </c>
      <c r="P71" s="636"/>
    </row>
    <row r="72" spans="1:26" x14ac:dyDescent="0.2">
      <c r="A72" s="628">
        <v>12.75</v>
      </c>
      <c r="B72" s="628" t="s">
        <v>746</v>
      </c>
      <c r="C72" s="629">
        <v>28000</v>
      </c>
      <c r="D72" s="651" t="s">
        <v>1867</v>
      </c>
      <c r="E72" s="651" t="s">
        <v>1867</v>
      </c>
      <c r="F72" s="652"/>
      <c r="G72" s="636"/>
      <c r="H72" s="636"/>
      <c r="P72" s="636"/>
    </row>
    <row r="73" spans="1:26" x14ac:dyDescent="0.2">
      <c r="A73" s="647">
        <v>14</v>
      </c>
      <c r="B73" s="647" t="s">
        <v>746</v>
      </c>
      <c r="C73" s="648">
        <v>28000</v>
      </c>
      <c r="D73" s="733" t="s">
        <v>1867</v>
      </c>
      <c r="E73" s="733" t="s">
        <v>1867</v>
      </c>
      <c r="F73" s="652"/>
      <c r="G73" s="636"/>
      <c r="H73" s="636"/>
      <c r="P73" s="636"/>
    </row>
    <row r="74" spans="1:26" x14ac:dyDescent="0.2">
      <c r="A74" s="647">
        <v>16</v>
      </c>
      <c r="B74" s="647" t="s">
        <v>746</v>
      </c>
      <c r="C74" s="648">
        <v>28000</v>
      </c>
      <c r="D74" s="733" t="s">
        <v>1867</v>
      </c>
      <c r="E74" s="733" t="s">
        <v>1867</v>
      </c>
      <c r="F74" s="652"/>
      <c r="G74" s="636"/>
      <c r="H74" s="636"/>
      <c r="O74" s="636"/>
      <c r="P74" s="636"/>
    </row>
    <row r="75" spans="1:26" s="613" customFormat="1" ht="3.75" customHeight="1" x14ac:dyDescent="0.25">
      <c r="A75" s="612"/>
      <c r="B75" s="612"/>
      <c r="C75" s="612"/>
      <c r="D75" s="612"/>
      <c r="E75" s="612"/>
      <c r="F75" s="612"/>
      <c r="G75" s="612"/>
      <c r="H75" s="612"/>
      <c r="I75" s="612"/>
      <c r="J75" s="612"/>
      <c r="K75" s="612"/>
      <c r="P75" s="637"/>
      <c r="Q75" s="637"/>
      <c r="R75" s="637"/>
      <c r="S75" s="637"/>
      <c r="T75" s="637"/>
      <c r="U75" s="637"/>
      <c r="V75" s="637"/>
      <c r="W75" s="637"/>
      <c r="X75" s="637"/>
      <c r="Y75" s="637"/>
    </row>
    <row r="76" spans="1:26" s="613" customFormat="1" ht="19.5" customHeight="1" x14ac:dyDescent="0.25">
      <c r="A76" s="734" t="s">
        <v>1873</v>
      </c>
      <c r="B76" s="735"/>
      <c r="C76" s="735"/>
      <c r="D76" s="735"/>
      <c r="E76" s="735"/>
      <c r="F76" s="736"/>
      <c r="G76" s="736"/>
      <c r="H76" s="736"/>
      <c r="I76" s="736"/>
      <c r="J76" s="736"/>
      <c r="K76" s="736"/>
      <c r="L76" s="737"/>
      <c r="Q76" s="637"/>
      <c r="R76" s="637"/>
      <c r="S76" s="637"/>
      <c r="T76" s="637"/>
      <c r="U76" s="637"/>
      <c r="V76" s="637"/>
      <c r="W76" s="637"/>
      <c r="X76" s="637"/>
      <c r="Y76" s="637"/>
      <c r="Z76" s="637"/>
    </row>
    <row r="77" spans="1:26" ht="30" x14ac:dyDescent="0.2">
      <c r="A77" s="653" t="s">
        <v>1862</v>
      </c>
      <c r="B77" s="653"/>
      <c r="C77" s="654"/>
      <c r="D77" s="655">
        <v>11324</v>
      </c>
      <c r="E77" s="655">
        <v>17899</v>
      </c>
      <c r="F77" s="655">
        <v>20120</v>
      </c>
      <c r="G77" s="655">
        <v>21878</v>
      </c>
      <c r="H77" s="655">
        <v>23663</v>
      </c>
      <c r="I77" s="655">
        <v>26540</v>
      </c>
      <c r="J77" s="655">
        <v>33082</v>
      </c>
      <c r="K77" s="655">
        <v>34758</v>
      </c>
      <c r="L77" s="655">
        <v>36087</v>
      </c>
      <c r="N77" s="619" t="s">
        <v>1863</v>
      </c>
      <c r="O77" s="620">
        <v>3746</v>
      </c>
    </row>
    <row r="78" spans="1:26" ht="30" x14ac:dyDescent="0.2">
      <c r="A78" s="653"/>
      <c r="B78" s="653"/>
      <c r="C78" s="655">
        <v>11323</v>
      </c>
      <c r="D78" s="655">
        <v>17898</v>
      </c>
      <c r="E78" s="655">
        <v>20119</v>
      </c>
      <c r="F78" s="655">
        <v>21877</v>
      </c>
      <c r="G78" s="655">
        <v>23662</v>
      </c>
      <c r="H78" s="655">
        <v>26539</v>
      </c>
      <c r="I78" s="655">
        <v>33081</v>
      </c>
      <c r="J78" s="655">
        <v>34757</v>
      </c>
      <c r="K78" s="655">
        <v>36086</v>
      </c>
      <c r="L78" s="653"/>
      <c r="N78" s="619" t="s">
        <v>1864</v>
      </c>
      <c r="O78" s="656">
        <v>6.625</v>
      </c>
    </row>
    <row r="79" spans="1:26" ht="45" x14ac:dyDescent="0.2">
      <c r="A79" s="653">
        <v>6.625</v>
      </c>
      <c r="B79" s="653" t="s">
        <v>329</v>
      </c>
      <c r="C79" s="657">
        <v>28000</v>
      </c>
      <c r="D79" s="657">
        <v>30000</v>
      </c>
      <c r="E79" s="657">
        <v>35000</v>
      </c>
      <c r="F79" s="657">
        <v>35000</v>
      </c>
      <c r="G79" s="657">
        <v>35000</v>
      </c>
      <c r="H79" s="657">
        <v>35000</v>
      </c>
      <c r="I79" s="657">
        <v>35000</v>
      </c>
      <c r="J79" s="657">
        <v>35000</v>
      </c>
      <c r="K79" s="657">
        <v>35000</v>
      </c>
      <c r="L79" s="657">
        <v>35000</v>
      </c>
      <c r="N79" s="619" t="s">
        <v>1865</v>
      </c>
      <c r="O79" s="656" t="s">
        <v>329</v>
      </c>
    </row>
    <row r="80" spans="1:26" ht="15" x14ac:dyDescent="0.2">
      <c r="A80" s="653">
        <v>8.625</v>
      </c>
      <c r="B80" s="653" t="s">
        <v>329</v>
      </c>
      <c r="C80" s="657">
        <v>28000</v>
      </c>
      <c r="D80" s="657">
        <v>30000</v>
      </c>
      <c r="E80" s="657">
        <v>35000</v>
      </c>
      <c r="F80" s="657">
        <v>35000</v>
      </c>
      <c r="G80" s="657">
        <v>35000</v>
      </c>
      <c r="H80" s="657">
        <v>35000</v>
      </c>
      <c r="I80" s="657">
        <v>35000</v>
      </c>
      <c r="J80" s="657">
        <v>35000</v>
      </c>
      <c r="K80" s="657">
        <v>35000</v>
      </c>
      <c r="L80" s="657">
        <v>35000</v>
      </c>
      <c r="N80" s="619"/>
      <c r="O80" s="656"/>
    </row>
    <row r="81" spans="1:25" ht="30" x14ac:dyDescent="0.2">
      <c r="A81" s="653">
        <v>10.75</v>
      </c>
      <c r="B81" s="653" t="s">
        <v>329</v>
      </c>
      <c r="C81" s="657">
        <v>28000</v>
      </c>
      <c r="D81" s="657">
        <v>30000</v>
      </c>
      <c r="E81" s="657">
        <v>35000</v>
      </c>
      <c r="F81" s="657">
        <v>35000</v>
      </c>
      <c r="G81" s="657">
        <v>35000</v>
      </c>
      <c r="H81" s="657">
        <v>35000</v>
      </c>
      <c r="I81" s="657">
        <v>35000</v>
      </c>
      <c r="J81" s="657">
        <v>35000</v>
      </c>
      <c r="K81" s="657">
        <v>35000</v>
      </c>
      <c r="L81" s="657">
        <v>35000</v>
      </c>
      <c r="N81" s="619" t="s">
        <v>1866</v>
      </c>
      <c r="O81" s="626">
        <v>28000</v>
      </c>
    </row>
    <row r="82" spans="1:25" ht="15" x14ac:dyDescent="0.2">
      <c r="A82" s="653">
        <v>12.75</v>
      </c>
      <c r="B82" s="653" t="s">
        <v>329</v>
      </c>
      <c r="C82" s="657">
        <v>28000</v>
      </c>
      <c r="D82" s="657">
        <v>30000</v>
      </c>
      <c r="E82" s="657">
        <v>35000</v>
      </c>
      <c r="F82" s="657">
        <v>35000</v>
      </c>
      <c r="G82" s="657">
        <v>35000</v>
      </c>
      <c r="H82" s="657">
        <v>35000</v>
      </c>
      <c r="I82" s="657">
        <v>35000</v>
      </c>
      <c r="J82" s="657">
        <v>35000</v>
      </c>
      <c r="K82" s="657">
        <v>35000</v>
      </c>
      <c r="L82" s="657">
        <v>35000</v>
      </c>
      <c r="N82" s="639"/>
      <c r="O82" s="636"/>
    </row>
    <row r="83" spans="1:25" ht="15" x14ac:dyDescent="0.2">
      <c r="A83" s="653">
        <v>14</v>
      </c>
      <c r="B83" s="653" t="s">
        <v>329</v>
      </c>
      <c r="C83" s="657">
        <v>28000</v>
      </c>
      <c r="D83" s="657">
        <v>30000</v>
      </c>
      <c r="E83" s="657">
        <v>35000</v>
      </c>
      <c r="F83" s="657">
        <v>35000</v>
      </c>
      <c r="G83" s="657">
        <v>35000</v>
      </c>
      <c r="H83" s="657">
        <v>35000</v>
      </c>
      <c r="I83" s="657">
        <v>35000</v>
      </c>
      <c r="J83" s="657">
        <v>35000</v>
      </c>
      <c r="K83" s="657">
        <v>35000</v>
      </c>
      <c r="L83" s="657">
        <v>35000</v>
      </c>
      <c r="O83" s="636"/>
    </row>
    <row r="84" spans="1:25" ht="15" x14ac:dyDescent="0.2">
      <c r="A84" s="653">
        <v>16</v>
      </c>
      <c r="B84" s="653" t="s">
        <v>329</v>
      </c>
      <c r="C84" s="657">
        <v>28000</v>
      </c>
      <c r="D84" s="657">
        <v>30000</v>
      </c>
      <c r="E84" s="657">
        <v>35000</v>
      </c>
      <c r="F84" s="657">
        <v>35000</v>
      </c>
      <c r="G84" s="657">
        <v>35000</v>
      </c>
      <c r="H84" s="657">
        <v>35000</v>
      </c>
      <c r="I84" s="657">
        <v>35000</v>
      </c>
      <c r="J84" s="657">
        <v>35000</v>
      </c>
      <c r="K84" s="657">
        <v>35000</v>
      </c>
      <c r="L84" s="657">
        <v>35000</v>
      </c>
      <c r="O84" s="636"/>
    </row>
    <row r="85" spans="1:25" ht="15" x14ac:dyDescent="0.2">
      <c r="A85" s="653">
        <v>18</v>
      </c>
      <c r="B85" s="653" t="s">
        <v>329</v>
      </c>
      <c r="C85" s="657">
        <v>30000</v>
      </c>
      <c r="D85" s="657">
        <v>30000</v>
      </c>
      <c r="E85" s="657">
        <v>35000</v>
      </c>
      <c r="F85" s="657">
        <v>35000</v>
      </c>
      <c r="G85" s="657">
        <v>35000</v>
      </c>
      <c r="H85" s="657">
        <v>35000</v>
      </c>
      <c r="I85" s="657">
        <v>42000</v>
      </c>
      <c r="J85" s="657">
        <v>42000</v>
      </c>
      <c r="K85" s="657">
        <v>42000</v>
      </c>
      <c r="L85" s="657">
        <v>35000</v>
      </c>
      <c r="M85" s="636"/>
    </row>
    <row r="86" spans="1:25" ht="45" x14ac:dyDescent="0.2">
      <c r="A86" s="653">
        <v>20</v>
      </c>
      <c r="B86" s="653" t="s">
        <v>329</v>
      </c>
      <c r="C86" s="657">
        <v>30000</v>
      </c>
      <c r="D86" s="657">
        <v>30000</v>
      </c>
      <c r="E86" s="657">
        <v>35000</v>
      </c>
      <c r="F86" s="657">
        <v>35000</v>
      </c>
      <c r="G86" s="657">
        <v>35000</v>
      </c>
      <c r="H86" s="657">
        <v>35000</v>
      </c>
      <c r="I86" s="657">
        <v>42000</v>
      </c>
      <c r="J86" s="657">
        <v>42000</v>
      </c>
      <c r="K86" s="657">
        <v>42000</v>
      </c>
      <c r="L86" s="657">
        <v>35000</v>
      </c>
      <c r="N86" s="619" t="s">
        <v>1865</v>
      </c>
      <c r="O86" s="658" t="s">
        <v>329</v>
      </c>
    </row>
    <row r="87" spans="1:25" ht="30" x14ac:dyDescent="0.2">
      <c r="A87" s="653">
        <v>22</v>
      </c>
      <c r="B87" s="653" t="s">
        <v>329</v>
      </c>
      <c r="C87" s="657">
        <v>30000</v>
      </c>
      <c r="D87" s="657">
        <v>30000</v>
      </c>
      <c r="E87" s="657">
        <v>35000</v>
      </c>
      <c r="F87" s="657">
        <v>35000</v>
      </c>
      <c r="G87" s="657">
        <v>35000</v>
      </c>
      <c r="H87" s="657">
        <v>35000</v>
      </c>
      <c r="I87" s="657">
        <v>42000</v>
      </c>
      <c r="J87" s="657">
        <v>42000</v>
      </c>
      <c r="K87" s="657">
        <v>42000</v>
      </c>
      <c r="L87" s="657">
        <v>35000</v>
      </c>
      <c r="N87" s="619" t="s">
        <v>1866</v>
      </c>
      <c r="O87" s="626">
        <v>33000</v>
      </c>
    </row>
    <row r="88" spans="1:25" ht="15" x14ac:dyDescent="0.2">
      <c r="A88" s="653">
        <v>24</v>
      </c>
      <c r="B88" s="653" t="s">
        <v>329</v>
      </c>
      <c r="C88" s="657">
        <v>30000</v>
      </c>
      <c r="D88" s="657">
        <v>30000</v>
      </c>
      <c r="E88" s="657">
        <v>35000</v>
      </c>
      <c r="F88" s="657">
        <v>35000</v>
      </c>
      <c r="G88" s="657">
        <v>35000</v>
      </c>
      <c r="H88" s="657">
        <v>35000</v>
      </c>
      <c r="I88" s="657">
        <v>35000</v>
      </c>
      <c r="J88" s="657">
        <v>35000</v>
      </c>
      <c r="K88" s="657">
        <v>42000</v>
      </c>
      <c r="L88" s="657">
        <v>35000</v>
      </c>
      <c r="M88" s="636"/>
    </row>
    <row r="89" spans="1:25" ht="15" x14ac:dyDescent="0.2">
      <c r="A89" s="653">
        <v>26</v>
      </c>
      <c r="B89" s="653" t="s">
        <v>329</v>
      </c>
      <c r="C89" s="657">
        <v>33000</v>
      </c>
      <c r="D89" s="657">
        <v>33000</v>
      </c>
      <c r="E89" s="657">
        <v>35000</v>
      </c>
      <c r="F89" s="657">
        <v>35000</v>
      </c>
      <c r="G89" s="657">
        <v>35000</v>
      </c>
      <c r="H89" s="657">
        <v>35000</v>
      </c>
      <c r="I89" s="657">
        <v>42000</v>
      </c>
      <c r="J89" s="657">
        <v>42000</v>
      </c>
      <c r="K89" s="657">
        <v>42000</v>
      </c>
      <c r="L89" s="657">
        <v>42000</v>
      </c>
      <c r="M89" s="636"/>
    </row>
    <row r="90" spans="1:25" s="613" customFormat="1" ht="3.75" customHeight="1" x14ac:dyDescent="0.25">
      <c r="A90" s="612"/>
      <c r="B90" s="612"/>
      <c r="C90" s="612"/>
      <c r="D90" s="612"/>
      <c r="E90" s="612"/>
      <c r="F90" s="612"/>
      <c r="G90" s="612"/>
      <c r="H90" s="612"/>
      <c r="I90" s="612"/>
      <c r="J90" s="612"/>
      <c r="K90" s="612"/>
      <c r="P90" s="637"/>
      <c r="Q90" s="637"/>
      <c r="R90" s="637"/>
      <c r="S90" s="637"/>
      <c r="T90" s="637"/>
      <c r="U90" s="637"/>
      <c r="V90" s="637"/>
      <c r="W90" s="637"/>
      <c r="X90" s="637"/>
      <c r="Y90" s="637"/>
    </row>
    <row r="91" spans="1:25" ht="15" x14ac:dyDescent="0.2">
      <c r="A91" s="1016" t="s">
        <v>1875</v>
      </c>
      <c r="B91" s="1016"/>
      <c r="C91" s="1016"/>
      <c r="D91" s="1016"/>
      <c r="G91" s="619" t="s">
        <v>1929</v>
      </c>
      <c r="H91" s="620">
        <v>16803</v>
      </c>
      <c r="O91" s="636"/>
    </row>
    <row r="92" spans="1:25" ht="45" x14ac:dyDescent="0.2">
      <c r="A92" s="617" t="s">
        <v>1874</v>
      </c>
      <c r="B92" s="617" t="s">
        <v>155</v>
      </c>
      <c r="C92" s="617"/>
      <c r="D92" s="738">
        <v>11324</v>
      </c>
      <c r="E92" s="738">
        <v>17899</v>
      </c>
      <c r="H92" s="619" t="s">
        <v>1864</v>
      </c>
      <c r="I92" s="659">
        <v>22</v>
      </c>
      <c r="P92" s="636"/>
    </row>
    <row r="93" spans="1:25" ht="42.75" x14ac:dyDescent="0.2">
      <c r="A93" s="617"/>
      <c r="B93" s="617"/>
      <c r="C93" s="621">
        <v>11323</v>
      </c>
      <c r="D93" s="738">
        <v>17898</v>
      </c>
      <c r="E93" s="650"/>
      <c r="H93" s="619" t="s">
        <v>1865</v>
      </c>
      <c r="I93" s="628" t="s">
        <v>728</v>
      </c>
      <c r="P93" s="636"/>
    </row>
    <row r="94" spans="1:25" ht="15" x14ac:dyDescent="0.2">
      <c r="A94" s="628">
        <v>12.75</v>
      </c>
      <c r="B94" s="628" t="s">
        <v>1410</v>
      </c>
      <c r="C94" s="629">
        <v>33000</v>
      </c>
      <c r="D94" s="651" t="s">
        <v>1867</v>
      </c>
      <c r="E94" s="651" t="s">
        <v>1867</v>
      </c>
      <c r="H94" s="619"/>
      <c r="I94" s="628"/>
      <c r="P94" s="636"/>
    </row>
    <row r="95" spans="1:25" ht="30" x14ac:dyDescent="0.2">
      <c r="A95" s="659">
        <v>16</v>
      </c>
      <c r="B95" s="628" t="s">
        <v>728</v>
      </c>
      <c r="C95" s="651" t="s">
        <v>1867</v>
      </c>
      <c r="D95" s="651" t="s">
        <v>1867</v>
      </c>
      <c r="E95" s="651" t="s">
        <v>1867</v>
      </c>
      <c r="H95" s="619" t="s">
        <v>1866</v>
      </c>
      <c r="I95" s="626">
        <v>33000</v>
      </c>
      <c r="P95" s="636"/>
    </row>
    <row r="96" spans="1:25" x14ac:dyDescent="0.2">
      <c r="A96" s="659">
        <v>16</v>
      </c>
      <c r="B96" s="628" t="s">
        <v>1410</v>
      </c>
      <c r="C96" s="629">
        <v>33000</v>
      </c>
      <c r="D96" s="629">
        <v>33000</v>
      </c>
      <c r="E96" s="651" t="s">
        <v>1867</v>
      </c>
      <c r="F96" s="652"/>
      <c r="P96" s="636"/>
    </row>
    <row r="97" spans="1:25" ht="28.5" x14ac:dyDescent="0.2">
      <c r="A97" s="659">
        <v>16</v>
      </c>
      <c r="B97" s="628" t="s">
        <v>1817</v>
      </c>
      <c r="C97" s="651" t="s">
        <v>1867</v>
      </c>
      <c r="D97" s="651" t="s">
        <v>1867</v>
      </c>
      <c r="E97" s="651" t="s">
        <v>1867</v>
      </c>
      <c r="H97" s="660"/>
      <c r="P97" s="636"/>
    </row>
    <row r="98" spans="1:25" ht="28.5" x14ac:dyDescent="0.2">
      <c r="A98" s="659">
        <v>20</v>
      </c>
      <c r="B98" s="628" t="s">
        <v>728</v>
      </c>
      <c r="C98" s="629">
        <v>33000</v>
      </c>
      <c r="D98" s="629">
        <v>33000</v>
      </c>
      <c r="E98" s="651" t="s">
        <v>1867</v>
      </c>
      <c r="F98" s="652"/>
      <c r="G98" s="636"/>
      <c r="H98" s="636"/>
      <c r="P98" s="636"/>
    </row>
    <row r="99" spans="1:25" x14ac:dyDescent="0.2">
      <c r="A99" s="659">
        <v>20</v>
      </c>
      <c r="B99" s="628" t="s">
        <v>1410</v>
      </c>
      <c r="C99" s="629">
        <v>33000</v>
      </c>
      <c r="D99" s="629">
        <v>33000</v>
      </c>
      <c r="E99" s="651" t="s">
        <v>1867</v>
      </c>
      <c r="F99" s="652"/>
      <c r="P99" s="636"/>
    </row>
    <row r="100" spans="1:25" ht="28.5" x14ac:dyDescent="0.2">
      <c r="A100" s="659">
        <v>20</v>
      </c>
      <c r="B100" s="628" t="s">
        <v>1817</v>
      </c>
      <c r="C100" s="629">
        <f>MIN(C98:C99)</f>
        <v>33000</v>
      </c>
      <c r="D100" s="629">
        <f>MIN(D98:D99)</f>
        <v>33000</v>
      </c>
      <c r="E100" s="651" t="s">
        <v>1867</v>
      </c>
      <c r="F100" s="652"/>
      <c r="G100" s="636"/>
      <c r="H100" s="636"/>
      <c r="P100" s="636"/>
    </row>
    <row r="101" spans="1:25" ht="28.5" x14ac:dyDescent="0.2">
      <c r="A101" s="659">
        <v>22</v>
      </c>
      <c r="B101" s="628" t="s">
        <v>728</v>
      </c>
      <c r="C101" s="629">
        <v>33000</v>
      </c>
      <c r="D101" s="629">
        <v>33000</v>
      </c>
      <c r="E101" s="651" t="s">
        <v>1867</v>
      </c>
      <c r="F101" s="652"/>
      <c r="P101" s="636"/>
    </row>
    <row r="102" spans="1:25" x14ac:dyDescent="0.2">
      <c r="A102" s="659">
        <v>22</v>
      </c>
      <c r="B102" s="628" t="s">
        <v>1410</v>
      </c>
      <c r="C102" s="629">
        <v>33000</v>
      </c>
      <c r="D102" s="629">
        <v>33000</v>
      </c>
      <c r="E102" s="651" t="s">
        <v>1867</v>
      </c>
      <c r="F102" s="652"/>
      <c r="P102" s="636"/>
    </row>
    <row r="103" spans="1:25" ht="28.5" x14ac:dyDescent="0.2">
      <c r="A103" s="659">
        <v>22</v>
      </c>
      <c r="B103" s="628" t="s">
        <v>1817</v>
      </c>
      <c r="C103" s="629">
        <f t="shared" ref="C103:D103" si="4">MIN(C101:C102)</f>
        <v>33000</v>
      </c>
      <c r="D103" s="629">
        <f t="shared" si="4"/>
        <v>33000</v>
      </c>
      <c r="E103" s="651" t="s">
        <v>1867</v>
      </c>
      <c r="F103" s="652"/>
      <c r="P103" s="636"/>
    </row>
    <row r="104" spans="1:25" ht="28.5" x14ac:dyDescent="0.2">
      <c r="A104" s="659">
        <v>24</v>
      </c>
      <c r="B104" s="628" t="s">
        <v>728</v>
      </c>
      <c r="C104" s="629">
        <v>33000</v>
      </c>
      <c r="D104" s="629">
        <v>33000</v>
      </c>
      <c r="E104" s="651" t="s">
        <v>1867</v>
      </c>
      <c r="F104" s="652"/>
      <c r="P104" s="636"/>
    </row>
    <row r="105" spans="1:25" x14ac:dyDescent="0.2">
      <c r="A105" s="659">
        <v>24</v>
      </c>
      <c r="B105" s="628" t="s">
        <v>1410</v>
      </c>
      <c r="C105" s="629">
        <v>33000</v>
      </c>
      <c r="D105" s="629">
        <v>33000</v>
      </c>
      <c r="E105" s="651" t="s">
        <v>1867</v>
      </c>
      <c r="F105" s="652"/>
      <c r="P105" s="636"/>
    </row>
    <row r="106" spans="1:25" ht="28.5" x14ac:dyDescent="0.2">
      <c r="A106" s="659">
        <v>24</v>
      </c>
      <c r="B106" s="628" t="s">
        <v>1817</v>
      </c>
      <c r="C106" s="629">
        <f t="shared" ref="C106:D106" si="5">MIN(C104:C105)</f>
        <v>33000</v>
      </c>
      <c r="D106" s="629">
        <f t="shared" si="5"/>
        <v>33000</v>
      </c>
      <c r="E106" s="651" t="s">
        <v>1867</v>
      </c>
      <c r="F106" s="652"/>
      <c r="P106" s="636"/>
    </row>
    <row r="107" spans="1:25" ht="28.5" x14ac:dyDescent="0.2">
      <c r="A107" s="659">
        <v>26</v>
      </c>
      <c r="B107" s="628" t="s">
        <v>728</v>
      </c>
      <c r="C107" s="629">
        <v>33000</v>
      </c>
      <c r="D107" s="629">
        <v>33000</v>
      </c>
      <c r="E107" s="651" t="s">
        <v>1867</v>
      </c>
      <c r="F107" s="652"/>
      <c r="P107" s="636"/>
    </row>
    <row r="108" spans="1:25" x14ac:dyDescent="0.2">
      <c r="A108" s="659">
        <v>26</v>
      </c>
      <c r="B108" s="628" t="s">
        <v>1410</v>
      </c>
      <c r="C108" s="629">
        <v>33000</v>
      </c>
      <c r="D108" s="629">
        <v>33000</v>
      </c>
      <c r="E108" s="651" t="s">
        <v>1867</v>
      </c>
      <c r="F108" s="652"/>
      <c r="P108" s="636"/>
    </row>
    <row r="109" spans="1:25" ht="28.5" x14ac:dyDescent="0.2">
      <c r="A109" s="659">
        <v>26</v>
      </c>
      <c r="B109" s="628" t="s">
        <v>1817</v>
      </c>
      <c r="C109" s="629">
        <f t="shared" ref="C109:D109" si="6">MIN(C107:C108)</f>
        <v>33000</v>
      </c>
      <c r="D109" s="629">
        <f t="shared" si="6"/>
        <v>33000</v>
      </c>
      <c r="E109" s="651" t="s">
        <v>1867</v>
      </c>
      <c r="F109" s="652"/>
      <c r="P109" s="636"/>
    </row>
    <row r="110" spans="1:25" s="613" customFormat="1" ht="3.75" customHeight="1" x14ac:dyDescent="0.25">
      <c r="A110" s="612"/>
      <c r="B110" s="612"/>
      <c r="C110" s="612"/>
      <c r="D110" s="612"/>
      <c r="E110" s="612"/>
      <c r="F110" s="612"/>
      <c r="G110" s="612"/>
      <c r="H110" s="612"/>
      <c r="I110" s="612"/>
      <c r="J110" s="612"/>
      <c r="K110" s="612"/>
      <c r="P110" s="637"/>
      <c r="Q110" s="637"/>
      <c r="R110" s="637"/>
      <c r="S110" s="637"/>
      <c r="T110" s="637"/>
      <c r="U110" s="637"/>
      <c r="V110" s="637"/>
      <c r="W110" s="637"/>
      <c r="X110" s="637"/>
      <c r="Y110" s="637"/>
    </row>
    <row r="111" spans="1:25" ht="15" x14ac:dyDescent="0.25">
      <c r="A111" s="739" t="s">
        <v>1876</v>
      </c>
      <c r="B111" s="740"/>
      <c r="C111" s="740"/>
      <c r="D111" s="740"/>
      <c r="E111" s="739"/>
      <c r="F111" s="739"/>
      <c r="G111" s="730"/>
      <c r="H111" s="739"/>
      <c r="I111" s="739"/>
      <c r="J111" s="740"/>
      <c r="K111" s="740"/>
      <c r="L111" s="638"/>
      <c r="M111" s="661"/>
    </row>
    <row r="112" spans="1:25" ht="15" x14ac:dyDescent="0.25">
      <c r="A112" s="662"/>
      <c r="B112" s="662"/>
      <c r="C112" s="662"/>
      <c r="D112" s="663">
        <v>17899</v>
      </c>
      <c r="E112" s="663">
        <v>20120</v>
      </c>
      <c r="F112" s="663">
        <v>21878</v>
      </c>
      <c r="G112" s="663">
        <v>23663</v>
      </c>
      <c r="H112" s="663">
        <v>26540</v>
      </c>
      <c r="I112" s="663">
        <v>33082</v>
      </c>
      <c r="J112" s="663">
        <v>34758</v>
      </c>
      <c r="K112" s="663">
        <v>36087</v>
      </c>
      <c r="M112" s="664"/>
    </row>
    <row r="113" spans="1:14" ht="45" x14ac:dyDescent="0.2">
      <c r="A113" s="617" t="s">
        <v>1874</v>
      </c>
      <c r="B113" s="617" t="s">
        <v>155</v>
      </c>
      <c r="C113" s="618">
        <v>17898</v>
      </c>
      <c r="D113" s="621">
        <v>20119</v>
      </c>
      <c r="E113" s="621">
        <v>21877</v>
      </c>
      <c r="F113" s="621">
        <v>23662</v>
      </c>
      <c r="G113" s="621">
        <v>26539</v>
      </c>
      <c r="H113" s="621">
        <v>33081</v>
      </c>
      <c r="I113" s="621">
        <v>34757</v>
      </c>
      <c r="J113" s="621">
        <v>36086</v>
      </c>
      <c r="K113" s="617"/>
      <c r="M113" s="619" t="s">
        <v>1863</v>
      </c>
      <c r="N113" s="665">
        <v>31413</v>
      </c>
    </row>
    <row r="114" spans="1:14" ht="30" x14ac:dyDescent="0.2">
      <c r="A114" s="647">
        <v>6.625</v>
      </c>
      <c r="B114" s="647" t="s">
        <v>745</v>
      </c>
      <c r="C114" s="648">
        <v>30000</v>
      </c>
      <c r="D114" s="648">
        <v>30000</v>
      </c>
      <c r="E114" s="648">
        <v>35000</v>
      </c>
      <c r="F114" s="648">
        <v>35000</v>
      </c>
      <c r="G114" s="648">
        <v>35000</v>
      </c>
      <c r="H114" s="741">
        <v>35000</v>
      </c>
      <c r="I114" s="741">
        <v>35000</v>
      </c>
      <c r="J114" s="648">
        <v>35000</v>
      </c>
      <c r="K114" s="648">
        <v>35000</v>
      </c>
      <c r="M114" s="619" t="s">
        <v>1864</v>
      </c>
      <c r="N114" s="628">
        <v>8.625</v>
      </c>
    </row>
    <row r="115" spans="1:14" ht="45" x14ac:dyDescent="0.2">
      <c r="A115" s="647">
        <v>6.625</v>
      </c>
      <c r="B115" s="647" t="s">
        <v>730</v>
      </c>
      <c r="C115" s="648">
        <v>30000</v>
      </c>
      <c r="D115" s="648">
        <v>30000</v>
      </c>
      <c r="E115" s="648">
        <v>42000</v>
      </c>
      <c r="F115" s="648">
        <v>42000</v>
      </c>
      <c r="G115" s="648">
        <v>35000</v>
      </c>
      <c r="H115" s="648">
        <v>42000</v>
      </c>
      <c r="I115" s="648">
        <v>42000</v>
      </c>
      <c r="J115" s="648">
        <v>42000</v>
      </c>
      <c r="K115" s="648">
        <v>35000</v>
      </c>
      <c r="M115" s="619" t="s">
        <v>1865</v>
      </c>
      <c r="N115" s="629" t="s">
        <v>730</v>
      </c>
    </row>
    <row r="116" spans="1:14" ht="30" x14ac:dyDescent="0.2">
      <c r="A116" s="647">
        <v>6.625</v>
      </c>
      <c r="B116" s="648" t="s">
        <v>1828</v>
      </c>
      <c r="C116" s="629">
        <f>MIN(C114:C115)</f>
        <v>30000</v>
      </c>
      <c r="D116" s="629">
        <f t="shared" ref="D116:K116" si="7">MIN(D114:D115)</f>
        <v>30000</v>
      </c>
      <c r="E116" s="629">
        <f t="shared" si="7"/>
        <v>35000</v>
      </c>
      <c r="F116" s="629">
        <f t="shared" si="7"/>
        <v>35000</v>
      </c>
      <c r="G116" s="629">
        <f t="shared" si="7"/>
        <v>35000</v>
      </c>
      <c r="H116" s="629">
        <f t="shared" si="7"/>
        <v>35000</v>
      </c>
      <c r="I116" s="629">
        <f t="shared" si="7"/>
        <v>35000</v>
      </c>
      <c r="J116" s="629">
        <f t="shared" si="7"/>
        <v>35000</v>
      </c>
      <c r="K116" s="629">
        <f t="shared" si="7"/>
        <v>35000</v>
      </c>
      <c r="M116" s="619" t="s">
        <v>1866</v>
      </c>
      <c r="N116" s="626">
        <v>42000</v>
      </c>
    </row>
    <row r="117" spans="1:14" x14ac:dyDescent="0.2">
      <c r="A117" s="647">
        <v>8.625</v>
      </c>
      <c r="B117" s="648" t="s">
        <v>745</v>
      </c>
      <c r="C117" s="648">
        <v>30000</v>
      </c>
      <c r="D117" s="648">
        <v>30000</v>
      </c>
      <c r="E117" s="648">
        <v>35000</v>
      </c>
      <c r="F117" s="648">
        <v>35000</v>
      </c>
      <c r="G117" s="648">
        <v>35000</v>
      </c>
      <c r="H117" s="648">
        <v>35000</v>
      </c>
      <c r="I117" s="648">
        <v>35000</v>
      </c>
      <c r="J117" s="648">
        <v>35000</v>
      </c>
      <c r="K117" s="648">
        <v>35000</v>
      </c>
      <c r="M117" s="639"/>
    </row>
    <row r="118" spans="1:14" ht="28.5" x14ac:dyDescent="0.2">
      <c r="A118" s="647">
        <v>8.625</v>
      </c>
      <c r="B118" s="648" t="s">
        <v>730</v>
      </c>
      <c r="C118" s="648">
        <v>30000</v>
      </c>
      <c r="D118" s="648">
        <v>30000</v>
      </c>
      <c r="E118" s="648">
        <v>42000</v>
      </c>
      <c r="F118" s="648">
        <v>42000</v>
      </c>
      <c r="G118" s="648">
        <v>35000</v>
      </c>
      <c r="H118" s="648">
        <v>42000</v>
      </c>
      <c r="I118" s="648">
        <v>42000</v>
      </c>
      <c r="J118" s="648">
        <v>42000</v>
      </c>
      <c r="K118" s="648">
        <v>35000</v>
      </c>
      <c r="M118" s="639"/>
    </row>
    <row r="119" spans="1:14" ht="28.5" x14ac:dyDescent="0.2">
      <c r="A119" s="647">
        <v>8.625</v>
      </c>
      <c r="B119" s="648" t="s">
        <v>1828</v>
      </c>
      <c r="C119" s="629">
        <f>MIN(C117:C118)</f>
        <v>30000</v>
      </c>
      <c r="D119" s="629">
        <f t="shared" ref="D119:K119" si="8">MIN(D117:D118)</f>
        <v>30000</v>
      </c>
      <c r="E119" s="629">
        <f t="shared" si="8"/>
        <v>35000</v>
      </c>
      <c r="F119" s="629">
        <f t="shared" si="8"/>
        <v>35000</v>
      </c>
      <c r="G119" s="629">
        <f t="shared" si="8"/>
        <v>35000</v>
      </c>
      <c r="H119" s="629">
        <f t="shared" si="8"/>
        <v>35000</v>
      </c>
      <c r="I119" s="629">
        <f t="shared" si="8"/>
        <v>35000</v>
      </c>
      <c r="J119" s="629">
        <f t="shared" si="8"/>
        <v>35000</v>
      </c>
      <c r="K119" s="629">
        <f t="shared" si="8"/>
        <v>35000</v>
      </c>
      <c r="M119" s="639"/>
    </row>
    <row r="120" spans="1:14" x14ac:dyDescent="0.2">
      <c r="A120" s="628">
        <v>10.75</v>
      </c>
      <c r="B120" s="629" t="s">
        <v>745</v>
      </c>
      <c r="C120" s="629">
        <v>30000</v>
      </c>
      <c r="D120" s="629">
        <v>35000</v>
      </c>
      <c r="E120" s="629">
        <v>35000</v>
      </c>
      <c r="F120" s="629">
        <v>35000</v>
      </c>
      <c r="G120" s="629">
        <v>35000</v>
      </c>
      <c r="H120" s="629">
        <v>35000</v>
      </c>
      <c r="I120" s="629">
        <v>35000</v>
      </c>
      <c r="J120" s="629">
        <v>35000</v>
      </c>
      <c r="K120" s="629">
        <v>35000</v>
      </c>
      <c r="M120" s="639"/>
    </row>
    <row r="121" spans="1:14" ht="28.5" x14ac:dyDescent="0.2">
      <c r="A121" s="628">
        <v>10.75</v>
      </c>
      <c r="B121" s="629" t="s">
        <v>730</v>
      </c>
      <c r="C121" s="629">
        <v>30000</v>
      </c>
      <c r="D121" s="629">
        <v>35000</v>
      </c>
      <c r="E121" s="629">
        <v>42000</v>
      </c>
      <c r="F121" s="629">
        <v>42000</v>
      </c>
      <c r="G121" s="629">
        <v>35000</v>
      </c>
      <c r="H121" s="629">
        <v>35000</v>
      </c>
      <c r="I121" s="629">
        <v>35000</v>
      </c>
      <c r="J121" s="629">
        <v>35000</v>
      </c>
      <c r="K121" s="629">
        <v>35000</v>
      </c>
      <c r="M121" s="639"/>
    </row>
    <row r="122" spans="1:14" ht="28.5" x14ac:dyDescent="0.2">
      <c r="A122" s="628">
        <v>10.75</v>
      </c>
      <c r="B122" s="629" t="s">
        <v>1828</v>
      </c>
      <c r="C122" s="629">
        <f>MIN(C120:C121)</f>
        <v>30000</v>
      </c>
      <c r="D122" s="629">
        <f t="shared" ref="D122:K122" si="9">MIN(D120:D121)</f>
        <v>35000</v>
      </c>
      <c r="E122" s="629">
        <f t="shared" si="9"/>
        <v>35000</v>
      </c>
      <c r="F122" s="629">
        <f t="shared" si="9"/>
        <v>35000</v>
      </c>
      <c r="G122" s="629">
        <f t="shared" si="9"/>
        <v>35000</v>
      </c>
      <c r="H122" s="629">
        <f t="shared" si="9"/>
        <v>35000</v>
      </c>
      <c r="I122" s="629">
        <f t="shared" si="9"/>
        <v>35000</v>
      </c>
      <c r="J122" s="629">
        <f t="shared" si="9"/>
        <v>35000</v>
      </c>
      <c r="K122" s="629">
        <f t="shared" si="9"/>
        <v>35000</v>
      </c>
      <c r="M122" s="639"/>
    </row>
    <row r="123" spans="1:14" x14ac:dyDescent="0.2">
      <c r="A123" s="628">
        <v>12.75</v>
      </c>
      <c r="B123" s="629" t="s">
        <v>745</v>
      </c>
      <c r="C123" s="629">
        <v>30000</v>
      </c>
      <c r="D123" s="629">
        <v>35000</v>
      </c>
      <c r="E123" s="629">
        <v>35000</v>
      </c>
      <c r="F123" s="629">
        <v>35000</v>
      </c>
      <c r="G123" s="629">
        <v>35000</v>
      </c>
      <c r="H123" s="629">
        <v>35000</v>
      </c>
      <c r="I123" s="629">
        <v>35000</v>
      </c>
      <c r="J123" s="629">
        <v>35000</v>
      </c>
      <c r="K123" s="629">
        <v>35000</v>
      </c>
    </row>
    <row r="124" spans="1:14" ht="28.5" x14ac:dyDescent="0.2">
      <c r="A124" s="628">
        <v>12.75</v>
      </c>
      <c r="B124" s="629" t="s">
        <v>730</v>
      </c>
      <c r="C124" s="629">
        <v>30000</v>
      </c>
      <c r="D124" s="629">
        <v>35000</v>
      </c>
      <c r="E124" s="629">
        <v>35000</v>
      </c>
      <c r="F124" s="629">
        <v>42000</v>
      </c>
      <c r="G124" s="629">
        <v>35000</v>
      </c>
      <c r="H124" s="629">
        <v>35000</v>
      </c>
      <c r="I124" s="629">
        <v>35000</v>
      </c>
      <c r="J124" s="629">
        <v>35000</v>
      </c>
      <c r="K124" s="629">
        <v>35000</v>
      </c>
    </row>
    <row r="125" spans="1:14" ht="28.5" x14ac:dyDescent="0.2">
      <c r="A125" s="628">
        <v>12.75</v>
      </c>
      <c r="B125" s="629" t="s">
        <v>1828</v>
      </c>
      <c r="C125" s="629">
        <f>MIN(C123:C124)</f>
        <v>30000</v>
      </c>
      <c r="D125" s="629">
        <f t="shared" ref="D125:K125" si="10">MIN(D123:D124)</f>
        <v>35000</v>
      </c>
      <c r="E125" s="629">
        <f t="shared" si="10"/>
        <v>35000</v>
      </c>
      <c r="F125" s="629">
        <f t="shared" si="10"/>
        <v>35000</v>
      </c>
      <c r="G125" s="629">
        <f t="shared" si="10"/>
        <v>35000</v>
      </c>
      <c r="H125" s="629">
        <f t="shared" si="10"/>
        <v>35000</v>
      </c>
      <c r="I125" s="629">
        <f t="shared" si="10"/>
        <v>35000</v>
      </c>
      <c r="J125" s="629">
        <f t="shared" si="10"/>
        <v>35000</v>
      </c>
      <c r="K125" s="629">
        <f t="shared" si="10"/>
        <v>35000</v>
      </c>
    </row>
    <row r="126" spans="1:14" x14ac:dyDescent="0.2">
      <c r="A126" s="628">
        <v>14</v>
      </c>
      <c r="B126" s="629" t="s">
        <v>745</v>
      </c>
      <c r="C126" s="629">
        <v>30000</v>
      </c>
      <c r="D126" s="629">
        <v>35000</v>
      </c>
      <c r="E126" s="629">
        <v>35000</v>
      </c>
      <c r="F126" s="629">
        <v>35000</v>
      </c>
      <c r="G126" s="629">
        <v>35000</v>
      </c>
      <c r="H126" s="629">
        <v>35000</v>
      </c>
      <c r="I126" s="629">
        <v>35000</v>
      </c>
      <c r="J126" s="629">
        <v>35000</v>
      </c>
      <c r="K126" s="629">
        <v>35000</v>
      </c>
    </row>
    <row r="127" spans="1:14" ht="28.5" x14ac:dyDescent="0.2">
      <c r="A127" s="628">
        <v>14</v>
      </c>
      <c r="B127" s="629" t="s">
        <v>730</v>
      </c>
      <c r="C127" s="629">
        <v>30000</v>
      </c>
      <c r="D127" s="629">
        <v>35000</v>
      </c>
      <c r="E127" s="629">
        <v>42000</v>
      </c>
      <c r="F127" s="629">
        <v>42000</v>
      </c>
      <c r="G127" s="629">
        <v>35000</v>
      </c>
      <c r="H127" s="629">
        <v>35000</v>
      </c>
      <c r="I127" s="629">
        <v>35000</v>
      </c>
      <c r="J127" s="629">
        <v>35000</v>
      </c>
      <c r="K127" s="629">
        <v>35000</v>
      </c>
    </row>
    <row r="128" spans="1:14" ht="28.5" x14ac:dyDescent="0.2">
      <c r="A128" s="628">
        <v>14</v>
      </c>
      <c r="B128" s="629" t="s">
        <v>1828</v>
      </c>
      <c r="C128" s="629">
        <f>MIN(C126:C127)</f>
        <v>30000</v>
      </c>
      <c r="D128" s="629">
        <f t="shared" ref="D128:K128" si="11">MIN(D126:D127)</f>
        <v>35000</v>
      </c>
      <c r="E128" s="629">
        <f t="shared" si="11"/>
        <v>35000</v>
      </c>
      <c r="F128" s="629">
        <f t="shared" si="11"/>
        <v>35000</v>
      </c>
      <c r="G128" s="629">
        <f t="shared" si="11"/>
        <v>35000</v>
      </c>
      <c r="H128" s="629">
        <f t="shared" si="11"/>
        <v>35000</v>
      </c>
      <c r="I128" s="629">
        <f t="shared" si="11"/>
        <v>35000</v>
      </c>
      <c r="J128" s="629">
        <f t="shared" si="11"/>
        <v>35000</v>
      </c>
      <c r="K128" s="629">
        <f t="shared" si="11"/>
        <v>35000</v>
      </c>
    </row>
    <row r="129" spans="1:11" x14ac:dyDescent="0.2">
      <c r="A129" s="628">
        <v>16</v>
      </c>
      <c r="B129" s="629" t="s">
        <v>745</v>
      </c>
      <c r="C129" s="629">
        <v>30000</v>
      </c>
      <c r="D129" s="629">
        <v>35000</v>
      </c>
      <c r="E129" s="629">
        <v>35000</v>
      </c>
      <c r="F129" s="629">
        <v>35000</v>
      </c>
      <c r="G129" s="629">
        <v>35000</v>
      </c>
      <c r="H129" s="629">
        <v>35000</v>
      </c>
      <c r="I129" s="629">
        <v>35000</v>
      </c>
      <c r="J129" s="629">
        <v>35000</v>
      </c>
      <c r="K129" s="629">
        <v>35000</v>
      </c>
    </row>
    <row r="130" spans="1:11" ht="28.5" x14ac:dyDescent="0.2">
      <c r="A130" s="628">
        <v>16</v>
      </c>
      <c r="B130" s="629" t="s">
        <v>730</v>
      </c>
      <c r="C130" s="629">
        <v>30000</v>
      </c>
      <c r="D130" s="629">
        <v>35000</v>
      </c>
      <c r="E130" s="629">
        <v>42000</v>
      </c>
      <c r="F130" s="629">
        <v>42000</v>
      </c>
      <c r="G130" s="629">
        <v>35000</v>
      </c>
      <c r="H130" s="629">
        <v>35000</v>
      </c>
      <c r="I130" s="629">
        <v>35000</v>
      </c>
      <c r="J130" s="629">
        <v>35000</v>
      </c>
      <c r="K130" s="629">
        <v>35000</v>
      </c>
    </row>
    <row r="131" spans="1:11" ht="28.5" x14ac:dyDescent="0.2">
      <c r="A131" s="628">
        <v>16</v>
      </c>
      <c r="B131" s="629" t="s">
        <v>1828</v>
      </c>
      <c r="C131" s="629">
        <f t="shared" ref="C131:K131" si="12">MIN(C129:C130)</f>
        <v>30000</v>
      </c>
      <c r="D131" s="629">
        <f t="shared" si="12"/>
        <v>35000</v>
      </c>
      <c r="E131" s="629">
        <f t="shared" si="12"/>
        <v>35000</v>
      </c>
      <c r="F131" s="629">
        <f t="shared" si="12"/>
        <v>35000</v>
      </c>
      <c r="G131" s="629">
        <f t="shared" si="12"/>
        <v>35000</v>
      </c>
      <c r="H131" s="629">
        <f t="shared" si="12"/>
        <v>35000</v>
      </c>
      <c r="I131" s="629">
        <f t="shared" si="12"/>
        <v>35000</v>
      </c>
      <c r="J131" s="629">
        <f t="shared" si="12"/>
        <v>35000</v>
      </c>
      <c r="K131" s="629">
        <f t="shared" si="12"/>
        <v>35000</v>
      </c>
    </row>
    <row r="132" spans="1:11" x14ac:dyDescent="0.2">
      <c r="A132" s="628">
        <v>18</v>
      </c>
      <c r="B132" s="629" t="s">
        <v>745</v>
      </c>
      <c r="C132" s="629">
        <v>30000</v>
      </c>
      <c r="D132" s="629">
        <v>35000</v>
      </c>
      <c r="E132" s="629">
        <v>35000</v>
      </c>
      <c r="F132" s="629">
        <v>35000</v>
      </c>
      <c r="G132" s="629">
        <v>35000</v>
      </c>
      <c r="H132" s="629">
        <v>42000</v>
      </c>
      <c r="I132" s="629">
        <v>42000</v>
      </c>
      <c r="J132" s="629">
        <v>42000</v>
      </c>
      <c r="K132" s="629">
        <v>35000</v>
      </c>
    </row>
    <row r="133" spans="1:11" ht="28.5" x14ac:dyDescent="0.2">
      <c r="A133" s="628">
        <v>18</v>
      </c>
      <c r="B133" s="629" t="s">
        <v>730</v>
      </c>
      <c r="C133" s="629">
        <v>30000</v>
      </c>
      <c r="D133" s="629">
        <v>35000</v>
      </c>
      <c r="E133" s="629">
        <v>42000</v>
      </c>
      <c r="F133" s="629">
        <v>35000</v>
      </c>
      <c r="G133" s="629">
        <v>35000</v>
      </c>
      <c r="H133" s="629">
        <v>42000</v>
      </c>
      <c r="I133" s="629">
        <v>42000</v>
      </c>
      <c r="J133" s="629">
        <v>42000</v>
      </c>
      <c r="K133" s="629">
        <v>35000</v>
      </c>
    </row>
    <row r="134" spans="1:11" ht="28.5" x14ac:dyDescent="0.2">
      <c r="A134" s="628">
        <v>18</v>
      </c>
      <c r="B134" s="629" t="s">
        <v>729</v>
      </c>
      <c r="C134" s="629">
        <v>35000</v>
      </c>
      <c r="D134" s="629">
        <v>35000</v>
      </c>
      <c r="E134" s="629">
        <v>35000</v>
      </c>
      <c r="F134" s="629">
        <v>35000</v>
      </c>
      <c r="G134" s="629">
        <v>35000</v>
      </c>
      <c r="H134" s="629">
        <v>42000</v>
      </c>
      <c r="I134" s="629">
        <v>42000</v>
      </c>
      <c r="J134" s="629">
        <v>42000</v>
      </c>
      <c r="K134" s="629">
        <v>42000</v>
      </c>
    </row>
    <row r="135" spans="1:11" ht="57" x14ac:dyDescent="0.2">
      <c r="A135" s="628">
        <v>18</v>
      </c>
      <c r="B135" s="629" t="s">
        <v>1830</v>
      </c>
      <c r="C135" s="629">
        <f>MIN(C132:C134)</f>
        <v>30000</v>
      </c>
      <c r="D135" s="629">
        <f t="shared" ref="D135:K135" si="13">MIN(D132:D134)</f>
        <v>35000</v>
      </c>
      <c r="E135" s="629">
        <f t="shared" si="13"/>
        <v>35000</v>
      </c>
      <c r="F135" s="629">
        <f t="shared" si="13"/>
        <v>35000</v>
      </c>
      <c r="G135" s="629">
        <f t="shared" si="13"/>
        <v>35000</v>
      </c>
      <c r="H135" s="629">
        <f t="shared" si="13"/>
        <v>42000</v>
      </c>
      <c r="I135" s="629">
        <f t="shared" si="13"/>
        <v>42000</v>
      </c>
      <c r="J135" s="629">
        <f t="shared" si="13"/>
        <v>42000</v>
      </c>
      <c r="K135" s="629">
        <f t="shared" si="13"/>
        <v>35000</v>
      </c>
    </row>
    <row r="136" spans="1:11" x14ac:dyDescent="0.2">
      <c r="A136" s="628">
        <v>20</v>
      </c>
      <c r="B136" s="629" t="s">
        <v>745</v>
      </c>
      <c r="C136" s="629">
        <v>30000</v>
      </c>
      <c r="D136" s="629">
        <v>35000</v>
      </c>
      <c r="E136" s="629">
        <v>35000</v>
      </c>
      <c r="F136" s="629">
        <v>35000</v>
      </c>
      <c r="G136" s="629">
        <v>35000</v>
      </c>
      <c r="H136" s="629">
        <v>42000</v>
      </c>
      <c r="I136" s="629">
        <v>42000</v>
      </c>
      <c r="J136" s="629">
        <v>42000</v>
      </c>
      <c r="K136" s="629">
        <v>35000</v>
      </c>
    </row>
    <row r="137" spans="1:11" ht="28.5" x14ac:dyDescent="0.2">
      <c r="A137" s="628">
        <v>20</v>
      </c>
      <c r="B137" s="629" t="s">
        <v>729</v>
      </c>
      <c r="C137" s="629">
        <v>35000</v>
      </c>
      <c r="D137" s="629">
        <v>35000</v>
      </c>
      <c r="E137" s="629">
        <v>42000</v>
      </c>
      <c r="F137" s="629">
        <v>35000</v>
      </c>
      <c r="G137" s="629">
        <v>35000</v>
      </c>
      <c r="H137" s="629">
        <v>42000</v>
      </c>
      <c r="I137" s="629">
        <v>42000</v>
      </c>
      <c r="J137" s="629">
        <v>42000</v>
      </c>
      <c r="K137" s="629">
        <v>42000</v>
      </c>
    </row>
    <row r="138" spans="1:11" ht="28.5" x14ac:dyDescent="0.2">
      <c r="A138" s="628">
        <v>20</v>
      </c>
      <c r="B138" s="629" t="s">
        <v>1832</v>
      </c>
      <c r="C138" s="629">
        <f>MIN(C136:C137)</f>
        <v>30000</v>
      </c>
      <c r="D138" s="629">
        <f t="shared" ref="D138:K138" si="14">MIN(D136:D137)</f>
        <v>35000</v>
      </c>
      <c r="E138" s="629">
        <f t="shared" si="14"/>
        <v>35000</v>
      </c>
      <c r="F138" s="629">
        <f t="shared" si="14"/>
        <v>35000</v>
      </c>
      <c r="G138" s="629">
        <f t="shared" si="14"/>
        <v>35000</v>
      </c>
      <c r="H138" s="629">
        <f t="shared" si="14"/>
        <v>42000</v>
      </c>
      <c r="I138" s="629">
        <f t="shared" si="14"/>
        <v>42000</v>
      </c>
      <c r="J138" s="629">
        <f t="shared" si="14"/>
        <v>42000</v>
      </c>
      <c r="K138" s="629">
        <f t="shared" si="14"/>
        <v>35000</v>
      </c>
    </row>
    <row r="139" spans="1:11" x14ac:dyDescent="0.2">
      <c r="A139" s="628">
        <v>22</v>
      </c>
      <c r="B139" s="629" t="s">
        <v>745</v>
      </c>
      <c r="C139" s="629">
        <v>30000</v>
      </c>
      <c r="D139" s="629">
        <v>35000</v>
      </c>
      <c r="E139" s="629">
        <v>35000</v>
      </c>
      <c r="F139" s="629">
        <v>35000</v>
      </c>
      <c r="G139" s="629">
        <v>35000</v>
      </c>
      <c r="H139" s="629">
        <v>42000</v>
      </c>
      <c r="I139" s="629">
        <v>42000</v>
      </c>
      <c r="J139" s="629">
        <v>42000</v>
      </c>
      <c r="K139" s="629">
        <v>35000</v>
      </c>
    </row>
    <row r="140" spans="1:11" ht="28.5" x14ac:dyDescent="0.2">
      <c r="A140" s="628">
        <v>22</v>
      </c>
      <c r="B140" s="629" t="s">
        <v>729</v>
      </c>
      <c r="C140" s="629">
        <v>35000</v>
      </c>
      <c r="D140" s="629">
        <v>35000</v>
      </c>
      <c r="E140" s="629">
        <v>42000</v>
      </c>
      <c r="F140" s="629">
        <v>35000</v>
      </c>
      <c r="G140" s="629">
        <v>35000</v>
      </c>
      <c r="H140" s="629">
        <v>35000</v>
      </c>
      <c r="I140" s="629">
        <v>35000</v>
      </c>
      <c r="J140" s="629">
        <v>42000</v>
      </c>
      <c r="K140" s="629">
        <v>35000</v>
      </c>
    </row>
    <row r="141" spans="1:11" ht="28.5" x14ac:dyDescent="0.2">
      <c r="A141" s="628">
        <v>22</v>
      </c>
      <c r="B141" s="629" t="s">
        <v>1832</v>
      </c>
      <c r="C141" s="629">
        <f>MIN(C139:C140)</f>
        <v>30000</v>
      </c>
      <c r="D141" s="629">
        <f t="shared" ref="D141:K141" si="15">MIN(D139:D140)</f>
        <v>35000</v>
      </c>
      <c r="E141" s="629">
        <f t="shared" si="15"/>
        <v>35000</v>
      </c>
      <c r="F141" s="629">
        <f t="shared" si="15"/>
        <v>35000</v>
      </c>
      <c r="G141" s="629">
        <f t="shared" si="15"/>
        <v>35000</v>
      </c>
      <c r="H141" s="629">
        <f t="shared" si="15"/>
        <v>35000</v>
      </c>
      <c r="I141" s="629">
        <f t="shared" si="15"/>
        <v>35000</v>
      </c>
      <c r="J141" s="629">
        <f t="shared" si="15"/>
        <v>42000</v>
      </c>
      <c r="K141" s="629">
        <f t="shared" si="15"/>
        <v>35000</v>
      </c>
    </row>
    <row r="142" spans="1:11" x14ac:dyDescent="0.2">
      <c r="A142" s="628">
        <v>24</v>
      </c>
      <c r="B142" s="629" t="s">
        <v>745</v>
      </c>
      <c r="C142" s="629">
        <v>30000</v>
      </c>
      <c r="D142" s="629">
        <v>35000</v>
      </c>
      <c r="E142" s="629">
        <v>35000</v>
      </c>
      <c r="F142" s="629">
        <v>35000</v>
      </c>
      <c r="G142" s="629">
        <v>35000</v>
      </c>
      <c r="H142" s="629">
        <v>35000</v>
      </c>
      <c r="I142" s="629">
        <v>35000</v>
      </c>
      <c r="J142" s="629">
        <v>42000</v>
      </c>
      <c r="K142" s="629">
        <v>35000</v>
      </c>
    </row>
    <row r="143" spans="1:11" ht="28.5" x14ac:dyDescent="0.2">
      <c r="A143" s="628">
        <v>24</v>
      </c>
      <c r="B143" s="629" t="s">
        <v>729</v>
      </c>
      <c r="C143" s="629">
        <v>35000</v>
      </c>
      <c r="D143" s="629">
        <v>35000</v>
      </c>
      <c r="E143" s="629">
        <v>42000</v>
      </c>
      <c r="F143" s="629">
        <v>35000</v>
      </c>
      <c r="G143" s="629">
        <v>35000</v>
      </c>
      <c r="H143" s="629">
        <v>42000</v>
      </c>
      <c r="I143" s="629">
        <v>42000</v>
      </c>
      <c r="J143" s="629">
        <v>42000</v>
      </c>
      <c r="K143" s="629">
        <v>42000</v>
      </c>
    </row>
    <row r="144" spans="1:11" ht="28.5" x14ac:dyDescent="0.2">
      <c r="A144" s="628">
        <v>24</v>
      </c>
      <c r="B144" s="629" t="s">
        <v>1832</v>
      </c>
      <c r="C144" s="629">
        <f t="shared" ref="C144:K144" si="16">MIN(C142:C143)</f>
        <v>30000</v>
      </c>
      <c r="D144" s="629">
        <f t="shared" si="16"/>
        <v>35000</v>
      </c>
      <c r="E144" s="629">
        <f t="shared" si="16"/>
        <v>35000</v>
      </c>
      <c r="F144" s="629">
        <f t="shared" si="16"/>
        <v>35000</v>
      </c>
      <c r="G144" s="629">
        <f t="shared" si="16"/>
        <v>35000</v>
      </c>
      <c r="H144" s="629">
        <f t="shared" si="16"/>
        <v>35000</v>
      </c>
      <c r="I144" s="629">
        <f t="shared" si="16"/>
        <v>35000</v>
      </c>
      <c r="J144" s="629">
        <f t="shared" si="16"/>
        <v>42000</v>
      </c>
      <c r="K144" s="629">
        <f t="shared" si="16"/>
        <v>35000</v>
      </c>
    </row>
    <row r="145" spans="1:25" x14ac:dyDescent="0.2">
      <c r="A145" s="628">
        <v>26</v>
      </c>
      <c r="B145" s="629" t="s">
        <v>745</v>
      </c>
      <c r="C145" s="629" t="s">
        <v>1867</v>
      </c>
      <c r="D145" s="629" t="s">
        <v>1867</v>
      </c>
      <c r="E145" s="629" t="s">
        <v>1867</v>
      </c>
      <c r="F145" s="629" t="s">
        <v>1867</v>
      </c>
      <c r="G145" s="629" t="s">
        <v>1867</v>
      </c>
      <c r="H145" s="629" t="s">
        <v>1867</v>
      </c>
      <c r="I145" s="629" t="s">
        <v>1867</v>
      </c>
      <c r="J145" s="629" t="s">
        <v>1867</v>
      </c>
      <c r="K145" s="629" t="s">
        <v>1867</v>
      </c>
    </row>
    <row r="146" spans="1:25" ht="28.5" x14ac:dyDescent="0.2">
      <c r="A146" s="628">
        <v>26</v>
      </c>
      <c r="B146" s="629" t="s">
        <v>729</v>
      </c>
      <c r="C146" s="629">
        <v>35000</v>
      </c>
      <c r="D146" s="629">
        <v>35000</v>
      </c>
      <c r="E146" s="629">
        <v>35000</v>
      </c>
      <c r="F146" s="629">
        <v>35000</v>
      </c>
      <c r="G146" s="629">
        <v>35000</v>
      </c>
      <c r="H146" s="629">
        <v>42000</v>
      </c>
      <c r="I146" s="629">
        <v>42000</v>
      </c>
      <c r="J146" s="629">
        <v>42000</v>
      </c>
      <c r="K146" s="629">
        <v>42000</v>
      </c>
    </row>
    <row r="147" spans="1:25" ht="28.5" x14ac:dyDescent="0.2">
      <c r="A147" s="628">
        <v>26</v>
      </c>
      <c r="B147" s="629" t="s">
        <v>1832</v>
      </c>
      <c r="C147" s="629">
        <f t="shared" ref="C147:K147" si="17">MIN(C145:C146)</f>
        <v>35000</v>
      </c>
      <c r="D147" s="629">
        <f t="shared" si="17"/>
        <v>35000</v>
      </c>
      <c r="E147" s="629">
        <f t="shared" si="17"/>
        <v>35000</v>
      </c>
      <c r="F147" s="629">
        <f t="shared" si="17"/>
        <v>35000</v>
      </c>
      <c r="G147" s="629">
        <f t="shared" si="17"/>
        <v>35000</v>
      </c>
      <c r="H147" s="629">
        <f t="shared" si="17"/>
        <v>42000</v>
      </c>
      <c r="I147" s="629">
        <f t="shared" si="17"/>
        <v>42000</v>
      </c>
      <c r="J147" s="629">
        <f t="shared" si="17"/>
        <v>42000</v>
      </c>
      <c r="K147" s="629">
        <f t="shared" si="17"/>
        <v>42000</v>
      </c>
    </row>
    <row r="148" spans="1:25" ht="28.5" x14ac:dyDescent="0.2">
      <c r="A148" s="628">
        <v>30</v>
      </c>
      <c r="B148" s="629" t="s">
        <v>729</v>
      </c>
      <c r="C148" s="629">
        <v>35000</v>
      </c>
      <c r="D148" s="629">
        <v>35000</v>
      </c>
      <c r="E148" s="629">
        <v>35000</v>
      </c>
      <c r="F148" s="629">
        <v>35000</v>
      </c>
      <c r="G148" s="629">
        <v>35000</v>
      </c>
      <c r="H148" s="629">
        <v>52000</v>
      </c>
      <c r="I148" s="629">
        <v>42000</v>
      </c>
      <c r="J148" s="629">
        <v>42000</v>
      </c>
      <c r="K148" s="629">
        <v>42000</v>
      </c>
    </row>
    <row r="149" spans="1:25" ht="28.5" x14ac:dyDescent="0.2">
      <c r="A149" s="628">
        <v>32</v>
      </c>
      <c r="B149" s="629" t="s">
        <v>729</v>
      </c>
      <c r="C149" s="629">
        <v>35000</v>
      </c>
      <c r="D149" s="629">
        <v>35000</v>
      </c>
      <c r="E149" s="629">
        <v>35000</v>
      </c>
      <c r="F149" s="629">
        <v>35000</v>
      </c>
      <c r="G149" s="629">
        <v>35000</v>
      </c>
      <c r="H149" s="629">
        <v>60000</v>
      </c>
      <c r="I149" s="629">
        <v>42000</v>
      </c>
      <c r="J149" s="629">
        <v>42000</v>
      </c>
      <c r="K149" s="629">
        <v>42000</v>
      </c>
    </row>
    <row r="150" spans="1:25" ht="28.5" x14ac:dyDescent="0.2">
      <c r="A150" s="628">
        <v>34</v>
      </c>
      <c r="B150" s="629" t="s">
        <v>729</v>
      </c>
      <c r="C150" s="629">
        <v>35000</v>
      </c>
      <c r="D150" s="629">
        <v>35000</v>
      </c>
      <c r="E150" s="629">
        <v>35000</v>
      </c>
      <c r="F150" s="629">
        <v>35000</v>
      </c>
      <c r="G150" s="629">
        <v>42000</v>
      </c>
      <c r="H150" s="629">
        <v>65000</v>
      </c>
      <c r="I150" s="629">
        <v>42000</v>
      </c>
      <c r="J150" s="629">
        <v>42000</v>
      </c>
      <c r="K150" s="629">
        <v>42000</v>
      </c>
    </row>
    <row r="151" spans="1:25" ht="28.5" x14ac:dyDescent="0.2">
      <c r="A151" s="628">
        <v>36</v>
      </c>
      <c r="B151" s="629" t="s">
        <v>729</v>
      </c>
      <c r="C151" s="629">
        <v>35000</v>
      </c>
      <c r="D151" s="629">
        <v>35000</v>
      </c>
      <c r="E151" s="629">
        <v>35000</v>
      </c>
      <c r="F151" s="629">
        <v>35000</v>
      </c>
      <c r="G151" s="629">
        <v>42000</v>
      </c>
      <c r="H151" s="629">
        <v>60000</v>
      </c>
      <c r="I151" s="629">
        <v>42000</v>
      </c>
      <c r="J151" s="629">
        <v>42000</v>
      </c>
      <c r="K151" s="629">
        <v>42000</v>
      </c>
    </row>
    <row r="152" spans="1:25" ht="28.5" x14ac:dyDescent="0.2">
      <c r="A152" s="628">
        <v>40</v>
      </c>
      <c r="B152" s="629" t="s">
        <v>729</v>
      </c>
      <c r="C152" s="629">
        <v>35000</v>
      </c>
      <c r="D152" s="629">
        <v>35000</v>
      </c>
      <c r="E152" s="629">
        <v>35000</v>
      </c>
      <c r="F152" s="629">
        <v>35000</v>
      </c>
      <c r="G152" s="629">
        <v>42000</v>
      </c>
      <c r="H152" s="629">
        <v>60000</v>
      </c>
      <c r="I152" s="629">
        <v>42000</v>
      </c>
      <c r="J152" s="629">
        <v>42000</v>
      </c>
      <c r="K152" s="629">
        <v>42000</v>
      </c>
    </row>
    <row r="153" spans="1:25" s="613" customFormat="1" ht="3.75" customHeight="1" x14ac:dyDescent="0.25">
      <c r="A153" s="666">
        <v>42</v>
      </c>
      <c r="B153" s="666" t="s">
        <v>729</v>
      </c>
      <c r="C153" s="667">
        <v>35000</v>
      </c>
      <c r="D153" s="667">
        <v>35000</v>
      </c>
      <c r="E153" s="667">
        <v>35000</v>
      </c>
      <c r="F153" s="667">
        <v>35000</v>
      </c>
      <c r="G153" s="667">
        <v>42000</v>
      </c>
      <c r="H153" s="667">
        <v>60000</v>
      </c>
      <c r="I153" s="667">
        <v>42000</v>
      </c>
      <c r="J153" s="667">
        <v>42000</v>
      </c>
      <c r="K153" s="667">
        <v>42000</v>
      </c>
      <c r="P153" s="637"/>
      <c r="Q153" s="637"/>
      <c r="R153" s="637"/>
      <c r="S153" s="637"/>
      <c r="T153" s="637"/>
      <c r="U153" s="637"/>
      <c r="V153" s="637"/>
      <c r="W153" s="637"/>
      <c r="X153" s="637"/>
      <c r="Y153" s="637"/>
    </row>
    <row r="154" spans="1:25" ht="15" x14ac:dyDescent="0.2">
      <c r="A154" s="612"/>
      <c r="B154" s="612"/>
      <c r="C154" s="612"/>
      <c r="D154" s="612"/>
      <c r="E154" s="612"/>
      <c r="F154" s="612"/>
      <c r="G154" s="612"/>
      <c r="H154" s="612"/>
      <c r="I154" s="612"/>
      <c r="J154" s="612"/>
      <c r="K154" s="612"/>
    </row>
    <row r="155" spans="1:25" ht="15" x14ac:dyDescent="0.25">
      <c r="A155" s="668" t="s">
        <v>1877</v>
      </c>
      <c r="B155" s="615"/>
      <c r="C155" s="615"/>
      <c r="D155" s="614"/>
      <c r="E155" s="614"/>
      <c r="F155" s="614"/>
      <c r="G155" s="614"/>
      <c r="H155" s="614"/>
      <c r="I155" s="614"/>
      <c r="J155" s="638"/>
      <c r="K155" s="669"/>
    </row>
    <row r="156" spans="1:25" ht="15" x14ac:dyDescent="0.2">
      <c r="A156" s="670"/>
      <c r="B156" s="671"/>
      <c r="C156" s="672"/>
      <c r="D156" s="673">
        <v>15398</v>
      </c>
      <c r="E156" s="672">
        <v>18671</v>
      </c>
      <c r="F156" s="672">
        <v>21878</v>
      </c>
      <c r="G156" s="672">
        <v>24772</v>
      </c>
      <c r="H156" s="672">
        <v>25220</v>
      </c>
      <c r="I156" s="672">
        <v>26540</v>
      </c>
      <c r="J156" s="669"/>
      <c r="K156" s="674" t="s">
        <v>1863</v>
      </c>
      <c r="L156" s="665">
        <v>26540</v>
      </c>
    </row>
    <row r="157" spans="1:25" ht="15" x14ac:dyDescent="0.2">
      <c r="A157" s="675" t="s">
        <v>1878</v>
      </c>
      <c r="B157" s="675" t="s">
        <v>1879</v>
      </c>
      <c r="C157" s="676">
        <v>15397</v>
      </c>
      <c r="D157" s="677">
        <v>18670</v>
      </c>
      <c r="E157" s="677">
        <v>21877</v>
      </c>
      <c r="F157" s="677">
        <v>24771</v>
      </c>
      <c r="G157" s="677">
        <v>25219</v>
      </c>
      <c r="H157" s="677">
        <v>26539</v>
      </c>
      <c r="I157" s="678"/>
      <c r="J157" s="669"/>
      <c r="K157" s="674" t="s">
        <v>1880</v>
      </c>
      <c r="L157" s="679">
        <v>3.5</v>
      </c>
    </row>
    <row r="158" spans="1:25" ht="28.5" x14ac:dyDescent="0.2">
      <c r="A158" s="680">
        <v>0.54</v>
      </c>
      <c r="B158" s="646" t="s">
        <v>748</v>
      </c>
      <c r="C158" s="681">
        <v>0.109</v>
      </c>
      <c r="D158" s="681">
        <v>0.109</v>
      </c>
      <c r="E158" s="681">
        <v>0.109</v>
      </c>
      <c r="F158" s="681">
        <v>0.109</v>
      </c>
      <c r="G158" s="681">
        <v>0.109</v>
      </c>
      <c r="H158" s="681">
        <v>0.109</v>
      </c>
      <c r="I158" s="681">
        <v>0.109</v>
      </c>
      <c r="J158" s="669"/>
      <c r="K158" s="674" t="s">
        <v>1881</v>
      </c>
      <c r="L158" s="646" t="s">
        <v>748</v>
      </c>
    </row>
    <row r="159" spans="1:25" ht="28.5" customHeight="1" x14ac:dyDescent="0.2">
      <c r="A159" s="680">
        <v>0.54</v>
      </c>
      <c r="B159" s="682"/>
      <c r="C159" s="681">
        <v>0.109</v>
      </c>
      <c r="D159" s="681">
        <v>0.109</v>
      </c>
      <c r="E159" s="681">
        <v>0.109</v>
      </c>
      <c r="F159" s="681">
        <v>0.109</v>
      </c>
      <c r="G159" s="681">
        <v>0.109</v>
      </c>
      <c r="H159" s="681">
        <v>0.109</v>
      </c>
      <c r="I159" s="681">
        <v>0.109</v>
      </c>
      <c r="J159" s="669"/>
      <c r="K159" s="683" t="s">
        <v>1882</v>
      </c>
      <c r="L159" s="684">
        <v>0.154</v>
      </c>
    </row>
    <row r="160" spans="1:25" x14ac:dyDescent="0.2">
      <c r="A160" s="680">
        <v>0.84</v>
      </c>
      <c r="B160" s="646" t="s">
        <v>748</v>
      </c>
      <c r="C160" s="681">
        <v>0.109</v>
      </c>
      <c r="D160" s="681">
        <v>0.109</v>
      </c>
      <c r="E160" s="681">
        <v>0.109</v>
      </c>
      <c r="F160" s="681">
        <v>0.109</v>
      </c>
      <c r="G160" s="681">
        <v>0.109</v>
      </c>
      <c r="H160" s="681">
        <v>0.109</v>
      </c>
      <c r="I160" s="681">
        <v>0.109</v>
      </c>
      <c r="J160" s="1014" t="s">
        <v>1930</v>
      </c>
    </row>
    <row r="161" spans="1:13" x14ac:dyDescent="0.2">
      <c r="A161" s="680">
        <v>0.84</v>
      </c>
      <c r="B161" s="682"/>
      <c r="C161" s="681">
        <v>0.109</v>
      </c>
      <c r="D161" s="681">
        <v>0.109</v>
      </c>
      <c r="E161" s="681">
        <v>0.109</v>
      </c>
      <c r="F161" s="681">
        <v>0.109</v>
      </c>
      <c r="G161" s="681">
        <v>0.109</v>
      </c>
      <c r="H161" s="681">
        <v>0.109</v>
      </c>
      <c r="I161" s="681">
        <v>0.109</v>
      </c>
      <c r="J161" s="1015"/>
    </row>
    <row r="162" spans="1:13" x14ac:dyDescent="0.2">
      <c r="A162" s="680">
        <v>1.05</v>
      </c>
      <c r="B162" s="646" t="s">
        <v>748</v>
      </c>
      <c r="C162" s="681">
        <v>0.113</v>
      </c>
      <c r="D162" s="681">
        <v>0.113</v>
      </c>
      <c r="E162" s="681">
        <v>0.113</v>
      </c>
      <c r="F162" s="681">
        <v>0.113</v>
      </c>
      <c r="G162" s="681">
        <v>0.113</v>
      </c>
      <c r="H162" s="681">
        <v>0.113</v>
      </c>
      <c r="I162" s="681">
        <v>0.113</v>
      </c>
      <c r="J162" s="669"/>
    </row>
    <row r="163" spans="1:13" x14ac:dyDescent="0.2">
      <c r="A163" s="680">
        <v>1.05</v>
      </c>
      <c r="B163" s="682"/>
      <c r="C163" s="681">
        <v>0.113</v>
      </c>
      <c r="D163" s="681">
        <v>0.113</v>
      </c>
      <c r="E163" s="681">
        <v>0.113</v>
      </c>
      <c r="F163" s="681">
        <v>0.113</v>
      </c>
      <c r="G163" s="681">
        <v>0.113</v>
      </c>
      <c r="H163" s="681">
        <v>0.113</v>
      </c>
      <c r="I163" s="681">
        <v>0.113</v>
      </c>
      <c r="J163" s="669"/>
    </row>
    <row r="164" spans="1:13" x14ac:dyDescent="0.2">
      <c r="A164" s="622">
        <v>1.3149999999999999</v>
      </c>
      <c r="B164" s="646" t="s">
        <v>748</v>
      </c>
      <c r="C164" s="681">
        <v>0.13300000000000001</v>
      </c>
      <c r="D164" s="681">
        <v>0.13300000000000001</v>
      </c>
      <c r="E164" s="681">
        <v>0.13300000000000001</v>
      </c>
      <c r="F164" s="681">
        <v>0.13300000000000001</v>
      </c>
      <c r="G164" s="681">
        <v>0.13300000000000001</v>
      </c>
      <c r="H164" s="681">
        <v>0.13300000000000001</v>
      </c>
      <c r="I164" s="681">
        <v>0.113</v>
      </c>
      <c r="J164" s="669"/>
    </row>
    <row r="165" spans="1:13" x14ac:dyDescent="0.2">
      <c r="A165" s="622">
        <v>1.3149999999999999</v>
      </c>
      <c r="B165" s="682"/>
      <c r="C165" s="681">
        <v>0.13300000000000001</v>
      </c>
      <c r="D165" s="681">
        <v>0.13300000000000001</v>
      </c>
      <c r="E165" s="681">
        <v>0.13300000000000001</v>
      </c>
      <c r="F165" s="681">
        <v>0.13300000000000001</v>
      </c>
      <c r="G165" s="681">
        <v>0.13300000000000001</v>
      </c>
      <c r="H165" s="681">
        <v>0.13300000000000001</v>
      </c>
      <c r="I165" s="681">
        <v>0.113</v>
      </c>
      <c r="J165" s="669"/>
    </row>
    <row r="166" spans="1:13" x14ac:dyDescent="0.2">
      <c r="A166" s="680">
        <v>1.66</v>
      </c>
      <c r="B166" s="646" t="s">
        <v>748</v>
      </c>
      <c r="C166" s="681">
        <v>0.14000000000000001</v>
      </c>
      <c r="D166" s="681">
        <v>0.14000000000000001</v>
      </c>
      <c r="E166" s="681">
        <v>0.14000000000000001</v>
      </c>
      <c r="F166" s="681">
        <v>0.14000000000000001</v>
      </c>
      <c r="G166" s="681">
        <v>0.14000000000000001</v>
      </c>
      <c r="H166" s="681">
        <v>0.14000000000000001</v>
      </c>
      <c r="I166" s="681">
        <v>0.14000000000000001</v>
      </c>
      <c r="J166" s="669"/>
    </row>
    <row r="167" spans="1:13" x14ac:dyDescent="0.2">
      <c r="A167" s="680">
        <v>1.66</v>
      </c>
      <c r="B167" s="682"/>
      <c r="C167" s="681">
        <v>0.14000000000000001</v>
      </c>
      <c r="D167" s="681">
        <v>0.14000000000000001</v>
      </c>
      <c r="E167" s="681">
        <v>0.14000000000000001</v>
      </c>
      <c r="F167" s="681">
        <v>0.14000000000000001</v>
      </c>
      <c r="G167" s="681">
        <v>0.14000000000000001</v>
      </c>
      <c r="H167" s="681">
        <v>0.14000000000000001</v>
      </c>
      <c r="I167" s="681">
        <v>0.14000000000000001</v>
      </c>
      <c r="J167" s="669"/>
    </row>
    <row r="168" spans="1:13" x14ac:dyDescent="0.2">
      <c r="A168" s="680">
        <v>1.9</v>
      </c>
      <c r="B168" s="646" t="s">
        <v>748</v>
      </c>
      <c r="C168" s="681">
        <v>0.14499999999999999</v>
      </c>
      <c r="D168" s="681">
        <v>0.14499999999999999</v>
      </c>
      <c r="E168" s="681">
        <v>0.14499999999999999</v>
      </c>
      <c r="F168" s="681">
        <v>0.14499999999999999</v>
      </c>
      <c r="G168" s="681">
        <v>0.14499999999999999</v>
      </c>
      <c r="H168" s="681">
        <v>0.14499999999999999</v>
      </c>
      <c r="I168" s="681">
        <v>0.14499999999999999</v>
      </c>
      <c r="J168" s="669"/>
    </row>
    <row r="169" spans="1:13" x14ac:dyDescent="0.2">
      <c r="A169" s="680">
        <v>1.9</v>
      </c>
      <c r="B169" s="682"/>
      <c r="C169" s="681">
        <v>0.14499999999999999</v>
      </c>
      <c r="D169" s="681">
        <v>0.14499999999999999</v>
      </c>
      <c r="E169" s="681">
        <v>0.14499999999999999</v>
      </c>
      <c r="F169" s="681">
        <v>0.14499999999999999</v>
      </c>
      <c r="G169" s="681">
        <v>0.14499999999999999</v>
      </c>
      <c r="H169" s="681">
        <v>0.14499999999999999</v>
      </c>
      <c r="I169" s="681">
        <v>0.14499999999999999</v>
      </c>
      <c r="J169" s="669"/>
    </row>
    <row r="170" spans="1:13" x14ac:dyDescent="0.2">
      <c r="A170" s="628">
        <v>2.375</v>
      </c>
      <c r="B170" s="646" t="s">
        <v>748</v>
      </c>
      <c r="C170" s="681">
        <v>0.154</v>
      </c>
      <c r="D170" s="681">
        <v>0.154</v>
      </c>
      <c r="E170" s="681">
        <v>0.154</v>
      </c>
      <c r="F170" s="681">
        <v>0.154</v>
      </c>
      <c r="G170" s="681">
        <v>0.154</v>
      </c>
      <c r="H170" s="681">
        <v>0.154</v>
      </c>
      <c r="I170" s="681">
        <v>0.154</v>
      </c>
      <c r="J170" s="669"/>
    </row>
    <row r="171" spans="1:13" x14ac:dyDescent="0.2">
      <c r="A171" s="680">
        <v>2.375</v>
      </c>
      <c r="B171" s="682"/>
      <c r="C171" s="681">
        <v>0.154</v>
      </c>
      <c r="D171" s="681">
        <v>0.154</v>
      </c>
      <c r="E171" s="681">
        <v>0.154</v>
      </c>
      <c r="F171" s="681">
        <v>0.154</v>
      </c>
      <c r="G171" s="681">
        <v>0.154</v>
      </c>
      <c r="H171" s="681">
        <v>0.154</v>
      </c>
      <c r="I171" s="681">
        <v>0.154</v>
      </c>
      <c r="J171" s="669"/>
      <c r="M171" s="687"/>
    </row>
    <row r="172" spans="1:13" x14ac:dyDescent="0.2">
      <c r="A172" s="679">
        <v>3.5</v>
      </c>
      <c r="B172" s="646" t="s">
        <v>748</v>
      </c>
      <c r="C172" s="685">
        <v>0.14799999999999999</v>
      </c>
      <c r="D172" s="685">
        <v>0.14799999999999999</v>
      </c>
      <c r="E172" s="681">
        <v>0.14799999999999999</v>
      </c>
      <c r="F172" s="686">
        <v>0.156</v>
      </c>
      <c r="G172" s="686">
        <v>0.156</v>
      </c>
      <c r="H172" s="686">
        <v>0.14099999999999999</v>
      </c>
      <c r="I172" s="686">
        <v>0.156</v>
      </c>
      <c r="M172" s="688"/>
    </row>
    <row r="173" spans="1:13" x14ac:dyDescent="0.2">
      <c r="A173" s="679">
        <v>3.5</v>
      </c>
      <c r="B173" s="682"/>
      <c r="C173" s="685">
        <v>0.14799999999999999</v>
      </c>
      <c r="D173" s="685">
        <v>0.14799999999999999</v>
      </c>
      <c r="E173" s="681">
        <v>0.14799999999999999</v>
      </c>
      <c r="F173" s="686">
        <v>0.156</v>
      </c>
      <c r="G173" s="686">
        <v>0.156</v>
      </c>
      <c r="H173" s="686">
        <v>0.14099999999999999</v>
      </c>
      <c r="I173" s="686">
        <v>0.156</v>
      </c>
      <c r="M173" s="689"/>
    </row>
    <row r="174" spans="1:13" x14ac:dyDescent="0.2">
      <c r="A174" s="679">
        <v>4.5</v>
      </c>
      <c r="B174" s="628" t="s">
        <v>748</v>
      </c>
      <c r="C174" s="685">
        <v>0.14799999999999999</v>
      </c>
      <c r="D174" s="685">
        <v>0.14799999999999999</v>
      </c>
      <c r="E174" s="681">
        <v>0.14799999999999999</v>
      </c>
      <c r="F174" s="681">
        <v>0.14799999999999999</v>
      </c>
      <c r="G174" s="742" t="s">
        <v>1867</v>
      </c>
      <c r="H174" s="742" t="s">
        <v>1867</v>
      </c>
      <c r="I174" s="742" t="s">
        <v>1867</v>
      </c>
      <c r="M174" s="689"/>
    </row>
    <row r="175" spans="1:13" x14ac:dyDescent="0.2">
      <c r="A175" s="679">
        <v>4.5</v>
      </c>
      <c r="B175" s="629" t="s">
        <v>745</v>
      </c>
      <c r="C175" s="685">
        <v>0.14799999999999999</v>
      </c>
      <c r="D175" s="685">
        <v>0.14799999999999999</v>
      </c>
      <c r="E175" s="681">
        <v>0.14799999999999999</v>
      </c>
      <c r="F175" s="685">
        <v>0.156</v>
      </c>
      <c r="G175" s="685">
        <v>0.156</v>
      </c>
      <c r="H175" s="685">
        <v>0.156</v>
      </c>
      <c r="I175" s="685">
        <v>0.14799999999999999</v>
      </c>
      <c r="M175" s="689"/>
    </row>
    <row r="176" spans="1:13" ht="28.5" x14ac:dyDescent="0.2">
      <c r="A176" s="679">
        <v>4.5</v>
      </c>
      <c r="B176" s="629" t="s">
        <v>730</v>
      </c>
      <c r="C176" s="685">
        <v>0.14799999999999999</v>
      </c>
      <c r="D176" s="685">
        <v>0.14799999999999999</v>
      </c>
      <c r="E176" s="681">
        <v>0.14799999999999999</v>
      </c>
      <c r="F176" s="685">
        <v>0.14099999999999999</v>
      </c>
      <c r="G176" s="685">
        <v>0.14099999999999999</v>
      </c>
      <c r="H176" s="685">
        <v>0.14099999999999999</v>
      </c>
      <c r="I176" s="685">
        <v>0.14099999999999999</v>
      </c>
      <c r="M176" s="689"/>
    </row>
    <row r="177" spans="1:13" ht="28.5" x14ac:dyDescent="0.2">
      <c r="A177" s="679">
        <v>4.5</v>
      </c>
      <c r="B177" s="629" t="s">
        <v>1828</v>
      </c>
      <c r="C177" s="685">
        <v>0.14799999999999999</v>
      </c>
      <c r="D177" s="685">
        <v>0.14799999999999999</v>
      </c>
      <c r="E177" s="681">
        <v>0.14799999999999999</v>
      </c>
      <c r="F177" s="685">
        <v>0.14099999999999999</v>
      </c>
      <c r="G177" s="685">
        <v>0.14099999999999999</v>
      </c>
      <c r="H177" s="685">
        <v>0.14099999999999999</v>
      </c>
      <c r="I177" s="685">
        <v>0.14099999999999999</v>
      </c>
      <c r="M177" s="688"/>
    </row>
    <row r="178" spans="1:13" x14ac:dyDescent="0.2">
      <c r="A178" s="679">
        <v>6.625</v>
      </c>
      <c r="B178" s="679"/>
      <c r="C178" s="686">
        <v>0.188</v>
      </c>
      <c r="D178" s="686">
        <v>0.188</v>
      </c>
      <c r="E178" s="681">
        <v>0.188</v>
      </c>
      <c r="F178" s="686">
        <v>0.188</v>
      </c>
      <c r="G178" s="686">
        <v>0.188</v>
      </c>
      <c r="H178" s="686">
        <v>0.156</v>
      </c>
      <c r="I178" s="690">
        <v>0.156</v>
      </c>
    </row>
    <row r="179" spans="1:13" x14ac:dyDescent="0.2">
      <c r="A179" s="679">
        <v>8.625</v>
      </c>
      <c r="B179" s="679" t="s">
        <v>747</v>
      </c>
      <c r="C179" s="685">
        <v>0.217</v>
      </c>
      <c r="D179" s="685">
        <v>0.217</v>
      </c>
      <c r="E179" s="681">
        <v>0.188</v>
      </c>
      <c r="F179" s="686">
        <v>0.188</v>
      </c>
      <c r="G179" s="686">
        <v>0.188</v>
      </c>
      <c r="H179" s="690">
        <v>0.17199999999999999</v>
      </c>
      <c r="I179" s="690">
        <v>0.17199999999999999</v>
      </c>
      <c r="J179" s="669"/>
      <c r="K179" s="688"/>
      <c r="L179" s="688"/>
    </row>
    <row r="180" spans="1:13" x14ac:dyDescent="0.2">
      <c r="A180" s="679">
        <v>8.625</v>
      </c>
      <c r="B180" s="682"/>
      <c r="C180" s="686">
        <v>0.188</v>
      </c>
      <c r="D180" s="685">
        <v>0.217</v>
      </c>
      <c r="E180" s="681">
        <v>0.188</v>
      </c>
      <c r="F180" s="686">
        <v>0.188</v>
      </c>
      <c r="G180" s="686">
        <v>0.188</v>
      </c>
      <c r="H180" s="690">
        <v>0.17199999999999999</v>
      </c>
      <c r="I180" s="690">
        <v>0.17199999999999999</v>
      </c>
      <c r="J180" s="669"/>
    </row>
    <row r="181" spans="1:13" x14ac:dyDescent="0.2">
      <c r="A181" s="628">
        <v>10.75</v>
      </c>
      <c r="B181" s="679"/>
      <c r="C181" s="692">
        <v>0.22</v>
      </c>
      <c r="D181" s="692">
        <v>0.22</v>
      </c>
      <c r="E181" s="681">
        <v>0.219</v>
      </c>
      <c r="F181" s="686">
        <v>0.188</v>
      </c>
      <c r="G181" s="686">
        <v>0.188</v>
      </c>
      <c r="H181" s="686">
        <v>0.188</v>
      </c>
      <c r="I181" s="693">
        <v>0.219</v>
      </c>
      <c r="J181" s="669"/>
    </row>
    <row r="182" spans="1:13" x14ac:dyDescent="0.2">
      <c r="A182" s="628">
        <v>12.75</v>
      </c>
      <c r="B182" s="679"/>
      <c r="C182" s="694">
        <v>0.20300000000000001</v>
      </c>
      <c r="D182" s="694">
        <v>0.20300000000000001</v>
      </c>
      <c r="E182" s="681">
        <v>0.25</v>
      </c>
      <c r="F182" s="694">
        <v>0.20300000000000001</v>
      </c>
      <c r="G182" s="686">
        <v>0.20300000000000001</v>
      </c>
      <c r="H182" s="686">
        <v>0.20300000000000001</v>
      </c>
      <c r="I182" s="690">
        <v>0.219</v>
      </c>
      <c r="J182" s="669"/>
    </row>
    <row r="183" spans="1:13" x14ac:dyDescent="0.2">
      <c r="A183" s="679">
        <v>16</v>
      </c>
      <c r="B183" s="679"/>
      <c r="C183" s="695">
        <v>0.25</v>
      </c>
      <c r="D183" s="695">
        <v>0.25</v>
      </c>
      <c r="E183" s="681">
        <v>0.25</v>
      </c>
      <c r="F183" s="695">
        <v>0.25</v>
      </c>
      <c r="G183" s="695">
        <v>0.25</v>
      </c>
      <c r="H183" s="686">
        <v>0.219</v>
      </c>
      <c r="I183" s="695">
        <v>0.25</v>
      </c>
      <c r="J183" s="669"/>
    </row>
    <row r="184" spans="1:13" x14ac:dyDescent="0.2">
      <c r="A184" s="679">
        <v>18</v>
      </c>
      <c r="B184" s="679"/>
      <c r="C184" s="695">
        <v>0.25</v>
      </c>
      <c r="D184" s="695">
        <v>0.25</v>
      </c>
      <c r="E184" s="681">
        <v>0.25</v>
      </c>
      <c r="F184" s="695">
        <v>0.25</v>
      </c>
      <c r="G184" s="695">
        <v>0.25</v>
      </c>
      <c r="H184" s="695">
        <v>0.25</v>
      </c>
      <c r="I184" s="695">
        <v>0.25</v>
      </c>
      <c r="J184" s="669"/>
      <c r="K184" s="636"/>
      <c r="L184" s="636"/>
    </row>
    <row r="185" spans="1:13" x14ac:dyDescent="0.2">
      <c r="A185" s="679">
        <v>20</v>
      </c>
      <c r="B185" s="679"/>
      <c r="C185" s="695">
        <v>0.25</v>
      </c>
      <c r="D185" s="695">
        <v>0.25</v>
      </c>
      <c r="E185" s="681">
        <v>0.25</v>
      </c>
      <c r="F185" s="695">
        <v>0.25</v>
      </c>
      <c r="G185" s="695">
        <v>0.25</v>
      </c>
      <c r="H185" s="695">
        <v>0.25</v>
      </c>
      <c r="I185" s="695">
        <v>0.25</v>
      </c>
      <c r="J185" s="669"/>
      <c r="K185" s="636"/>
      <c r="L185" s="636"/>
    </row>
    <row r="186" spans="1:13" x14ac:dyDescent="0.2">
      <c r="A186" s="679">
        <v>22</v>
      </c>
      <c r="B186" s="679"/>
      <c r="C186" s="686">
        <v>0.312</v>
      </c>
      <c r="D186" s="686">
        <v>0.312</v>
      </c>
      <c r="E186" s="681">
        <v>0.312</v>
      </c>
      <c r="F186" s="686">
        <v>0.312</v>
      </c>
      <c r="G186" s="686">
        <v>0.312</v>
      </c>
      <c r="H186" s="695">
        <v>0.25</v>
      </c>
      <c r="I186" s="695">
        <v>0.25</v>
      </c>
      <c r="J186" s="669"/>
      <c r="K186" s="636"/>
      <c r="L186" s="636"/>
    </row>
    <row r="187" spans="1:13" ht="15" x14ac:dyDescent="0.2">
      <c r="A187" s="679">
        <v>24</v>
      </c>
      <c r="B187" s="679" t="s">
        <v>745</v>
      </c>
      <c r="C187" s="694">
        <v>0.28100000000000003</v>
      </c>
      <c r="D187" s="691">
        <v>0.28100000000000003</v>
      </c>
      <c r="E187" s="681">
        <v>0.34399999999999997</v>
      </c>
      <c r="F187" s="691">
        <v>0.28100000000000003</v>
      </c>
      <c r="G187" s="691">
        <v>0.28100000000000003</v>
      </c>
      <c r="H187" s="695">
        <v>0.25</v>
      </c>
      <c r="I187" s="695">
        <v>0.25</v>
      </c>
      <c r="J187" s="669"/>
      <c r="K187" s="696"/>
      <c r="L187" s="687"/>
    </row>
    <row r="188" spans="1:13" ht="15" x14ac:dyDescent="0.2">
      <c r="A188" s="679">
        <v>24</v>
      </c>
      <c r="B188" s="682"/>
      <c r="C188" s="686">
        <v>0.312</v>
      </c>
      <c r="D188" s="686">
        <v>0.312</v>
      </c>
      <c r="E188" s="681">
        <v>0.34399999999999997</v>
      </c>
      <c r="F188" s="691">
        <v>0.28100000000000003</v>
      </c>
      <c r="G188" s="691">
        <v>0.28100000000000003</v>
      </c>
      <c r="H188" s="695">
        <v>0.25</v>
      </c>
      <c r="I188" s="695">
        <v>0.25</v>
      </c>
      <c r="J188" s="669"/>
      <c r="K188" s="696"/>
      <c r="L188" s="697"/>
    </row>
    <row r="189" spans="1:13" ht="15" x14ac:dyDescent="0.2">
      <c r="A189" s="679">
        <v>26</v>
      </c>
      <c r="B189" s="679"/>
      <c r="C189" s="686">
        <v>0.312</v>
      </c>
      <c r="D189" s="686">
        <v>0.312</v>
      </c>
      <c r="E189" s="681">
        <v>0.312</v>
      </c>
      <c r="F189" s="686">
        <v>0.312</v>
      </c>
      <c r="G189" s="686">
        <v>0.312</v>
      </c>
      <c r="H189" s="691">
        <v>0.29699999999999999</v>
      </c>
      <c r="I189" s="690">
        <v>0.28100000000000003</v>
      </c>
      <c r="J189" s="669"/>
      <c r="K189" s="696"/>
      <c r="L189" s="698"/>
    </row>
    <row r="190" spans="1:13" ht="15" x14ac:dyDescent="0.2">
      <c r="A190" s="679">
        <v>30</v>
      </c>
      <c r="B190" s="679"/>
      <c r="C190" s="695">
        <v>0.25</v>
      </c>
      <c r="D190" s="695">
        <v>0.25</v>
      </c>
      <c r="E190" s="681">
        <v>0.25</v>
      </c>
      <c r="F190" s="695">
        <v>0.25</v>
      </c>
      <c r="G190" s="695">
        <v>0.25</v>
      </c>
      <c r="H190" s="686">
        <v>0.312</v>
      </c>
      <c r="I190" s="691">
        <v>0.32500000000000001</v>
      </c>
      <c r="J190" s="669"/>
      <c r="K190" s="697"/>
      <c r="L190" s="699"/>
    </row>
    <row r="191" spans="1:13" x14ac:dyDescent="0.2">
      <c r="A191" s="679">
        <v>32</v>
      </c>
      <c r="B191" s="679"/>
      <c r="C191" s="690">
        <v>0.375</v>
      </c>
      <c r="D191" s="690">
        <v>0.375</v>
      </c>
      <c r="E191" s="681">
        <v>0.375</v>
      </c>
      <c r="F191" s="690">
        <v>0.375</v>
      </c>
      <c r="G191" s="690">
        <v>0.375</v>
      </c>
      <c r="H191" s="690">
        <v>0.375</v>
      </c>
      <c r="I191" s="690">
        <v>0.375</v>
      </c>
      <c r="J191" s="669"/>
      <c r="K191" s="636"/>
      <c r="L191" s="636"/>
    </row>
    <row r="192" spans="1:13" x14ac:dyDescent="0.2">
      <c r="A192" s="679">
        <v>34</v>
      </c>
      <c r="B192" s="679"/>
      <c r="C192" s="695">
        <v>0.25</v>
      </c>
      <c r="D192" s="695">
        <v>0.25</v>
      </c>
      <c r="E192" s="681">
        <v>0.25</v>
      </c>
      <c r="F192" s="695">
        <v>0.25</v>
      </c>
      <c r="G192" s="695">
        <v>0.25</v>
      </c>
      <c r="H192" s="686">
        <v>0.312</v>
      </c>
      <c r="I192" s="690">
        <v>0.375</v>
      </c>
      <c r="J192" s="669"/>
    </row>
    <row r="193" spans="1:26" s="613" customFormat="1" ht="15.75" customHeight="1" x14ac:dyDescent="0.25">
      <c r="A193" s="679">
        <v>36</v>
      </c>
      <c r="B193" s="679"/>
      <c r="C193" s="686">
        <v>0.312</v>
      </c>
      <c r="D193" s="686">
        <v>0.312</v>
      </c>
      <c r="E193" s="681">
        <v>0.312</v>
      </c>
      <c r="F193" s="686">
        <v>0.312</v>
      </c>
      <c r="G193" s="686">
        <v>0.312</v>
      </c>
      <c r="H193" s="686">
        <v>0.312</v>
      </c>
      <c r="I193" s="690">
        <v>0.40600000000000003</v>
      </c>
      <c r="J193" s="669"/>
      <c r="K193" s="616"/>
      <c r="L193" s="616"/>
      <c r="Q193" s="637"/>
      <c r="R193" s="637"/>
      <c r="S193" s="637"/>
      <c r="T193" s="637"/>
      <c r="U193" s="637"/>
      <c r="V193" s="637"/>
      <c r="W193" s="637"/>
      <c r="X193" s="637"/>
      <c r="Y193" s="637"/>
      <c r="Z193" s="637"/>
    </row>
    <row r="194" spans="1:26" s="613" customFormat="1" ht="12.75" customHeight="1" x14ac:dyDescent="0.25">
      <c r="A194" s="612"/>
      <c r="B194" s="612"/>
      <c r="C194" s="612"/>
      <c r="D194" s="612"/>
      <c r="E194" s="612"/>
      <c r="F194" s="612"/>
      <c r="G194" s="612"/>
      <c r="H194" s="612"/>
      <c r="I194" s="612"/>
      <c r="J194" s="612"/>
      <c r="K194" s="612"/>
      <c r="L194" s="702"/>
      <c r="M194" s="702"/>
      <c r="P194" s="637"/>
      <c r="Q194" s="637"/>
      <c r="R194" s="637"/>
      <c r="S194" s="637"/>
      <c r="T194" s="637"/>
      <c r="U194" s="637"/>
      <c r="V194" s="637"/>
      <c r="W194" s="637"/>
      <c r="X194" s="637"/>
      <c r="Y194" s="637"/>
    </row>
    <row r="195" spans="1:26" ht="15" x14ac:dyDescent="0.25">
      <c r="A195" s="1016" t="s">
        <v>1883</v>
      </c>
      <c r="B195" s="1017"/>
      <c r="C195" s="1017"/>
      <c r="D195" s="1017"/>
      <c r="E195" s="1017"/>
      <c r="F195" s="1017"/>
      <c r="G195" s="1017"/>
      <c r="H195" s="700" t="s">
        <v>1884</v>
      </c>
      <c r="I195" s="613"/>
      <c r="J195" s="612"/>
      <c r="K195" s="701" t="s">
        <v>1885</v>
      </c>
    </row>
    <row r="196" spans="1:26" ht="15" x14ac:dyDescent="0.25">
      <c r="A196" s="743"/>
      <c r="B196" s="744">
        <v>10958</v>
      </c>
      <c r="C196" s="744">
        <v>10959</v>
      </c>
      <c r="D196" s="744">
        <v>14671</v>
      </c>
      <c r="E196" s="744">
        <v>18264</v>
      </c>
      <c r="F196" s="744">
        <v>23113</v>
      </c>
      <c r="G196" s="744">
        <v>25143</v>
      </c>
      <c r="H196" s="703"/>
    </row>
    <row r="197" spans="1:26" ht="15" x14ac:dyDescent="0.25">
      <c r="A197" s="743"/>
      <c r="B197" s="744"/>
      <c r="C197" s="744">
        <v>14669</v>
      </c>
      <c r="D197" s="744">
        <v>18263</v>
      </c>
      <c r="E197" s="744">
        <v>23112</v>
      </c>
      <c r="F197" s="744">
        <v>25142</v>
      </c>
      <c r="G197" s="743"/>
      <c r="H197" s="703"/>
    </row>
    <row r="198" spans="1:26" s="613" customFormat="1" ht="3.75" customHeight="1" x14ac:dyDescent="0.25">
      <c r="A198" s="745" t="s">
        <v>751</v>
      </c>
      <c r="B198" s="746">
        <v>24000</v>
      </c>
      <c r="C198" s="746">
        <v>30000</v>
      </c>
      <c r="D198" s="746">
        <v>30000</v>
      </c>
      <c r="E198" s="746">
        <v>30000</v>
      </c>
      <c r="F198" s="747" t="s">
        <v>1886</v>
      </c>
      <c r="G198" s="748" t="s">
        <v>1886</v>
      </c>
      <c r="H198" s="703"/>
      <c r="I198" s="616"/>
      <c r="J198" s="616"/>
      <c r="K198" s="616"/>
      <c r="P198" s="637"/>
      <c r="Q198" s="637"/>
      <c r="R198" s="637"/>
      <c r="S198" s="637"/>
      <c r="T198" s="637"/>
      <c r="U198" s="637"/>
      <c r="V198" s="637"/>
      <c r="W198" s="637"/>
      <c r="X198" s="637"/>
      <c r="Y198" s="637"/>
    </row>
    <row r="199" spans="1:26" ht="15" x14ac:dyDescent="0.2">
      <c r="A199" s="612"/>
      <c r="B199" s="612"/>
      <c r="C199" s="612"/>
      <c r="D199" s="612"/>
      <c r="E199" s="612"/>
      <c r="F199" s="612"/>
      <c r="G199" s="612"/>
      <c r="H199" s="612"/>
      <c r="I199" s="612"/>
      <c r="J199" s="612"/>
      <c r="K199" s="612"/>
    </row>
    <row r="200" spans="1:26" ht="15" x14ac:dyDescent="0.25">
      <c r="A200" s="1016" t="s">
        <v>1887</v>
      </c>
      <c r="B200" s="1017"/>
      <c r="C200" s="1017"/>
      <c r="D200" s="1017"/>
      <c r="E200" s="1017"/>
      <c r="F200" s="631"/>
      <c r="G200" s="631"/>
      <c r="L200" s="702"/>
      <c r="M200" s="702"/>
    </row>
    <row r="201" spans="1:26" ht="30" x14ac:dyDescent="0.2">
      <c r="A201" s="749" t="s">
        <v>1888</v>
      </c>
      <c r="B201" s="749" t="s">
        <v>1879</v>
      </c>
      <c r="C201" s="750"/>
      <c r="D201" s="751">
        <v>14671</v>
      </c>
      <c r="E201" s="751">
        <v>23113</v>
      </c>
      <c r="G201" s="706" t="s">
        <v>1863</v>
      </c>
      <c r="H201" s="665">
        <v>26540</v>
      </c>
      <c r="K201" s="701" t="s">
        <v>1885</v>
      </c>
    </row>
    <row r="202" spans="1:26" ht="15" x14ac:dyDescent="0.2">
      <c r="A202" s="749"/>
      <c r="B202" s="749"/>
      <c r="C202" s="751">
        <v>18323</v>
      </c>
      <c r="D202" s="751">
        <v>23112</v>
      </c>
      <c r="E202" s="752"/>
      <c r="G202" s="706" t="s">
        <v>1880</v>
      </c>
      <c r="H202" s="628">
        <v>2.375</v>
      </c>
    </row>
    <row r="203" spans="1:26" ht="30" x14ac:dyDescent="0.2">
      <c r="A203" s="753">
        <v>2.375</v>
      </c>
      <c r="B203" s="749"/>
      <c r="C203" s="752">
        <v>0.20300000000000001</v>
      </c>
      <c r="D203" s="752">
        <v>0.20300000000000001</v>
      </c>
      <c r="E203" s="752" t="s">
        <v>1886</v>
      </c>
      <c r="G203" s="619" t="s">
        <v>1882</v>
      </c>
      <c r="H203" s="684" t="s">
        <v>1886</v>
      </c>
    </row>
    <row r="204" spans="1:26" ht="28.5" x14ac:dyDescent="0.2">
      <c r="A204" s="752">
        <v>3.5</v>
      </c>
      <c r="B204" s="752"/>
      <c r="C204" s="752">
        <v>0.216</v>
      </c>
      <c r="D204" s="752">
        <v>0.216</v>
      </c>
      <c r="E204" s="752" t="s">
        <v>1886</v>
      </c>
    </row>
    <row r="205" spans="1:26" ht="28.5" x14ac:dyDescent="0.2">
      <c r="A205" s="752">
        <v>4.5</v>
      </c>
      <c r="B205" s="752"/>
      <c r="C205" s="752">
        <v>0.23699999999999999</v>
      </c>
      <c r="D205" s="752">
        <v>0.23699999999999999</v>
      </c>
      <c r="E205" s="752" t="s">
        <v>1886</v>
      </c>
    </row>
    <row r="206" spans="1:26" ht="28.5" x14ac:dyDescent="0.2">
      <c r="A206" s="752">
        <v>6.625</v>
      </c>
      <c r="B206" s="752"/>
      <c r="C206" s="752">
        <v>0.28000000000000003</v>
      </c>
      <c r="D206" s="752">
        <v>0.28000000000000003</v>
      </c>
      <c r="E206" s="752" t="s">
        <v>1886</v>
      </c>
    </row>
    <row r="207" spans="1:26" ht="28.5" x14ac:dyDescent="0.2">
      <c r="A207" s="752">
        <v>8.625</v>
      </c>
      <c r="B207" s="752"/>
      <c r="C207" s="752">
        <v>0.32200000000000001</v>
      </c>
      <c r="D207" s="752">
        <v>0.32200000000000001</v>
      </c>
      <c r="E207" s="752" t="s">
        <v>1886</v>
      </c>
    </row>
    <row r="208" spans="1:26" ht="28.5" x14ac:dyDescent="0.2">
      <c r="A208" s="752">
        <v>10.75</v>
      </c>
      <c r="B208" s="752"/>
      <c r="C208" s="752">
        <v>0.36499999999999999</v>
      </c>
      <c r="D208" s="752">
        <v>0.36499999999999999</v>
      </c>
      <c r="E208" s="752" t="s">
        <v>1886</v>
      </c>
    </row>
    <row r="209" spans="1:25" ht="28.5" x14ac:dyDescent="0.2">
      <c r="A209" s="752">
        <v>12.75</v>
      </c>
      <c r="B209" s="752"/>
      <c r="C209" s="752">
        <v>0.375</v>
      </c>
      <c r="D209" s="752">
        <v>0.375</v>
      </c>
      <c r="E209" s="752" t="s">
        <v>1886</v>
      </c>
    </row>
    <row r="210" spans="1:25" ht="28.5" x14ac:dyDescent="0.2">
      <c r="A210" s="752">
        <v>16</v>
      </c>
      <c r="B210" s="752"/>
      <c r="C210" s="752">
        <v>0.312</v>
      </c>
      <c r="D210" s="752">
        <v>0.312</v>
      </c>
      <c r="E210" s="752" t="s">
        <v>1886</v>
      </c>
    </row>
    <row r="211" spans="1:25" ht="28.5" x14ac:dyDescent="0.2">
      <c r="A211" s="752">
        <v>20</v>
      </c>
      <c r="B211" s="752"/>
      <c r="C211" s="752">
        <v>0.375</v>
      </c>
      <c r="D211" s="752">
        <v>0.375</v>
      </c>
      <c r="E211" s="752" t="s">
        <v>1886</v>
      </c>
      <c r="L211" s="636"/>
    </row>
    <row r="212" spans="1:25" ht="28.5" x14ac:dyDescent="0.2">
      <c r="A212" s="752">
        <v>24</v>
      </c>
      <c r="B212" s="752"/>
      <c r="C212" s="752">
        <v>0.312</v>
      </c>
      <c r="D212" s="752">
        <v>0.312</v>
      </c>
      <c r="E212" s="752" t="s">
        <v>1886</v>
      </c>
      <c r="K212" s="636"/>
      <c r="L212" s="636"/>
    </row>
    <row r="213" spans="1:25" ht="28.5" x14ac:dyDescent="0.2">
      <c r="A213" s="752">
        <v>30</v>
      </c>
      <c r="B213" s="752"/>
      <c r="C213" s="752">
        <v>0.375</v>
      </c>
      <c r="D213" s="752">
        <v>0.375</v>
      </c>
      <c r="E213" s="752" t="s">
        <v>1886</v>
      </c>
      <c r="J213" s="636"/>
      <c r="K213" s="636"/>
      <c r="L213" s="636"/>
    </row>
    <row r="214" spans="1:25" ht="28.5" x14ac:dyDescent="0.2">
      <c r="A214" s="752">
        <v>34</v>
      </c>
      <c r="B214" s="752"/>
      <c r="C214" s="752">
        <v>0.375</v>
      </c>
      <c r="D214" s="752">
        <v>0.375</v>
      </c>
      <c r="E214" s="752" t="s">
        <v>1886</v>
      </c>
      <c r="K214" s="636"/>
      <c r="L214" s="636"/>
    </row>
    <row r="215" spans="1:25" s="613" customFormat="1" ht="3.75" customHeight="1" x14ac:dyDescent="0.25">
      <c r="A215" s="752">
        <v>36</v>
      </c>
      <c r="B215" s="752"/>
      <c r="C215" s="752">
        <v>0.375</v>
      </c>
      <c r="D215" s="752">
        <v>0.375</v>
      </c>
      <c r="E215" s="752" t="s">
        <v>1886</v>
      </c>
      <c r="F215" s="616"/>
      <c r="G215" s="616"/>
      <c r="H215" s="616"/>
      <c r="I215" s="616"/>
      <c r="J215" s="616"/>
      <c r="K215" s="636"/>
      <c r="P215" s="637"/>
      <c r="Q215" s="637"/>
      <c r="R215" s="637"/>
      <c r="S215" s="637"/>
      <c r="T215" s="637"/>
      <c r="U215" s="637"/>
      <c r="V215" s="637"/>
      <c r="W215" s="637"/>
      <c r="X215" s="637"/>
      <c r="Y215" s="637"/>
    </row>
    <row r="216" spans="1:25" s="636" customFormat="1" ht="15.75" thickBot="1" x14ac:dyDescent="0.25">
      <c r="A216" s="612"/>
      <c r="B216" s="612"/>
      <c r="C216" s="612"/>
      <c r="D216" s="612"/>
      <c r="E216" s="612"/>
      <c r="F216" s="612"/>
      <c r="G216" s="612"/>
      <c r="H216" s="612"/>
      <c r="I216" s="612"/>
      <c r="J216" s="612"/>
      <c r="K216" s="612"/>
      <c r="L216" s="707"/>
      <c r="M216" s="707"/>
      <c r="N216" s="707"/>
      <c r="O216" s="707"/>
      <c r="P216" s="707"/>
    </row>
    <row r="217" spans="1:25" s="613" customFormat="1" ht="3.75" customHeight="1" thickBot="1" x14ac:dyDescent="0.3">
      <c r="A217" s="1018" t="s">
        <v>1889</v>
      </c>
      <c r="B217" s="1019"/>
      <c r="C217" s="1019"/>
      <c r="D217" s="1019"/>
      <c r="E217" s="1019"/>
      <c r="F217" s="1020"/>
      <c r="G217" s="707"/>
      <c r="H217" s="707"/>
      <c r="I217" s="707"/>
      <c r="J217" s="707"/>
      <c r="K217" s="707"/>
      <c r="P217" s="637"/>
      <c r="Q217" s="637"/>
      <c r="R217" s="637"/>
      <c r="S217" s="637"/>
      <c r="T217" s="637"/>
      <c r="U217" s="637"/>
      <c r="V217" s="637"/>
      <c r="W217" s="637"/>
      <c r="X217" s="637"/>
      <c r="Y217" s="637"/>
    </row>
    <row r="218" spans="1:25" s="636" customFormat="1" ht="15" x14ac:dyDescent="0.2">
      <c r="A218" s="612"/>
      <c r="B218" s="612"/>
      <c r="C218" s="612"/>
      <c r="D218" s="612"/>
      <c r="E218" s="612"/>
      <c r="F218" s="612"/>
      <c r="G218" s="612"/>
      <c r="H218" s="612"/>
      <c r="I218" s="612"/>
      <c r="J218" s="612"/>
      <c r="K218" s="612"/>
    </row>
    <row r="219" spans="1:25" s="613" customFormat="1" ht="3.75" customHeight="1" x14ac:dyDescent="0.25">
      <c r="A219" s="1016" t="s">
        <v>1890</v>
      </c>
      <c r="B219" s="1017"/>
      <c r="C219" s="1017"/>
      <c r="D219" s="631"/>
      <c r="E219" s="631"/>
      <c r="F219" s="616"/>
      <c r="G219" s="636"/>
      <c r="H219" s="636"/>
      <c r="I219" s="636"/>
      <c r="J219" s="636"/>
      <c r="K219" s="636"/>
      <c r="P219" s="637"/>
      <c r="Q219" s="637"/>
      <c r="R219" s="637"/>
      <c r="S219" s="637"/>
      <c r="T219" s="637"/>
      <c r="U219" s="637"/>
      <c r="V219" s="637"/>
      <c r="W219" s="637"/>
      <c r="X219" s="637"/>
      <c r="Y219" s="637"/>
    </row>
    <row r="220" spans="1:25" s="661" customFormat="1" ht="15" x14ac:dyDescent="0.25">
      <c r="A220" s="612"/>
      <c r="B220" s="612"/>
      <c r="C220" s="612"/>
      <c r="D220" s="612"/>
      <c r="E220" s="612"/>
      <c r="F220" s="612"/>
      <c r="G220" s="612"/>
      <c r="H220" s="612"/>
      <c r="I220" s="612"/>
      <c r="J220" s="612"/>
      <c r="K220" s="612"/>
    </row>
    <row r="221" spans="1:25" s="661" customFormat="1" ht="45" x14ac:dyDescent="0.25">
      <c r="A221" s="708" t="s">
        <v>1891</v>
      </c>
      <c r="B221" s="708" t="s">
        <v>1879</v>
      </c>
      <c r="C221" s="708" t="s">
        <v>1892</v>
      </c>
      <c r="E221" s="709" t="s">
        <v>649</v>
      </c>
      <c r="F221" s="710" t="s">
        <v>1893</v>
      </c>
    </row>
    <row r="222" spans="1:25" ht="15" x14ac:dyDescent="0.25">
      <c r="A222" s="711">
        <v>0.54</v>
      </c>
      <c r="B222" s="711"/>
      <c r="C222" s="704" t="s">
        <v>1813</v>
      </c>
      <c r="D222" s="661"/>
      <c r="E222" s="709" t="s">
        <v>1894</v>
      </c>
      <c r="F222" s="712">
        <v>36</v>
      </c>
      <c r="G222" s="661"/>
      <c r="H222" s="661"/>
      <c r="I222" s="661"/>
      <c r="J222" s="661"/>
      <c r="K222" s="661"/>
    </row>
    <row r="223" spans="1:25" ht="15" x14ac:dyDescent="0.25">
      <c r="A223" s="711">
        <v>0.84</v>
      </c>
      <c r="B223" s="711"/>
      <c r="C223" s="704">
        <v>0.109</v>
      </c>
      <c r="E223" s="709" t="s">
        <v>1895</v>
      </c>
      <c r="F223" s="709"/>
    </row>
    <row r="224" spans="1:25" ht="15" x14ac:dyDescent="0.25">
      <c r="A224" s="711">
        <v>1.05</v>
      </c>
      <c r="B224" s="711"/>
      <c r="C224" s="704">
        <v>0.113</v>
      </c>
      <c r="E224" s="709" t="s">
        <v>1896</v>
      </c>
      <c r="F224" s="684">
        <v>0.375</v>
      </c>
    </row>
    <row r="225" spans="1:3" x14ac:dyDescent="0.2">
      <c r="A225" s="622">
        <v>1.3149999999999999</v>
      </c>
      <c r="B225" s="711"/>
      <c r="C225" s="704">
        <v>0.13300000000000001</v>
      </c>
    </row>
    <row r="226" spans="1:3" x14ac:dyDescent="0.2">
      <c r="A226" s="711">
        <v>1.66</v>
      </c>
      <c r="B226" s="711"/>
      <c r="C226" s="711">
        <v>0.14000000000000001</v>
      </c>
    </row>
    <row r="227" spans="1:3" x14ac:dyDescent="0.2">
      <c r="A227" s="711">
        <v>1.9</v>
      </c>
      <c r="B227" s="711"/>
      <c r="C227" s="704">
        <v>0.14499999999999999</v>
      </c>
    </row>
    <row r="228" spans="1:3" x14ac:dyDescent="0.2">
      <c r="A228" s="711">
        <v>2.375</v>
      </c>
      <c r="B228" s="711"/>
      <c r="C228" s="711">
        <v>0.154</v>
      </c>
    </row>
    <row r="229" spans="1:3" x14ac:dyDescent="0.2">
      <c r="A229" s="711">
        <v>3.5</v>
      </c>
      <c r="B229" s="711"/>
      <c r="C229" s="711">
        <v>0.188</v>
      </c>
    </row>
    <row r="230" spans="1:3" x14ac:dyDescent="0.2">
      <c r="A230" s="711">
        <v>4.5</v>
      </c>
      <c r="B230" s="711"/>
      <c r="C230" s="711">
        <v>0.188</v>
      </c>
    </row>
    <row r="231" spans="1:3" x14ac:dyDescent="0.2">
      <c r="A231" s="711">
        <v>6.625</v>
      </c>
      <c r="B231" s="711"/>
      <c r="C231" s="711">
        <v>0.219</v>
      </c>
    </row>
    <row r="232" spans="1:3" x14ac:dyDescent="0.2">
      <c r="A232" s="711">
        <v>8.625</v>
      </c>
      <c r="B232" s="711"/>
      <c r="C232" s="711">
        <v>0.219</v>
      </c>
    </row>
    <row r="233" spans="1:3" x14ac:dyDescent="0.2">
      <c r="A233" s="711">
        <v>10.75</v>
      </c>
      <c r="B233" s="711"/>
      <c r="C233" s="711">
        <v>0.219</v>
      </c>
    </row>
    <row r="234" spans="1:3" x14ac:dyDescent="0.2">
      <c r="A234" s="711">
        <v>12.75</v>
      </c>
      <c r="B234" s="711"/>
      <c r="C234" s="711">
        <v>0.25</v>
      </c>
    </row>
    <row r="235" spans="1:3" x14ac:dyDescent="0.2">
      <c r="A235" s="712">
        <v>16</v>
      </c>
      <c r="B235" s="712"/>
      <c r="C235" s="712">
        <v>0.25</v>
      </c>
    </row>
    <row r="236" spans="1:3" x14ac:dyDescent="0.2">
      <c r="A236" s="712">
        <v>18</v>
      </c>
      <c r="B236" s="712"/>
      <c r="C236" s="712">
        <v>0.375</v>
      </c>
    </row>
    <row r="237" spans="1:3" x14ac:dyDescent="0.2">
      <c r="A237" s="712">
        <v>20</v>
      </c>
      <c r="B237" s="712"/>
      <c r="C237" s="712">
        <v>0.375</v>
      </c>
    </row>
    <row r="238" spans="1:3" x14ac:dyDescent="0.2">
      <c r="A238" s="712">
        <v>22</v>
      </c>
      <c r="B238" s="712"/>
      <c r="C238" s="712">
        <v>0.375</v>
      </c>
    </row>
    <row r="239" spans="1:3" x14ac:dyDescent="0.2">
      <c r="A239" s="712">
        <v>24</v>
      </c>
      <c r="B239" s="712"/>
      <c r="C239" s="712">
        <v>0.312</v>
      </c>
    </row>
    <row r="240" spans="1:3" x14ac:dyDescent="0.2">
      <c r="A240" s="712">
        <v>26</v>
      </c>
      <c r="B240" s="712"/>
      <c r="C240" s="712">
        <v>0.375</v>
      </c>
    </row>
    <row r="241" spans="1:25" x14ac:dyDescent="0.2">
      <c r="A241" s="712">
        <v>30</v>
      </c>
      <c r="B241" s="712"/>
      <c r="C241" s="712">
        <v>0.375</v>
      </c>
    </row>
    <row r="242" spans="1:25" x14ac:dyDescent="0.2">
      <c r="A242" s="712">
        <v>32</v>
      </c>
      <c r="B242" s="712"/>
      <c r="C242" s="712">
        <v>0.375</v>
      </c>
    </row>
    <row r="243" spans="1:25" x14ac:dyDescent="0.2">
      <c r="A243" s="712">
        <v>34</v>
      </c>
      <c r="B243" s="712"/>
      <c r="C243" s="712">
        <v>0.375</v>
      </c>
    </row>
    <row r="244" spans="1:25" s="613" customFormat="1" ht="3.75" customHeight="1" x14ac:dyDescent="0.25">
      <c r="A244" s="712">
        <v>36</v>
      </c>
      <c r="B244" s="712"/>
      <c r="C244" s="712">
        <v>0.375</v>
      </c>
      <c r="D244" s="616"/>
      <c r="E244" s="616"/>
      <c r="F244" s="616"/>
      <c r="G244" s="616"/>
      <c r="H244" s="616"/>
      <c r="I244" s="616"/>
      <c r="J244" s="616"/>
      <c r="K244" s="616"/>
      <c r="P244" s="637"/>
      <c r="Q244" s="637"/>
      <c r="R244" s="637"/>
      <c r="S244" s="637"/>
      <c r="T244" s="637"/>
      <c r="U244" s="637"/>
      <c r="V244" s="637"/>
      <c r="W244" s="637"/>
      <c r="X244" s="637"/>
      <c r="Y244" s="637"/>
    </row>
    <row r="245" spans="1:25" ht="15" x14ac:dyDescent="0.2">
      <c r="A245" s="612"/>
      <c r="B245" s="612"/>
      <c r="C245" s="612"/>
      <c r="D245" s="612"/>
      <c r="E245" s="612"/>
      <c r="F245" s="612"/>
      <c r="G245" s="612"/>
      <c r="H245" s="612"/>
      <c r="I245" s="612"/>
      <c r="J245" s="612"/>
      <c r="K245" s="612"/>
    </row>
    <row r="246" spans="1:25" s="613" customFormat="1" ht="3.75" customHeight="1" x14ac:dyDescent="0.25">
      <c r="A246" s="1016" t="s">
        <v>1897</v>
      </c>
      <c r="B246" s="1017"/>
      <c r="C246" s="1017"/>
      <c r="D246" s="616"/>
      <c r="E246" s="616"/>
      <c r="F246" s="616"/>
      <c r="G246" s="616"/>
      <c r="H246" s="616"/>
      <c r="I246" s="616"/>
      <c r="J246" s="616"/>
      <c r="K246" s="616"/>
      <c r="P246" s="637"/>
      <c r="Q246" s="637"/>
      <c r="R246" s="637"/>
      <c r="S246" s="637"/>
      <c r="T246" s="637"/>
      <c r="U246" s="637"/>
      <c r="V246" s="637"/>
      <c r="W246" s="637"/>
      <c r="X246" s="637"/>
      <c r="Y246" s="637"/>
    </row>
    <row r="247" spans="1:25" ht="15" x14ac:dyDescent="0.2">
      <c r="A247" s="612"/>
      <c r="B247" s="612"/>
      <c r="C247" s="612"/>
      <c r="D247" s="612"/>
      <c r="E247" s="612"/>
      <c r="F247" s="612"/>
      <c r="G247" s="612"/>
      <c r="H247" s="612"/>
      <c r="I247" s="612"/>
      <c r="J247" s="612"/>
      <c r="K247" s="612"/>
    </row>
    <row r="248" spans="1:25" ht="30" x14ac:dyDescent="0.2">
      <c r="A248" s="708" t="s">
        <v>1891</v>
      </c>
      <c r="B248" s="708" t="s">
        <v>1879</v>
      </c>
      <c r="C248" s="708" t="s">
        <v>1898</v>
      </c>
      <c r="E248" s="649" t="s">
        <v>649</v>
      </c>
      <c r="F248" s="649"/>
    </row>
    <row r="249" spans="1:25" x14ac:dyDescent="0.2">
      <c r="A249" s="711">
        <v>0.54</v>
      </c>
      <c r="B249" s="711"/>
      <c r="C249" s="704" t="s">
        <v>1813</v>
      </c>
      <c r="E249" s="649" t="s">
        <v>1894</v>
      </c>
      <c r="F249" s="711">
        <v>1.05</v>
      </c>
    </row>
    <row r="250" spans="1:25" x14ac:dyDescent="0.2">
      <c r="A250" s="711">
        <v>0.84</v>
      </c>
      <c r="B250" s="711"/>
      <c r="C250" s="704">
        <v>0.109</v>
      </c>
      <c r="E250" s="649" t="s">
        <v>1895</v>
      </c>
      <c r="F250" s="649"/>
    </row>
    <row r="251" spans="1:25" ht="15" x14ac:dyDescent="0.25">
      <c r="A251" s="711">
        <v>1.05</v>
      </c>
      <c r="B251" s="711"/>
      <c r="C251" s="704">
        <v>0.113</v>
      </c>
      <c r="E251" s="709" t="s">
        <v>1896</v>
      </c>
      <c r="F251" s="684">
        <v>0.113</v>
      </c>
    </row>
    <row r="252" spans="1:25" x14ac:dyDescent="0.2">
      <c r="A252" s="622">
        <v>1.3149999999999999</v>
      </c>
      <c r="B252" s="711"/>
      <c r="C252" s="704">
        <v>0.13300000000000001</v>
      </c>
    </row>
    <row r="253" spans="1:25" x14ac:dyDescent="0.2">
      <c r="A253" s="711">
        <v>1.66</v>
      </c>
      <c r="B253" s="711"/>
      <c r="C253" s="711">
        <v>0.14000000000000001</v>
      </c>
    </row>
    <row r="254" spans="1:25" x14ac:dyDescent="0.2">
      <c r="A254" s="711">
        <v>1.9</v>
      </c>
      <c r="B254" s="711"/>
      <c r="C254" s="704">
        <v>0.14499999999999999</v>
      </c>
    </row>
    <row r="255" spans="1:25" x14ac:dyDescent="0.2">
      <c r="A255" s="711">
        <v>2.375</v>
      </c>
      <c r="B255" s="711"/>
      <c r="C255" s="705">
        <v>0.154</v>
      </c>
    </row>
    <row r="256" spans="1:25" x14ac:dyDescent="0.2">
      <c r="A256" s="711">
        <v>3.5</v>
      </c>
      <c r="B256" s="711"/>
      <c r="C256" s="705">
        <v>0.216</v>
      </c>
    </row>
    <row r="257" spans="1:25" x14ac:dyDescent="0.2">
      <c r="A257" s="711">
        <v>4.5</v>
      </c>
      <c r="B257" s="711"/>
      <c r="C257" s="705">
        <v>0.23699999999999999</v>
      </c>
    </row>
    <row r="258" spans="1:25" x14ac:dyDescent="0.2">
      <c r="A258" s="711">
        <v>6.625</v>
      </c>
      <c r="B258" s="711"/>
      <c r="C258" s="712">
        <v>0.28000000000000003</v>
      </c>
    </row>
    <row r="259" spans="1:25" x14ac:dyDescent="0.2">
      <c r="A259" s="711">
        <v>8.625</v>
      </c>
      <c r="B259" s="711"/>
      <c r="C259" s="705">
        <v>0.32200000000000001</v>
      </c>
    </row>
    <row r="260" spans="1:25" x14ac:dyDescent="0.2">
      <c r="A260" s="711">
        <v>10.75</v>
      </c>
      <c r="B260" s="711"/>
      <c r="C260" s="705">
        <v>0.36499999999999999</v>
      </c>
    </row>
    <row r="261" spans="1:25" x14ac:dyDescent="0.2">
      <c r="A261" s="711">
        <v>12.75</v>
      </c>
      <c r="B261" s="711"/>
      <c r="C261" s="705">
        <v>0.375</v>
      </c>
    </row>
    <row r="262" spans="1:25" x14ac:dyDescent="0.2">
      <c r="A262" s="712">
        <v>16</v>
      </c>
      <c r="B262" s="712"/>
      <c r="C262" s="705">
        <v>0.312</v>
      </c>
    </row>
    <row r="263" spans="1:25" x14ac:dyDescent="0.2">
      <c r="A263" s="712">
        <v>18</v>
      </c>
      <c r="B263" s="712"/>
      <c r="C263" s="705">
        <v>0.375</v>
      </c>
    </row>
    <row r="264" spans="1:25" x14ac:dyDescent="0.2">
      <c r="A264" s="712">
        <v>20</v>
      </c>
      <c r="B264" s="712"/>
      <c r="C264" s="705">
        <v>0.375</v>
      </c>
    </row>
    <row r="265" spans="1:25" x14ac:dyDescent="0.2">
      <c r="A265" s="712">
        <v>22</v>
      </c>
      <c r="B265" s="712"/>
      <c r="C265" s="705">
        <v>0.375</v>
      </c>
    </row>
    <row r="266" spans="1:25" x14ac:dyDescent="0.2">
      <c r="A266" s="712">
        <v>24</v>
      </c>
      <c r="B266" s="712"/>
      <c r="C266" s="705">
        <v>0.312</v>
      </c>
    </row>
    <row r="267" spans="1:25" x14ac:dyDescent="0.2">
      <c r="A267" s="712">
        <v>26</v>
      </c>
      <c r="B267" s="712"/>
      <c r="C267" s="705">
        <v>0.375</v>
      </c>
    </row>
    <row r="268" spans="1:25" x14ac:dyDescent="0.2">
      <c r="A268" s="712">
        <v>30</v>
      </c>
      <c r="B268" s="712"/>
      <c r="C268" s="705">
        <v>0.375</v>
      </c>
    </row>
    <row r="269" spans="1:25" x14ac:dyDescent="0.2">
      <c r="A269" s="712">
        <v>32</v>
      </c>
      <c r="B269" s="712"/>
      <c r="C269" s="705">
        <v>0.375</v>
      </c>
    </row>
    <row r="270" spans="1:25" x14ac:dyDescent="0.2">
      <c r="A270" s="712">
        <v>34</v>
      </c>
      <c r="B270" s="712"/>
      <c r="C270" s="705">
        <v>0.375</v>
      </c>
    </row>
    <row r="271" spans="1:25" s="613" customFormat="1" ht="3.75" customHeight="1" x14ac:dyDescent="0.25">
      <c r="A271" s="712">
        <v>36</v>
      </c>
      <c r="B271" s="712"/>
      <c r="C271" s="705">
        <v>0.375</v>
      </c>
      <c r="D271" s="616"/>
      <c r="E271" s="616"/>
      <c r="F271" s="616"/>
      <c r="G271" s="616"/>
      <c r="H271" s="616"/>
      <c r="I271" s="616"/>
      <c r="J271" s="616"/>
      <c r="K271" s="616"/>
      <c r="P271" s="637"/>
      <c r="Q271" s="637"/>
      <c r="R271" s="637"/>
      <c r="S271" s="637"/>
      <c r="T271" s="637"/>
      <c r="U271" s="637"/>
      <c r="V271" s="637"/>
      <c r="W271" s="637"/>
      <c r="X271" s="637"/>
      <c r="Y271" s="637"/>
    </row>
    <row r="272" spans="1:25" ht="15" x14ac:dyDescent="0.2">
      <c r="A272" s="612"/>
      <c r="B272" s="612"/>
      <c r="C272" s="612"/>
      <c r="D272" s="612"/>
      <c r="E272" s="612"/>
      <c r="F272" s="612"/>
      <c r="G272" s="612"/>
      <c r="H272" s="612"/>
      <c r="I272" s="612"/>
      <c r="J272" s="612"/>
      <c r="K272" s="612"/>
    </row>
    <row r="273" spans="1:25" s="613" customFormat="1" ht="3.75" customHeight="1" x14ac:dyDescent="0.25">
      <c r="A273" s="1016" t="s">
        <v>1899</v>
      </c>
      <c r="B273" s="1017"/>
      <c r="C273" s="1017"/>
      <c r="D273" s="616"/>
      <c r="E273" s="616"/>
      <c r="F273" s="616"/>
      <c r="G273" s="616"/>
      <c r="H273" s="616"/>
      <c r="I273" s="616"/>
      <c r="J273" s="616"/>
      <c r="K273" s="616"/>
      <c r="P273" s="637"/>
      <c r="Q273" s="637"/>
      <c r="R273" s="637"/>
      <c r="S273" s="637"/>
      <c r="T273" s="637"/>
      <c r="U273" s="637"/>
      <c r="V273" s="637"/>
      <c r="W273" s="637"/>
      <c r="X273" s="637"/>
      <c r="Y273" s="637"/>
    </row>
    <row r="274" spans="1:25" ht="15" x14ac:dyDescent="0.2">
      <c r="A274" s="612"/>
      <c r="B274" s="612"/>
      <c r="C274" s="612"/>
      <c r="D274" s="612"/>
      <c r="E274" s="612"/>
      <c r="F274" s="612"/>
      <c r="G274" s="612"/>
      <c r="H274" s="612"/>
      <c r="I274" s="612"/>
      <c r="J274" s="612"/>
      <c r="K274" s="612"/>
    </row>
    <row r="275" spans="1:25" ht="45" x14ac:dyDescent="0.25">
      <c r="A275" s="708" t="s">
        <v>1891</v>
      </c>
      <c r="B275" s="708" t="s">
        <v>1879</v>
      </c>
      <c r="C275" s="708" t="s">
        <v>1900</v>
      </c>
      <c r="D275" s="661"/>
      <c r="E275" s="709" t="s">
        <v>649</v>
      </c>
      <c r="F275" s="649"/>
    </row>
    <row r="276" spans="1:25" ht="15" x14ac:dyDescent="0.25">
      <c r="A276" s="711">
        <v>0.54</v>
      </c>
      <c r="B276" s="711"/>
      <c r="C276" s="704" t="s">
        <v>1813</v>
      </c>
      <c r="D276" s="661"/>
      <c r="E276" s="709" t="s">
        <v>1894</v>
      </c>
      <c r="F276" s="711">
        <v>0.84</v>
      </c>
    </row>
    <row r="277" spans="1:25" ht="15" x14ac:dyDescent="0.25">
      <c r="A277" s="711">
        <v>0.84</v>
      </c>
      <c r="B277" s="711"/>
      <c r="C277" s="704">
        <v>0.109</v>
      </c>
      <c r="E277" s="709" t="s">
        <v>1895</v>
      </c>
      <c r="F277" s="649"/>
    </row>
    <row r="278" spans="1:25" ht="15" x14ac:dyDescent="0.25">
      <c r="A278" s="711">
        <v>1.05</v>
      </c>
      <c r="B278" s="711"/>
      <c r="C278" s="704">
        <v>0.113</v>
      </c>
      <c r="E278" s="709" t="s">
        <v>1896</v>
      </c>
      <c r="F278" s="684">
        <v>0.109</v>
      </c>
    </row>
    <row r="279" spans="1:25" x14ac:dyDescent="0.2">
      <c r="A279" s="622">
        <v>1.3149999999999999</v>
      </c>
      <c r="B279" s="711"/>
      <c r="C279" s="704">
        <v>0.13300000000000001</v>
      </c>
    </row>
    <row r="280" spans="1:25" x14ac:dyDescent="0.2">
      <c r="A280" s="711">
        <v>1.66</v>
      </c>
      <c r="B280" s="711"/>
      <c r="C280" s="711">
        <v>0.14000000000000001</v>
      </c>
    </row>
    <row r="281" spans="1:25" x14ac:dyDescent="0.2">
      <c r="A281" s="711">
        <v>1.9</v>
      </c>
      <c r="B281" s="711"/>
      <c r="C281" s="704">
        <v>0.14499999999999999</v>
      </c>
    </row>
    <row r="282" spans="1:25" x14ac:dyDescent="0.2">
      <c r="A282" s="711">
        <v>2.375</v>
      </c>
      <c r="B282" s="711"/>
      <c r="C282" s="711">
        <v>0.154</v>
      </c>
    </row>
    <row r="283" spans="1:25" x14ac:dyDescent="0.2">
      <c r="A283" s="711">
        <v>3.5</v>
      </c>
      <c r="B283" s="711"/>
      <c r="C283" s="705">
        <v>0.216</v>
      </c>
    </row>
    <row r="284" spans="1:25" x14ac:dyDescent="0.2">
      <c r="A284" s="711">
        <v>4.5</v>
      </c>
      <c r="B284" s="711"/>
      <c r="C284" s="705">
        <v>0.23699999999999999</v>
      </c>
    </row>
    <row r="285" spans="1:25" x14ac:dyDescent="0.2">
      <c r="A285" s="711">
        <v>6.625</v>
      </c>
      <c r="B285" s="711"/>
      <c r="C285" s="712">
        <v>0.28000000000000003</v>
      </c>
    </row>
    <row r="286" spans="1:25" x14ac:dyDescent="0.2">
      <c r="A286" s="711">
        <v>8.625</v>
      </c>
      <c r="B286" s="711"/>
      <c r="C286" s="705">
        <v>0.32200000000000001</v>
      </c>
    </row>
    <row r="287" spans="1:25" x14ac:dyDescent="0.2">
      <c r="A287" s="711">
        <v>10.75</v>
      </c>
      <c r="B287" s="711"/>
      <c r="C287" s="705">
        <v>0.36499999999999999</v>
      </c>
    </row>
    <row r="288" spans="1:25" x14ac:dyDescent="0.2">
      <c r="A288" s="711">
        <v>12.75</v>
      </c>
      <c r="B288" s="711"/>
      <c r="C288" s="705">
        <v>0.375</v>
      </c>
    </row>
    <row r="289" spans="1:25" x14ac:dyDescent="0.2">
      <c r="A289" s="712">
        <v>16</v>
      </c>
      <c r="B289" s="712"/>
      <c r="C289" s="705">
        <v>0.375</v>
      </c>
    </row>
    <row r="290" spans="1:25" x14ac:dyDescent="0.2">
      <c r="A290" s="712">
        <v>18</v>
      </c>
      <c r="B290" s="712"/>
      <c r="C290" s="705">
        <v>0.375</v>
      </c>
    </row>
    <row r="291" spans="1:25" x14ac:dyDescent="0.2">
      <c r="A291" s="712">
        <v>20</v>
      </c>
      <c r="B291" s="712"/>
      <c r="C291" s="705">
        <v>0.375</v>
      </c>
    </row>
    <row r="292" spans="1:25" x14ac:dyDescent="0.2">
      <c r="A292" s="712">
        <v>22</v>
      </c>
      <c r="B292" s="712"/>
      <c r="C292" s="705">
        <v>0.375</v>
      </c>
    </row>
    <row r="293" spans="1:25" x14ac:dyDescent="0.2">
      <c r="A293" s="712">
        <v>24</v>
      </c>
      <c r="B293" s="712"/>
      <c r="C293" s="705">
        <v>0.375</v>
      </c>
    </row>
    <row r="294" spans="1:25" x14ac:dyDescent="0.2">
      <c r="A294" s="712">
        <v>26</v>
      </c>
      <c r="B294" s="712"/>
      <c r="C294" s="705">
        <v>0.375</v>
      </c>
    </row>
    <row r="295" spans="1:25" x14ac:dyDescent="0.2">
      <c r="A295" s="712">
        <v>30</v>
      </c>
      <c r="B295" s="712"/>
      <c r="C295" s="705">
        <v>0.375</v>
      </c>
    </row>
    <row r="296" spans="1:25" x14ac:dyDescent="0.2">
      <c r="A296" s="712">
        <v>32</v>
      </c>
      <c r="B296" s="712"/>
      <c r="C296" s="705">
        <v>0.375</v>
      </c>
    </row>
    <row r="297" spans="1:25" x14ac:dyDescent="0.2">
      <c r="A297" s="712">
        <v>34</v>
      </c>
      <c r="B297" s="712"/>
      <c r="C297" s="705">
        <v>0.375</v>
      </c>
    </row>
    <row r="298" spans="1:25" s="613" customFormat="1" ht="3.75" customHeight="1" x14ac:dyDescent="0.25">
      <c r="A298" s="712">
        <v>36</v>
      </c>
      <c r="B298" s="712"/>
      <c r="C298" s="705">
        <v>0.375</v>
      </c>
      <c r="D298" s="616"/>
      <c r="E298" s="616"/>
      <c r="F298" s="616"/>
      <c r="G298" s="616"/>
      <c r="H298" s="616"/>
      <c r="I298" s="616"/>
      <c r="J298" s="616"/>
      <c r="K298" s="616"/>
      <c r="P298" s="637"/>
      <c r="Q298" s="637"/>
      <c r="R298" s="637"/>
      <c r="S298" s="637"/>
      <c r="T298" s="637"/>
      <c r="U298" s="637"/>
      <c r="V298" s="637"/>
      <c r="W298" s="637"/>
      <c r="X298" s="637"/>
      <c r="Y298" s="637"/>
    </row>
    <row r="299" spans="1:25" ht="15" x14ac:dyDescent="0.2">
      <c r="A299" s="612"/>
      <c r="B299" s="612"/>
      <c r="C299" s="612"/>
      <c r="D299" s="612"/>
      <c r="E299" s="612"/>
      <c r="F299" s="612"/>
      <c r="G299" s="612"/>
      <c r="H299" s="612"/>
      <c r="I299" s="612"/>
      <c r="J299" s="612"/>
      <c r="K299" s="612"/>
    </row>
    <row r="300" spans="1:25" s="613" customFormat="1" ht="3.75" customHeight="1" x14ac:dyDescent="0.25">
      <c r="A300" s="1016" t="s">
        <v>1901</v>
      </c>
      <c r="B300" s="1017"/>
      <c r="C300" s="1017"/>
      <c r="D300" s="616"/>
      <c r="E300" s="616"/>
      <c r="F300" s="616"/>
      <c r="G300" s="616"/>
      <c r="H300" s="616"/>
      <c r="I300" s="616"/>
      <c r="J300" s="616"/>
      <c r="K300" s="616"/>
      <c r="P300" s="637"/>
      <c r="Q300" s="637"/>
      <c r="R300" s="637"/>
      <c r="S300" s="637"/>
      <c r="T300" s="637"/>
      <c r="U300" s="637"/>
      <c r="V300" s="637"/>
      <c r="W300" s="637"/>
      <c r="X300" s="637"/>
      <c r="Y300" s="637"/>
    </row>
    <row r="301" spans="1:25" ht="15" x14ac:dyDescent="0.2">
      <c r="A301" s="612"/>
      <c r="B301" s="612"/>
      <c r="C301" s="612"/>
      <c r="D301" s="612"/>
      <c r="E301" s="612"/>
      <c r="F301" s="612"/>
      <c r="G301" s="612"/>
      <c r="H301" s="612"/>
      <c r="I301" s="612"/>
      <c r="J301" s="612"/>
      <c r="K301" s="612"/>
    </row>
    <row r="302" spans="1:25" ht="45" x14ac:dyDescent="0.2">
      <c r="A302" s="708" t="s">
        <v>1891</v>
      </c>
      <c r="B302" s="708" t="s">
        <v>1879</v>
      </c>
      <c r="C302" s="708" t="s">
        <v>1902</v>
      </c>
      <c r="E302" s="649" t="s">
        <v>649</v>
      </c>
      <c r="F302" s="649"/>
    </row>
    <row r="303" spans="1:25" x14ac:dyDescent="0.2">
      <c r="A303" s="711">
        <v>0.54</v>
      </c>
      <c r="B303" s="711"/>
      <c r="C303" s="704" t="s">
        <v>1813</v>
      </c>
      <c r="E303" s="649" t="s">
        <v>1894</v>
      </c>
      <c r="F303" s="711">
        <v>1.05</v>
      </c>
    </row>
    <row r="304" spans="1:25" x14ac:dyDescent="0.2">
      <c r="A304" s="711">
        <v>0.84</v>
      </c>
      <c r="B304" s="711"/>
      <c r="C304" s="704">
        <v>0.109</v>
      </c>
      <c r="E304" s="649" t="s">
        <v>1895</v>
      </c>
      <c r="F304" s="649"/>
    </row>
    <row r="305" spans="1:6" ht="15" x14ac:dyDescent="0.2">
      <c r="A305" s="711">
        <v>1.05</v>
      </c>
      <c r="B305" s="711"/>
      <c r="C305" s="711">
        <v>0.154</v>
      </c>
      <c r="E305" s="649" t="s">
        <v>1896</v>
      </c>
      <c r="F305" s="684">
        <v>0.154</v>
      </c>
    </row>
    <row r="306" spans="1:6" x14ac:dyDescent="0.2">
      <c r="A306" s="622">
        <v>1.3149999999999999</v>
      </c>
      <c r="B306" s="711"/>
      <c r="C306" s="711">
        <v>0.17899999999999999</v>
      </c>
    </row>
    <row r="307" spans="1:6" x14ac:dyDescent="0.2">
      <c r="A307" s="711">
        <v>1.66</v>
      </c>
      <c r="B307" s="711"/>
      <c r="C307" s="711">
        <v>0.191</v>
      </c>
    </row>
    <row r="308" spans="1:6" x14ac:dyDescent="0.2">
      <c r="A308" s="711">
        <v>1.9</v>
      </c>
      <c r="B308" s="711"/>
      <c r="C308" s="711">
        <v>0.2</v>
      </c>
    </row>
    <row r="309" spans="1:6" x14ac:dyDescent="0.2">
      <c r="A309" s="711">
        <v>2.375</v>
      </c>
      <c r="B309" s="711"/>
      <c r="C309" s="711">
        <v>0.218</v>
      </c>
    </row>
    <row r="310" spans="1:6" x14ac:dyDescent="0.2">
      <c r="A310" s="711">
        <v>3.5</v>
      </c>
      <c r="B310" s="711"/>
      <c r="C310" s="711">
        <v>0.3</v>
      </c>
    </row>
    <row r="311" spans="1:6" x14ac:dyDescent="0.2">
      <c r="A311" s="711">
        <v>4.5</v>
      </c>
      <c r="B311" s="711"/>
      <c r="C311" s="711">
        <v>0.33700000000000002</v>
      </c>
    </row>
    <row r="312" spans="1:6" x14ac:dyDescent="0.2">
      <c r="A312" s="711">
        <v>6.625</v>
      </c>
      <c r="B312" s="711"/>
      <c r="C312" s="711">
        <v>0.432</v>
      </c>
    </row>
    <row r="313" spans="1:6" x14ac:dyDescent="0.2">
      <c r="A313" s="711">
        <v>8.625</v>
      </c>
      <c r="B313" s="711"/>
      <c r="C313" s="711">
        <v>0.5</v>
      </c>
    </row>
    <row r="314" spans="1:6" x14ac:dyDescent="0.2">
      <c r="A314" s="711">
        <v>10.75</v>
      </c>
      <c r="B314" s="711"/>
      <c r="C314" s="711">
        <v>0.5</v>
      </c>
    </row>
    <row r="315" spans="1:6" x14ac:dyDescent="0.2">
      <c r="A315" s="711">
        <v>12.75</v>
      </c>
      <c r="B315" s="711"/>
      <c r="C315" s="711">
        <v>0.5</v>
      </c>
    </row>
    <row r="316" spans="1:6" x14ac:dyDescent="0.2">
      <c r="A316" s="712">
        <v>16</v>
      </c>
      <c r="B316" s="712"/>
      <c r="C316" s="711">
        <v>0.5</v>
      </c>
    </row>
    <row r="317" spans="1:6" x14ac:dyDescent="0.2">
      <c r="A317" s="712">
        <v>18</v>
      </c>
      <c r="B317" s="712"/>
      <c r="C317" s="711">
        <v>0.5</v>
      </c>
    </row>
    <row r="318" spans="1:6" x14ac:dyDescent="0.2">
      <c r="A318" s="712">
        <v>20</v>
      </c>
      <c r="B318" s="712"/>
      <c r="C318" s="711">
        <v>0.5</v>
      </c>
    </row>
    <row r="319" spans="1:6" x14ac:dyDescent="0.2">
      <c r="A319" s="712">
        <v>22</v>
      </c>
      <c r="B319" s="712"/>
      <c r="C319" s="711">
        <v>0.5</v>
      </c>
    </row>
    <row r="320" spans="1:6" x14ac:dyDescent="0.2">
      <c r="A320" s="712">
        <v>24</v>
      </c>
      <c r="B320" s="712"/>
      <c r="C320" s="711">
        <v>0.5</v>
      </c>
    </row>
    <row r="321" spans="1:3" x14ac:dyDescent="0.2">
      <c r="A321" s="712">
        <v>26</v>
      </c>
      <c r="B321" s="712"/>
      <c r="C321" s="711">
        <v>0.5</v>
      </c>
    </row>
    <row r="322" spans="1:3" x14ac:dyDescent="0.2">
      <c r="A322" s="712">
        <v>30</v>
      </c>
      <c r="B322" s="712"/>
      <c r="C322" s="711">
        <v>0.5</v>
      </c>
    </row>
    <row r="323" spans="1:3" x14ac:dyDescent="0.2">
      <c r="A323" s="712">
        <v>32</v>
      </c>
      <c r="B323" s="712"/>
      <c r="C323" s="711">
        <v>0.5</v>
      </c>
    </row>
    <row r="324" spans="1:3" x14ac:dyDescent="0.2">
      <c r="A324" s="712">
        <v>34</v>
      </c>
      <c r="B324" s="712"/>
      <c r="C324" s="711">
        <v>0.5</v>
      </c>
    </row>
    <row r="325" spans="1:3" x14ac:dyDescent="0.2">
      <c r="A325" s="712">
        <v>36</v>
      </c>
      <c r="B325" s="712"/>
      <c r="C325" s="711">
        <v>0.5</v>
      </c>
    </row>
  </sheetData>
  <mergeCells count="10">
    <mergeCell ref="A246:C246"/>
    <mergeCell ref="A273:C273"/>
    <mergeCell ref="A300:C300"/>
    <mergeCell ref="A65:D65"/>
    <mergeCell ref="A91:D91"/>
    <mergeCell ref="J160:J161"/>
    <mergeCell ref="A195:G195"/>
    <mergeCell ref="A200:E200"/>
    <mergeCell ref="A217:F217"/>
    <mergeCell ref="A219:C219"/>
  </mergeCells>
  <dataValidations count="1">
    <dataValidation type="date" allowBlank="1" showDropDown="1" showInputMessage="1" showErrorMessage="1" sqref="O12 O18">
      <formula1>3654</formula1>
      <formula2>42369</formula2>
    </dataValidation>
  </dataValidations>
  <pageMargins left="0.7" right="0.7" top="0.75" bottom="0.75" header="0.3" footer="0.3"/>
  <pageSetup scale="11"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anchor moveWithCells="1" sizeWithCells="1">
                  <from>
                    <xdr:col>14</xdr:col>
                    <xdr:colOff>114300</xdr:colOff>
                    <xdr:row>42</xdr:row>
                    <xdr:rowOff>85725</xdr:rowOff>
                  </from>
                  <to>
                    <xdr:col>14</xdr:col>
                    <xdr:colOff>609600</xdr:colOff>
                    <xdr:row>42</xdr:row>
                    <xdr:rowOff>295275</xdr:rowOff>
                  </to>
                </anchor>
              </controlPr>
            </control>
          </mc:Choice>
        </mc:AlternateContent>
        <mc:AlternateContent xmlns:mc="http://schemas.openxmlformats.org/markup-compatibility/2006">
          <mc:Choice Requires="x14">
            <control shapeId="34818" r:id="rId5" name="Button 2">
              <controlPr defaultSize="0" print="0" autoFill="0" autoPict="0">
                <anchor moveWithCells="1" sizeWithCells="1">
                  <from>
                    <xdr:col>15</xdr:col>
                    <xdr:colOff>47625</xdr:colOff>
                    <xdr:row>11</xdr:row>
                    <xdr:rowOff>19050</xdr:rowOff>
                  </from>
                  <to>
                    <xdr:col>16</xdr:col>
                    <xdr:colOff>9525</xdr:colOff>
                    <xdr:row>11</xdr:row>
                    <xdr:rowOff>295275</xdr:rowOff>
                  </to>
                </anchor>
              </controlPr>
            </control>
          </mc:Choice>
        </mc:AlternateContent>
        <mc:AlternateContent xmlns:mc="http://schemas.openxmlformats.org/markup-compatibility/2006">
          <mc:Choice Requires="x14">
            <control shapeId="34819" r:id="rId6" name="Button 3">
              <controlPr defaultSize="0" print="0" autoFill="0" autoPict="0">
                <anchor moveWithCells="1" sizeWithCells="1">
                  <from>
                    <xdr:col>14</xdr:col>
                    <xdr:colOff>133350</xdr:colOff>
                    <xdr:row>112</xdr:row>
                    <xdr:rowOff>66675</xdr:rowOff>
                  </from>
                  <to>
                    <xdr:col>15</xdr:col>
                    <xdr:colOff>123825</xdr:colOff>
                    <xdr:row>112</xdr:row>
                    <xdr:rowOff>323850</xdr:rowOff>
                  </to>
                </anchor>
              </controlPr>
            </control>
          </mc:Choice>
        </mc:AlternateContent>
        <mc:AlternateContent xmlns:mc="http://schemas.openxmlformats.org/markup-compatibility/2006">
          <mc:Choice Requires="x14">
            <control shapeId="34820" r:id="rId7" name="Button 4">
              <controlPr defaultSize="0" print="0" autoFill="0" autoPict="0">
                <anchor moveWithCells="1" sizeWithCells="1">
                  <from>
                    <xdr:col>12</xdr:col>
                    <xdr:colOff>457200</xdr:colOff>
                    <xdr:row>154</xdr:row>
                    <xdr:rowOff>104775</xdr:rowOff>
                  </from>
                  <to>
                    <xdr:col>13</xdr:col>
                    <xdr:colOff>457200</xdr:colOff>
                    <xdr:row>157</xdr:row>
                    <xdr:rowOff>0</xdr:rowOff>
                  </to>
                </anchor>
              </controlPr>
            </control>
          </mc:Choice>
        </mc:AlternateContent>
        <mc:AlternateContent xmlns:mc="http://schemas.openxmlformats.org/markup-compatibility/2006">
          <mc:Choice Requires="x14">
            <control shapeId="34821" r:id="rId8" name="Button 5">
              <controlPr defaultSize="0" print="0" autoFill="0" autoPict="0">
                <anchor moveWithCells="1" sizeWithCells="1">
                  <from>
                    <xdr:col>8</xdr:col>
                    <xdr:colOff>257175</xdr:colOff>
                    <xdr:row>200</xdr:row>
                    <xdr:rowOff>9525</xdr:rowOff>
                  </from>
                  <to>
                    <xdr:col>9</xdr:col>
                    <xdr:colOff>9525</xdr:colOff>
                    <xdr:row>200</xdr:row>
                    <xdr:rowOff>266700</xdr:rowOff>
                  </to>
                </anchor>
              </controlPr>
            </control>
          </mc:Choice>
        </mc:AlternateContent>
        <mc:AlternateContent xmlns:mc="http://schemas.openxmlformats.org/markup-compatibility/2006">
          <mc:Choice Requires="x14">
            <control shapeId="34822" r:id="rId9" name="Button 6">
              <controlPr defaultSize="0" print="0" autoFill="0" autoPict="0">
                <anchor moveWithCells="1" sizeWithCells="1">
                  <from>
                    <xdr:col>7</xdr:col>
                    <xdr:colOff>95250</xdr:colOff>
                    <xdr:row>64</xdr:row>
                    <xdr:rowOff>66675</xdr:rowOff>
                  </from>
                  <to>
                    <xdr:col>7</xdr:col>
                    <xdr:colOff>723900</xdr:colOff>
                    <xdr:row>64</xdr:row>
                    <xdr:rowOff>285750</xdr:rowOff>
                  </to>
                </anchor>
              </controlPr>
            </control>
          </mc:Choice>
        </mc:AlternateContent>
        <mc:AlternateContent xmlns:mc="http://schemas.openxmlformats.org/markup-compatibility/2006">
          <mc:Choice Requires="x14">
            <control shapeId="34823" r:id="rId10" name="Button 7">
              <controlPr defaultSize="0" print="0" autoFill="0" autoPict="0">
                <anchor moveWithCells="1" sizeWithCells="1">
                  <from>
                    <xdr:col>8</xdr:col>
                    <xdr:colOff>95250</xdr:colOff>
                    <xdr:row>90</xdr:row>
                    <xdr:rowOff>28575</xdr:rowOff>
                  </from>
                  <to>
                    <xdr:col>9</xdr:col>
                    <xdr:colOff>9525</xdr:colOff>
                    <xdr:row>91</xdr:row>
                    <xdr:rowOff>0</xdr:rowOff>
                  </to>
                </anchor>
              </controlPr>
            </control>
          </mc:Choice>
        </mc:AlternateContent>
        <mc:AlternateContent xmlns:mc="http://schemas.openxmlformats.org/markup-compatibility/2006">
          <mc:Choice Requires="x14">
            <control shapeId="34824" r:id="rId11" name="Button 8">
              <controlPr defaultSize="0" print="0" autoFill="0" autoPict="0">
                <anchor moveWithCells="1" sizeWithCells="1">
                  <from>
                    <xdr:col>15</xdr:col>
                    <xdr:colOff>47625</xdr:colOff>
                    <xdr:row>76</xdr:row>
                    <xdr:rowOff>47625</xdr:rowOff>
                  </from>
                  <to>
                    <xdr:col>16</xdr:col>
                    <xdr:colOff>438150</xdr:colOff>
                    <xdr:row>77</xdr:row>
                    <xdr:rowOff>209550</xdr:rowOff>
                  </to>
                </anchor>
              </controlPr>
            </control>
          </mc:Choice>
        </mc:AlternateContent>
        <mc:AlternateContent xmlns:mc="http://schemas.openxmlformats.org/markup-compatibility/2006">
          <mc:Choice Requires="x14">
            <control shapeId="34825" r:id="rId12" name="Button 9">
              <controlPr defaultSize="0" print="0" autoFill="0" autoPict="0">
                <anchor moveWithCells="1" sizeWithCells="1">
                  <from>
                    <xdr:col>6</xdr:col>
                    <xdr:colOff>76200</xdr:colOff>
                    <xdr:row>220</xdr:row>
                    <xdr:rowOff>9525</xdr:rowOff>
                  </from>
                  <to>
                    <xdr:col>7</xdr:col>
                    <xdr:colOff>9525</xdr:colOff>
                    <xdr:row>220</xdr:row>
                    <xdr:rowOff>276225</xdr:rowOff>
                  </to>
                </anchor>
              </controlPr>
            </control>
          </mc:Choice>
        </mc:AlternateContent>
        <mc:AlternateContent xmlns:mc="http://schemas.openxmlformats.org/markup-compatibility/2006">
          <mc:Choice Requires="x14">
            <control shapeId="34826" r:id="rId13" name="Button 10">
              <controlPr defaultSize="0" print="0" autoFill="0" autoPict="0">
                <anchor moveWithCells="1" sizeWithCells="1">
                  <from>
                    <xdr:col>6</xdr:col>
                    <xdr:colOff>28575</xdr:colOff>
                    <xdr:row>247</xdr:row>
                    <xdr:rowOff>9525</xdr:rowOff>
                  </from>
                  <to>
                    <xdr:col>7</xdr:col>
                    <xdr:colOff>19050</xdr:colOff>
                    <xdr:row>248</xdr:row>
                    <xdr:rowOff>0</xdr:rowOff>
                  </to>
                </anchor>
              </controlPr>
            </control>
          </mc:Choice>
        </mc:AlternateContent>
        <mc:AlternateContent xmlns:mc="http://schemas.openxmlformats.org/markup-compatibility/2006">
          <mc:Choice Requires="x14">
            <control shapeId="34827" r:id="rId14" name="Button 11">
              <controlPr defaultSize="0" print="0" autoFill="0" autoPict="0">
                <anchor moveWithCells="1" sizeWithCells="1">
                  <from>
                    <xdr:col>6</xdr:col>
                    <xdr:colOff>66675</xdr:colOff>
                    <xdr:row>274</xdr:row>
                    <xdr:rowOff>0</xdr:rowOff>
                  </from>
                  <to>
                    <xdr:col>7</xdr:col>
                    <xdr:colOff>47625</xdr:colOff>
                    <xdr:row>274</xdr:row>
                    <xdr:rowOff>295275</xdr:rowOff>
                  </to>
                </anchor>
              </controlPr>
            </control>
          </mc:Choice>
        </mc:AlternateContent>
        <mc:AlternateContent xmlns:mc="http://schemas.openxmlformats.org/markup-compatibility/2006">
          <mc:Choice Requires="x14">
            <control shapeId="34828" r:id="rId15" name="Button 12">
              <controlPr defaultSize="0" print="0" autoFill="0" autoPict="0">
                <anchor moveWithCells="1" sizeWithCells="1">
                  <from>
                    <xdr:col>6</xdr:col>
                    <xdr:colOff>38100</xdr:colOff>
                    <xdr:row>301</xdr:row>
                    <xdr:rowOff>9525</xdr:rowOff>
                  </from>
                  <to>
                    <xdr:col>6</xdr:col>
                    <xdr:colOff>600075</xdr:colOff>
                    <xdr:row>301</xdr:row>
                    <xdr:rowOff>285750</xdr:rowOff>
                  </to>
                </anchor>
              </controlPr>
            </control>
          </mc:Choice>
        </mc:AlternateContent>
        <mc:AlternateContent xmlns:mc="http://schemas.openxmlformats.org/markup-compatibility/2006">
          <mc:Choice Requires="x14">
            <control shapeId="34829" r:id="rId16" name="Button 13">
              <controlPr defaultSize="0" print="0" autoFill="0" autoPict="0">
                <anchor moveWithCells="1" sizeWithCells="1">
                  <from>
                    <xdr:col>15</xdr:col>
                    <xdr:colOff>47625</xdr:colOff>
                    <xdr:row>17</xdr:row>
                    <xdr:rowOff>19050</xdr:rowOff>
                  </from>
                  <to>
                    <xdr:col>16</xdr:col>
                    <xdr:colOff>9525</xdr:colOff>
                    <xdr:row>17</xdr:row>
                    <xdr:rowOff>295275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22"/>
  </sheetPr>
  <dimension ref="A1:I5689"/>
  <sheetViews>
    <sheetView zoomScaleNormal="100" workbookViewId="0">
      <pane ySplit="1" topLeftCell="A2" activePane="bottomLeft" state="frozen"/>
      <selection activeCell="A6" sqref="A6"/>
      <selection pane="bottomLeft" activeCell="A2" sqref="A2"/>
    </sheetView>
  </sheetViews>
  <sheetFormatPr defaultColWidth="9.140625" defaultRowHeight="12.75" x14ac:dyDescent="0.2"/>
  <cols>
    <col min="1" max="1" width="44.42578125" style="69" customWidth="1"/>
    <col min="2" max="2" width="21.28515625" style="12" customWidth="1"/>
    <col min="3" max="3" width="15" style="9" customWidth="1"/>
    <col min="4" max="4" width="9.140625" style="9"/>
    <col min="5" max="6" width="10.140625" style="9" bestFit="1" customWidth="1"/>
    <col min="7" max="8" width="9.140625" style="9"/>
    <col min="9" max="9" width="9.140625" style="135"/>
    <col min="10" max="16384" width="9.140625" style="9"/>
  </cols>
  <sheetData>
    <row r="1" spans="1:3" ht="25.9" customHeight="1" x14ac:dyDescent="0.2">
      <c r="A1" s="78" t="s">
        <v>743</v>
      </c>
      <c r="B1" s="77" t="s">
        <v>744</v>
      </c>
    </row>
    <row r="2" spans="1:3" ht="13.9" customHeight="1" x14ac:dyDescent="0.2">
      <c r="A2" s="83" t="s">
        <v>266</v>
      </c>
      <c r="B2" s="3"/>
    </row>
    <row r="3" spans="1:3" ht="13.9" customHeight="1" x14ac:dyDescent="0.2">
      <c r="A3" s="84" t="s">
        <v>589</v>
      </c>
      <c r="B3" s="5"/>
    </row>
    <row r="4" spans="1:3" ht="13.9" customHeight="1" x14ac:dyDescent="0.2">
      <c r="A4" s="84" t="s">
        <v>590</v>
      </c>
      <c r="B4" s="5"/>
    </row>
    <row r="5" spans="1:3" ht="13.9" customHeight="1" x14ac:dyDescent="0.2">
      <c r="A5" s="84" t="s">
        <v>158</v>
      </c>
      <c r="B5" s="5"/>
    </row>
    <row r="6" spans="1:3" ht="13.9" customHeight="1" x14ac:dyDescent="0.2">
      <c r="A6" s="83" t="s">
        <v>52</v>
      </c>
      <c r="B6" s="66" t="s">
        <v>154</v>
      </c>
      <c r="C6" s="9" t="s">
        <v>1233</v>
      </c>
    </row>
    <row r="7" spans="1:3" ht="13.9" customHeight="1" x14ac:dyDescent="0.2">
      <c r="A7" s="344">
        <v>1</v>
      </c>
      <c r="B7" s="11">
        <v>0.72</v>
      </c>
      <c r="C7" s="135">
        <v>0.72</v>
      </c>
    </row>
    <row r="8" spans="1:3" ht="13.9" customHeight="1" x14ac:dyDescent="0.2">
      <c r="A8" s="344" t="s">
        <v>1206</v>
      </c>
      <c r="B8" s="11">
        <v>0.5</v>
      </c>
      <c r="C8" s="135">
        <v>0.5</v>
      </c>
    </row>
    <row r="9" spans="1:3" ht="13.9" customHeight="1" x14ac:dyDescent="0.2">
      <c r="A9" s="344" t="s">
        <v>1211</v>
      </c>
      <c r="B9" s="11">
        <v>0.6</v>
      </c>
      <c r="C9" s="135">
        <v>0.72</v>
      </c>
    </row>
    <row r="10" spans="1:3" ht="13.9" customHeight="1" x14ac:dyDescent="0.2">
      <c r="A10" s="344" t="s">
        <v>1212</v>
      </c>
      <c r="B10" s="11">
        <v>0.6</v>
      </c>
      <c r="C10" s="135">
        <v>0.72</v>
      </c>
    </row>
    <row r="11" spans="1:3" ht="13.9" customHeight="1" x14ac:dyDescent="0.2">
      <c r="A11" s="344" t="s">
        <v>1213</v>
      </c>
      <c r="B11" s="11">
        <v>0.6</v>
      </c>
      <c r="C11" s="135">
        <v>0.6</v>
      </c>
    </row>
    <row r="12" spans="1:3" ht="13.9" customHeight="1" x14ac:dyDescent="0.2">
      <c r="A12" s="344">
        <v>2</v>
      </c>
      <c r="B12" s="11">
        <v>0.6</v>
      </c>
      <c r="C12" s="135">
        <v>0.6</v>
      </c>
    </row>
    <row r="13" spans="1:3" ht="13.9" customHeight="1" x14ac:dyDescent="0.2">
      <c r="A13" s="344" t="s">
        <v>1207</v>
      </c>
      <c r="B13" s="11">
        <v>0.5</v>
      </c>
      <c r="C13" s="135">
        <v>0.5</v>
      </c>
    </row>
    <row r="14" spans="1:3" ht="13.9" customHeight="1" x14ac:dyDescent="0.2">
      <c r="A14" s="344" t="s">
        <v>1209</v>
      </c>
      <c r="B14" s="11">
        <v>0.5</v>
      </c>
      <c r="C14" s="135">
        <v>0.6</v>
      </c>
    </row>
    <row r="15" spans="1:3" ht="13.9" customHeight="1" x14ac:dyDescent="0.2">
      <c r="A15" s="344">
        <v>3</v>
      </c>
      <c r="B15" s="11">
        <v>0.5</v>
      </c>
      <c r="C15" s="135">
        <v>0.5</v>
      </c>
    </row>
    <row r="16" spans="1:3" ht="13.9" customHeight="1" x14ac:dyDescent="0.2">
      <c r="A16" s="344" t="s">
        <v>1208</v>
      </c>
      <c r="B16" s="11">
        <v>0.5</v>
      </c>
      <c r="C16" s="135">
        <v>0.5</v>
      </c>
    </row>
    <row r="17" spans="1:9" ht="13.9" customHeight="1" x14ac:dyDescent="0.2">
      <c r="A17" s="344" t="s">
        <v>1210</v>
      </c>
      <c r="B17" s="11">
        <v>0.5</v>
      </c>
      <c r="C17" s="135">
        <v>0.5</v>
      </c>
    </row>
    <row r="18" spans="1:9" ht="13.9" customHeight="1" x14ac:dyDescent="0.2">
      <c r="A18" s="344">
        <v>4</v>
      </c>
      <c r="B18" s="11">
        <v>0.4</v>
      </c>
      <c r="C18" s="135">
        <v>0.4</v>
      </c>
    </row>
    <row r="19" spans="1:9" ht="13.9" customHeight="1" x14ac:dyDescent="0.2">
      <c r="A19" s="344" t="str">
        <f>"N/A"</f>
        <v>N/A</v>
      </c>
      <c r="B19" s="11">
        <v>1</v>
      </c>
      <c r="C19" s="135">
        <v>1</v>
      </c>
      <c r="D19" s="140" t="s">
        <v>492</v>
      </c>
    </row>
    <row r="20" spans="1:9" ht="13.9" customHeight="1" x14ac:dyDescent="0.2">
      <c r="A20" s="83" t="s">
        <v>324</v>
      </c>
      <c r="B20" s="6" t="s">
        <v>490</v>
      </c>
      <c r="C20" s="137">
        <v>15398</v>
      </c>
      <c r="D20" s="138" t="s">
        <v>1741</v>
      </c>
      <c r="E20" s="9" t="s">
        <v>1741</v>
      </c>
      <c r="F20" s="137">
        <v>21877</v>
      </c>
      <c r="G20" s="138">
        <v>25523</v>
      </c>
      <c r="H20" s="138">
        <v>26539</v>
      </c>
      <c r="I20" s="137" t="s">
        <v>491</v>
      </c>
    </row>
    <row r="21" spans="1:9" ht="13.9" customHeight="1" x14ac:dyDescent="0.2">
      <c r="A21" s="85">
        <v>42</v>
      </c>
      <c r="B21" s="6"/>
      <c r="D21" s="139">
        <v>0.312</v>
      </c>
      <c r="E21" s="104">
        <v>0.312</v>
      </c>
      <c r="F21" s="139">
        <v>0.312</v>
      </c>
      <c r="G21" s="139">
        <v>0.312</v>
      </c>
      <c r="H21" s="139">
        <v>0.312</v>
      </c>
      <c r="I21" s="139">
        <v>0.312</v>
      </c>
    </row>
    <row r="22" spans="1:9" ht="13.9" customHeight="1" x14ac:dyDescent="0.2">
      <c r="A22" s="85">
        <v>40</v>
      </c>
      <c r="B22" s="6"/>
      <c r="D22" s="139">
        <v>0.312</v>
      </c>
      <c r="E22" s="104">
        <v>0.312</v>
      </c>
      <c r="F22" s="139"/>
      <c r="G22" s="139"/>
      <c r="H22" s="139"/>
      <c r="I22" s="139"/>
    </row>
    <row r="23" spans="1:9" ht="13.9" customHeight="1" x14ac:dyDescent="0.2">
      <c r="A23" s="85">
        <v>36</v>
      </c>
      <c r="B23" s="6"/>
      <c r="D23" s="139">
        <v>0.312</v>
      </c>
      <c r="E23" s="104">
        <v>0.312</v>
      </c>
      <c r="F23" s="139"/>
      <c r="G23" s="139">
        <v>0.312</v>
      </c>
      <c r="H23" s="139">
        <v>0.312</v>
      </c>
      <c r="I23" s="139">
        <v>0.40600000000000003</v>
      </c>
    </row>
    <row r="24" spans="1:9" ht="13.9" customHeight="1" x14ac:dyDescent="0.2">
      <c r="A24" s="85">
        <v>34.5</v>
      </c>
      <c r="B24" s="6"/>
      <c r="D24" s="139">
        <v>0.25</v>
      </c>
      <c r="E24" s="104">
        <v>0.25</v>
      </c>
      <c r="F24" s="139">
        <v>0.25</v>
      </c>
      <c r="G24" s="139">
        <v>0.25</v>
      </c>
      <c r="H24" s="139">
        <v>0.312</v>
      </c>
      <c r="I24" s="139">
        <v>0.375</v>
      </c>
    </row>
    <row r="25" spans="1:9" ht="13.9" customHeight="1" x14ac:dyDescent="0.2">
      <c r="A25" s="85">
        <v>34</v>
      </c>
      <c r="B25" s="6"/>
      <c r="D25" s="139">
        <v>0.25</v>
      </c>
      <c r="E25" s="104">
        <v>0.25</v>
      </c>
      <c r="F25" s="139">
        <v>0.25</v>
      </c>
      <c r="G25" s="139">
        <v>0.25</v>
      </c>
      <c r="H25" s="139">
        <v>0.312</v>
      </c>
      <c r="I25" s="139">
        <v>0.375</v>
      </c>
    </row>
    <row r="26" spans="1:9" ht="13.9" customHeight="1" x14ac:dyDescent="0.2">
      <c r="A26" s="85">
        <v>32</v>
      </c>
      <c r="B26" s="6"/>
      <c r="D26" s="139">
        <v>0.375</v>
      </c>
      <c r="E26" s="104">
        <v>0.375</v>
      </c>
      <c r="F26" s="139"/>
      <c r="G26" s="139"/>
      <c r="H26" s="139"/>
      <c r="I26" s="139">
        <v>0.375</v>
      </c>
    </row>
    <row r="27" spans="1:9" ht="13.9" customHeight="1" x14ac:dyDescent="0.2">
      <c r="A27" s="85">
        <v>30.5</v>
      </c>
      <c r="B27" s="6"/>
      <c r="D27" s="139">
        <v>0.375</v>
      </c>
      <c r="E27" s="104">
        <v>0.375</v>
      </c>
      <c r="F27" s="139"/>
      <c r="G27" s="139"/>
      <c r="H27" s="139"/>
      <c r="I27" s="139"/>
    </row>
    <row r="28" spans="1:9" ht="13.9" customHeight="1" x14ac:dyDescent="0.2">
      <c r="A28" s="85">
        <v>30</v>
      </c>
      <c r="B28" s="6"/>
      <c r="D28" s="139">
        <v>0.25</v>
      </c>
      <c r="E28" s="104">
        <v>0.25</v>
      </c>
      <c r="F28" s="139">
        <v>0.25</v>
      </c>
      <c r="G28" s="139">
        <v>0.25</v>
      </c>
      <c r="H28" s="139">
        <v>0.312</v>
      </c>
      <c r="I28" s="139">
        <v>0.32500000000000001</v>
      </c>
    </row>
    <row r="29" spans="1:9" ht="13.9" customHeight="1" x14ac:dyDescent="0.2">
      <c r="A29" s="85">
        <v>26</v>
      </c>
      <c r="B29" s="6"/>
      <c r="D29" s="139">
        <v>0.28100000000000003</v>
      </c>
      <c r="E29" s="104">
        <v>0.3125</v>
      </c>
      <c r="F29" s="139">
        <v>0.312</v>
      </c>
      <c r="G29" s="139">
        <v>0.29699999999999999</v>
      </c>
      <c r="H29" s="139">
        <v>0.28100000000000003</v>
      </c>
      <c r="I29" s="139"/>
    </row>
    <row r="30" spans="1:9" ht="13.9" customHeight="1" x14ac:dyDescent="0.2">
      <c r="A30" s="85">
        <v>24</v>
      </c>
      <c r="B30" s="6"/>
      <c r="D30" s="139">
        <v>0.25</v>
      </c>
      <c r="E30" s="104">
        <v>0.28100000000000003</v>
      </c>
      <c r="G30" s="139"/>
      <c r="H30" s="139"/>
      <c r="I30" s="139"/>
    </row>
    <row r="31" spans="1:9" ht="13.9" customHeight="1" x14ac:dyDescent="0.2">
      <c r="A31" s="85">
        <v>22</v>
      </c>
      <c r="B31" s="6"/>
      <c r="D31" s="139">
        <v>0.25</v>
      </c>
      <c r="E31" s="104">
        <v>0.25</v>
      </c>
      <c r="G31" s="139"/>
      <c r="H31" s="139"/>
      <c r="I31" s="139"/>
    </row>
    <row r="32" spans="1:9" ht="13.9" customHeight="1" x14ac:dyDescent="0.2">
      <c r="A32" s="85">
        <v>20</v>
      </c>
      <c r="B32" s="6"/>
      <c r="D32" s="139">
        <v>0.25</v>
      </c>
      <c r="E32" s="104">
        <v>0.25</v>
      </c>
      <c r="G32" s="139"/>
      <c r="H32" s="139"/>
      <c r="I32" s="139"/>
    </row>
    <row r="33" spans="1:9" ht="13.9" customHeight="1" x14ac:dyDescent="0.2">
      <c r="A33" s="85">
        <v>18</v>
      </c>
      <c r="B33" s="6"/>
      <c r="D33" s="139">
        <v>0.219</v>
      </c>
      <c r="E33" s="104">
        <v>0.25</v>
      </c>
      <c r="G33" s="139"/>
      <c r="H33" s="139"/>
      <c r="I33" s="139"/>
    </row>
    <row r="34" spans="1:9" ht="13.9" customHeight="1" x14ac:dyDescent="0.2">
      <c r="A34" s="85">
        <v>16</v>
      </c>
      <c r="B34" s="6"/>
      <c r="D34" s="139">
        <v>0.25</v>
      </c>
      <c r="E34" s="104">
        <v>0.25</v>
      </c>
      <c r="G34" s="139"/>
      <c r="H34" s="139"/>
      <c r="I34" s="139"/>
    </row>
    <row r="35" spans="1:9" ht="13.9" customHeight="1" x14ac:dyDescent="0.2">
      <c r="A35" s="85">
        <v>14</v>
      </c>
      <c r="B35" s="6"/>
      <c r="D35" s="139">
        <v>0.20300000000000001</v>
      </c>
      <c r="E35" s="104">
        <v>0.20300000000000001</v>
      </c>
      <c r="G35" s="139"/>
      <c r="H35" s="139"/>
      <c r="I35" s="139"/>
    </row>
    <row r="36" spans="1:9" ht="13.9" customHeight="1" x14ac:dyDescent="0.2">
      <c r="A36" s="85">
        <v>12.75</v>
      </c>
      <c r="B36" s="6"/>
      <c r="D36" s="139">
        <v>0.20300000000000001</v>
      </c>
      <c r="E36" s="104">
        <v>0.20300000000000001</v>
      </c>
      <c r="G36" s="139"/>
      <c r="H36" s="139"/>
      <c r="I36" s="139"/>
    </row>
    <row r="37" spans="1:9" ht="13.9" customHeight="1" x14ac:dyDescent="0.2">
      <c r="A37" s="85">
        <v>10.75</v>
      </c>
      <c r="B37" s="6"/>
      <c r="D37" s="139">
        <v>0.188</v>
      </c>
      <c r="E37" s="104">
        <v>0.22</v>
      </c>
      <c r="G37" s="139"/>
      <c r="H37" s="139"/>
      <c r="I37" s="139"/>
    </row>
    <row r="38" spans="1:9" ht="13.9" customHeight="1" x14ac:dyDescent="0.2">
      <c r="A38" s="86">
        <v>8.625</v>
      </c>
      <c r="B38" s="6"/>
      <c r="D38" s="139">
        <v>0.17199999999999999</v>
      </c>
      <c r="E38" s="104">
        <v>0.217</v>
      </c>
      <c r="G38" s="139"/>
      <c r="H38" s="139"/>
      <c r="I38" s="139"/>
    </row>
    <row r="39" spans="1:9" ht="13.9" customHeight="1" x14ac:dyDescent="0.2">
      <c r="A39" s="86">
        <v>6.625</v>
      </c>
      <c r="B39" s="6"/>
      <c r="D39" s="139">
        <v>0.156</v>
      </c>
      <c r="E39" s="104">
        <v>0.1875</v>
      </c>
      <c r="G39" s="139"/>
      <c r="H39" s="139"/>
      <c r="I39" s="139"/>
    </row>
    <row r="40" spans="1:9" ht="13.9" customHeight="1" x14ac:dyDescent="0.2">
      <c r="A40" s="87">
        <v>4.5</v>
      </c>
      <c r="B40" s="6"/>
      <c r="D40" s="139">
        <v>0.14099999999999999</v>
      </c>
      <c r="E40" s="104">
        <v>0.14799999999999999</v>
      </c>
      <c r="F40" s="139">
        <v>0.14799999999999999</v>
      </c>
      <c r="G40" s="139">
        <v>0.156</v>
      </c>
      <c r="H40" s="139">
        <v>0.14099999999999999</v>
      </c>
      <c r="I40" s="139">
        <v>0.14799999999999999</v>
      </c>
    </row>
    <row r="41" spans="1:9" ht="13.9" customHeight="1" x14ac:dyDescent="0.2">
      <c r="A41" s="87">
        <v>3.5</v>
      </c>
      <c r="B41" s="6"/>
      <c r="D41" s="139">
        <v>0.14099999999999999</v>
      </c>
      <c r="E41" s="104">
        <v>0.14799999999999999</v>
      </c>
      <c r="F41" s="139">
        <v>0.14799999999999999</v>
      </c>
      <c r="G41" s="139">
        <v>0.156</v>
      </c>
      <c r="H41" s="139">
        <v>0.14099999999999999</v>
      </c>
      <c r="I41" s="139">
        <v>0.113</v>
      </c>
    </row>
    <row r="42" spans="1:9" ht="13.9" customHeight="1" x14ac:dyDescent="0.2">
      <c r="A42" s="100">
        <v>2.375</v>
      </c>
      <c r="B42" s="101"/>
      <c r="D42" s="139">
        <v>0.154</v>
      </c>
      <c r="E42" s="104">
        <v>0.113</v>
      </c>
      <c r="F42" s="139">
        <v>0.113</v>
      </c>
      <c r="G42" s="139">
        <v>0.113</v>
      </c>
      <c r="H42" s="139">
        <v>0.113</v>
      </c>
      <c r="I42" s="139">
        <v>0.113</v>
      </c>
    </row>
    <row r="43" spans="1:9" ht="13.9" customHeight="1" x14ac:dyDescent="0.2">
      <c r="A43" s="100">
        <v>1.9</v>
      </c>
      <c r="B43" s="101" t="s">
        <v>92</v>
      </c>
      <c r="D43" s="139">
        <v>0.14499999999999999</v>
      </c>
      <c r="E43" s="104">
        <v>0.113</v>
      </c>
      <c r="F43" s="139">
        <v>0.113</v>
      </c>
      <c r="G43" s="139">
        <v>0.113</v>
      </c>
      <c r="H43" s="139">
        <v>0.113</v>
      </c>
      <c r="I43" s="139">
        <v>0.113</v>
      </c>
    </row>
    <row r="44" spans="1:9" ht="13.9" customHeight="1" x14ac:dyDescent="0.2">
      <c r="A44" s="100">
        <v>1.66</v>
      </c>
      <c r="B44" s="101" t="s">
        <v>93</v>
      </c>
      <c r="D44" s="139">
        <v>0.14000000000000001</v>
      </c>
      <c r="E44" s="104">
        <v>0.113</v>
      </c>
      <c r="F44" s="139">
        <v>0.113</v>
      </c>
      <c r="G44" s="139">
        <v>0.113</v>
      </c>
      <c r="H44" s="139">
        <v>0.113</v>
      </c>
      <c r="I44" s="139">
        <v>0.113</v>
      </c>
    </row>
    <row r="45" spans="1:9" ht="13.9" customHeight="1" x14ac:dyDescent="0.2">
      <c r="A45" s="102">
        <v>1.3149999999999999</v>
      </c>
      <c r="B45" s="101" t="s">
        <v>94</v>
      </c>
      <c r="D45" s="139">
        <v>0.113</v>
      </c>
      <c r="E45" s="104">
        <v>0.113</v>
      </c>
      <c r="F45" s="139">
        <v>0.113</v>
      </c>
      <c r="G45" s="139">
        <v>0.113</v>
      </c>
      <c r="H45" s="139">
        <v>0.113</v>
      </c>
      <c r="I45" s="139">
        <v>0.113</v>
      </c>
    </row>
    <row r="46" spans="1:9" ht="13.9" customHeight="1" x14ac:dyDescent="0.2">
      <c r="A46" s="102">
        <v>1.05</v>
      </c>
      <c r="B46" s="101" t="s">
        <v>95</v>
      </c>
      <c r="D46" s="139">
        <v>0.113</v>
      </c>
      <c r="E46" s="104">
        <v>0.113</v>
      </c>
      <c r="F46" s="139">
        <v>0.113</v>
      </c>
      <c r="G46" s="139">
        <v>0.113</v>
      </c>
      <c r="H46" s="139">
        <v>0.113</v>
      </c>
      <c r="I46" s="139">
        <v>0.113</v>
      </c>
    </row>
    <row r="47" spans="1:9" ht="13.9" customHeight="1" x14ac:dyDescent="0.2">
      <c r="A47" s="102">
        <v>0.84</v>
      </c>
      <c r="B47" s="101" t="s">
        <v>96</v>
      </c>
      <c r="D47" s="139">
        <v>0.109</v>
      </c>
      <c r="E47" s="104">
        <v>0.113</v>
      </c>
      <c r="F47" s="139">
        <v>0.113</v>
      </c>
      <c r="G47" s="139">
        <v>0.113</v>
      </c>
      <c r="H47" s="139">
        <v>0.113</v>
      </c>
      <c r="I47" s="139">
        <v>0.113</v>
      </c>
    </row>
    <row r="48" spans="1:9" ht="13.9" customHeight="1" thickBot="1" x14ac:dyDescent="0.25">
      <c r="A48" s="134">
        <v>0.5</v>
      </c>
      <c r="B48" s="101" t="s">
        <v>352</v>
      </c>
      <c r="D48" s="139">
        <v>0.113</v>
      </c>
      <c r="E48" s="104">
        <v>0.113</v>
      </c>
      <c r="F48" s="139">
        <v>0.113</v>
      </c>
      <c r="G48" s="139">
        <v>0.113</v>
      </c>
      <c r="H48" s="139">
        <v>0.113</v>
      </c>
      <c r="I48" s="139">
        <v>0.113</v>
      </c>
    </row>
    <row r="49" spans="1:3" ht="13.9" customHeight="1" x14ac:dyDescent="0.2">
      <c r="A49" s="83" t="s">
        <v>884</v>
      </c>
      <c r="B49" s="60" t="s">
        <v>539</v>
      </c>
    </row>
    <row r="50" spans="1:3" ht="13.9" customHeight="1" x14ac:dyDescent="0.2">
      <c r="A50" s="88">
        <v>150</v>
      </c>
      <c r="B50" s="278">
        <v>275</v>
      </c>
    </row>
    <row r="51" spans="1:3" ht="13.9" customHeight="1" x14ac:dyDescent="0.2">
      <c r="A51" s="88">
        <v>300</v>
      </c>
      <c r="B51" s="278">
        <v>720</v>
      </c>
      <c r="C51" s="103" t="s">
        <v>877</v>
      </c>
    </row>
    <row r="52" spans="1:3" ht="13.9" customHeight="1" x14ac:dyDescent="0.2">
      <c r="A52" s="88">
        <v>400</v>
      </c>
      <c r="B52" s="278">
        <v>960</v>
      </c>
    </row>
    <row r="53" spans="1:3" ht="13.9" customHeight="1" x14ac:dyDescent="0.2">
      <c r="A53" s="88">
        <v>600</v>
      </c>
      <c r="B53" s="278">
        <v>1440</v>
      </c>
    </row>
    <row r="54" spans="1:3" ht="13.9" customHeight="1" x14ac:dyDescent="0.2">
      <c r="A54" s="88">
        <v>900</v>
      </c>
      <c r="B54" s="278">
        <v>2160</v>
      </c>
    </row>
    <row r="55" spans="1:3" ht="13.9" customHeight="1" x14ac:dyDescent="0.2">
      <c r="A55" s="88">
        <v>1500</v>
      </c>
      <c r="B55" s="278">
        <v>3600</v>
      </c>
    </row>
    <row r="56" spans="1:3" ht="13.9" customHeight="1" x14ac:dyDescent="0.2">
      <c r="A56" s="83" t="s">
        <v>330</v>
      </c>
      <c r="B56" s="67" t="s">
        <v>926</v>
      </c>
    </row>
    <row r="57" spans="1:3" x14ac:dyDescent="0.2">
      <c r="A57" s="70" t="s">
        <v>745</v>
      </c>
      <c r="B57" s="4">
        <v>1</v>
      </c>
    </row>
    <row r="58" spans="1:3" ht="13.9" customHeight="1" x14ac:dyDescent="0.2">
      <c r="A58" s="70" t="s">
        <v>728</v>
      </c>
      <c r="B58" s="4">
        <v>0.8</v>
      </c>
    </row>
    <row r="59" spans="1:3" ht="13.9" customHeight="1" x14ac:dyDescent="0.2">
      <c r="A59" s="70" t="s">
        <v>729</v>
      </c>
      <c r="B59" s="4">
        <v>1</v>
      </c>
    </row>
    <row r="60" spans="1:3" ht="13.9" customHeight="1" x14ac:dyDescent="0.2">
      <c r="A60" s="70" t="s">
        <v>1410</v>
      </c>
      <c r="B60" s="4">
        <v>0.8</v>
      </c>
    </row>
    <row r="61" spans="1:3" ht="13.9" customHeight="1" x14ac:dyDescent="0.2">
      <c r="A61" s="70" t="s">
        <v>730</v>
      </c>
      <c r="B61" s="4">
        <v>1</v>
      </c>
    </row>
    <row r="62" spans="1:3" ht="13.9" customHeight="1" x14ac:dyDescent="0.2">
      <c r="A62" s="70" t="s">
        <v>746</v>
      </c>
      <c r="B62" s="4">
        <v>0.8</v>
      </c>
    </row>
    <row r="63" spans="1:3" ht="13.9" customHeight="1" x14ac:dyDescent="0.2">
      <c r="A63" s="70" t="s">
        <v>731</v>
      </c>
      <c r="B63" s="4">
        <v>1</v>
      </c>
      <c r="C63" s="191" t="s">
        <v>840</v>
      </c>
    </row>
    <row r="64" spans="1:3" ht="13.9" customHeight="1" x14ac:dyDescent="0.2">
      <c r="A64" s="70" t="s">
        <v>1202</v>
      </c>
      <c r="B64" s="4">
        <v>1</v>
      </c>
    </row>
    <row r="65" spans="1:3" ht="13.9" customHeight="1" x14ac:dyDescent="0.2">
      <c r="A65" s="70" t="s">
        <v>747</v>
      </c>
      <c r="B65" s="4">
        <v>0.8</v>
      </c>
    </row>
    <row r="66" spans="1:3" ht="13.9" customHeight="1" x14ac:dyDescent="0.2">
      <c r="A66" s="70" t="s">
        <v>748</v>
      </c>
      <c r="B66" s="4">
        <v>0.6</v>
      </c>
      <c r="C66" s="191" t="s">
        <v>575</v>
      </c>
    </row>
    <row r="67" spans="1:3" ht="13.9" customHeight="1" x14ac:dyDescent="0.2">
      <c r="A67" s="70" t="s">
        <v>123</v>
      </c>
      <c r="B67" s="4">
        <v>1</v>
      </c>
    </row>
    <row r="68" spans="1:3" ht="13.9" customHeight="1" x14ac:dyDescent="0.2">
      <c r="A68" s="70" t="s">
        <v>749</v>
      </c>
      <c r="B68" s="4">
        <v>1</v>
      </c>
    </row>
    <row r="69" spans="1:3" ht="13.9" customHeight="1" x14ac:dyDescent="0.2">
      <c r="A69" s="70" t="s">
        <v>121</v>
      </c>
      <c r="B69" s="4">
        <v>0.8</v>
      </c>
      <c r="C69" s="103" t="s">
        <v>225</v>
      </c>
    </row>
    <row r="70" spans="1:3" ht="13.9" customHeight="1" x14ac:dyDescent="0.2">
      <c r="A70" s="70" t="s">
        <v>1554</v>
      </c>
      <c r="B70" s="4">
        <v>0.95</v>
      </c>
      <c r="C70" s="191" t="s">
        <v>1555</v>
      </c>
    </row>
    <row r="71" spans="1:3" ht="13.9" customHeight="1" x14ac:dyDescent="0.2">
      <c r="A71" s="70" t="s">
        <v>1556</v>
      </c>
      <c r="B71" s="4">
        <v>0.9</v>
      </c>
      <c r="C71" s="191" t="s">
        <v>1555</v>
      </c>
    </row>
    <row r="72" spans="1:3" ht="13.9" customHeight="1" x14ac:dyDescent="0.2">
      <c r="A72" s="70" t="s">
        <v>1557</v>
      </c>
      <c r="B72" s="4">
        <v>0.85</v>
      </c>
      <c r="C72" s="191" t="s">
        <v>1555</v>
      </c>
    </row>
    <row r="73" spans="1:3" ht="13.9" customHeight="1" x14ac:dyDescent="0.2">
      <c r="A73" s="70" t="s">
        <v>329</v>
      </c>
      <c r="B73" s="4">
        <v>0.8</v>
      </c>
    </row>
    <row r="74" spans="1:3" ht="13.9" customHeight="1" x14ac:dyDescent="0.2">
      <c r="A74" s="70" t="s">
        <v>232</v>
      </c>
      <c r="B74" s="4">
        <v>1</v>
      </c>
    </row>
    <row r="75" spans="1:3" ht="13.9" customHeight="1" x14ac:dyDescent="0.2">
      <c r="A75" s="70" t="s">
        <v>750</v>
      </c>
      <c r="B75" s="4">
        <v>0.6</v>
      </c>
    </row>
    <row r="76" spans="1:3" ht="13.9" customHeight="1" x14ac:dyDescent="0.2">
      <c r="A76" s="79" t="s">
        <v>331</v>
      </c>
      <c r="B76" s="2"/>
    </row>
    <row r="77" spans="1:3" ht="13.5" customHeight="1" x14ac:dyDescent="0.2">
      <c r="A77" s="13" t="s">
        <v>661</v>
      </c>
      <c r="B77" s="8"/>
      <c r="C77" s="191" t="s">
        <v>787</v>
      </c>
    </row>
    <row r="78" spans="1:3" ht="14.1" customHeight="1" x14ac:dyDescent="0.2">
      <c r="A78" s="13" t="s">
        <v>663</v>
      </c>
      <c r="B78" s="8"/>
    </row>
    <row r="79" spans="1:3" ht="14.1" customHeight="1" x14ac:dyDescent="0.2">
      <c r="A79" s="13" t="s">
        <v>665</v>
      </c>
      <c r="B79" s="13" t="s">
        <v>786</v>
      </c>
    </row>
    <row r="80" spans="1:3" ht="14.1" customHeight="1" x14ac:dyDescent="0.2">
      <c r="A80" s="13" t="s">
        <v>666</v>
      </c>
      <c r="B80" s="13" t="s">
        <v>785</v>
      </c>
    </row>
    <row r="81" spans="1:2" ht="14.1" customHeight="1" x14ac:dyDescent="0.2">
      <c r="A81" s="13" t="s">
        <v>783</v>
      </c>
      <c r="B81" s="13" t="s">
        <v>784</v>
      </c>
    </row>
    <row r="82" spans="1:2" ht="14.1" customHeight="1" x14ac:dyDescent="0.2">
      <c r="A82" s="13" t="s">
        <v>334</v>
      </c>
      <c r="B82" s="8"/>
    </row>
    <row r="83" spans="1:2" ht="14.1" customHeight="1" x14ac:dyDescent="0.2">
      <c r="A83" s="13" t="s">
        <v>333</v>
      </c>
      <c r="B83" s="8"/>
    </row>
    <row r="84" spans="1:2" ht="14.1" customHeight="1" x14ac:dyDescent="0.2">
      <c r="A84" s="13" t="s">
        <v>667</v>
      </c>
      <c r="B84" s="8"/>
    </row>
    <row r="85" spans="1:2" ht="14.1" customHeight="1" x14ac:dyDescent="0.2">
      <c r="A85" s="13" t="s">
        <v>668</v>
      </c>
      <c r="B85" s="8"/>
    </row>
    <row r="86" spans="1:2" ht="14.1" customHeight="1" x14ac:dyDescent="0.2">
      <c r="A86" s="13" t="s">
        <v>115</v>
      </c>
      <c r="B86" s="8"/>
    </row>
    <row r="87" spans="1:2" ht="14.1" customHeight="1" x14ac:dyDescent="0.2">
      <c r="A87" s="13" t="s">
        <v>335</v>
      </c>
      <c r="B87" s="8"/>
    </row>
    <row r="88" spans="1:2" ht="14.1" customHeight="1" x14ac:dyDescent="0.2">
      <c r="A88" s="13" t="s">
        <v>116</v>
      </c>
      <c r="B88" s="8"/>
    </row>
    <row r="89" spans="1:2" ht="14.1" customHeight="1" x14ac:dyDescent="0.2">
      <c r="A89" s="13" t="s">
        <v>117</v>
      </c>
      <c r="B89" s="8"/>
    </row>
    <row r="90" spans="1:2" ht="14.1" customHeight="1" x14ac:dyDescent="0.2">
      <c r="A90" s="13" t="s">
        <v>738</v>
      </c>
      <c r="B90" s="8"/>
    </row>
    <row r="91" spans="1:2" ht="14.1" customHeight="1" x14ac:dyDescent="0.2">
      <c r="A91" s="13" t="s">
        <v>737</v>
      </c>
      <c r="B91" s="8"/>
    </row>
    <row r="92" spans="1:2" ht="14.1" customHeight="1" x14ac:dyDescent="0.2">
      <c r="A92" s="13" t="s">
        <v>332</v>
      </c>
      <c r="B92" s="8"/>
    </row>
    <row r="93" spans="1:2" ht="14.1" customHeight="1" x14ac:dyDescent="0.2">
      <c r="A93" s="13" t="s">
        <v>152</v>
      </c>
      <c r="B93" s="8"/>
    </row>
    <row r="94" spans="1:2" ht="14.1" customHeight="1" x14ac:dyDescent="0.2">
      <c r="A94" s="13" t="s">
        <v>158</v>
      </c>
      <c r="B94" s="8"/>
    </row>
    <row r="95" spans="1:2" ht="14.1" customHeight="1" x14ac:dyDescent="0.2">
      <c r="A95" s="79" t="s">
        <v>447</v>
      </c>
      <c r="B95" s="8"/>
    </row>
    <row r="96" spans="1:2" ht="13.9" customHeight="1" x14ac:dyDescent="0.2">
      <c r="A96" s="13" t="s">
        <v>662</v>
      </c>
      <c r="B96" s="8"/>
    </row>
    <row r="97" spans="1:2" ht="13.9" customHeight="1" x14ac:dyDescent="0.2">
      <c r="A97" s="13" t="s">
        <v>664</v>
      </c>
      <c r="B97" s="8"/>
    </row>
    <row r="98" spans="1:2" ht="13.9" customHeight="1" x14ac:dyDescent="0.2">
      <c r="A98" s="13" t="s">
        <v>119</v>
      </c>
      <c r="B98" s="8"/>
    </row>
    <row r="99" spans="1:2" ht="13.9" customHeight="1" x14ac:dyDescent="0.2">
      <c r="A99" s="13" t="s">
        <v>120</v>
      </c>
      <c r="B99" s="8"/>
    </row>
    <row r="100" spans="1:2" ht="13.9" customHeight="1" x14ac:dyDescent="0.2">
      <c r="A100" s="13" t="s">
        <v>448</v>
      </c>
      <c r="B100" s="8"/>
    </row>
    <row r="101" spans="1:2" ht="13.9" customHeight="1" x14ac:dyDescent="0.2">
      <c r="A101" s="13" t="s">
        <v>449</v>
      </c>
      <c r="B101" s="8"/>
    </row>
    <row r="102" spans="1:2" ht="13.9" customHeight="1" x14ac:dyDescent="0.2">
      <c r="A102" s="13" t="s">
        <v>434</v>
      </c>
      <c r="B102" s="8"/>
    </row>
    <row r="103" spans="1:2" ht="13.9" customHeight="1" x14ac:dyDescent="0.2">
      <c r="A103" s="13" t="s">
        <v>152</v>
      </c>
      <c r="B103" s="8"/>
    </row>
    <row r="104" spans="1:2" ht="13.9" customHeight="1" x14ac:dyDescent="0.2">
      <c r="A104" s="13" t="s">
        <v>158</v>
      </c>
      <c r="B104" s="8"/>
    </row>
    <row r="105" spans="1:2" ht="13.9" customHeight="1" x14ac:dyDescent="0.2">
      <c r="A105" s="79" t="s">
        <v>345</v>
      </c>
      <c r="B105" s="8"/>
    </row>
    <row r="106" spans="1:2" ht="13.9" customHeight="1" x14ac:dyDescent="0.2">
      <c r="A106" s="13" t="s">
        <v>347</v>
      </c>
      <c r="B106" s="8"/>
    </row>
    <row r="107" spans="1:2" ht="13.9" customHeight="1" x14ac:dyDescent="0.2">
      <c r="A107" s="13" t="s">
        <v>349</v>
      </c>
      <c r="B107" s="8"/>
    </row>
    <row r="108" spans="1:2" ht="13.9" customHeight="1" x14ac:dyDescent="0.2">
      <c r="A108" s="13" t="s">
        <v>350</v>
      </c>
      <c r="B108" s="8"/>
    </row>
    <row r="109" spans="1:2" ht="13.9" customHeight="1" x14ac:dyDescent="0.2">
      <c r="A109" s="13" t="s">
        <v>109</v>
      </c>
      <c r="B109" s="8"/>
    </row>
    <row r="110" spans="1:2" ht="13.9" customHeight="1" x14ac:dyDescent="0.2">
      <c r="A110" s="13" t="s">
        <v>110</v>
      </c>
      <c r="B110" s="8"/>
    </row>
    <row r="111" spans="1:2" ht="13.9" customHeight="1" x14ac:dyDescent="0.2">
      <c r="A111" s="13" t="s">
        <v>1267</v>
      </c>
      <c r="B111" s="8" t="s">
        <v>382</v>
      </c>
    </row>
    <row r="112" spans="1:2" ht="13.9" customHeight="1" x14ac:dyDescent="0.2">
      <c r="A112" s="13" t="s">
        <v>152</v>
      </c>
      <c r="B112" s="8"/>
    </row>
    <row r="113" spans="1:2" ht="13.9" customHeight="1" x14ac:dyDescent="0.2">
      <c r="A113" s="13" t="s">
        <v>158</v>
      </c>
      <c r="B113" s="8"/>
    </row>
    <row r="114" spans="1:2" ht="13.9" customHeight="1" x14ac:dyDescent="0.2">
      <c r="A114" s="82" t="s">
        <v>254</v>
      </c>
      <c r="B114" s="8"/>
    </row>
    <row r="115" spans="1:2" ht="13.9" customHeight="1" x14ac:dyDescent="0.2">
      <c r="A115" s="13" t="s">
        <v>589</v>
      </c>
      <c r="B115" s="8"/>
    </row>
    <row r="116" spans="1:2" ht="13.9" customHeight="1" x14ac:dyDescent="0.2">
      <c r="A116" s="13" t="s">
        <v>590</v>
      </c>
      <c r="B116" s="8"/>
    </row>
    <row r="117" spans="1:2" ht="13.9" customHeight="1" x14ac:dyDescent="0.2">
      <c r="A117" s="13" t="s">
        <v>158</v>
      </c>
      <c r="B117" s="8"/>
    </row>
    <row r="118" spans="1:2" ht="13.9" customHeight="1" x14ac:dyDescent="0.2">
      <c r="A118" s="82" t="s">
        <v>255</v>
      </c>
      <c r="B118" s="8"/>
    </row>
    <row r="119" spans="1:2" ht="13.9" customHeight="1" x14ac:dyDescent="0.2">
      <c r="A119" s="13" t="s">
        <v>256</v>
      </c>
      <c r="B119" s="8"/>
    </row>
    <row r="120" spans="1:2" ht="13.9" customHeight="1" x14ac:dyDescent="0.2">
      <c r="A120" s="13" t="s">
        <v>596</v>
      </c>
      <c r="B120" s="8"/>
    </row>
    <row r="121" spans="1:2" ht="13.9" customHeight="1" x14ac:dyDescent="0.2">
      <c r="A121" s="13" t="s">
        <v>597</v>
      </c>
      <c r="B121" s="8"/>
    </row>
    <row r="122" spans="1:2" ht="13.9" customHeight="1" x14ac:dyDescent="0.2">
      <c r="A122" s="13" t="s">
        <v>598</v>
      </c>
      <c r="B122" s="8"/>
    </row>
    <row r="123" spans="1:2" ht="13.9" customHeight="1" x14ac:dyDescent="0.2">
      <c r="A123" s="13" t="s">
        <v>932</v>
      </c>
      <c r="B123" s="8"/>
    </row>
    <row r="124" spans="1:2" ht="13.9" customHeight="1" x14ac:dyDescent="0.2">
      <c r="A124" s="13" t="s">
        <v>152</v>
      </c>
      <c r="B124" s="8"/>
    </row>
    <row r="125" spans="1:2" ht="13.9" customHeight="1" x14ac:dyDescent="0.2">
      <c r="A125" s="13" t="s">
        <v>158</v>
      </c>
      <c r="B125" s="8"/>
    </row>
    <row r="126" spans="1:2" ht="13.9" customHeight="1" x14ac:dyDescent="0.2">
      <c r="A126" s="69" t="s">
        <v>257</v>
      </c>
      <c r="B126" s="8"/>
    </row>
    <row r="127" spans="1:2" ht="13.9" customHeight="1" x14ac:dyDescent="0.2">
      <c r="A127" s="13" t="s">
        <v>246</v>
      </c>
      <c r="B127" s="8"/>
    </row>
    <row r="128" spans="1:2" ht="13.9" customHeight="1" x14ac:dyDescent="0.2">
      <c r="A128" s="13" t="s">
        <v>247</v>
      </c>
      <c r="B128" s="8"/>
    </row>
    <row r="129" spans="1:2" ht="13.9" customHeight="1" x14ac:dyDescent="0.2">
      <c r="A129" s="13" t="s">
        <v>248</v>
      </c>
      <c r="B129" s="8"/>
    </row>
    <row r="130" spans="1:2" ht="13.9" customHeight="1" x14ac:dyDescent="0.2">
      <c r="A130" s="13" t="s">
        <v>249</v>
      </c>
      <c r="B130" s="8"/>
    </row>
    <row r="131" spans="1:2" ht="13.9" customHeight="1" x14ac:dyDescent="0.2">
      <c r="A131" s="13" t="s">
        <v>250</v>
      </c>
      <c r="B131" s="8"/>
    </row>
    <row r="132" spans="1:2" ht="13.9" customHeight="1" x14ac:dyDescent="0.2">
      <c r="A132" s="13" t="s">
        <v>925</v>
      </c>
      <c r="B132" s="8"/>
    </row>
    <row r="133" spans="1:2" ht="13.9" customHeight="1" x14ac:dyDescent="0.2">
      <c r="A133" s="13" t="s">
        <v>251</v>
      </c>
      <c r="B133" s="8"/>
    </row>
    <row r="134" spans="1:2" ht="13.9" customHeight="1" x14ac:dyDescent="0.2">
      <c r="A134" s="13" t="s">
        <v>252</v>
      </c>
      <c r="B134" s="8"/>
    </row>
    <row r="135" spans="1:2" ht="13.9" customHeight="1" x14ac:dyDescent="0.2">
      <c r="A135" s="13" t="s">
        <v>253</v>
      </c>
      <c r="B135" s="8"/>
    </row>
    <row r="136" spans="1:2" ht="13.9" customHeight="1" x14ac:dyDescent="0.2">
      <c r="A136" s="13" t="s">
        <v>152</v>
      </c>
      <c r="B136" s="8"/>
    </row>
    <row r="137" spans="1:2" ht="13.9" customHeight="1" x14ac:dyDescent="0.2">
      <c r="A137" s="13" t="s">
        <v>158</v>
      </c>
      <c r="B137" s="8"/>
    </row>
    <row r="138" spans="1:2" ht="13.9" customHeight="1" x14ac:dyDescent="0.2">
      <c r="A138" s="69" t="s">
        <v>258</v>
      </c>
      <c r="B138" s="8"/>
    </row>
    <row r="139" spans="1:2" ht="13.9" customHeight="1" x14ac:dyDescent="0.2">
      <c r="A139" s="88">
        <v>150</v>
      </c>
      <c r="B139" s="278">
        <v>275</v>
      </c>
    </row>
    <row r="140" spans="1:2" ht="13.9" customHeight="1" x14ac:dyDescent="0.2">
      <c r="A140" s="88">
        <v>300</v>
      </c>
      <c r="B140" s="278">
        <v>720</v>
      </c>
    </row>
    <row r="141" spans="1:2" ht="13.9" customHeight="1" x14ac:dyDescent="0.2">
      <c r="A141" s="88">
        <v>400</v>
      </c>
      <c r="B141" s="278">
        <v>960</v>
      </c>
    </row>
    <row r="142" spans="1:2" ht="13.9" customHeight="1" x14ac:dyDescent="0.2">
      <c r="A142" s="88">
        <v>600</v>
      </c>
      <c r="B142" s="278">
        <v>1440</v>
      </c>
    </row>
    <row r="143" spans="1:2" ht="13.9" customHeight="1" x14ac:dyDescent="0.2">
      <c r="A143" s="88">
        <v>900</v>
      </c>
      <c r="B143" s="278">
        <v>2160</v>
      </c>
    </row>
    <row r="144" spans="1:2" ht="13.9" customHeight="1" x14ac:dyDescent="0.2">
      <c r="A144" s="88">
        <v>1500</v>
      </c>
      <c r="B144" s="278">
        <v>3600</v>
      </c>
    </row>
    <row r="145" spans="1:2" ht="13.9" customHeight="1" x14ac:dyDescent="0.2">
      <c r="A145" s="69" t="s">
        <v>260</v>
      </c>
    </row>
    <row r="146" spans="1:2" ht="13.9" customHeight="1" x14ac:dyDescent="0.2">
      <c r="A146" s="13">
        <v>150</v>
      </c>
    </row>
    <row r="147" spans="1:2" ht="13.9" customHeight="1" x14ac:dyDescent="0.2">
      <c r="A147" s="13">
        <v>300</v>
      </c>
    </row>
    <row r="148" spans="1:2" ht="13.9" customHeight="1" x14ac:dyDescent="0.2">
      <c r="A148" s="13">
        <v>400</v>
      </c>
    </row>
    <row r="149" spans="1:2" ht="13.9" customHeight="1" x14ac:dyDescent="0.2">
      <c r="A149" s="13">
        <v>600</v>
      </c>
    </row>
    <row r="150" spans="1:2" ht="13.9" customHeight="1" x14ac:dyDescent="0.2">
      <c r="A150" s="13" t="s">
        <v>152</v>
      </c>
    </row>
    <row r="151" spans="1:2" ht="13.9" customHeight="1" x14ac:dyDescent="0.2">
      <c r="A151" s="13" t="s">
        <v>158</v>
      </c>
    </row>
    <row r="152" spans="1:2" ht="13.9" customHeight="1" x14ac:dyDescent="0.2">
      <c r="A152" s="83" t="s">
        <v>325</v>
      </c>
      <c r="B152" s="7"/>
    </row>
    <row r="153" spans="1:2" ht="13.9" customHeight="1" x14ac:dyDescent="0.2">
      <c r="A153" s="84" t="s">
        <v>754</v>
      </c>
      <c r="B153" s="278">
        <v>275</v>
      </c>
    </row>
    <row r="154" spans="1:2" ht="13.9" customHeight="1" x14ac:dyDescent="0.2">
      <c r="A154" s="84" t="s">
        <v>755</v>
      </c>
      <c r="B154" s="278">
        <v>720</v>
      </c>
    </row>
    <row r="155" spans="1:2" ht="13.9" customHeight="1" x14ac:dyDescent="0.2">
      <c r="A155" s="84" t="s">
        <v>756</v>
      </c>
      <c r="B155" s="278">
        <v>960</v>
      </c>
    </row>
    <row r="156" spans="1:2" ht="13.9" customHeight="1" x14ac:dyDescent="0.2">
      <c r="A156" s="84" t="s">
        <v>757</v>
      </c>
      <c r="B156" s="278">
        <v>1440</v>
      </c>
    </row>
    <row r="157" spans="1:2" ht="13.9" customHeight="1" x14ac:dyDescent="0.2">
      <c r="A157" s="84" t="s">
        <v>758</v>
      </c>
      <c r="B157" s="278">
        <v>2160</v>
      </c>
    </row>
    <row r="158" spans="1:2" ht="13.9" customHeight="1" x14ac:dyDescent="0.2">
      <c r="A158" s="84" t="s">
        <v>759</v>
      </c>
      <c r="B158" s="278">
        <v>3600</v>
      </c>
    </row>
    <row r="159" spans="1:2" ht="13.9" customHeight="1" x14ac:dyDescent="0.2">
      <c r="A159" s="84" t="s">
        <v>760</v>
      </c>
      <c r="B159" s="278">
        <v>6170</v>
      </c>
    </row>
    <row r="160" spans="1:2" ht="13.9" customHeight="1" x14ac:dyDescent="0.2">
      <c r="A160" s="84" t="s">
        <v>761</v>
      </c>
      <c r="B160" s="278">
        <v>50</v>
      </c>
    </row>
    <row r="161" spans="1:2" ht="13.9" customHeight="1" x14ac:dyDescent="0.2">
      <c r="A161" s="84" t="s">
        <v>762</v>
      </c>
      <c r="B161" s="278">
        <v>100</v>
      </c>
    </row>
    <row r="162" spans="1:2" ht="13.9" customHeight="1" x14ac:dyDescent="0.2">
      <c r="A162" s="84" t="s">
        <v>763</v>
      </c>
      <c r="B162" s="278">
        <v>150</v>
      </c>
    </row>
    <row r="163" spans="1:2" ht="13.9" customHeight="1" x14ac:dyDescent="0.2">
      <c r="A163" s="84" t="s">
        <v>764</v>
      </c>
      <c r="B163" s="278">
        <v>200</v>
      </c>
    </row>
    <row r="164" spans="1:2" ht="13.9" customHeight="1" x14ac:dyDescent="0.2">
      <c r="A164" s="84" t="s">
        <v>765</v>
      </c>
      <c r="B164" s="278">
        <v>500</v>
      </c>
    </row>
    <row r="165" spans="1:2" ht="13.9" customHeight="1" x14ac:dyDescent="0.2">
      <c r="A165" s="84" t="s">
        <v>766</v>
      </c>
      <c r="B165" s="278">
        <v>600</v>
      </c>
    </row>
    <row r="166" spans="1:2" ht="13.9" customHeight="1" x14ac:dyDescent="0.2">
      <c r="A166" s="84" t="s">
        <v>437</v>
      </c>
      <c r="B166" s="278">
        <v>720</v>
      </c>
    </row>
    <row r="167" spans="1:2" ht="13.9" customHeight="1" x14ac:dyDescent="0.2">
      <c r="A167" s="84" t="s">
        <v>438</v>
      </c>
      <c r="B167" s="278">
        <v>800</v>
      </c>
    </row>
    <row r="168" spans="1:2" ht="13.9" customHeight="1" x14ac:dyDescent="0.2">
      <c r="A168" s="84" t="s">
        <v>439</v>
      </c>
      <c r="B168" s="278">
        <v>960</v>
      </c>
    </row>
    <row r="169" spans="1:2" ht="13.9" customHeight="1" x14ac:dyDescent="0.2">
      <c r="A169" s="84" t="s">
        <v>440</v>
      </c>
      <c r="B169" s="278">
        <v>1000</v>
      </c>
    </row>
    <row r="170" spans="1:2" ht="13.9" customHeight="1" x14ac:dyDescent="0.2">
      <c r="A170" s="84" t="s">
        <v>441</v>
      </c>
      <c r="B170" s="278">
        <v>1440</v>
      </c>
    </row>
    <row r="171" spans="1:2" ht="13.9" customHeight="1" x14ac:dyDescent="0.2">
      <c r="A171" s="84" t="s">
        <v>442</v>
      </c>
      <c r="B171" s="278">
        <v>1500</v>
      </c>
    </row>
    <row r="172" spans="1:2" ht="13.9" customHeight="1" x14ac:dyDescent="0.2">
      <c r="A172" s="84" t="s">
        <v>443</v>
      </c>
      <c r="B172" s="278">
        <v>2160</v>
      </c>
    </row>
    <row r="173" spans="1:2" ht="13.9" customHeight="1" x14ac:dyDescent="0.2">
      <c r="A173" s="84" t="s">
        <v>444</v>
      </c>
      <c r="B173" s="278">
        <v>2200</v>
      </c>
    </row>
    <row r="174" spans="1:2" ht="13.9" customHeight="1" x14ac:dyDescent="0.2">
      <c r="A174" s="84" t="s">
        <v>445</v>
      </c>
      <c r="B174" s="279">
        <v>3000</v>
      </c>
    </row>
    <row r="175" spans="1:2" ht="13.9" customHeight="1" x14ac:dyDescent="0.2">
      <c r="A175" s="84" t="s">
        <v>1367</v>
      </c>
      <c r="B175" s="279">
        <v>6000</v>
      </c>
    </row>
    <row r="176" spans="1:2" ht="13.9" customHeight="1" x14ac:dyDescent="0.2">
      <c r="A176" s="84" t="s">
        <v>158</v>
      </c>
      <c r="B176" s="10">
        <v>0</v>
      </c>
    </row>
    <row r="177" spans="1:2" ht="13.9" customHeight="1" x14ac:dyDescent="0.2">
      <c r="A177" s="378"/>
      <c r="B177" s="10" t="s">
        <v>1404</v>
      </c>
    </row>
    <row r="178" spans="1:2" ht="13.9" customHeight="1" x14ac:dyDescent="0.2">
      <c r="A178" s="79" t="s">
        <v>217</v>
      </c>
      <c r="B178" s="6">
        <v>0</v>
      </c>
    </row>
    <row r="179" spans="1:2" ht="13.9" customHeight="1" x14ac:dyDescent="0.2">
      <c r="A179" s="13" t="s">
        <v>218</v>
      </c>
    </row>
    <row r="180" spans="1:2" ht="13.9" customHeight="1" x14ac:dyDescent="0.2">
      <c r="A180" s="13" t="s">
        <v>219</v>
      </c>
    </row>
    <row r="181" spans="1:2" ht="13.9" customHeight="1" x14ac:dyDescent="0.2">
      <c r="A181" s="13" t="s">
        <v>314</v>
      </c>
    </row>
    <row r="182" spans="1:2" ht="13.9" customHeight="1" x14ac:dyDescent="0.2">
      <c r="A182" s="13" t="s">
        <v>107</v>
      </c>
    </row>
    <row r="183" spans="1:2" ht="13.9" customHeight="1" x14ac:dyDescent="0.2">
      <c r="A183" s="13" t="s">
        <v>108</v>
      </c>
    </row>
    <row r="184" spans="1:2" ht="13.9" customHeight="1" x14ac:dyDescent="0.2">
      <c r="A184" s="13" t="s">
        <v>289</v>
      </c>
    </row>
    <row r="185" spans="1:2" ht="13.9" customHeight="1" x14ac:dyDescent="0.2">
      <c r="A185" s="13" t="s">
        <v>152</v>
      </c>
    </row>
    <row r="186" spans="1:2" ht="13.9" customHeight="1" x14ac:dyDescent="0.2">
      <c r="A186" s="13" t="s">
        <v>158</v>
      </c>
    </row>
    <row r="187" spans="1:2" ht="13.9" customHeight="1" x14ac:dyDescent="0.2"/>
    <row r="188" spans="1:2" ht="13.9" customHeight="1" x14ac:dyDescent="0.2">
      <c r="A188" s="79" t="s">
        <v>315</v>
      </c>
    </row>
    <row r="189" spans="1:2" ht="13.9" customHeight="1" x14ac:dyDescent="0.2">
      <c r="A189" s="89" t="s">
        <v>158</v>
      </c>
      <c r="B189" s="221"/>
    </row>
    <row r="190" spans="1:2" ht="13.9" customHeight="1" x14ac:dyDescent="0.2">
      <c r="A190" s="89" t="s">
        <v>316</v>
      </c>
      <c r="B190" s="221"/>
    </row>
    <row r="191" spans="1:2" ht="13.9" customHeight="1" x14ac:dyDescent="0.2">
      <c r="A191" s="92" t="s">
        <v>320</v>
      </c>
      <c r="B191" s="221"/>
    </row>
    <row r="192" spans="1:2" ht="13.9" customHeight="1" x14ac:dyDescent="0.2">
      <c r="A192" s="92" t="s">
        <v>245</v>
      </c>
      <c r="B192" s="221" t="s">
        <v>129</v>
      </c>
    </row>
    <row r="193" spans="1:2" ht="13.9" customHeight="1" x14ac:dyDescent="0.2">
      <c r="A193" s="89" t="s">
        <v>317</v>
      </c>
      <c r="B193" s="221"/>
    </row>
    <row r="194" spans="1:2" ht="13.9" customHeight="1" x14ac:dyDescent="0.2">
      <c r="A194" s="89" t="s">
        <v>318</v>
      </c>
      <c r="B194" s="221"/>
    </row>
    <row r="195" spans="1:2" ht="13.9" customHeight="1" x14ac:dyDescent="0.2">
      <c r="A195" s="92" t="s">
        <v>321</v>
      </c>
      <c r="B195" s="221"/>
    </row>
    <row r="196" spans="1:2" ht="13.9" customHeight="1" x14ac:dyDescent="0.2">
      <c r="A196" s="92" t="s">
        <v>322</v>
      </c>
      <c r="B196" s="221"/>
    </row>
    <row r="197" spans="1:2" ht="13.9" customHeight="1" x14ac:dyDescent="0.2">
      <c r="A197" s="92" t="s">
        <v>1735</v>
      </c>
      <c r="B197" s="221"/>
    </row>
    <row r="198" spans="1:2" ht="13.9" customHeight="1" x14ac:dyDescent="0.2">
      <c r="A198" s="89" t="s">
        <v>319</v>
      </c>
      <c r="B198" s="221"/>
    </row>
    <row r="199" spans="1:2" ht="13.9" customHeight="1" x14ac:dyDescent="0.2">
      <c r="A199" s="79" t="s">
        <v>1736</v>
      </c>
    </row>
    <row r="200" spans="1:2" ht="13.9" customHeight="1" x14ac:dyDescent="0.2">
      <c r="A200" s="89" t="s">
        <v>1718</v>
      </c>
      <c r="B200" s="221"/>
    </row>
    <row r="201" spans="1:2" ht="13.9" customHeight="1" x14ac:dyDescent="0.2">
      <c r="A201" s="89" t="s">
        <v>1719</v>
      </c>
      <c r="B201" s="221"/>
    </row>
    <row r="202" spans="1:2" ht="13.9" customHeight="1" x14ac:dyDescent="0.2">
      <c r="A202" s="89" t="s">
        <v>1720</v>
      </c>
      <c r="B202" s="221"/>
    </row>
    <row r="203" spans="1:2" ht="13.9" customHeight="1" x14ac:dyDescent="0.2">
      <c r="A203" s="89" t="s">
        <v>1721</v>
      </c>
      <c r="B203" s="221"/>
    </row>
    <row r="204" spans="1:2" ht="13.9" customHeight="1" x14ac:dyDescent="0.2">
      <c r="A204" s="89" t="s">
        <v>1722</v>
      </c>
      <c r="B204" s="221"/>
    </row>
    <row r="205" spans="1:2" ht="13.9" customHeight="1" x14ac:dyDescent="0.2">
      <c r="A205" s="89" t="s">
        <v>1723</v>
      </c>
      <c r="B205" s="221"/>
    </row>
    <row r="206" spans="1:2" ht="13.9" customHeight="1" x14ac:dyDescent="0.2">
      <c r="A206" s="89" t="s">
        <v>1724</v>
      </c>
      <c r="B206" s="221"/>
    </row>
    <row r="207" spans="1:2" ht="13.9" customHeight="1" x14ac:dyDescent="0.2">
      <c r="A207" s="89" t="s">
        <v>1725</v>
      </c>
      <c r="B207" s="221"/>
    </row>
    <row r="208" spans="1:2" ht="13.9" customHeight="1" x14ac:dyDescent="0.2">
      <c r="A208" s="89" t="s">
        <v>1726</v>
      </c>
      <c r="B208" s="221"/>
    </row>
    <row r="209" spans="1:2" ht="13.9" customHeight="1" x14ac:dyDescent="0.2">
      <c r="A209" s="89" t="s">
        <v>1727</v>
      </c>
      <c r="B209" s="221"/>
    </row>
    <row r="210" spans="1:2" ht="13.9" customHeight="1" x14ac:dyDescent="0.2">
      <c r="A210" s="89" t="s">
        <v>1728</v>
      </c>
      <c r="B210" s="221"/>
    </row>
    <row r="211" spans="1:2" ht="13.9" customHeight="1" x14ac:dyDescent="0.2">
      <c r="A211" s="89" t="s">
        <v>1729</v>
      </c>
      <c r="B211" s="221"/>
    </row>
    <row r="212" spans="1:2" ht="13.9" customHeight="1" x14ac:dyDescent="0.2">
      <c r="A212" s="89" t="s">
        <v>1730</v>
      </c>
      <c r="B212" s="221"/>
    </row>
    <row r="213" spans="1:2" ht="13.9" customHeight="1" x14ac:dyDescent="0.2">
      <c r="A213" s="89" t="s">
        <v>1731</v>
      </c>
      <c r="B213" s="221"/>
    </row>
    <row r="214" spans="1:2" ht="13.9" customHeight="1" x14ac:dyDescent="0.2">
      <c r="A214" s="89" t="s">
        <v>1732</v>
      </c>
      <c r="B214" s="221"/>
    </row>
    <row r="215" spans="1:2" ht="13.9" customHeight="1" x14ac:dyDescent="0.2">
      <c r="A215" s="89" t="s">
        <v>1733</v>
      </c>
      <c r="B215" s="221"/>
    </row>
    <row r="216" spans="1:2" ht="13.9" customHeight="1" x14ac:dyDescent="0.2">
      <c r="A216" s="89" t="s">
        <v>1734</v>
      </c>
      <c r="B216" s="221"/>
    </row>
    <row r="217" spans="1:2" ht="13.9" customHeight="1" x14ac:dyDescent="0.2">
      <c r="A217" s="79" t="s">
        <v>323</v>
      </c>
    </row>
    <row r="218" spans="1:2" ht="13.9" customHeight="1" x14ac:dyDescent="0.2">
      <c r="A218" s="69" t="s">
        <v>153</v>
      </c>
    </row>
    <row r="219" spans="1:2" ht="13.9" customHeight="1" x14ac:dyDescent="0.2">
      <c r="A219" s="69" t="s">
        <v>473</v>
      </c>
    </row>
    <row r="220" spans="1:2" ht="13.9" customHeight="1" x14ac:dyDescent="0.2">
      <c r="A220" s="69" t="s">
        <v>274</v>
      </c>
    </row>
    <row r="221" spans="1:2" ht="13.9" customHeight="1" x14ac:dyDescent="0.2">
      <c r="A221" s="69" t="s">
        <v>291</v>
      </c>
    </row>
    <row r="222" spans="1:2" ht="13.9" customHeight="1" x14ac:dyDescent="0.2">
      <c r="A222" s="69" t="s">
        <v>474</v>
      </c>
    </row>
    <row r="223" spans="1:2" ht="13.9" customHeight="1" x14ac:dyDescent="0.2">
      <c r="A223" s="69" t="s">
        <v>340</v>
      </c>
    </row>
    <row r="224" spans="1:2" ht="13.9" customHeight="1" x14ac:dyDescent="0.2">
      <c r="A224" s="69" t="s">
        <v>595</v>
      </c>
    </row>
    <row r="225" spans="1:2" ht="13.9" customHeight="1" x14ac:dyDescent="0.2">
      <c r="A225" s="69" t="s">
        <v>121</v>
      </c>
    </row>
    <row r="226" spans="1:2" ht="13.9" customHeight="1" x14ac:dyDescent="0.2">
      <c r="A226" s="69" t="s">
        <v>50</v>
      </c>
    </row>
    <row r="227" spans="1:2" ht="13.9" customHeight="1" x14ac:dyDescent="0.2">
      <c r="A227" s="69" t="s">
        <v>594</v>
      </c>
    </row>
    <row r="228" spans="1:2" ht="13.9" customHeight="1" x14ac:dyDescent="0.2">
      <c r="A228" s="69" t="s">
        <v>517</v>
      </c>
    </row>
    <row r="229" spans="1:2" ht="13.9" customHeight="1" x14ac:dyDescent="0.2">
      <c r="A229" s="69" t="s">
        <v>315</v>
      </c>
    </row>
    <row r="230" spans="1:2" ht="13.9" customHeight="1" x14ac:dyDescent="0.2">
      <c r="A230" s="69" t="s">
        <v>527</v>
      </c>
    </row>
    <row r="231" spans="1:2" ht="13.9" customHeight="1" x14ac:dyDescent="0.2">
      <c r="A231" s="69" t="s">
        <v>935</v>
      </c>
    </row>
    <row r="232" spans="1:2" ht="13.9" customHeight="1" x14ac:dyDescent="0.2">
      <c r="A232" s="69" t="s">
        <v>305</v>
      </c>
    </row>
    <row r="233" spans="1:2" ht="13.9" customHeight="1" x14ac:dyDescent="0.2">
      <c r="A233" s="347" t="s">
        <v>1408</v>
      </c>
      <c r="B233" s="221" t="s">
        <v>1241</v>
      </c>
    </row>
    <row r="234" spans="1:2" ht="13.9" customHeight="1" x14ac:dyDescent="0.2">
      <c r="A234" s="69" t="s">
        <v>620</v>
      </c>
      <c r="B234" s="565" t="s">
        <v>144</v>
      </c>
    </row>
    <row r="235" spans="1:2" ht="13.9" customHeight="1" x14ac:dyDescent="0.2">
      <c r="A235" s="69" t="s">
        <v>152</v>
      </c>
    </row>
    <row r="236" spans="1:2" ht="13.9" customHeight="1" x14ac:dyDescent="0.2">
      <c r="A236" s="93" t="s">
        <v>328</v>
      </c>
      <c r="B236" s="68" t="s">
        <v>817</v>
      </c>
    </row>
    <row r="237" spans="1:2" ht="13.9" customHeight="1" x14ac:dyDescent="0.2">
      <c r="A237" s="94" t="s">
        <v>818</v>
      </c>
      <c r="B237" s="71">
        <v>25000</v>
      </c>
    </row>
    <row r="238" spans="1:2" ht="13.9" customHeight="1" x14ac:dyDescent="0.2">
      <c r="A238" s="94" t="s">
        <v>819</v>
      </c>
      <c r="B238" s="71">
        <v>30000</v>
      </c>
    </row>
    <row r="239" spans="1:2" ht="13.9" customHeight="1" x14ac:dyDescent="0.2">
      <c r="A239" s="94" t="s">
        <v>820</v>
      </c>
      <c r="B239" s="71">
        <v>35000</v>
      </c>
    </row>
    <row r="240" spans="1:2" ht="13.9" customHeight="1" x14ac:dyDescent="0.2">
      <c r="A240" s="95" t="s">
        <v>195</v>
      </c>
      <c r="B240" s="71">
        <v>42000</v>
      </c>
    </row>
    <row r="241" spans="1:2" ht="13.9" customHeight="1" x14ac:dyDescent="0.2">
      <c r="A241" s="95" t="s">
        <v>401</v>
      </c>
      <c r="B241" s="71">
        <v>46000</v>
      </c>
    </row>
    <row r="242" spans="1:2" ht="13.9" customHeight="1" x14ac:dyDescent="0.2">
      <c r="A242" s="95" t="s">
        <v>497</v>
      </c>
      <c r="B242" s="72">
        <v>48000</v>
      </c>
    </row>
    <row r="243" spans="1:2" ht="13.9" customHeight="1" x14ac:dyDescent="0.2">
      <c r="A243" s="95" t="s">
        <v>400</v>
      </c>
      <c r="B243" s="71">
        <v>52000</v>
      </c>
    </row>
    <row r="244" spans="1:2" ht="13.9" customHeight="1" x14ac:dyDescent="0.2">
      <c r="A244" s="96" t="s">
        <v>239</v>
      </c>
      <c r="B244" s="73">
        <v>60000</v>
      </c>
    </row>
    <row r="245" spans="1:2" ht="13.9" customHeight="1" x14ac:dyDescent="0.2">
      <c r="A245" s="96" t="s">
        <v>240</v>
      </c>
      <c r="B245" s="73">
        <v>65000</v>
      </c>
    </row>
    <row r="246" spans="1:2" ht="13.9" customHeight="1" x14ac:dyDescent="0.2">
      <c r="A246" s="96" t="s">
        <v>241</v>
      </c>
      <c r="B246" s="73">
        <v>70000</v>
      </c>
    </row>
    <row r="247" spans="1:2" ht="13.9" customHeight="1" x14ac:dyDescent="0.2">
      <c r="A247" s="94" t="s">
        <v>821</v>
      </c>
      <c r="B247" s="71">
        <v>30000</v>
      </c>
    </row>
    <row r="248" spans="1:2" ht="13.9" customHeight="1" x14ac:dyDescent="0.2">
      <c r="A248" s="94" t="s">
        <v>822</v>
      </c>
      <c r="B248" s="71">
        <v>35000</v>
      </c>
    </row>
    <row r="249" spans="1:2" ht="13.9" customHeight="1" x14ac:dyDescent="0.2">
      <c r="A249" s="94" t="s">
        <v>823</v>
      </c>
      <c r="B249" s="71">
        <v>42000</v>
      </c>
    </row>
    <row r="250" spans="1:2" ht="13.9" customHeight="1" x14ac:dyDescent="0.2">
      <c r="A250" s="94" t="s">
        <v>824</v>
      </c>
      <c r="B250" s="71">
        <v>46000</v>
      </c>
    </row>
    <row r="251" spans="1:2" ht="13.9" customHeight="1" x14ac:dyDescent="0.2">
      <c r="A251" s="95" t="s">
        <v>498</v>
      </c>
      <c r="B251" s="72">
        <v>48000</v>
      </c>
    </row>
    <row r="252" spans="1:2" ht="13.9" customHeight="1" x14ac:dyDescent="0.2">
      <c r="A252" s="94" t="s">
        <v>825</v>
      </c>
      <c r="B252" s="71">
        <v>52000</v>
      </c>
    </row>
    <row r="253" spans="1:2" ht="13.9" customHeight="1" x14ac:dyDescent="0.2">
      <c r="A253" s="94" t="s">
        <v>826</v>
      </c>
      <c r="B253" s="71">
        <v>56000</v>
      </c>
    </row>
    <row r="254" spans="1:2" ht="13.9" customHeight="1" x14ac:dyDescent="0.2">
      <c r="A254" s="94" t="s">
        <v>827</v>
      </c>
      <c r="B254" s="71">
        <v>60000</v>
      </c>
    </row>
    <row r="255" spans="1:2" ht="13.9" customHeight="1" x14ac:dyDescent="0.2">
      <c r="A255" s="94" t="s">
        <v>828</v>
      </c>
      <c r="B255" s="71">
        <v>65000</v>
      </c>
    </row>
    <row r="256" spans="1:2" ht="13.9" customHeight="1" x14ac:dyDescent="0.2">
      <c r="A256" s="94" t="s">
        <v>829</v>
      </c>
      <c r="B256" s="71">
        <v>70000</v>
      </c>
    </row>
    <row r="257" spans="1:3" ht="13.9" customHeight="1" x14ac:dyDescent="0.2">
      <c r="A257" s="94" t="s">
        <v>857</v>
      </c>
      <c r="B257" s="71">
        <v>30000</v>
      </c>
    </row>
    <row r="258" spans="1:3" ht="13.9" customHeight="1" x14ac:dyDescent="0.2">
      <c r="A258" s="94" t="s">
        <v>856</v>
      </c>
      <c r="B258" s="71">
        <v>35000</v>
      </c>
    </row>
    <row r="259" spans="1:3" ht="13.9" customHeight="1" x14ac:dyDescent="0.2">
      <c r="A259" s="94" t="s">
        <v>830</v>
      </c>
      <c r="B259" s="71">
        <v>42000</v>
      </c>
    </row>
    <row r="260" spans="1:3" ht="13.9" customHeight="1" x14ac:dyDescent="0.2">
      <c r="A260" s="94" t="s">
        <v>831</v>
      </c>
      <c r="B260" s="71">
        <v>46000</v>
      </c>
    </row>
    <row r="261" spans="1:3" ht="13.9" customHeight="1" x14ac:dyDescent="0.2">
      <c r="A261" s="94" t="s">
        <v>475</v>
      </c>
      <c r="B261" s="71">
        <v>48000</v>
      </c>
    </row>
    <row r="262" spans="1:3" ht="13.9" customHeight="1" x14ac:dyDescent="0.2">
      <c r="A262" s="94" t="s">
        <v>832</v>
      </c>
      <c r="B262" s="71">
        <v>52000</v>
      </c>
    </row>
    <row r="263" spans="1:3" ht="13.9" customHeight="1" x14ac:dyDescent="0.2">
      <c r="A263" s="94" t="s">
        <v>833</v>
      </c>
      <c r="B263" s="71">
        <v>56000</v>
      </c>
    </row>
    <row r="264" spans="1:3" ht="13.9" customHeight="1" x14ac:dyDescent="0.2">
      <c r="A264" s="94" t="s">
        <v>950</v>
      </c>
      <c r="B264" s="71">
        <v>57000</v>
      </c>
    </row>
    <row r="265" spans="1:3" ht="13.9" customHeight="1" x14ac:dyDescent="0.2">
      <c r="A265" s="94" t="s">
        <v>834</v>
      </c>
      <c r="B265" s="71">
        <v>60000</v>
      </c>
    </row>
    <row r="266" spans="1:3" ht="13.9" customHeight="1" x14ac:dyDescent="0.2">
      <c r="A266" s="94" t="s">
        <v>835</v>
      </c>
      <c r="B266" s="71">
        <v>65000</v>
      </c>
    </row>
    <row r="267" spans="1:3" ht="13.9" customHeight="1" x14ac:dyDescent="0.2">
      <c r="A267" s="94" t="s">
        <v>836</v>
      </c>
      <c r="B267" s="71">
        <v>70000</v>
      </c>
    </row>
    <row r="268" spans="1:3" ht="13.9" customHeight="1" x14ac:dyDescent="0.2">
      <c r="A268" s="95" t="s">
        <v>1411</v>
      </c>
      <c r="B268" s="564" t="s">
        <v>606</v>
      </c>
      <c r="C268" s="349" t="s">
        <v>1738</v>
      </c>
    </row>
    <row r="269" spans="1:3" ht="13.9" customHeight="1" x14ac:dyDescent="0.2">
      <c r="A269" s="95" t="s">
        <v>327</v>
      </c>
      <c r="B269" s="564" t="s">
        <v>606</v>
      </c>
      <c r="C269" s="349" t="s">
        <v>1738</v>
      </c>
    </row>
    <row r="270" spans="1:3" ht="13.9" customHeight="1" x14ac:dyDescent="0.2">
      <c r="A270" s="80" t="s">
        <v>249</v>
      </c>
      <c r="B270" s="71">
        <v>42000</v>
      </c>
    </row>
    <row r="271" spans="1:3" ht="13.9" customHeight="1" x14ac:dyDescent="0.2">
      <c r="A271" s="80" t="s">
        <v>250</v>
      </c>
      <c r="B271" s="72">
        <v>46000</v>
      </c>
    </row>
    <row r="272" spans="1:3" ht="13.9" customHeight="1" x14ac:dyDescent="0.2">
      <c r="A272" s="80" t="s">
        <v>206</v>
      </c>
      <c r="B272" s="72">
        <v>48000</v>
      </c>
    </row>
    <row r="273" spans="1:3" ht="13.9" customHeight="1" x14ac:dyDescent="0.2">
      <c r="A273" s="80" t="s">
        <v>925</v>
      </c>
      <c r="B273" s="72">
        <v>52000</v>
      </c>
    </row>
    <row r="274" spans="1:3" ht="13.9" customHeight="1" x14ac:dyDescent="0.2">
      <c r="A274" s="80" t="s">
        <v>251</v>
      </c>
      <c r="B274" s="72">
        <v>60000</v>
      </c>
    </row>
    <row r="275" spans="1:3" ht="13.9" customHeight="1" x14ac:dyDescent="0.2">
      <c r="A275" s="80" t="s">
        <v>252</v>
      </c>
      <c r="B275" s="72">
        <v>65000</v>
      </c>
    </row>
    <row r="276" spans="1:3" ht="13.9" customHeight="1" x14ac:dyDescent="0.2">
      <c r="A276" s="80" t="s">
        <v>253</v>
      </c>
      <c r="B276" s="72">
        <v>70000</v>
      </c>
    </row>
    <row r="277" spans="1:3" ht="13.9" customHeight="1" x14ac:dyDescent="0.2">
      <c r="A277" s="80" t="s">
        <v>1412</v>
      </c>
      <c r="B277" s="379">
        <v>42000</v>
      </c>
      <c r="C277" s="349" t="s">
        <v>1413</v>
      </c>
    </row>
    <row r="278" spans="1:3" ht="13.9" customHeight="1" x14ac:dyDescent="0.2">
      <c r="A278" s="80" t="s">
        <v>236</v>
      </c>
      <c r="B278" s="74">
        <v>50000</v>
      </c>
    </row>
    <row r="279" spans="1:3" ht="13.9" customHeight="1" x14ac:dyDescent="0.2">
      <c r="A279" s="96" t="s">
        <v>1244</v>
      </c>
      <c r="B279" s="74">
        <v>50000</v>
      </c>
      <c r="C279" s="349" t="s">
        <v>1245</v>
      </c>
    </row>
    <row r="280" spans="1:3" ht="13.9" customHeight="1" x14ac:dyDescent="0.2">
      <c r="A280" s="96" t="s">
        <v>499</v>
      </c>
      <c r="B280" s="74">
        <v>46000</v>
      </c>
    </row>
    <row r="281" spans="1:3" ht="13.9" customHeight="1" x14ac:dyDescent="0.2">
      <c r="A281" s="96" t="s">
        <v>500</v>
      </c>
      <c r="B281" s="74">
        <v>36000</v>
      </c>
    </row>
    <row r="282" spans="1:3" ht="13.9" customHeight="1" x14ac:dyDescent="0.2">
      <c r="A282" s="96" t="s">
        <v>547</v>
      </c>
      <c r="B282" s="73">
        <v>60000</v>
      </c>
    </row>
    <row r="283" spans="1:3" ht="13.9" customHeight="1" x14ac:dyDescent="0.2">
      <c r="A283" s="96" t="s">
        <v>838</v>
      </c>
      <c r="B283" s="73" t="s">
        <v>606</v>
      </c>
    </row>
    <row r="284" spans="1:3" ht="13.9" customHeight="1" x14ac:dyDescent="0.2">
      <c r="A284" s="96" t="s">
        <v>546</v>
      </c>
      <c r="B284" s="73">
        <v>50000</v>
      </c>
    </row>
    <row r="285" spans="1:3" x14ac:dyDescent="0.2">
      <c r="A285" s="69" t="s">
        <v>839</v>
      </c>
      <c r="B285" s="185" t="s">
        <v>606</v>
      </c>
    </row>
    <row r="286" spans="1:3" ht="24.75" customHeight="1" x14ac:dyDescent="0.2">
      <c r="A286" s="96" t="s">
        <v>544</v>
      </c>
      <c r="B286" s="73">
        <v>38000</v>
      </c>
    </row>
    <row r="287" spans="1:3" ht="13.9" customHeight="1" x14ac:dyDescent="0.2">
      <c r="A287" s="96" t="s">
        <v>165</v>
      </c>
      <c r="B287" s="294" t="s">
        <v>606</v>
      </c>
      <c r="C287" s="349" t="s">
        <v>1739</v>
      </c>
    </row>
    <row r="288" spans="1:3" ht="13.9" customHeight="1" x14ac:dyDescent="0.2">
      <c r="A288" s="96" t="s">
        <v>545</v>
      </c>
      <c r="B288" s="73">
        <v>50000</v>
      </c>
    </row>
    <row r="289" spans="1:3" ht="13.9" customHeight="1" x14ac:dyDescent="0.2">
      <c r="A289" s="96" t="s">
        <v>223</v>
      </c>
      <c r="B289" s="75">
        <v>30000</v>
      </c>
    </row>
    <row r="290" spans="1:3" ht="13.9" customHeight="1" x14ac:dyDescent="0.2">
      <c r="A290" s="96" t="s">
        <v>723</v>
      </c>
      <c r="B290" s="73">
        <v>35000</v>
      </c>
    </row>
    <row r="291" spans="1:3" ht="13.9" customHeight="1" x14ac:dyDescent="0.2">
      <c r="A291" s="96" t="s">
        <v>724</v>
      </c>
      <c r="B291" s="73" t="s">
        <v>606</v>
      </c>
    </row>
    <row r="292" spans="1:3" ht="13.9" customHeight="1" x14ac:dyDescent="0.2">
      <c r="A292" s="96" t="s">
        <v>886</v>
      </c>
      <c r="B292" s="73">
        <v>35000</v>
      </c>
    </row>
    <row r="293" spans="1:3" ht="13.9" customHeight="1" x14ac:dyDescent="0.2">
      <c r="A293" s="96" t="s">
        <v>879</v>
      </c>
      <c r="B293" s="73">
        <v>36000</v>
      </c>
    </row>
    <row r="294" spans="1:3" ht="13.9" customHeight="1" x14ac:dyDescent="0.2">
      <c r="A294" s="96" t="s">
        <v>207</v>
      </c>
      <c r="B294" s="73" t="s">
        <v>606</v>
      </c>
    </row>
    <row r="295" spans="1:3" ht="13.9" customHeight="1" x14ac:dyDescent="0.2">
      <c r="A295" s="96" t="s">
        <v>1575</v>
      </c>
      <c r="B295" s="294" t="s">
        <v>606</v>
      </c>
    </row>
    <row r="296" spans="1:3" ht="13.9" customHeight="1" x14ac:dyDescent="0.2">
      <c r="A296" s="96" t="s">
        <v>1098</v>
      </c>
      <c r="B296" s="294" t="s">
        <v>606</v>
      </c>
    </row>
    <row r="297" spans="1:3" ht="13.9" customHeight="1" x14ac:dyDescent="0.2">
      <c r="A297" s="96" t="s">
        <v>548</v>
      </c>
      <c r="B297" s="73">
        <v>60000</v>
      </c>
    </row>
    <row r="298" spans="1:3" ht="13.9" customHeight="1" x14ac:dyDescent="0.2">
      <c r="A298" s="80" t="s">
        <v>399</v>
      </c>
      <c r="B298" s="72" t="s">
        <v>606</v>
      </c>
      <c r="C298" s="349" t="s">
        <v>1740</v>
      </c>
    </row>
    <row r="299" spans="1:3" ht="13.9" customHeight="1" x14ac:dyDescent="0.2">
      <c r="A299" s="80" t="s">
        <v>304</v>
      </c>
      <c r="B299" s="72">
        <v>30000</v>
      </c>
    </row>
    <row r="300" spans="1:3" ht="13.9" customHeight="1" x14ac:dyDescent="0.2">
      <c r="A300" s="80" t="s">
        <v>1259</v>
      </c>
      <c r="B300" s="72">
        <v>36000</v>
      </c>
    </row>
    <row r="301" spans="1:3" ht="13.9" customHeight="1" x14ac:dyDescent="0.2">
      <c r="A301" s="80" t="s">
        <v>1258</v>
      </c>
      <c r="B301" s="72">
        <v>42000</v>
      </c>
    </row>
    <row r="302" spans="1:3" ht="13.9" customHeight="1" x14ac:dyDescent="0.2">
      <c r="A302" s="80" t="s">
        <v>1257</v>
      </c>
      <c r="B302" s="72">
        <v>46000</v>
      </c>
    </row>
    <row r="303" spans="1:3" ht="13.9" customHeight="1" x14ac:dyDescent="0.2">
      <c r="A303" s="80" t="s">
        <v>1256</v>
      </c>
      <c r="B303" s="72">
        <v>48000</v>
      </c>
    </row>
    <row r="304" spans="1:3" ht="13.9" customHeight="1" x14ac:dyDescent="0.2">
      <c r="A304" s="80" t="s">
        <v>1255</v>
      </c>
      <c r="B304" s="72">
        <v>50000</v>
      </c>
    </row>
    <row r="305" spans="1:3" ht="13.9" customHeight="1" x14ac:dyDescent="0.2">
      <c r="A305" s="80" t="s">
        <v>1254</v>
      </c>
      <c r="B305" s="72">
        <v>52000</v>
      </c>
    </row>
    <row r="306" spans="1:3" ht="13.9" customHeight="1" x14ac:dyDescent="0.2">
      <c r="A306" s="80" t="s">
        <v>1253</v>
      </c>
      <c r="B306" s="72">
        <v>56000</v>
      </c>
    </row>
    <row r="307" spans="1:3" ht="13.9" customHeight="1" x14ac:dyDescent="0.2">
      <c r="A307" s="80" t="s">
        <v>1252</v>
      </c>
      <c r="B307" s="72">
        <v>60000</v>
      </c>
    </row>
    <row r="308" spans="1:3" ht="13.9" customHeight="1" x14ac:dyDescent="0.2">
      <c r="A308" s="80" t="s">
        <v>1251</v>
      </c>
      <c r="B308" s="72">
        <v>65000</v>
      </c>
    </row>
    <row r="309" spans="1:3" ht="13.9" customHeight="1" x14ac:dyDescent="0.2">
      <c r="A309" s="80" t="s">
        <v>1250</v>
      </c>
      <c r="B309" s="72">
        <v>70000</v>
      </c>
    </row>
    <row r="310" spans="1:3" ht="13.9" customHeight="1" x14ac:dyDescent="0.2">
      <c r="A310" s="95" t="s">
        <v>837</v>
      </c>
      <c r="B310" s="73" t="s">
        <v>606</v>
      </c>
    </row>
    <row r="311" spans="1:3" ht="13.9" customHeight="1" x14ac:dyDescent="0.2">
      <c r="A311" s="95" t="s">
        <v>158</v>
      </c>
      <c r="B311" s="73" t="s">
        <v>606</v>
      </c>
    </row>
    <row r="312" spans="1:3" ht="13.9" customHeight="1" x14ac:dyDescent="0.2">
      <c r="A312" s="90" t="s">
        <v>520</v>
      </c>
      <c r="B312" s="60" t="s">
        <v>543</v>
      </c>
    </row>
    <row r="313" spans="1:3" ht="13.9" customHeight="1" x14ac:dyDescent="0.2">
      <c r="A313" s="91" t="s">
        <v>695</v>
      </c>
      <c r="B313" s="280">
        <v>60000</v>
      </c>
    </row>
    <row r="314" spans="1:3" ht="13.9" customHeight="1" x14ac:dyDescent="0.2">
      <c r="A314" s="91" t="s">
        <v>547</v>
      </c>
      <c r="B314" s="280">
        <v>60000</v>
      </c>
    </row>
    <row r="315" spans="1:3" ht="13.9" customHeight="1" x14ac:dyDescent="0.2">
      <c r="A315" s="91" t="s">
        <v>546</v>
      </c>
      <c r="B315" s="280">
        <v>50000</v>
      </c>
    </row>
    <row r="316" spans="1:3" ht="13.9" customHeight="1" x14ac:dyDescent="0.2">
      <c r="A316" s="91" t="s">
        <v>544</v>
      </c>
      <c r="B316" s="280">
        <v>38000</v>
      </c>
    </row>
    <row r="317" spans="1:3" ht="13.9" customHeight="1" x14ac:dyDescent="0.2">
      <c r="A317" s="91" t="s">
        <v>545</v>
      </c>
      <c r="B317" s="280">
        <v>50000</v>
      </c>
    </row>
    <row r="318" spans="1:3" ht="13.9" customHeight="1" x14ac:dyDescent="0.2">
      <c r="A318" s="91" t="s">
        <v>724</v>
      </c>
      <c r="B318" s="280">
        <v>30000</v>
      </c>
      <c r="C318" s="191" t="s">
        <v>878</v>
      </c>
    </row>
    <row r="319" spans="1:3" ht="13.9" customHeight="1" x14ac:dyDescent="0.2">
      <c r="A319" s="91" t="s">
        <v>223</v>
      </c>
      <c r="B319" s="280">
        <v>30000</v>
      </c>
    </row>
    <row r="320" spans="1:3" ht="13.9" customHeight="1" x14ac:dyDescent="0.2">
      <c r="A320" s="91" t="s">
        <v>723</v>
      </c>
      <c r="B320" s="280">
        <v>35000</v>
      </c>
    </row>
    <row r="321" spans="1:3" ht="13.9" customHeight="1" x14ac:dyDescent="0.2">
      <c r="A321" s="91" t="s">
        <v>886</v>
      </c>
      <c r="B321" s="280">
        <v>35000</v>
      </c>
    </row>
    <row r="322" spans="1:3" ht="13.9" customHeight="1" x14ac:dyDescent="0.2">
      <c r="A322" s="91" t="s">
        <v>725</v>
      </c>
      <c r="B322" s="280">
        <v>36000</v>
      </c>
    </row>
    <row r="323" spans="1:3" ht="13.9" customHeight="1" x14ac:dyDescent="0.2">
      <c r="A323" s="91" t="s">
        <v>548</v>
      </c>
      <c r="B323" s="280">
        <v>60000</v>
      </c>
    </row>
    <row r="324" spans="1:3" ht="13.9" customHeight="1" x14ac:dyDescent="0.2">
      <c r="A324" s="91" t="s">
        <v>399</v>
      </c>
      <c r="B324" s="280">
        <v>35000</v>
      </c>
    </row>
    <row r="325" spans="1:3" ht="13.9" customHeight="1" x14ac:dyDescent="0.2">
      <c r="A325" s="91" t="s">
        <v>304</v>
      </c>
      <c r="B325" s="280">
        <v>30000</v>
      </c>
    </row>
    <row r="326" spans="1:3" ht="13.9" customHeight="1" x14ac:dyDescent="0.2">
      <c r="A326" s="91" t="s">
        <v>880</v>
      </c>
      <c r="B326" s="280">
        <v>65000</v>
      </c>
    </row>
    <row r="327" spans="1:3" ht="13.9" customHeight="1" x14ac:dyDescent="0.2">
      <c r="A327" s="91" t="s">
        <v>881</v>
      </c>
      <c r="B327" s="280">
        <v>70000</v>
      </c>
    </row>
    <row r="328" spans="1:3" ht="13.9" customHeight="1" x14ac:dyDescent="0.2">
      <c r="A328" s="91" t="s">
        <v>236</v>
      </c>
      <c r="B328" s="280">
        <v>50000</v>
      </c>
    </row>
    <row r="329" spans="1:3" ht="13.9" customHeight="1" x14ac:dyDescent="0.2">
      <c r="A329" s="91" t="s">
        <v>429</v>
      </c>
      <c r="B329" s="280">
        <v>50000</v>
      </c>
    </row>
    <row r="330" spans="1:3" ht="13.9" customHeight="1" x14ac:dyDescent="0.2">
      <c r="A330" s="91" t="s">
        <v>499</v>
      </c>
      <c r="B330" s="280">
        <v>46000</v>
      </c>
    </row>
    <row r="331" spans="1:3" ht="13.9" customHeight="1" x14ac:dyDescent="0.2">
      <c r="A331" s="91" t="s">
        <v>500</v>
      </c>
      <c r="B331" s="280">
        <v>36000</v>
      </c>
    </row>
    <row r="332" spans="1:3" ht="13.9" customHeight="1" x14ac:dyDescent="0.2">
      <c r="A332" s="91" t="s">
        <v>1412</v>
      </c>
      <c r="B332" s="280">
        <v>42000</v>
      </c>
      <c r="C332" s="349" t="s">
        <v>1413</v>
      </c>
    </row>
    <row r="333" spans="1:3" ht="13.9" customHeight="1" x14ac:dyDescent="0.2">
      <c r="A333" s="91" t="s">
        <v>921</v>
      </c>
      <c r="B333" s="280" t="s">
        <v>606</v>
      </c>
    </row>
    <row r="334" spans="1:3" ht="13.9" customHeight="1" x14ac:dyDescent="0.2">
      <c r="A334" s="91" t="s">
        <v>158</v>
      </c>
      <c r="B334" s="280" t="s">
        <v>606</v>
      </c>
    </row>
    <row r="335" spans="1:3" ht="13.9" customHeight="1" x14ac:dyDescent="0.2">
      <c r="A335" s="79" t="s">
        <v>751</v>
      </c>
    </row>
    <row r="336" spans="1:3" ht="13.9" customHeight="1" x14ac:dyDescent="0.2">
      <c r="A336" s="98">
        <v>24000</v>
      </c>
    </row>
    <row r="337" spans="1:1" ht="13.9" customHeight="1" x14ac:dyDescent="0.2">
      <c r="A337" s="98">
        <v>25000</v>
      </c>
    </row>
    <row r="338" spans="1:1" ht="13.9" customHeight="1" x14ac:dyDescent="0.2">
      <c r="A338" s="98">
        <v>28000</v>
      </c>
    </row>
    <row r="339" spans="1:1" ht="13.9" customHeight="1" x14ac:dyDescent="0.2">
      <c r="A339" s="98">
        <v>30000</v>
      </c>
    </row>
    <row r="340" spans="1:1" ht="13.9" customHeight="1" x14ac:dyDescent="0.2">
      <c r="A340" s="98">
        <v>32000</v>
      </c>
    </row>
    <row r="341" spans="1:1" ht="13.9" customHeight="1" x14ac:dyDescent="0.2">
      <c r="A341" s="98">
        <v>33000</v>
      </c>
    </row>
    <row r="342" spans="1:1" ht="13.9" customHeight="1" x14ac:dyDescent="0.2">
      <c r="A342" s="98">
        <v>35000</v>
      </c>
    </row>
    <row r="343" spans="1:1" ht="13.9" customHeight="1" x14ac:dyDescent="0.2">
      <c r="A343" s="98">
        <v>36000</v>
      </c>
    </row>
    <row r="344" spans="1:1" ht="13.9" customHeight="1" x14ac:dyDescent="0.2">
      <c r="A344" s="98">
        <v>38000</v>
      </c>
    </row>
    <row r="345" spans="1:1" ht="13.9" customHeight="1" x14ac:dyDescent="0.2">
      <c r="A345" s="98">
        <v>40000</v>
      </c>
    </row>
    <row r="346" spans="1:1" ht="13.9" customHeight="1" x14ac:dyDescent="0.2">
      <c r="A346" s="98">
        <v>42000</v>
      </c>
    </row>
    <row r="347" spans="1:1" ht="13.9" customHeight="1" x14ac:dyDescent="0.2">
      <c r="A347" s="98">
        <v>44000</v>
      </c>
    </row>
    <row r="348" spans="1:1" ht="13.9" customHeight="1" x14ac:dyDescent="0.2">
      <c r="A348" s="98">
        <v>45000</v>
      </c>
    </row>
    <row r="349" spans="1:1" ht="13.9" customHeight="1" x14ac:dyDescent="0.2">
      <c r="A349" s="98">
        <v>46000</v>
      </c>
    </row>
    <row r="350" spans="1:1" ht="13.9" customHeight="1" x14ac:dyDescent="0.2">
      <c r="A350" s="98">
        <v>48000</v>
      </c>
    </row>
    <row r="351" spans="1:1" ht="13.9" customHeight="1" x14ac:dyDescent="0.2">
      <c r="A351" s="98">
        <v>50000</v>
      </c>
    </row>
    <row r="352" spans="1:1" ht="13.9" customHeight="1" x14ac:dyDescent="0.2">
      <c r="A352" s="98">
        <v>52000</v>
      </c>
    </row>
    <row r="353" spans="1:1" ht="13.9" customHeight="1" x14ac:dyDescent="0.2">
      <c r="A353" s="98">
        <v>56000</v>
      </c>
    </row>
    <row r="354" spans="1:1" ht="13.9" customHeight="1" x14ac:dyDescent="0.2">
      <c r="A354" s="98">
        <v>57000</v>
      </c>
    </row>
    <row r="355" spans="1:1" ht="13.9" customHeight="1" x14ac:dyDescent="0.2">
      <c r="A355" s="98">
        <v>60000</v>
      </c>
    </row>
    <row r="356" spans="1:1" ht="13.9" customHeight="1" x14ac:dyDescent="0.2">
      <c r="A356" s="98">
        <v>65000</v>
      </c>
    </row>
    <row r="357" spans="1:1" ht="13.9" customHeight="1" x14ac:dyDescent="0.2">
      <c r="A357" s="98">
        <v>70000</v>
      </c>
    </row>
    <row r="358" spans="1:1" ht="13.9" customHeight="1" x14ac:dyDescent="0.2">
      <c r="A358" s="98">
        <v>75000</v>
      </c>
    </row>
    <row r="359" spans="1:1" ht="13.9" customHeight="1" x14ac:dyDescent="0.2">
      <c r="A359" s="98">
        <v>80000</v>
      </c>
    </row>
    <row r="360" spans="1:1" ht="13.9" customHeight="1" x14ac:dyDescent="0.2">
      <c r="A360" s="69" t="s">
        <v>837</v>
      </c>
    </row>
    <row r="361" spans="1:1" ht="13.9" customHeight="1" x14ac:dyDescent="0.2">
      <c r="A361" s="69" t="s">
        <v>158</v>
      </c>
    </row>
    <row r="362" spans="1:1" ht="13.9" customHeight="1" x14ac:dyDescent="0.2">
      <c r="A362" s="81" t="s">
        <v>462</v>
      </c>
    </row>
    <row r="363" spans="1:1" ht="13.9" customHeight="1" x14ac:dyDescent="0.2">
      <c r="A363" s="89" t="s">
        <v>1409</v>
      </c>
    </row>
    <row r="364" spans="1:1" ht="13.9" customHeight="1" x14ac:dyDescent="0.2">
      <c r="A364" s="89" t="s">
        <v>915</v>
      </c>
    </row>
    <row r="365" spans="1:1" ht="13.9" customHeight="1" x14ac:dyDescent="0.2">
      <c r="A365" s="89" t="s">
        <v>1101</v>
      </c>
    </row>
    <row r="366" spans="1:1" ht="13.9" customHeight="1" x14ac:dyDescent="0.2">
      <c r="A366" s="89" t="s">
        <v>452</v>
      </c>
    </row>
    <row r="367" spans="1:1" ht="13.9" customHeight="1" x14ac:dyDescent="0.2">
      <c r="A367" s="76" t="s">
        <v>158</v>
      </c>
    </row>
    <row r="368" spans="1:1" ht="13.9" customHeight="1" x14ac:dyDescent="0.2">
      <c r="A368" s="89" t="s">
        <v>451</v>
      </c>
    </row>
    <row r="369" spans="1:1" ht="13.9" customHeight="1" x14ac:dyDescent="0.2">
      <c r="A369" s="76" t="s">
        <v>450</v>
      </c>
    </row>
    <row r="370" spans="1:1" ht="13.9" customHeight="1" x14ac:dyDescent="0.2">
      <c r="A370" s="89" t="s">
        <v>453</v>
      </c>
    </row>
    <row r="371" spans="1:1" ht="13.9" customHeight="1" x14ac:dyDescent="0.2">
      <c r="A371" s="89" t="s">
        <v>454</v>
      </c>
    </row>
    <row r="372" spans="1:1" ht="13.9" customHeight="1" x14ac:dyDescent="0.2">
      <c r="A372" s="89" t="s">
        <v>455</v>
      </c>
    </row>
    <row r="373" spans="1:1" ht="13.9" customHeight="1" x14ac:dyDescent="0.2">
      <c r="A373" s="89" t="s">
        <v>446</v>
      </c>
    </row>
    <row r="374" spans="1:1" ht="13.9" customHeight="1" x14ac:dyDescent="0.2">
      <c r="A374" s="89" t="s">
        <v>456</v>
      </c>
    </row>
    <row r="375" spans="1:1" ht="13.9" customHeight="1" x14ac:dyDescent="0.2">
      <c r="A375" s="89" t="s">
        <v>457</v>
      </c>
    </row>
    <row r="376" spans="1:1" ht="13.9" customHeight="1" x14ac:dyDescent="0.2">
      <c r="A376" s="89" t="s">
        <v>458</v>
      </c>
    </row>
    <row r="377" spans="1:1" ht="13.9" customHeight="1" x14ac:dyDescent="0.2">
      <c r="A377" s="89" t="s">
        <v>459</v>
      </c>
    </row>
    <row r="378" spans="1:1" ht="13.9" customHeight="1" x14ac:dyDescent="0.2">
      <c r="A378" s="89" t="s">
        <v>460</v>
      </c>
    </row>
    <row r="379" spans="1:1" ht="13.9" customHeight="1" x14ac:dyDescent="0.2">
      <c r="A379" s="89" t="s">
        <v>461</v>
      </c>
    </row>
    <row r="380" spans="1:1" ht="13.9" customHeight="1" x14ac:dyDescent="0.2">
      <c r="A380" s="92" t="s">
        <v>837</v>
      </c>
    </row>
    <row r="381" spans="1:1" ht="13.9" customHeight="1" x14ac:dyDescent="0.2">
      <c r="A381" s="79" t="s">
        <v>463</v>
      </c>
    </row>
    <row r="382" spans="1:1" ht="13.9" customHeight="1" x14ac:dyDescent="0.2">
      <c r="A382" s="69" t="s">
        <v>346</v>
      </c>
    </row>
    <row r="383" spans="1:1" ht="13.9" customHeight="1" x14ac:dyDescent="0.2">
      <c r="A383" s="69" t="s">
        <v>348</v>
      </c>
    </row>
    <row r="384" spans="1:1" ht="13.9" customHeight="1" x14ac:dyDescent="0.2">
      <c r="A384" s="69" t="s">
        <v>245</v>
      </c>
    </row>
    <row r="385" spans="1:2" ht="13.9" customHeight="1" x14ac:dyDescent="0.2">
      <c r="A385" s="69" t="s">
        <v>151</v>
      </c>
    </row>
    <row r="386" spans="1:2" ht="13.9" customHeight="1" x14ac:dyDescent="0.2">
      <c r="A386" s="69" t="s">
        <v>885</v>
      </c>
    </row>
    <row r="387" spans="1:2" ht="13.9" customHeight="1" x14ac:dyDescent="0.2">
      <c r="A387" s="69" t="s">
        <v>90</v>
      </c>
    </row>
    <row r="388" spans="1:2" ht="13.9" customHeight="1" x14ac:dyDescent="0.2">
      <c r="A388" s="69" t="s">
        <v>659</v>
      </c>
      <c r="B388" s="190" t="s">
        <v>379</v>
      </c>
    </row>
    <row r="389" spans="1:2" ht="13.9" customHeight="1" x14ac:dyDescent="0.2">
      <c r="A389" s="69" t="s">
        <v>381</v>
      </c>
      <c r="B389" s="185" t="s">
        <v>382</v>
      </c>
    </row>
    <row r="390" spans="1:2" ht="13.9" customHeight="1" x14ac:dyDescent="0.2">
      <c r="A390" s="69" t="s">
        <v>739</v>
      </c>
    </row>
    <row r="391" spans="1:2" ht="13.9" customHeight="1" x14ac:dyDescent="0.2">
      <c r="A391" s="69" t="s">
        <v>91</v>
      </c>
    </row>
    <row r="392" spans="1:2" ht="13.9" customHeight="1" x14ac:dyDescent="0.2">
      <c r="A392" s="69" t="s">
        <v>660</v>
      </c>
      <c r="B392" s="190" t="s">
        <v>379</v>
      </c>
    </row>
    <row r="393" spans="1:2" ht="13.9" customHeight="1" x14ac:dyDescent="0.2">
      <c r="A393" s="69" t="s">
        <v>380</v>
      </c>
      <c r="B393" s="185" t="s">
        <v>382</v>
      </c>
    </row>
    <row r="394" spans="1:2" ht="13.9" customHeight="1" x14ac:dyDescent="0.2">
      <c r="A394" s="69" t="s">
        <v>720</v>
      </c>
    </row>
    <row r="395" spans="1:2" ht="13.9" customHeight="1" x14ac:dyDescent="0.2">
      <c r="A395" s="69" t="s">
        <v>152</v>
      </c>
    </row>
    <row r="396" spans="1:2" ht="13.9" customHeight="1" x14ac:dyDescent="0.2">
      <c r="A396" s="69" t="s">
        <v>158</v>
      </c>
    </row>
    <row r="397" spans="1:2" ht="13.9" customHeight="1" x14ac:dyDescent="0.2">
      <c r="A397" s="79" t="s">
        <v>464</v>
      </c>
    </row>
    <row r="398" spans="1:2" ht="13.9" customHeight="1" x14ac:dyDescent="0.2">
      <c r="A398" s="69" t="s">
        <v>465</v>
      </c>
    </row>
    <row r="399" spans="1:2" ht="13.9" customHeight="1" x14ac:dyDescent="0.2">
      <c r="A399" s="69" t="s">
        <v>466</v>
      </c>
    </row>
    <row r="400" spans="1:2" ht="13.9" customHeight="1" x14ac:dyDescent="0.2">
      <c r="A400" s="69" t="s">
        <v>158</v>
      </c>
    </row>
    <row r="401" spans="1:1" ht="13.9" customHeight="1" x14ac:dyDescent="0.2">
      <c r="A401" s="79" t="s">
        <v>519</v>
      </c>
    </row>
    <row r="402" spans="1:1" ht="13.9" customHeight="1" x14ac:dyDescent="0.2">
      <c r="A402" s="97">
        <v>0.25</v>
      </c>
    </row>
    <row r="403" spans="1:1" ht="13.9" customHeight="1" x14ac:dyDescent="0.2">
      <c r="A403" s="97">
        <v>0.375</v>
      </c>
    </row>
    <row r="404" spans="1:1" ht="13.9" customHeight="1" x14ac:dyDescent="0.2">
      <c r="A404" s="97">
        <v>0.5</v>
      </c>
    </row>
    <row r="405" spans="1:1" ht="13.9" customHeight="1" x14ac:dyDescent="0.2">
      <c r="A405" s="97">
        <v>0.75</v>
      </c>
    </row>
    <row r="406" spans="1:1" ht="13.9" customHeight="1" x14ac:dyDescent="0.2">
      <c r="A406" s="97">
        <v>1</v>
      </c>
    </row>
    <row r="407" spans="1:1" ht="13.9" customHeight="1" x14ac:dyDescent="0.2">
      <c r="A407" s="97">
        <v>1.25</v>
      </c>
    </row>
    <row r="408" spans="1:1" ht="13.9" customHeight="1" x14ac:dyDescent="0.2">
      <c r="A408" s="97">
        <v>1.5</v>
      </c>
    </row>
    <row r="409" spans="1:1" ht="13.9" customHeight="1" x14ac:dyDescent="0.2">
      <c r="A409" s="97">
        <v>1.75</v>
      </c>
    </row>
    <row r="410" spans="1:1" ht="13.9" customHeight="1" x14ac:dyDescent="0.2">
      <c r="A410" s="97">
        <v>2</v>
      </c>
    </row>
    <row r="411" spans="1:1" ht="13.9" customHeight="1" x14ac:dyDescent="0.2">
      <c r="A411" s="97">
        <v>2.5</v>
      </c>
    </row>
    <row r="412" spans="1:1" ht="13.9" customHeight="1" x14ac:dyDescent="0.2">
      <c r="A412" s="69" t="s">
        <v>152</v>
      </c>
    </row>
    <row r="413" spans="1:1" ht="13.9" customHeight="1" x14ac:dyDescent="0.2">
      <c r="A413" s="69" t="s">
        <v>158</v>
      </c>
    </row>
    <row r="414" spans="1:1" ht="13.9" customHeight="1" x14ac:dyDescent="0.2">
      <c r="A414" s="79" t="s">
        <v>292</v>
      </c>
    </row>
    <row r="415" spans="1:1" ht="13.9" customHeight="1" x14ac:dyDescent="0.2">
      <c r="A415" s="69" t="s">
        <v>157</v>
      </c>
    </row>
    <row r="416" spans="1:1" ht="13.9" customHeight="1" x14ac:dyDescent="0.2">
      <c r="A416" s="69" t="s">
        <v>156</v>
      </c>
    </row>
    <row r="417" spans="1:1" ht="13.9" customHeight="1" x14ac:dyDescent="0.2">
      <c r="A417" s="69" t="s">
        <v>915</v>
      </c>
    </row>
    <row r="418" spans="1:1" ht="13.9" customHeight="1" x14ac:dyDescent="0.2">
      <c r="A418" s="69" t="s">
        <v>159</v>
      </c>
    </row>
    <row r="419" spans="1:1" ht="13.9" customHeight="1" x14ac:dyDescent="0.2">
      <c r="A419" s="69" t="s">
        <v>796</v>
      </c>
    </row>
    <row r="420" spans="1:1" ht="13.9" customHeight="1" x14ac:dyDescent="0.2">
      <c r="A420" s="69" t="s">
        <v>916</v>
      </c>
    </row>
    <row r="421" spans="1:1" ht="13.9" customHeight="1" x14ac:dyDescent="0.2">
      <c r="A421" s="69" t="s">
        <v>678</v>
      </c>
    </row>
    <row r="422" spans="1:1" ht="13.9" customHeight="1" x14ac:dyDescent="0.2">
      <c r="A422" s="69" t="s">
        <v>158</v>
      </c>
    </row>
    <row r="423" spans="1:1" ht="13.9" customHeight="1" x14ac:dyDescent="0.2">
      <c r="A423" s="79" t="s">
        <v>917</v>
      </c>
    </row>
    <row r="424" spans="1:1" ht="13.9" customHeight="1" x14ac:dyDescent="0.2">
      <c r="A424" s="69" t="s">
        <v>591</v>
      </c>
    </row>
    <row r="425" spans="1:1" ht="13.9" customHeight="1" x14ac:dyDescent="0.2">
      <c r="A425" s="69" t="s">
        <v>592</v>
      </c>
    </row>
    <row r="426" spans="1:1" ht="13.9" customHeight="1" x14ac:dyDescent="0.2">
      <c r="A426" s="69" t="s">
        <v>122</v>
      </c>
    </row>
    <row r="427" spans="1:1" ht="13.9" customHeight="1" x14ac:dyDescent="0.2">
      <c r="A427" s="69" t="s">
        <v>918</v>
      </c>
    </row>
    <row r="428" spans="1:1" ht="13.9" customHeight="1" x14ac:dyDescent="0.2">
      <c r="A428" s="69" t="s">
        <v>593</v>
      </c>
    </row>
    <row r="429" spans="1:1" ht="13.9" customHeight="1" x14ac:dyDescent="0.2">
      <c r="A429" s="69" t="s">
        <v>797</v>
      </c>
    </row>
    <row r="430" spans="1:1" ht="13.9" customHeight="1" x14ac:dyDescent="0.2">
      <c r="A430" s="69" t="s">
        <v>798</v>
      </c>
    </row>
    <row r="431" spans="1:1" ht="13.9" customHeight="1" x14ac:dyDescent="0.2">
      <c r="A431" s="69" t="s">
        <v>799</v>
      </c>
    </row>
    <row r="432" spans="1:1" ht="13.9" customHeight="1" x14ac:dyDescent="0.2">
      <c r="A432" s="69" t="s">
        <v>800</v>
      </c>
    </row>
    <row r="433" spans="1:1" ht="13.9" customHeight="1" x14ac:dyDescent="0.2">
      <c r="A433" s="69" t="s">
        <v>158</v>
      </c>
    </row>
    <row r="434" spans="1:1" ht="13.9" customHeight="1" x14ac:dyDescent="0.2">
      <c r="A434" s="79" t="s">
        <v>49</v>
      </c>
    </row>
    <row r="435" spans="1:1" ht="13.9" customHeight="1" x14ac:dyDescent="0.2">
      <c r="A435" s="69" t="s">
        <v>156</v>
      </c>
    </row>
    <row r="436" spans="1:1" ht="13.9" customHeight="1" x14ac:dyDescent="0.2">
      <c r="A436" s="69" t="s">
        <v>915</v>
      </c>
    </row>
    <row r="437" spans="1:1" ht="13.9" customHeight="1" x14ac:dyDescent="0.2">
      <c r="A437" s="69" t="s">
        <v>159</v>
      </c>
    </row>
    <row r="438" spans="1:1" ht="13.9" customHeight="1" x14ac:dyDescent="0.2">
      <c r="A438" s="69" t="s">
        <v>501</v>
      </c>
    </row>
    <row r="439" spans="1:1" ht="13.9" customHeight="1" x14ac:dyDescent="0.2">
      <c r="A439" s="69" t="s">
        <v>502</v>
      </c>
    </row>
    <row r="440" spans="1:1" ht="13.9" customHeight="1" x14ac:dyDescent="0.2">
      <c r="A440" s="69" t="s">
        <v>158</v>
      </c>
    </row>
    <row r="441" spans="1:1" ht="13.9" customHeight="1" x14ac:dyDescent="0.2">
      <c r="A441" s="79" t="s">
        <v>655</v>
      </c>
    </row>
    <row r="442" spans="1:1" ht="13.9" customHeight="1" x14ac:dyDescent="0.2">
      <c r="A442" s="69" t="s">
        <v>503</v>
      </c>
    </row>
    <row r="443" spans="1:1" ht="13.9" customHeight="1" x14ac:dyDescent="0.2">
      <c r="A443" s="69" t="s">
        <v>504</v>
      </c>
    </row>
    <row r="444" spans="1:1" ht="13.9" customHeight="1" x14ac:dyDescent="0.2">
      <c r="A444" s="69" t="s">
        <v>505</v>
      </c>
    </row>
    <row r="445" spans="1:1" ht="13.9" customHeight="1" x14ac:dyDescent="0.2">
      <c r="A445" s="69" t="s">
        <v>158</v>
      </c>
    </row>
    <row r="446" spans="1:1" ht="13.9" customHeight="1" x14ac:dyDescent="0.2">
      <c r="A446" s="79" t="s">
        <v>656</v>
      </c>
    </row>
    <row r="447" spans="1:1" ht="13.9" customHeight="1" x14ac:dyDescent="0.2">
      <c r="A447" s="69" t="s">
        <v>948</v>
      </c>
    </row>
    <row r="448" spans="1:1" ht="13.9" customHeight="1" x14ac:dyDescent="0.2">
      <c r="A448" s="69" t="s">
        <v>657</v>
      </c>
    </row>
    <row r="449" spans="1:1" ht="13.9" customHeight="1" x14ac:dyDescent="0.2">
      <c r="A449" s="69" t="s">
        <v>949</v>
      </c>
    </row>
    <row r="450" spans="1:1" ht="13.9" customHeight="1" x14ac:dyDescent="0.2">
      <c r="A450" s="69" t="s">
        <v>947</v>
      </c>
    </row>
    <row r="451" spans="1:1" ht="13.9" customHeight="1" x14ac:dyDescent="0.2">
      <c r="A451" s="69" t="s">
        <v>658</v>
      </c>
    </row>
    <row r="452" spans="1:1" ht="13.9" customHeight="1" x14ac:dyDescent="0.2">
      <c r="A452" s="69" t="s">
        <v>916</v>
      </c>
    </row>
    <row r="453" spans="1:1" ht="13.9" customHeight="1" x14ac:dyDescent="0.2">
      <c r="A453" s="69" t="s">
        <v>678</v>
      </c>
    </row>
    <row r="454" spans="1:1" ht="13.9" customHeight="1" x14ac:dyDescent="0.2">
      <c r="A454" s="69" t="s">
        <v>679</v>
      </c>
    </row>
    <row r="455" spans="1:1" ht="13.9" customHeight="1" x14ac:dyDescent="0.2">
      <c r="A455" s="69" t="s">
        <v>158</v>
      </c>
    </row>
    <row r="456" spans="1:1" ht="13.9" customHeight="1" x14ac:dyDescent="0.2">
      <c r="A456" s="79" t="s">
        <v>680</v>
      </c>
    </row>
    <row r="457" spans="1:1" ht="13.9" customHeight="1" x14ac:dyDescent="0.2">
      <c r="A457" s="69" t="s">
        <v>259</v>
      </c>
    </row>
    <row r="458" spans="1:1" ht="13.9" customHeight="1" x14ac:dyDescent="0.2">
      <c r="A458" s="69" t="s">
        <v>542</v>
      </c>
    </row>
    <row r="459" spans="1:1" ht="13.9" customHeight="1" x14ac:dyDescent="0.2">
      <c r="A459" s="69" t="s">
        <v>541</v>
      </c>
    </row>
    <row r="460" spans="1:1" ht="13.9" customHeight="1" x14ac:dyDescent="0.2">
      <c r="A460" s="69" t="s">
        <v>476</v>
      </c>
    </row>
    <row r="461" spans="1:1" ht="13.9" customHeight="1" x14ac:dyDescent="0.2">
      <c r="A461" s="69" t="s">
        <v>540</v>
      </c>
    </row>
    <row r="462" spans="1:1" ht="13.9" customHeight="1" x14ac:dyDescent="0.2">
      <c r="A462" s="69" t="s">
        <v>619</v>
      </c>
    </row>
    <row r="463" spans="1:1" ht="13.9" customHeight="1" x14ac:dyDescent="0.2">
      <c r="A463" s="69" t="s">
        <v>152</v>
      </c>
    </row>
    <row r="464" spans="1:1" ht="13.9" customHeight="1" x14ac:dyDescent="0.2">
      <c r="A464" s="69" t="s">
        <v>158</v>
      </c>
    </row>
    <row r="465" spans="1:2" ht="13.9" customHeight="1" x14ac:dyDescent="0.2">
      <c r="A465" s="79" t="s">
        <v>620</v>
      </c>
    </row>
    <row r="466" spans="1:2" ht="13.9" customHeight="1" x14ac:dyDescent="0.2">
      <c r="A466" s="69" t="s">
        <v>153</v>
      </c>
    </row>
    <row r="467" spans="1:2" ht="13.9" customHeight="1" x14ac:dyDescent="0.2">
      <c r="A467" s="69" t="s">
        <v>152</v>
      </c>
    </row>
    <row r="468" spans="1:2" ht="13.9" customHeight="1" x14ac:dyDescent="0.2">
      <c r="A468" s="79" t="s">
        <v>152</v>
      </c>
    </row>
    <row r="469" spans="1:2" ht="12.75" customHeight="1" x14ac:dyDescent="0.2">
      <c r="A469" s="69" t="s">
        <v>625</v>
      </c>
    </row>
    <row r="470" spans="1:2" ht="13.9" customHeight="1" x14ac:dyDescent="0.2">
      <c r="A470" s="69" t="s">
        <v>624</v>
      </c>
    </row>
    <row r="471" spans="1:2" ht="13.9" customHeight="1" x14ac:dyDescent="0.2">
      <c r="A471" s="69" t="s">
        <v>472</v>
      </c>
    </row>
    <row r="472" spans="1:2" ht="13.9" customHeight="1" x14ac:dyDescent="0.2">
      <c r="A472" s="69" t="s">
        <v>508</v>
      </c>
    </row>
    <row r="473" spans="1:2" ht="13.9" customHeight="1" x14ac:dyDescent="0.2">
      <c r="A473" s="69" t="s">
        <v>516</v>
      </c>
    </row>
    <row r="474" spans="1:2" ht="13.9" customHeight="1" x14ac:dyDescent="0.2">
      <c r="A474" s="69" t="s">
        <v>622</v>
      </c>
    </row>
    <row r="475" spans="1:2" ht="13.9" customHeight="1" x14ac:dyDescent="0.2">
      <c r="A475" s="69" t="s">
        <v>623</v>
      </c>
    </row>
    <row r="476" spans="1:2" ht="13.9" customHeight="1" x14ac:dyDescent="0.2">
      <c r="A476" s="69" t="s">
        <v>402</v>
      </c>
    </row>
    <row r="477" spans="1:2" ht="13.9" customHeight="1" x14ac:dyDescent="0.2">
      <c r="A477" s="69" t="s">
        <v>580</v>
      </c>
    </row>
    <row r="478" spans="1:2" ht="13.9" customHeight="1" x14ac:dyDescent="0.2">
      <c r="A478" s="69" t="s">
        <v>621</v>
      </c>
    </row>
    <row r="479" spans="1:2" ht="13.9" customHeight="1" x14ac:dyDescent="0.2">
      <c r="A479" s="189" t="s">
        <v>1246</v>
      </c>
    </row>
    <row r="480" spans="1:2" ht="13.9" customHeight="1" x14ac:dyDescent="0.2">
      <c r="A480" s="69" t="s">
        <v>350</v>
      </c>
      <c r="B480" s="8"/>
    </row>
    <row r="481" spans="1:2" ht="13.9" customHeight="1" x14ac:dyDescent="0.2">
      <c r="A481" s="69" t="s">
        <v>1083</v>
      </c>
      <c r="B481" s="8"/>
    </row>
    <row r="482" spans="1:2" ht="13.9" customHeight="1" x14ac:dyDescent="0.2">
      <c r="A482" s="69" t="s">
        <v>214</v>
      </c>
    </row>
    <row r="483" spans="1:2" ht="13.9" customHeight="1" x14ac:dyDescent="0.2">
      <c r="A483" s="69" t="s">
        <v>152</v>
      </c>
    </row>
    <row r="484" spans="1:2" ht="13.9" customHeight="1" x14ac:dyDescent="0.2">
      <c r="A484" s="69" t="s">
        <v>158</v>
      </c>
    </row>
    <row r="485" spans="1:2" ht="13.9" customHeight="1" x14ac:dyDescent="0.2">
      <c r="A485" s="79" t="s">
        <v>681</v>
      </c>
    </row>
    <row r="486" spans="1:2" ht="13.9" customHeight="1" x14ac:dyDescent="0.2">
      <c r="A486" s="69" t="s">
        <v>1095</v>
      </c>
    </row>
    <row r="487" spans="1:2" ht="13.9" customHeight="1" x14ac:dyDescent="0.2">
      <c r="A487" s="292" t="s">
        <v>1093</v>
      </c>
    </row>
    <row r="488" spans="1:2" ht="13.9" customHeight="1" x14ac:dyDescent="0.2">
      <c r="A488" s="292" t="s">
        <v>1084</v>
      </c>
    </row>
    <row r="489" spans="1:2" ht="13.9" customHeight="1" x14ac:dyDescent="0.2">
      <c r="A489" s="296" t="s">
        <v>1096</v>
      </c>
    </row>
    <row r="490" spans="1:2" ht="13.9" customHeight="1" x14ac:dyDescent="0.2">
      <c r="A490" s="296" t="s">
        <v>1094</v>
      </c>
    </row>
    <row r="491" spans="1:2" ht="13.9" customHeight="1" x14ac:dyDescent="0.2">
      <c r="A491" s="69" t="s">
        <v>615</v>
      </c>
    </row>
    <row r="492" spans="1:2" ht="13.9" customHeight="1" x14ac:dyDescent="0.2">
      <c r="A492" s="69" t="s">
        <v>616</v>
      </c>
    </row>
    <row r="493" spans="1:2" ht="13.9" customHeight="1" x14ac:dyDescent="0.2">
      <c r="A493" s="69" t="s">
        <v>617</v>
      </c>
    </row>
    <row r="494" spans="1:2" ht="13.9" customHeight="1" x14ac:dyDescent="0.2">
      <c r="A494" s="69" t="s">
        <v>618</v>
      </c>
    </row>
    <row r="495" spans="1:2" ht="13.9" customHeight="1" x14ac:dyDescent="0.2">
      <c r="A495" s="341" t="s">
        <v>1236</v>
      </c>
    </row>
    <row r="496" spans="1:2" ht="13.9" customHeight="1" x14ac:dyDescent="0.2">
      <c r="A496" s="526" t="s">
        <v>1572</v>
      </c>
    </row>
    <row r="497" spans="1:1" ht="13.9" customHeight="1" x14ac:dyDescent="0.2">
      <c r="A497" s="69" t="s">
        <v>158</v>
      </c>
    </row>
    <row r="498" spans="1:1" ht="13.9" customHeight="1" x14ac:dyDescent="0.2">
      <c r="A498" s="79" t="s">
        <v>936</v>
      </c>
    </row>
    <row r="499" spans="1:1" ht="13.9" customHeight="1" x14ac:dyDescent="0.2">
      <c r="A499" s="69" t="s">
        <v>937</v>
      </c>
    </row>
    <row r="500" spans="1:1" ht="13.9" customHeight="1" x14ac:dyDescent="0.2">
      <c r="A500" s="69" t="s">
        <v>938</v>
      </c>
    </row>
    <row r="501" spans="1:1" ht="13.9" customHeight="1" x14ac:dyDescent="0.2">
      <c r="A501" s="293" t="s">
        <v>1088</v>
      </c>
    </row>
    <row r="502" spans="1:1" ht="13.9" customHeight="1" x14ac:dyDescent="0.2">
      <c r="A502" s="293" t="s">
        <v>939</v>
      </c>
    </row>
    <row r="503" spans="1:1" ht="13.9" customHeight="1" x14ac:dyDescent="0.2">
      <c r="A503" s="69" t="s">
        <v>322</v>
      </c>
    </row>
    <row r="504" spans="1:1" ht="13.9" customHeight="1" x14ac:dyDescent="0.2">
      <c r="A504" s="295" t="s">
        <v>1090</v>
      </c>
    </row>
    <row r="505" spans="1:1" ht="13.9" customHeight="1" x14ac:dyDescent="0.2">
      <c r="A505" s="519" t="s">
        <v>1542</v>
      </c>
    </row>
    <row r="506" spans="1:1" ht="13.9" customHeight="1" x14ac:dyDescent="0.2">
      <c r="A506" s="519" t="s">
        <v>1543</v>
      </c>
    </row>
    <row r="507" spans="1:1" ht="13.9" customHeight="1" x14ac:dyDescent="0.2">
      <c r="A507" s="316" t="s">
        <v>1138</v>
      </c>
    </row>
    <row r="508" spans="1:1" ht="13.9" customHeight="1" x14ac:dyDescent="0.2">
      <c r="A508" s="316" t="s">
        <v>1137</v>
      </c>
    </row>
    <row r="509" spans="1:1" ht="13.9" customHeight="1" x14ac:dyDescent="0.2">
      <c r="A509" s="318" t="s">
        <v>1143</v>
      </c>
    </row>
    <row r="510" spans="1:1" ht="13.9" customHeight="1" x14ac:dyDescent="0.2">
      <c r="A510" s="69" t="s">
        <v>152</v>
      </c>
    </row>
    <row r="511" spans="1:1" ht="13.9" customHeight="1" x14ac:dyDescent="0.2">
      <c r="A511" s="69" t="s">
        <v>158</v>
      </c>
    </row>
    <row r="512" spans="1:1" ht="13.9" customHeight="1" x14ac:dyDescent="0.2">
      <c r="A512" s="79" t="s">
        <v>626</v>
      </c>
    </row>
    <row r="513" spans="1:1" ht="13.9" customHeight="1" x14ac:dyDescent="0.2">
      <c r="A513" s="69" t="s">
        <v>158</v>
      </c>
    </row>
    <row r="514" spans="1:1" ht="13.9" customHeight="1" x14ac:dyDescent="0.2">
      <c r="A514" s="69" t="s">
        <v>627</v>
      </c>
    </row>
    <row r="515" spans="1:1" ht="13.9" customHeight="1" x14ac:dyDescent="0.2">
      <c r="A515" s="69" t="s">
        <v>628</v>
      </c>
    </row>
    <row r="516" spans="1:1" ht="13.9" customHeight="1" x14ac:dyDescent="0.2">
      <c r="A516" s="69" t="s">
        <v>629</v>
      </c>
    </row>
    <row r="517" spans="1:1" ht="13.9" customHeight="1" x14ac:dyDescent="0.2">
      <c r="A517" s="69" t="s">
        <v>630</v>
      </c>
    </row>
    <row r="518" spans="1:1" ht="13.9" customHeight="1" x14ac:dyDescent="0.2">
      <c r="A518" s="69" t="s">
        <v>631</v>
      </c>
    </row>
    <row r="519" spans="1:1" ht="13.9" customHeight="1" x14ac:dyDescent="0.2">
      <c r="A519" s="69" t="s">
        <v>632</v>
      </c>
    </row>
    <row r="520" spans="1:1" ht="13.9" customHeight="1" x14ac:dyDescent="0.2">
      <c r="A520" s="69" t="s">
        <v>633</v>
      </c>
    </row>
    <row r="521" spans="1:1" ht="13.9" customHeight="1" x14ac:dyDescent="0.2">
      <c r="A521" s="69" t="s">
        <v>634</v>
      </c>
    </row>
    <row r="522" spans="1:1" ht="13.9" customHeight="1" x14ac:dyDescent="0.2">
      <c r="A522" s="358" t="s">
        <v>1372</v>
      </c>
    </row>
    <row r="523" spans="1:1" ht="13.9" customHeight="1" x14ac:dyDescent="0.2">
      <c r="A523" s="69" t="s">
        <v>635</v>
      </c>
    </row>
    <row r="524" spans="1:1" ht="13.9" customHeight="1" x14ac:dyDescent="0.2">
      <c r="A524" s="79" t="s">
        <v>636</v>
      </c>
    </row>
    <row r="525" spans="1:1" ht="13.9" customHeight="1" x14ac:dyDescent="0.2">
      <c r="A525" s="69" t="s">
        <v>637</v>
      </c>
    </row>
    <row r="526" spans="1:1" ht="13.9" customHeight="1" x14ac:dyDescent="0.2">
      <c r="A526" s="69" t="s">
        <v>638</v>
      </c>
    </row>
    <row r="527" spans="1:1" ht="13.9" customHeight="1" x14ac:dyDescent="0.2">
      <c r="A527" s="69" t="s">
        <v>640</v>
      </c>
    </row>
    <row r="528" spans="1:1" ht="13.9" customHeight="1" x14ac:dyDescent="0.2">
      <c r="A528" s="334" t="s">
        <v>639</v>
      </c>
    </row>
    <row r="529" spans="1:1" ht="13.9" customHeight="1" x14ac:dyDescent="0.2">
      <c r="A529" s="69" t="s">
        <v>1204</v>
      </c>
    </row>
    <row r="530" spans="1:1" ht="13.9" customHeight="1" x14ac:dyDescent="0.2">
      <c r="A530" s="79" t="s">
        <v>641</v>
      </c>
    </row>
    <row r="531" spans="1:1" ht="13.9" customHeight="1" x14ac:dyDescent="0.2">
      <c r="A531" s="69" t="s">
        <v>642</v>
      </c>
    </row>
    <row r="532" spans="1:1" ht="13.9" customHeight="1" x14ac:dyDescent="0.2">
      <c r="A532" s="69" t="s">
        <v>927</v>
      </c>
    </row>
    <row r="533" spans="1:1" ht="13.9" customHeight="1" x14ac:dyDescent="0.2">
      <c r="A533" s="69" t="s">
        <v>538</v>
      </c>
    </row>
    <row r="534" spans="1:1" ht="13.9" customHeight="1" x14ac:dyDescent="0.2">
      <c r="A534" s="69" t="s">
        <v>152</v>
      </c>
    </row>
    <row r="535" spans="1:1" ht="13.9" customHeight="1" x14ac:dyDescent="0.2">
      <c r="A535" s="69" t="s">
        <v>158</v>
      </c>
    </row>
    <row r="536" spans="1:1" ht="13.9" customHeight="1" x14ac:dyDescent="0.2">
      <c r="A536" s="79" t="s">
        <v>53</v>
      </c>
    </row>
    <row r="537" spans="1:1" ht="13.9" customHeight="1" x14ac:dyDescent="0.2">
      <c r="A537" s="89" t="s">
        <v>158</v>
      </c>
    </row>
    <row r="538" spans="1:1" ht="13.9" customHeight="1" x14ac:dyDescent="0.2">
      <c r="A538" s="89" t="s">
        <v>811</v>
      </c>
    </row>
    <row r="539" spans="1:1" ht="13.9" customHeight="1" x14ac:dyDescent="0.2">
      <c r="A539" s="89" t="s">
        <v>812</v>
      </c>
    </row>
    <row r="540" spans="1:1" ht="13.9" customHeight="1" x14ac:dyDescent="0.2">
      <c r="A540" s="89" t="s">
        <v>813</v>
      </c>
    </row>
    <row r="541" spans="1:1" ht="13.9" customHeight="1" x14ac:dyDescent="0.2">
      <c r="A541" s="89" t="s">
        <v>814</v>
      </c>
    </row>
    <row r="542" spans="1:1" ht="13.9" customHeight="1" x14ac:dyDescent="0.2">
      <c r="A542" s="89" t="s">
        <v>622</v>
      </c>
    </row>
    <row r="543" spans="1:1" ht="13.9" customHeight="1" x14ac:dyDescent="0.2">
      <c r="A543" s="89" t="s">
        <v>920</v>
      </c>
    </row>
    <row r="544" spans="1:1" ht="13.9" customHeight="1" x14ac:dyDescent="0.2">
      <c r="A544" s="89" t="s">
        <v>524</v>
      </c>
    </row>
    <row r="545" spans="1:1" ht="13.9" customHeight="1" x14ac:dyDescent="0.2">
      <c r="A545" s="79" t="s">
        <v>529</v>
      </c>
    </row>
    <row r="546" spans="1:1" ht="13.9" customHeight="1" x14ac:dyDescent="0.2">
      <c r="A546" s="69" t="s">
        <v>525</v>
      </c>
    </row>
    <row r="547" spans="1:1" ht="13.9" customHeight="1" x14ac:dyDescent="0.2">
      <c r="A547" s="69" t="s">
        <v>526</v>
      </c>
    </row>
    <row r="548" spans="1:1" ht="13.9" customHeight="1" x14ac:dyDescent="0.2">
      <c r="A548" s="69" t="s">
        <v>527</v>
      </c>
    </row>
    <row r="549" spans="1:1" ht="13.9" customHeight="1" x14ac:dyDescent="0.2">
      <c r="A549" s="69" t="s">
        <v>528</v>
      </c>
    </row>
    <row r="550" spans="1:1" ht="13.9" customHeight="1" x14ac:dyDescent="0.2">
      <c r="A550" s="69" t="s">
        <v>158</v>
      </c>
    </row>
    <row r="551" spans="1:1" ht="13.9" customHeight="1" x14ac:dyDescent="0.2">
      <c r="A551" s="79" t="s">
        <v>530</v>
      </c>
    </row>
    <row r="552" spans="1:1" ht="13.9" customHeight="1" x14ac:dyDescent="0.2">
      <c r="A552" s="69" t="s">
        <v>424</v>
      </c>
    </row>
    <row r="553" spans="1:1" ht="13.9" customHeight="1" x14ac:dyDescent="0.2">
      <c r="A553" s="69" t="s">
        <v>422</v>
      </c>
    </row>
    <row r="554" spans="1:1" ht="13.9" customHeight="1" x14ac:dyDescent="0.2">
      <c r="A554" s="69" t="s">
        <v>423</v>
      </c>
    </row>
    <row r="555" spans="1:1" ht="13.9" customHeight="1" x14ac:dyDescent="0.2">
      <c r="A555" s="69" t="s">
        <v>428</v>
      </c>
    </row>
    <row r="556" spans="1:1" ht="13.9" customHeight="1" x14ac:dyDescent="0.2">
      <c r="A556" s="69" t="s">
        <v>427</v>
      </c>
    </row>
    <row r="557" spans="1:1" ht="13.9" customHeight="1" x14ac:dyDescent="0.2">
      <c r="A557" s="69" t="s">
        <v>425</v>
      </c>
    </row>
    <row r="558" spans="1:1" ht="13.9" customHeight="1" x14ac:dyDescent="0.2">
      <c r="A558" s="69" t="s">
        <v>426</v>
      </c>
    </row>
    <row r="559" spans="1:1" ht="13.9" customHeight="1" x14ac:dyDescent="0.2">
      <c r="A559" s="69" t="s">
        <v>888</v>
      </c>
    </row>
    <row r="560" spans="1:1" ht="13.9" customHeight="1" x14ac:dyDescent="0.2">
      <c r="A560" s="69" t="s">
        <v>889</v>
      </c>
    </row>
    <row r="561" spans="1:6" ht="13.9" customHeight="1" x14ac:dyDescent="0.2">
      <c r="A561" s="69" t="s">
        <v>890</v>
      </c>
    </row>
    <row r="562" spans="1:6" ht="13.9" customHeight="1" x14ac:dyDescent="0.2">
      <c r="A562" s="69" t="s">
        <v>152</v>
      </c>
    </row>
    <row r="563" spans="1:6" ht="13.9" customHeight="1" x14ac:dyDescent="0.2">
      <c r="A563" s="69" t="s">
        <v>158</v>
      </c>
    </row>
    <row r="564" spans="1:6" ht="13.9" customHeight="1" x14ac:dyDescent="0.2">
      <c r="A564" s="79" t="s">
        <v>531</v>
      </c>
    </row>
    <row r="565" spans="1:6" ht="13.9" customHeight="1" x14ac:dyDescent="0.2">
      <c r="A565" s="69" t="s">
        <v>158</v>
      </c>
      <c r="F565" s="104"/>
    </row>
    <row r="566" spans="1:6" ht="13.9" customHeight="1" x14ac:dyDescent="0.2">
      <c r="A566" s="69" t="s">
        <v>532</v>
      </c>
      <c r="F566" s="104"/>
    </row>
    <row r="567" spans="1:6" ht="13.9" customHeight="1" x14ac:dyDescent="0.2">
      <c r="A567" s="69" t="s">
        <v>533</v>
      </c>
      <c r="F567" s="104"/>
    </row>
    <row r="568" spans="1:6" ht="13.9" customHeight="1" x14ac:dyDescent="0.2">
      <c r="A568" s="69" t="s">
        <v>534</v>
      </c>
      <c r="F568" s="104"/>
    </row>
    <row r="569" spans="1:6" ht="13.9" customHeight="1" x14ac:dyDescent="0.2">
      <c r="A569" s="79" t="s">
        <v>535</v>
      </c>
      <c r="F569" s="104"/>
    </row>
    <row r="570" spans="1:6" ht="13.9" customHeight="1" x14ac:dyDescent="0.2">
      <c r="A570" s="69" t="s">
        <v>158</v>
      </c>
      <c r="F570" s="104"/>
    </row>
    <row r="571" spans="1:6" ht="13.9" customHeight="1" x14ac:dyDescent="0.2">
      <c r="A571" s="69" t="s">
        <v>536</v>
      </c>
      <c r="F571" s="104"/>
    </row>
    <row r="572" spans="1:6" ht="13.9" customHeight="1" x14ac:dyDescent="0.2">
      <c r="A572" s="69" t="s">
        <v>470</v>
      </c>
      <c r="F572" s="104"/>
    </row>
    <row r="573" spans="1:6" ht="13.9" customHeight="1" x14ac:dyDescent="0.2">
      <c r="A573" s="69" t="s">
        <v>537</v>
      </c>
      <c r="F573" s="104"/>
    </row>
    <row r="574" spans="1:6" ht="13.9" customHeight="1" x14ac:dyDescent="0.2">
      <c r="A574" s="79" t="s">
        <v>153</v>
      </c>
      <c r="F574" s="104"/>
    </row>
    <row r="575" spans="1:6" x14ac:dyDescent="0.2">
      <c r="A575" s="69" t="s">
        <v>67</v>
      </c>
      <c r="F575" s="104"/>
    </row>
    <row r="576" spans="1:6" x14ac:dyDescent="0.2">
      <c r="A576" s="69" t="s">
        <v>68</v>
      </c>
      <c r="F576" s="104"/>
    </row>
    <row r="577" spans="1:6" x14ac:dyDescent="0.2">
      <c r="A577" s="106" t="s">
        <v>891</v>
      </c>
      <c r="F577" s="104"/>
    </row>
    <row r="578" spans="1:6" x14ac:dyDescent="0.2">
      <c r="A578" s="106" t="s">
        <v>561</v>
      </c>
      <c r="F578" s="104"/>
    </row>
    <row r="579" spans="1:6" x14ac:dyDescent="0.2">
      <c r="A579" s="106" t="s">
        <v>562</v>
      </c>
      <c r="F579" s="104"/>
    </row>
    <row r="580" spans="1:6" x14ac:dyDescent="0.2">
      <c r="A580" s="105" t="s">
        <v>887</v>
      </c>
      <c r="F580" s="104"/>
    </row>
    <row r="581" spans="1:6" x14ac:dyDescent="0.2">
      <c r="F581" s="104"/>
    </row>
    <row r="582" spans="1:6" x14ac:dyDescent="0.2">
      <c r="A582" s="79" t="s">
        <v>1408</v>
      </c>
      <c r="F582" s="104"/>
    </row>
    <row r="583" spans="1:6" x14ac:dyDescent="0.2">
      <c r="A583" s="80">
        <v>281095</v>
      </c>
      <c r="F583" s="104"/>
    </row>
    <row r="584" spans="1:6" x14ac:dyDescent="0.2">
      <c r="A584" s="80">
        <v>281337</v>
      </c>
      <c r="F584" s="104"/>
    </row>
    <row r="585" spans="1:6" x14ac:dyDescent="0.2">
      <c r="A585" s="80">
        <v>281421</v>
      </c>
      <c r="F585" s="104"/>
    </row>
    <row r="586" spans="1:6" x14ac:dyDescent="0.2">
      <c r="A586" s="80">
        <v>281462</v>
      </c>
      <c r="F586" s="104"/>
    </row>
    <row r="587" spans="1:6" x14ac:dyDescent="0.2">
      <c r="A587" s="80">
        <v>282482</v>
      </c>
      <c r="F587" s="104"/>
    </row>
    <row r="588" spans="1:6" x14ac:dyDescent="0.2">
      <c r="A588" s="80">
        <v>282484</v>
      </c>
      <c r="F588" s="104"/>
    </row>
    <row r="589" spans="1:6" x14ac:dyDescent="0.2">
      <c r="A589" s="80">
        <v>282737</v>
      </c>
      <c r="F589" s="104"/>
    </row>
    <row r="590" spans="1:6" x14ac:dyDescent="0.2">
      <c r="A590" s="80">
        <v>282738</v>
      </c>
      <c r="F590" s="104"/>
    </row>
    <row r="591" spans="1:6" x14ac:dyDescent="0.2">
      <c r="A591" s="80">
        <v>282760</v>
      </c>
      <c r="F591" s="104"/>
    </row>
    <row r="592" spans="1:6" x14ac:dyDescent="0.2">
      <c r="A592" s="80">
        <v>282793</v>
      </c>
      <c r="F592" s="104"/>
    </row>
    <row r="593" spans="1:6" x14ac:dyDescent="0.2">
      <c r="A593" s="80">
        <v>283203</v>
      </c>
      <c r="F593" s="104"/>
    </row>
    <row r="594" spans="1:6" x14ac:dyDescent="0.2">
      <c r="A594" s="80">
        <v>283204</v>
      </c>
      <c r="F594" s="104"/>
    </row>
    <row r="595" spans="1:6" x14ac:dyDescent="0.2">
      <c r="A595" s="80">
        <v>283205</v>
      </c>
      <c r="F595" s="104"/>
    </row>
    <row r="596" spans="1:6" x14ac:dyDescent="0.2">
      <c r="A596" s="80">
        <v>283475</v>
      </c>
      <c r="F596" s="104"/>
    </row>
    <row r="597" spans="1:6" x14ac:dyDescent="0.2">
      <c r="A597" s="80">
        <v>283473</v>
      </c>
      <c r="F597" s="104"/>
    </row>
    <row r="598" spans="1:6" x14ac:dyDescent="0.2">
      <c r="A598" s="80">
        <v>283458</v>
      </c>
      <c r="F598" s="104"/>
    </row>
    <row r="599" spans="1:6" x14ac:dyDescent="0.2">
      <c r="A599" s="80" t="s">
        <v>1540</v>
      </c>
      <c r="F599" s="104"/>
    </row>
    <row r="600" spans="1:6" x14ac:dyDescent="0.2">
      <c r="A600" s="80" t="s">
        <v>1541</v>
      </c>
      <c r="F600" s="104"/>
    </row>
    <row r="601" spans="1:6" x14ac:dyDescent="0.2">
      <c r="A601" s="79" t="s">
        <v>1153</v>
      </c>
      <c r="F601" s="104"/>
    </row>
    <row r="602" spans="1:6" x14ac:dyDescent="0.2">
      <c r="A602" s="324" t="s">
        <v>1286</v>
      </c>
      <c r="F602" s="104"/>
    </row>
    <row r="603" spans="1:6" x14ac:dyDescent="0.2">
      <c r="A603" s="353" t="s">
        <v>1287</v>
      </c>
      <c r="F603" s="104"/>
    </row>
    <row r="604" spans="1:6" x14ac:dyDescent="0.2">
      <c r="A604" s="353" t="s">
        <v>1288</v>
      </c>
      <c r="F604" s="104"/>
    </row>
    <row r="605" spans="1:6" x14ac:dyDescent="0.2">
      <c r="A605" s="353" t="s">
        <v>1289</v>
      </c>
      <c r="F605" s="104"/>
    </row>
    <row r="606" spans="1:6" x14ac:dyDescent="0.2">
      <c r="A606" s="353" t="s">
        <v>1290</v>
      </c>
      <c r="F606" s="104"/>
    </row>
    <row r="607" spans="1:6" x14ac:dyDescent="0.2">
      <c r="A607" s="353" t="s">
        <v>1291</v>
      </c>
      <c r="F607" s="104"/>
    </row>
    <row r="608" spans="1:6" x14ac:dyDescent="0.2">
      <c r="A608" s="353" t="s">
        <v>1171</v>
      </c>
      <c r="F608" s="104"/>
    </row>
    <row r="609" spans="1:6" x14ac:dyDescent="0.2">
      <c r="A609" s="353" t="s">
        <v>1293</v>
      </c>
      <c r="F609" s="104"/>
    </row>
    <row r="610" spans="1:6" x14ac:dyDescent="0.2">
      <c r="A610" s="353" t="s">
        <v>1292</v>
      </c>
      <c r="F610" s="104"/>
    </row>
    <row r="611" spans="1:6" x14ac:dyDescent="0.2">
      <c r="A611" s="325" t="s">
        <v>1161</v>
      </c>
      <c r="F611" s="104"/>
    </row>
    <row r="612" spans="1:6" x14ac:dyDescent="0.2">
      <c r="A612" s="353" t="s">
        <v>1294</v>
      </c>
      <c r="F612" s="104"/>
    </row>
    <row r="613" spans="1:6" x14ac:dyDescent="0.2">
      <c r="A613" s="325" t="s">
        <v>1162</v>
      </c>
      <c r="F613" s="104"/>
    </row>
    <row r="614" spans="1:6" x14ac:dyDescent="0.2">
      <c r="A614" s="353" t="s">
        <v>1295</v>
      </c>
      <c r="F614" s="104"/>
    </row>
    <row r="615" spans="1:6" x14ac:dyDescent="0.2">
      <c r="A615" s="353" t="s">
        <v>1296</v>
      </c>
      <c r="F615" s="104"/>
    </row>
    <row r="616" spans="1:6" x14ac:dyDescent="0.2">
      <c r="A616" s="325" t="s">
        <v>1163</v>
      </c>
      <c r="F616" s="104"/>
    </row>
    <row r="617" spans="1:6" x14ac:dyDescent="0.2">
      <c r="A617" s="353" t="s">
        <v>1297</v>
      </c>
      <c r="F617" s="104"/>
    </row>
    <row r="618" spans="1:6" x14ac:dyDescent="0.2">
      <c r="A618" s="325" t="s">
        <v>1164</v>
      </c>
      <c r="F618" s="104"/>
    </row>
    <row r="619" spans="1:6" x14ac:dyDescent="0.2">
      <c r="A619" s="353" t="s">
        <v>1298</v>
      </c>
      <c r="F619" s="104"/>
    </row>
    <row r="620" spans="1:6" x14ac:dyDescent="0.2">
      <c r="A620" s="325" t="s">
        <v>1165</v>
      </c>
      <c r="F620" s="104"/>
    </row>
    <row r="621" spans="1:6" x14ac:dyDescent="0.2">
      <c r="A621" s="353" t="s">
        <v>1299</v>
      </c>
      <c r="F621" s="104"/>
    </row>
    <row r="622" spans="1:6" x14ac:dyDescent="0.2">
      <c r="A622" s="353" t="s">
        <v>1300</v>
      </c>
      <c r="F622" s="104"/>
    </row>
    <row r="623" spans="1:6" x14ac:dyDescent="0.2">
      <c r="A623" s="353" t="s">
        <v>1301</v>
      </c>
      <c r="F623" s="104"/>
    </row>
    <row r="624" spans="1:6" x14ac:dyDescent="0.2">
      <c r="A624" s="353" t="s">
        <v>1302</v>
      </c>
      <c r="F624" s="104"/>
    </row>
    <row r="625" spans="1:6" x14ac:dyDescent="0.2">
      <c r="A625" s="348" t="s">
        <v>1263</v>
      </c>
      <c r="B625" s="12" t="s">
        <v>1262</v>
      </c>
      <c r="F625" s="104"/>
    </row>
    <row r="626" spans="1:6" x14ac:dyDescent="0.2">
      <c r="A626" s="325" t="s">
        <v>1155</v>
      </c>
      <c r="F626" s="104"/>
    </row>
    <row r="627" spans="1:6" x14ac:dyDescent="0.2">
      <c r="A627" s="325" t="s">
        <v>1166</v>
      </c>
      <c r="F627" s="104"/>
    </row>
    <row r="628" spans="1:6" x14ac:dyDescent="0.2">
      <c r="A628" s="325" t="s">
        <v>1190</v>
      </c>
      <c r="F628" s="104"/>
    </row>
    <row r="629" spans="1:6" x14ac:dyDescent="0.2">
      <c r="A629" s="353" t="s">
        <v>1303</v>
      </c>
      <c r="F629" s="104"/>
    </row>
    <row r="630" spans="1:6" x14ac:dyDescent="0.2">
      <c r="A630" s="353" t="s">
        <v>1304</v>
      </c>
      <c r="F630" s="104"/>
    </row>
    <row r="631" spans="1:6" x14ac:dyDescent="0.2">
      <c r="A631" s="353" t="s">
        <v>1305</v>
      </c>
      <c r="F631" s="104"/>
    </row>
    <row r="632" spans="1:6" x14ac:dyDescent="0.2">
      <c r="A632" s="348" t="s">
        <v>1261</v>
      </c>
      <c r="B632" s="12" t="s">
        <v>1262</v>
      </c>
      <c r="F632" s="104"/>
    </row>
    <row r="633" spans="1:6" x14ac:dyDescent="0.2">
      <c r="A633" s="353" t="s">
        <v>1306</v>
      </c>
      <c r="F633" s="104"/>
    </row>
    <row r="634" spans="1:6" x14ac:dyDescent="0.2">
      <c r="A634" s="325" t="s">
        <v>1167</v>
      </c>
      <c r="F634" s="104"/>
    </row>
    <row r="635" spans="1:6" x14ac:dyDescent="0.2">
      <c r="A635" s="325" t="s">
        <v>1168</v>
      </c>
      <c r="F635" s="104"/>
    </row>
    <row r="636" spans="1:6" x14ac:dyDescent="0.2">
      <c r="A636" s="325" t="s">
        <v>1169</v>
      </c>
      <c r="F636" s="104"/>
    </row>
    <row r="637" spans="1:6" ht="15" customHeight="1" x14ac:dyDescent="0.2">
      <c r="A637" s="353" t="s">
        <v>1307</v>
      </c>
      <c r="F637" s="104"/>
    </row>
    <row r="638" spans="1:6" ht="15" customHeight="1" x14ac:dyDescent="0.2">
      <c r="A638" s="353" t="s">
        <v>1310</v>
      </c>
      <c r="F638" s="104"/>
    </row>
    <row r="639" spans="1:6" ht="15" customHeight="1" x14ac:dyDescent="0.2">
      <c r="A639" s="353" t="s">
        <v>1308</v>
      </c>
      <c r="F639" s="104"/>
    </row>
    <row r="640" spans="1:6" ht="15" customHeight="1" x14ac:dyDescent="0.2">
      <c r="A640" s="353" t="s">
        <v>1309</v>
      </c>
      <c r="F640" s="104"/>
    </row>
    <row r="641" spans="1:6" x14ac:dyDescent="0.2">
      <c r="A641" s="348" t="s">
        <v>1264</v>
      </c>
      <c r="B641" s="12" t="s">
        <v>1262</v>
      </c>
      <c r="F641" s="104"/>
    </row>
    <row r="642" spans="1:6" x14ac:dyDescent="0.2">
      <c r="A642" s="325" t="s">
        <v>1170</v>
      </c>
      <c r="F642" s="104"/>
    </row>
    <row r="643" spans="1:6" x14ac:dyDescent="0.2">
      <c r="A643" s="353" t="s">
        <v>1311</v>
      </c>
      <c r="F643" s="104"/>
    </row>
    <row r="644" spans="1:6" x14ac:dyDescent="0.2">
      <c r="A644" s="353" t="s">
        <v>1312</v>
      </c>
      <c r="F644" s="104"/>
    </row>
    <row r="645" spans="1:6" x14ac:dyDescent="0.2">
      <c r="A645" s="325" t="s">
        <v>1172</v>
      </c>
      <c r="F645" s="104"/>
    </row>
    <row r="646" spans="1:6" x14ac:dyDescent="0.2">
      <c r="A646" s="325" t="s">
        <v>1173</v>
      </c>
      <c r="F646" s="104"/>
    </row>
    <row r="647" spans="1:6" x14ac:dyDescent="0.2">
      <c r="A647" s="353" t="s">
        <v>1313</v>
      </c>
      <c r="F647" s="104"/>
    </row>
    <row r="648" spans="1:6" x14ac:dyDescent="0.2">
      <c r="A648" s="353" t="s">
        <v>1314</v>
      </c>
      <c r="F648" s="104"/>
    </row>
    <row r="649" spans="1:6" x14ac:dyDescent="0.2">
      <c r="A649" s="353" t="s">
        <v>1315</v>
      </c>
      <c r="F649" s="104"/>
    </row>
    <row r="650" spans="1:6" x14ac:dyDescent="0.2">
      <c r="A650" s="325" t="s">
        <v>1174</v>
      </c>
      <c r="F650" s="104"/>
    </row>
    <row r="651" spans="1:6" x14ac:dyDescent="0.2">
      <c r="A651" s="325" t="s">
        <v>1175</v>
      </c>
      <c r="F651" s="104"/>
    </row>
    <row r="652" spans="1:6" x14ac:dyDescent="0.2">
      <c r="A652" s="353" t="s">
        <v>1316</v>
      </c>
      <c r="F652" s="104"/>
    </row>
    <row r="653" spans="1:6" x14ac:dyDescent="0.2">
      <c r="A653" s="325" t="s">
        <v>1154</v>
      </c>
      <c r="F653" s="104"/>
    </row>
    <row r="654" spans="1:6" x14ac:dyDescent="0.2">
      <c r="A654" s="325" t="s">
        <v>1176</v>
      </c>
      <c r="F654" s="104"/>
    </row>
    <row r="655" spans="1:6" x14ac:dyDescent="0.2">
      <c r="A655" s="353" t="s">
        <v>1317</v>
      </c>
      <c r="F655" s="104"/>
    </row>
    <row r="656" spans="1:6" x14ac:dyDescent="0.2">
      <c r="A656" s="325" t="s">
        <v>1177</v>
      </c>
      <c r="F656" s="104"/>
    </row>
    <row r="657" spans="1:6" x14ac:dyDescent="0.2">
      <c r="A657" s="353" t="s">
        <v>1318</v>
      </c>
      <c r="F657" s="104"/>
    </row>
    <row r="658" spans="1:6" x14ac:dyDescent="0.2">
      <c r="A658" s="353" t="s">
        <v>1319</v>
      </c>
      <c r="F658" s="104"/>
    </row>
    <row r="659" spans="1:6" x14ac:dyDescent="0.2">
      <c r="A659" s="353" t="s">
        <v>1320</v>
      </c>
      <c r="F659" s="104"/>
    </row>
    <row r="660" spans="1:6" x14ac:dyDescent="0.2">
      <c r="A660" s="353" t="s">
        <v>1321</v>
      </c>
      <c r="F660" s="104"/>
    </row>
    <row r="661" spans="1:6" x14ac:dyDescent="0.2">
      <c r="A661" s="353" t="s">
        <v>1322</v>
      </c>
      <c r="F661" s="104"/>
    </row>
    <row r="662" spans="1:6" x14ac:dyDescent="0.2">
      <c r="A662" s="353" t="s">
        <v>1323</v>
      </c>
      <c r="F662" s="104"/>
    </row>
    <row r="663" spans="1:6" x14ac:dyDescent="0.2">
      <c r="A663" s="325" t="s">
        <v>937</v>
      </c>
      <c r="F663" s="104"/>
    </row>
    <row r="664" spans="1:6" x14ac:dyDescent="0.2">
      <c r="A664" s="325" t="s">
        <v>1156</v>
      </c>
      <c r="F664" s="104"/>
    </row>
    <row r="665" spans="1:6" x14ac:dyDescent="0.2">
      <c r="A665" s="353" t="s">
        <v>1324</v>
      </c>
      <c r="F665" s="104"/>
    </row>
    <row r="666" spans="1:6" x14ac:dyDescent="0.2">
      <c r="A666" s="353" t="s">
        <v>1325</v>
      </c>
      <c r="F666" s="104"/>
    </row>
    <row r="667" spans="1:6" x14ac:dyDescent="0.2">
      <c r="A667" s="325" t="s">
        <v>1157</v>
      </c>
      <c r="F667" s="104"/>
    </row>
    <row r="668" spans="1:6" x14ac:dyDescent="0.2">
      <c r="A668" s="325" t="s">
        <v>1178</v>
      </c>
      <c r="F668" s="104"/>
    </row>
    <row r="669" spans="1:6" x14ac:dyDescent="0.2">
      <c r="A669" s="325" t="s">
        <v>1179</v>
      </c>
      <c r="F669" s="104"/>
    </row>
    <row r="670" spans="1:6" x14ac:dyDescent="0.2">
      <c r="A670" s="353" t="s">
        <v>1326</v>
      </c>
      <c r="F670" s="104"/>
    </row>
    <row r="671" spans="1:6" x14ac:dyDescent="0.2">
      <c r="A671" s="325" t="s">
        <v>1184</v>
      </c>
      <c r="F671" s="104"/>
    </row>
    <row r="672" spans="1:6" x14ac:dyDescent="0.2">
      <c r="A672" s="353" t="s">
        <v>1327</v>
      </c>
      <c r="F672" s="104"/>
    </row>
    <row r="673" spans="1:6" x14ac:dyDescent="0.2">
      <c r="A673" s="353" t="s">
        <v>1328</v>
      </c>
      <c r="F673" s="104"/>
    </row>
    <row r="674" spans="1:6" x14ac:dyDescent="0.2">
      <c r="A674" s="353" t="s">
        <v>1517</v>
      </c>
      <c r="F674" s="104"/>
    </row>
    <row r="675" spans="1:6" x14ac:dyDescent="0.2">
      <c r="A675" s="325" t="s">
        <v>1180</v>
      </c>
      <c r="F675" s="104"/>
    </row>
    <row r="676" spans="1:6" x14ac:dyDescent="0.2">
      <c r="A676" s="325" t="s">
        <v>1182</v>
      </c>
      <c r="F676" s="104"/>
    </row>
    <row r="677" spans="1:6" x14ac:dyDescent="0.2">
      <c r="A677" s="353" t="s">
        <v>1330</v>
      </c>
      <c r="F677" s="104"/>
    </row>
    <row r="678" spans="1:6" x14ac:dyDescent="0.2">
      <c r="A678" s="325" t="s">
        <v>1185</v>
      </c>
      <c r="F678" s="104"/>
    </row>
    <row r="679" spans="1:6" x14ac:dyDescent="0.2">
      <c r="A679" s="353" t="s">
        <v>1331</v>
      </c>
      <c r="F679" s="104"/>
    </row>
    <row r="680" spans="1:6" x14ac:dyDescent="0.2">
      <c r="A680" s="353" t="s">
        <v>1332</v>
      </c>
      <c r="F680" s="104"/>
    </row>
    <row r="681" spans="1:6" x14ac:dyDescent="0.2">
      <c r="A681" s="353" t="s">
        <v>1333</v>
      </c>
      <c r="F681" s="104"/>
    </row>
    <row r="682" spans="1:6" x14ac:dyDescent="0.2">
      <c r="A682" s="353" t="s">
        <v>1334</v>
      </c>
      <c r="F682" s="104"/>
    </row>
    <row r="683" spans="1:6" x14ac:dyDescent="0.2">
      <c r="A683" s="325" t="s">
        <v>1181</v>
      </c>
      <c r="F683" s="104"/>
    </row>
    <row r="684" spans="1:6" x14ac:dyDescent="0.2">
      <c r="A684" s="353" t="s">
        <v>1335</v>
      </c>
      <c r="F684" s="104"/>
    </row>
    <row r="685" spans="1:6" x14ac:dyDescent="0.2">
      <c r="A685" s="348" t="s">
        <v>1265</v>
      </c>
      <c r="B685" s="12" t="s">
        <v>1262</v>
      </c>
      <c r="F685" s="104"/>
    </row>
    <row r="686" spans="1:6" x14ac:dyDescent="0.2">
      <c r="A686" s="353" t="s">
        <v>1336</v>
      </c>
      <c r="F686" s="104"/>
    </row>
    <row r="687" spans="1:6" x14ac:dyDescent="0.2">
      <c r="A687" s="353" t="s">
        <v>1337</v>
      </c>
      <c r="F687" s="104"/>
    </row>
    <row r="688" spans="1:6" x14ac:dyDescent="0.2">
      <c r="A688" s="353" t="s">
        <v>1338</v>
      </c>
      <c r="F688" s="104"/>
    </row>
    <row r="689" spans="1:6" x14ac:dyDescent="0.2">
      <c r="A689" s="353" t="s">
        <v>1339</v>
      </c>
      <c r="F689" s="104"/>
    </row>
    <row r="690" spans="1:6" x14ac:dyDescent="0.2">
      <c r="A690" s="353" t="s">
        <v>1340</v>
      </c>
      <c r="F690" s="104"/>
    </row>
    <row r="691" spans="1:6" x14ac:dyDescent="0.2">
      <c r="A691" s="325" t="s">
        <v>1186</v>
      </c>
      <c r="F691" s="104"/>
    </row>
    <row r="692" spans="1:6" x14ac:dyDescent="0.2">
      <c r="A692" s="325" t="s">
        <v>1158</v>
      </c>
      <c r="F692" s="104"/>
    </row>
    <row r="693" spans="1:6" x14ac:dyDescent="0.2">
      <c r="A693" s="324" t="s">
        <v>1341</v>
      </c>
      <c r="F693" s="104"/>
    </row>
    <row r="694" spans="1:6" x14ac:dyDescent="0.2">
      <c r="A694" s="353" t="s">
        <v>1342</v>
      </c>
      <c r="F694" s="104"/>
    </row>
    <row r="695" spans="1:6" x14ac:dyDescent="0.2">
      <c r="A695" s="324" t="s">
        <v>1188</v>
      </c>
      <c r="F695" s="104"/>
    </row>
    <row r="696" spans="1:6" x14ac:dyDescent="0.2">
      <c r="A696" s="324" t="s">
        <v>1189</v>
      </c>
      <c r="F696" s="104"/>
    </row>
    <row r="697" spans="1:6" x14ac:dyDescent="0.2">
      <c r="A697" s="325" t="s">
        <v>1187</v>
      </c>
      <c r="F697" s="104"/>
    </row>
    <row r="698" spans="1:6" x14ac:dyDescent="0.2">
      <c r="A698" s="324" t="s">
        <v>1183</v>
      </c>
      <c r="F698" s="104"/>
    </row>
    <row r="699" spans="1:6" x14ac:dyDescent="0.2">
      <c r="A699" s="353" t="s">
        <v>1343</v>
      </c>
      <c r="F699" s="104"/>
    </row>
    <row r="700" spans="1:6" x14ac:dyDescent="0.2">
      <c r="A700" s="353" t="s">
        <v>1083</v>
      </c>
      <c r="F700" s="104"/>
    </row>
    <row r="701" spans="1:6" x14ac:dyDescent="0.2">
      <c r="A701" s="353" t="s">
        <v>1159</v>
      </c>
      <c r="F701" s="104"/>
    </row>
    <row r="702" spans="1:6" x14ac:dyDescent="0.2">
      <c r="A702" s="353" t="s">
        <v>1344</v>
      </c>
      <c r="F702" s="104"/>
    </row>
    <row r="703" spans="1:6" x14ac:dyDescent="0.2">
      <c r="A703" s="353" t="s">
        <v>1345</v>
      </c>
      <c r="F703" s="104"/>
    </row>
    <row r="704" spans="1:6" x14ac:dyDescent="0.2">
      <c r="A704" s="353" t="s">
        <v>1353</v>
      </c>
      <c r="F704" s="104"/>
    </row>
    <row r="705" spans="1:6" x14ac:dyDescent="0.2">
      <c r="A705" s="353" t="s">
        <v>1346</v>
      </c>
      <c r="F705" s="104"/>
    </row>
    <row r="706" spans="1:6" x14ac:dyDescent="0.2">
      <c r="A706" s="353" t="s">
        <v>1347</v>
      </c>
      <c r="F706" s="104"/>
    </row>
    <row r="707" spans="1:6" x14ac:dyDescent="0.2">
      <c r="A707" s="353" t="s">
        <v>1348</v>
      </c>
      <c r="F707" s="104"/>
    </row>
    <row r="708" spans="1:6" x14ac:dyDescent="0.2">
      <c r="A708" s="324" t="s">
        <v>1349</v>
      </c>
      <c r="F708" s="104"/>
    </row>
    <row r="709" spans="1:6" x14ac:dyDescent="0.2">
      <c r="A709" s="324" t="s">
        <v>1350</v>
      </c>
      <c r="F709" s="104"/>
    </row>
    <row r="710" spans="1:6" x14ac:dyDescent="0.2">
      <c r="A710" s="353" t="s">
        <v>1351</v>
      </c>
      <c r="F710" s="104"/>
    </row>
    <row r="711" spans="1:6" x14ac:dyDescent="0.2">
      <c r="A711" s="353" t="s">
        <v>1352</v>
      </c>
      <c r="F711" s="104"/>
    </row>
    <row r="712" spans="1:6" x14ac:dyDescent="0.2">
      <c r="A712" s="324" t="s">
        <v>1354</v>
      </c>
      <c r="F712" s="104"/>
    </row>
    <row r="713" spans="1:6" x14ac:dyDescent="0.2">
      <c r="A713" s="353" t="s">
        <v>1355</v>
      </c>
      <c r="F713" s="104"/>
    </row>
    <row r="714" spans="1:6" x14ac:dyDescent="0.2">
      <c r="A714" s="353" t="s">
        <v>1329</v>
      </c>
      <c r="F714" s="104"/>
    </row>
    <row r="715" spans="1:6" x14ac:dyDescent="0.2">
      <c r="A715" s="328" t="s">
        <v>1191</v>
      </c>
      <c r="F715" s="104"/>
    </row>
    <row r="716" spans="1:6" x14ac:dyDescent="0.2">
      <c r="A716" s="324"/>
      <c r="F716" s="104"/>
    </row>
    <row r="717" spans="1:6" x14ac:dyDescent="0.2">
      <c r="A717" s="79" t="s">
        <v>71</v>
      </c>
      <c r="B717" s="69"/>
      <c r="F717" s="104"/>
    </row>
    <row r="718" spans="1:6" x14ac:dyDescent="0.2">
      <c r="A718" s="69" t="s">
        <v>74</v>
      </c>
      <c r="F718" s="104"/>
    </row>
    <row r="719" spans="1:6" x14ac:dyDescent="0.2">
      <c r="A719" s="69" t="s">
        <v>76</v>
      </c>
      <c r="F719" s="104"/>
    </row>
    <row r="720" spans="1:6" x14ac:dyDescent="0.2">
      <c r="A720" s="69" t="s">
        <v>79</v>
      </c>
      <c r="F720" s="104"/>
    </row>
    <row r="721" spans="1:6" x14ac:dyDescent="0.2">
      <c r="A721" s="69" t="s">
        <v>82</v>
      </c>
      <c r="F721" s="104"/>
    </row>
    <row r="722" spans="1:6" x14ac:dyDescent="0.2">
      <c r="A722" s="69" t="s">
        <v>196</v>
      </c>
      <c r="F722" s="104"/>
    </row>
    <row r="723" spans="1:6" x14ac:dyDescent="0.2">
      <c r="F723" s="104"/>
    </row>
    <row r="724" spans="1:6" x14ac:dyDescent="0.2">
      <c r="A724" s="79" t="s">
        <v>72</v>
      </c>
      <c r="F724" s="104"/>
    </row>
    <row r="725" spans="1:6" x14ac:dyDescent="0.2">
      <c r="A725" s="69" t="s">
        <v>197</v>
      </c>
      <c r="F725" s="104"/>
    </row>
    <row r="726" spans="1:6" x14ac:dyDescent="0.2">
      <c r="A726" s="69" t="s">
        <v>77</v>
      </c>
      <c r="F726" s="104"/>
    </row>
    <row r="727" spans="1:6" x14ac:dyDescent="0.2">
      <c r="A727" s="69" t="s">
        <v>80</v>
      </c>
      <c r="F727" s="104"/>
    </row>
    <row r="728" spans="1:6" x14ac:dyDescent="0.2">
      <c r="A728" s="69" t="s">
        <v>198</v>
      </c>
      <c r="F728" s="104"/>
    </row>
    <row r="729" spans="1:6" x14ac:dyDescent="0.2">
      <c r="A729" s="69" t="s">
        <v>83</v>
      </c>
      <c r="F729" s="104"/>
    </row>
    <row r="730" spans="1:6" x14ac:dyDescent="0.2">
      <c r="F730" s="104"/>
    </row>
    <row r="731" spans="1:6" x14ac:dyDescent="0.2">
      <c r="A731" s="79" t="s">
        <v>73</v>
      </c>
      <c r="F731" s="104"/>
    </row>
    <row r="732" spans="1:6" x14ac:dyDescent="0.2">
      <c r="A732" s="69" t="s">
        <v>75</v>
      </c>
      <c r="F732" s="104"/>
    </row>
    <row r="733" spans="1:6" x14ac:dyDescent="0.2">
      <c r="A733" s="69" t="s">
        <v>78</v>
      </c>
      <c r="F733" s="104"/>
    </row>
    <row r="734" spans="1:6" x14ac:dyDescent="0.2">
      <c r="A734" s="69" t="s">
        <v>81</v>
      </c>
      <c r="F734" s="104"/>
    </row>
    <row r="735" spans="1:6" x14ac:dyDescent="0.2">
      <c r="F735" s="104"/>
    </row>
    <row r="736" spans="1:6" x14ac:dyDescent="0.2">
      <c r="A736" s="79" t="s">
        <v>10</v>
      </c>
      <c r="F736" s="104"/>
    </row>
    <row r="737" spans="1:6" x14ac:dyDescent="0.2">
      <c r="A737" s="69" t="s">
        <v>13</v>
      </c>
      <c r="F737" s="104"/>
    </row>
    <row r="738" spans="1:6" x14ac:dyDescent="0.2">
      <c r="A738" s="69" t="s">
        <v>17</v>
      </c>
      <c r="F738" s="104"/>
    </row>
    <row r="739" spans="1:6" x14ac:dyDescent="0.2">
      <c r="A739" s="69" t="s">
        <v>11</v>
      </c>
      <c r="F739" s="104"/>
    </row>
    <row r="740" spans="1:6" x14ac:dyDescent="0.2">
      <c r="A740" s="69" t="s">
        <v>16</v>
      </c>
      <c r="F740" s="104"/>
    </row>
    <row r="741" spans="1:6" x14ac:dyDescent="0.2">
      <c r="A741" s="69" t="s">
        <v>14</v>
      </c>
      <c r="F741" s="104"/>
    </row>
    <row r="742" spans="1:6" x14ac:dyDescent="0.2">
      <c r="A742" s="69" t="s">
        <v>12</v>
      </c>
      <c r="F742" s="104"/>
    </row>
    <row r="743" spans="1:6" x14ac:dyDescent="0.2">
      <c r="A743" s="69" t="s">
        <v>2086</v>
      </c>
      <c r="F743" s="104"/>
    </row>
    <row r="744" spans="1:6" x14ac:dyDescent="0.2">
      <c r="A744" s="69" t="s">
        <v>15</v>
      </c>
      <c r="F744" s="104"/>
    </row>
    <row r="745" spans="1:6" x14ac:dyDescent="0.2">
      <c r="F745" s="104"/>
    </row>
    <row r="746" spans="1:6" x14ac:dyDescent="0.2">
      <c r="A746" s="82" t="s">
        <v>27</v>
      </c>
      <c r="F746" s="104"/>
    </row>
    <row r="747" spans="1:6" x14ac:dyDescent="0.2">
      <c r="A747" s="69" t="s">
        <v>13</v>
      </c>
      <c r="F747" s="104"/>
    </row>
    <row r="748" spans="1:6" x14ac:dyDescent="0.2">
      <c r="A748" s="69" t="s">
        <v>17</v>
      </c>
      <c r="F748" s="104"/>
    </row>
    <row r="749" spans="1:6" x14ac:dyDescent="0.2">
      <c r="A749" s="69" t="s">
        <v>11</v>
      </c>
      <c r="F749" s="104"/>
    </row>
    <row r="750" spans="1:6" x14ac:dyDescent="0.2">
      <c r="A750" s="69" t="s">
        <v>16</v>
      </c>
      <c r="F750" s="104"/>
    </row>
    <row r="751" spans="1:6" x14ac:dyDescent="0.2">
      <c r="A751" s="69" t="s">
        <v>14</v>
      </c>
      <c r="F751" s="104"/>
    </row>
    <row r="752" spans="1:6" x14ac:dyDescent="0.2">
      <c r="A752" s="69" t="s">
        <v>12</v>
      </c>
      <c r="F752" s="104"/>
    </row>
    <row r="753" spans="1:6" x14ac:dyDescent="0.2">
      <c r="A753" s="69" t="s">
        <v>2137</v>
      </c>
      <c r="F753" s="104"/>
    </row>
    <row r="754" spans="1:6" x14ac:dyDescent="0.2">
      <c r="A754" s="69" t="s">
        <v>2138</v>
      </c>
      <c r="F754" s="104"/>
    </row>
    <row r="755" spans="1:6" x14ac:dyDescent="0.2">
      <c r="A755" s="69" t="s">
        <v>2139</v>
      </c>
      <c r="F755" s="104"/>
    </row>
    <row r="756" spans="1:6" x14ac:dyDescent="0.2">
      <c r="A756" s="69" t="s">
        <v>2140</v>
      </c>
      <c r="F756" s="104"/>
    </row>
    <row r="757" spans="1:6" x14ac:dyDescent="0.2">
      <c r="A757" s="69" t="s">
        <v>15</v>
      </c>
      <c r="F757" s="104"/>
    </row>
    <row r="758" spans="1:6" x14ac:dyDescent="0.2">
      <c r="F758" s="104"/>
    </row>
    <row r="759" spans="1:6" x14ac:dyDescent="0.2">
      <c r="A759" s="79" t="s">
        <v>102</v>
      </c>
      <c r="F759" s="104"/>
    </row>
    <row r="760" spans="1:6" x14ac:dyDescent="0.2">
      <c r="A760" s="69" t="s">
        <v>100</v>
      </c>
      <c r="F760" s="104"/>
    </row>
    <row r="761" spans="1:6" x14ac:dyDescent="0.2">
      <c r="A761" s="69" t="s">
        <v>101</v>
      </c>
      <c r="F761" s="104"/>
    </row>
    <row r="762" spans="1:6" x14ac:dyDescent="0.2">
      <c r="A762" s="69" t="s">
        <v>103</v>
      </c>
      <c r="F762" s="104"/>
    </row>
    <row r="763" spans="1:6" x14ac:dyDescent="0.2">
      <c r="A763" s="69" t="s">
        <v>104</v>
      </c>
      <c r="F763" s="104"/>
    </row>
    <row r="764" spans="1:6" x14ac:dyDescent="0.2">
      <c r="A764" s="69" t="s">
        <v>152</v>
      </c>
      <c r="F764" s="104"/>
    </row>
    <row r="765" spans="1:6" x14ac:dyDescent="0.2">
      <c r="A765" s="69" t="s">
        <v>158</v>
      </c>
      <c r="F765" s="104"/>
    </row>
    <row r="766" spans="1:6" x14ac:dyDescent="0.2">
      <c r="A766" s="82" t="s">
        <v>105</v>
      </c>
      <c r="F766" s="104"/>
    </row>
    <row r="767" spans="1:6" x14ac:dyDescent="0.2">
      <c r="A767" s="69">
        <v>25</v>
      </c>
      <c r="F767" s="104"/>
    </row>
    <row r="768" spans="1:6" x14ac:dyDescent="0.2">
      <c r="A768" s="69">
        <v>50</v>
      </c>
      <c r="F768" s="104"/>
    </row>
    <row r="769" spans="1:6" x14ac:dyDescent="0.2">
      <c r="A769" s="69">
        <v>75</v>
      </c>
      <c r="F769" s="104"/>
    </row>
    <row r="770" spans="1:6" x14ac:dyDescent="0.2">
      <c r="A770" s="69">
        <v>100</v>
      </c>
      <c r="F770" s="104"/>
    </row>
    <row r="771" spans="1:6" x14ac:dyDescent="0.2">
      <c r="A771" s="69">
        <v>150</v>
      </c>
      <c r="F771" s="104"/>
    </row>
    <row r="772" spans="1:6" x14ac:dyDescent="0.2">
      <c r="A772" s="69">
        <v>200</v>
      </c>
      <c r="F772" s="104"/>
    </row>
    <row r="773" spans="1:6" x14ac:dyDescent="0.2">
      <c r="A773" s="69">
        <v>300</v>
      </c>
      <c r="F773" s="104"/>
    </row>
    <row r="774" spans="1:6" x14ac:dyDescent="0.2">
      <c r="A774" s="69">
        <v>400</v>
      </c>
      <c r="F774" s="104"/>
    </row>
    <row r="775" spans="1:6" x14ac:dyDescent="0.2">
      <c r="A775" s="69">
        <v>500</v>
      </c>
      <c r="F775" s="104"/>
    </row>
    <row r="776" spans="1:6" x14ac:dyDescent="0.2">
      <c r="A776" s="69">
        <v>600</v>
      </c>
      <c r="F776" s="104"/>
    </row>
    <row r="777" spans="1:6" x14ac:dyDescent="0.2">
      <c r="A777" s="69">
        <v>700</v>
      </c>
      <c r="F777" s="104"/>
    </row>
    <row r="778" spans="1:6" x14ac:dyDescent="0.2">
      <c r="A778" s="69">
        <v>800</v>
      </c>
      <c r="F778" s="104"/>
    </row>
    <row r="779" spans="1:6" x14ac:dyDescent="0.2">
      <c r="A779" s="69">
        <v>900</v>
      </c>
      <c r="F779" s="104"/>
    </row>
    <row r="780" spans="1:6" x14ac:dyDescent="0.2">
      <c r="A780" s="69">
        <v>1000</v>
      </c>
      <c r="F780" s="104"/>
    </row>
    <row r="781" spans="1:6" x14ac:dyDescent="0.2">
      <c r="A781" s="69">
        <v>1100</v>
      </c>
      <c r="F781" s="104"/>
    </row>
    <row r="782" spans="1:6" x14ac:dyDescent="0.2">
      <c r="A782" s="69">
        <v>1200</v>
      </c>
      <c r="F782" s="104"/>
    </row>
    <row r="783" spans="1:6" x14ac:dyDescent="0.2">
      <c r="A783" s="69">
        <v>1300</v>
      </c>
      <c r="F783" s="104"/>
    </row>
    <row r="784" spans="1:6" x14ac:dyDescent="0.2">
      <c r="A784" s="69">
        <v>1400</v>
      </c>
      <c r="F784" s="104"/>
    </row>
    <row r="785" spans="1:6" x14ac:dyDescent="0.2">
      <c r="A785" s="69">
        <v>1500</v>
      </c>
      <c r="F785" s="104"/>
    </row>
    <row r="786" spans="1:6" x14ac:dyDescent="0.2">
      <c r="A786" s="69" t="s">
        <v>106</v>
      </c>
      <c r="F786" s="104"/>
    </row>
    <row r="787" spans="1:6" x14ac:dyDescent="0.2">
      <c r="A787" s="69" t="s">
        <v>158</v>
      </c>
      <c r="F787" s="104"/>
    </row>
    <row r="788" spans="1:6" x14ac:dyDescent="0.2">
      <c r="F788" s="104"/>
    </row>
    <row r="789" spans="1:6" x14ac:dyDescent="0.2">
      <c r="A789" s="82" t="s">
        <v>858</v>
      </c>
      <c r="F789" s="104"/>
    </row>
    <row r="790" spans="1:6" x14ac:dyDescent="0.2">
      <c r="A790" s="69" t="s">
        <v>859</v>
      </c>
      <c r="F790" s="104"/>
    </row>
    <row r="791" spans="1:6" x14ac:dyDescent="0.2">
      <c r="A791" s="69" t="s">
        <v>860</v>
      </c>
      <c r="F791" s="104"/>
    </row>
    <row r="792" spans="1:6" x14ac:dyDescent="0.2">
      <c r="A792" s="69" t="s">
        <v>864</v>
      </c>
      <c r="B792" s="185"/>
      <c r="F792" s="104"/>
    </row>
    <row r="793" spans="1:6" x14ac:dyDescent="0.2">
      <c r="A793" s="69" t="s">
        <v>861</v>
      </c>
      <c r="F793" s="104"/>
    </row>
    <row r="794" spans="1:6" x14ac:dyDescent="0.2">
      <c r="A794" s="69" t="s">
        <v>862</v>
      </c>
      <c r="F794" s="104"/>
    </row>
    <row r="795" spans="1:6" x14ac:dyDescent="0.2">
      <c r="A795" s="69" t="s">
        <v>863</v>
      </c>
      <c r="F795" s="104"/>
    </row>
    <row r="796" spans="1:6" x14ac:dyDescent="0.2">
      <c r="B796" s="185"/>
      <c r="F796" s="104"/>
    </row>
    <row r="797" spans="1:6" x14ac:dyDescent="0.2">
      <c r="A797" s="299" t="s">
        <v>1103</v>
      </c>
      <c r="B797" s="185"/>
      <c r="F797" s="104"/>
    </row>
    <row r="798" spans="1:6" x14ac:dyDescent="0.2">
      <c r="A798" s="69" t="s">
        <v>1147</v>
      </c>
      <c r="B798" s="185"/>
      <c r="F798" s="104"/>
    </row>
    <row r="799" spans="1:6" x14ac:dyDescent="0.2">
      <c r="A799" s="320" t="s">
        <v>1146</v>
      </c>
      <c r="B799" s="185"/>
      <c r="F799" s="104"/>
    </row>
    <row r="800" spans="1:6" x14ac:dyDescent="0.2">
      <c r="A800" s="69" t="s">
        <v>1105</v>
      </c>
      <c r="B800" s="185"/>
      <c r="F800" s="104"/>
    </row>
    <row r="801" spans="1:6" x14ac:dyDescent="0.2">
      <c r="A801" s="69" t="s">
        <v>1106</v>
      </c>
      <c r="B801" s="185"/>
      <c r="F801" s="104"/>
    </row>
    <row r="802" spans="1:6" x14ac:dyDescent="0.2">
      <c r="A802" s="69" t="s">
        <v>1107</v>
      </c>
      <c r="B802" s="185"/>
      <c r="F802" s="104"/>
    </row>
    <row r="803" spans="1:6" x14ac:dyDescent="0.2">
      <c r="A803" s="69" t="s">
        <v>1108</v>
      </c>
      <c r="B803" s="185"/>
      <c r="F803" s="104"/>
    </row>
    <row r="804" spans="1:6" x14ac:dyDescent="0.2">
      <c r="A804" s="69" t="s">
        <v>1109</v>
      </c>
      <c r="B804" s="185"/>
      <c r="F804" s="104"/>
    </row>
    <row r="805" spans="1:6" x14ac:dyDescent="0.2">
      <c r="A805" s="69" t="s">
        <v>1110</v>
      </c>
      <c r="F805" s="104"/>
    </row>
    <row r="806" spans="1:6" x14ac:dyDescent="0.2">
      <c r="A806" s="69" t="s">
        <v>1111</v>
      </c>
      <c r="F806" s="104"/>
    </row>
    <row r="807" spans="1:6" x14ac:dyDescent="0.2">
      <c r="A807" s="69" t="s">
        <v>1112</v>
      </c>
      <c r="F807" s="104"/>
    </row>
    <row r="808" spans="1:6" x14ac:dyDescent="0.2">
      <c r="A808" s="69" t="s">
        <v>158</v>
      </c>
      <c r="F808" s="104"/>
    </row>
    <row r="809" spans="1:6" x14ac:dyDescent="0.2">
      <c r="A809" s="351" t="s">
        <v>308</v>
      </c>
      <c r="F809" s="104"/>
    </row>
    <row r="810" spans="1:6" x14ac:dyDescent="0.2">
      <c r="A810" s="106" t="s">
        <v>1269</v>
      </c>
      <c r="F810" s="104"/>
    </row>
    <row r="811" spans="1:6" x14ac:dyDescent="0.2">
      <c r="A811" s="106" t="s">
        <v>1270</v>
      </c>
      <c r="F811" s="104"/>
    </row>
    <row r="812" spans="1:6" x14ac:dyDescent="0.2">
      <c r="A812" s="106" t="s">
        <v>1271</v>
      </c>
      <c r="F812" s="104"/>
    </row>
    <row r="813" spans="1:6" x14ac:dyDescent="0.2">
      <c r="A813" s="106" t="s">
        <v>1272</v>
      </c>
      <c r="F813" s="104"/>
    </row>
    <row r="814" spans="1:6" x14ac:dyDescent="0.2">
      <c r="A814" s="106" t="s">
        <v>1273</v>
      </c>
      <c r="F814" s="104"/>
    </row>
    <row r="815" spans="1:6" x14ac:dyDescent="0.2">
      <c r="A815" s="106" t="s">
        <v>1274</v>
      </c>
      <c r="F815" s="104"/>
    </row>
    <row r="816" spans="1:6" x14ac:dyDescent="0.2">
      <c r="A816" s="106" t="s">
        <v>1275</v>
      </c>
      <c r="F816" s="104"/>
    </row>
    <row r="817" spans="1:6" x14ac:dyDescent="0.2">
      <c r="A817" s="106" t="s">
        <v>1276</v>
      </c>
      <c r="F817" s="104"/>
    </row>
    <row r="818" spans="1:6" x14ac:dyDescent="0.2">
      <c r="A818" s="106" t="s">
        <v>1277</v>
      </c>
      <c r="F818" s="104"/>
    </row>
    <row r="819" spans="1:6" x14ac:dyDescent="0.2">
      <c r="A819" s="106" t="s">
        <v>1278</v>
      </c>
      <c r="F819" s="104"/>
    </row>
    <row r="820" spans="1:6" x14ac:dyDescent="0.2">
      <c r="A820" s="106" t="s">
        <v>1279</v>
      </c>
      <c r="F820" s="104"/>
    </row>
    <row r="821" spans="1:6" x14ac:dyDescent="0.2">
      <c r="A821" s="106" t="s">
        <v>1282</v>
      </c>
      <c r="F821" s="104"/>
    </row>
    <row r="822" spans="1:6" x14ac:dyDescent="0.2">
      <c r="A822" s="106" t="s">
        <v>1280</v>
      </c>
      <c r="F822" s="104"/>
    </row>
    <row r="823" spans="1:6" x14ac:dyDescent="0.2">
      <c r="A823" s="106" t="s">
        <v>1281</v>
      </c>
      <c r="F823" s="104"/>
    </row>
    <row r="824" spans="1:6" x14ac:dyDescent="0.2">
      <c r="A824" s="106" t="s">
        <v>1283</v>
      </c>
      <c r="F824" s="104"/>
    </row>
    <row r="825" spans="1:6" x14ac:dyDescent="0.2">
      <c r="A825" s="106"/>
      <c r="F825" s="104"/>
    </row>
    <row r="826" spans="1:6" x14ac:dyDescent="0.2">
      <c r="A826" s="106"/>
      <c r="F826" s="104"/>
    </row>
    <row r="827" spans="1:6" x14ac:dyDescent="0.2">
      <c r="A827" s="106"/>
      <c r="F827" s="104"/>
    </row>
    <row r="828" spans="1:6" x14ac:dyDescent="0.2">
      <c r="A828" s="136" t="s">
        <v>134</v>
      </c>
    </row>
    <row r="829" spans="1:6" x14ac:dyDescent="0.2">
      <c r="A829" s="104">
        <v>1.4</v>
      </c>
      <c r="B829" s="136" t="s">
        <v>133</v>
      </c>
      <c r="C829" s="135"/>
    </row>
    <row r="830" spans="1:6" x14ac:dyDescent="0.2">
      <c r="A830" s="104">
        <v>1.5</v>
      </c>
      <c r="B830" s="135">
        <v>1.41</v>
      </c>
      <c r="C830" s="135"/>
    </row>
    <row r="831" spans="1:6" x14ac:dyDescent="0.2">
      <c r="A831" s="104">
        <v>1.6</v>
      </c>
      <c r="B831" s="135">
        <v>1.42</v>
      </c>
      <c r="C831" s="135"/>
    </row>
    <row r="832" spans="1:6" x14ac:dyDescent="0.2">
      <c r="A832" s="104">
        <v>1.7</v>
      </c>
      <c r="B832" s="135">
        <v>1.43</v>
      </c>
      <c r="C832" s="135"/>
    </row>
    <row r="833" spans="1:3" x14ac:dyDescent="0.2">
      <c r="A833" s="104">
        <v>1.8</v>
      </c>
      <c r="B833" s="135">
        <v>1.44</v>
      </c>
      <c r="C833" s="135"/>
    </row>
    <row r="834" spans="1:3" x14ac:dyDescent="0.2">
      <c r="A834" s="104">
        <v>1.9</v>
      </c>
      <c r="B834" s="135">
        <v>1.45</v>
      </c>
      <c r="C834" s="135"/>
    </row>
    <row r="835" spans="1:3" x14ac:dyDescent="0.2">
      <c r="A835" s="104">
        <v>2</v>
      </c>
      <c r="B835" s="135">
        <v>1.46</v>
      </c>
      <c r="C835" s="135"/>
    </row>
    <row r="836" spans="1:3" x14ac:dyDescent="0.2">
      <c r="A836" s="104">
        <v>2.1</v>
      </c>
      <c r="B836" s="135">
        <v>1.47</v>
      </c>
      <c r="C836" s="135"/>
    </row>
    <row r="837" spans="1:3" x14ac:dyDescent="0.2">
      <c r="A837" s="104">
        <v>2.2000000000000002</v>
      </c>
      <c r="B837" s="135">
        <v>1.48</v>
      </c>
      <c r="C837" s="135"/>
    </row>
    <row r="838" spans="1:3" x14ac:dyDescent="0.2">
      <c r="A838" s="104">
        <v>2.2999999999999998</v>
      </c>
      <c r="B838" s="135">
        <v>1.49</v>
      </c>
      <c r="C838" s="135"/>
    </row>
    <row r="839" spans="1:3" x14ac:dyDescent="0.2">
      <c r="A839" s="104">
        <v>2.4</v>
      </c>
      <c r="B839" s="135">
        <v>1.5</v>
      </c>
      <c r="C839" s="135"/>
    </row>
    <row r="840" spans="1:3" x14ac:dyDescent="0.2">
      <c r="A840" s="104">
        <v>2.5</v>
      </c>
      <c r="B840" s="135">
        <v>1.51</v>
      </c>
      <c r="C840" s="135"/>
    </row>
    <row r="841" spans="1:3" x14ac:dyDescent="0.2">
      <c r="A841" s="104">
        <v>2.6</v>
      </c>
      <c r="B841" s="135">
        <v>1.52</v>
      </c>
      <c r="C841" s="135"/>
    </row>
    <row r="842" spans="1:3" x14ac:dyDescent="0.2">
      <c r="A842" s="104">
        <v>2.7</v>
      </c>
      <c r="B842" s="135">
        <v>1.53</v>
      </c>
      <c r="C842" s="135"/>
    </row>
    <row r="843" spans="1:3" x14ac:dyDescent="0.2">
      <c r="A843" s="104">
        <v>2.8</v>
      </c>
      <c r="B843" s="135">
        <v>1.54</v>
      </c>
      <c r="C843" s="135"/>
    </row>
    <row r="844" spans="1:3" x14ac:dyDescent="0.2">
      <c r="A844" s="104">
        <v>2.9</v>
      </c>
      <c r="B844" s="135">
        <v>1.55</v>
      </c>
      <c r="C844" s="135"/>
    </row>
    <row r="845" spans="1:3" x14ac:dyDescent="0.2">
      <c r="A845" s="104">
        <v>3</v>
      </c>
      <c r="B845" s="135">
        <v>1.56</v>
      </c>
      <c r="C845" s="135"/>
    </row>
    <row r="846" spans="1:3" x14ac:dyDescent="0.2">
      <c r="A846" s="104">
        <v>3.1</v>
      </c>
      <c r="B846" s="135">
        <v>1.57</v>
      </c>
      <c r="C846" s="135"/>
    </row>
    <row r="847" spans="1:3" x14ac:dyDescent="0.2">
      <c r="A847" s="104">
        <v>3.2</v>
      </c>
      <c r="B847" s="135">
        <v>1.58</v>
      </c>
      <c r="C847" s="135"/>
    </row>
    <row r="848" spans="1:3" x14ac:dyDescent="0.2">
      <c r="A848" s="104">
        <v>3.3</v>
      </c>
      <c r="B848" s="135">
        <v>1.59</v>
      </c>
      <c r="C848" s="135"/>
    </row>
    <row r="849" spans="1:3" x14ac:dyDescent="0.2">
      <c r="A849" s="104">
        <v>3.4</v>
      </c>
      <c r="B849" s="135">
        <v>1.6</v>
      </c>
      <c r="C849" s="135"/>
    </row>
    <row r="850" spans="1:3" x14ac:dyDescent="0.2">
      <c r="A850" s="104">
        <v>3.5</v>
      </c>
      <c r="B850" s="135">
        <v>1.61</v>
      </c>
      <c r="C850" s="135"/>
    </row>
    <row r="851" spans="1:3" x14ac:dyDescent="0.2">
      <c r="A851" s="104">
        <v>3.6</v>
      </c>
      <c r="B851" s="135">
        <v>1.62</v>
      </c>
      <c r="C851" s="135"/>
    </row>
    <row r="852" spans="1:3" x14ac:dyDescent="0.2">
      <c r="A852" s="104">
        <v>3.7</v>
      </c>
      <c r="B852" s="135">
        <v>1.63</v>
      </c>
      <c r="C852" s="135"/>
    </row>
    <row r="853" spans="1:3" x14ac:dyDescent="0.2">
      <c r="A853" s="104">
        <v>3.8</v>
      </c>
      <c r="B853" s="135">
        <v>1.64</v>
      </c>
      <c r="C853" s="135"/>
    </row>
    <row r="854" spans="1:3" x14ac:dyDescent="0.2">
      <c r="A854" s="104">
        <v>3.9</v>
      </c>
      <c r="B854" s="135">
        <v>1.65</v>
      </c>
      <c r="C854" s="135"/>
    </row>
    <row r="855" spans="1:3" x14ac:dyDescent="0.2">
      <c r="A855" s="104">
        <v>4</v>
      </c>
      <c r="B855" s="135">
        <v>1.66</v>
      </c>
      <c r="C855" s="135"/>
    </row>
    <row r="856" spans="1:3" x14ac:dyDescent="0.2">
      <c r="A856" s="104">
        <v>4.0999999999999996</v>
      </c>
      <c r="B856" s="135">
        <v>1.67</v>
      </c>
      <c r="C856" s="135"/>
    </row>
    <row r="857" spans="1:3" x14ac:dyDescent="0.2">
      <c r="A857" s="104">
        <v>4.2</v>
      </c>
      <c r="B857" s="135">
        <v>1.68</v>
      </c>
      <c r="C857" s="135"/>
    </row>
    <row r="858" spans="1:3" x14ac:dyDescent="0.2">
      <c r="A858" s="104">
        <v>4.3</v>
      </c>
      <c r="B858" s="135">
        <v>1.69</v>
      </c>
      <c r="C858" s="135"/>
    </row>
    <row r="859" spans="1:3" x14ac:dyDescent="0.2">
      <c r="A859" s="104">
        <v>4.4000000000000004</v>
      </c>
      <c r="B859" s="135">
        <v>1.7</v>
      </c>
      <c r="C859" s="135"/>
    </row>
    <row r="860" spans="1:3" x14ac:dyDescent="0.2">
      <c r="A860" s="104">
        <v>4.5</v>
      </c>
      <c r="B860" s="135">
        <v>1.71</v>
      </c>
      <c r="C860" s="135"/>
    </row>
    <row r="861" spans="1:3" x14ac:dyDescent="0.2">
      <c r="A861" s="104">
        <v>4.5999999999999996</v>
      </c>
      <c r="B861" s="135">
        <v>1.72</v>
      </c>
      <c r="C861" s="135"/>
    </row>
    <row r="862" spans="1:3" x14ac:dyDescent="0.2">
      <c r="A862" s="104">
        <v>4.7</v>
      </c>
      <c r="B862" s="135">
        <v>1.73</v>
      </c>
      <c r="C862" s="135"/>
    </row>
    <row r="863" spans="1:3" x14ac:dyDescent="0.2">
      <c r="A863" s="104">
        <v>4.8</v>
      </c>
      <c r="B863" s="135">
        <v>1.74</v>
      </c>
      <c r="C863" s="135"/>
    </row>
    <row r="864" spans="1:3" x14ac:dyDescent="0.2">
      <c r="A864" s="104">
        <v>4.9000000000000004</v>
      </c>
      <c r="B864" s="135">
        <v>1.75</v>
      </c>
      <c r="C864" s="135"/>
    </row>
    <row r="865" spans="1:3" x14ac:dyDescent="0.2">
      <c r="A865" s="104">
        <v>5</v>
      </c>
      <c r="B865" s="135">
        <v>1.76</v>
      </c>
      <c r="C865" s="135"/>
    </row>
    <row r="866" spans="1:3" x14ac:dyDescent="0.2">
      <c r="A866" s="104">
        <v>5.0999999999999996</v>
      </c>
      <c r="B866" s="135">
        <v>1.77</v>
      </c>
      <c r="C866" s="135"/>
    </row>
    <row r="867" spans="1:3" x14ac:dyDescent="0.2">
      <c r="A867" s="104">
        <v>5.2</v>
      </c>
      <c r="B867" s="135">
        <v>1.78</v>
      </c>
      <c r="C867" s="135"/>
    </row>
    <row r="868" spans="1:3" x14ac:dyDescent="0.2">
      <c r="A868" s="104">
        <v>5.3</v>
      </c>
      <c r="B868" s="135">
        <v>1.79</v>
      </c>
      <c r="C868" s="135"/>
    </row>
    <row r="869" spans="1:3" x14ac:dyDescent="0.2">
      <c r="A869" s="104">
        <v>5.4</v>
      </c>
      <c r="B869" s="135">
        <v>1.8</v>
      </c>
      <c r="C869" s="135"/>
    </row>
    <row r="870" spans="1:3" x14ac:dyDescent="0.2">
      <c r="A870" s="104">
        <v>5.5</v>
      </c>
      <c r="B870" s="135">
        <v>1.81</v>
      </c>
      <c r="C870" s="135"/>
    </row>
    <row r="871" spans="1:3" x14ac:dyDescent="0.2">
      <c r="A871" s="104">
        <v>5.6</v>
      </c>
      <c r="B871" s="135">
        <v>1.82</v>
      </c>
      <c r="C871" s="135"/>
    </row>
    <row r="872" spans="1:3" x14ac:dyDescent="0.2">
      <c r="A872" s="104">
        <v>5.7</v>
      </c>
      <c r="B872" s="135">
        <v>1.83</v>
      </c>
      <c r="C872" s="135"/>
    </row>
    <row r="873" spans="1:3" x14ac:dyDescent="0.2">
      <c r="A873" s="104">
        <v>5.8</v>
      </c>
      <c r="B873" s="135">
        <v>1.84</v>
      </c>
      <c r="C873" s="135"/>
    </row>
    <row r="874" spans="1:3" x14ac:dyDescent="0.2">
      <c r="A874" s="104">
        <v>5.9</v>
      </c>
      <c r="B874" s="135">
        <v>1.85</v>
      </c>
      <c r="C874" s="135"/>
    </row>
    <row r="875" spans="1:3" x14ac:dyDescent="0.2">
      <c r="A875" s="104">
        <v>6</v>
      </c>
      <c r="B875" s="135">
        <v>1.86</v>
      </c>
      <c r="C875" s="135"/>
    </row>
    <row r="876" spans="1:3" x14ac:dyDescent="0.2">
      <c r="A876" s="104">
        <v>6.1</v>
      </c>
      <c r="B876" s="135">
        <v>1.87</v>
      </c>
      <c r="C876" s="135"/>
    </row>
    <row r="877" spans="1:3" x14ac:dyDescent="0.2">
      <c r="A877" s="104">
        <v>6.2</v>
      </c>
      <c r="B877" s="135">
        <v>1.88</v>
      </c>
      <c r="C877" s="135"/>
    </row>
    <row r="878" spans="1:3" x14ac:dyDescent="0.2">
      <c r="A878" s="104">
        <v>6.3</v>
      </c>
      <c r="B878" s="135">
        <v>1.89</v>
      </c>
      <c r="C878" s="135"/>
    </row>
    <row r="879" spans="1:3" x14ac:dyDescent="0.2">
      <c r="A879" s="104">
        <v>6.4</v>
      </c>
      <c r="B879" s="135">
        <v>1.9</v>
      </c>
      <c r="C879" s="135"/>
    </row>
    <row r="880" spans="1:3" x14ac:dyDescent="0.2">
      <c r="A880" s="104">
        <v>6.5</v>
      </c>
      <c r="B880" s="135">
        <v>1.91</v>
      </c>
      <c r="C880" s="135"/>
    </row>
    <row r="881" spans="1:3" x14ac:dyDescent="0.2">
      <c r="A881" s="104">
        <v>6.6</v>
      </c>
      <c r="B881" s="135">
        <v>1.92</v>
      </c>
      <c r="C881" s="135"/>
    </row>
    <row r="882" spans="1:3" x14ac:dyDescent="0.2">
      <c r="A882" s="104">
        <v>6.7</v>
      </c>
      <c r="B882" s="135">
        <v>1.93</v>
      </c>
      <c r="C882" s="135"/>
    </row>
    <row r="883" spans="1:3" x14ac:dyDescent="0.2">
      <c r="A883" s="104">
        <v>6.8</v>
      </c>
      <c r="B883" s="135">
        <v>1.94</v>
      </c>
      <c r="C883" s="135"/>
    </row>
    <row r="884" spans="1:3" x14ac:dyDescent="0.2">
      <c r="A884" s="104">
        <v>6.9</v>
      </c>
      <c r="B884" s="135">
        <v>1.95</v>
      </c>
      <c r="C884" s="135"/>
    </row>
    <row r="885" spans="1:3" x14ac:dyDescent="0.2">
      <c r="A885" s="104">
        <v>7</v>
      </c>
      <c r="B885" s="135">
        <v>1.96</v>
      </c>
      <c r="C885" s="135"/>
    </row>
    <row r="886" spans="1:3" x14ac:dyDescent="0.2">
      <c r="A886" s="104">
        <v>7.1</v>
      </c>
      <c r="B886" s="135">
        <v>1.97</v>
      </c>
      <c r="C886" s="135"/>
    </row>
    <row r="887" spans="1:3" x14ac:dyDescent="0.2">
      <c r="A887" s="104">
        <v>7.2</v>
      </c>
      <c r="B887" s="135">
        <v>1.98</v>
      </c>
      <c r="C887" s="135"/>
    </row>
    <row r="888" spans="1:3" x14ac:dyDescent="0.2">
      <c r="A888" s="104">
        <v>7.3</v>
      </c>
      <c r="B888" s="135">
        <v>1.99</v>
      </c>
      <c r="C888" s="135"/>
    </row>
    <row r="889" spans="1:3" x14ac:dyDescent="0.2">
      <c r="A889" s="104">
        <v>7.4</v>
      </c>
      <c r="B889" s="135">
        <v>2</v>
      </c>
      <c r="C889" s="135"/>
    </row>
    <row r="890" spans="1:3" x14ac:dyDescent="0.2">
      <c r="A890" s="104">
        <v>7.5</v>
      </c>
      <c r="B890" s="135">
        <v>2.0099999999999998</v>
      </c>
      <c r="C890" s="135"/>
    </row>
    <row r="891" spans="1:3" x14ac:dyDescent="0.2">
      <c r="A891" s="104">
        <v>7.6</v>
      </c>
      <c r="B891" s="135">
        <v>2.02</v>
      </c>
      <c r="C891" s="135"/>
    </row>
    <row r="892" spans="1:3" x14ac:dyDescent="0.2">
      <c r="A892" s="104">
        <v>7.7</v>
      </c>
      <c r="B892" s="135">
        <v>2.0299999999999998</v>
      </c>
      <c r="C892" s="135"/>
    </row>
    <row r="893" spans="1:3" x14ac:dyDescent="0.2">
      <c r="A893" s="104">
        <v>7.8</v>
      </c>
      <c r="B893" s="135">
        <v>2.04</v>
      </c>
      <c r="C893" s="135"/>
    </row>
    <row r="894" spans="1:3" x14ac:dyDescent="0.2">
      <c r="A894" s="104">
        <v>7.9</v>
      </c>
      <c r="B894" s="135">
        <v>2.0499999999999998</v>
      </c>
      <c r="C894" s="135"/>
    </row>
    <row r="895" spans="1:3" x14ac:dyDescent="0.2">
      <c r="A895" s="104">
        <v>8</v>
      </c>
      <c r="B895" s="135">
        <v>2.06</v>
      </c>
      <c r="C895" s="135"/>
    </row>
    <row r="896" spans="1:3" x14ac:dyDescent="0.2">
      <c r="A896" s="104">
        <v>8.1</v>
      </c>
      <c r="B896" s="135">
        <v>2.0699999999999998</v>
      </c>
      <c r="C896" s="135"/>
    </row>
    <row r="897" spans="1:3" x14ac:dyDescent="0.2">
      <c r="A897" s="104">
        <v>8.1999999999999993</v>
      </c>
      <c r="B897" s="135">
        <v>2.08</v>
      </c>
      <c r="C897" s="135"/>
    </row>
    <row r="898" spans="1:3" x14ac:dyDescent="0.2">
      <c r="A898" s="104">
        <v>8.3000000000000007</v>
      </c>
      <c r="B898" s="135">
        <v>2.09</v>
      </c>
      <c r="C898" s="135"/>
    </row>
    <row r="899" spans="1:3" x14ac:dyDescent="0.2">
      <c r="A899" s="104">
        <v>8.4</v>
      </c>
      <c r="B899" s="135">
        <v>2.1</v>
      </c>
      <c r="C899" s="135"/>
    </row>
    <row r="900" spans="1:3" x14ac:dyDescent="0.2">
      <c r="A900" s="104">
        <v>8.5</v>
      </c>
      <c r="B900" s="135">
        <v>2.11</v>
      </c>
      <c r="C900" s="135"/>
    </row>
    <row r="901" spans="1:3" x14ac:dyDescent="0.2">
      <c r="A901" s="104">
        <v>8.6</v>
      </c>
      <c r="B901" s="135">
        <v>2.12</v>
      </c>
      <c r="C901" s="135"/>
    </row>
    <row r="902" spans="1:3" x14ac:dyDescent="0.2">
      <c r="A902" s="104">
        <v>8.6999999999999993</v>
      </c>
      <c r="B902" s="135">
        <v>2.13</v>
      </c>
      <c r="C902" s="135"/>
    </row>
    <row r="903" spans="1:3" x14ac:dyDescent="0.2">
      <c r="A903" s="104">
        <v>8.8000000000000007</v>
      </c>
      <c r="B903" s="135">
        <v>2.14</v>
      </c>
      <c r="C903" s="135"/>
    </row>
    <row r="904" spans="1:3" x14ac:dyDescent="0.2">
      <c r="A904" s="104">
        <v>8.9</v>
      </c>
      <c r="B904" s="135">
        <v>2.15</v>
      </c>
      <c r="C904" s="135"/>
    </row>
    <row r="905" spans="1:3" x14ac:dyDescent="0.2">
      <c r="A905" s="104">
        <v>9</v>
      </c>
      <c r="B905" s="135">
        <v>2.16</v>
      </c>
      <c r="C905" s="135"/>
    </row>
    <row r="906" spans="1:3" x14ac:dyDescent="0.2">
      <c r="A906" s="104">
        <v>9.1</v>
      </c>
      <c r="B906" s="135">
        <v>2.17</v>
      </c>
      <c r="C906" s="135"/>
    </row>
    <row r="907" spans="1:3" x14ac:dyDescent="0.2">
      <c r="A907" s="104">
        <v>9.1999999999999993</v>
      </c>
      <c r="B907" s="135">
        <v>2.1800000000000002</v>
      </c>
      <c r="C907" s="135"/>
    </row>
    <row r="908" spans="1:3" x14ac:dyDescent="0.2">
      <c r="A908" s="104">
        <v>9.3000000000000007</v>
      </c>
      <c r="B908" s="135">
        <v>2.19</v>
      </c>
      <c r="C908" s="135"/>
    </row>
    <row r="909" spans="1:3" x14ac:dyDescent="0.2">
      <c r="A909" s="104">
        <v>9.4</v>
      </c>
      <c r="B909" s="135">
        <v>2.2000000000000002</v>
      </c>
      <c r="C909" s="135"/>
    </row>
    <row r="910" spans="1:3" x14ac:dyDescent="0.2">
      <c r="A910" s="104">
        <v>9.5</v>
      </c>
      <c r="B910" s="135">
        <v>2.21</v>
      </c>
      <c r="C910" s="135"/>
    </row>
    <row r="911" spans="1:3" x14ac:dyDescent="0.2">
      <c r="A911" s="104">
        <v>9.6</v>
      </c>
      <c r="B911" s="135">
        <v>2.2200000000000002</v>
      </c>
      <c r="C911" s="135"/>
    </row>
    <row r="912" spans="1:3" x14ac:dyDescent="0.2">
      <c r="A912" s="104">
        <v>9.6999999999999993</v>
      </c>
      <c r="B912" s="135">
        <v>2.23</v>
      </c>
      <c r="C912" s="135"/>
    </row>
    <row r="913" spans="1:3" x14ac:dyDescent="0.2">
      <c r="A913" s="104">
        <v>9.8000000000000007</v>
      </c>
      <c r="B913" s="135">
        <v>2.2400000000000002</v>
      </c>
      <c r="C913" s="135"/>
    </row>
    <row r="914" spans="1:3" x14ac:dyDescent="0.2">
      <c r="A914" s="104">
        <v>9.9</v>
      </c>
      <c r="B914" s="135">
        <v>2.25</v>
      </c>
      <c r="C914" s="135"/>
    </row>
    <row r="915" spans="1:3" x14ac:dyDescent="0.2">
      <c r="A915" s="104">
        <v>10</v>
      </c>
      <c r="B915" s="135">
        <v>2.2599999999999998</v>
      </c>
      <c r="C915" s="135"/>
    </row>
    <row r="916" spans="1:3" x14ac:dyDescent="0.2">
      <c r="A916" s="104">
        <v>10.1</v>
      </c>
      <c r="B916" s="135">
        <v>2.27</v>
      </c>
      <c r="C916" s="135"/>
    </row>
    <row r="917" spans="1:3" x14ac:dyDescent="0.2">
      <c r="A917" s="104">
        <v>10.199999999999999</v>
      </c>
      <c r="B917" s="135">
        <v>2.2799999999999998</v>
      </c>
      <c r="C917" s="135"/>
    </row>
    <row r="918" spans="1:3" x14ac:dyDescent="0.2">
      <c r="A918" s="104">
        <v>10.3</v>
      </c>
      <c r="B918" s="135">
        <v>2.29</v>
      </c>
      <c r="C918" s="135"/>
    </row>
    <row r="919" spans="1:3" x14ac:dyDescent="0.2">
      <c r="A919" s="104">
        <v>10.4</v>
      </c>
      <c r="B919" s="135">
        <v>2.2999999999999998</v>
      </c>
      <c r="C919" s="135"/>
    </row>
    <row r="920" spans="1:3" x14ac:dyDescent="0.2">
      <c r="A920" s="104">
        <v>10.5</v>
      </c>
      <c r="B920" s="135">
        <v>2.31</v>
      </c>
      <c r="C920" s="135"/>
    </row>
    <row r="921" spans="1:3" x14ac:dyDescent="0.2">
      <c r="A921" s="104">
        <v>10.6</v>
      </c>
      <c r="B921" s="135">
        <v>2.3199999999999998</v>
      </c>
      <c r="C921" s="135"/>
    </row>
    <row r="922" spans="1:3" x14ac:dyDescent="0.2">
      <c r="A922" s="104">
        <v>10.7</v>
      </c>
      <c r="B922" s="135">
        <v>2.33</v>
      </c>
      <c r="C922" s="135"/>
    </row>
    <row r="923" spans="1:3" x14ac:dyDescent="0.2">
      <c r="A923" s="104">
        <v>10.8</v>
      </c>
      <c r="B923" s="135">
        <v>2.34</v>
      </c>
      <c r="C923" s="135"/>
    </row>
    <row r="924" spans="1:3" x14ac:dyDescent="0.2">
      <c r="A924" s="104">
        <v>10.9</v>
      </c>
      <c r="B924" s="135">
        <v>2.35</v>
      </c>
      <c r="C924" s="135"/>
    </row>
    <row r="925" spans="1:3" x14ac:dyDescent="0.2">
      <c r="A925" s="104">
        <v>11</v>
      </c>
      <c r="B925" s="135">
        <v>2.36</v>
      </c>
      <c r="C925" s="135"/>
    </row>
    <row r="926" spans="1:3" x14ac:dyDescent="0.2">
      <c r="A926" s="104">
        <v>11.1</v>
      </c>
      <c r="B926" s="135">
        <v>2.37</v>
      </c>
      <c r="C926" s="135"/>
    </row>
    <row r="927" spans="1:3" x14ac:dyDescent="0.2">
      <c r="A927" s="104">
        <v>11.2</v>
      </c>
      <c r="B927" s="135">
        <v>2.38</v>
      </c>
      <c r="C927" s="135"/>
    </row>
    <row r="928" spans="1:3" x14ac:dyDescent="0.2">
      <c r="A928" s="104">
        <v>11.3</v>
      </c>
      <c r="B928" s="135">
        <v>2.39</v>
      </c>
      <c r="C928" s="135"/>
    </row>
    <row r="929" spans="1:3" x14ac:dyDescent="0.2">
      <c r="A929" s="104">
        <v>11.4</v>
      </c>
      <c r="B929" s="135">
        <v>2.4</v>
      </c>
      <c r="C929" s="135"/>
    </row>
    <row r="930" spans="1:3" x14ac:dyDescent="0.2">
      <c r="A930" s="104">
        <v>11.5</v>
      </c>
      <c r="B930" s="135">
        <v>2.41</v>
      </c>
      <c r="C930" s="135"/>
    </row>
    <row r="931" spans="1:3" x14ac:dyDescent="0.2">
      <c r="A931" s="104">
        <v>11.6</v>
      </c>
      <c r="B931" s="135">
        <v>2.42</v>
      </c>
      <c r="C931" s="135"/>
    </row>
    <row r="932" spans="1:3" x14ac:dyDescent="0.2">
      <c r="A932" s="104">
        <v>11.7</v>
      </c>
      <c r="B932" s="135">
        <v>2.4300000000000002</v>
      </c>
      <c r="C932" s="135"/>
    </row>
    <row r="933" spans="1:3" x14ac:dyDescent="0.2">
      <c r="A933" s="104">
        <v>11.8</v>
      </c>
      <c r="B933" s="135">
        <v>2.44</v>
      </c>
      <c r="C933" s="135"/>
    </row>
    <row r="934" spans="1:3" x14ac:dyDescent="0.2">
      <c r="A934" s="104">
        <v>11.9</v>
      </c>
      <c r="B934" s="135">
        <v>2.4500000000000002</v>
      </c>
      <c r="C934" s="135"/>
    </row>
    <row r="935" spans="1:3" x14ac:dyDescent="0.2">
      <c r="A935" s="104">
        <v>12</v>
      </c>
      <c r="B935" s="135">
        <v>2.46</v>
      </c>
      <c r="C935" s="135"/>
    </row>
    <row r="936" spans="1:3" x14ac:dyDescent="0.2">
      <c r="A936" s="104">
        <v>12.1</v>
      </c>
      <c r="B936" s="135">
        <v>2.4700000000000002</v>
      </c>
      <c r="C936" s="135"/>
    </row>
    <row r="937" spans="1:3" x14ac:dyDescent="0.2">
      <c r="A937" s="104">
        <v>12.2</v>
      </c>
      <c r="B937" s="135">
        <v>2.48</v>
      </c>
      <c r="C937" s="135"/>
    </row>
    <row r="938" spans="1:3" x14ac:dyDescent="0.2">
      <c r="A938" s="104">
        <v>12.3</v>
      </c>
      <c r="B938" s="135">
        <v>2.4900000000000002</v>
      </c>
      <c r="C938" s="135"/>
    </row>
    <row r="939" spans="1:3" x14ac:dyDescent="0.2">
      <c r="A939" s="104">
        <v>12.4</v>
      </c>
      <c r="B939" s="135">
        <v>2.5</v>
      </c>
      <c r="C939" s="135"/>
    </row>
    <row r="940" spans="1:3" x14ac:dyDescent="0.2">
      <c r="A940" s="104">
        <v>12.5</v>
      </c>
      <c r="B940" s="135">
        <v>2.5099999999999998</v>
      </c>
      <c r="C940" s="135"/>
    </row>
    <row r="941" spans="1:3" x14ac:dyDescent="0.2">
      <c r="A941" s="104">
        <v>12.6</v>
      </c>
      <c r="B941" s="135">
        <v>2.52</v>
      </c>
      <c r="C941" s="135"/>
    </row>
    <row r="942" spans="1:3" x14ac:dyDescent="0.2">
      <c r="A942" s="104">
        <v>12.7</v>
      </c>
      <c r="B942" s="135">
        <v>2.5299999999999998</v>
      </c>
      <c r="C942" s="135"/>
    </row>
    <row r="943" spans="1:3" x14ac:dyDescent="0.2">
      <c r="A943" s="104">
        <v>12.8</v>
      </c>
      <c r="B943" s="135">
        <v>2.54</v>
      </c>
      <c r="C943" s="135"/>
    </row>
    <row r="944" spans="1:3" x14ac:dyDescent="0.2">
      <c r="A944" s="104">
        <v>12.9</v>
      </c>
      <c r="B944" s="135">
        <v>2.5499999999999998</v>
      </c>
      <c r="C944" s="135"/>
    </row>
    <row r="945" spans="1:3" x14ac:dyDescent="0.2">
      <c r="A945" s="104">
        <v>13</v>
      </c>
      <c r="B945" s="135">
        <v>2.56</v>
      </c>
      <c r="C945" s="135"/>
    </row>
    <row r="946" spans="1:3" x14ac:dyDescent="0.2">
      <c r="A946" s="104">
        <v>13.1</v>
      </c>
      <c r="B946" s="135">
        <v>2.57</v>
      </c>
      <c r="C946" s="135"/>
    </row>
    <row r="947" spans="1:3" x14ac:dyDescent="0.2">
      <c r="A947" s="104">
        <v>13.2</v>
      </c>
      <c r="B947" s="135">
        <v>2.58</v>
      </c>
      <c r="C947" s="135"/>
    </row>
    <row r="948" spans="1:3" x14ac:dyDescent="0.2">
      <c r="A948" s="104">
        <v>13.3</v>
      </c>
      <c r="B948" s="135">
        <v>2.59</v>
      </c>
      <c r="C948" s="135"/>
    </row>
    <row r="949" spans="1:3" x14ac:dyDescent="0.2">
      <c r="A949" s="104">
        <v>13.4</v>
      </c>
      <c r="B949" s="135">
        <v>2.6</v>
      </c>
      <c r="C949" s="135"/>
    </row>
    <row r="950" spans="1:3" x14ac:dyDescent="0.2">
      <c r="A950" s="104">
        <v>13.5</v>
      </c>
      <c r="B950" s="135">
        <v>2.61</v>
      </c>
      <c r="C950" s="135"/>
    </row>
    <row r="951" spans="1:3" x14ac:dyDescent="0.2">
      <c r="A951" s="104">
        <v>13.6</v>
      </c>
      <c r="B951" s="135">
        <v>2.62</v>
      </c>
      <c r="C951" s="135"/>
    </row>
    <row r="952" spans="1:3" x14ac:dyDescent="0.2">
      <c r="A952" s="104">
        <v>13.7</v>
      </c>
      <c r="B952" s="135">
        <v>2.63</v>
      </c>
      <c r="C952" s="135"/>
    </row>
    <row r="953" spans="1:3" x14ac:dyDescent="0.2">
      <c r="A953" s="104">
        <v>13.8</v>
      </c>
      <c r="B953" s="135">
        <v>2.64</v>
      </c>
      <c r="C953" s="135"/>
    </row>
    <row r="954" spans="1:3" x14ac:dyDescent="0.2">
      <c r="A954" s="104">
        <v>13.9</v>
      </c>
      <c r="B954" s="135">
        <v>2.65</v>
      </c>
      <c r="C954" s="135"/>
    </row>
    <row r="955" spans="1:3" x14ac:dyDescent="0.2">
      <c r="A955" s="104">
        <v>14</v>
      </c>
      <c r="B955" s="135">
        <v>2.66</v>
      </c>
      <c r="C955" s="135"/>
    </row>
    <row r="956" spans="1:3" x14ac:dyDescent="0.2">
      <c r="A956" s="104">
        <v>14.1</v>
      </c>
      <c r="B956" s="135">
        <v>2.67</v>
      </c>
      <c r="C956" s="135"/>
    </row>
    <row r="957" spans="1:3" x14ac:dyDescent="0.2">
      <c r="A957" s="104">
        <v>14.2</v>
      </c>
      <c r="B957" s="135">
        <v>2.68</v>
      </c>
      <c r="C957" s="135"/>
    </row>
    <row r="958" spans="1:3" x14ac:dyDescent="0.2">
      <c r="A958" s="104">
        <v>14.3</v>
      </c>
      <c r="B958" s="135">
        <v>2.69</v>
      </c>
      <c r="C958" s="135"/>
    </row>
    <row r="959" spans="1:3" x14ac:dyDescent="0.2">
      <c r="A959" s="104">
        <v>14.4</v>
      </c>
      <c r="B959" s="135">
        <v>2.7</v>
      </c>
      <c r="C959" s="135"/>
    </row>
    <row r="960" spans="1:3" x14ac:dyDescent="0.2">
      <c r="A960" s="104">
        <v>14.5</v>
      </c>
      <c r="B960" s="135">
        <v>2.71</v>
      </c>
      <c r="C960" s="135"/>
    </row>
    <row r="961" spans="1:3" x14ac:dyDescent="0.2">
      <c r="A961" s="104">
        <v>14.6</v>
      </c>
      <c r="B961" s="135">
        <v>2.72</v>
      </c>
      <c r="C961" s="135"/>
    </row>
    <row r="962" spans="1:3" x14ac:dyDescent="0.2">
      <c r="A962" s="104">
        <v>14.7</v>
      </c>
      <c r="B962" s="135">
        <v>2.73</v>
      </c>
      <c r="C962" s="135"/>
    </row>
    <row r="963" spans="1:3" x14ac:dyDescent="0.2">
      <c r="A963" s="104">
        <v>14.8</v>
      </c>
      <c r="B963" s="135">
        <v>2.74</v>
      </c>
      <c r="C963" s="135"/>
    </row>
    <row r="964" spans="1:3" x14ac:dyDescent="0.2">
      <c r="A964" s="104">
        <v>14.9</v>
      </c>
      <c r="B964" s="135">
        <v>2.75</v>
      </c>
      <c r="C964" s="135"/>
    </row>
    <row r="965" spans="1:3" x14ac:dyDescent="0.2">
      <c r="A965" s="104">
        <v>15</v>
      </c>
      <c r="B965" s="135">
        <v>2.76</v>
      </c>
      <c r="C965" s="135"/>
    </row>
    <row r="966" spans="1:3" x14ac:dyDescent="0.2">
      <c r="A966" s="104">
        <v>15.1</v>
      </c>
      <c r="B966" s="135">
        <v>2.77</v>
      </c>
      <c r="C966" s="135"/>
    </row>
    <row r="967" spans="1:3" x14ac:dyDescent="0.2">
      <c r="A967" s="104">
        <v>15.2</v>
      </c>
      <c r="B967" s="135">
        <v>2.78</v>
      </c>
      <c r="C967" s="135"/>
    </row>
    <row r="968" spans="1:3" x14ac:dyDescent="0.2">
      <c r="A968" s="104">
        <v>15.3</v>
      </c>
      <c r="B968" s="135">
        <v>2.79</v>
      </c>
      <c r="C968" s="135"/>
    </row>
    <row r="969" spans="1:3" x14ac:dyDescent="0.2">
      <c r="A969" s="104">
        <v>15.4</v>
      </c>
      <c r="B969" s="135">
        <v>2.8</v>
      </c>
      <c r="C969" s="135"/>
    </row>
    <row r="970" spans="1:3" x14ac:dyDescent="0.2">
      <c r="A970" s="104">
        <v>15.5</v>
      </c>
      <c r="B970" s="135">
        <v>2.81</v>
      </c>
      <c r="C970" s="135"/>
    </row>
    <row r="971" spans="1:3" x14ac:dyDescent="0.2">
      <c r="A971" s="104">
        <v>15.6</v>
      </c>
      <c r="B971" s="135">
        <v>2.82</v>
      </c>
      <c r="C971" s="135"/>
    </row>
    <row r="972" spans="1:3" x14ac:dyDescent="0.2">
      <c r="A972" s="104">
        <v>15.7</v>
      </c>
      <c r="B972" s="135">
        <v>2.83</v>
      </c>
      <c r="C972" s="135"/>
    </row>
    <row r="973" spans="1:3" x14ac:dyDescent="0.2">
      <c r="A973" s="104">
        <v>15.8</v>
      </c>
      <c r="B973" s="135">
        <v>2.84</v>
      </c>
      <c r="C973" s="135"/>
    </row>
    <row r="974" spans="1:3" x14ac:dyDescent="0.2">
      <c r="A974" s="104">
        <v>15.9</v>
      </c>
      <c r="B974" s="135">
        <v>2.85</v>
      </c>
      <c r="C974" s="135"/>
    </row>
    <row r="975" spans="1:3" x14ac:dyDescent="0.2">
      <c r="A975" s="104">
        <v>16</v>
      </c>
      <c r="B975" s="135">
        <v>2.86</v>
      </c>
      <c r="C975" s="135"/>
    </row>
    <row r="976" spans="1:3" x14ac:dyDescent="0.2">
      <c r="A976" s="104">
        <v>16.100000000000001</v>
      </c>
      <c r="B976" s="135">
        <v>2.87</v>
      </c>
      <c r="C976" s="135"/>
    </row>
    <row r="977" spans="1:3" x14ac:dyDescent="0.2">
      <c r="A977" s="104">
        <v>16.2</v>
      </c>
      <c r="B977" s="135">
        <v>2.88</v>
      </c>
      <c r="C977" s="135"/>
    </row>
    <row r="978" spans="1:3" x14ac:dyDescent="0.2">
      <c r="A978" s="104">
        <v>16.3</v>
      </c>
      <c r="B978" s="135">
        <v>2.89</v>
      </c>
      <c r="C978" s="135"/>
    </row>
    <row r="979" spans="1:3" x14ac:dyDescent="0.2">
      <c r="A979" s="104">
        <v>16.399999999999999</v>
      </c>
      <c r="B979" s="135">
        <v>2.9</v>
      </c>
      <c r="C979" s="135"/>
    </row>
    <row r="980" spans="1:3" x14ac:dyDescent="0.2">
      <c r="A980" s="104">
        <v>16.5</v>
      </c>
      <c r="B980" s="135">
        <v>2.91</v>
      </c>
      <c r="C980" s="135"/>
    </row>
    <row r="981" spans="1:3" x14ac:dyDescent="0.2">
      <c r="A981" s="104">
        <v>16.600000000000001</v>
      </c>
      <c r="B981" s="135">
        <v>2.92</v>
      </c>
      <c r="C981" s="135"/>
    </row>
    <row r="982" spans="1:3" x14ac:dyDescent="0.2">
      <c r="A982" s="104">
        <v>16.7</v>
      </c>
      <c r="B982" s="135">
        <v>2.93</v>
      </c>
      <c r="C982" s="135"/>
    </row>
    <row r="983" spans="1:3" x14ac:dyDescent="0.2">
      <c r="A983" s="104">
        <v>16.8</v>
      </c>
      <c r="B983" s="135">
        <v>2.94</v>
      </c>
      <c r="C983" s="135"/>
    </row>
    <row r="984" spans="1:3" x14ac:dyDescent="0.2">
      <c r="A984" s="104">
        <v>16.899999999999999</v>
      </c>
      <c r="B984" s="135">
        <v>2.95</v>
      </c>
      <c r="C984" s="135"/>
    </row>
    <row r="985" spans="1:3" x14ac:dyDescent="0.2">
      <c r="A985" s="104">
        <v>17</v>
      </c>
      <c r="B985" s="135">
        <v>2.96</v>
      </c>
      <c r="C985" s="135"/>
    </row>
    <row r="986" spans="1:3" x14ac:dyDescent="0.2">
      <c r="A986" s="104">
        <v>17.100000000000001</v>
      </c>
      <c r="B986" s="135">
        <v>2.97</v>
      </c>
      <c r="C986" s="135"/>
    </row>
    <row r="987" spans="1:3" x14ac:dyDescent="0.2">
      <c r="A987" s="104">
        <v>17.2</v>
      </c>
      <c r="B987" s="135">
        <v>2.98</v>
      </c>
      <c r="C987" s="135"/>
    </row>
    <row r="988" spans="1:3" x14ac:dyDescent="0.2">
      <c r="A988" s="104">
        <v>17.3</v>
      </c>
      <c r="B988" s="135">
        <v>2.99</v>
      </c>
      <c r="C988" s="135"/>
    </row>
    <row r="989" spans="1:3" x14ac:dyDescent="0.2">
      <c r="A989" s="104">
        <v>17.399999999999999</v>
      </c>
      <c r="B989" s="135">
        <v>3</v>
      </c>
      <c r="C989" s="135"/>
    </row>
    <row r="990" spans="1:3" x14ac:dyDescent="0.2">
      <c r="A990" s="104">
        <v>17.5</v>
      </c>
      <c r="B990" s="135">
        <v>3.01</v>
      </c>
      <c r="C990" s="135"/>
    </row>
    <row r="991" spans="1:3" x14ac:dyDescent="0.2">
      <c r="A991" s="104">
        <v>17.600000000000001</v>
      </c>
      <c r="B991" s="135">
        <v>3.02</v>
      </c>
      <c r="C991" s="135"/>
    </row>
    <row r="992" spans="1:3" x14ac:dyDescent="0.2">
      <c r="A992" s="104">
        <v>17.7</v>
      </c>
      <c r="B992" s="135">
        <v>3.03</v>
      </c>
      <c r="C992" s="135"/>
    </row>
    <row r="993" spans="1:3" x14ac:dyDescent="0.2">
      <c r="A993" s="104">
        <v>17.8</v>
      </c>
      <c r="B993" s="135">
        <v>3.04</v>
      </c>
      <c r="C993" s="135"/>
    </row>
    <row r="994" spans="1:3" x14ac:dyDescent="0.2">
      <c r="A994" s="104">
        <v>17.899999999999999</v>
      </c>
      <c r="B994" s="135">
        <v>3.05</v>
      </c>
      <c r="C994" s="135"/>
    </row>
    <row r="995" spans="1:3" x14ac:dyDescent="0.2">
      <c r="A995" s="104">
        <v>18</v>
      </c>
      <c r="B995" s="135">
        <v>3.06</v>
      </c>
      <c r="C995" s="135"/>
    </row>
    <row r="996" spans="1:3" x14ac:dyDescent="0.2">
      <c r="A996" s="104">
        <v>18.100000000000001</v>
      </c>
      <c r="B996" s="135">
        <v>3.07</v>
      </c>
      <c r="C996" s="135"/>
    </row>
    <row r="997" spans="1:3" x14ac:dyDescent="0.2">
      <c r="A997" s="104">
        <v>18.2</v>
      </c>
      <c r="B997" s="135">
        <v>3.08</v>
      </c>
      <c r="C997" s="135"/>
    </row>
    <row r="998" spans="1:3" x14ac:dyDescent="0.2">
      <c r="A998" s="104">
        <v>18.3</v>
      </c>
      <c r="B998" s="135">
        <v>3.09</v>
      </c>
      <c r="C998" s="135"/>
    </row>
    <row r="999" spans="1:3" x14ac:dyDescent="0.2">
      <c r="A999" s="104">
        <v>18.399999999999999</v>
      </c>
      <c r="B999" s="135">
        <v>3.1</v>
      </c>
      <c r="C999" s="135"/>
    </row>
    <row r="1000" spans="1:3" x14ac:dyDescent="0.2">
      <c r="A1000" s="104">
        <v>18.5</v>
      </c>
      <c r="B1000" s="135">
        <v>3.11</v>
      </c>
      <c r="C1000" s="135"/>
    </row>
    <row r="1001" spans="1:3" x14ac:dyDescent="0.2">
      <c r="A1001" s="104">
        <v>18.600000000000001</v>
      </c>
      <c r="B1001" s="135">
        <v>3.12</v>
      </c>
      <c r="C1001" s="135"/>
    </row>
    <row r="1002" spans="1:3" x14ac:dyDescent="0.2">
      <c r="A1002" s="104">
        <v>18.7</v>
      </c>
      <c r="B1002" s="135">
        <v>3.13</v>
      </c>
      <c r="C1002" s="135"/>
    </row>
    <row r="1003" spans="1:3" x14ac:dyDescent="0.2">
      <c r="A1003" s="104">
        <v>18.8</v>
      </c>
      <c r="B1003" s="135">
        <v>3.14</v>
      </c>
      <c r="C1003" s="135"/>
    </row>
    <row r="1004" spans="1:3" x14ac:dyDescent="0.2">
      <c r="A1004" s="104">
        <v>18.899999999999999</v>
      </c>
      <c r="B1004" s="135">
        <v>3.15</v>
      </c>
      <c r="C1004" s="135"/>
    </row>
    <row r="1005" spans="1:3" x14ac:dyDescent="0.2">
      <c r="A1005" s="104">
        <v>19</v>
      </c>
      <c r="B1005" s="135">
        <v>3.16</v>
      </c>
      <c r="C1005" s="135"/>
    </row>
    <row r="1006" spans="1:3" x14ac:dyDescent="0.2">
      <c r="A1006" s="104">
        <v>19.100000000000001</v>
      </c>
      <c r="B1006" s="135">
        <v>3.17</v>
      </c>
      <c r="C1006" s="135"/>
    </row>
    <row r="1007" spans="1:3" x14ac:dyDescent="0.2">
      <c r="A1007" s="104">
        <v>19.2</v>
      </c>
      <c r="B1007" s="135">
        <v>3.18</v>
      </c>
      <c r="C1007" s="135"/>
    </row>
    <row r="1008" spans="1:3" x14ac:dyDescent="0.2">
      <c r="A1008" s="104">
        <v>19.3</v>
      </c>
      <c r="B1008" s="135">
        <v>3.19</v>
      </c>
      <c r="C1008" s="135"/>
    </row>
    <row r="1009" spans="1:3" x14ac:dyDescent="0.2">
      <c r="A1009" s="104">
        <v>19.399999999999999</v>
      </c>
      <c r="B1009" s="135">
        <v>3.2</v>
      </c>
      <c r="C1009" s="135"/>
    </row>
    <row r="1010" spans="1:3" x14ac:dyDescent="0.2">
      <c r="A1010" s="104">
        <v>19.5</v>
      </c>
      <c r="B1010" s="135">
        <v>3.21</v>
      </c>
      <c r="C1010" s="135"/>
    </row>
    <row r="1011" spans="1:3" x14ac:dyDescent="0.2">
      <c r="A1011" s="104">
        <v>19.600000000000001</v>
      </c>
      <c r="B1011" s="135">
        <v>3.22</v>
      </c>
      <c r="C1011" s="135"/>
    </row>
    <row r="1012" spans="1:3" x14ac:dyDescent="0.2">
      <c r="A1012" s="104">
        <v>19.7</v>
      </c>
      <c r="B1012" s="135">
        <v>3.23</v>
      </c>
      <c r="C1012" s="135"/>
    </row>
    <row r="1013" spans="1:3" x14ac:dyDescent="0.2">
      <c r="A1013" s="104">
        <v>19.8</v>
      </c>
      <c r="B1013" s="135">
        <v>3.24</v>
      </c>
      <c r="C1013" s="135"/>
    </row>
    <row r="1014" spans="1:3" x14ac:dyDescent="0.2">
      <c r="A1014" s="104">
        <v>19.899999999999999</v>
      </c>
      <c r="B1014" s="135">
        <v>3.25</v>
      </c>
      <c r="C1014" s="135"/>
    </row>
    <row r="1015" spans="1:3" x14ac:dyDescent="0.2">
      <c r="A1015" s="104">
        <v>20</v>
      </c>
      <c r="B1015" s="135">
        <v>3.26</v>
      </c>
      <c r="C1015" s="135"/>
    </row>
    <row r="1016" spans="1:3" x14ac:dyDescent="0.2">
      <c r="A1016" s="104">
        <v>20.100000000000001</v>
      </c>
      <c r="B1016" s="135">
        <v>3.27</v>
      </c>
      <c r="C1016" s="135"/>
    </row>
    <row r="1017" spans="1:3" x14ac:dyDescent="0.2">
      <c r="A1017" s="104">
        <v>20.2</v>
      </c>
      <c r="B1017" s="135">
        <v>3.28</v>
      </c>
      <c r="C1017" s="135"/>
    </row>
    <row r="1018" spans="1:3" x14ac:dyDescent="0.2">
      <c r="A1018" s="104">
        <v>20.3</v>
      </c>
      <c r="B1018" s="135">
        <v>3.29</v>
      </c>
      <c r="C1018" s="135"/>
    </row>
    <row r="1019" spans="1:3" x14ac:dyDescent="0.2">
      <c r="A1019" s="104">
        <v>20.399999999999999</v>
      </c>
      <c r="B1019" s="135">
        <v>3.3</v>
      </c>
      <c r="C1019" s="135"/>
    </row>
    <row r="1020" spans="1:3" x14ac:dyDescent="0.2">
      <c r="A1020" s="104">
        <v>20.5</v>
      </c>
      <c r="B1020" s="135">
        <v>3.31</v>
      </c>
      <c r="C1020" s="135"/>
    </row>
    <row r="1021" spans="1:3" x14ac:dyDescent="0.2">
      <c r="A1021" s="104">
        <v>20.6</v>
      </c>
      <c r="B1021" s="135">
        <v>3.32</v>
      </c>
      <c r="C1021" s="135"/>
    </row>
    <row r="1022" spans="1:3" x14ac:dyDescent="0.2">
      <c r="A1022" s="104">
        <v>20.7</v>
      </c>
      <c r="B1022" s="135">
        <v>3.33</v>
      </c>
      <c r="C1022" s="135"/>
    </row>
    <row r="1023" spans="1:3" x14ac:dyDescent="0.2">
      <c r="A1023" s="104">
        <v>20.8</v>
      </c>
      <c r="B1023" s="135">
        <v>3.34</v>
      </c>
      <c r="C1023" s="135"/>
    </row>
    <row r="1024" spans="1:3" x14ac:dyDescent="0.2">
      <c r="A1024" s="104">
        <v>20.9</v>
      </c>
      <c r="B1024" s="135">
        <v>3.35</v>
      </c>
      <c r="C1024" s="135"/>
    </row>
    <row r="1025" spans="1:3" x14ac:dyDescent="0.2">
      <c r="A1025" s="104">
        <v>21</v>
      </c>
      <c r="B1025" s="135">
        <v>3.36</v>
      </c>
      <c r="C1025" s="135"/>
    </row>
    <row r="1026" spans="1:3" x14ac:dyDescent="0.2">
      <c r="A1026" s="104">
        <v>21.1</v>
      </c>
      <c r="B1026" s="135">
        <v>3.37</v>
      </c>
      <c r="C1026" s="135"/>
    </row>
    <row r="1027" spans="1:3" x14ac:dyDescent="0.2">
      <c r="A1027" s="104">
        <v>21.2</v>
      </c>
      <c r="B1027" s="135">
        <v>3.38</v>
      </c>
      <c r="C1027" s="135"/>
    </row>
    <row r="1028" spans="1:3" x14ac:dyDescent="0.2">
      <c r="A1028" s="104">
        <v>21.3</v>
      </c>
      <c r="B1028" s="135">
        <v>3.39</v>
      </c>
      <c r="C1028" s="135"/>
    </row>
    <row r="1029" spans="1:3" x14ac:dyDescent="0.2">
      <c r="A1029" s="104">
        <v>21.4</v>
      </c>
      <c r="B1029" s="135">
        <v>3.4</v>
      </c>
      <c r="C1029" s="135"/>
    </row>
    <row r="1030" spans="1:3" x14ac:dyDescent="0.2">
      <c r="A1030" s="104">
        <v>21.5</v>
      </c>
      <c r="B1030" s="135">
        <v>3.41</v>
      </c>
      <c r="C1030" s="135"/>
    </row>
    <row r="1031" spans="1:3" x14ac:dyDescent="0.2">
      <c r="A1031" s="104">
        <v>21.6</v>
      </c>
      <c r="B1031" s="135">
        <v>3.42</v>
      </c>
      <c r="C1031" s="135"/>
    </row>
    <row r="1032" spans="1:3" x14ac:dyDescent="0.2">
      <c r="A1032" s="104">
        <v>21.7</v>
      </c>
      <c r="B1032" s="135">
        <v>3.43</v>
      </c>
      <c r="C1032" s="135"/>
    </row>
    <row r="1033" spans="1:3" x14ac:dyDescent="0.2">
      <c r="A1033" s="104">
        <v>21.8</v>
      </c>
      <c r="B1033" s="135">
        <v>3.44</v>
      </c>
      <c r="C1033" s="135"/>
    </row>
    <row r="1034" spans="1:3" x14ac:dyDescent="0.2">
      <c r="A1034" s="104">
        <v>21.9</v>
      </c>
      <c r="B1034" s="135">
        <v>3.45</v>
      </c>
      <c r="C1034" s="135"/>
    </row>
    <row r="1035" spans="1:3" x14ac:dyDescent="0.2">
      <c r="A1035" s="104">
        <v>22</v>
      </c>
      <c r="B1035" s="135">
        <v>3.46</v>
      </c>
      <c r="C1035" s="135"/>
    </row>
    <row r="1036" spans="1:3" x14ac:dyDescent="0.2">
      <c r="A1036" s="104">
        <v>22.1</v>
      </c>
      <c r="B1036" s="135">
        <v>3.47</v>
      </c>
      <c r="C1036" s="135"/>
    </row>
    <row r="1037" spans="1:3" x14ac:dyDescent="0.2">
      <c r="A1037" s="104">
        <v>22.2</v>
      </c>
      <c r="B1037" s="135">
        <v>3.48</v>
      </c>
      <c r="C1037" s="135"/>
    </row>
    <row r="1038" spans="1:3" x14ac:dyDescent="0.2">
      <c r="A1038" s="104">
        <v>22.3</v>
      </c>
      <c r="B1038" s="135">
        <v>3.49</v>
      </c>
      <c r="C1038" s="135"/>
    </row>
    <row r="1039" spans="1:3" x14ac:dyDescent="0.2">
      <c r="A1039" s="104">
        <v>22.4</v>
      </c>
      <c r="B1039" s="135">
        <v>3.5</v>
      </c>
      <c r="C1039" s="135"/>
    </row>
    <row r="1040" spans="1:3" x14ac:dyDescent="0.2">
      <c r="A1040" s="104">
        <v>22.5</v>
      </c>
      <c r="B1040" s="135">
        <v>3.51</v>
      </c>
      <c r="C1040" s="135"/>
    </row>
    <row r="1041" spans="1:3" x14ac:dyDescent="0.2">
      <c r="A1041" s="104">
        <v>22.6</v>
      </c>
      <c r="B1041" s="135">
        <v>3.52</v>
      </c>
      <c r="C1041" s="135"/>
    </row>
    <row r="1042" spans="1:3" x14ac:dyDescent="0.2">
      <c r="A1042" s="104">
        <v>22.7</v>
      </c>
      <c r="B1042" s="135">
        <v>3.53</v>
      </c>
      <c r="C1042" s="135"/>
    </row>
    <row r="1043" spans="1:3" x14ac:dyDescent="0.2">
      <c r="A1043" s="104">
        <v>22.8</v>
      </c>
      <c r="B1043" s="135">
        <v>3.54</v>
      </c>
      <c r="C1043" s="135"/>
    </row>
    <row r="1044" spans="1:3" x14ac:dyDescent="0.2">
      <c r="A1044" s="104">
        <v>22.9</v>
      </c>
      <c r="B1044" s="135">
        <v>3.55</v>
      </c>
      <c r="C1044" s="135"/>
    </row>
    <row r="1045" spans="1:3" x14ac:dyDescent="0.2">
      <c r="A1045" s="104">
        <v>23</v>
      </c>
      <c r="B1045" s="135">
        <v>3.56</v>
      </c>
      <c r="C1045" s="135"/>
    </row>
    <row r="1046" spans="1:3" x14ac:dyDescent="0.2">
      <c r="A1046" s="104">
        <v>23.1</v>
      </c>
      <c r="B1046" s="135">
        <v>3.57</v>
      </c>
      <c r="C1046" s="135"/>
    </row>
    <row r="1047" spans="1:3" x14ac:dyDescent="0.2">
      <c r="A1047" s="104">
        <v>23.2</v>
      </c>
      <c r="B1047" s="135">
        <v>3.58</v>
      </c>
      <c r="C1047" s="135"/>
    </row>
    <row r="1048" spans="1:3" x14ac:dyDescent="0.2">
      <c r="A1048" s="104">
        <v>23.3</v>
      </c>
      <c r="B1048" s="135">
        <v>3.59</v>
      </c>
      <c r="C1048" s="135"/>
    </row>
    <row r="1049" spans="1:3" x14ac:dyDescent="0.2">
      <c r="A1049" s="104">
        <v>23.4</v>
      </c>
      <c r="B1049" s="135">
        <v>3.6</v>
      </c>
      <c r="C1049" s="135"/>
    </row>
    <row r="1050" spans="1:3" x14ac:dyDescent="0.2">
      <c r="A1050" s="104">
        <v>23.5</v>
      </c>
      <c r="B1050" s="135">
        <v>3.61</v>
      </c>
      <c r="C1050" s="135"/>
    </row>
    <row r="1051" spans="1:3" x14ac:dyDescent="0.2">
      <c r="A1051" s="104">
        <v>23.6</v>
      </c>
      <c r="B1051" s="135">
        <v>3.62</v>
      </c>
      <c r="C1051" s="135"/>
    </row>
    <row r="1052" spans="1:3" x14ac:dyDescent="0.2">
      <c r="A1052" s="104">
        <v>23.7</v>
      </c>
      <c r="B1052" s="135">
        <v>3.63</v>
      </c>
      <c r="C1052" s="135"/>
    </row>
    <row r="1053" spans="1:3" x14ac:dyDescent="0.2">
      <c r="A1053" s="104">
        <v>23.8</v>
      </c>
      <c r="B1053" s="135">
        <v>3.64</v>
      </c>
      <c r="C1053" s="135"/>
    </row>
    <row r="1054" spans="1:3" x14ac:dyDescent="0.2">
      <c r="A1054" s="104">
        <v>23.9</v>
      </c>
      <c r="B1054" s="135">
        <v>3.65</v>
      </c>
      <c r="C1054" s="135"/>
    </row>
    <row r="1055" spans="1:3" x14ac:dyDescent="0.2">
      <c r="A1055" s="104">
        <v>24</v>
      </c>
      <c r="B1055" s="135">
        <v>3.66</v>
      </c>
      <c r="C1055" s="135"/>
    </row>
    <row r="1056" spans="1:3" x14ac:dyDescent="0.2">
      <c r="A1056" s="104">
        <v>24.1</v>
      </c>
      <c r="B1056" s="135">
        <v>3.67</v>
      </c>
      <c r="C1056" s="135"/>
    </row>
    <row r="1057" spans="1:3" x14ac:dyDescent="0.2">
      <c r="A1057" s="104">
        <v>24.2</v>
      </c>
      <c r="B1057" s="135">
        <v>3.68</v>
      </c>
      <c r="C1057" s="135"/>
    </row>
    <row r="1058" spans="1:3" x14ac:dyDescent="0.2">
      <c r="A1058" s="104">
        <v>24.3</v>
      </c>
      <c r="B1058" s="135">
        <v>3.69</v>
      </c>
      <c r="C1058" s="135"/>
    </row>
    <row r="1059" spans="1:3" x14ac:dyDescent="0.2">
      <c r="A1059" s="104">
        <v>24.4</v>
      </c>
      <c r="B1059" s="135">
        <v>3.7</v>
      </c>
      <c r="C1059" s="135"/>
    </row>
    <row r="1060" spans="1:3" x14ac:dyDescent="0.2">
      <c r="A1060" s="104">
        <v>24.5</v>
      </c>
      <c r="B1060" s="135">
        <v>3.71</v>
      </c>
      <c r="C1060" s="135"/>
    </row>
    <row r="1061" spans="1:3" x14ac:dyDescent="0.2">
      <c r="A1061" s="104">
        <v>24.6</v>
      </c>
      <c r="B1061" s="135">
        <v>3.72</v>
      </c>
      <c r="C1061" s="135"/>
    </row>
    <row r="1062" spans="1:3" x14ac:dyDescent="0.2">
      <c r="A1062" s="104">
        <v>24.7</v>
      </c>
      <c r="B1062" s="135">
        <v>3.73</v>
      </c>
      <c r="C1062" s="135"/>
    </row>
    <row r="1063" spans="1:3" x14ac:dyDescent="0.2">
      <c r="A1063" s="104">
        <v>24.8</v>
      </c>
      <c r="B1063" s="135">
        <v>3.74</v>
      </c>
      <c r="C1063" s="135"/>
    </row>
    <row r="1064" spans="1:3" x14ac:dyDescent="0.2">
      <c r="A1064" s="104">
        <v>24.9</v>
      </c>
      <c r="B1064" s="135">
        <v>3.75</v>
      </c>
      <c r="C1064" s="135"/>
    </row>
    <row r="1065" spans="1:3" x14ac:dyDescent="0.2">
      <c r="A1065" s="104">
        <v>25</v>
      </c>
      <c r="B1065" s="135">
        <v>3.76</v>
      </c>
      <c r="C1065" s="135"/>
    </row>
    <row r="1066" spans="1:3" x14ac:dyDescent="0.2">
      <c r="A1066" s="104">
        <v>25.1</v>
      </c>
      <c r="B1066" s="135">
        <v>3.77</v>
      </c>
      <c r="C1066" s="135"/>
    </row>
    <row r="1067" spans="1:3" x14ac:dyDescent="0.2">
      <c r="A1067" s="104">
        <v>25.2</v>
      </c>
      <c r="B1067" s="135">
        <v>3.78</v>
      </c>
      <c r="C1067" s="135"/>
    </row>
    <row r="1068" spans="1:3" x14ac:dyDescent="0.2">
      <c r="A1068" s="104">
        <v>25.3</v>
      </c>
      <c r="B1068" s="135">
        <v>3.79</v>
      </c>
      <c r="C1068" s="135"/>
    </row>
    <row r="1069" spans="1:3" x14ac:dyDescent="0.2">
      <c r="A1069" s="104">
        <v>25.4</v>
      </c>
      <c r="B1069" s="135">
        <v>3.8</v>
      </c>
      <c r="C1069" s="135"/>
    </row>
    <row r="1070" spans="1:3" x14ac:dyDescent="0.2">
      <c r="A1070" s="104">
        <v>25.5</v>
      </c>
      <c r="B1070" s="135">
        <v>3.81</v>
      </c>
      <c r="C1070" s="135"/>
    </row>
    <row r="1071" spans="1:3" x14ac:dyDescent="0.2">
      <c r="A1071" s="104">
        <v>25.6</v>
      </c>
      <c r="B1071" s="135">
        <v>3.82</v>
      </c>
      <c r="C1071" s="135"/>
    </row>
    <row r="1072" spans="1:3" x14ac:dyDescent="0.2">
      <c r="A1072" s="104">
        <v>25.7</v>
      </c>
      <c r="B1072" s="135">
        <v>3.83</v>
      </c>
      <c r="C1072" s="135"/>
    </row>
    <row r="1073" spans="1:3" x14ac:dyDescent="0.2">
      <c r="A1073" s="104">
        <v>25.8</v>
      </c>
      <c r="B1073" s="135">
        <v>3.84</v>
      </c>
      <c r="C1073" s="135"/>
    </row>
    <row r="1074" spans="1:3" x14ac:dyDescent="0.2">
      <c r="A1074" s="104">
        <v>25.9</v>
      </c>
      <c r="B1074" s="135">
        <v>3.85</v>
      </c>
      <c r="C1074" s="135"/>
    </row>
    <row r="1075" spans="1:3" x14ac:dyDescent="0.2">
      <c r="A1075" s="104">
        <v>26</v>
      </c>
      <c r="B1075" s="135">
        <v>3.86</v>
      </c>
      <c r="C1075" s="135"/>
    </row>
    <row r="1076" spans="1:3" x14ac:dyDescent="0.2">
      <c r="A1076" s="104">
        <v>26.1</v>
      </c>
      <c r="B1076" s="135">
        <v>3.87</v>
      </c>
      <c r="C1076" s="135"/>
    </row>
    <row r="1077" spans="1:3" x14ac:dyDescent="0.2">
      <c r="A1077" s="104">
        <v>26.2</v>
      </c>
      <c r="B1077" s="135">
        <v>3.88</v>
      </c>
      <c r="C1077" s="135"/>
    </row>
    <row r="1078" spans="1:3" x14ac:dyDescent="0.2">
      <c r="A1078" s="104">
        <v>26.3</v>
      </c>
      <c r="B1078" s="135">
        <v>3.89</v>
      </c>
      <c r="C1078" s="135"/>
    </row>
    <row r="1079" spans="1:3" x14ac:dyDescent="0.2">
      <c r="A1079" s="104">
        <v>26.4</v>
      </c>
      <c r="B1079" s="135">
        <v>3.9</v>
      </c>
      <c r="C1079" s="135"/>
    </row>
    <row r="1080" spans="1:3" x14ac:dyDescent="0.2">
      <c r="A1080" s="104">
        <v>26.5</v>
      </c>
      <c r="B1080" s="135">
        <v>3.91</v>
      </c>
      <c r="C1080" s="135"/>
    </row>
    <row r="1081" spans="1:3" x14ac:dyDescent="0.2">
      <c r="A1081" s="104">
        <v>26.6</v>
      </c>
      <c r="B1081" s="135">
        <v>3.92</v>
      </c>
      <c r="C1081" s="135"/>
    </row>
    <row r="1082" spans="1:3" x14ac:dyDescent="0.2">
      <c r="A1082" s="104">
        <v>26.7</v>
      </c>
      <c r="B1082" s="135">
        <v>3.93</v>
      </c>
      <c r="C1082" s="135"/>
    </row>
    <row r="1083" spans="1:3" x14ac:dyDescent="0.2">
      <c r="A1083" s="104">
        <v>26.8</v>
      </c>
      <c r="B1083" s="135">
        <v>3.94</v>
      </c>
      <c r="C1083" s="135"/>
    </row>
    <row r="1084" spans="1:3" x14ac:dyDescent="0.2">
      <c r="A1084" s="104">
        <v>26.9</v>
      </c>
      <c r="B1084" s="135">
        <v>3.95</v>
      </c>
      <c r="C1084" s="135"/>
    </row>
    <row r="1085" spans="1:3" x14ac:dyDescent="0.2">
      <c r="A1085" s="104">
        <v>27</v>
      </c>
      <c r="B1085" s="135">
        <v>3.96</v>
      </c>
      <c r="C1085" s="135"/>
    </row>
    <row r="1086" spans="1:3" x14ac:dyDescent="0.2">
      <c r="A1086" s="104">
        <v>27.1</v>
      </c>
      <c r="B1086" s="135">
        <v>3.97</v>
      </c>
      <c r="C1086" s="135"/>
    </row>
    <row r="1087" spans="1:3" x14ac:dyDescent="0.2">
      <c r="A1087" s="104">
        <v>27.2</v>
      </c>
      <c r="B1087" s="135">
        <v>3.98</v>
      </c>
      <c r="C1087" s="135"/>
    </row>
    <row r="1088" spans="1:3" x14ac:dyDescent="0.2">
      <c r="A1088" s="104">
        <v>27.3</v>
      </c>
      <c r="B1088" s="135">
        <v>3.99</v>
      </c>
      <c r="C1088" s="135"/>
    </row>
    <row r="1089" spans="1:3" x14ac:dyDescent="0.2">
      <c r="A1089" s="104">
        <v>27.4</v>
      </c>
      <c r="B1089" s="135">
        <v>4</v>
      </c>
      <c r="C1089" s="135"/>
    </row>
    <row r="1090" spans="1:3" x14ac:dyDescent="0.2">
      <c r="A1090" s="104">
        <v>27.5</v>
      </c>
      <c r="B1090" s="135">
        <v>4.01</v>
      </c>
      <c r="C1090" s="135"/>
    </row>
    <row r="1091" spans="1:3" x14ac:dyDescent="0.2">
      <c r="A1091" s="104">
        <v>27.6</v>
      </c>
      <c r="B1091" s="135">
        <v>4.0199999999999996</v>
      </c>
      <c r="C1091" s="135"/>
    </row>
    <row r="1092" spans="1:3" x14ac:dyDescent="0.2">
      <c r="A1092" s="104">
        <v>27.7</v>
      </c>
      <c r="B1092" s="135">
        <v>4.03</v>
      </c>
      <c r="C1092" s="135"/>
    </row>
    <row r="1093" spans="1:3" x14ac:dyDescent="0.2">
      <c r="A1093" s="104">
        <v>27.8</v>
      </c>
      <c r="B1093" s="135">
        <v>4.04</v>
      </c>
      <c r="C1093" s="135"/>
    </row>
    <row r="1094" spans="1:3" x14ac:dyDescent="0.2">
      <c r="A1094" s="104">
        <v>27.9</v>
      </c>
      <c r="B1094" s="135">
        <v>4.05</v>
      </c>
      <c r="C1094" s="135"/>
    </row>
    <row r="1095" spans="1:3" x14ac:dyDescent="0.2">
      <c r="A1095" s="104">
        <v>28</v>
      </c>
      <c r="B1095" s="135">
        <v>4.0599999999999996</v>
      </c>
      <c r="C1095" s="135"/>
    </row>
    <row r="1096" spans="1:3" x14ac:dyDescent="0.2">
      <c r="A1096" s="104">
        <v>28.1</v>
      </c>
      <c r="B1096" s="135">
        <v>4.07</v>
      </c>
      <c r="C1096" s="135"/>
    </row>
    <row r="1097" spans="1:3" x14ac:dyDescent="0.2">
      <c r="A1097" s="104">
        <v>28.2</v>
      </c>
      <c r="B1097" s="135">
        <v>4.08</v>
      </c>
      <c r="C1097" s="135"/>
    </row>
    <row r="1098" spans="1:3" x14ac:dyDescent="0.2">
      <c r="A1098" s="104">
        <v>28.3</v>
      </c>
      <c r="B1098" s="135">
        <v>4.09</v>
      </c>
      <c r="C1098" s="135"/>
    </row>
    <row r="1099" spans="1:3" x14ac:dyDescent="0.2">
      <c r="A1099" s="104">
        <v>28.4</v>
      </c>
      <c r="B1099" s="135">
        <v>4.0999999999999996</v>
      </c>
      <c r="C1099" s="135"/>
    </row>
    <row r="1100" spans="1:3" x14ac:dyDescent="0.2">
      <c r="A1100" s="104">
        <v>28.5</v>
      </c>
      <c r="B1100" s="135">
        <v>4.1100000000000003</v>
      </c>
      <c r="C1100" s="135"/>
    </row>
    <row r="1101" spans="1:3" x14ac:dyDescent="0.2">
      <c r="A1101" s="104">
        <v>28.6</v>
      </c>
      <c r="B1101" s="135">
        <v>4.12</v>
      </c>
      <c r="C1101" s="135"/>
    </row>
    <row r="1102" spans="1:3" x14ac:dyDescent="0.2">
      <c r="A1102" s="104">
        <v>28.7</v>
      </c>
      <c r="B1102" s="135">
        <v>4.13</v>
      </c>
      <c r="C1102" s="135"/>
    </row>
    <row r="1103" spans="1:3" x14ac:dyDescent="0.2">
      <c r="A1103" s="104">
        <v>28.8</v>
      </c>
      <c r="B1103" s="135">
        <v>4.1399999999999997</v>
      </c>
      <c r="C1103" s="135"/>
    </row>
    <row r="1104" spans="1:3" x14ac:dyDescent="0.2">
      <c r="A1104" s="104">
        <v>28.9</v>
      </c>
      <c r="B1104" s="135">
        <v>4.1500000000000004</v>
      </c>
      <c r="C1104" s="135"/>
    </row>
    <row r="1105" spans="1:3" x14ac:dyDescent="0.2">
      <c r="A1105" s="104">
        <v>29</v>
      </c>
      <c r="B1105" s="135">
        <v>4.16</v>
      </c>
      <c r="C1105" s="135"/>
    </row>
    <row r="1106" spans="1:3" x14ac:dyDescent="0.2">
      <c r="A1106" s="104">
        <v>29.1</v>
      </c>
      <c r="B1106" s="135">
        <v>4.17</v>
      </c>
      <c r="C1106" s="135"/>
    </row>
    <row r="1107" spans="1:3" x14ac:dyDescent="0.2">
      <c r="A1107" s="104">
        <v>29.2</v>
      </c>
      <c r="B1107" s="135">
        <v>4.18</v>
      </c>
      <c r="C1107" s="135"/>
    </row>
    <row r="1108" spans="1:3" x14ac:dyDescent="0.2">
      <c r="A1108" s="104">
        <v>29.3</v>
      </c>
      <c r="B1108" s="135">
        <v>4.1900000000000004</v>
      </c>
      <c r="C1108" s="135"/>
    </row>
    <row r="1109" spans="1:3" x14ac:dyDescent="0.2">
      <c r="A1109" s="104">
        <v>29.4</v>
      </c>
      <c r="B1109" s="135">
        <v>4.2</v>
      </c>
      <c r="C1109" s="135"/>
    </row>
    <row r="1110" spans="1:3" x14ac:dyDescent="0.2">
      <c r="A1110" s="104">
        <v>29.5</v>
      </c>
      <c r="B1110" s="135">
        <v>4.21</v>
      </c>
      <c r="C1110" s="135"/>
    </row>
    <row r="1111" spans="1:3" x14ac:dyDescent="0.2">
      <c r="A1111" s="104">
        <v>29.6</v>
      </c>
      <c r="B1111" s="135">
        <v>4.22</v>
      </c>
      <c r="C1111" s="135"/>
    </row>
    <row r="1112" spans="1:3" x14ac:dyDescent="0.2">
      <c r="A1112" s="104">
        <v>29.7</v>
      </c>
      <c r="B1112" s="135">
        <v>4.2300000000000004</v>
      </c>
      <c r="C1112" s="135"/>
    </row>
    <row r="1113" spans="1:3" x14ac:dyDescent="0.2">
      <c r="A1113" s="104">
        <v>29.8</v>
      </c>
      <c r="B1113" s="135">
        <v>4.24</v>
      </c>
      <c r="C1113" s="135"/>
    </row>
    <row r="1114" spans="1:3" x14ac:dyDescent="0.2">
      <c r="A1114" s="104">
        <v>29.9</v>
      </c>
      <c r="B1114" s="135">
        <v>4.25</v>
      </c>
      <c r="C1114" s="135"/>
    </row>
    <row r="1115" spans="1:3" x14ac:dyDescent="0.2">
      <c r="A1115" s="104">
        <v>30</v>
      </c>
      <c r="B1115" s="135">
        <v>4.26</v>
      </c>
      <c r="C1115" s="135"/>
    </row>
    <row r="1116" spans="1:3" x14ac:dyDescent="0.2">
      <c r="A1116" s="104">
        <v>30.1</v>
      </c>
      <c r="B1116" s="135">
        <v>4.2699999999999996</v>
      </c>
      <c r="C1116" s="135"/>
    </row>
    <row r="1117" spans="1:3" x14ac:dyDescent="0.2">
      <c r="A1117" s="104">
        <v>30.2</v>
      </c>
      <c r="B1117" s="135">
        <v>4.28</v>
      </c>
      <c r="C1117" s="135"/>
    </row>
    <row r="1118" spans="1:3" x14ac:dyDescent="0.2">
      <c r="A1118" s="104">
        <v>30.3</v>
      </c>
      <c r="B1118" s="135">
        <v>4.29</v>
      </c>
      <c r="C1118" s="135"/>
    </row>
    <row r="1119" spans="1:3" x14ac:dyDescent="0.2">
      <c r="A1119" s="104">
        <v>30.4</v>
      </c>
      <c r="B1119" s="135">
        <v>4.3</v>
      </c>
      <c r="C1119" s="135"/>
    </row>
    <row r="1120" spans="1:3" x14ac:dyDescent="0.2">
      <c r="A1120" s="104">
        <v>30.5</v>
      </c>
      <c r="B1120" s="135">
        <v>4.3099999999999996</v>
      </c>
      <c r="C1120" s="135"/>
    </row>
    <row r="1121" spans="1:3" x14ac:dyDescent="0.2">
      <c r="A1121" s="104">
        <v>30.6</v>
      </c>
      <c r="B1121" s="135">
        <v>4.32</v>
      </c>
      <c r="C1121" s="135"/>
    </row>
    <row r="1122" spans="1:3" x14ac:dyDescent="0.2">
      <c r="A1122" s="104">
        <v>30.7</v>
      </c>
      <c r="B1122" s="135">
        <v>4.33</v>
      </c>
      <c r="C1122" s="135"/>
    </row>
    <row r="1123" spans="1:3" x14ac:dyDescent="0.2">
      <c r="A1123" s="104">
        <v>30.8</v>
      </c>
      <c r="B1123" s="135">
        <v>4.34</v>
      </c>
      <c r="C1123" s="135"/>
    </row>
    <row r="1124" spans="1:3" x14ac:dyDescent="0.2">
      <c r="A1124" s="104">
        <v>30.9</v>
      </c>
      <c r="B1124" s="135">
        <v>4.3499999999999996</v>
      </c>
      <c r="C1124" s="135"/>
    </row>
    <row r="1125" spans="1:3" x14ac:dyDescent="0.2">
      <c r="A1125" s="104">
        <v>31</v>
      </c>
      <c r="B1125" s="135">
        <v>4.3600000000000003</v>
      </c>
      <c r="C1125" s="135"/>
    </row>
    <row r="1126" spans="1:3" x14ac:dyDescent="0.2">
      <c r="A1126" s="104">
        <v>31.1</v>
      </c>
      <c r="B1126" s="135">
        <v>4.37</v>
      </c>
      <c r="C1126" s="135"/>
    </row>
    <row r="1127" spans="1:3" x14ac:dyDescent="0.2">
      <c r="A1127" s="104">
        <v>31.2</v>
      </c>
      <c r="B1127" s="135">
        <v>4.38</v>
      </c>
      <c r="C1127" s="135"/>
    </row>
    <row r="1128" spans="1:3" x14ac:dyDescent="0.2">
      <c r="A1128" s="104">
        <v>31.3</v>
      </c>
      <c r="B1128" s="135">
        <v>4.3899999999999997</v>
      </c>
      <c r="C1128" s="135"/>
    </row>
    <row r="1129" spans="1:3" x14ac:dyDescent="0.2">
      <c r="A1129" s="104">
        <v>31.4</v>
      </c>
      <c r="B1129" s="135">
        <v>4.4000000000000004</v>
      </c>
      <c r="C1129" s="135"/>
    </row>
    <row r="1130" spans="1:3" x14ac:dyDescent="0.2">
      <c r="A1130" s="104">
        <v>31.5</v>
      </c>
      <c r="B1130" s="135">
        <v>4.41</v>
      </c>
      <c r="C1130" s="135"/>
    </row>
    <row r="1131" spans="1:3" x14ac:dyDescent="0.2">
      <c r="A1131" s="104">
        <v>31.6</v>
      </c>
      <c r="B1131" s="135">
        <v>4.42</v>
      </c>
      <c r="C1131" s="135"/>
    </row>
    <row r="1132" spans="1:3" x14ac:dyDescent="0.2">
      <c r="A1132" s="104">
        <v>31.7</v>
      </c>
      <c r="B1132" s="135">
        <v>4.43</v>
      </c>
      <c r="C1132" s="135"/>
    </row>
    <row r="1133" spans="1:3" x14ac:dyDescent="0.2">
      <c r="A1133" s="104">
        <v>31.8</v>
      </c>
      <c r="B1133" s="135">
        <v>4.4400000000000004</v>
      </c>
      <c r="C1133" s="135"/>
    </row>
    <row r="1134" spans="1:3" x14ac:dyDescent="0.2">
      <c r="A1134" s="104">
        <v>31.9</v>
      </c>
      <c r="B1134" s="135">
        <v>4.45</v>
      </c>
      <c r="C1134" s="135"/>
    </row>
    <row r="1135" spans="1:3" x14ac:dyDescent="0.2">
      <c r="A1135" s="104">
        <v>32</v>
      </c>
      <c r="B1135" s="135">
        <v>4.46</v>
      </c>
      <c r="C1135" s="135"/>
    </row>
    <row r="1136" spans="1:3" x14ac:dyDescent="0.2">
      <c r="A1136" s="104">
        <v>32.1</v>
      </c>
      <c r="B1136" s="135">
        <v>4.47</v>
      </c>
      <c r="C1136" s="135"/>
    </row>
    <row r="1137" spans="1:3" x14ac:dyDescent="0.2">
      <c r="A1137" s="104">
        <v>32.200000000000003</v>
      </c>
      <c r="B1137" s="135">
        <v>4.4800000000000004</v>
      </c>
      <c r="C1137" s="135"/>
    </row>
    <row r="1138" spans="1:3" x14ac:dyDescent="0.2">
      <c r="A1138" s="104">
        <v>32.299999999999997</v>
      </c>
      <c r="B1138" s="135">
        <v>4.49</v>
      </c>
      <c r="C1138" s="135"/>
    </row>
    <row r="1139" spans="1:3" x14ac:dyDescent="0.2">
      <c r="A1139" s="104">
        <v>32.4</v>
      </c>
      <c r="B1139" s="135">
        <v>4.5</v>
      </c>
      <c r="C1139" s="135"/>
    </row>
    <row r="1140" spans="1:3" x14ac:dyDescent="0.2">
      <c r="A1140" s="104">
        <v>32.5</v>
      </c>
      <c r="B1140" s="135">
        <v>4.51</v>
      </c>
      <c r="C1140" s="135"/>
    </row>
    <row r="1141" spans="1:3" x14ac:dyDescent="0.2">
      <c r="A1141" s="104">
        <v>32.6</v>
      </c>
      <c r="B1141" s="135">
        <v>4.5199999999999996</v>
      </c>
      <c r="C1141" s="135"/>
    </row>
    <row r="1142" spans="1:3" x14ac:dyDescent="0.2">
      <c r="A1142" s="104">
        <v>32.700000000000003</v>
      </c>
      <c r="B1142" s="135">
        <v>4.53</v>
      </c>
      <c r="C1142" s="135"/>
    </row>
    <row r="1143" spans="1:3" x14ac:dyDescent="0.2">
      <c r="A1143" s="104">
        <v>32.799999999999997</v>
      </c>
      <c r="B1143" s="135">
        <v>4.54</v>
      </c>
      <c r="C1143" s="135"/>
    </row>
    <row r="1144" spans="1:3" x14ac:dyDescent="0.2">
      <c r="A1144" s="104">
        <v>32.9</v>
      </c>
      <c r="B1144" s="135">
        <v>4.55</v>
      </c>
      <c r="C1144" s="135"/>
    </row>
    <row r="1145" spans="1:3" x14ac:dyDescent="0.2">
      <c r="A1145" s="104">
        <v>33</v>
      </c>
      <c r="B1145" s="135">
        <v>4.5599999999999996</v>
      </c>
      <c r="C1145" s="135"/>
    </row>
    <row r="1146" spans="1:3" x14ac:dyDescent="0.2">
      <c r="A1146" s="104">
        <v>33.1</v>
      </c>
      <c r="B1146" s="135">
        <v>4.57</v>
      </c>
      <c r="C1146" s="135"/>
    </row>
    <row r="1147" spans="1:3" x14ac:dyDescent="0.2">
      <c r="A1147" s="104">
        <v>33.200000000000003</v>
      </c>
      <c r="B1147" s="135">
        <v>4.58</v>
      </c>
      <c r="C1147" s="135"/>
    </row>
    <row r="1148" spans="1:3" x14ac:dyDescent="0.2">
      <c r="A1148" s="104">
        <v>33.299999999999997</v>
      </c>
      <c r="B1148" s="135">
        <v>4.59</v>
      </c>
      <c r="C1148" s="135"/>
    </row>
    <row r="1149" spans="1:3" x14ac:dyDescent="0.2">
      <c r="A1149" s="104">
        <v>33.4</v>
      </c>
      <c r="B1149" s="135">
        <v>4.5999999999999996</v>
      </c>
      <c r="C1149" s="135"/>
    </row>
    <row r="1150" spans="1:3" x14ac:dyDescent="0.2">
      <c r="A1150" s="104">
        <v>33.5</v>
      </c>
      <c r="B1150" s="135">
        <v>4.6100000000000003</v>
      </c>
      <c r="C1150" s="135"/>
    </row>
    <row r="1151" spans="1:3" x14ac:dyDescent="0.2">
      <c r="A1151" s="104">
        <v>33.6</v>
      </c>
      <c r="B1151" s="135">
        <v>4.62</v>
      </c>
      <c r="C1151" s="135"/>
    </row>
    <row r="1152" spans="1:3" x14ac:dyDescent="0.2">
      <c r="A1152" s="104">
        <v>33.700000000000003</v>
      </c>
      <c r="B1152" s="135">
        <v>4.63</v>
      </c>
      <c r="C1152" s="135"/>
    </row>
    <row r="1153" spans="1:3" x14ac:dyDescent="0.2">
      <c r="A1153" s="104">
        <v>33.799999999999997</v>
      </c>
      <c r="B1153" s="135">
        <v>4.6399999999999997</v>
      </c>
      <c r="C1153" s="135"/>
    </row>
    <row r="1154" spans="1:3" x14ac:dyDescent="0.2">
      <c r="A1154" s="104">
        <v>33.9</v>
      </c>
      <c r="B1154" s="135">
        <v>4.6500000000000004</v>
      </c>
      <c r="C1154" s="135"/>
    </row>
    <row r="1155" spans="1:3" x14ac:dyDescent="0.2">
      <c r="A1155" s="104">
        <v>34</v>
      </c>
      <c r="B1155" s="135">
        <v>4.66</v>
      </c>
      <c r="C1155" s="135"/>
    </row>
    <row r="1156" spans="1:3" x14ac:dyDescent="0.2">
      <c r="A1156" s="104">
        <v>34.1</v>
      </c>
      <c r="B1156" s="135">
        <v>4.67</v>
      </c>
      <c r="C1156" s="135"/>
    </row>
    <row r="1157" spans="1:3" x14ac:dyDescent="0.2">
      <c r="A1157" s="104">
        <v>34.200000000000003</v>
      </c>
      <c r="B1157" s="135">
        <v>4.68</v>
      </c>
      <c r="C1157" s="135"/>
    </row>
    <row r="1158" spans="1:3" x14ac:dyDescent="0.2">
      <c r="A1158" s="104">
        <v>34.299999999999997</v>
      </c>
      <c r="B1158" s="135">
        <v>4.6900000000000004</v>
      </c>
      <c r="C1158" s="135"/>
    </row>
    <row r="1159" spans="1:3" x14ac:dyDescent="0.2">
      <c r="A1159" s="104">
        <v>34.4</v>
      </c>
      <c r="B1159" s="135">
        <v>4.7</v>
      </c>
      <c r="C1159" s="135"/>
    </row>
    <row r="1160" spans="1:3" x14ac:dyDescent="0.2">
      <c r="A1160" s="104">
        <v>34.5</v>
      </c>
      <c r="B1160" s="135">
        <v>4.71</v>
      </c>
      <c r="C1160" s="135"/>
    </row>
    <row r="1161" spans="1:3" x14ac:dyDescent="0.2">
      <c r="A1161" s="104">
        <v>34.6</v>
      </c>
      <c r="B1161" s="135">
        <v>4.72</v>
      </c>
      <c r="C1161" s="135"/>
    </row>
    <row r="1162" spans="1:3" x14ac:dyDescent="0.2">
      <c r="A1162" s="104">
        <v>34.700000000000003</v>
      </c>
      <c r="B1162" s="135">
        <v>4.7300000000000004</v>
      </c>
      <c r="C1162" s="135"/>
    </row>
    <row r="1163" spans="1:3" x14ac:dyDescent="0.2">
      <c r="A1163" s="104">
        <v>34.799999999999997</v>
      </c>
      <c r="B1163" s="135">
        <v>4.74</v>
      </c>
      <c r="C1163" s="135"/>
    </row>
    <row r="1164" spans="1:3" x14ac:dyDescent="0.2">
      <c r="A1164" s="104">
        <v>34.9</v>
      </c>
      <c r="B1164" s="135">
        <v>4.75</v>
      </c>
      <c r="C1164" s="135"/>
    </row>
    <row r="1165" spans="1:3" x14ac:dyDescent="0.2">
      <c r="A1165" s="104">
        <v>35</v>
      </c>
      <c r="B1165" s="135">
        <v>4.76</v>
      </c>
      <c r="C1165" s="135"/>
    </row>
    <row r="1166" spans="1:3" x14ac:dyDescent="0.2">
      <c r="A1166" s="104">
        <v>35.1</v>
      </c>
      <c r="B1166" s="135">
        <v>4.7699999999999996</v>
      </c>
      <c r="C1166" s="135"/>
    </row>
    <row r="1167" spans="1:3" x14ac:dyDescent="0.2">
      <c r="A1167" s="104">
        <v>35.200000000000003</v>
      </c>
      <c r="B1167" s="135">
        <v>4.78</v>
      </c>
      <c r="C1167" s="135"/>
    </row>
    <row r="1168" spans="1:3" x14ac:dyDescent="0.2">
      <c r="A1168" s="104">
        <v>35.299999999999997</v>
      </c>
      <c r="B1168" s="135">
        <v>4.79</v>
      </c>
      <c r="C1168" s="135"/>
    </row>
    <row r="1169" spans="1:3" x14ac:dyDescent="0.2">
      <c r="A1169" s="104">
        <v>35.4</v>
      </c>
      <c r="B1169" s="135">
        <v>4.8</v>
      </c>
      <c r="C1169" s="135"/>
    </row>
    <row r="1170" spans="1:3" x14ac:dyDescent="0.2">
      <c r="A1170" s="104">
        <v>35.5</v>
      </c>
      <c r="B1170" s="135">
        <v>4.8099999999999996</v>
      </c>
      <c r="C1170" s="135"/>
    </row>
    <row r="1171" spans="1:3" x14ac:dyDescent="0.2">
      <c r="A1171" s="104">
        <v>35.6</v>
      </c>
      <c r="B1171" s="135">
        <v>4.82</v>
      </c>
      <c r="C1171" s="135"/>
    </row>
    <row r="1172" spans="1:3" x14ac:dyDescent="0.2">
      <c r="A1172" s="104">
        <v>35.700000000000003</v>
      </c>
      <c r="B1172" s="135">
        <v>4.83</v>
      </c>
      <c r="C1172" s="135"/>
    </row>
    <row r="1173" spans="1:3" x14ac:dyDescent="0.2">
      <c r="A1173" s="104">
        <v>35.799999999999997</v>
      </c>
      <c r="B1173" s="135">
        <v>4.84</v>
      </c>
      <c r="C1173" s="135"/>
    </row>
    <row r="1174" spans="1:3" x14ac:dyDescent="0.2">
      <c r="A1174" s="104">
        <v>35.9</v>
      </c>
      <c r="B1174" s="135">
        <v>4.8499999999999996</v>
      </c>
      <c r="C1174" s="135"/>
    </row>
    <row r="1175" spans="1:3" x14ac:dyDescent="0.2">
      <c r="A1175" s="104">
        <v>36</v>
      </c>
      <c r="B1175" s="135">
        <v>4.8600000000000003</v>
      </c>
      <c r="C1175" s="135"/>
    </row>
    <row r="1176" spans="1:3" x14ac:dyDescent="0.2">
      <c r="A1176" s="104">
        <v>36.1</v>
      </c>
      <c r="B1176" s="135">
        <v>4.87</v>
      </c>
      <c r="C1176" s="135"/>
    </row>
    <row r="1177" spans="1:3" x14ac:dyDescent="0.2">
      <c r="A1177" s="104">
        <v>36.200000000000003</v>
      </c>
      <c r="B1177" s="135">
        <v>4.88</v>
      </c>
      <c r="C1177" s="135"/>
    </row>
    <row r="1178" spans="1:3" x14ac:dyDescent="0.2">
      <c r="A1178" s="104">
        <v>36.299999999999997</v>
      </c>
      <c r="B1178" s="135">
        <v>4.8899999999999997</v>
      </c>
      <c r="C1178" s="135"/>
    </row>
    <row r="1179" spans="1:3" x14ac:dyDescent="0.2">
      <c r="A1179" s="104">
        <v>36.4</v>
      </c>
      <c r="B1179" s="135">
        <v>4.9000000000000004</v>
      </c>
      <c r="C1179" s="135"/>
    </row>
    <row r="1180" spans="1:3" x14ac:dyDescent="0.2">
      <c r="A1180" s="104">
        <v>36.5</v>
      </c>
      <c r="B1180" s="135">
        <v>4.91</v>
      </c>
      <c r="C1180" s="135"/>
    </row>
    <row r="1181" spans="1:3" x14ac:dyDescent="0.2">
      <c r="A1181" s="104">
        <v>36.6</v>
      </c>
      <c r="B1181" s="135">
        <v>4.92</v>
      </c>
      <c r="C1181" s="135"/>
    </row>
    <row r="1182" spans="1:3" x14ac:dyDescent="0.2">
      <c r="A1182" s="104">
        <v>36.700000000000003</v>
      </c>
      <c r="B1182" s="135">
        <v>4.93</v>
      </c>
      <c r="C1182" s="135"/>
    </row>
    <row r="1183" spans="1:3" x14ac:dyDescent="0.2">
      <c r="A1183" s="104">
        <v>36.799999999999997</v>
      </c>
      <c r="B1183" s="135">
        <v>4.9400000000000004</v>
      </c>
      <c r="C1183" s="135"/>
    </row>
    <row r="1184" spans="1:3" x14ac:dyDescent="0.2">
      <c r="A1184" s="104">
        <v>36.9</v>
      </c>
      <c r="B1184" s="135">
        <v>4.95</v>
      </c>
      <c r="C1184" s="135"/>
    </row>
    <row r="1185" spans="1:3" x14ac:dyDescent="0.2">
      <c r="A1185" s="104">
        <v>37</v>
      </c>
      <c r="B1185" s="135">
        <v>4.96</v>
      </c>
      <c r="C1185" s="135"/>
    </row>
    <row r="1186" spans="1:3" x14ac:dyDescent="0.2">
      <c r="A1186" s="104">
        <v>37.1</v>
      </c>
      <c r="B1186" s="135">
        <v>4.97</v>
      </c>
      <c r="C1186" s="135"/>
    </row>
    <row r="1187" spans="1:3" x14ac:dyDescent="0.2">
      <c r="A1187" s="104">
        <v>37.200000000000003</v>
      </c>
      <c r="B1187" s="135">
        <v>4.9800000000000004</v>
      </c>
      <c r="C1187" s="135"/>
    </row>
    <row r="1188" spans="1:3" x14ac:dyDescent="0.2">
      <c r="A1188" s="104">
        <v>37.299999999999997</v>
      </c>
      <c r="B1188" s="135">
        <v>4.99</v>
      </c>
      <c r="C1188" s="135"/>
    </row>
    <row r="1189" spans="1:3" x14ac:dyDescent="0.2">
      <c r="A1189" s="104">
        <v>37.4</v>
      </c>
      <c r="B1189" s="135">
        <v>5</v>
      </c>
      <c r="C1189" s="135"/>
    </row>
    <row r="1190" spans="1:3" x14ac:dyDescent="0.2">
      <c r="A1190" s="104">
        <v>37.5</v>
      </c>
      <c r="B1190" s="135">
        <v>5.01</v>
      </c>
      <c r="C1190" s="135"/>
    </row>
    <row r="1191" spans="1:3" x14ac:dyDescent="0.2">
      <c r="A1191" s="104">
        <v>37.6</v>
      </c>
      <c r="B1191" s="135">
        <v>5.0199999999999996</v>
      </c>
      <c r="C1191" s="135"/>
    </row>
    <row r="1192" spans="1:3" x14ac:dyDescent="0.2">
      <c r="A1192" s="104">
        <v>37.700000000000003</v>
      </c>
      <c r="B1192" s="135">
        <v>5.03</v>
      </c>
      <c r="C1192" s="135"/>
    </row>
    <row r="1193" spans="1:3" x14ac:dyDescent="0.2">
      <c r="A1193" s="104">
        <v>37.799999999999997</v>
      </c>
      <c r="B1193" s="135">
        <v>5.04</v>
      </c>
      <c r="C1193" s="135"/>
    </row>
    <row r="1194" spans="1:3" x14ac:dyDescent="0.2">
      <c r="A1194" s="104">
        <v>37.9</v>
      </c>
      <c r="B1194" s="135">
        <v>5.05</v>
      </c>
      <c r="C1194" s="135"/>
    </row>
    <row r="1195" spans="1:3" x14ac:dyDescent="0.2">
      <c r="A1195" s="104">
        <v>38</v>
      </c>
      <c r="B1195" s="135">
        <v>5.0599999999999996</v>
      </c>
      <c r="C1195" s="135"/>
    </row>
    <row r="1196" spans="1:3" x14ac:dyDescent="0.2">
      <c r="A1196" s="104">
        <v>38.1</v>
      </c>
      <c r="B1196" s="135">
        <v>5.07</v>
      </c>
      <c r="C1196" s="135"/>
    </row>
    <row r="1197" spans="1:3" x14ac:dyDescent="0.2">
      <c r="A1197" s="104">
        <v>38.200000000000003</v>
      </c>
      <c r="B1197" s="135">
        <v>5.08</v>
      </c>
      <c r="C1197" s="135"/>
    </row>
    <row r="1198" spans="1:3" x14ac:dyDescent="0.2">
      <c r="A1198" s="104">
        <v>38.299999999999997</v>
      </c>
      <c r="B1198" s="135">
        <v>5.09</v>
      </c>
      <c r="C1198" s="135"/>
    </row>
    <row r="1199" spans="1:3" x14ac:dyDescent="0.2">
      <c r="A1199" s="104">
        <v>38.4</v>
      </c>
      <c r="B1199" s="135">
        <v>5.0999999999999996</v>
      </c>
      <c r="C1199" s="135"/>
    </row>
    <row r="1200" spans="1:3" x14ac:dyDescent="0.2">
      <c r="A1200" s="104">
        <v>38.5</v>
      </c>
      <c r="B1200" s="135">
        <v>5.1100000000000003</v>
      </c>
      <c r="C1200" s="135"/>
    </row>
    <row r="1201" spans="1:3" x14ac:dyDescent="0.2">
      <c r="A1201" s="104">
        <v>38.6</v>
      </c>
      <c r="B1201" s="135">
        <v>5.12</v>
      </c>
      <c r="C1201" s="135"/>
    </row>
    <row r="1202" spans="1:3" x14ac:dyDescent="0.2">
      <c r="A1202" s="104">
        <v>38.700000000000003</v>
      </c>
      <c r="B1202" s="135">
        <v>5.13</v>
      </c>
      <c r="C1202" s="135"/>
    </row>
    <row r="1203" spans="1:3" x14ac:dyDescent="0.2">
      <c r="A1203" s="104">
        <v>38.799999999999997</v>
      </c>
      <c r="B1203" s="135">
        <v>5.14</v>
      </c>
      <c r="C1203" s="135"/>
    </row>
    <row r="1204" spans="1:3" x14ac:dyDescent="0.2">
      <c r="A1204" s="104">
        <v>38.9</v>
      </c>
      <c r="B1204" s="135">
        <v>5.15</v>
      </c>
      <c r="C1204" s="135"/>
    </row>
    <row r="1205" spans="1:3" x14ac:dyDescent="0.2">
      <c r="A1205" s="104">
        <v>39</v>
      </c>
      <c r="B1205" s="135">
        <v>5.16</v>
      </c>
      <c r="C1205" s="135"/>
    </row>
    <row r="1206" spans="1:3" x14ac:dyDescent="0.2">
      <c r="A1206" s="104">
        <v>39.1</v>
      </c>
      <c r="B1206" s="135">
        <v>5.17</v>
      </c>
      <c r="C1206" s="135"/>
    </row>
    <row r="1207" spans="1:3" x14ac:dyDescent="0.2">
      <c r="A1207" s="104">
        <v>39.200000000000003</v>
      </c>
      <c r="B1207" s="135">
        <v>5.18</v>
      </c>
      <c r="C1207" s="135"/>
    </row>
    <row r="1208" spans="1:3" x14ac:dyDescent="0.2">
      <c r="A1208" s="104">
        <v>39.299999999999997</v>
      </c>
      <c r="B1208" s="135">
        <v>5.19</v>
      </c>
      <c r="C1208" s="135"/>
    </row>
    <row r="1209" spans="1:3" x14ac:dyDescent="0.2">
      <c r="A1209" s="104">
        <v>39.4</v>
      </c>
      <c r="B1209" s="135">
        <v>5.2</v>
      </c>
      <c r="C1209" s="135"/>
    </row>
    <row r="1210" spans="1:3" x14ac:dyDescent="0.2">
      <c r="A1210" s="104">
        <v>39.5</v>
      </c>
      <c r="B1210" s="135">
        <v>5.21</v>
      </c>
      <c r="C1210" s="135"/>
    </row>
    <row r="1211" spans="1:3" x14ac:dyDescent="0.2">
      <c r="A1211" s="104">
        <v>39.6</v>
      </c>
      <c r="B1211" s="135">
        <v>5.22</v>
      </c>
      <c r="C1211" s="135"/>
    </row>
    <row r="1212" spans="1:3" x14ac:dyDescent="0.2">
      <c r="A1212" s="104">
        <v>39.700000000000003</v>
      </c>
      <c r="B1212" s="135">
        <v>5.23</v>
      </c>
      <c r="C1212" s="135"/>
    </row>
    <row r="1213" spans="1:3" x14ac:dyDescent="0.2">
      <c r="A1213" s="104">
        <v>39.799999999999997</v>
      </c>
      <c r="B1213" s="135">
        <v>5.24</v>
      </c>
      <c r="C1213" s="135"/>
    </row>
    <row r="1214" spans="1:3" x14ac:dyDescent="0.2">
      <c r="A1214" s="104">
        <v>39.9</v>
      </c>
      <c r="B1214" s="135">
        <v>5.25</v>
      </c>
      <c r="C1214" s="135"/>
    </row>
    <row r="1215" spans="1:3" x14ac:dyDescent="0.2">
      <c r="A1215" s="104">
        <v>40</v>
      </c>
      <c r="B1215" s="135">
        <v>5.26</v>
      </c>
      <c r="C1215" s="135"/>
    </row>
    <row r="1216" spans="1:3" x14ac:dyDescent="0.2">
      <c r="A1216" s="104">
        <v>40.1</v>
      </c>
      <c r="B1216" s="135">
        <v>5.27</v>
      </c>
      <c r="C1216" s="135"/>
    </row>
    <row r="1217" spans="1:3" x14ac:dyDescent="0.2">
      <c r="A1217" s="104">
        <v>40.200000000000003</v>
      </c>
      <c r="B1217" s="135">
        <v>5.28</v>
      </c>
      <c r="C1217" s="135"/>
    </row>
    <row r="1218" spans="1:3" x14ac:dyDescent="0.2">
      <c r="A1218" s="104">
        <v>40.299999999999997</v>
      </c>
      <c r="B1218" s="135">
        <v>5.29</v>
      </c>
      <c r="C1218" s="135"/>
    </row>
    <row r="1219" spans="1:3" x14ac:dyDescent="0.2">
      <c r="A1219" s="104">
        <v>40.4</v>
      </c>
      <c r="B1219" s="135">
        <v>5.3</v>
      </c>
      <c r="C1219" s="135"/>
    </row>
    <row r="1220" spans="1:3" x14ac:dyDescent="0.2">
      <c r="A1220" s="104">
        <v>40.5</v>
      </c>
      <c r="B1220" s="135">
        <v>5.31</v>
      </c>
      <c r="C1220" s="135"/>
    </row>
    <row r="1221" spans="1:3" x14ac:dyDescent="0.2">
      <c r="A1221" s="104">
        <v>40.6</v>
      </c>
      <c r="B1221" s="135">
        <v>5.32</v>
      </c>
      <c r="C1221" s="135"/>
    </row>
    <row r="1222" spans="1:3" x14ac:dyDescent="0.2">
      <c r="A1222" s="104">
        <v>40.700000000000003</v>
      </c>
      <c r="B1222" s="135">
        <v>5.33</v>
      </c>
      <c r="C1222" s="135"/>
    </row>
    <row r="1223" spans="1:3" x14ac:dyDescent="0.2">
      <c r="A1223" s="104">
        <v>40.799999999999997</v>
      </c>
      <c r="B1223" s="135">
        <v>5.34</v>
      </c>
      <c r="C1223" s="135"/>
    </row>
    <row r="1224" spans="1:3" x14ac:dyDescent="0.2">
      <c r="A1224" s="104">
        <v>40.9</v>
      </c>
      <c r="B1224" s="135">
        <v>5.35</v>
      </c>
      <c r="C1224" s="135"/>
    </row>
    <row r="1225" spans="1:3" x14ac:dyDescent="0.2">
      <c r="A1225" s="104">
        <v>41</v>
      </c>
      <c r="B1225" s="135">
        <v>5.36</v>
      </c>
      <c r="C1225" s="135"/>
    </row>
    <row r="1226" spans="1:3" x14ac:dyDescent="0.2">
      <c r="A1226" s="104">
        <v>41.1</v>
      </c>
      <c r="B1226" s="135">
        <v>5.37</v>
      </c>
      <c r="C1226" s="135"/>
    </row>
    <row r="1227" spans="1:3" x14ac:dyDescent="0.2">
      <c r="A1227" s="104">
        <v>41.2</v>
      </c>
      <c r="B1227" s="135">
        <v>5.38</v>
      </c>
      <c r="C1227" s="135"/>
    </row>
    <row r="1228" spans="1:3" x14ac:dyDescent="0.2">
      <c r="A1228" s="104">
        <v>41.3</v>
      </c>
      <c r="B1228" s="135">
        <v>5.39</v>
      </c>
      <c r="C1228" s="135"/>
    </row>
    <row r="1229" spans="1:3" x14ac:dyDescent="0.2">
      <c r="A1229" s="104">
        <v>41.4</v>
      </c>
      <c r="B1229" s="135">
        <v>5.4</v>
      </c>
      <c r="C1229" s="135"/>
    </row>
    <row r="1230" spans="1:3" x14ac:dyDescent="0.2">
      <c r="A1230" s="104">
        <v>41.5</v>
      </c>
      <c r="B1230" s="135">
        <v>5.41</v>
      </c>
      <c r="C1230" s="135"/>
    </row>
    <row r="1231" spans="1:3" x14ac:dyDescent="0.2">
      <c r="A1231" s="104">
        <v>41.6</v>
      </c>
      <c r="B1231" s="135">
        <v>5.42</v>
      </c>
      <c r="C1231" s="135"/>
    </row>
    <row r="1232" spans="1:3" x14ac:dyDescent="0.2">
      <c r="A1232" s="104">
        <v>41.7</v>
      </c>
      <c r="B1232" s="135">
        <v>5.43</v>
      </c>
      <c r="C1232" s="135"/>
    </row>
    <row r="1233" spans="1:3" x14ac:dyDescent="0.2">
      <c r="A1233" s="104">
        <v>41.8</v>
      </c>
      <c r="B1233" s="135">
        <v>5.44</v>
      </c>
      <c r="C1233" s="135"/>
    </row>
    <row r="1234" spans="1:3" x14ac:dyDescent="0.2">
      <c r="A1234" s="104">
        <v>41.9</v>
      </c>
      <c r="B1234" s="135">
        <v>5.45</v>
      </c>
      <c r="C1234" s="135"/>
    </row>
    <row r="1235" spans="1:3" x14ac:dyDescent="0.2">
      <c r="A1235" s="104">
        <v>42</v>
      </c>
      <c r="B1235" s="135">
        <v>5.46</v>
      </c>
      <c r="C1235" s="135"/>
    </row>
    <row r="1236" spans="1:3" x14ac:dyDescent="0.2">
      <c r="A1236" s="104">
        <v>42.1</v>
      </c>
      <c r="B1236" s="135">
        <v>5.47</v>
      </c>
      <c r="C1236" s="135"/>
    </row>
    <row r="1237" spans="1:3" x14ac:dyDescent="0.2">
      <c r="A1237" s="104">
        <v>42.2</v>
      </c>
      <c r="B1237" s="135">
        <v>5.48</v>
      </c>
      <c r="C1237" s="135"/>
    </row>
    <row r="1238" spans="1:3" x14ac:dyDescent="0.2">
      <c r="A1238" s="104">
        <v>42.3</v>
      </c>
      <c r="B1238" s="135">
        <v>5.49</v>
      </c>
      <c r="C1238" s="135"/>
    </row>
    <row r="1239" spans="1:3" x14ac:dyDescent="0.2">
      <c r="A1239" s="104">
        <v>42.4</v>
      </c>
      <c r="B1239" s="135">
        <v>5.5</v>
      </c>
      <c r="C1239" s="135"/>
    </row>
    <row r="1240" spans="1:3" x14ac:dyDescent="0.2">
      <c r="A1240" s="104">
        <v>42.5</v>
      </c>
      <c r="B1240" s="135">
        <v>5.51</v>
      </c>
      <c r="C1240" s="135"/>
    </row>
    <row r="1241" spans="1:3" x14ac:dyDescent="0.2">
      <c r="A1241" s="104">
        <v>42.6</v>
      </c>
      <c r="B1241" s="135">
        <v>5.52</v>
      </c>
      <c r="C1241" s="135"/>
    </row>
    <row r="1242" spans="1:3" x14ac:dyDescent="0.2">
      <c r="A1242" s="104">
        <v>42.7</v>
      </c>
      <c r="B1242" s="135">
        <v>5.53</v>
      </c>
      <c r="C1242" s="135"/>
    </row>
    <row r="1243" spans="1:3" x14ac:dyDescent="0.2">
      <c r="A1243" s="104">
        <v>42.8</v>
      </c>
      <c r="B1243" s="135">
        <v>5.54</v>
      </c>
      <c r="C1243" s="135"/>
    </row>
    <row r="1244" spans="1:3" x14ac:dyDescent="0.2">
      <c r="A1244" s="104">
        <v>42.9</v>
      </c>
      <c r="B1244" s="135">
        <v>5.55</v>
      </c>
      <c r="C1244" s="135"/>
    </row>
    <row r="1245" spans="1:3" x14ac:dyDescent="0.2">
      <c r="A1245" s="104">
        <v>43</v>
      </c>
      <c r="B1245" s="135">
        <v>5.56</v>
      </c>
      <c r="C1245" s="135"/>
    </row>
    <row r="1246" spans="1:3" x14ac:dyDescent="0.2">
      <c r="A1246" s="104">
        <v>43.1</v>
      </c>
      <c r="B1246" s="135">
        <v>5.57</v>
      </c>
      <c r="C1246" s="135"/>
    </row>
    <row r="1247" spans="1:3" x14ac:dyDescent="0.2">
      <c r="A1247" s="104">
        <v>43.2</v>
      </c>
      <c r="B1247" s="135">
        <v>5.58</v>
      </c>
      <c r="C1247" s="135"/>
    </row>
    <row r="1248" spans="1:3" x14ac:dyDescent="0.2">
      <c r="A1248" s="104">
        <v>43.3</v>
      </c>
      <c r="B1248" s="135">
        <v>5.59</v>
      </c>
      <c r="C1248" s="135"/>
    </row>
    <row r="1249" spans="1:3" x14ac:dyDescent="0.2">
      <c r="A1249" s="104">
        <v>43.4</v>
      </c>
      <c r="B1249" s="135">
        <v>5.6</v>
      </c>
      <c r="C1249" s="135"/>
    </row>
    <row r="1250" spans="1:3" x14ac:dyDescent="0.2">
      <c r="A1250" s="104">
        <v>43.5</v>
      </c>
      <c r="B1250" s="135">
        <v>5.61</v>
      </c>
      <c r="C1250" s="135"/>
    </row>
    <row r="1251" spans="1:3" x14ac:dyDescent="0.2">
      <c r="A1251" s="104">
        <v>43.6</v>
      </c>
      <c r="B1251" s="135">
        <v>5.62</v>
      </c>
      <c r="C1251" s="135"/>
    </row>
    <row r="1252" spans="1:3" x14ac:dyDescent="0.2">
      <c r="A1252" s="104">
        <v>43.7</v>
      </c>
      <c r="B1252" s="135">
        <v>5.63</v>
      </c>
      <c r="C1252" s="135"/>
    </row>
    <row r="1253" spans="1:3" x14ac:dyDescent="0.2">
      <c r="A1253" s="104">
        <v>43.8</v>
      </c>
      <c r="B1253" s="135">
        <v>5.64</v>
      </c>
      <c r="C1253" s="135"/>
    </row>
    <row r="1254" spans="1:3" x14ac:dyDescent="0.2">
      <c r="A1254" s="104">
        <v>43.9</v>
      </c>
      <c r="B1254" s="135">
        <v>5.65</v>
      </c>
      <c r="C1254" s="135"/>
    </row>
    <row r="1255" spans="1:3" x14ac:dyDescent="0.2">
      <c r="A1255" s="104">
        <v>44</v>
      </c>
      <c r="B1255" s="135">
        <v>5.66</v>
      </c>
      <c r="C1255" s="135"/>
    </row>
    <row r="1256" spans="1:3" x14ac:dyDescent="0.2">
      <c r="A1256" s="104">
        <v>44.1</v>
      </c>
      <c r="B1256" s="135">
        <v>5.67</v>
      </c>
      <c r="C1256" s="135"/>
    </row>
    <row r="1257" spans="1:3" x14ac:dyDescent="0.2">
      <c r="A1257" s="104">
        <v>44.2</v>
      </c>
      <c r="B1257" s="135">
        <v>5.68</v>
      </c>
      <c r="C1257" s="135"/>
    </row>
    <row r="1258" spans="1:3" x14ac:dyDescent="0.2">
      <c r="A1258" s="104">
        <v>44.3</v>
      </c>
      <c r="B1258" s="135">
        <v>5.69</v>
      </c>
      <c r="C1258" s="135"/>
    </row>
    <row r="1259" spans="1:3" x14ac:dyDescent="0.2">
      <c r="A1259" s="104">
        <v>44.4</v>
      </c>
      <c r="B1259" s="135">
        <v>5.7</v>
      </c>
      <c r="C1259" s="135"/>
    </row>
    <row r="1260" spans="1:3" x14ac:dyDescent="0.2">
      <c r="A1260" s="104">
        <v>44.5</v>
      </c>
      <c r="B1260" s="135">
        <v>5.71</v>
      </c>
      <c r="C1260" s="135"/>
    </row>
    <row r="1261" spans="1:3" x14ac:dyDescent="0.2">
      <c r="A1261" s="104">
        <v>44.6</v>
      </c>
      <c r="B1261" s="135">
        <v>5.72</v>
      </c>
      <c r="C1261" s="135"/>
    </row>
    <row r="1262" spans="1:3" x14ac:dyDescent="0.2">
      <c r="A1262" s="104">
        <v>44.7</v>
      </c>
      <c r="B1262" s="135">
        <v>5.73</v>
      </c>
      <c r="C1262" s="135"/>
    </row>
    <row r="1263" spans="1:3" x14ac:dyDescent="0.2">
      <c r="A1263" s="104">
        <v>44.8</v>
      </c>
      <c r="B1263" s="135">
        <v>5.74</v>
      </c>
      <c r="C1263" s="135"/>
    </row>
    <row r="1264" spans="1:3" x14ac:dyDescent="0.2">
      <c r="A1264" s="104">
        <v>44.9</v>
      </c>
      <c r="B1264" s="135">
        <v>5.75</v>
      </c>
      <c r="C1264" s="135"/>
    </row>
    <row r="1265" spans="1:3" x14ac:dyDescent="0.2">
      <c r="A1265" s="104">
        <v>45</v>
      </c>
      <c r="B1265" s="135">
        <v>5.76</v>
      </c>
      <c r="C1265" s="135"/>
    </row>
    <row r="1266" spans="1:3" x14ac:dyDescent="0.2">
      <c r="A1266" s="104">
        <v>45.1</v>
      </c>
      <c r="B1266" s="135">
        <v>5.77</v>
      </c>
      <c r="C1266" s="135"/>
    </row>
    <row r="1267" spans="1:3" x14ac:dyDescent="0.2">
      <c r="A1267" s="104">
        <v>45.2</v>
      </c>
      <c r="B1267" s="135">
        <v>5.78</v>
      </c>
      <c r="C1267" s="135"/>
    </row>
    <row r="1268" spans="1:3" x14ac:dyDescent="0.2">
      <c r="A1268" s="104">
        <v>45.3</v>
      </c>
      <c r="B1268" s="135">
        <v>5.79</v>
      </c>
      <c r="C1268" s="135"/>
    </row>
    <row r="1269" spans="1:3" x14ac:dyDescent="0.2">
      <c r="A1269" s="104">
        <v>45.4</v>
      </c>
      <c r="B1269" s="135">
        <v>5.8</v>
      </c>
      <c r="C1269" s="135"/>
    </row>
    <row r="1270" spans="1:3" x14ac:dyDescent="0.2">
      <c r="A1270" s="104">
        <v>45.5</v>
      </c>
      <c r="B1270" s="135">
        <v>5.81</v>
      </c>
      <c r="C1270" s="135"/>
    </row>
    <row r="1271" spans="1:3" x14ac:dyDescent="0.2">
      <c r="A1271" s="104">
        <v>45.6</v>
      </c>
      <c r="B1271" s="135">
        <v>5.82</v>
      </c>
      <c r="C1271" s="135"/>
    </row>
    <row r="1272" spans="1:3" x14ac:dyDescent="0.2">
      <c r="A1272" s="104">
        <v>45.7</v>
      </c>
      <c r="B1272" s="135">
        <v>5.83</v>
      </c>
      <c r="C1272" s="135"/>
    </row>
    <row r="1273" spans="1:3" x14ac:dyDescent="0.2">
      <c r="A1273" s="104">
        <v>45.8</v>
      </c>
      <c r="B1273" s="135">
        <v>5.84</v>
      </c>
      <c r="C1273" s="135"/>
    </row>
    <row r="1274" spans="1:3" x14ac:dyDescent="0.2">
      <c r="A1274" s="104">
        <v>45.9</v>
      </c>
      <c r="B1274" s="135">
        <v>5.85</v>
      </c>
      <c r="C1274" s="135"/>
    </row>
    <row r="1275" spans="1:3" x14ac:dyDescent="0.2">
      <c r="A1275" s="104">
        <v>46</v>
      </c>
      <c r="B1275" s="135">
        <v>5.86</v>
      </c>
      <c r="C1275" s="135"/>
    </row>
    <row r="1276" spans="1:3" x14ac:dyDescent="0.2">
      <c r="A1276" s="104">
        <v>46.1</v>
      </c>
      <c r="B1276" s="135">
        <v>5.87</v>
      </c>
      <c r="C1276" s="135"/>
    </row>
    <row r="1277" spans="1:3" x14ac:dyDescent="0.2">
      <c r="A1277" s="104">
        <v>46.2</v>
      </c>
      <c r="B1277" s="135">
        <v>5.88</v>
      </c>
      <c r="C1277" s="135"/>
    </row>
    <row r="1278" spans="1:3" x14ac:dyDescent="0.2">
      <c r="A1278" s="104">
        <v>46.3</v>
      </c>
      <c r="B1278" s="135">
        <v>5.89</v>
      </c>
      <c r="C1278" s="135"/>
    </row>
    <row r="1279" spans="1:3" x14ac:dyDescent="0.2">
      <c r="A1279" s="104">
        <v>46.4</v>
      </c>
      <c r="B1279" s="135">
        <v>5.9</v>
      </c>
      <c r="C1279" s="135"/>
    </row>
    <row r="1280" spans="1:3" x14ac:dyDescent="0.2">
      <c r="A1280" s="104">
        <v>46.5</v>
      </c>
      <c r="B1280" s="135">
        <v>5.91</v>
      </c>
      <c r="C1280" s="135"/>
    </row>
    <row r="1281" spans="1:3" x14ac:dyDescent="0.2">
      <c r="A1281" s="104">
        <v>46.6</v>
      </c>
      <c r="B1281" s="135">
        <v>5.92</v>
      </c>
      <c r="C1281" s="135"/>
    </row>
    <row r="1282" spans="1:3" x14ac:dyDescent="0.2">
      <c r="A1282" s="104">
        <v>46.7</v>
      </c>
      <c r="B1282" s="135">
        <v>5.93</v>
      </c>
      <c r="C1282" s="135"/>
    </row>
    <row r="1283" spans="1:3" x14ac:dyDescent="0.2">
      <c r="A1283" s="104">
        <v>46.8</v>
      </c>
      <c r="B1283" s="135">
        <v>5.94</v>
      </c>
      <c r="C1283" s="135"/>
    </row>
    <row r="1284" spans="1:3" x14ac:dyDescent="0.2">
      <c r="A1284" s="104">
        <v>46.9</v>
      </c>
      <c r="B1284" s="135">
        <v>5.95</v>
      </c>
      <c r="C1284" s="135"/>
    </row>
    <row r="1285" spans="1:3" x14ac:dyDescent="0.2">
      <c r="A1285" s="104">
        <v>47</v>
      </c>
      <c r="B1285" s="135">
        <v>5.96</v>
      </c>
      <c r="C1285" s="135"/>
    </row>
    <row r="1286" spans="1:3" x14ac:dyDescent="0.2">
      <c r="A1286" s="104">
        <v>47.1</v>
      </c>
      <c r="B1286" s="135">
        <v>5.97</v>
      </c>
      <c r="C1286" s="135"/>
    </row>
    <row r="1287" spans="1:3" x14ac:dyDescent="0.2">
      <c r="A1287" s="104">
        <v>47.2</v>
      </c>
      <c r="B1287" s="135">
        <v>5.98</v>
      </c>
      <c r="C1287" s="135"/>
    </row>
    <row r="1288" spans="1:3" x14ac:dyDescent="0.2">
      <c r="A1288" s="104">
        <v>47.3</v>
      </c>
      <c r="B1288" s="135">
        <v>5.99</v>
      </c>
      <c r="C1288" s="135"/>
    </row>
    <row r="1289" spans="1:3" x14ac:dyDescent="0.2">
      <c r="A1289" s="104">
        <v>47.4</v>
      </c>
      <c r="B1289" s="135">
        <v>6</v>
      </c>
      <c r="C1289" s="135"/>
    </row>
    <row r="1290" spans="1:3" x14ac:dyDescent="0.2">
      <c r="A1290" s="104">
        <v>47.5</v>
      </c>
      <c r="B1290" s="135">
        <v>6.01</v>
      </c>
      <c r="C1290" s="135"/>
    </row>
    <row r="1291" spans="1:3" x14ac:dyDescent="0.2">
      <c r="A1291" s="104">
        <v>47.6</v>
      </c>
      <c r="B1291" s="135">
        <v>6.02</v>
      </c>
      <c r="C1291" s="135"/>
    </row>
    <row r="1292" spans="1:3" x14ac:dyDescent="0.2">
      <c r="A1292" s="104">
        <v>47.7</v>
      </c>
      <c r="B1292" s="135">
        <v>6.03</v>
      </c>
      <c r="C1292" s="135"/>
    </row>
    <row r="1293" spans="1:3" x14ac:dyDescent="0.2">
      <c r="A1293" s="104">
        <v>47.8</v>
      </c>
      <c r="B1293" s="135">
        <v>6.04</v>
      </c>
      <c r="C1293" s="135"/>
    </row>
    <row r="1294" spans="1:3" x14ac:dyDescent="0.2">
      <c r="A1294" s="104">
        <v>47.9</v>
      </c>
      <c r="B1294" s="135">
        <v>6.05</v>
      </c>
      <c r="C1294" s="135"/>
    </row>
    <row r="1295" spans="1:3" x14ac:dyDescent="0.2">
      <c r="A1295" s="104">
        <v>48</v>
      </c>
      <c r="B1295" s="135">
        <v>6.06</v>
      </c>
      <c r="C1295" s="135"/>
    </row>
    <row r="1296" spans="1:3" x14ac:dyDescent="0.2">
      <c r="A1296" s="9"/>
      <c r="B1296" s="135">
        <v>6.07</v>
      </c>
      <c r="C1296" s="135"/>
    </row>
    <row r="1297" spans="1:3" x14ac:dyDescent="0.2">
      <c r="A1297" s="9"/>
      <c r="B1297" s="135">
        <v>6.08</v>
      </c>
      <c r="C1297" s="135"/>
    </row>
    <row r="1298" spans="1:3" x14ac:dyDescent="0.2">
      <c r="A1298" s="9"/>
      <c r="B1298" s="135">
        <v>6.09</v>
      </c>
      <c r="C1298" s="135"/>
    </row>
    <row r="1299" spans="1:3" x14ac:dyDescent="0.2">
      <c r="A1299" s="9"/>
      <c r="B1299" s="135">
        <v>6.1</v>
      </c>
      <c r="C1299" s="135"/>
    </row>
    <row r="1300" spans="1:3" x14ac:dyDescent="0.2">
      <c r="A1300" s="9"/>
      <c r="B1300" s="135">
        <v>6.11</v>
      </c>
      <c r="C1300" s="135"/>
    </row>
    <row r="1301" spans="1:3" x14ac:dyDescent="0.2">
      <c r="A1301" s="9"/>
      <c r="B1301" s="135">
        <v>6.12</v>
      </c>
      <c r="C1301" s="135"/>
    </row>
    <row r="1302" spans="1:3" x14ac:dyDescent="0.2">
      <c r="A1302" s="9"/>
      <c r="B1302" s="135">
        <v>6.13</v>
      </c>
      <c r="C1302" s="135"/>
    </row>
    <row r="1303" spans="1:3" x14ac:dyDescent="0.2">
      <c r="A1303" s="9"/>
      <c r="B1303" s="135">
        <v>6.14</v>
      </c>
      <c r="C1303" s="135"/>
    </row>
    <row r="1304" spans="1:3" x14ac:dyDescent="0.2">
      <c r="A1304" s="9"/>
      <c r="B1304" s="135">
        <v>6.15</v>
      </c>
      <c r="C1304" s="135"/>
    </row>
    <row r="1305" spans="1:3" x14ac:dyDescent="0.2">
      <c r="A1305" s="9"/>
      <c r="B1305" s="135">
        <v>6.16</v>
      </c>
      <c r="C1305" s="135"/>
    </row>
    <row r="1306" spans="1:3" x14ac:dyDescent="0.2">
      <c r="A1306" s="9"/>
      <c r="B1306" s="135">
        <v>6.17</v>
      </c>
      <c r="C1306" s="135"/>
    </row>
    <row r="1307" spans="1:3" x14ac:dyDescent="0.2">
      <c r="A1307" s="9"/>
      <c r="B1307" s="135">
        <v>6.18</v>
      </c>
      <c r="C1307" s="135"/>
    </row>
    <row r="1308" spans="1:3" x14ac:dyDescent="0.2">
      <c r="A1308" s="9"/>
      <c r="B1308" s="135">
        <v>6.19</v>
      </c>
      <c r="C1308" s="135"/>
    </row>
    <row r="1309" spans="1:3" x14ac:dyDescent="0.2">
      <c r="A1309" s="9"/>
      <c r="B1309" s="135">
        <v>6.2</v>
      </c>
      <c r="C1309" s="135"/>
    </row>
    <row r="1310" spans="1:3" x14ac:dyDescent="0.2">
      <c r="A1310" s="9"/>
      <c r="B1310" s="135">
        <v>6.21</v>
      </c>
      <c r="C1310" s="135"/>
    </row>
    <row r="1311" spans="1:3" x14ac:dyDescent="0.2">
      <c r="A1311" s="9"/>
      <c r="B1311" s="135">
        <v>6.22</v>
      </c>
      <c r="C1311" s="135"/>
    </row>
    <row r="1312" spans="1:3" x14ac:dyDescent="0.2">
      <c r="A1312" s="9"/>
      <c r="B1312" s="135">
        <v>6.23</v>
      </c>
      <c r="C1312" s="135"/>
    </row>
    <row r="1313" spans="1:3" x14ac:dyDescent="0.2">
      <c r="A1313" s="9"/>
      <c r="B1313" s="135">
        <v>6.24</v>
      </c>
      <c r="C1313" s="135"/>
    </row>
    <row r="1314" spans="1:3" x14ac:dyDescent="0.2">
      <c r="A1314" s="9"/>
      <c r="B1314" s="135">
        <v>6.25</v>
      </c>
      <c r="C1314" s="135"/>
    </row>
    <row r="1315" spans="1:3" x14ac:dyDescent="0.2">
      <c r="A1315" s="9"/>
      <c r="B1315" s="135">
        <v>6.26</v>
      </c>
      <c r="C1315" s="135"/>
    </row>
    <row r="1316" spans="1:3" x14ac:dyDescent="0.2">
      <c r="A1316" s="9"/>
      <c r="B1316" s="135">
        <v>6.27</v>
      </c>
      <c r="C1316" s="135"/>
    </row>
    <row r="1317" spans="1:3" x14ac:dyDescent="0.2">
      <c r="A1317" s="9"/>
      <c r="B1317" s="135">
        <v>6.28</v>
      </c>
      <c r="C1317" s="135"/>
    </row>
    <row r="1318" spans="1:3" x14ac:dyDescent="0.2">
      <c r="A1318" s="9"/>
      <c r="B1318" s="135">
        <v>6.29</v>
      </c>
      <c r="C1318" s="135"/>
    </row>
    <row r="1319" spans="1:3" x14ac:dyDescent="0.2">
      <c r="A1319" s="9"/>
      <c r="B1319" s="135">
        <v>6.3</v>
      </c>
      <c r="C1319" s="135"/>
    </row>
    <row r="1320" spans="1:3" x14ac:dyDescent="0.2">
      <c r="A1320" s="9"/>
      <c r="B1320" s="135">
        <v>6.31</v>
      </c>
      <c r="C1320" s="135"/>
    </row>
    <row r="1321" spans="1:3" x14ac:dyDescent="0.2">
      <c r="A1321" s="9"/>
      <c r="B1321" s="135">
        <v>6.32</v>
      </c>
      <c r="C1321" s="135"/>
    </row>
    <row r="1322" spans="1:3" x14ac:dyDescent="0.2">
      <c r="A1322" s="9"/>
      <c r="B1322" s="135">
        <v>6.33</v>
      </c>
      <c r="C1322" s="135"/>
    </row>
    <row r="1323" spans="1:3" x14ac:dyDescent="0.2">
      <c r="A1323" s="9"/>
      <c r="B1323" s="135">
        <v>6.34</v>
      </c>
      <c r="C1323" s="135"/>
    </row>
    <row r="1324" spans="1:3" x14ac:dyDescent="0.2">
      <c r="A1324" s="9"/>
      <c r="B1324" s="135">
        <v>6.35</v>
      </c>
      <c r="C1324" s="135"/>
    </row>
    <row r="1325" spans="1:3" x14ac:dyDescent="0.2">
      <c r="A1325" s="9"/>
      <c r="B1325" s="135">
        <v>6.36</v>
      </c>
      <c r="C1325" s="135"/>
    </row>
    <row r="1326" spans="1:3" x14ac:dyDescent="0.2">
      <c r="A1326" s="9"/>
      <c r="B1326" s="135">
        <v>6.37</v>
      </c>
      <c r="C1326" s="135"/>
    </row>
    <row r="1327" spans="1:3" x14ac:dyDescent="0.2">
      <c r="A1327" s="9"/>
      <c r="B1327" s="135">
        <v>6.38</v>
      </c>
      <c r="C1327" s="135"/>
    </row>
    <row r="1328" spans="1:3" x14ac:dyDescent="0.2">
      <c r="A1328" s="9"/>
      <c r="B1328" s="135">
        <v>6.39</v>
      </c>
      <c r="C1328" s="135"/>
    </row>
    <row r="1329" spans="1:3" x14ac:dyDescent="0.2">
      <c r="A1329" s="9"/>
      <c r="B1329" s="135">
        <v>6.4</v>
      </c>
      <c r="C1329" s="135"/>
    </row>
    <row r="1330" spans="1:3" x14ac:dyDescent="0.2">
      <c r="A1330" s="9"/>
      <c r="B1330" s="135">
        <v>6.41</v>
      </c>
      <c r="C1330" s="135"/>
    </row>
    <row r="1331" spans="1:3" x14ac:dyDescent="0.2">
      <c r="A1331" s="9"/>
      <c r="B1331" s="135">
        <v>6.42</v>
      </c>
      <c r="C1331" s="135"/>
    </row>
    <row r="1332" spans="1:3" x14ac:dyDescent="0.2">
      <c r="A1332" s="9"/>
      <c r="B1332" s="135">
        <v>6.43</v>
      </c>
      <c r="C1332" s="135"/>
    </row>
    <row r="1333" spans="1:3" x14ac:dyDescent="0.2">
      <c r="A1333" s="9"/>
      <c r="B1333" s="135">
        <v>6.44</v>
      </c>
      <c r="C1333" s="135"/>
    </row>
    <row r="1334" spans="1:3" x14ac:dyDescent="0.2">
      <c r="A1334" s="9"/>
      <c r="B1334" s="135">
        <v>6.45</v>
      </c>
      <c r="C1334" s="135"/>
    </row>
    <row r="1335" spans="1:3" x14ac:dyDescent="0.2">
      <c r="A1335" s="9"/>
      <c r="B1335" s="135">
        <v>6.46</v>
      </c>
      <c r="C1335" s="135"/>
    </row>
    <row r="1336" spans="1:3" x14ac:dyDescent="0.2">
      <c r="A1336" s="9"/>
      <c r="B1336" s="135">
        <v>6.47</v>
      </c>
      <c r="C1336" s="135"/>
    </row>
    <row r="1337" spans="1:3" x14ac:dyDescent="0.2">
      <c r="A1337" s="9"/>
      <c r="B1337" s="135">
        <v>6.48</v>
      </c>
      <c r="C1337" s="135"/>
    </row>
    <row r="1338" spans="1:3" x14ac:dyDescent="0.2">
      <c r="A1338" s="9"/>
      <c r="B1338" s="135">
        <v>6.49</v>
      </c>
      <c r="C1338" s="135"/>
    </row>
    <row r="1339" spans="1:3" x14ac:dyDescent="0.2">
      <c r="A1339" s="9"/>
      <c r="B1339" s="135">
        <v>6.5</v>
      </c>
      <c r="C1339" s="135"/>
    </row>
    <row r="1340" spans="1:3" x14ac:dyDescent="0.2">
      <c r="A1340" s="9"/>
      <c r="B1340" s="135">
        <v>6.51</v>
      </c>
      <c r="C1340" s="135"/>
    </row>
    <row r="1341" spans="1:3" x14ac:dyDescent="0.2">
      <c r="A1341" s="9"/>
      <c r="B1341" s="135">
        <v>6.52</v>
      </c>
      <c r="C1341" s="135"/>
    </row>
    <row r="1342" spans="1:3" x14ac:dyDescent="0.2">
      <c r="A1342" s="9"/>
      <c r="B1342" s="135">
        <v>6.53</v>
      </c>
      <c r="C1342" s="135"/>
    </row>
    <row r="1343" spans="1:3" x14ac:dyDescent="0.2">
      <c r="A1343" s="9"/>
      <c r="B1343" s="135">
        <v>6.54</v>
      </c>
      <c r="C1343" s="135"/>
    </row>
    <row r="1344" spans="1:3" x14ac:dyDescent="0.2">
      <c r="A1344" s="9"/>
      <c r="B1344" s="135">
        <v>6.55</v>
      </c>
      <c r="C1344" s="135"/>
    </row>
    <row r="1345" spans="1:3" x14ac:dyDescent="0.2">
      <c r="A1345" s="9"/>
      <c r="B1345" s="135">
        <v>6.56</v>
      </c>
      <c r="C1345" s="135"/>
    </row>
    <row r="1346" spans="1:3" x14ac:dyDescent="0.2">
      <c r="A1346" s="9"/>
      <c r="B1346" s="135">
        <v>6.57</v>
      </c>
      <c r="C1346" s="135"/>
    </row>
    <row r="1347" spans="1:3" x14ac:dyDescent="0.2">
      <c r="A1347" s="9"/>
      <c r="B1347" s="135">
        <v>6.58</v>
      </c>
      <c r="C1347" s="135"/>
    </row>
    <row r="1348" spans="1:3" x14ac:dyDescent="0.2">
      <c r="A1348" s="9"/>
      <c r="B1348" s="135">
        <v>6.59</v>
      </c>
      <c r="C1348" s="135"/>
    </row>
    <row r="1349" spans="1:3" x14ac:dyDescent="0.2">
      <c r="A1349" s="9"/>
      <c r="B1349" s="135">
        <v>6.6</v>
      </c>
      <c r="C1349" s="135"/>
    </row>
    <row r="1350" spans="1:3" x14ac:dyDescent="0.2">
      <c r="A1350" s="9"/>
      <c r="B1350" s="135">
        <v>6.61</v>
      </c>
      <c r="C1350" s="135"/>
    </row>
    <row r="1351" spans="1:3" x14ac:dyDescent="0.2">
      <c r="A1351" s="9"/>
      <c r="B1351" s="135">
        <v>6.62</v>
      </c>
      <c r="C1351" s="135"/>
    </row>
    <row r="1352" spans="1:3" x14ac:dyDescent="0.2">
      <c r="A1352" s="9"/>
      <c r="B1352" s="135">
        <v>6.63</v>
      </c>
      <c r="C1352" s="135"/>
    </row>
    <row r="1353" spans="1:3" x14ac:dyDescent="0.2">
      <c r="A1353" s="9"/>
      <c r="B1353" s="135">
        <v>6.64</v>
      </c>
      <c r="C1353" s="135"/>
    </row>
    <row r="1354" spans="1:3" x14ac:dyDescent="0.2">
      <c r="A1354" s="9"/>
      <c r="B1354" s="135">
        <v>6.65</v>
      </c>
      <c r="C1354" s="135"/>
    </row>
    <row r="1355" spans="1:3" x14ac:dyDescent="0.2">
      <c r="A1355" s="9"/>
      <c r="B1355" s="135">
        <v>6.66</v>
      </c>
      <c r="C1355" s="135"/>
    </row>
    <row r="1356" spans="1:3" x14ac:dyDescent="0.2">
      <c r="A1356" s="9"/>
      <c r="B1356" s="135">
        <v>6.67</v>
      </c>
      <c r="C1356" s="135"/>
    </row>
    <row r="1357" spans="1:3" x14ac:dyDescent="0.2">
      <c r="A1357" s="9"/>
      <c r="B1357" s="135">
        <v>6.68</v>
      </c>
      <c r="C1357" s="135"/>
    </row>
    <row r="1358" spans="1:3" x14ac:dyDescent="0.2">
      <c r="A1358" s="9"/>
      <c r="B1358" s="135">
        <v>6.69</v>
      </c>
      <c r="C1358" s="135"/>
    </row>
    <row r="1359" spans="1:3" x14ac:dyDescent="0.2">
      <c r="A1359" s="9"/>
      <c r="B1359" s="135">
        <v>6.7</v>
      </c>
      <c r="C1359" s="135"/>
    </row>
    <row r="1360" spans="1:3" x14ac:dyDescent="0.2">
      <c r="A1360" s="9"/>
      <c r="B1360" s="135">
        <v>6.71</v>
      </c>
      <c r="C1360" s="135"/>
    </row>
    <row r="1361" spans="1:3" x14ac:dyDescent="0.2">
      <c r="A1361" s="9"/>
      <c r="B1361" s="135">
        <v>6.72</v>
      </c>
      <c r="C1361" s="135"/>
    </row>
    <row r="1362" spans="1:3" x14ac:dyDescent="0.2">
      <c r="A1362" s="9"/>
      <c r="B1362" s="135">
        <v>6.73</v>
      </c>
      <c r="C1362" s="135"/>
    </row>
    <row r="1363" spans="1:3" x14ac:dyDescent="0.2">
      <c r="A1363" s="9"/>
      <c r="B1363" s="135">
        <v>6.74</v>
      </c>
      <c r="C1363" s="135"/>
    </row>
    <row r="1364" spans="1:3" x14ac:dyDescent="0.2">
      <c r="A1364" s="9"/>
      <c r="B1364" s="135">
        <v>6.75</v>
      </c>
      <c r="C1364" s="135"/>
    </row>
    <row r="1365" spans="1:3" x14ac:dyDescent="0.2">
      <c r="A1365" s="9"/>
      <c r="B1365" s="135">
        <v>6.76</v>
      </c>
      <c r="C1365" s="135"/>
    </row>
    <row r="1366" spans="1:3" x14ac:dyDescent="0.2">
      <c r="A1366" s="9"/>
      <c r="B1366" s="135">
        <v>6.77</v>
      </c>
      <c r="C1366" s="135"/>
    </row>
    <row r="1367" spans="1:3" x14ac:dyDescent="0.2">
      <c r="A1367" s="9"/>
      <c r="B1367" s="135">
        <v>6.78</v>
      </c>
      <c r="C1367" s="135"/>
    </row>
    <row r="1368" spans="1:3" x14ac:dyDescent="0.2">
      <c r="A1368" s="9"/>
      <c r="B1368" s="135">
        <v>6.79</v>
      </c>
      <c r="C1368" s="135"/>
    </row>
    <row r="1369" spans="1:3" x14ac:dyDescent="0.2">
      <c r="A1369" s="9"/>
      <c r="B1369" s="135">
        <v>6.8</v>
      </c>
      <c r="C1369" s="135"/>
    </row>
    <row r="1370" spans="1:3" x14ac:dyDescent="0.2">
      <c r="A1370" s="9"/>
      <c r="B1370" s="135">
        <v>6.81</v>
      </c>
      <c r="C1370" s="135"/>
    </row>
    <row r="1371" spans="1:3" x14ac:dyDescent="0.2">
      <c r="A1371" s="9"/>
      <c r="B1371" s="135">
        <v>6.82</v>
      </c>
      <c r="C1371" s="135"/>
    </row>
    <row r="1372" spans="1:3" x14ac:dyDescent="0.2">
      <c r="A1372" s="9"/>
      <c r="B1372" s="135">
        <v>6.83</v>
      </c>
      <c r="C1372" s="135"/>
    </row>
    <row r="1373" spans="1:3" x14ac:dyDescent="0.2">
      <c r="A1373" s="9"/>
      <c r="B1373" s="135">
        <v>6.84</v>
      </c>
      <c r="C1373" s="135"/>
    </row>
    <row r="1374" spans="1:3" x14ac:dyDescent="0.2">
      <c r="A1374" s="9"/>
      <c r="B1374" s="135">
        <v>6.85</v>
      </c>
      <c r="C1374" s="135"/>
    </row>
    <row r="1375" spans="1:3" x14ac:dyDescent="0.2">
      <c r="A1375" s="9"/>
      <c r="B1375" s="135">
        <v>6.86</v>
      </c>
      <c r="C1375" s="135"/>
    </row>
    <row r="1376" spans="1:3" x14ac:dyDescent="0.2">
      <c r="A1376" s="9"/>
      <c r="B1376" s="135">
        <v>6.87</v>
      </c>
      <c r="C1376" s="135"/>
    </row>
    <row r="1377" spans="1:3" x14ac:dyDescent="0.2">
      <c r="A1377" s="9"/>
      <c r="B1377" s="135">
        <v>6.88</v>
      </c>
      <c r="C1377" s="135"/>
    </row>
    <row r="1378" spans="1:3" x14ac:dyDescent="0.2">
      <c r="A1378" s="9"/>
      <c r="B1378" s="135">
        <v>6.89</v>
      </c>
      <c r="C1378" s="135"/>
    </row>
    <row r="1379" spans="1:3" x14ac:dyDescent="0.2">
      <c r="A1379" s="9"/>
      <c r="B1379" s="135">
        <v>6.9</v>
      </c>
      <c r="C1379" s="135"/>
    </row>
    <row r="1380" spans="1:3" x14ac:dyDescent="0.2">
      <c r="A1380" s="9"/>
      <c r="B1380" s="135">
        <v>6.91</v>
      </c>
      <c r="C1380" s="135"/>
    </row>
    <row r="1381" spans="1:3" x14ac:dyDescent="0.2">
      <c r="A1381" s="9"/>
      <c r="B1381" s="135">
        <v>6.92</v>
      </c>
      <c r="C1381" s="135"/>
    </row>
    <row r="1382" spans="1:3" x14ac:dyDescent="0.2">
      <c r="A1382" s="9"/>
      <c r="B1382" s="135">
        <v>6.93</v>
      </c>
      <c r="C1382" s="135"/>
    </row>
    <row r="1383" spans="1:3" x14ac:dyDescent="0.2">
      <c r="A1383" s="9"/>
      <c r="B1383" s="135">
        <v>6.94</v>
      </c>
      <c r="C1383" s="135"/>
    </row>
    <row r="1384" spans="1:3" x14ac:dyDescent="0.2">
      <c r="A1384" s="9"/>
      <c r="B1384" s="135">
        <v>6.95</v>
      </c>
      <c r="C1384" s="135"/>
    </row>
    <row r="1385" spans="1:3" x14ac:dyDescent="0.2">
      <c r="A1385" s="9"/>
      <c r="B1385" s="135">
        <v>6.96</v>
      </c>
      <c r="C1385" s="135"/>
    </row>
    <row r="1386" spans="1:3" x14ac:dyDescent="0.2">
      <c r="A1386" s="9"/>
      <c r="B1386" s="135">
        <v>6.97</v>
      </c>
      <c r="C1386" s="135"/>
    </row>
    <row r="1387" spans="1:3" x14ac:dyDescent="0.2">
      <c r="A1387" s="9"/>
      <c r="B1387" s="135">
        <v>6.98</v>
      </c>
      <c r="C1387" s="135"/>
    </row>
    <row r="1388" spans="1:3" x14ac:dyDescent="0.2">
      <c r="A1388" s="9"/>
      <c r="B1388" s="135">
        <v>6.99</v>
      </c>
      <c r="C1388" s="135"/>
    </row>
    <row r="1389" spans="1:3" x14ac:dyDescent="0.2">
      <c r="A1389" s="9"/>
      <c r="B1389" s="135">
        <v>7</v>
      </c>
      <c r="C1389" s="135"/>
    </row>
    <row r="1390" spans="1:3" x14ac:dyDescent="0.2">
      <c r="A1390" s="9"/>
      <c r="B1390" s="135">
        <v>7.01</v>
      </c>
      <c r="C1390" s="135"/>
    </row>
    <row r="1391" spans="1:3" x14ac:dyDescent="0.2">
      <c r="A1391" s="9"/>
      <c r="B1391" s="135">
        <v>7.02</v>
      </c>
      <c r="C1391" s="135"/>
    </row>
    <row r="1392" spans="1:3" x14ac:dyDescent="0.2">
      <c r="A1392" s="9"/>
      <c r="B1392" s="135">
        <v>7.03</v>
      </c>
      <c r="C1392" s="135"/>
    </row>
    <row r="1393" spans="1:3" x14ac:dyDescent="0.2">
      <c r="A1393" s="9"/>
      <c r="B1393" s="135">
        <v>7.04</v>
      </c>
      <c r="C1393" s="135"/>
    </row>
    <row r="1394" spans="1:3" x14ac:dyDescent="0.2">
      <c r="A1394" s="9"/>
      <c r="B1394" s="135">
        <v>7.05</v>
      </c>
      <c r="C1394" s="135"/>
    </row>
    <row r="1395" spans="1:3" x14ac:dyDescent="0.2">
      <c r="A1395" s="9"/>
      <c r="B1395" s="135">
        <v>7.06</v>
      </c>
      <c r="C1395" s="135"/>
    </row>
    <row r="1396" spans="1:3" x14ac:dyDescent="0.2">
      <c r="A1396" s="9"/>
      <c r="B1396" s="135">
        <v>7.07</v>
      </c>
      <c r="C1396" s="135"/>
    </row>
    <row r="1397" spans="1:3" x14ac:dyDescent="0.2">
      <c r="A1397" s="9"/>
      <c r="B1397" s="135">
        <v>7.08</v>
      </c>
      <c r="C1397" s="135"/>
    </row>
    <row r="1398" spans="1:3" x14ac:dyDescent="0.2">
      <c r="A1398" s="9"/>
      <c r="B1398" s="135">
        <v>7.09</v>
      </c>
      <c r="C1398" s="135"/>
    </row>
    <row r="1399" spans="1:3" x14ac:dyDescent="0.2">
      <c r="A1399" s="9"/>
      <c r="B1399" s="135">
        <v>7.1</v>
      </c>
      <c r="C1399" s="135"/>
    </row>
    <row r="1400" spans="1:3" x14ac:dyDescent="0.2">
      <c r="A1400" s="9"/>
      <c r="B1400" s="135">
        <v>7.11</v>
      </c>
      <c r="C1400" s="135"/>
    </row>
    <row r="1401" spans="1:3" x14ac:dyDescent="0.2">
      <c r="A1401" s="9"/>
      <c r="B1401" s="135">
        <v>7.12</v>
      </c>
      <c r="C1401" s="135"/>
    </row>
    <row r="1402" spans="1:3" x14ac:dyDescent="0.2">
      <c r="A1402" s="9"/>
      <c r="B1402" s="135">
        <v>7.13</v>
      </c>
      <c r="C1402" s="135"/>
    </row>
    <row r="1403" spans="1:3" x14ac:dyDescent="0.2">
      <c r="A1403" s="9"/>
      <c r="B1403" s="135">
        <v>7.14</v>
      </c>
      <c r="C1403" s="135"/>
    </row>
    <row r="1404" spans="1:3" x14ac:dyDescent="0.2">
      <c r="A1404" s="9"/>
      <c r="B1404" s="135">
        <v>7.15</v>
      </c>
      <c r="C1404" s="135"/>
    </row>
    <row r="1405" spans="1:3" x14ac:dyDescent="0.2">
      <c r="A1405" s="9"/>
      <c r="B1405" s="135">
        <v>7.16</v>
      </c>
      <c r="C1405" s="135"/>
    </row>
    <row r="1406" spans="1:3" x14ac:dyDescent="0.2">
      <c r="A1406" s="9"/>
      <c r="B1406" s="135">
        <v>7.17</v>
      </c>
      <c r="C1406" s="135"/>
    </row>
    <row r="1407" spans="1:3" x14ac:dyDescent="0.2">
      <c r="A1407" s="9"/>
      <c r="B1407" s="135">
        <v>7.18</v>
      </c>
      <c r="C1407" s="135"/>
    </row>
    <row r="1408" spans="1:3" x14ac:dyDescent="0.2">
      <c r="A1408" s="9"/>
      <c r="B1408" s="135">
        <v>7.19</v>
      </c>
      <c r="C1408" s="135"/>
    </row>
    <row r="1409" spans="1:3" x14ac:dyDescent="0.2">
      <c r="A1409" s="9"/>
      <c r="B1409" s="135">
        <v>7.2</v>
      </c>
      <c r="C1409" s="135"/>
    </row>
    <row r="1410" spans="1:3" x14ac:dyDescent="0.2">
      <c r="A1410" s="9"/>
      <c r="B1410" s="135">
        <v>7.21</v>
      </c>
      <c r="C1410" s="135"/>
    </row>
    <row r="1411" spans="1:3" x14ac:dyDescent="0.2">
      <c r="A1411" s="9"/>
      <c r="B1411" s="135">
        <v>7.22</v>
      </c>
      <c r="C1411" s="135"/>
    </row>
    <row r="1412" spans="1:3" x14ac:dyDescent="0.2">
      <c r="A1412" s="9"/>
      <c r="B1412" s="135">
        <v>7.23</v>
      </c>
      <c r="C1412" s="135"/>
    </row>
    <row r="1413" spans="1:3" x14ac:dyDescent="0.2">
      <c r="A1413" s="9"/>
      <c r="B1413" s="135">
        <v>7.24</v>
      </c>
      <c r="C1413" s="135"/>
    </row>
    <row r="1414" spans="1:3" x14ac:dyDescent="0.2">
      <c r="A1414" s="9"/>
      <c r="B1414" s="135">
        <v>7.25</v>
      </c>
      <c r="C1414" s="135"/>
    </row>
    <row r="1415" spans="1:3" x14ac:dyDescent="0.2">
      <c r="A1415" s="9"/>
      <c r="B1415" s="135">
        <v>7.26</v>
      </c>
      <c r="C1415" s="135"/>
    </row>
    <row r="1416" spans="1:3" x14ac:dyDescent="0.2">
      <c r="A1416" s="9"/>
      <c r="B1416" s="135">
        <v>7.27</v>
      </c>
      <c r="C1416" s="135"/>
    </row>
    <row r="1417" spans="1:3" x14ac:dyDescent="0.2">
      <c r="A1417" s="9"/>
      <c r="B1417" s="135">
        <v>7.28</v>
      </c>
      <c r="C1417" s="135"/>
    </row>
    <row r="1418" spans="1:3" x14ac:dyDescent="0.2">
      <c r="A1418" s="9"/>
      <c r="B1418" s="135">
        <v>7.29</v>
      </c>
      <c r="C1418" s="135"/>
    </row>
    <row r="1419" spans="1:3" x14ac:dyDescent="0.2">
      <c r="A1419" s="9"/>
      <c r="B1419" s="135">
        <v>7.3</v>
      </c>
      <c r="C1419" s="135"/>
    </row>
    <row r="1420" spans="1:3" x14ac:dyDescent="0.2">
      <c r="A1420" s="9"/>
      <c r="B1420" s="135">
        <v>7.31</v>
      </c>
      <c r="C1420" s="135"/>
    </row>
    <row r="1421" spans="1:3" x14ac:dyDescent="0.2">
      <c r="A1421" s="9"/>
      <c r="B1421" s="135">
        <v>7.32</v>
      </c>
      <c r="C1421" s="135"/>
    </row>
    <row r="1422" spans="1:3" x14ac:dyDescent="0.2">
      <c r="A1422" s="9"/>
      <c r="B1422" s="135">
        <v>7.33</v>
      </c>
      <c r="C1422" s="135"/>
    </row>
    <row r="1423" spans="1:3" x14ac:dyDescent="0.2">
      <c r="A1423" s="9"/>
      <c r="B1423" s="135">
        <v>7.34</v>
      </c>
      <c r="C1423" s="135"/>
    </row>
    <row r="1424" spans="1:3" x14ac:dyDescent="0.2">
      <c r="A1424" s="9"/>
      <c r="B1424" s="135">
        <v>7.35</v>
      </c>
      <c r="C1424" s="135"/>
    </row>
    <row r="1425" spans="1:3" x14ac:dyDescent="0.2">
      <c r="A1425" s="9"/>
      <c r="B1425" s="135">
        <v>7.36</v>
      </c>
      <c r="C1425" s="135"/>
    </row>
    <row r="1426" spans="1:3" x14ac:dyDescent="0.2">
      <c r="A1426" s="9"/>
      <c r="B1426" s="135">
        <v>7.37</v>
      </c>
      <c r="C1426" s="135"/>
    </row>
    <row r="1427" spans="1:3" x14ac:dyDescent="0.2">
      <c r="A1427" s="9"/>
      <c r="B1427" s="135">
        <v>7.38</v>
      </c>
      <c r="C1427" s="135"/>
    </row>
    <row r="1428" spans="1:3" x14ac:dyDescent="0.2">
      <c r="A1428" s="9"/>
      <c r="B1428" s="135">
        <v>7.39</v>
      </c>
      <c r="C1428" s="135"/>
    </row>
    <row r="1429" spans="1:3" x14ac:dyDescent="0.2">
      <c r="A1429" s="9"/>
      <c r="B1429" s="135">
        <v>7.4</v>
      </c>
      <c r="C1429" s="135"/>
    </row>
    <row r="1430" spans="1:3" x14ac:dyDescent="0.2">
      <c r="A1430" s="9"/>
      <c r="B1430" s="135">
        <v>7.41</v>
      </c>
      <c r="C1430" s="135"/>
    </row>
    <row r="1431" spans="1:3" x14ac:dyDescent="0.2">
      <c r="A1431" s="9"/>
      <c r="B1431" s="135">
        <v>7.42</v>
      </c>
      <c r="C1431" s="135"/>
    </row>
    <row r="1432" spans="1:3" x14ac:dyDescent="0.2">
      <c r="A1432" s="9"/>
      <c r="B1432" s="135">
        <v>7.43</v>
      </c>
      <c r="C1432" s="135"/>
    </row>
    <row r="1433" spans="1:3" x14ac:dyDescent="0.2">
      <c r="A1433" s="9"/>
      <c r="B1433" s="135">
        <v>7.44</v>
      </c>
      <c r="C1433" s="135"/>
    </row>
    <row r="1434" spans="1:3" x14ac:dyDescent="0.2">
      <c r="A1434" s="9"/>
      <c r="B1434" s="135">
        <v>7.45</v>
      </c>
      <c r="C1434" s="135"/>
    </row>
    <row r="1435" spans="1:3" x14ac:dyDescent="0.2">
      <c r="A1435" s="9"/>
      <c r="B1435" s="135">
        <v>7.46</v>
      </c>
      <c r="C1435" s="135"/>
    </row>
    <row r="1436" spans="1:3" x14ac:dyDescent="0.2">
      <c r="A1436" s="9"/>
      <c r="B1436" s="135">
        <v>7.47</v>
      </c>
      <c r="C1436" s="135"/>
    </row>
    <row r="1437" spans="1:3" x14ac:dyDescent="0.2">
      <c r="A1437" s="9"/>
      <c r="B1437" s="135">
        <v>7.48</v>
      </c>
      <c r="C1437" s="135"/>
    </row>
    <row r="1438" spans="1:3" x14ac:dyDescent="0.2">
      <c r="A1438" s="9"/>
      <c r="B1438" s="135">
        <v>7.49</v>
      </c>
      <c r="C1438" s="135"/>
    </row>
    <row r="1439" spans="1:3" x14ac:dyDescent="0.2">
      <c r="A1439" s="9"/>
      <c r="B1439" s="135">
        <v>7.5</v>
      </c>
      <c r="C1439" s="135"/>
    </row>
    <row r="1440" spans="1:3" x14ac:dyDescent="0.2">
      <c r="A1440" s="9"/>
      <c r="B1440" s="135">
        <v>7.51</v>
      </c>
      <c r="C1440" s="135"/>
    </row>
    <row r="1441" spans="1:3" x14ac:dyDescent="0.2">
      <c r="A1441" s="9"/>
      <c r="B1441" s="135">
        <v>7.52</v>
      </c>
      <c r="C1441" s="135"/>
    </row>
    <row r="1442" spans="1:3" x14ac:dyDescent="0.2">
      <c r="A1442" s="9"/>
      <c r="B1442" s="135">
        <v>7.53</v>
      </c>
      <c r="C1442" s="135"/>
    </row>
    <row r="1443" spans="1:3" x14ac:dyDescent="0.2">
      <c r="A1443" s="9"/>
      <c r="B1443" s="135">
        <v>7.54</v>
      </c>
      <c r="C1443" s="135"/>
    </row>
    <row r="1444" spans="1:3" x14ac:dyDescent="0.2">
      <c r="A1444" s="9"/>
      <c r="B1444" s="135">
        <v>7.55</v>
      </c>
      <c r="C1444" s="135"/>
    </row>
    <row r="1445" spans="1:3" x14ac:dyDescent="0.2">
      <c r="A1445" s="9"/>
      <c r="B1445" s="135">
        <v>7.56</v>
      </c>
      <c r="C1445" s="135"/>
    </row>
    <row r="1446" spans="1:3" x14ac:dyDescent="0.2">
      <c r="A1446" s="9"/>
      <c r="B1446" s="135">
        <v>7.57</v>
      </c>
      <c r="C1446" s="135"/>
    </row>
    <row r="1447" spans="1:3" x14ac:dyDescent="0.2">
      <c r="A1447" s="9"/>
      <c r="B1447" s="135">
        <v>7.58</v>
      </c>
      <c r="C1447" s="135"/>
    </row>
    <row r="1448" spans="1:3" x14ac:dyDescent="0.2">
      <c r="A1448" s="9"/>
      <c r="B1448" s="135">
        <v>7.59</v>
      </c>
      <c r="C1448" s="135"/>
    </row>
    <row r="1449" spans="1:3" x14ac:dyDescent="0.2">
      <c r="A1449" s="9"/>
      <c r="B1449" s="135">
        <v>7.6</v>
      </c>
      <c r="C1449" s="135"/>
    </row>
    <row r="1450" spans="1:3" x14ac:dyDescent="0.2">
      <c r="A1450" s="9"/>
      <c r="B1450" s="135">
        <v>7.61</v>
      </c>
      <c r="C1450" s="135"/>
    </row>
    <row r="1451" spans="1:3" x14ac:dyDescent="0.2">
      <c r="A1451" s="9"/>
      <c r="B1451" s="135">
        <v>7.62</v>
      </c>
      <c r="C1451" s="135"/>
    </row>
    <row r="1452" spans="1:3" x14ac:dyDescent="0.2">
      <c r="A1452" s="9"/>
      <c r="B1452" s="135">
        <v>7.63</v>
      </c>
      <c r="C1452" s="135"/>
    </row>
    <row r="1453" spans="1:3" x14ac:dyDescent="0.2">
      <c r="A1453" s="9"/>
      <c r="B1453" s="135">
        <v>7.64</v>
      </c>
      <c r="C1453" s="135"/>
    </row>
    <row r="1454" spans="1:3" x14ac:dyDescent="0.2">
      <c r="A1454" s="9"/>
      <c r="B1454" s="135">
        <v>7.65</v>
      </c>
      <c r="C1454" s="135"/>
    </row>
    <row r="1455" spans="1:3" x14ac:dyDescent="0.2">
      <c r="A1455" s="9"/>
      <c r="B1455" s="135">
        <v>7.66</v>
      </c>
      <c r="C1455" s="135"/>
    </row>
    <row r="1456" spans="1:3" x14ac:dyDescent="0.2">
      <c r="A1456" s="9"/>
      <c r="B1456" s="135">
        <v>7.67</v>
      </c>
      <c r="C1456" s="135"/>
    </row>
    <row r="1457" spans="1:3" x14ac:dyDescent="0.2">
      <c r="A1457" s="9"/>
      <c r="B1457" s="135">
        <v>7.68</v>
      </c>
      <c r="C1457" s="135"/>
    </row>
    <row r="1458" spans="1:3" x14ac:dyDescent="0.2">
      <c r="A1458" s="9"/>
      <c r="B1458" s="135">
        <v>7.69</v>
      </c>
      <c r="C1458" s="135"/>
    </row>
    <row r="1459" spans="1:3" x14ac:dyDescent="0.2">
      <c r="A1459" s="9"/>
      <c r="B1459" s="135">
        <v>7.7</v>
      </c>
      <c r="C1459" s="135"/>
    </row>
    <row r="1460" spans="1:3" x14ac:dyDescent="0.2">
      <c r="A1460" s="9"/>
      <c r="B1460" s="135">
        <v>7.71</v>
      </c>
      <c r="C1460" s="135"/>
    </row>
    <row r="1461" spans="1:3" x14ac:dyDescent="0.2">
      <c r="A1461" s="9"/>
      <c r="B1461" s="135">
        <v>7.72</v>
      </c>
      <c r="C1461" s="135"/>
    </row>
    <row r="1462" spans="1:3" x14ac:dyDescent="0.2">
      <c r="A1462" s="9"/>
      <c r="B1462" s="135">
        <v>7.73</v>
      </c>
      <c r="C1462" s="135"/>
    </row>
    <row r="1463" spans="1:3" x14ac:dyDescent="0.2">
      <c r="A1463" s="9"/>
      <c r="B1463" s="135">
        <v>7.74</v>
      </c>
      <c r="C1463" s="135"/>
    </row>
    <row r="1464" spans="1:3" x14ac:dyDescent="0.2">
      <c r="A1464" s="9"/>
      <c r="B1464" s="135">
        <v>7.75</v>
      </c>
      <c r="C1464" s="135"/>
    </row>
    <row r="1465" spans="1:3" x14ac:dyDescent="0.2">
      <c r="A1465" s="9"/>
      <c r="B1465" s="135">
        <v>7.76</v>
      </c>
      <c r="C1465" s="135"/>
    </row>
    <row r="1466" spans="1:3" x14ac:dyDescent="0.2">
      <c r="A1466" s="9"/>
      <c r="B1466" s="135">
        <v>7.77</v>
      </c>
      <c r="C1466" s="135"/>
    </row>
    <row r="1467" spans="1:3" x14ac:dyDescent="0.2">
      <c r="A1467" s="9"/>
      <c r="B1467" s="135">
        <v>7.78</v>
      </c>
      <c r="C1467" s="135"/>
    </row>
    <row r="1468" spans="1:3" x14ac:dyDescent="0.2">
      <c r="A1468" s="9"/>
      <c r="B1468" s="135">
        <v>7.79</v>
      </c>
      <c r="C1468" s="135"/>
    </row>
    <row r="1469" spans="1:3" x14ac:dyDescent="0.2">
      <c r="A1469" s="9"/>
      <c r="B1469" s="135">
        <v>7.8</v>
      </c>
      <c r="C1469" s="135"/>
    </row>
    <row r="1470" spans="1:3" x14ac:dyDescent="0.2">
      <c r="A1470" s="9"/>
      <c r="B1470" s="135">
        <v>7.81</v>
      </c>
      <c r="C1470" s="135"/>
    </row>
    <row r="1471" spans="1:3" x14ac:dyDescent="0.2">
      <c r="A1471" s="9"/>
      <c r="B1471" s="135">
        <v>7.82</v>
      </c>
      <c r="C1471" s="135"/>
    </row>
    <row r="1472" spans="1:3" x14ac:dyDescent="0.2">
      <c r="A1472" s="9"/>
      <c r="B1472" s="135">
        <v>7.83</v>
      </c>
      <c r="C1472" s="135"/>
    </row>
    <row r="1473" spans="1:3" x14ac:dyDescent="0.2">
      <c r="A1473" s="9"/>
      <c r="B1473" s="135">
        <v>7.84</v>
      </c>
      <c r="C1473" s="135"/>
    </row>
    <row r="1474" spans="1:3" x14ac:dyDescent="0.2">
      <c r="A1474" s="9"/>
      <c r="B1474" s="135">
        <v>7.85</v>
      </c>
      <c r="C1474" s="135"/>
    </row>
    <row r="1475" spans="1:3" x14ac:dyDescent="0.2">
      <c r="A1475" s="9"/>
      <c r="B1475" s="135">
        <v>7.86</v>
      </c>
      <c r="C1475" s="135"/>
    </row>
    <row r="1476" spans="1:3" x14ac:dyDescent="0.2">
      <c r="A1476" s="9"/>
      <c r="B1476" s="135">
        <v>7.87</v>
      </c>
      <c r="C1476" s="135"/>
    </row>
    <row r="1477" spans="1:3" x14ac:dyDescent="0.2">
      <c r="A1477" s="9"/>
      <c r="B1477" s="135">
        <v>7.88</v>
      </c>
      <c r="C1477" s="135"/>
    </row>
    <row r="1478" spans="1:3" x14ac:dyDescent="0.2">
      <c r="A1478" s="9"/>
      <c r="B1478" s="135">
        <v>7.89</v>
      </c>
      <c r="C1478" s="135"/>
    </row>
    <row r="1479" spans="1:3" x14ac:dyDescent="0.2">
      <c r="A1479" s="9"/>
      <c r="B1479" s="135">
        <v>7.9</v>
      </c>
      <c r="C1479" s="135"/>
    </row>
    <row r="1480" spans="1:3" x14ac:dyDescent="0.2">
      <c r="A1480" s="9"/>
      <c r="B1480" s="135">
        <v>7.91</v>
      </c>
      <c r="C1480" s="135"/>
    </row>
    <row r="1481" spans="1:3" x14ac:dyDescent="0.2">
      <c r="A1481" s="9"/>
      <c r="B1481" s="135">
        <v>7.92</v>
      </c>
      <c r="C1481" s="135"/>
    </row>
    <row r="1482" spans="1:3" x14ac:dyDescent="0.2">
      <c r="A1482" s="9"/>
      <c r="B1482" s="135">
        <v>7.93</v>
      </c>
      <c r="C1482" s="135"/>
    </row>
    <row r="1483" spans="1:3" x14ac:dyDescent="0.2">
      <c r="A1483" s="9"/>
      <c r="B1483" s="135">
        <v>7.94</v>
      </c>
      <c r="C1483" s="135"/>
    </row>
    <row r="1484" spans="1:3" x14ac:dyDescent="0.2">
      <c r="A1484" s="9"/>
      <c r="B1484" s="135">
        <v>7.95</v>
      </c>
      <c r="C1484" s="135"/>
    </row>
    <row r="1485" spans="1:3" x14ac:dyDescent="0.2">
      <c r="A1485" s="9"/>
      <c r="B1485" s="135">
        <v>7.96</v>
      </c>
      <c r="C1485" s="135"/>
    </row>
    <row r="1486" spans="1:3" x14ac:dyDescent="0.2">
      <c r="A1486" s="9"/>
      <c r="B1486" s="135">
        <v>7.97</v>
      </c>
      <c r="C1486" s="135"/>
    </row>
    <row r="1487" spans="1:3" x14ac:dyDescent="0.2">
      <c r="A1487" s="9"/>
      <c r="B1487" s="135">
        <v>7.98</v>
      </c>
      <c r="C1487" s="135"/>
    </row>
    <row r="1488" spans="1:3" x14ac:dyDescent="0.2">
      <c r="A1488" s="9"/>
      <c r="B1488" s="135">
        <v>7.99</v>
      </c>
      <c r="C1488" s="135"/>
    </row>
    <row r="1489" spans="1:3" x14ac:dyDescent="0.2">
      <c r="A1489" s="9"/>
      <c r="B1489" s="135">
        <v>8</v>
      </c>
      <c r="C1489" s="135"/>
    </row>
    <row r="1490" spans="1:3" x14ac:dyDescent="0.2">
      <c r="A1490" s="9"/>
      <c r="B1490" s="135">
        <v>8.01</v>
      </c>
      <c r="C1490" s="135"/>
    </row>
    <row r="1491" spans="1:3" x14ac:dyDescent="0.2">
      <c r="A1491" s="9"/>
      <c r="B1491" s="135">
        <v>8.02</v>
      </c>
      <c r="C1491" s="135"/>
    </row>
    <row r="1492" spans="1:3" x14ac:dyDescent="0.2">
      <c r="A1492" s="9"/>
      <c r="B1492" s="135">
        <v>8.0299999999999994</v>
      </c>
      <c r="C1492" s="135"/>
    </row>
    <row r="1493" spans="1:3" x14ac:dyDescent="0.2">
      <c r="A1493" s="9"/>
      <c r="B1493" s="135">
        <v>8.0399999999999991</v>
      </c>
      <c r="C1493" s="135"/>
    </row>
    <row r="1494" spans="1:3" x14ac:dyDescent="0.2">
      <c r="A1494" s="9"/>
      <c r="B1494" s="135">
        <v>8.0500000000000007</v>
      </c>
      <c r="C1494" s="135"/>
    </row>
    <row r="1495" spans="1:3" x14ac:dyDescent="0.2">
      <c r="A1495" s="9"/>
      <c r="B1495" s="135">
        <v>8.06</v>
      </c>
      <c r="C1495" s="135"/>
    </row>
    <row r="1496" spans="1:3" x14ac:dyDescent="0.2">
      <c r="A1496" s="9"/>
      <c r="B1496" s="135">
        <v>8.07</v>
      </c>
      <c r="C1496" s="135"/>
    </row>
    <row r="1497" spans="1:3" x14ac:dyDescent="0.2">
      <c r="A1497" s="9"/>
      <c r="B1497" s="135">
        <v>8.08</v>
      </c>
      <c r="C1497" s="135"/>
    </row>
    <row r="1498" spans="1:3" x14ac:dyDescent="0.2">
      <c r="A1498" s="9"/>
      <c r="B1498" s="135">
        <v>8.09</v>
      </c>
      <c r="C1498" s="135"/>
    </row>
    <row r="1499" spans="1:3" x14ac:dyDescent="0.2">
      <c r="A1499" s="9"/>
      <c r="B1499" s="135">
        <v>8.1</v>
      </c>
      <c r="C1499" s="135"/>
    </row>
    <row r="1500" spans="1:3" x14ac:dyDescent="0.2">
      <c r="A1500" s="9"/>
      <c r="B1500" s="135">
        <v>8.11</v>
      </c>
      <c r="C1500" s="135"/>
    </row>
    <row r="1501" spans="1:3" x14ac:dyDescent="0.2">
      <c r="A1501" s="9"/>
      <c r="B1501" s="135">
        <v>8.1199999999999992</v>
      </c>
      <c r="C1501" s="135"/>
    </row>
    <row r="1502" spans="1:3" x14ac:dyDescent="0.2">
      <c r="A1502" s="9"/>
      <c r="B1502" s="135">
        <v>8.1300000000000008</v>
      </c>
      <c r="C1502" s="135"/>
    </row>
    <row r="1503" spans="1:3" x14ac:dyDescent="0.2">
      <c r="A1503" s="9"/>
      <c r="B1503" s="135">
        <v>8.14</v>
      </c>
      <c r="C1503" s="135"/>
    </row>
    <row r="1504" spans="1:3" x14ac:dyDescent="0.2">
      <c r="A1504" s="9"/>
      <c r="B1504" s="135">
        <v>8.15</v>
      </c>
      <c r="C1504" s="135"/>
    </row>
    <row r="1505" spans="1:3" x14ac:dyDescent="0.2">
      <c r="A1505" s="9"/>
      <c r="B1505" s="135">
        <v>8.16</v>
      </c>
      <c r="C1505" s="135"/>
    </row>
    <row r="1506" spans="1:3" x14ac:dyDescent="0.2">
      <c r="A1506" s="9"/>
      <c r="B1506" s="135">
        <v>8.17</v>
      </c>
      <c r="C1506" s="135"/>
    </row>
    <row r="1507" spans="1:3" x14ac:dyDescent="0.2">
      <c r="A1507" s="9"/>
      <c r="B1507" s="135">
        <v>8.18</v>
      </c>
      <c r="C1507" s="135"/>
    </row>
    <row r="1508" spans="1:3" x14ac:dyDescent="0.2">
      <c r="A1508" s="9"/>
      <c r="B1508" s="135">
        <v>8.19</v>
      </c>
      <c r="C1508" s="135"/>
    </row>
    <row r="1509" spans="1:3" x14ac:dyDescent="0.2">
      <c r="A1509" s="9"/>
      <c r="B1509" s="135">
        <v>8.1999999999999993</v>
      </c>
      <c r="C1509" s="135"/>
    </row>
    <row r="1510" spans="1:3" x14ac:dyDescent="0.2">
      <c r="A1510" s="9"/>
      <c r="B1510" s="135">
        <v>8.2100000000000009</v>
      </c>
      <c r="C1510" s="135"/>
    </row>
    <row r="1511" spans="1:3" x14ac:dyDescent="0.2">
      <c r="A1511" s="9"/>
      <c r="B1511" s="135">
        <v>8.2200000000000006</v>
      </c>
      <c r="C1511" s="135"/>
    </row>
    <row r="1512" spans="1:3" x14ac:dyDescent="0.2">
      <c r="A1512" s="9"/>
      <c r="B1512" s="135">
        <v>8.23</v>
      </c>
      <c r="C1512" s="135"/>
    </row>
    <row r="1513" spans="1:3" x14ac:dyDescent="0.2">
      <c r="A1513" s="9"/>
      <c r="B1513" s="135">
        <v>8.24</v>
      </c>
      <c r="C1513" s="135"/>
    </row>
    <row r="1514" spans="1:3" x14ac:dyDescent="0.2">
      <c r="A1514" s="9"/>
      <c r="B1514" s="135">
        <v>8.25</v>
      </c>
      <c r="C1514" s="135"/>
    </row>
    <row r="1515" spans="1:3" x14ac:dyDescent="0.2">
      <c r="A1515" s="9"/>
      <c r="B1515" s="135">
        <v>8.26</v>
      </c>
      <c r="C1515" s="135"/>
    </row>
    <row r="1516" spans="1:3" x14ac:dyDescent="0.2">
      <c r="A1516" s="9"/>
      <c r="B1516" s="135">
        <v>8.27</v>
      </c>
      <c r="C1516" s="135"/>
    </row>
    <row r="1517" spans="1:3" x14ac:dyDescent="0.2">
      <c r="A1517" s="9"/>
      <c r="B1517" s="135">
        <v>8.2799999999999994</v>
      </c>
      <c r="C1517" s="135"/>
    </row>
    <row r="1518" spans="1:3" x14ac:dyDescent="0.2">
      <c r="A1518" s="9"/>
      <c r="B1518" s="135">
        <v>8.2899999999999991</v>
      </c>
      <c r="C1518" s="135"/>
    </row>
    <row r="1519" spans="1:3" x14ac:dyDescent="0.2">
      <c r="A1519" s="9"/>
      <c r="B1519" s="135">
        <v>8.3000000000000007</v>
      </c>
      <c r="C1519" s="135"/>
    </row>
    <row r="1520" spans="1:3" x14ac:dyDescent="0.2">
      <c r="A1520" s="9"/>
      <c r="B1520" s="135">
        <v>8.31</v>
      </c>
      <c r="C1520" s="135"/>
    </row>
    <row r="1521" spans="1:3" x14ac:dyDescent="0.2">
      <c r="A1521" s="9"/>
      <c r="B1521" s="135">
        <v>8.32</v>
      </c>
      <c r="C1521" s="135"/>
    </row>
    <row r="1522" spans="1:3" x14ac:dyDescent="0.2">
      <c r="A1522" s="9"/>
      <c r="B1522" s="135">
        <v>8.33</v>
      </c>
      <c r="C1522" s="135"/>
    </row>
    <row r="1523" spans="1:3" x14ac:dyDescent="0.2">
      <c r="A1523" s="9"/>
      <c r="B1523" s="135">
        <v>8.34</v>
      </c>
      <c r="C1523" s="135"/>
    </row>
    <row r="1524" spans="1:3" x14ac:dyDescent="0.2">
      <c r="A1524" s="9"/>
      <c r="B1524" s="135">
        <v>8.35</v>
      </c>
      <c r="C1524" s="135"/>
    </row>
    <row r="1525" spans="1:3" x14ac:dyDescent="0.2">
      <c r="A1525" s="9"/>
      <c r="B1525" s="135">
        <v>8.36</v>
      </c>
      <c r="C1525" s="135"/>
    </row>
    <row r="1526" spans="1:3" x14ac:dyDescent="0.2">
      <c r="A1526" s="9"/>
      <c r="B1526" s="135">
        <v>8.3699999999999992</v>
      </c>
      <c r="C1526" s="135"/>
    </row>
    <row r="1527" spans="1:3" x14ac:dyDescent="0.2">
      <c r="A1527" s="9"/>
      <c r="B1527" s="135">
        <v>8.3800000000000008</v>
      </c>
      <c r="C1527" s="135"/>
    </row>
    <row r="1528" spans="1:3" x14ac:dyDescent="0.2">
      <c r="A1528" s="9"/>
      <c r="B1528" s="135">
        <v>8.39</v>
      </c>
      <c r="C1528" s="135"/>
    </row>
    <row r="1529" spans="1:3" x14ac:dyDescent="0.2">
      <c r="A1529" s="9"/>
      <c r="B1529" s="135">
        <v>8.4</v>
      </c>
      <c r="C1529" s="135"/>
    </row>
    <row r="1530" spans="1:3" x14ac:dyDescent="0.2">
      <c r="A1530" s="9"/>
      <c r="B1530" s="135">
        <v>8.41</v>
      </c>
      <c r="C1530" s="135"/>
    </row>
    <row r="1531" spans="1:3" x14ac:dyDescent="0.2">
      <c r="A1531" s="9"/>
      <c r="B1531" s="135">
        <v>8.42</v>
      </c>
      <c r="C1531" s="135"/>
    </row>
    <row r="1532" spans="1:3" x14ac:dyDescent="0.2">
      <c r="A1532" s="9"/>
      <c r="B1532" s="135">
        <v>8.43</v>
      </c>
      <c r="C1532" s="135"/>
    </row>
    <row r="1533" spans="1:3" x14ac:dyDescent="0.2">
      <c r="A1533" s="9"/>
      <c r="B1533" s="135">
        <v>8.44</v>
      </c>
      <c r="C1533" s="135"/>
    </row>
    <row r="1534" spans="1:3" x14ac:dyDescent="0.2">
      <c r="A1534" s="9"/>
      <c r="B1534" s="135">
        <v>8.4499999999999993</v>
      </c>
      <c r="C1534" s="135"/>
    </row>
    <row r="1535" spans="1:3" x14ac:dyDescent="0.2">
      <c r="A1535" s="9"/>
      <c r="B1535" s="135">
        <v>8.4600000000000009</v>
      </c>
      <c r="C1535" s="135"/>
    </row>
    <row r="1536" spans="1:3" x14ac:dyDescent="0.2">
      <c r="A1536" s="9"/>
      <c r="B1536" s="135">
        <v>8.4700000000000006</v>
      </c>
      <c r="C1536" s="135"/>
    </row>
    <row r="1537" spans="1:3" x14ac:dyDescent="0.2">
      <c r="A1537" s="9"/>
      <c r="B1537" s="135">
        <v>8.48</v>
      </c>
      <c r="C1537" s="135"/>
    </row>
    <row r="1538" spans="1:3" x14ac:dyDescent="0.2">
      <c r="A1538" s="9"/>
      <c r="B1538" s="135">
        <v>8.49</v>
      </c>
      <c r="C1538" s="135"/>
    </row>
    <row r="1539" spans="1:3" x14ac:dyDescent="0.2">
      <c r="A1539" s="9"/>
      <c r="B1539" s="135">
        <v>8.5</v>
      </c>
      <c r="C1539" s="135"/>
    </row>
    <row r="1540" spans="1:3" x14ac:dyDescent="0.2">
      <c r="A1540" s="9"/>
      <c r="B1540" s="135">
        <v>8.51</v>
      </c>
      <c r="C1540" s="135"/>
    </row>
    <row r="1541" spans="1:3" x14ac:dyDescent="0.2">
      <c r="A1541" s="9"/>
      <c r="B1541" s="135">
        <v>8.52</v>
      </c>
      <c r="C1541" s="135"/>
    </row>
    <row r="1542" spans="1:3" x14ac:dyDescent="0.2">
      <c r="A1542" s="9"/>
      <c r="B1542" s="135">
        <v>8.5299999999999994</v>
      </c>
      <c r="C1542" s="135"/>
    </row>
    <row r="1543" spans="1:3" x14ac:dyDescent="0.2">
      <c r="A1543" s="9"/>
      <c r="B1543" s="135">
        <v>8.5399999999999991</v>
      </c>
      <c r="C1543" s="135"/>
    </row>
    <row r="1544" spans="1:3" x14ac:dyDescent="0.2">
      <c r="A1544" s="9"/>
      <c r="B1544" s="135">
        <v>8.5500000000000007</v>
      </c>
      <c r="C1544" s="135"/>
    </row>
    <row r="1545" spans="1:3" x14ac:dyDescent="0.2">
      <c r="A1545" s="9"/>
      <c r="B1545" s="135">
        <v>8.56</v>
      </c>
      <c r="C1545" s="135"/>
    </row>
    <row r="1546" spans="1:3" x14ac:dyDescent="0.2">
      <c r="A1546" s="9"/>
      <c r="B1546" s="135">
        <v>8.57</v>
      </c>
      <c r="C1546" s="135"/>
    </row>
    <row r="1547" spans="1:3" x14ac:dyDescent="0.2">
      <c r="A1547" s="9"/>
      <c r="B1547" s="135">
        <v>8.58</v>
      </c>
      <c r="C1547" s="135"/>
    </row>
    <row r="1548" spans="1:3" x14ac:dyDescent="0.2">
      <c r="A1548" s="9"/>
      <c r="B1548" s="135">
        <v>8.59</v>
      </c>
      <c r="C1548" s="135"/>
    </row>
    <row r="1549" spans="1:3" x14ac:dyDescent="0.2">
      <c r="A1549" s="9"/>
      <c r="B1549" s="135">
        <v>8.6</v>
      </c>
      <c r="C1549" s="135"/>
    </row>
    <row r="1550" spans="1:3" x14ac:dyDescent="0.2">
      <c r="A1550" s="9"/>
      <c r="B1550" s="135">
        <v>8.61</v>
      </c>
      <c r="C1550" s="135"/>
    </row>
    <row r="1551" spans="1:3" x14ac:dyDescent="0.2">
      <c r="A1551" s="9"/>
      <c r="B1551" s="135">
        <v>8.6199999999999992</v>
      </c>
      <c r="C1551" s="135"/>
    </row>
    <row r="1552" spans="1:3" x14ac:dyDescent="0.2">
      <c r="A1552" s="9"/>
      <c r="B1552" s="135">
        <v>8.6300000000000008</v>
      </c>
      <c r="C1552" s="135"/>
    </row>
    <row r="1553" spans="1:3" x14ac:dyDescent="0.2">
      <c r="A1553" s="9"/>
      <c r="B1553" s="135">
        <v>8.64</v>
      </c>
      <c r="C1553" s="135"/>
    </row>
    <row r="1554" spans="1:3" x14ac:dyDescent="0.2">
      <c r="A1554" s="9"/>
      <c r="B1554" s="135">
        <v>8.65</v>
      </c>
      <c r="C1554" s="135"/>
    </row>
    <row r="1555" spans="1:3" x14ac:dyDescent="0.2">
      <c r="A1555" s="9"/>
      <c r="B1555" s="135">
        <v>8.66</v>
      </c>
      <c r="C1555" s="135"/>
    </row>
    <row r="1556" spans="1:3" x14ac:dyDescent="0.2">
      <c r="A1556" s="9"/>
      <c r="B1556" s="135">
        <v>8.67</v>
      </c>
      <c r="C1556" s="135"/>
    </row>
    <row r="1557" spans="1:3" x14ac:dyDescent="0.2">
      <c r="A1557" s="9"/>
      <c r="B1557" s="135">
        <v>8.68</v>
      </c>
      <c r="C1557" s="135"/>
    </row>
    <row r="1558" spans="1:3" x14ac:dyDescent="0.2">
      <c r="A1558" s="9"/>
      <c r="B1558" s="135">
        <v>8.69</v>
      </c>
      <c r="C1558" s="135"/>
    </row>
    <row r="1559" spans="1:3" x14ac:dyDescent="0.2">
      <c r="A1559" s="9"/>
      <c r="B1559" s="135">
        <v>8.6999999999999993</v>
      </c>
      <c r="C1559" s="135"/>
    </row>
    <row r="1560" spans="1:3" x14ac:dyDescent="0.2">
      <c r="A1560" s="9"/>
      <c r="B1560" s="135">
        <v>8.7100000000000009</v>
      </c>
      <c r="C1560" s="135"/>
    </row>
    <row r="1561" spans="1:3" x14ac:dyDescent="0.2">
      <c r="A1561" s="9"/>
      <c r="B1561" s="135">
        <v>8.7200000000000006</v>
      </c>
      <c r="C1561" s="135"/>
    </row>
    <row r="1562" spans="1:3" x14ac:dyDescent="0.2">
      <c r="A1562" s="9"/>
      <c r="B1562" s="135">
        <v>8.73</v>
      </c>
      <c r="C1562" s="135"/>
    </row>
    <row r="1563" spans="1:3" x14ac:dyDescent="0.2">
      <c r="A1563" s="9"/>
      <c r="B1563" s="135">
        <v>8.74</v>
      </c>
      <c r="C1563" s="135"/>
    </row>
    <row r="1564" spans="1:3" x14ac:dyDescent="0.2">
      <c r="A1564" s="9"/>
      <c r="B1564" s="135">
        <v>8.75</v>
      </c>
      <c r="C1564" s="135"/>
    </row>
    <row r="1565" spans="1:3" x14ac:dyDescent="0.2">
      <c r="A1565" s="9"/>
      <c r="B1565" s="135">
        <v>8.76</v>
      </c>
      <c r="C1565" s="135"/>
    </row>
    <row r="1566" spans="1:3" x14ac:dyDescent="0.2">
      <c r="A1566" s="9"/>
      <c r="B1566" s="135">
        <v>8.77</v>
      </c>
      <c r="C1566" s="135"/>
    </row>
    <row r="1567" spans="1:3" x14ac:dyDescent="0.2">
      <c r="A1567" s="9"/>
      <c r="B1567" s="135">
        <v>8.7799999999999994</v>
      </c>
      <c r="C1567" s="135"/>
    </row>
    <row r="1568" spans="1:3" x14ac:dyDescent="0.2">
      <c r="A1568" s="9"/>
      <c r="B1568" s="135">
        <v>8.7899999999999991</v>
      </c>
      <c r="C1568" s="135"/>
    </row>
    <row r="1569" spans="1:3" x14ac:dyDescent="0.2">
      <c r="A1569" s="9"/>
      <c r="B1569" s="135">
        <v>8.8000000000000007</v>
      </c>
      <c r="C1569" s="135"/>
    </row>
    <row r="1570" spans="1:3" x14ac:dyDescent="0.2">
      <c r="A1570" s="9"/>
      <c r="B1570" s="135">
        <v>8.81</v>
      </c>
      <c r="C1570" s="135"/>
    </row>
    <row r="1571" spans="1:3" x14ac:dyDescent="0.2">
      <c r="A1571" s="9"/>
      <c r="B1571" s="135">
        <v>8.82</v>
      </c>
      <c r="C1571" s="135"/>
    </row>
    <row r="1572" spans="1:3" x14ac:dyDescent="0.2">
      <c r="A1572" s="9"/>
      <c r="B1572" s="135">
        <v>8.83</v>
      </c>
      <c r="C1572" s="135"/>
    </row>
    <row r="1573" spans="1:3" x14ac:dyDescent="0.2">
      <c r="A1573" s="9"/>
      <c r="B1573" s="135">
        <v>8.84</v>
      </c>
      <c r="C1573" s="135"/>
    </row>
    <row r="1574" spans="1:3" x14ac:dyDescent="0.2">
      <c r="A1574" s="9"/>
      <c r="B1574" s="135">
        <v>8.85</v>
      </c>
      <c r="C1574" s="135"/>
    </row>
    <row r="1575" spans="1:3" x14ac:dyDescent="0.2">
      <c r="A1575" s="9"/>
      <c r="B1575" s="135">
        <v>8.86</v>
      </c>
      <c r="C1575" s="135"/>
    </row>
    <row r="1576" spans="1:3" x14ac:dyDescent="0.2">
      <c r="A1576" s="9"/>
      <c r="B1576" s="135">
        <v>8.8699999999999992</v>
      </c>
      <c r="C1576" s="135"/>
    </row>
    <row r="1577" spans="1:3" x14ac:dyDescent="0.2">
      <c r="A1577" s="9"/>
      <c r="B1577" s="135">
        <v>8.8800000000000008</v>
      </c>
      <c r="C1577" s="135"/>
    </row>
    <row r="1578" spans="1:3" x14ac:dyDescent="0.2">
      <c r="A1578" s="9"/>
      <c r="B1578" s="135">
        <v>8.89</v>
      </c>
      <c r="C1578" s="135"/>
    </row>
    <row r="1579" spans="1:3" x14ac:dyDescent="0.2">
      <c r="A1579" s="9"/>
      <c r="B1579" s="135">
        <v>8.9</v>
      </c>
      <c r="C1579" s="135"/>
    </row>
    <row r="1580" spans="1:3" x14ac:dyDescent="0.2">
      <c r="A1580" s="9"/>
      <c r="B1580" s="135">
        <v>8.91</v>
      </c>
      <c r="C1580" s="135"/>
    </row>
    <row r="1581" spans="1:3" x14ac:dyDescent="0.2">
      <c r="A1581" s="9"/>
      <c r="B1581" s="135">
        <v>8.92</v>
      </c>
      <c r="C1581" s="135"/>
    </row>
    <row r="1582" spans="1:3" x14ac:dyDescent="0.2">
      <c r="A1582" s="9"/>
      <c r="B1582" s="135">
        <v>8.93</v>
      </c>
      <c r="C1582" s="135"/>
    </row>
    <row r="1583" spans="1:3" x14ac:dyDescent="0.2">
      <c r="A1583" s="9"/>
      <c r="B1583" s="135">
        <v>8.94</v>
      </c>
      <c r="C1583" s="135"/>
    </row>
    <row r="1584" spans="1:3" x14ac:dyDescent="0.2">
      <c r="A1584" s="9"/>
      <c r="B1584" s="135">
        <v>8.9499999999999993</v>
      </c>
      <c r="C1584" s="135"/>
    </row>
    <row r="1585" spans="1:3" x14ac:dyDescent="0.2">
      <c r="A1585" s="9"/>
      <c r="B1585" s="135">
        <v>8.9600000000000009</v>
      </c>
      <c r="C1585" s="135"/>
    </row>
    <row r="1586" spans="1:3" x14ac:dyDescent="0.2">
      <c r="A1586" s="9"/>
      <c r="B1586" s="135">
        <v>8.9700000000000006</v>
      </c>
      <c r="C1586" s="135"/>
    </row>
    <row r="1587" spans="1:3" x14ac:dyDescent="0.2">
      <c r="A1587" s="9"/>
      <c r="B1587" s="135">
        <v>8.98</v>
      </c>
      <c r="C1587" s="135"/>
    </row>
    <row r="1588" spans="1:3" x14ac:dyDescent="0.2">
      <c r="A1588" s="9"/>
      <c r="B1588" s="135">
        <v>8.99</v>
      </c>
      <c r="C1588" s="135"/>
    </row>
    <row r="1589" spans="1:3" x14ac:dyDescent="0.2">
      <c r="A1589" s="9"/>
      <c r="B1589" s="135">
        <v>9</v>
      </c>
      <c r="C1589" s="135"/>
    </row>
    <row r="1590" spans="1:3" x14ac:dyDescent="0.2">
      <c r="A1590" s="9"/>
      <c r="B1590" s="135">
        <v>9.01</v>
      </c>
      <c r="C1590" s="135"/>
    </row>
    <row r="1591" spans="1:3" x14ac:dyDescent="0.2">
      <c r="A1591" s="9"/>
      <c r="B1591" s="135">
        <v>9.02</v>
      </c>
      <c r="C1591" s="135"/>
    </row>
    <row r="1592" spans="1:3" x14ac:dyDescent="0.2">
      <c r="A1592" s="9"/>
      <c r="B1592" s="135">
        <v>9.0299999999999994</v>
      </c>
      <c r="C1592" s="135"/>
    </row>
    <row r="1593" spans="1:3" x14ac:dyDescent="0.2">
      <c r="A1593" s="9"/>
      <c r="B1593" s="135">
        <v>9.0399999999999991</v>
      </c>
      <c r="C1593" s="135"/>
    </row>
    <row r="1594" spans="1:3" x14ac:dyDescent="0.2">
      <c r="A1594" s="9"/>
      <c r="B1594" s="135">
        <v>9.0500000000000007</v>
      </c>
      <c r="C1594" s="135"/>
    </row>
    <row r="1595" spans="1:3" x14ac:dyDescent="0.2">
      <c r="A1595" s="9"/>
      <c r="B1595" s="135">
        <v>9.06</v>
      </c>
      <c r="C1595" s="135"/>
    </row>
    <row r="1596" spans="1:3" x14ac:dyDescent="0.2">
      <c r="A1596" s="9"/>
      <c r="B1596" s="135">
        <v>9.07</v>
      </c>
      <c r="C1596" s="135"/>
    </row>
    <row r="1597" spans="1:3" x14ac:dyDescent="0.2">
      <c r="A1597" s="9"/>
      <c r="B1597" s="135">
        <v>9.08</v>
      </c>
      <c r="C1597" s="135"/>
    </row>
    <row r="1598" spans="1:3" x14ac:dyDescent="0.2">
      <c r="A1598" s="9"/>
      <c r="B1598" s="135">
        <v>9.09</v>
      </c>
      <c r="C1598" s="135"/>
    </row>
    <row r="1599" spans="1:3" x14ac:dyDescent="0.2">
      <c r="A1599" s="9"/>
      <c r="B1599" s="135">
        <v>9.1</v>
      </c>
      <c r="C1599" s="135"/>
    </row>
    <row r="1600" spans="1:3" x14ac:dyDescent="0.2">
      <c r="A1600" s="9"/>
      <c r="B1600" s="135">
        <v>9.11</v>
      </c>
      <c r="C1600" s="135"/>
    </row>
    <row r="1601" spans="1:3" x14ac:dyDescent="0.2">
      <c r="A1601" s="9"/>
      <c r="B1601" s="135">
        <v>9.1199999999999992</v>
      </c>
      <c r="C1601" s="135"/>
    </row>
    <row r="1602" spans="1:3" x14ac:dyDescent="0.2">
      <c r="A1602" s="9"/>
      <c r="B1602" s="135">
        <v>9.1300000000000008</v>
      </c>
      <c r="C1602" s="135"/>
    </row>
    <row r="1603" spans="1:3" x14ac:dyDescent="0.2">
      <c r="A1603" s="9"/>
      <c r="B1603" s="135">
        <v>9.14</v>
      </c>
      <c r="C1603" s="135"/>
    </row>
    <row r="1604" spans="1:3" x14ac:dyDescent="0.2">
      <c r="A1604" s="9"/>
      <c r="B1604" s="135">
        <v>9.15</v>
      </c>
      <c r="C1604" s="135"/>
    </row>
    <row r="1605" spans="1:3" x14ac:dyDescent="0.2">
      <c r="A1605" s="9"/>
      <c r="B1605" s="135">
        <v>9.16</v>
      </c>
      <c r="C1605" s="135"/>
    </row>
    <row r="1606" spans="1:3" x14ac:dyDescent="0.2">
      <c r="A1606" s="9"/>
      <c r="B1606" s="135">
        <v>9.17</v>
      </c>
      <c r="C1606" s="135"/>
    </row>
    <row r="1607" spans="1:3" x14ac:dyDescent="0.2">
      <c r="A1607" s="9"/>
      <c r="B1607" s="135">
        <v>9.18</v>
      </c>
      <c r="C1607" s="135"/>
    </row>
    <row r="1608" spans="1:3" x14ac:dyDescent="0.2">
      <c r="A1608" s="9"/>
      <c r="B1608" s="135">
        <v>9.19</v>
      </c>
      <c r="C1608" s="135"/>
    </row>
    <row r="1609" spans="1:3" x14ac:dyDescent="0.2">
      <c r="A1609" s="9"/>
      <c r="B1609" s="135">
        <v>9.1999999999999993</v>
      </c>
      <c r="C1609" s="135"/>
    </row>
    <row r="1610" spans="1:3" x14ac:dyDescent="0.2">
      <c r="A1610" s="9"/>
      <c r="B1610" s="135">
        <v>9.2100000000000009</v>
      </c>
      <c r="C1610" s="135"/>
    </row>
    <row r="1611" spans="1:3" x14ac:dyDescent="0.2">
      <c r="A1611" s="9"/>
      <c r="B1611" s="135">
        <v>9.2200000000000006</v>
      </c>
      <c r="C1611" s="135"/>
    </row>
    <row r="1612" spans="1:3" x14ac:dyDescent="0.2">
      <c r="A1612" s="9"/>
      <c r="B1612" s="135">
        <v>9.23</v>
      </c>
      <c r="C1612" s="135"/>
    </row>
    <row r="1613" spans="1:3" x14ac:dyDescent="0.2">
      <c r="A1613" s="9"/>
      <c r="B1613" s="135">
        <v>9.24</v>
      </c>
      <c r="C1613" s="135"/>
    </row>
    <row r="1614" spans="1:3" x14ac:dyDescent="0.2">
      <c r="A1614" s="9"/>
      <c r="B1614" s="135">
        <v>9.25</v>
      </c>
      <c r="C1614" s="135"/>
    </row>
    <row r="1615" spans="1:3" x14ac:dyDescent="0.2">
      <c r="A1615" s="9"/>
      <c r="B1615" s="135">
        <v>9.26</v>
      </c>
      <c r="C1615" s="135"/>
    </row>
    <row r="1616" spans="1:3" x14ac:dyDescent="0.2">
      <c r="A1616" s="9"/>
      <c r="B1616" s="135">
        <v>9.27</v>
      </c>
      <c r="C1616" s="135"/>
    </row>
    <row r="1617" spans="1:3" x14ac:dyDescent="0.2">
      <c r="A1617" s="9"/>
      <c r="B1617" s="135">
        <v>9.2799999999999994</v>
      </c>
      <c r="C1617" s="135"/>
    </row>
    <row r="1618" spans="1:3" x14ac:dyDescent="0.2">
      <c r="A1618" s="9"/>
      <c r="B1618" s="135">
        <v>9.2899999999999991</v>
      </c>
      <c r="C1618" s="135"/>
    </row>
    <row r="1619" spans="1:3" x14ac:dyDescent="0.2">
      <c r="A1619" s="9"/>
      <c r="B1619" s="135">
        <v>9.3000000000000007</v>
      </c>
      <c r="C1619" s="135"/>
    </row>
    <row r="1620" spans="1:3" x14ac:dyDescent="0.2">
      <c r="A1620" s="9"/>
      <c r="B1620" s="135">
        <v>9.31</v>
      </c>
      <c r="C1620" s="135"/>
    </row>
    <row r="1621" spans="1:3" x14ac:dyDescent="0.2">
      <c r="A1621" s="9"/>
      <c r="B1621" s="135">
        <v>9.32</v>
      </c>
      <c r="C1621" s="135"/>
    </row>
    <row r="1622" spans="1:3" x14ac:dyDescent="0.2">
      <c r="A1622" s="9"/>
      <c r="B1622" s="135">
        <v>9.33</v>
      </c>
      <c r="C1622" s="135"/>
    </row>
    <row r="1623" spans="1:3" x14ac:dyDescent="0.2">
      <c r="A1623" s="9"/>
      <c r="B1623" s="135">
        <v>9.34</v>
      </c>
      <c r="C1623" s="135"/>
    </row>
    <row r="1624" spans="1:3" x14ac:dyDescent="0.2">
      <c r="A1624" s="9"/>
      <c r="B1624" s="135">
        <v>9.35</v>
      </c>
      <c r="C1624" s="135"/>
    </row>
    <row r="1625" spans="1:3" x14ac:dyDescent="0.2">
      <c r="A1625" s="9"/>
      <c r="B1625" s="135">
        <v>9.36</v>
      </c>
      <c r="C1625" s="135"/>
    </row>
    <row r="1626" spans="1:3" x14ac:dyDescent="0.2">
      <c r="A1626" s="9"/>
      <c r="B1626" s="135">
        <v>9.3699999999999992</v>
      </c>
      <c r="C1626" s="135"/>
    </row>
    <row r="1627" spans="1:3" x14ac:dyDescent="0.2">
      <c r="A1627" s="9"/>
      <c r="B1627" s="135">
        <v>9.3800000000000008</v>
      </c>
      <c r="C1627" s="135"/>
    </row>
    <row r="1628" spans="1:3" x14ac:dyDescent="0.2">
      <c r="A1628" s="9"/>
      <c r="B1628" s="135">
        <v>9.39</v>
      </c>
      <c r="C1628" s="135"/>
    </row>
    <row r="1629" spans="1:3" x14ac:dyDescent="0.2">
      <c r="A1629" s="9"/>
      <c r="B1629" s="135">
        <v>9.4</v>
      </c>
      <c r="C1629" s="135"/>
    </row>
    <row r="1630" spans="1:3" x14ac:dyDescent="0.2">
      <c r="A1630" s="9"/>
      <c r="B1630" s="135">
        <v>9.41</v>
      </c>
      <c r="C1630" s="135"/>
    </row>
    <row r="1631" spans="1:3" x14ac:dyDescent="0.2">
      <c r="A1631" s="9"/>
      <c r="B1631" s="135">
        <v>9.42</v>
      </c>
      <c r="C1631" s="135"/>
    </row>
    <row r="1632" spans="1:3" x14ac:dyDescent="0.2">
      <c r="A1632" s="9"/>
      <c r="B1632" s="135">
        <v>9.43</v>
      </c>
      <c r="C1632" s="135"/>
    </row>
    <row r="1633" spans="1:3" x14ac:dyDescent="0.2">
      <c r="A1633" s="9"/>
      <c r="B1633" s="135">
        <v>9.44</v>
      </c>
      <c r="C1633" s="135"/>
    </row>
    <row r="1634" spans="1:3" x14ac:dyDescent="0.2">
      <c r="A1634" s="9"/>
      <c r="B1634" s="135">
        <v>9.4499999999999993</v>
      </c>
      <c r="C1634" s="135"/>
    </row>
    <row r="1635" spans="1:3" x14ac:dyDescent="0.2">
      <c r="A1635" s="9"/>
      <c r="B1635" s="135">
        <v>9.4600000000000009</v>
      </c>
      <c r="C1635" s="135"/>
    </row>
    <row r="1636" spans="1:3" x14ac:dyDescent="0.2">
      <c r="A1636" s="9"/>
      <c r="B1636" s="135">
        <v>9.4700000000000006</v>
      </c>
      <c r="C1636" s="135"/>
    </row>
    <row r="1637" spans="1:3" x14ac:dyDescent="0.2">
      <c r="A1637" s="9"/>
      <c r="B1637" s="135">
        <v>9.48</v>
      </c>
      <c r="C1637" s="135"/>
    </row>
    <row r="1638" spans="1:3" x14ac:dyDescent="0.2">
      <c r="A1638" s="9"/>
      <c r="B1638" s="135">
        <v>9.49</v>
      </c>
      <c r="C1638" s="135"/>
    </row>
    <row r="1639" spans="1:3" x14ac:dyDescent="0.2">
      <c r="A1639" s="9"/>
      <c r="B1639" s="135">
        <v>9.5</v>
      </c>
      <c r="C1639" s="135"/>
    </row>
    <row r="1640" spans="1:3" x14ac:dyDescent="0.2">
      <c r="A1640" s="9"/>
      <c r="B1640" s="135">
        <v>9.51</v>
      </c>
      <c r="C1640" s="135"/>
    </row>
    <row r="1641" spans="1:3" x14ac:dyDescent="0.2">
      <c r="A1641" s="9"/>
      <c r="B1641" s="135">
        <v>9.52</v>
      </c>
      <c r="C1641" s="135"/>
    </row>
    <row r="1642" spans="1:3" x14ac:dyDescent="0.2">
      <c r="A1642" s="9"/>
      <c r="B1642" s="135">
        <v>9.5299999999999994</v>
      </c>
      <c r="C1642" s="135"/>
    </row>
    <row r="1643" spans="1:3" x14ac:dyDescent="0.2">
      <c r="A1643" s="9"/>
      <c r="B1643" s="135">
        <v>9.5399999999999991</v>
      </c>
      <c r="C1643" s="135"/>
    </row>
    <row r="1644" spans="1:3" x14ac:dyDescent="0.2">
      <c r="A1644" s="9"/>
      <c r="B1644" s="135">
        <v>9.5500000000000007</v>
      </c>
      <c r="C1644" s="135"/>
    </row>
    <row r="1645" spans="1:3" x14ac:dyDescent="0.2">
      <c r="A1645" s="9"/>
      <c r="B1645" s="135">
        <v>9.56</v>
      </c>
      <c r="C1645" s="135"/>
    </row>
    <row r="1646" spans="1:3" x14ac:dyDescent="0.2">
      <c r="A1646" s="9"/>
      <c r="B1646" s="135">
        <v>9.57</v>
      </c>
      <c r="C1646" s="135"/>
    </row>
    <row r="1647" spans="1:3" x14ac:dyDescent="0.2">
      <c r="A1647" s="9"/>
      <c r="B1647" s="135">
        <v>9.58</v>
      </c>
      <c r="C1647" s="135"/>
    </row>
    <row r="1648" spans="1:3" x14ac:dyDescent="0.2">
      <c r="A1648" s="9"/>
      <c r="B1648" s="135">
        <v>9.59</v>
      </c>
      <c r="C1648" s="135"/>
    </row>
    <row r="1649" spans="1:3" x14ac:dyDescent="0.2">
      <c r="A1649" s="9"/>
      <c r="B1649" s="135">
        <v>9.6</v>
      </c>
      <c r="C1649" s="135"/>
    </row>
    <row r="1650" spans="1:3" x14ac:dyDescent="0.2">
      <c r="A1650" s="9"/>
      <c r="B1650" s="135">
        <v>9.61</v>
      </c>
      <c r="C1650" s="135"/>
    </row>
    <row r="1651" spans="1:3" x14ac:dyDescent="0.2">
      <c r="A1651" s="9"/>
      <c r="B1651" s="135">
        <v>9.6199999999999992</v>
      </c>
      <c r="C1651" s="135"/>
    </row>
    <row r="1652" spans="1:3" x14ac:dyDescent="0.2">
      <c r="A1652" s="9"/>
      <c r="B1652" s="135">
        <v>9.6300000000000008</v>
      </c>
      <c r="C1652" s="135"/>
    </row>
    <row r="1653" spans="1:3" x14ac:dyDescent="0.2">
      <c r="A1653" s="9"/>
      <c r="B1653" s="135">
        <v>9.64</v>
      </c>
      <c r="C1653" s="135"/>
    </row>
    <row r="1654" spans="1:3" x14ac:dyDescent="0.2">
      <c r="A1654" s="9"/>
      <c r="B1654" s="135">
        <v>9.65</v>
      </c>
      <c r="C1654" s="135"/>
    </row>
    <row r="1655" spans="1:3" x14ac:dyDescent="0.2">
      <c r="A1655" s="9"/>
      <c r="B1655" s="135">
        <v>9.66</v>
      </c>
      <c r="C1655" s="135"/>
    </row>
    <row r="1656" spans="1:3" x14ac:dyDescent="0.2">
      <c r="A1656" s="9"/>
      <c r="B1656" s="135">
        <v>9.67</v>
      </c>
      <c r="C1656" s="135"/>
    </row>
    <row r="1657" spans="1:3" x14ac:dyDescent="0.2">
      <c r="A1657" s="9"/>
      <c r="B1657" s="135">
        <v>9.68</v>
      </c>
      <c r="C1657" s="135"/>
    </row>
    <row r="1658" spans="1:3" x14ac:dyDescent="0.2">
      <c r="A1658" s="9"/>
      <c r="B1658" s="135">
        <v>9.69</v>
      </c>
      <c r="C1658" s="135"/>
    </row>
    <row r="1659" spans="1:3" x14ac:dyDescent="0.2">
      <c r="A1659" s="9"/>
      <c r="B1659" s="135">
        <v>9.6999999999999993</v>
      </c>
      <c r="C1659" s="135"/>
    </row>
    <row r="1660" spans="1:3" x14ac:dyDescent="0.2">
      <c r="A1660" s="9"/>
      <c r="B1660" s="135">
        <v>9.7100000000000009</v>
      </c>
      <c r="C1660" s="135"/>
    </row>
    <row r="1661" spans="1:3" x14ac:dyDescent="0.2">
      <c r="A1661" s="9"/>
      <c r="B1661" s="135">
        <v>9.7200000000000006</v>
      </c>
      <c r="C1661" s="135"/>
    </row>
    <row r="1662" spans="1:3" x14ac:dyDescent="0.2">
      <c r="A1662" s="9"/>
      <c r="B1662" s="135">
        <v>9.73</v>
      </c>
      <c r="C1662" s="135"/>
    </row>
    <row r="1663" spans="1:3" x14ac:dyDescent="0.2">
      <c r="A1663" s="9"/>
      <c r="B1663" s="135">
        <v>9.74</v>
      </c>
      <c r="C1663" s="135"/>
    </row>
    <row r="1664" spans="1:3" x14ac:dyDescent="0.2">
      <c r="A1664" s="9"/>
      <c r="B1664" s="135">
        <v>9.75</v>
      </c>
      <c r="C1664" s="135"/>
    </row>
    <row r="1665" spans="1:3" x14ac:dyDescent="0.2">
      <c r="A1665" s="9"/>
      <c r="B1665" s="135">
        <v>9.76</v>
      </c>
      <c r="C1665" s="135"/>
    </row>
    <row r="1666" spans="1:3" x14ac:dyDescent="0.2">
      <c r="A1666" s="9"/>
      <c r="B1666" s="135">
        <v>9.77</v>
      </c>
      <c r="C1666" s="135"/>
    </row>
    <row r="1667" spans="1:3" x14ac:dyDescent="0.2">
      <c r="A1667" s="9"/>
      <c r="B1667" s="135">
        <v>9.7799999999999994</v>
      </c>
      <c r="C1667" s="135"/>
    </row>
    <row r="1668" spans="1:3" x14ac:dyDescent="0.2">
      <c r="A1668" s="9"/>
      <c r="B1668" s="135">
        <v>9.7899999999999991</v>
      </c>
      <c r="C1668" s="135"/>
    </row>
    <row r="1669" spans="1:3" x14ac:dyDescent="0.2">
      <c r="A1669" s="9"/>
      <c r="B1669" s="135">
        <v>9.8000000000000007</v>
      </c>
      <c r="C1669" s="135"/>
    </row>
    <row r="1670" spans="1:3" x14ac:dyDescent="0.2">
      <c r="A1670" s="9"/>
      <c r="B1670" s="135">
        <v>9.81</v>
      </c>
      <c r="C1670" s="135"/>
    </row>
    <row r="1671" spans="1:3" x14ac:dyDescent="0.2">
      <c r="A1671" s="9"/>
      <c r="B1671" s="135">
        <v>9.82</v>
      </c>
      <c r="C1671" s="135"/>
    </row>
    <row r="1672" spans="1:3" x14ac:dyDescent="0.2">
      <c r="A1672" s="9"/>
      <c r="B1672" s="135">
        <v>9.83</v>
      </c>
      <c r="C1672" s="135"/>
    </row>
    <row r="1673" spans="1:3" x14ac:dyDescent="0.2">
      <c r="A1673" s="9"/>
      <c r="B1673" s="135">
        <v>9.84</v>
      </c>
      <c r="C1673" s="135"/>
    </row>
    <row r="1674" spans="1:3" x14ac:dyDescent="0.2">
      <c r="A1674" s="9"/>
      <c r="B1674" s="135">
        <v>9.85</v>
      </c>
      <c r="C1674" s="135"/>
    </row>
    <row r="1675" spans="1:3" x14ac:dyDescent="0.2">
      <c r="A1675" s="9"/>
      <c r="B1675" s="135">
        <v>9.86</v>
      </c>
      <c r="C1675" s="135"/>
    </row>
    <row r="1676" spans="1:3" x14ac:dyDescent="0.2">
      <c r="A1676" s="9"/>
      <c r="B1676" s="135">
        <v>9.8699999999999992</v>
      </c>
      <c r="C1676" s="135"/>
    </row>
    <row r="1677" spans="1:3" x14ac:dyDescent="0.2">
      <c r="A1677" s="9"/>
      <c r="B1677" s="135">
        <v>9.8800000000000008</v>
      </c>
      <c r="C1677" s="135"/>
    </row>
    <row r="1678" spans="1:3" x14ac:dyDescent="0.2">
      <c r="A1678" s="9"/>
      <c r="B1678" s="135">
        <v>9.89</v>
      </c>
      <c r="C1678" s="135"/>
    </row>
    <row r="1679" spans="1:3" x14ac:dyDescent="0.2">
      <c r="A1679" s="9"/>
      <c r="B1679" s="135">
        <v>9.9</v>
      </c>
      <c r="C1679" s="135"/>
    </row>
    <row r="1680" spans="1:3" x14ac:dyDescent="0.2">
      <c r="A1680" s="9"/>
      <c r="B1680" s="135">
        <v>9.91</v>
      </c>
      <c r="C1680" s="135"/>
    </row>
    <row r="1681" spans="1:3" x14ac:dyDescent="0.2">
      <c r="A1681" s="9"/>
      <c r="B1681" s="135">
        <v>9.92</v>
      </c>
      <c r="C1681" s="135"/>
    </row>
    <row r="1682" spans="1:3" x14ac:dyDescent="0.2">
      <c r="A1682" s="9"/>
      <c r="B1682" s="135">
        <v>9.93</v>
      </c>
      <c r="C1682" s="135"/>
    </row>
    <row r="1683" spans="1:3" x14ac:dyDescent="0.2">
      <c r="A1683" s="9"/>
      <c r="B1683" s="135">
        <v>9.94</v>
      </c>
      <c r="C1683" s="135"/>
    </row>
    <row r="1684" spans="1:3" x14ac:dyDescent="0.2">
      <c r="A1684" s="9"/>
      <c r="B1684" s="135">
        <v>9.9499999999999993</v>
      </c>
      <c r="C1684" s="135"/>
    </row>
    <row r="1685" spans="1:3" x14ac:dyDescent="0.2">
      <c r="A1685" s="9"/>
      <c r="B1685" s="135">
        <v>9.9600000000000009</v>
      </c>
      <c r="C1685" s="135"/>
    </row>
    <row r="1686" spans="1:3" x14ac:dyDescent="0.2">
      <c r="A1686" s="9"/>
      <c r="B1686" s="135">
        <v>9.9700000000000006</v>
      </c>
      <c r="C1686" s="135"/>
    </row>
    <row r="1687" spans="1:3" x14ac:dyDescent="0.2">
      <c r="A1687" s="9"/>
      <c r="B1687" s="135">
        <v>9.98</v>
      </c>
      <c r="C1687" s="135"/>
    </row>
    <row r="1688" spans="1:3" x14ac:dyDescent="0.2">
      <c r="A1688" s="9"/>
      <c r="B1688" s="135">
        <v>9.99</v>
      </c>
      <c r="C1688" s="135"/>
    </row>
    <row r="1689" spans="1:3" x14ac:dyDescent="0.2">
      <c r="A1689" s="9"/>
      <c r="B1689" s="135">
        <v>10</v>
      </c>
      <c r="C1689" s="135"/>
    </row>
    <row r="1690" spans="1:3" x14ac:dyDescent="0.2">
      <c r="A1690" s="9"/>
      <c r="B1690" s="135">
        <v>10.01</v>
      </c>
      <c r="C1690" s="135"/>
    </row>
    <row r="1691" spans="1:3" x14ac:dyDescent="0.2">
      <c r="A1691" s="9"/>
      <c r="B1691" s="135">
        <v>10.02</v>
      </c>
      <c r="C1691" s="135"/>
    </row>
    <row r="1692" spans="1:3" x14ac:dyDescent="0.2">
      <c r="A1692" s="9"/>
      <c r="B1692" s="135">
        <v>10.029999999999999</v>
      </c>
      <c r="C1692" s="135"/>
    </row>
    <row r="1693" spans="1:3" x14ac:dyDescent="0.2">
      <c r="A1693" s="9"/>
      <c r="B1693" s="135">
        <v>10.039999999999999</v>
      </c>
      <c r="C1693" s="135"/>
    </row>
    <row r="1694" spans="1:3" x14ac:dyDescent="0.2">
      <c r="A1694" s="9"/>
      <c r="B1694" s="135">
        <v>10.050000000000001</v>
      </c>
      <c r="C1694" s="135"/>
    </row>
    <row r="1695" spans="1:3" x14ac:dyDescent="0.2">
      <c r="A1695" s="9"/>
      <c r="B1695" s="135">
        <v>10.06</v>
      </c>
      <c r="C1695" s="135"/>
    </row>
    <row r="1696" spans="1:3" x14ac:dyDescent="0.2">
      <c r="A1696" s="9"/>
      <c r="B1696" s="135">
        <v>10.07</v>
      </c>
      <c r="C1696" s="135"/>
    </row>
    <row r="1697" spans="1:3" x14ac:dyDescent="0.2">
      <c r="A1697" s="9"/>
      <c r="B1697" s="135">
        <v>10.08</v>
      </c>
      <c r="C1697" s="135"/>
    </row>
    <row r="1698" spans="1:3" x14ac:dyDescent="0.2">
      <c r="A1698" s="9"/>
      <c r="B1698" s="135">
        <v>10.09</v>
      </c>
      <c r="C1698" s="135"/>
    </row>
    <row r="1699" spans="1:3" x14ac:dyDescent="0.2">
      <c r="A1699" s="9"/>
      <c r="B1699" s="135">
        <v>10.1</v>
      </c>
      <c r="C1699" s="135"/>
    </row>
    <row r="1700" spans="1:3" x14ac:dyDescent="0.2">
      <c r="A1700" s="9"/>
      <c r="B1700" s="135">
        <v>10.11</v>
      </c>
      <c r="C1700" s="135"/>
    </row>
    <row r="1701" spans="1:3" x14ac:dyDescent="0.2">
      <c r="A1701" s="9"/>
      <c r="B1701" s="135">
        <v>10.119999999999999</v>
      </c>
      <c r="C1701" s="135"/>
    </row>
    <row r="1702" spans="1:3" x14ac:dyDescent="0.2">
      <c r="A1702" s="9"/>
      <c r="B1702" s="135">
        <v>10.130000000000001</v>
      </c>
      <c r="C1702" s="135"/>
    </row>
    <row r="1703" spans="1:3" x14ac:dyDescent="0.2">
      <c r="A1703" s="9"/>
      <c r="B1703" s="135">
        <v>10.14</v>
      </c>
      <c r="C1703" s="135"/>
    </row>
    <row r="1704" spans="1:3" x14ac:dyDescent="0.2">
      <c r="A1704" s="9"/>
      <c r="B1704" s="135">
        <v>10.15</v>
      </c>
      <c r="C1704" s="135"/>
    </row>
    <row r="1705" spans="1:3" x14ac:dyDescent="0.2">
      <c r="A1705" s="9"/>
      <c r="B1705" s="135">
        <v>10.16</v>
      </c>
      <c r="C1705" s="135"/>
    </row>
    <row r="1706" spans="1:3" x14ac:dyDescent="0.2">
      <c r="A1706" s="9"/>
      <c r="B1706" s="135">
        <v>10.17</v>
      </c>
      <c r="C1706" s="135"/>
    </row>
    <row r="1707" spans="1:3" x14ac:dyDescent="0.2">
      <c r="A1707" s="9"/>
      <c r="B1707" s="135">
        <v>10.18</v>
      </c>
      <c r="C1707" s="135"/>
    </row>
    <row r="1708" spans="1:3" x14ac:dyDescent="0.2">
      <c r="A1708" s="9"/>
      <c r="B1708" s="135">
        <v>10.19</v>
      </c>
      <c r="C1708" s="135"/>
    </row>
    <row r="1709" spans="1:3" x14ac:dyDescent="0.2">
      <c r="A1709" s="9"/>
      <c r="B1709" s="135">
        <v>10.199999999999999</v>
      </c>
      <c r="C1709" s="135"/>
    </row>
    <row r="1710" spans="1:3" x14ac:dyDescent="0.2">
      <c r="A1710" s="9"/>
      <c r="B1710" s="135">
        <v>10.210000000000001</v>
      </c>
      <c r="C1710" s="135"/>
    </row>
    <row r="1711" spans="1:3" x14ac:dyDescent="0.2">
      <c r="A1711" s="9"/>
      <c r="B1711" s="135">
        <v>10.220000000000001</v>
      </c>
      <c r="C1711" s="135"/>
    </row>
    <row r="1712" spans="1:3" x14ac:dyDescent="0.2">
      <c r="A1712" s="9"/>
      <c r="B1712" s="135">
        <v>10.23</v>
      </c>
      <c r="C1712" s="135"/>
    </row>
    <row r="1713" spans="1:3" x14ac:dyDescent="0.2">
      <c r="A1713" s="9"/>
      <c r="B1713" s="135">
        <v>10.24</v>
      </c>
      <c r="C1713" s="135"/>
    </row>
    <row r="1714" spans="1:3" x14ac:dyDescent="0.2">
      <c r="A1714" s="9"/>
      <c r="B1714" s="135">
        <v>10.25</v>
      </c>
      <c r="C1714" s="135"/>
    </row>
    <row r="1715" spans="1:3" x14ac:dyDescent="0.2">
      <c r="A1715" s="9"/>
      <c r="B1715" s="135">
        <v>10.26</v>
      </c>
      <c r="C1715" s="135"/>
    </row>
    <row r="1716" spans="1:3" x14ac:dyDescent="0.2">
      <c r="A1716" s="9"/>
      <c r="B1716" s="135">
        <v>10.27</v>
      </c>
      <c r="C1716" s="135"/>
    </row>
    <row r="1717" spans="1:3" x14ac:dyDescent="0.2">
      <c r="A1717" s="9"/>
      <c r="B1717" s="135">
        <v>10.28</v>
      </c>
      <c r="C1717" s="135"/>
    </row>
    <row r="1718" spans="1:3" x14ac:dyDescent="0.2">
      <c r="A1718" s="9"/>
      <c r="B1718" s="135">
        <v>10.29</v>
      </c>
      <c r="C1718" s="135"/>
    </row>
    <row r="1719" spans="1:3" x14ac:dyDescent="0.2">
      <c r="A1719" s="9"/>
      <c r="B1719" s="135">
        <v>10.3</v>
      </c>
      <c r="C1719" s="135"/>
    </row>
    <row r="1720" spans="1:3" x14ac:dyDescent="0.2">
      <c r="A1720" s="9"/>
      <c r="B1720" s="135">
        <v>10.31</v>
      </c>
      <c r="C1720" s="135"/>
    </row>
    <row r="1721" spans="1:3" x14ac:dyDescent="0.2">
      <c r="A1721" s="9"/>
      <c r="B1721" s="135">
        <v>10.32</v>
      </c>
      <c r="C1721" s="135"/>
    </row>
    <row r="1722" spans="1:3" x14ac:dyDescent="0.2">
      <c r="A1722" s="9"/>
      <c r="B1722" s="135">
        <v>10.33</v>
      </c>
      <c r="C1722" s="135"/>
    </row>
    <row r="1723" spans="1:3" x14ac:dyDescent="0.2">
      <c r="A1723" s="9"/>
      <c r="B1723" s="135">
        <v>10.34</v>
      </c>
      <c r="C1723" s="135"/>
    </row>
    <row r="1724" spans="1:3" x14ac:dyDescent="0.2">
      <c r="A1724" s="9"/>
      <c r="B1724" s="135">
        <v>10.35</v>
      </c>
      <c r="C1724" s="135"/>
    </row>
    <row r="1725" spans="1:3" x14ac:dyDescent="0.2">
      <c r="A1725" s="9"/>
      <c r="B1725" s="135">
        <v>10.36</v>
      </c>
      <c r="C1725" s="135"/>
    </row>
    <row r="1726" spans="1:3" x14ac:dyDescent="0.2">
      <c r="A1726" s="9"/>
      <c r="B1726" s="135">
        <v>10.37</v>
      </c>
      <c r="C1726" s="135"/>
    </row>
    <row r="1727" spans="1:3" x14ac:dyDescent="0.2">
      <c r="A1727" s="9"/>
      <c r="B1727" s="135">
        <v>10.38</v>
      </c>
      <c r="C1727" s="135"/>
    </row>
    <row r="1728" spans="1:3" x14ac:dyDescent="0.2">
      <c r="A1728" s="9"/>
      <c r="B1728" s="135">
        <v>10.39</v>
      </c>
      <c r="C1728" s="135"/>
    </row>
    <row r="1729" spans="1:3" x14ac:dyDescent="0.2">
      <c r="A1729" s="9"/>
      <c r="B1729" s="135">
        <v>10.4</v>
      </c>
      <c r="C1729" s="135"/>
    </row>
    <row r="1730" spans="1:3" x14ac:dyDescent="0.2">
      <c r="A1730" s="9"/>
      <c r="B1730" s="135">
        <v>10.41</v>
      </c>
      <c r="C1730" s="135"/>
    </row>
    <row r="1731" spans="1:3" x14ac:dyDescent="0.2">
      <c r="A1731" s="9"/>
      <c r="B1731" s="135">
        <v>10.42</v>
      </c>
      <c r="C1731" s="135"/>
    </row>
    <row r="1732" spans="1:3" x14ac:dyDescent="0.2">
      <c r="A1732" s="9"/>
      <c r="B1732" s="135">
        <v>10.43</v>
      </c>
      <c r="C1732" s="135"/>
    </row>
    <row r="1733" spans="1:3" x14ac:dyDescent="0.2">
      <c r="A1733" s="9"/>
      <c r="B1733" s="135">
        <v>10.44</v>
      </c>
      <c r="C1733" s="135"/>
    </row>
    <row r="1734" spans="1:3" x14ac:dyDescent="0.2">
      <c r="A1734" s="9"/>
      <c r="B1734" s="135">
        <v>10.45</v>
      </c>
      <c r="C1734" s="135"/>
    </row>
    <row r="1735" spans="1:3" x14ac:dyDescent="0.2">
      <c r="A1735" s="9"/>
      <c r="B1735" s="135">
        <v>10.46</v>
      </c>
      <c r="C1735" s="135"/>
    </row>
    <row r="1736" spans="1:3" x14ac:dyDescent="0.2">
      <c r="A1736" s="9"/>
      <c r="B1736" s="135">
        <v>10.47</v>
      </c>
      <c r="C1736" s="135"/>
    </row>
    <row r="1737" spans="1:3" x14ac:dyDescent="0.2">
      <c r="A1737" s="9"/>
      <c r="B1737" s="135">
        <v>10.48</v>
      </c>
      <c r="C1737" s="135"/>
    </row>
    <row r="1738" spans="1:3" x14ac:dyDescent="0.2">
      <c r="A1738" s="9"/>
      <c r="B1738" s="135">
        <v>10.49</v>
      </c>
      <c r="C1738" s="135"/>
    </row>
    <row r="1739" spans="1:3" x14ac:dyDescent="0.2">
      <c r="A1739" s="9"/>
      <c r="B1739" s="135">
        <v>10.5</v>
      </c>
      <c r="C1739" s="135"/>
    </row>
    <row r="1740" spans="1:3" x14ac:dyDescent="0.2">
      <c r="A1740" s="9"/>
      <c r="B1740" s="135">
        <v>10.51</v>
      </c>
      <c r="C1740" s="135"/>
    </row>
    <row r="1741" spans="1:3" x14ac:dyDescent="0.2">
      <c r="A1741" s="9"/>
      <c r="B1741" s="135">
        <v>10.52</v>
      </c>
      <c r="C1741" s="135"/>
    </row>
    <row r="1742" spans="1:3" x14ac:dyDescent="0.2">
      <c r="A1742" s="9"/>
      <c r="B1742" s="135">
        <v>10.53</v>
      </c>
      <c r="C1742" s="135"/>
    </row>
    <row r="1743" spans="1:3" x14ac:dyDescent="0.2">
      <c r="A1743" s="9"/>
      <c r="B1743" s="135">
        <v>10.54</v>
      </c>
      <c r="C1743" s="135"/>
    </row>
    <row r="1744" spans="1:3" x14ac:dyDescent="0.2">
      <c r="A1744" s="9"/>
      <c r="B1744" s="135">
        <v>10.55</v>
      </c>
      <c r="C1744" s="135"/>
    </row>
    <row r="1745" spans="1:3" x14ac:dyDescent="0.2">
      <c r="A1745" s="9"/>
      <c r="B1745" s="135">
        <v>10.56</v>
      </c>
      <c r="C1745" s="135"/>
    </row>
    <row r="1746" spans="1:3" x14ac:dyDescent="0.2">
      <c r="A1746" s="9"/>
      <c r="B1746" s="135">
        <v>10.57</v>
      </c>
      <c r="C1746" s="135"/>
    </row>
    <row r="1747" spans="1:3" x14ac:dyDescent="0.2">
      <c r="A1747" s="9"/>
      <c r="B1747" s="135">
        <v>10.58</v>
      </c>
      <c r="C1747" s="135"/>
    </row>
    <row r="1748" spans="1:3" x14ac:dyDescent="0.2">
      <c r="A1748" s="9"/>
      <c r="B1748" s="135">
        <v>10.59</v>
      </c>
      <c r="C1748" s="135"/>
    </row>
    <row r="1749" spans="1:3" x14ac:dyDescent="0.2">
      <c r="A1749" s="9"/>
      <c r="B1749" s="135">
        <v>10.6</v>
      </c>
      <c r="C1749" s="135"/>
    </row>
    <row r="1750" spans="1:3" x14ac:dyDescent="0.2">
      <c r="A1750" s="9"/>
      <c r="B1750" s="135">
        <v>10.61</v>
      </c>
      <c r="C1750" s="135"/>
    </row>
    <row r="1751" spans="1:3" x14ac:dyDescent="0.2">
      <c r="A1751" s="9"/>
      <c r="B1751" s="135">
        <v>10.62</v>
      </c>
      <c r="C1751" s="135"/>
    </row>
    <row r="1752" spans="1:3" x14ac:dyDescent="0.2">
      <c r="A1752" s="9"/>
      <c r="B1752" s="135">
        <v>10.63</v>
      </c>
      <c r="C1752" s="135"/>
    </row>
    <row r="1753" spans="1:3" x14ac:dyDescent="0.2">
      <c r="A1753" s="9"/>
      <c r="B1753" s="135">
        <v>10.64</v>
      </c>
      <c r="C1753" s="135"/>
    </row>
    <row r="1754" spans="1:3" x14ac:dyDescent="0.2">
      <c r="A1754" s="9"/>
      <c r="B1754" s="135">
        <v>10.65</v>
      </c>
      <c r="C1754" s="135"/>
    </row>
    <row r="1755" spans="1:3" x14ac:dyDescent="0.2">
      <c r="A1755" s="9"/>
      <c r="B1755" s="135">
        <v>10.66</v>
      </c>
      <c r="C1755" s="135"/>
    </row>
    <row r="1756" spans="1:3" x14ac:dyDescent="0.2">
      <c r="A1756" s="9"/>
      <c r="B1756" s="135">
        <v>10.67</v>
      </c>
      <c r="C1756" s="135"/>
    </row>
    <row r="1757" spans="1:3" x14ac:dyDescent="0.2">
      <c r="A1757" s="9"/>
      <c r="B1757" s="135">
        <v>10.68</v>
      </c>
      <c r="C1757" s="135"/>
    </row>
    <row r="1758" spans="1:3" x14ac:dyDescent="0.2">
      <c r="A1758" s="9"/>
      <c r="B1758" s="135">
        <v>10.69</v>
      </c>
      <c r="C1758" s="135"/>
    </row>
    <row r="1759" spans="1:3" x14ac:dyDescent="0.2">
      <c r="A1759" s="9"/>
      <c r="B1759" s="135">
        <v>10.7</v>
      </c>
      <c r="C1759" s="135"/>
    </row>
    <row r="1760" spans="1:3" x14ac:dyDescent="0.2">
      <c r="A1760" s="9"/>
      <c r="B1760" s="135">
        <v>10.71</v>
      </c>
      <c r="C1760" s="135"/>
    </row>
    <row r="1761" spans="1:3" x14ac:dyDescent="0.2">
      <c r="A1761" s="9"/>
      <c r="B1761" s="135">
        <v>10.72</v>
      </c>
      <c r="C1761" s="135"/>
    </row>
    <row r="1762" spans="1:3" x14ac:dyDescent="0.2">
      <c r="A1762" s="9"/>
      <c r="B1762" s="135">
        <v>10.73</v>
      </c>
      <c r="C1762" s="135"/>
    </row>
    <row r="1763" spans="1:3" x14ac:dyDescent="0.2">
      <c r="A1763" s="9"/>
      <c r="B1763" s="135">
        <v>10.74</v>
      </c>
      <c r="C1763" s="135"/>
    </row>
    <row r="1764" spans="1:3" x14ac:dyDescent="0.2">
      <c r="A1764" s="9"/>
      <c r="B1764" s="135">
        <v>10.75</v>
      </c>
      <c r="C1764" s="135"/>
    </row>
    <row r="1765" spans="1:3" x14ac:dyDescent="0.2">
      <c r="A1765" s="9"/>
      <c r="B1765" s="135">
        <v>10.76</v>
      </c>
      <c r="C1765" s="135"/>
    </row>
    <row r="1766" spans="1:3" x14ac:dyDescent="0.2">
      <c r="A1766" s="9"/>
      <c r="B1766" s="135">
        <v>10.77</v>
      </c>
      <c r="C1766" s="135"/>
    </row>
    <row r="1767" spans="1:3" x14ac:dyDescent="0.2">
      <c r="A1767" s="9"/>
      <c r="B1767" s="135">
        <v>10.78</v>
      </c>
      <c r="C1767" s="135"/>
    </row>
    <row r="1768" spans="1:3" x14ac:dyDescent="0.2">
      <c r="A1768" s="9"/>
      <c r="B1768" s="135">
        <v>10.79</v>
      </c>
      <c r="C1768" s="135"/>
    </row>
    <row r="1769" spans="1:3" x14ac:dyDescent="0.2">
      <c r="A1769" s="9"/>
      <c r="B1769" s="135">
        <v>10.8</v>
      </c>
      <c r="C1769" s="135"/>
    </row>
    <row r="1770" spans="1:3" x14ac:dyDescent="0.2">
      <c r="A1770" s="9"/>
      <c r="B1770" s="135">
        <v>10.81</v>
      </c>
      <c r="C1770" s="135"/>
    </row>
    <row r="1771" spans="1:3" x14ac:dyDescent="0.2">
      <c r="A1771" s="9"/>
      <c r="B1771" s="135">
        <v>10.82</v>
      </c>
      <c r="C1771" s="135"/>
    </row>
    <row r="1772" spans="1:3" x14ac:dyDescent="0.2">
      <c r="A1772" s="9"/>
      <c r="B1772" s="135">
        <v>10.83</v>
      </c>
      <c r="C1772" s="135"/>
    </row>
    <row r="1773" spans="1:3" x14ac:dyDescent="0.2">
      <c r="A1773" s="9"/>
      <c r="B1773" s="135">
        <v>10.84</v>
      </c>
      <c r="C1773" s="135"/>
    </row>
    <row r="1774" spans="1:3" x14ac:dyDescent="0.2">
      <c r="A1774" s="9"/>
      <c r="B1774" s="135">
        <v>10.85</v>
      </c>
      <c r="C1774" s="135"/>
    </row>
    <row r="1775" spans="1:3" x14ac:dyDescent="0.2">
      <c r="A1775" s="9"/>
      <c r="B1775" s="135">
        <v>10.86</v>
      </c>
      <c r="C1775" s="135"/>
    </row>
    <row r="1776" spans="1:3" x14ac:dyDescent="0.2">
      <c r="A1776" s="9"/>
      <c r="B1776" s="135">
        <v>10.87</v>
      </c>
      <c r="C1776" s="135"/>
    </row>
    <row r="1777" spans="1:3" x14ac:dyDescent="0.2">
      <c r="A1777" s="9"/>
      <c r="B1777" s="135">
        <v>10.88</v>
      </c>
      <c r="C1777" s="135"/>
    </row>
    <row r="1778" spans="1:3" x14ac:dyDescent="0.2">
      <c r="A1778" s="9"/>
      <c r="B1778" s="135">
        <v>10.89</v>
      </c>
      <c r="C1778" s="135"/>
    </row>
    <row r="1779" spans="1:3" x14ac:dyDescent="0.2">
      <c r="A1779" s="9"/>
      <c r="B1779" s="135">
        <v>10.9</v>
      </c>
      <c r="C1779" s="135"/>
    </row>
    <row r="1780" spans="1:3" x14ac:dyDescent="0.2">
      <c r="A1780" s="9"/>
      <c r="B1780" s="135">
        <v>10.91</v>
      </c>
      <c r="C1780" s="135"/>
    </row>
    <row r="1781" spans="1:3" x14ac:dyDescent="0.2">
      <c r="A1781" s="9"/>
      <c r="B1781" s="135">
        <v>10.92</v>
      </c>
      <c r="C1781" s="135"/>
    </row>
    <row r="1782" spans="1:3" x14ac:dyDescent="0.2">
      <c r="A1782" s="9"/>
      <c r="B1782" s="135">
        <v>10.93</v>
      </c>
      <c r="C1782" s="135"/>
    </row>
    <row r="1783" spans="1:3" x14ac:dyDescent="0.2">
      <c r="A1783" s="9"/>
      <c r="B1783" s="135">
        <v>10.94</v>
      </c>
      <c r="C1783" s="135"/>
    </row>
    <row r="1784" spans="1:3" x14ac:dyDescent="0.2">
      <c r="A1784" s="9"/>
      <c r="B1784" s="135">
        <v>10.95</v>
      </c>
      <c r="C1784" s="135"/>
    </row>
    <row r="1785" spans="1:3" x14ac:dyDescent="0.2">
      <c r="A1785" s="9"/>
      <c r="B1785" s="135">
        <v>10.96</v>
      </c>
      <c r="C1785" s="135"/>
    </row>
    <row r="1786" spans="1:3" x14ac:dyDescent="0.2">
      <c r="A1786" s="9"/>
      <c r="B1786" s="135">
        <v>10.97</v>
      </c>
      <c r="C1786" s="135"/>
    </row>
    <row r="1787" spans="1:3" x14ac:dyDescent="0.2">
      <c r="A1787" s="9"/>
      <c r="B1787" s="135">
        <v>10.98</v>
      </c>
      <c r="C1787" s="135"/>
    </row>
    <row r="1788" spans="1:3" x14ac:dyDescent="0.2">
      <c r="A1788" s="9"/>
      <c r="B1788" s="135">
        <v>10.99</v>
      </c>
      <c r="C1788" s="135"/>
    </row>
    <row r="1789" spans="1:3" x14ac:dyDescent="0.2">
      <c r="A1789" s="9"/>
      <c r="B1789" s="135">
        <v>11</v>
      </c>
      <c r="C1789" s="135"/>
    </row>
    <row r="1790" spans="1:3" x14ac:dyDescent="0.2">
      <c r="A1790" s="9"/>
      <c r="B1790" s="135">
        <v>11.01</v>
      </c>
      <c r="C1790" s="135"/>
    </row>
    <row r="1791" spans="1:3" x14ac:dyDescent="0.2">
      <c r="A1791" s="9"/>
      <c r="B1791" s="135">
        <v>11.02</v>
      </c>
      <c r="C1791" s="135"/>
    </row>
    <row r="1792" spans="1:3" x14ac:dyDescent="0.2">
      <c r="A1792" s="9"/>
      <c r="B1792" s="135">
        <v>11.03</v>
      </c>
      <c r="C1792" s="135"/>
    </row>
    <row r="1793" spans="1:3" x14ac:dyDescent="0.2">
      <c r="A1793" s="9"/>
      <c r="B1793" s="135">
        <v>11.04</v>
      </c>
      <c r="C1793" s="135"/>
    </row>
    <row r="1794" spans="1:3" x14ac:dyDescent="0.2">
      <c r="A1794" s="9"/>
      <c r="B1794" s="135">
        <v>11.05</v>
      </c>
      <c r="C1794" s="135"/>
    </row>
    <row r="1795" spans="1:3" x14ac:dyDescent="0.2">
      <c r="A1795" s="9"/>
      <c r="B1795" s="135">
        <v>11.06</v>
      </c>
      <c r="C1795" s="135"/>
    </row>
    <row r="1796" spans="1:3" x14ac:dyDescent="0.2">
      <c r="A1796" s="9"/>
      <c r="B1796" s="135">
        <v>11.07</v>
      </c>
      <c r="C1796" s="135"/>
    </row>
    <row r="1797" spans="1:3" x14ac:dyDescent="0.2">
      <c r="A1797" s="9"/>
      <c r="B1797" s="135">
        <v>11.08</v>
      </c>
      <c r="C1797" s="135"/>
    </row>
    <row r="1798" spans="1:3" x14ac:dyDescent="0.2">
      <c r="A1798" s="9"/>
      <c r="B1798" s="135">
        <v>11.09</v>
      </c>
      <c r="C1798" s="135"/>
    </row>
    <row r="1799" spans="1:3" x14ac:dyDescent="0.2">
      <c r="A1799" s="9"/>
      <c r="B1799" s="135">
        <v>11.1</v>
      </c>
      <c r="C1799" s="135"/>
    </row>
    <row r="1800" spans="1:3" x14ac:dyDescent="0.2">
      <c r="A1800" s="9"/>
      <c r="B1800" s="135">
        <v>11.11</v>
      </c>
      <c r="C1800" s="135"/>
    </row>
    <row r="1801" spans="1:3" x14ac:dyDescent="0.2">
      <c r="A1801" s="9"/>
      <c r="B1801" s="135">
        <v>11.12</v>
      </c>
      <c r="C1801" s="135"/>
    </row>
    <row r="1802" spans="1:3" x14ac:dyDescent="0.2">
      <c r="A1802" s="9"/>
      <c r="B1802" s="135">
        <v>11.13</v>
      </c>
      <c r="C1802" s="135"/>
    </row>
    <row r="1803" spans="1:3" x14ac:dyDescent="0.2">
      <c r="A1803" s="9"/>
      <c r="B1803" s="135">
        <v>11.14</v>
      </c>
      <c r="C1803" s="135"/>
    </row>
    <row r="1804" spans="1:3" x14ac:dyDescent="0.2">
      <c r="A1804" s="9"/>
      <c r="B1804" s="135">
        <v>11.15</v>
      </c>
      <c r="C1804" s="135"/>
    </row>
    <row r="1805" spans="1:3" x14ac:dyDescent="0.2">
      <c r="A1805" s="9"/>
      <c r="B1805" s="135">
        <v>11.16</v>
      </c>
      <c r="C1805" s="135"/>
    </row>
    <row r="1806" spans="1:3" x14ac:dyDescent="0.2">
      <c r="A1806" s="9"/>
      <c r="B1806" s="135">
        <v>11.17</v>
      </c>
      <c r="C1806" s="135"/>
    </row>
    <row r="1807" spans="1:3" x14ac:dyDescent="0.2">
      <c r="A1807" s="9"/>
      <c r="B1807" s="135">
        <v>11.18</v>
      </c>
      <c r="C1807" s="135"/>
    </row>
    <row r="1808" spans="1:3" x14ac:dyDescent="0.2">
      <c r="A1808" s="9"/>
      <c r="B1808" s="135">
        <v>11.19</v>
      </c>
      <c r="C1808" s="135"/>
    </row>
    <row r="1809" spans="1:3" x14ac:dyDescent="0.2">
      <c r="A1809" s="9"/>
      <c r="B1809" s="135">
        <v>11.2</v>
      </c>
      <c r="C1809" s="135"/>
    </row>
    <row r="1810" spans="1:3" x14ac:dyDescent="0.2">
      <c r="A1810" s="9"/>
      <c r="B1810" s="135">
        <v>11.21</v>
      </c>
      <c r="C1810" s="135"/>
    </row>
    <row r="1811" spans="1:3" x14ac:dyDescent="0.2">
      <c r="A1811" s="9"/>
      <c r="B1811" s="135">
        <v>11.22</v>
      </c>
      <c r="C1811" s="135"/>
    </row>
    <row r="1812" spans="1:3" x14ac:dyDescent="0.2">
      <c r="A1812" s="9"/>
      <c r="B1812" s="135">
        <v>11.23</v>
      </c>
      <c r="C1812" s="135"/>
    </row>
    <row r="1813" spans="1:3" x14ac:dyDescent="0.2">
      <c r="A1813" s="9"/>
      <c r="B1813" s="135">
        <v>11.24</v>
      </c>
      <c r="C1813" s="135"/>
    </row>
    <row r="1814" spans="1:3" x14ac:dyDescent="0.2">
      <c r="A1814" s="9"/>
      <c r="B1814" s="135">
        <v>11.25</v>
      </c>
      <c r="C1814" s="135"/>
    </row>
    <row r="1815" spans="1:3" x14ac:dyDescent="0.2">
      <c r="A1815" s="9"/>
      <c r="B1815" s="135">
        <v>11.26</v>
      </c>
      <c r="C1815" s="135"/>
    </row>
    <row r="1816" spans="1:3" x14ac:dyDescent="0.2">
      <c r="A1816" s="9"/>
      <c r="B1816" s="135">
        <v>11.27</v>
      </c>
      <c r="C1816" s="135"/>
    </row>
    <row r="1817" spans="1:3" x14ac:dyDescent="0.2">
      <c r="A1817" s="9"/>
      <c r="B1817" s="135">
        <v>11.28</v>
      </c>
      <c r="C1817" s="135"/>
    </row>
    <row r="1818" spans="1:3" x14ac:dyDescent="0.2">
      <c r="A1818" s="9"/>
      <c r="B1818" s="135">
        <v>11.29</v>
      </c>
      <c r="C1818" s="135"/>
    </row>
    <row r="1819" spans="1:3" x14ac:dyDescent="0.2">
      <c r="A1819" s="9"/>
      <c r="B1819" s="135">
        <v>11.3</v>
      </c>
      <c r="C1819" s="135"/>
    </row>
    <row r="1820" spans="1:3" x14ac:dyDescent="0.2">
      <c r="A1820" s="9"/>
      <c r="B1820" s="135">
        <v>11.31</v>
      </c>
      <c r="C1820" s="135"/>
    </row>
    <row r="1821" spans="1:3" x14ac:dyDescent="0.2">
      <c r="A1821" s="9"/>
      <c r="B1821" s="135">
        <v>11.32</v>
      </c>
      <c r="C1821" s="135"/>
    </row>
    <row r="1822" spans="1:3" x14ac:dyDescent="0.2">
      <c r="A1822" s="9"/>
      <c r="B1822" s="135">
        <v>11.33</v>
      </c>
      <c r="C1822" s="135"/>
    </row>
    <row r="1823" spans="1:3" x14ac:dyDescent="0.2">
      <c r="A1823" s="9"/>
      <c r="B1823" s="135">
        <v>11.34</v>
      </c>
      <c r="C1823" s="135"/>
    </row>
    <row r="1824" spans="1:3" x14ac:dyDescent="0.2">
      <c r="A1824" s="9"/>
      <c r="B1824" s="135">
        <v>11.35</v>
      </c>
      <c r="C1824" s="135"/>
    </row>
    <row r="1825" spans="1:3" x14ac:dyDescent="0.2">
      <c r="A1825" s="9"/>
      <c r="B1825" s="135">
        <v>11.36</v>
      </c>
      <c r="C1825" s="135"/>
    </row>
    <row r="1826" spans="1:3" x14ac:dyDescent="0.2">
      <c r="A1826" s="9"/>
      <c r="B1826" s="135">
        <v>11.37</v>
      </c>
      <c r="C1826" s="135"/>
    </row>
    <row r="1827" spans="1:3" x14ac:dyDescent="0.2">
      <c r="A1827" s="9"/>
      <c r="B1827" s="135">
        <v>11.38</v>
      </c>
      <c r="C1827" s="135"/>
    </row>
    <row r="1828" spans="1:3" x14ac:dyDescent="0.2">
      <c r="A1828" s="9"/>
      <c r="B1828" s="135">
        <v>11.39</v>
      </c>
      <c r="C1828" s="135"/>
    </row>
    <row r="1829" spans="1:3" x14ac:dyDescent="0.2">
      <c r="A1829" s="9"/>
      <c r="B1829" s="135">
        <v>11.4</v>
      </c>
      <c r="C1829" s="135"/>
    </row>
    <row r="1830" spans="1:3" x14ac:dyDescent="0.2">
      <c r="A1830" s="9"/>
      <c r="B1830" s="135">
        <v>11.41</v>
      </c>
      <c r="C1830" s="135"/>
    </row>
    <row r="1831" spans="1:3" x14ac:dyDescent="0.2">
      <c r="A1831" s="9"/>
      <c r="B1831" s="135">
        <v>11.42</v>
      </c>
      <c r="C1831" s="135"/>
    </row>
    <row r="1832" spans="1:3" x14ac:dyDescent="0.2">
      <c r="A1832" s="9"/>
      <c r="B1832" s="135">
        <v>11.43</v>
      </c>
      <c r="C1832" s="135"/>
    </row>
    <row r="1833" spans="1:3" x14ac:dyDescent="0.2">
      <c r="A1833" s="9"/>
      <c r="B1833" s="135">
        <v>11.44</v>
      </c>
      <c r="C1833" s="135"/>
    </row>
    <row r="1834" spans="1:3" x14ac:dyDescent="0.2">
      <c r="A1834" s="9"/>
      <c r="B1834" s="135">
        <v>11.45</v>
      </c>
      <c r="C1834" s="135"/>
    </row>
    <row r="1835" spans="1:3" x14ac:dyDescent="0.2">
      <c r="A1835" s="9"/>
      <c r="B1835" s="135">
        <v>11.46</v>
      </c>
      <c r="C1835" s="135"/>
    </row>
    <row r="1836" spans="1:3" x14ac:dyDescent="0.2">
      <c r="A1836" s="9"/>
      <c r="B1836" s="135">
        <v>11.47</v>
      </c>
      <c r="C1836" s="135"/>
    </row>
    <row r="1837" spans="1:3" x14ac:dyDescent="0.2">
      <c r="A1837" s="9"/>
      <c r="B1837" s="135">
        <v>11.48</v>
      </c>
      <c r="C1837" s="135"/>
    </row>
    <row r="1838" spans="1:3" x14ac:dyDescent="0.2">
      <c r="A1838" s="9"/>
      <c r="B1838" s="135">
        <v>11.49</v>
      </c>
      <c r="C1838" s="135"/>
    </row>
    <row r="1839" spans="1:3" x14ac:dyDescent="0.2">
      <c r="A1839" s="9"/>
      <c r="B1839" s="135">
        <v>11.5</v>
      </c>
      <c r="C1839" s="135"/>
    </row>
    <row r="1840" spans="1:3" x14ac:dyDescent="0.2">
      <c r="A1840" s="9"/>
      <c r="B1840" s="135">
        <v>11.51</v>
      </c>
      <c r="C1840" s="135"/>
    </row>
    <row r="1841" spans="1:3" x14ac:dyDescent="0.2">
      <c r="A1841" s="9"/>
      <c r="B1841" s="135">
        <v>11.52</v>
      </c>
      <c r="C1841" s="135"/>
    </row>
    <row r="1842" spans="1:3" x14ac:dyDescent="0.2">
      <c r="A1842" s="9"/>
      <c r="B1842" s="135">
        <v>11.53</v>
      </c>
      <c r="C1842" s="135"/>
    </row>
    <row r="1843" spans="1:3" x14ac:dyDescent="0.2">
      <c r="A1843" s="9"/>
      <c r="B1843" s="135">
        <v>11.54</v>
      </c>
      <c r="C1843" s="135"/>
    </row>
    <row r="1844" spans="1:3" x14ac:dyDescent="0.2">
      <c r="A1844" s="9"/>
      <c r="B1844" s="135">
        <v>11.55</v>
      </c>
      <c r="C1844" s="135"/>
    </row>
    <row r="1845" spans="1:3" x14ac:dyDescent="0.2">
      <c r="A1845" s="9"/>
      <c r="B1845" s="135">
        <v>11.56</v>
      </c>
      <c r="C1845" s="135"/>
    </row>
    <row r="1846" spans="1:3" x14ac:dyDescent="0.2">
      <c r="A1846" s="9"/>
      <c r="B1846" s="135">
        <v>11.57</v>
      </c>
      <c r="C1846" s="135"/>
    </row>
    <row r="1847" spans="1:3" x14ac:dyDescent="0.2">
      <c r="A1847" s="9"/>
      <c r="B1847" s="135">
        <v>11.58</v>
      </c>
      <c r="C1847" s="135"/>
    </row>
    <row r="1848" spans="1:3" x14ac:dyDescent="0.2">
      <c r="A1848" s="9"/>
      <c r="B1848" s="135">
        <v>11.59</v>
      </c>
      <c r="C1848" s="135"/>
    </row>
    <row r="1849" spans="1:3" x14ac:dyDescent="0.2">
      <c r="A1849" s="9"/>
      <c r="B1849" s="135">
        <v>11.6</v>
      </c>
      <c r="C1849" s="135"/>
    </row>
    <row r="1850" spans="1:3" x14ac:dyDescent="0.2">
      <c r="A1850" s="9"/>
      <c r="B1850" s="135">
        <v>11.61</v>
      </c>
      <c r="C1850" s="135"/>
    </row>
    <row r="1851" spans="1:3" x14ac:dyDescent="0.2">
      <c r="A1851" s="9"/>
      <c r="B1851" s="135">
        <v>11.62</v>
      </c>
      <c r="C1851" s="135"/>
    </row>
    <row r="1852" spans="1:3" x14ac:dyDescent="0.2">
      <c r="A1852" s="9"/>
      <c r="B1852" s="135">
        <v>11.63</v>
      </c>
      <c r="C1852" s="135"/>
    </row>
    <row r="1853" spans="1:3" x14ac:dyDescent="0.2">
      <c r="A1853" s="9"/>
      <c r="B1853" s="135">
        <v>11.64</v>
      </c>
      <c r="C1853" s="135"/>
    </row>
    <row r="1854" spans="1:3" x14ac:dyDescent="0.2">
      <c r="A1854" s="9"/>
      <c r="B1854" s="135">
        <v>11.65</v>
      </c>
      <c r="C1854" s="135"/>
    </row>
    <row r="1855" spans="1:3" x14ac:dyDescent="0.2">
      <c r="A1855" s="9"/>
      <c r="B1855" s="135">
        <v>11.66</v>
      </c>
      <c r="C1855" s="135"/>
    </row>
    <row r="1856" spans="1:3" x14ac:dyDescent="0.2">
      <c r="A1856" s="9"/>
      <c r="B1856" s="135">
        <v>11.67</v>
      </c>
      <c r="C1856" s="135"/>
    </row>
    <row r="1857" spans="1:3" x14ac:dyDescent="0.2">
      <c r="A1857" s="9"/>
      <c r="B1857" s="135">
        <v>11.68</v>
      </c>
      <c r="C1857" s="135"/>
    </row>
    <row r="1858" spans="1:3" x14ac:dyDescent="0.2">
      <c r="A1858" s="9"/>
      <c r="B1858" s="135">
        <v>11.69</v>
      </c>
      <c r="C1858" s="135"/>
    </row>
    <row r="1859" spans="1:3" x14ac:dyDescent="0.2">
      <c r="A1859" s="9"/>
      <c r="B1859" s="135">
        <v>11.7</v>
      </c>
      <c r="C1859" s="135"/>
    </row>
    <row r="1860" spans="1:3" x14ac:dyDescent="0.2">
      <c r="A1860" s="9"/>
      <c r="B1860" s="135">
        <v>11.71</v>
      </c>
      <c r="C1860" s="135"/>
    </row>
    <row r="1861" spans="1:3" x14ac:dyDescent="0.2">
      <c r="A1861" s="9"/>
      <c r="B1861" s="135">
        <v>11.72</v>
      </c>
      <c r="C1861" s="135"/>
    </row>
    <row r="1862" spans="1:3" x14ac:dyDescent="0.2">
      <c r="A1862" s="9"/>
      <c r="B1862" s="135">
        <v>11.73</v>
      </c>
      <c r="C1862" s="135"/>
    </row>
    <row r="1863" spans="1:3" x14ac:dyDescent="0.2">
      <c r="A1863" s="9"/>
      <c r="B1863" s="135">
        <v>11.74</v>
      </c>
      <c r="C1863" s="135"/>
    </row>
    <row r="1864" spans="1:3" x14ac:dyDescent="0.2">
      <c r="A1864" s="9"/>
      <c r="B1864" s="135">
        <v>11.75</v>
      </c>
      <c r="C1864" s="135"/>
    </row>
    <row r="1865" spans="1:3" x14ac:dyDescent="0.2">
      <c r="A1865" s="9"/>
      <c r="B1865" s="135">
        <v>11.76</v>
      </c>
      <c r="C1865" s="135"/>
    </row>
    <row r="1866" spans="1:3" x14ac:dyDescent="0.2">
      <c r="A1866" s="9"/>
      <c r="B1866" s="135">
        <v>11.77</v>
      </c>
      <c r="C1866" s="135"/>
    </row>
    <row r="1867" spans="1:3" x14ac:dyDescent="0.2">
      <c r="A1867" s="9"/>
      <c r="B1867" s="135">
        <v>11.78</v>
      </c>
      <c r="C1867" s="135"/>
    </row>
    <row r="1868" spans="1:3" x14ac:dyDescent="0.2">
      <c r="A1868" s="9"/>
      <c r="B1868" s="135">
        <v>11.79</v>
      </c>
      <c r="C1868" s="135"/>
    </row>
    <row r="1869" spans="1:3" x14ac:dyDescent="0.2">
      <c r="A1869" s="9"/>
      <c r="B1869" s="135">
        <v>11.8</v>
      </c>
      <c r="C1869" s="135"/>
    </row>
    <row r="1870" spans="1:3" x14ac:dyDescent="0.2">
      <c r="A1870" s="9"/>
      <c r="B1870" s="135">
        <v>11.81</v>
      </c>
      <c r="C1870" s="135"/>
    </row>
    <row r="1871" spans="1:3" x14ac:dyDescent="0.2">
      <c r="A1871" s="9"/>
      <c r="B1871" s="135">
        <v>11.82</v>
      </c>
      <c r="C1871" s="135"/>
    </row>
    <row r="1872" spans="1:3" x14ac:dyDescent="0.2">
      <c r="A1872" s="9"/>
      <c r="B1872" s="135">
        <v>11.83</v>
      </c>
      <c r="C1872" s="135"/>
    </row>
    <row r="1873" spans="1:3" x14ac:dyDescent="0.2">
      <c r="A1873" s="9"/>
      <c r="B1873" s="135">
        <v>11.84</v>
      </c>
      <c r="C1873" s="135"/>
    </row>
    <row r="1874" spans="1:3" x14ac:dyDescent="0.2">
      <c r="A1874" s="9"/>
      <c r="B1874" s="135">
        <v>11.85</v>
      </c>
      <c r="C1874" s="135"/>
    </row>
    <row r="1875" spans="1:3" x14ac:dyDescent="0.2">
      <c r="A1875" s="9"/>
      <c r="B1875" s="135">
        <v>11.86</v>
      </c>
      <c r="C1875" s="135"/>
    </row>
    <row r="1876" spans="1:3" x14ac:dyDescent="0.2">
      <c r="A1876" s="9"/>
      <c r="B1876" s="135">
        <v>11.87</v>
      </c>
      <c r="C1876" s="135"/>
    </row>
    <row r="1877" spans="1:3" x14ac:dyDescent="0.2">
      <c r="A1877" s="9"/>
      <c r="B1877" s="135">
        <v>11.88</v>
      </c>
      <c r="C1877" s="135"/>
    </row>
    <row r="1878" spans="1:3" x14ac:dyDescent="0.2">
      <c r="A1878" s="9"/>
      <c r="B1878" s="135">
        <v>11.89</v>
      </c>
      <c r="C1878" s="135"/>
    </row>
    <row r="1879" spans="1:3" x14ac:dyDescent="0.2">
      <c r="A1879" s="9"/>
      <c r="B1879" s="135">
        <v>11.9</v>
      </c>
      <c r="C1879" s="135"/>
    </row>
    <row r="1880" spans="1:3" x14ac:dyDescent="0.2">
      <c r="A1880" s="9"/>
      <c r="B1880" s="135">
        <v>11.91</v>
      </c>
      <c r="C1880" s="135"/>
    </row>
    <row r="1881" spans="1:3" x14ac:dyDescent="0.2">
      <c r="A1881" s="9"/>
      <c r="B1881" s="135">
        <v>11.92</v>
      </c>
      <c r="C1881" s="135"/>
    </row>
    <row r="1882" spans="1:3" x14ac:dyDescent="0.2">
      <c r="A1882" s="9"/>
      <c r="B1882" s="135">
        <v>11.93</v>
      </c>
      <c r="C1882" s="135"/>
    </row>
    <row r="1883" spans="1:3" x14ac:dyDescent="0.2">
      <c r="A1883" s="9"/>
      <c r="B1883" s="135">
        <v>11.94</v>
      </c>
      <c r="C1883" s="135"/>
    </row>
    <row r="1884" spans="1:3" x14ac:dyDescent="0.2">
      <c r="A1884" s="9"/>
      <c r="B1884" s="135">
        <v>11.95</v>
      </c>
      <c r="C1884" s="135"/>
    </row>
    <row r="1885" spans="1:3" x14ac:dyDescent="0.2">
      <c r="A1885" s="9"/>
      <c r="B1885" s="135">
        <v>11.96</v>
      </c>
      <c r="C1885" s="135"/>
    </row>
    <row r="1886" spans="1:3" x14ac:dyDescent="0.2">
      <c r="A1886" s="9"/>
      <c r="B1886" s="135">
        <v>11.97</v>
      </c>
      <c r="C1886" s="135"/>
    </row>
    <row r="1887" spans="1:3" x14ac:dyDescent="0.2">
      <c r="A1887" s="9"/>
      <c r="B1887" s="135">
        <v>11.98</v>
      </c>
      <c r="C1887" s="135"/>
    </row>
    <row r="1888" spans="1:3" x14ac:dyDescent="0.2">
      <c r="A1888" s="9"/>
      <c r="B1888" s="135">
        <v>11.99</v>
      </c>
      <c r="C1888" s="135"/>
    </row>
    <row r="1889" spans="1:3" x14ac:dyDescent="0.2">
      <c r="A1889" s="9"/>
      <c r="B1889" s="135">
        <v>12</v>
      </c>
      <c r="C1889" s="135"/>
    </row>
    <row r="1890" spans="1:3" x14ac:dyDescent="0.2">
      <c r="A1890" s="9"/>
      <c r="B1890" s="135">
        <v>12.01</v>
      </c>
      <c r="C1890" s="135"/>
    </row>
    <row r="1891" spans="1:3" x14ac:dyDescent="0.2">
      <c r="A1891" s="9"/>
      <c r="B1891" s="135">
        <v>12.02</v>
      </c>
      <c r="C1891" s="135"/>
    </row>
    <row r="1892" spans="1:3" x14ac:dyDescent="0.2">
      <c r="A1892" s="9"/>
      <c r="B1892" s="135">
        <v>12.03</v>
      </c>
      <c r="C1892" s="135"/>
    </row>
    <row r="1893" spans="1:3" x14ac:dyDescent="0.2">
      <c r="A1893" s="9"/>
      <c r="B1893" s="135">
        <v>12.04</v>
      </c>
      <c r="C1893" s="135"/>
    </row>
    <row r="1894" spans="1:3" x14ac:dyDescent="0.2">
      <c r="A1894" s="9"/>
      <c r="B1894" s="135">
        <v>12.05</v>
      </c>
      <c r="C1894" s="135"/>
    </row>
    <row r="1895" spans="1:3" x14ac:dyDescent="0.2">
      <c r="A1895" s="9"/>
      <c r="B1895" s="135">
        <v>12.06</v>
      </c>
      <c r="C1895" s="135"/>
    </row>
    <row r="1896" spans="1:3" x14ac:dyDescent="0.2">
      <c r="A1896" s="9"/>
      <c r="B1896" s="135">
        <v>12.07</v>
      </c>
      <c r="C1896" s="135"/>
    </row>
    <row r="1897" spans="1:3" x14ac:dyDescent="0.2">
      <c r="A1897" s="9"/>
      <c r="B1897" s="135">
        <v>12.08</v>
      </c>
      <c r="C1897" s="135"/>
    </row>
    <row r="1898" spans="1:3" x14ac:dyDescent="0.2">
      <c r="A1898" s="9"/>
      <c r="B1898" s="135">
        <v>12.09</v>
      </c>
      <c r="C1898" s="135"/>
    </row>
    <row r="1899" spans="1:3" x14ac:dyDescent="0.2">
      <c r="A1899" s="9"/>
      <c r="B1899" s="135">
        <v>12.1</v>
      </c>
      <c r="C1899" s="135"/>
    </row>
    <row r="1900" spans="1:3" x14ac:dyDescent="0.2">
      <c r="A1900" s="9"/>
      <c r="B1900" s="135">
        <v>12.11</v>
      </c>
      <c r="C1900" s="135"/>
    </row>
    <row r="1901" spans="1:3" x14ac:dyDescent="0.2">
      <c r="A1901" s="9"/>
      <c r="B1901" s="135">
        <v>12.12</v>
      </c>
      <c r="C1901" s="135"/>
    </row>
    <row r="1902" spans="1:3" x14ac:dyDescent="0.2">
      <c r="A1902" s="9"/>
      <c r="B1902" s="135">
        <v>12.13</v>
      </c>
      <c r="C1902" s="135"/>
    </row>
    <row r="1903" spans="1:3" x14ac:dyDescent="0.2">
      <c r="A1903" s="9"/>
      <c r="B1903" s="135">
        <v>12.14</v>
      </c>
      <c r="C1903" s="135"/>
    </row>
    <row r="1904" spans="1:3" x14ac:dyDescent="0.2">
      <c r="A1904" s="9"/>
      <c r="B1904" s="135">
        <v>12.15</v>
      </c>
      <c r="C1904" s="135"/>
    </row>
    <row r="1905" spans="1:3" x14ac:dyDescent="0.2">
      <c r="A1905" s="9"/>
      <c r="B1905" s="135">
        <v>12.16</v>
      </c>
      <c r="C1905" s="135"/>
    </row>
    <row r="1906" spans="1:3" x14ac:dyDescent="0.2">
      <c r="A1906" s="9"/>
      <c r="B1906" s="135">
        <v>12.17</v>
      </c>
      <c r="C1906" s="135"/>
    </row>
    <row r="1907" spans="1:3" x14ac:dyDescent="0.2">
      <c r="A1907" s="9"/>
      <c r="B1907" s="135">
        <v>12.18</v>
      </c>
      <c r="C1907" s="135"/>
    </row>
    <row r="1908" spans="1:3" x14ac:dyDescent="0.2">
      <c r="A1908" s="9"/>
      <c r="B1908" s="135">
        <v>12.19</v>
      </c>
      <c r="C1908" s="135"/>
    </row>
    <row r="1909" spans="1:3" x14ac:dyDescent="0.2">
      <c r="A1909" s="9"/>
      <c r="B1909" s="135">
        <v>12.2</v>
      </c>
      <c r="C1909" s="135"/>
    </row>
    <row r="1910" spans="1:3" x14ac:dyDescent="0.2">
      <c r="A1910" s="9"/>
      <c r="B1910" s="135">
        <v>12.21</v>
      </c>
      <c r="C1910" s="135"/>
    </row>
    <row r="1911" spans="1:3" x14ac:dyDescent="0.2">
      <c r="A1911" s="9"/>
      <c r="B1911" s="135">
        <v>12.22</v>
      </c>
      <c r="C1911" s="135"/>
    </row>
    <row r="1912" spans="1:3" x14ac:dyDescent="0.2">
      <c r="A1912" s="9"/>
      <c r="B1912" s="135">
        <v>12.23</v>
      </c>
      <c r="C1912" s="135"/>
    </row>
    <row r="1913" spans="1:3" x14ac:dyDescent="0.2">
      <c r="A1913" s="9"/>
      <c r="B1913" s="135">
        <v>12.24</v>
      </c>
      <c r="C1913" s="135"/>
    </row>
    <row r="1914" spans="1:3" x14ac:dyDescent="0.2">
      <c r="A1914" s="9"/>
      <c r="B1914" s="135">
        <v>12.25</v>
      </c>
      <c r="C1914" s="135"/>
    </row>
    <row r="1915" spans="1:3" x14ac:dyDescent="0.2">
      <c r="A1915" s="9"/>
      <c r="B1915" s="135">
        <v>12.26</v>
      </c>
      <c r="C1915" s="135"/>
    </row>
    <row r="1916" spans="1:3" x14ac:dyDescent="0.2">
      <c r="A1916" s="9"/>
      <c r="B1916" s="135">
        <v>12.27</v>
      </c>
      <c r="C1916" s="135"/>
    </row>
    <row r="1917" spans="1:3" x14ac:dyDescent="0.2">
      <c r="A1917" s="9"/>
      <c r="B1917" s="135">
        <v>12.28</v>
      </c>
      <c r="C1917" s="135"/>
    </row>
    <row r="1918" spans="1:3" x14ac:dyDescent="0.2">
      <c r="A1918" s="9"/>
      <c r="B1918" s="135">
        <v>12.29</v>
      </c>
      <c r="C1918" s="135"/>
    </row>
    <row r="1919" spans="1:3" x14ac:dyDescent="0.2">
      <c r="A1919" s="9"/>
      <c r="B1919" s="135">
        <v>12.3</v>
      </c>
      <c r="C1919" s="135"/>
    </row>
    <row r="1920" spans="1:3" x14ac:dyDescent="0.2">
      <c r="A1920" s="9"/>
      <c r="B1920" s="135">
        <v>12.31</v>
      </c>
      <c r="C1920" s="135"/>
    </row>
    <row r="1921" spans="1:3" x14ac:dyDescent="0.2">
      <c r="A1921" s="9"/>
      <c r="B1921" s="135">
        <v>12.32</v>
      </c>
      <c r="C1921" s="135"/>
    </row>
    <row r="1922" spans="1:3" x14ac:dyDescent="0.2">
      <c r="A1922" s="9"/>
      <c r="B1922" s="135">
        <v>12.33</v>
      </c>
      <c r="C1922" s="135"/>
    </row>
    <row r="1923" spans="1:3" x14ac:dyDescent="0.2">
      <c r="A1923" s="9"/>
      <c r="B1923" s="135">
        <v>12.34</v>
      </c>
      <c r="C1923" s="135"/>
    </row>
    <row r="1924" spans="1:3" x14ac:dyDescent="0.2">
      <c r="A1924" s="9"/>
      <c r="B1924" s="135">
        <v>12.35</v>
      </c>
      <c r="C1924" s="135"/>
    </row>
    <row r="1925" spans="1:3" x14ac:dyDescent="0.2">
      <c r="A1925" s="9"/>
      <c r="B1925" s="135">
        <v>12.36</v>
      </c>
      <c r="C1925" s="135"/>
    </row>
    <row r="1926" spans="1:3" x14ac:dyDescent="0.2">
      <c r="A1926" s="9"/>
      <c r="B1926" s="135">
        <v>12.37</v>
      </c>
      <c r="C1926" s="135"/>
    </row>
    <row r="1927" spans="1:3" x14ac:dyDescent="0.2">
      <c r="A1927" s="9"/>
      <c r="B1927" s="135">
        <v>12.38</v>
      </c>
      <c r="C1927" s="135"/>
    </row>
    <row r="1928" spans="1:3" x14ac:dyDescent="0.2">
      <c r="A1928" s="9"/>
      <c r="B1928" s="135">
        <v>12.39</v>
      </c>
      <c r="C1928" s="135"/>
    </row>
    <row r="1929" spans="1:3" x14ac:dyDescent="0.2">
      <c r="A1929" s="9"/>
      <c r="B1929" s="135">
        <v>12.4</v>
      </c>
      <c r="C1929" s="135"/>
    </row>
    <row r="1930" spans="1:3" x14ac:dyDescent="0.2">
      <c r="A1930" s="9"/>
      <c r="B1930" s="135">
        <v>12.41</v>
      </c>
      <c r="C1930" s="135"/>
    </row>
    <row r="1931" spans="1:3" x14ac:dyDescent="0.2">
      <c r="A1931" s="9"/>
      <c r="B1931" s="135">
        <v>12.42</v>
      </c>
      <c r="C1931" s="135"/>
    </row>
    <row r="1932" spans="1:3" x14ac:dyDescent="0.2">
      <c r="A1932" s="9"/>
      <c r="B1932" s="135">
        <v>12.43</v>
      </c>
      <c r="C1932" s="135"/>
    </row>
    <row r="1933" spans="1:3" x14ac:dyDescent="0.2">
      <c r="A1933" s="9"/>
      <c r="B1933" s="135">
        <v>12.44</v>
      </c>
      <c r="C1933" s="135"/>
    </row>
    <row r="1934" spans="1:3" x14ac:dyDescent="0.2">
      <c r="A1934" s="9"/>
      <c r="B1934" s="135">
        <v>12.45</v>
      </c>
      <c r="C1934" s="135"/>
    </row>
    <row r="1935" spans="1:3" x14ac:dyDescent="0.2">
      <c r="A1935" s="9"/>
      <c r="B1935" s="135">
        <v>12.46</v>
      </c>
      <c r="C1935" s="135"/>
    </row>
    <row r="1936" spans="1:3" x14ac:dyDescent="0.2">
      <c r="A1936" s="9"/>
      <c r="B1936" s="135">
        <v>12.47</v>
      </c>
      <c r="C1936" s="135"/>
    </row>
    <row r="1937" spans="1:3" x14ac:dyDescent="0.2">
      <c r="A1937" s="9"/>
      <c r="B1937" s="135">
        <v>12.48</v>
      </c>
      <c r="C1937" s="135"/>
    </row>
    <row r="1938" spans="1:3" x14ac:dyDescent="0.2">
      <c r="A1938" s="9"/>
      <c r="B1938" s="135">
        <v>12.49</v>
      </c>
      <c r="C1938" s="135"/>
    </row>
    <row r="1939" spans="1:3" x14ac:dyDescent="0.2">
      <c r="A1939" s="9"/>
      <c r="B1939" s="135">
        <v>12.5</v>
      </c>
      <c r="C1939" s="135"/>
    </row>
    <row r="1940" spans="1:3" x14ac:dyDescent="0.2">
      <c r="A1940" s="9"/>
      <c r="B1940" s="135">
        <v>12.51</v>
      </c>
      <c r="C1940" s="135"/>
    </row>
    <row r="1941" spans="1:3" x14ac:dyDescent="0.2">
      <c r="A1941" s="9"/>
      <c r="B1941" s="135">
        <v>12.52</v>
      </c>
      <c r="C1941" s="135"/>
    </row>
    <row r="1942" spans="1:3" x14ac:dyDescent="0.2">
      <c r="A1942" s="9"/>
      <c r="B1942" s="135">
        <v>12.53</v>
      </c>
      <c r="C1942" s="135"/>
    </row>
    <row r="1943" spans="1:3" x14ac:dyDescent="0.2">
      <c r="A1943" s="9"/>
      <c r="B1943" s="135">
        <v>12.54</v>
      </c>
      <c r="C1943" s="135"/>
    </row>
    <row r="1944" spans="1:3" x14ac:dyDescent="0.2">
      <c r="A1944" s="9"/>
      <c r="B1944" s="135">
        <v>12.55</v>
      </c>
      <c r="C1944" s="135"/>
    </row>
    <row r="1945" spans="1:3" x14ac:dyDescent="0.2">
      <c r="A1945" s="9"/>
      <c r="B1945" s="135">
        <v>12.56</v>
      </c>
      <c r="C1945" s="135"/>
    </row>
    <row r="1946" spans="1:3" x14ac:dyDescent="0.2">
      <c r="A1946" s="9"/>
      <c r="B1946" s="135">
        <v>12.57</v>
      </c>
      <c r="C1946" s="135"/>
    </row>
    <row r="1947" spans="1:3" x14ac:dyDescent="0.2">
      <c r="A1947" s="9"/>
      <c r="B1947" s="135">
        <v>12.58</v>
      </c>
      <c r="C1947" s="135"/>
    </row>
    <row r="1948" spans="1:3" x14ac:dyDescent="0.2">
      <c r="A1948" s="9"/>
      <c r="B1948" s="135">
        <v>12.59</v>
      </c>
      <c r="C1948" s="135"/>
    </row>
    <row r="1949" spans="1:3" x14ac:dyDescent="0.2">
      <c r="A1949" s="9"/>
      <c r="B1949" s="135">
        <v>12.6</v>
      </c>
      <c r="C1949" s="135"/>
    </row>
    <row r="1950" spans="1:3" x14ac:dyDescent="0.2">
      <c r="A1950" s="9"/>
      <c r="B1950" s="135">
        <v>12.61</v>
      </c>
      <c r="C1950" s="135"/>
    </row>
    <row r="1951" spans="1:3" x14ac:dyDescent="0.2">
      <c r="A1951" s="9"/>
      <c r="B1951" s="135">
        <v>12.62</v>
      </c>
      <c r="C1951" s="135"/>
    </row>
    <row r="1952" spans="1:3" x14ac:dyDescent="0.2">
      <c r="A1952" s="9"/>
      <c r="B1952" s="135">
        <v>12.63</v>
      </c>
      <c r="C1952" s="135"/>
    </row>
    <row r="1953" spans="1:3" x14ac:dyDescent="0.2">
      <c r="A1953" s="9"/>
      <c r="B1953" s="135">
        <v>12.64</v>
      </c>
      <c r="C1953" s="135"/>
    </row>
    <row r="1954" spans="1:3" x14ac:dyDescent="0.2">
      <c r="A1954" s="9"/>
      <c r="B1954" s="135">
        <v>12.65</v>
      </c>
      <c r="C1954" s="135"/>
    </row>
    <row r="1955" spans="1:3" x14ac:dyDescent="0.2">
      <c r="A1955" s="9"/>
      <c r="B1955" s="135">
        <v>12.66</v>
      </c>
      <c r="C1955" s="135"/>
    </row>
    <row r="1956" spans="1:3" x14ac:dyDescent="0.2">
      <c r="A1956" s="9"/>
      <c r="B1956" s="135">
        <v>12.67</v>
      </c>
      <c r="C1956" s="135"/>
    </row>
    <row r="1957" spans="1:3" x14ac:dyDescent="0.2">
      <c r="A1957" s="9"/>
      <c r="B1957" s="135">
        <v>12.68</v>
      </c>
      <c r="C1957" s="135"/>
    </row>
    <row r="1958" spans="1:3" x14ac:dyDescent="0.2">
      <c r="A1958" s="9"/>
      <c r="B1958" s="135">
        <v>12.69</v>
      </c>
      <c r="C1958" s="135"/>
    </row>
    <row r="1959" spans="1:3" x14ac:dyDescent="0.2">
      <c r="A1959" s="9"/>
      <c r="B1959" s="135">
        <v>12.7</v>
      </c>
      <c r="C1959" s="135"/>
    </row>
    <row r="1960" spans="1:3" x14ac:dyDescent="0.2">
      <c r="A1960" s="9"/>
      <c r="B1960" s="135">
        <v>12.71</v>
      </c>
      <c r="C1960" s="135"/>
    </row>
    <row r="1961" spans="1:3" x14ac:dyDescent="0.2">
      <c r="A1961" s="9"/>
      <c r="B1961" s="135">
        <v>12.72</v>
      </c>
      <c r="C1961" s="135"/>
    </row>
    <row r="1962" spans="1:3" x14ac:dyDescent="0.2">
      <c r="A1962" s="9"/>
      <c r="B1962" s="135">
        <v>12.73</v>
      </c>
      <c r="C1962" s="135"/>
    </row>
    <row r="1963" spans="1:3" x14ac:dyDescent="0.2">
      <c r="A1963" s="9"/>
      <c r="B1963" s="135">
        <v>12.74</v>
      </c>
      <c r="C1963" s="135"/>
    </row>
    <row r="1964" spans="1:3" x14ac:dyDescent="0.2">
      <c r="A1964" s="9"/>
      <c r="B1964" s="135">
        <v>12.75</v>
      </c>
      <c r="C1964" s="135"/>
    </row>
    <row r="1965" spans="1:3" x14ac:dyDescent="0.2">
      <c r="A1965" s="9"/>
      <c r="B1965" s="135">
        <v>12.76</v>
      </c>
      <c r="C1965" s="135"/>
    </row>
    <row r="1966" spans="1:3" x14ac:dyDescent="0.2">
      <c r="A1966" s="9"/>
      <c r="B1966" s="135">
        <v>12.77</v>
      </c>
      <c r="C1966" s="135"/>
    </row>
    <row r="1967" spans="1:3" x14ac:dyDescent="0.2">
      <c r="A1967" s="9"/>
      <c r="B1967" s="135">
        <v>12.78</v>
      </c>
      <c r="C1967" s="135"/>
    </row>
    <row r="1968" spans="1:3" x14ac:dyDescent="0.2">
      <c r="A1968" s="9"/>
      <c r="B1968" s="135">
        <v>12.79</v>
      </c>
      <c r="C1968" s="135"/>
    </row>
    <row r="1969" spans="1:3" x14ac:dyDescent="0.2">
      <c r="A1969" s="9"/>
      <c r="B1969" s="135">
        <v>12.8</v>
      </c>
      <c r="C1969" s="135"/>
    </row>
    <row r="1970" spans="1:3" x14ac:dyDescent="0.2">
      <c r="A1970" s="9"/>
      <c r="B1970" s="135">
        <v>12.81</v>
      </c>
      <c r="C1970" s="135"/>
    </row>
    <row r="1971" spans="1:3" x14ac:dyDescent="0.2">
      <c r="A1971" s="9"/>
      <c r="B1971" s="135">
        <v>12.82</v>
      </c>
      <c r="C1971" s="135"/>
    </row>
    <row r="1972" spans="1:3" x14ac:dyDescent="0.2">
      <c r="A1972" s="9"/>
      <c r="B1972" s="135">
        <v>12.83</v>
      </c>
      <c r="C1972" s="135"/>
    </row>
    <row r="1973" spans="1:3" x14ac:dyDescent="0.2">
      <c r="A1973" s="9"/>
      <c r="B1973" s="135">
        <v>12.84</v>
      </c>
      <c r="C1973" s="135"/>
    </row>
    <row r="1974" spans="1:3" x14ac:dyDescent="0.2">
      <c r="A1974" s="9"/>
      <c r="B1974" s="135">
        <v>12.85</v>
      </c>
      <c r="C1974" s="135"/>
    </row>
    <row r="1975" spans="1:3" x14ac:dyDescent="0.2">
      <c r="A1975" s="9"/>
      <c r="B1975" s="135">
        <v>12.86</v>
      </c>
      <c r="C1975" s="135"/>
    </row>
    <row r="1976" spans="1:3" x14ac:dyDescent="0.2">
      <c r="A1976" s="9"/>
      <c r="B1976" s="135">
        <v>12.87</v>
      </c>
      <c r="C1976" s="135"/>
    </row>
    <row r="1977" spans="1:3" x14ac:dyDescent="0.2">
      <c r="A1977" s="9"/>
      <c r="B1977" s="135">
        <v>12.88</v>
      </c>
      <c r="C1977" s="135"/>
    </row>
    <row r="1978" spans="1:3" x14ac:dyDescent="0.2">
      <c r="A1978" s="9"/>
      <c r="B1978" s="135">
        <v>12.89</v>
      </c>
      <c r="C1978" s="135"/>
    </row>
    <row r="1979" spans="1:3" x14ac:dyDescent="0.2">
      <c r="A1979" s="9"/>
      <c r="B1979" s="135">
        <v>12.9</v>
      </c>
      <c r="C1979" s="135"/>
    </row>
    <row r="1980" spans="1:3" x14ac:dyDescent="0.2">
      <c r="A1980" s="9"/>
      <c r="B1980" s="135">
        <v>12.91</v>
      </c>
      <c r="C1980" s="135"/>
    </row>
    <row r="1981" spans="1:3" x14ac:dyDescent="0.2">
      <c r="A1981" s="9"/>
      <c r="B1981" s="135">
        <v>12.92</v>
      </c>
      <c r="C1981" s="135"/>
    </row>
    <row r="1982" spans="1:3" x14ac:dyDescent="0.2">
      <c r="A1982" s="9"/>
      <c r="B1982" s="135">
        <v>12.93</v>
      </c>
      <c r="C1982" s="135"/>
    </row>
    <row r="1983" spans="1:3" x14ac:dyDescent="0.2">
      <c r="A1983" s="9"/>
      <c r="B1983" s="135">
        <v>12.94</v>
      </c>
      <c r="C1983" s="135"/>
    </row>
    <row r="1984" spans="1:3" x14ac:dyDescent="0.2">
      <c r="A1984" s="9"/>
      <c r="B1984" s="135">
        <v>12.95</v>
      </c>
      <c r="C1984" s="135"/>
    </row>
    <row r="1985" spans="1:3" x14ac:dyDescent="0.2">
      <c r="A1985" s="9"/>
      <c r="B1985" s="135">
        <v>12.96</v>
      </c>
      <c r="C1985" s="135"/>
    </row>
    <row r="1986" spans="1:3" x14ac:dyDescent="0.2">
      <c r="A1986" s="9"/>
      <c r="B1986" s="135">
        <v>12.97</v>
      </c>
      <c r="C1986" s="135"/>
    </row>
    <row r="1987" spans="1:3" x14ac:dyDescent="0.2">
      <c r="A1987" s="9"/>
      <c r="B1987" s="135">
        <v>12.98</v>
      </c>
      <c r="C1987" s="135"/>
    </row>
    <row r="1988" spans="1:3" x14ac:dyDescent="0.2">
      <c r="A1988" s="9"/>
      <c r="B1988" s="135">
        <v>12.99</v>
      </c>
      <c r="C1988" s="135"/>
    </row>
    <row r="1989" spans="1:3" x14ac:dyDescent="0.2">
      <c r="A1989" s="9"/>
      <c r="B1989" s="135">
        <v>13</v>
      </c>
      <c r="C1989" s="135"/>
    </row>
    <row r="1990" spans="1:3" x14ac:dyDescent="0.2">
      <c r="A1990" s="9"/>
      <c r="B1990" s="135">
        <v>13.01</v>
      </c>
      <c r="C1990" s="135"/>
    </row>
    <row r="1991" spans="1:3" x14ac:dyDescent="0.2">
      <c r="A1991" s="9"/>
      <c r="B1991" s="135">
        <v>13.02</v>
      </c>
      <c r="C1991" s="135"/>
    </row>
    <row r="1992" spans="1:3" x14ac:dyDescent="0.2">
      <c r="A1992" s="9"/>
      <c r="B1992" s="135">
        <v>13.03</v>
      </c>
      <c r="C1992" s="135"/>
    </row>
    <row r="1993" spans="1:3" x14ac:dyDescent="0.2">
      <c r="A1993" s="9"/>
      <c r="B1993" s="135">
        <v>13.04</v>
      </c>
      <c r="C1993" s="135"/>
    </row>
    <row r="1994" spans="1:3" x14ac:dyDescent="0.2">
      <c r="A1994" s="9"/>
      <c r="B1994" s="135">
        <v>13.05</v>
      </c>
      <c r="C1994" s="135"/>
    </row>
    <row r="1995" spans="1:3" x14ac:dyDescent="0.2">
      <c r="A1995" s="9"/>
      <c r="B1995" s="135">
        <v>13.06</v>
      </c>
      <c r="C1995" s="135"/>
    </row>
    <row r="1996" spans="1:3" x14ac:dyDescent="0.2">
      <c r="A1996" s="9"/>
      <c r="B1996" s="135">
        <v>13.07</v>
      </c>
      <c r="C1996" s="135"/>
    </row>
    <row r="1997" spans="1:3" x14ac:dyDescent="0.2">
      <c r="A1997" s="9"/>
      <c r="B1997" s="135">
        <v>13.08</v>
      </c>
      <c r="C1997" s="135"/>
    </row>
    <row r="1998" spans="1:3" x14ac:dyDescent="0.2">
      <c r="A1998" s="9"/>
      <c r="B1998" s="135">
        <v>13.09</v>
      </c>
      <c r="C1998" s="135"/>
    </row>
    <row r="1999" spans="1:3" x14ac:dyDescent="0.2">
      <c r="A1999" s="9"/>
      <c r="B1999" s="135">
        <v>13.1</v>
      </c>
      <c r="C1999" s="135"/>
    </row>
    <row r="2000" spans="1:3" x14ac:dyDescent="0.2">
      <c r="A2000" s="9"/>
      <c r="B2000" s="135">
        <v>13.11</v>
      </c>
      <c r="C2000" s="135"/>
    </row>
    <row r="2001" spans="1:3" x14ac:dyDescent="0.2">
      <c r="A2001" s="9"/>
      <c r="B2001" s="135">
        <v>13.12</v>
      </c>
      <c r="C2001" s="135"/>
    </row>
    <row r="2002" spans="1:3" x14ac:dyDescent="0.2">
      <c r="A2002" s="9"/>
      <c r="B2002" s="135">
        <v>13.13</v>
      </c>
      <c r="C2002" s="135"/>
    </row>
    <row r="2003" spans="1:3" x14ac:dyDescent="0.2">
      <c r="A2003" s="9"/>
      <c r="B2003" s="135">
        <v>13.14</v>
      </c>
      <c r="C2003" s="135"/>
    </row>
    <row r="2004" spans="1:3" x14ac:dyDescent="0.2">
      <c r="A2004" s="9"/>
      <c r="B2004" s="135">
        <v>13.15</v>
      </c>
      <c r="C2004" s="135"/>
    </row>
    <row r="2005" spans="1:3" x14ac:dyDescent="0.2">
      <c r="A2005" s="9"/>
      <c r="B2005" s="135">
        <v>13.16</v>
      </c>
      <c r="C2005" s="135"/>
    </row>
    <row r="2006" spans="1:3" x14ac:dyDescent="0.2">
      <c r="A2006" s="9"/>
      <c r="B2006" s="135">
        <v>13.17</v>
      </c>
      <c r="C2006" s="135"/>
    </row>
    <row r="2007" spans="1:3" x14ac:dyDescent="0.2">
      <c r="A2007" s="9"/>
      <c r="B2007" s="135">
        <v>13.18</v>
      </c>
      <c r="C2007" s="135"/>
    </row>
    <row r="2008" spans="1:3" x14ac:dyDescent="0.2">
      <c r="A2008" s="9"/>
      <c r="B2008" s="135">
        <v>13.19</v>
      </c>
      <c r="C2008" s="135"/>
    </row>
    <row r="2009" spans="1:3" x14ac:dyDescent="0.2">
      <c r="A2009" s="9"/>
      <c r="B2009" s="135">
        <v>13.2</v>
      </c>
      <c r="C2009" s="135"/>
    </row>
    <row r="2010" spans="1:3" x14ac:dyDescent="0.2">
      <c r="A2010" s="9"/>
      <c r="B2010" s="135">
        <v>13.21</v>
      </c>
      <c r="C2010" s="135"/>
    </row>
    <row r="2011" spans="1:3" x14ac:dyDescent="0.2">
      <c r="A2011" s="9"/>
      <c r="B2011" s="135">
        <v>13.22</v>
      </c>
      <c r="C2011" s="135"/>
    </row>
    <row r="2012" spans="1:3" x14ac:dyDescent="0.2">
      <c r="A2012" s="9"/>
      <c r="B2012" s="135">
        <v>13.23</v>
      </c>
      <c r="C2012" s="135"/>
    </row>
    <row r="2013" spans="1:3" x14ac:dyDescent="0.2">
      <c r="A2013" s="9"/>
      <c r="B2013" s="135">
        <v>13.24</v>
      </c>
      <c r="C2013" s="135"/>
    </row>
    <row r="2014" spans="1:3" x14ac:dyDescent="0.2">
      <c r="A2014" s="9"/>
      <c r="B2014" s="135">
        <v>13.25</v>
      </c>
      <c r="C2014" s="135"/>
    </row>
    <row r="2015" spans="1:3" x14ac:dyDescent="0.2">
      <c r="A2015" s="9"/>
      <c r="B2015" s="135">
        <v>13.26</v>
      </c>
      <c r="C2015" s="135"/>
    </row>
    <row r="2016" spans="1:3" x14ac:dyDescent="0.2">
      <c r="A2016" s="9"/>
      <c r="B2016" s="135">
        <v>13.27</v>
      </c>
      <c r="C2016" s="135"/>
    </row>
    <row r="2017" spans="1:3" x14ac:dyDescent="0.2">
      <c r="A2017" s="9"/>
      <c r="B2017" s="135">
        <v>13.28</v>
      </c>
      <c r="C2017" s="135"/>
    </row>
    <row r="2018" spans="1:3" x14ac:dyDescent="0.2">
      <c r="A2018" s="9"/>
      <c r="B2018" s="135">
        <v>13.29</v>
      </c>
      <c r="C2018" s="135"/>
    </row>
    <row r="2019" spans="1:3" x14ac:dyDescent="0.2">
      <c r="A2019" s="9"/>
      <c r="B2019" s="135">
        <v>13.3</v>
      </c>
      <c r="C2019" s="135"/>
    </row>
    <row r="2020" spans="1:3" x14ac:dyDescent="0.2">
      <c r="A2020" s="9"/>
      <c r="B2020" s="135">
        <v>13.31</v>
      </c>
      <c r="C2020" s="135"/>
    </row>
    <row r="2021" spans="1:3" x14ac:dyDescent="0.2">
      <c r="A2021" s="9"/>
      <c r="B2021" s="135">
        <v>13.32</v>
      </c>
      <c r="C2021" s="135"/>
    </row>
    <row r="2022" spans="1:3" x14ac:dyDescent="0.2">
      <c r="A2022" s="9"/>
      <c r="B2022" s="135">
        <v>13.33</v>
      </c>
      <c r="C2022" s="135"/>
    </row>
    <row r="2023" spans="1:3" x14ac:dyDescent="0.2">
      <c r="A2023" s="9"/>
      <c r="B2023" s="135">
        <v>13.34</v>
      </c>
      <c r="C2023" s="135"/>
    </row>
    <row r="2024" spans="1:3" x14ac:dyDescent="0.2">
      <c r="A2024" s="9"/>
      <c r="B2024" s="135">
        <v>13.35</v>
      </c>
      <c r="C2024" s="135"/>
    </row>
    <row r="2025" spans="1:3" x14ac:dyDescent="0.2">
      <c r="A2025" s="9"/>
      <c r="B2025" s="135">
        <v>13.36</v>
      </c>
      <c r="C2025" s="135"/>
    </row>
    <row r="2026" spans="1:3" x14ac:dyDescent="0.2">
      <c r="A2026" s="9"/>
      <c r="B2026" s="135">
        <v>13.37</v>
      </c>
      <c r="C2026" s="135"/>
    </row>
    <row r="2027" spans="1:3" x14ac:dyDescent="0.2">
      <c r="A2027" s="9"/>
      <c r="B2027" s="135">
        <v>13.38</v>
      </c>
      <c r="C2027" s="135"/>
    </row>
    <row r="2028" spans="1:3" x14ac:dyDescent="0.2">
      <c r="A2028" s="9"/>
      <c r="B2028" s="135">
        <v>13.39</v>
      </c>
      <c r="C2028" s="135"/>
    </row>
    <row r="2029" spans="1:3" x14ac:dyDescent="0.2">
      <c r="A2029" s="9"/>
      <c r="B2029" s="135">
        <v>13.4</v>
      </c>
      <c r="C2029" s="135"/>
    </row>
    <row r="2030" spans="1:3" x14ac:dyDescent="0.2">
      <c r="A2030" s="9"/>
      <c r="B2030" s="135">
        <v>13.41</v>
      </c>
      <c r="C2030" s="135"/>
    </row>
    <row r="2031" spans="1:3" x14ac:dyDescent="0.2">
      <c r="A2031" s="9"/>
      <c r="B2031" s="135">
        <v>13.42</v>
      </c>
      <c r="C2031" s="135"/>
    </row>
    <row r="2032" spans="1:3" x14ac:dyDescent="0.2">
      <c r="A2032" s="9"/>
      <c r="B2032" s="135">
        <v>13.43</v>
      </c>
      <c r="C2032" s="135"/>
    </row>
    <row r="2033" spans="1:3" x14ac:dyDescent="0.2">
      <c r="A2033" s="9"/>
      <c r="B2033" s="135">
        <v>13.44</v>
      </c>
      <c r="C2033" s="135"/>
    </row>
    <row r="2034" spans="1:3" x14ac:dyDescent="0.2">
      <c r="A2034" s="9"/>
      <c r="B2034" s="135">
        <v>13.45</v>
      </c>
      <c r="C2034" s="135"/>
    </row>
    <row r="2035" spans="1:3" x14ac:dyDescent="0.2">
      <c r="A2035" s="9"/>
      <c r="B2035" s="135">
        <v>13.46</v>
      </c>
      <c r="C2035" s="135"/>
    </row>
    <row r="2036" spans="1:3" x14ac:dyDescent="0.2">
      <c r="A2036" s="9"/>
      <c r="B2036" s="135">
        <v>13.47</v>
      </c>
      <c r="C2036" s="135"/>
    </row>
    <row r="2037" spans="1:3" x14ac:dyDescent="0.2">
      <c r="A2037" s="9"/>
      <c r="B2037" s="135">
        <v>13.48</v>
      </c>
      <c r="C2037" s="135"/>
    </row>
    <row r="2038" spans="1:3" x14ac:dyDescent="0.2">
      <c r="A2038" s="9"/>
      <c r="B2038" s="135">
        <v>13.49</v>
      </c>
      <c r="C2038" s="135"/>
    </row>
    <row r="2039" spans="1:3" x14ac:dyDescent="0.2">
      <c r="A2039" s="9"/>
      <c r="B2039" s="135">
        <v>13.5</v>
      </c>
      <c r="C2039" s="135"/>
    </row>
    <row r="2040" spans="1:3" x14ac:dyDescent="0.2">
      <c r="A2040" s="9"/>
      <c r="B2040" s="135">
        <v>13.51</v>
      </c>
      <c r="C2040" s="135"/>
    </row>
    <row r="2041" spans="1:3" x14ac:dyDescent="0.2">
      <c r="A2041" s="9"/>
      <c r="B2041" s="135">
        <v>13.52</v>
      </c>
      <c r="C2041" s="135"/>
    </row>
    <row r="2042" spans="1:3" x14ac:dyDescent="0.2">
      <c r="A2042" s="9"/>
      <c r="B2042" s="135">
        <v>13.53</v>
      </c>
      <c r="C2042" s="135"/>
    </row>
    <row r="2043" spans="1:3" x14ac:dyDescent="0.2">
      <c r="A2043" s="9"/>
      <c r="B2043" s="135">
        <v>13.54</v>
      </c>
      <c r="C2043" s="135"/>
    </row>
    <row r="2044" spans="1:3" x14ac:dyDescent="0.2">
      <c r="A2044" s="9"/>
      <c r="B2044" s="135">
        <v>13.55</v>
      </c>
      <c r="C2044" s="135"/>
    </row>
    <row r="2045" spans="1:3" x14ac:dyDescent="0.2">
      <c r="A2045" s="9"/>
      <c r="B2045" s="135">
        <v>13.56</v>
      </c>
      <c r="C2045" s="135"/>
    </row>
    <row r="2046" spans="1:3" x14ac:dyDescent="0.2">
      <c r="A2046" s="9"/>
      <c r="B2046" s="135">
        <v>13.57</v>
      </c>
      <c r="C2046" s="135"/>
    </row>
    <row r="2047" spans="1:3" x14ac:dyDescent="0.2">
      <c r="A2047" s="9"/>
      <c r="B2047" s="135">
        <v>13.58</v>
      </c>
      <c r="C2047" s="135"/>
    </row>
    <row r="2048" spans="1:3" x14ac:dyDescent="0.2">
      <c r="A2048" s="9"/>
      <c r="B2048" s="135">
        <v>13.59</v>
      </c>
      <c r="C2048" s="135"/>
    </row>
    <row r="2049" spans="1:3" x14ac:dyDescent="0.2">
      <c r="A2049" s="9"/>
      <c r="B2049" s="135">
        <v>13.6</v>
      </c>
      <c r="C2049" s="135"/>
    </row>
    <row r="2050" spans="1:3" x14ac:dyDescent="0.2">
      <c r="A2050" s="9"/>
      <c r="B2050" s="135">
        <v>13.61</v>
      </c>
      <c r="C2050" s="135"/>
    </row>
    <row r="2051" spans="1:3" x14ac:dyDescent="0.2">
      <c r="A2051" s="9"/>
      <c r="B2051" s="135">
        <v>13.62</v>
      </c>
      <c r="C2051" s="135"/>
    </row>
    <row r="2052" spans="1:3" x14ac:dyDescent="0.2">
      <c r="A2052" s="9"/>
      <c r="B2052" s="135">
        <v>13.63</v>
      </c>
      <c r="C2052" s="135"/>
    </row>
    <row r="2053" spans="1:3" x14ac:dyDescent="0.2">
      <c r="A2053" s="9"/>
      <c r="B2053" s="135">
        <v>13.64</v>
      </c>
      <c r="C2053" s="135"/>
    </row>
    <row r="2054" spans="1:3" x14ac:dyDescent="0.2">
      <c r="A2054" s="9"/>
      <c r="B2054" s="135">
        <v>13.65</v>
      </c>
      <c r="C2054" s="135"/>
    </row>
    <row r="2055" spans="1:3" x14ac:dyDescent="0.2">
      <c r="A2055" s="9"/>
      <c r="B2055" s="135">
        <v>13.66</v>
      </c>
      <c r="C2055" s="135"/>
    </row>
    <row r="2056" spans="1:3" x14ac:dyDescent="0.2">
      <c r="A2056" s="9"/>
      <c r="B2056" s="135">
        <v>13.67</v>
      </c>
      <c r="C2056" s="135"/>
    </row>
    <row r="2057" spans="1:3" x14ac:dyDescent="0.2">
      <c r="A2057" s="9"/>
      <c r="B2057" s="135">
        <v>13.68</v>
      </c>
      <c r="C2057" s="135"/>
    </row>
    <row r="2058" spans="1:3" x14ac:dyDescent="0.2">
      <c r="A2058" s="9"/>
      <c r="B2058" s="135">
        <v>13.69</v>
      </c>
      <c r="C2058" s="135"/>
    </row>
    <row r="2059" spans="1:3" x14ac:dyDescent="0.2">
      <c r="A2059" s="9"/>
      <c r="B2059" s="135">
        <v>13.7</v>
      </c>
      <c r="C2059" s="135"/>
    </row>
    <row r="2060" spans="1:3" x14ac:dyDescent="0.2">
      <c r="A2060" s="9"/>
      <c r="B2060" s="135">
        <v>13.71</v>
      </c>
      <c r="C2060" s="135"/>
    </row>
    <row r="2061" spans="1:3" x14ac:dyDescent="0.2">
      <c r="A2061" s="9"/>
      <c r="B2061" s="135">
        <v>13.72</v>
      </c>
      <c r="C2061" s="135"/>
    </row>
    <row r="2062" spans="1:3" x14ac:dyDescent="0.2">
      <c r="A2062" s="9"/>
      <c r="B2062" s="135">
        <v>13.73</v>
      </c>
      <c r="C2062" s="135"/>
    </row>
    <row r="2063" spans="1:3" x14ac:dyDescent="0.2">
      <c r="A2063" s="9"/>
      <c r="B2063" s="135">
        <v>13.74</v>
      </c>
      <c r="C2063" s="135"/>
    </row>
    <row r="2064" spans="1:3" x14ac:dyDescent="0.2">
      <c r="A2064" s="9"/>
      <c r="B2064" s="135">
        <v>13.75</v>
      </c>
      <c r="C2064" s="135"/>
    </row>
    <row r="2065" spans="1:3" x14ac:dyDescent="0.2">
      <c r="A2065" s="9"/>
      <c r="B2065" s="135">
        <v>13.76</v>
      </c>
      <c r="C2065" s="135"/>
    </row>
    <row r="2066" spans="1:3" x14ac:dyDescent="0.2">
      <c r="A2066" s="9"/>
      <c r="B2066" s="135">
        <v>13.77</v>
      </c>
      <c r="C2066" s="135"/>
    </row>
    <row r="2067" spans="1:3" x14ac:dyDescent="0.2">
      <c r="A2067" s="9"/>
      <c r="B2067" s="135">
        <v>13.78</v>
      </c>
      <c r="C2067" s="135"/>
    </row>
    <row r="2068" spans="1:3" x14ac:dyDescent="0.2">
      <c r="A2068" s="9"/>
      <c r="B2068" s="135">
        <v>13.79</v>
      </c>
      <c r="C2068" s="135"/>
    </row>
    <row r="2069" spans="1:3" x14ac:dyDescent="0.2">
      <c r="A2069" s="9"/>
      <c r="B2069" s="135">
        <v>13.8</v>
      </c>
      <c r="C2069" s="135"/>
    </row>
    <row r="2070" spans="1:3" x14ac:dyDescent="0.2">
      <c r="A2070" s="9"/>
      <c r="B2070" s="135">
        <v>13.81</v>
      </c>
      <c r="C2070" s="135"/>
    </row>
    <row r="2071" spans="1:3" x14ac:dyDescent="0.2">
      <c r="A2071" s="9"/>
      <c r="B2071" s="135">
        <v>13.82</v>
      </c>
      <c r="C2071" s="135"/>
    </row>
    <row r="2072" spans="1:3" x14ac:dyDescent="0.2">
      <c r="A2072" s="9"/>
      <c r="B2072" s="135">
        <v>13.83</v>
      </c>
      <c r="C2072" s="135"/>
    </row>
    <row r="2073" spans="1:3" x14ac:dyDescent="0.2">
      <c r="A2073" s="9"/>
      <c r="B2073" s="135">
        <v>13.84</v>
      </c>
      <c r="C2073" s="135"/>
    </row>
    <row r="2074" spans="1:3" x14ac:dyDescent="0.2">
      <c r="A2074" s="9"/>
      <c r="B2074" s="135">
        <v>13.85</v>
      </c>
      <c r="C2074" s="135"/>
    </row>
    <row r="2075" spans="1:3" x14ac:dyDescent="0.2">
      <c r="A2075" s="9"/>
      <c r="B2075" s="135">
        <v>13.86</v>
      </c>
      <c r="C2075" s="135"/>
    </row>
    <row r="2076" spans="1:3" x14ac:dyDescent="0.2">
      <c r="A2076" s="9"/>
      <c r="B2076" s="135">
        <v>13.87</v>
      </c>
      <c r="C2076" s="135"/>
    </row>
    <row r="2077" spans="1:3" x14ac:dyDescent="0.2">
      <c r="A2077" s="9"/>
      <c r="B2077" s="135">
        <v>13.88</v>
      </c>
      <c r="C2077" s="135"/>
    </row>
    <row r="2078" spans="1:3" x14ac:dyDescent="0.2">
      <c r="A2078" s="9"/>
      <c r="B2078" s="135">
        <v>13.89</v>
      </c>
      <c r="C2078" s="135"/>
    </row>
    <row r="2079" spans="1:3" x14ac:dyDescent="0.2">
      <c r="A2079" s="9"/>
      <c r="B2079" s="135">
        <v>13.9</v>
      </c>
      <c r="C2079" s="135"/>
    </row>
    <row r="2080" spans="1:3" x14ac:dyDescent="0.2">
      <c r="A2080" s="9"/>
      <c r="B2080" s="135">
        <v>13.91</v>
      </c>
      <c r="C2080" s="135"/>
    </row>
    <row r="2081" spans="1:3" x14ac:dyDescent="0.2">
      <c r="A2081" s="9"/>
      <c r="B2081" s="135">
        <v>13.92</v>
      </c>
      <c r="C2081" s="135"/>
    </row>
    <row r="2082" spans="1:3" x14ac:dyDescent="0.2">
      <c r="A2082" s="9"/>
      <c r="B2082" s="135">
        <v>13.93</v>
      </c>
      <c r="C2082" s="135"/>
    </row>
    <row r="2083" spans="1:3" x14ac:dyDescent="0.2">
      <c r="A2083" s="9"/>
      <c r="B2083" s="135">
        <v>13.94</v>
      </c>
      <c r="C2083" s="135"/>
    </row>
    <row r="2084" spans="1:3" x14ac:dyDescent="0.2">
      <c r="A2084" s="9"/>
      <c r="B2084" s="135">
        <v>13.95</v>
      </c>
      <c r="C2084" s="135"/>
    </row>
    <row r="2085" spans="1:3" x14ac:dyDescent="0.2">
      <c r="A2085" s="9"/>
      <c r="B2085" s="135">
        <v>13.96</v>
      </c>
      <c r="C2085" s="135"/>
    </row>
    <row r="2086" spans="1:3" x14ac:dyDescent="0.2">
      <c r="A2086" s="9"/>
      <c r="B2086" s="135">
        <v>13.97</v>
      </c>
      <c r="C2086" s="135"/>
    </row>
    <row r="2087" spans="1:3" x14ac:dyDescent="0.2">
      <c r="A2087" s="9"/>
      <c r="B2087" s="135">
        <v>13.98</v>
      </c>
      <c r="C2087" s="135"/>
    </row>
    <row r="2088" spans="1:3" x14ac:dyDescent="0.2">
      <c r="A2088" s="9"/>
      <c r="B2088" s="135">
        <v>13.99</v>
      </c>
      <c r="C2088" s="135"/>
    </row>
    <row r="2089" spans="1:3" x14ac:dyDescent="0.2">
      <c r="A2089" s="9"/>
      <c r="B2089" s="135">
        <v>14</v>
      </c>
      <c r="C2089" s="135"/>
    </row>
    <row r="2090" spans="1:3" x14ac:dyDescent="0.2">
      <c r="A2090" s="9"/>
      <c r="B2090" s="135">
        <v>14.01</v>
      </c>
      <c r="C2090" s="135"/>
    </row>
    <row r="2091" spans="1:3" x14ac:dyDescent="0.2">
      <c r="A2091" s="9"/>
      <c r="B2091" s="135">
        <v>14.02</v>
      </c>
      <c r="C2091" s="135"/>
    </row>
    <row r="2092" spans="1:3" x14ac:dyDescent="0.2">
      <c r="A2092" s="9"/>
      <c r="B2092" s="135">
        <v>14.03</v>
      </c>
      <c r="C2092" s="135"/>
    </row>
    <row r="2093" spans="1:3" x14ac:dyDescent="0.2">
      <c r="A2093" s="9"/>
      <c r="B2093" s="135">
        <v>14.04</v>
      </c>
      <c r="C2093" s="135"/>
    </row>
    <row r="2094" spans="1:3" x14ac:dyDescent="0.2">
      <c r="A2094" s="9"/>
      <c r="B2094" s="135">
        <v>14.05</v>
      </c>
      <c r="C2094" s="135"/>
    </row>
    <row r="2095" spans="1:3" x14ac:dyDescent="0.2">
      <c r="A2095" s="9"/>
      <c r="B2095" s="135">
        <v>14.06</v>
      </c>
      <c r="C2095" s="135"/>
    </row>
    <row r="2096" spans="1:3" x14ac:dyDescent="0.2">
      <c r="A2096" s="9"/>
      <c r="B2096" s="135">
        <v>14.07</v>
      </c>
      <c r="C2096" s="135"/>
    </row>
    <row r="2097" spans="1:3" x14ac:dyDescent="0.2">
      <c r="A2097" s="9"/>
      <c r="B2097" s="135">
        <v>14.08</v>
      </c>
      <c r="C2097" s="135"/>
    </row>
    <row r="2098" spans="1:3" x14ac:dyDescent="0.2">
      <c r="A2098" s="9"/>
      <c r="B2098" s="135">
        <v>14.09</v>
      </c>
      <c r="C2098" s="135"/>
    </row>
    <row r="2099" spans="1:3" x14ac:dyDescent="0.2">
      <c r="A2099" s="9"/>
      <c r="B2099" s="135">
        <v>14.1</v>
      </c>
      <c r="C2099" s="135"/>
    </row>
    <row r="2100" spans="1:3" x14ac:dyDescent="0.2">
      <c r="A2100" s="9"/>
      <c r="B2100" s="135">
        <v>14.11</v>
      </c>
      <c r="C2100" s="135"/>
    </row>
    <row r="2101" spans="1:3" x14ac:dyDescent="0.2">
      <c r="A2101" s="9"/>
      <c r="B2101" s="135">
        <v>14.12</v>
      </c>
      <c r="C2101" s="135"/>
    </row>
    <row r="2102" spans="1:3" x14ac:dyDescent="0.2">
      <c r="A2102" s="9"/>
      <c r="B2102" s="135">
        <v>14.13</v>
      </c>
      <c r="C2102" s="135"/>
    </row>
    <row r="2103" spans="1:3" x14ac:dyDescent="0.2">
      <c r="A2103" s="9"/>
      <c r="B2103" s="135">
        <v>14.14</v>
      </c>
      <c r="C2103" s="135"/>
    </row>
    <row r="2104" spans="1:3" x14ac:dyDescent="0.2">
      <c r="A2104" s="9"/>
      <c r="B2104" s="135">
        <v>14.15</v>
      </c>
      <c r="C2104" s="135"/>
    </row>
    <row r="2105" spans="1:3" x14ac:dyDescent="0.2">
      <c r="A2105" s="9"/>
      <c r="B2105" s="135">
        <v>14.16</v>
      </c>
      <c r="C2105" s="135"/>
    </row>
    <row r="2106" spans="1:3" x14ac:dyDescent="0.2">
      <c r="A2106" s="9"/>
      <c r="B2106" s="135">
        <v>14.17</v>
      </c>
      <c r="C2106" s="135"/>
    </row>
    <row r="2107" spans="1:3" x14ac:dyDescent="0.2">
      <c r="A2107" s="9"/>
      <c r="B2107" s="135">
        <v>14.18</v>
      </c>
      <c r="C2107" s="135"/>
    </row>
    <row r="2108" spans="1:3" x14ac:dyDescent="0.2">
      <c r="A2108" s="9"/>
      <c r="B2108" s="135">
        <v>14.19</v>
      </c>
      <c r="C2108" s="135"/>
    </row>
    <row r="2109" spans="1:3" x14ac:dyDescent="0.2">
      <c r="A2109" s="9"/>
      <c r="B2109" s="135">
        <v>14.2</v>
      </c>
      <c r="C2109" s="135"/>
    </row>
    <row r="2110" spans="1:3" x14ac:dyDescent="0.2">
      <c r="A2110" s="9"/>
      <c r="B2110" s="135">
        <v>14.21</v>
      </c>
      <c r="C2110" s="135"/>
    </row>
    <row r="2111" spans="1:3" x14ac:dyDescent="0.2">
      <c r="A2111" s="9"/>
      <c r="B2111" s="135">
        <v>14.22</v>
      </c>
      <c r="C2111" s="135"/>
    </row>
    <row r="2112" spans="1:3" x14ac:dyDescent="0.2">
      <c r="A2112" s="9"/>
      <c r="B2112" s="135">
        <v>14.23</v>
      </c>
      <c r="C2112" s="135"/>
    </row>
    <row r="2113" spans="1:3" x14ac:dyDescent="0.2">
      <c r="A2113" s="9"/>
      <c r="B2113" s="135">
        <v>14.24</v>
      </c>
      <c r="C2113" s="135"/>
    </row>
    <row r="2114" spans="1:3" x14ac:dyDescent="0.2">
      <c r="A2114" s="9"/>
      <c r="B2114" s="135">
        <v>14.25</v>
      </c>
      <c r="C2114" s="135"/>
    </row>
    <row r="2115" spans="1:3" x14ac:dyDescent="0.2">
      <c r="A2115" s="9"/>
      <c r="B2115" s="135">
        <v>14.26</v>
      </c>
      <c r="C2115" s="135"/>
    </row>
    <row r="2116" spans="1:3" x14ac:dyDescent="0.2">
      <c r="A2116" s="9"/>
      <c r="B2116" s="135">
        <v>14.27</v>
      </c>
      <c r="C2116" s="135"/>
    </row>
    <row r="2117" spans="1:3" x14ac:dyDescent="0.2">
      <c r="A2117" s="9"/>
      <c r="B2117" s="135">
        <v>14.28</v>
      </c>
      <c r="C2117" s="135"/>
    </row>
    <row r="2118" spans="1:3" x14ac:dyDescent="0.2">
      <c r="A2118" s="9"/>
      <c r="B2118" s="135">
        <v>14.29</v>
      </c>
      <c r="C2118" s="135"/>
    </row>
    <row r="2119" spans="1:3" x14ac:dyDescent="0.2">
      <c r="A2119" s="9"/>
      <c r="B2119" s="135">
        <v>14.3</v>
      </c>
      <c r="C2119" s="135"/>
    </row>
    <row r="2120" spans="1:3" x14ac:dyDescent="0.2">
      <c r="A2120" s="9"/>
      <c r="B2120" s="135">
        <v>14.31</v>
      </c>
      <c r="C2120" s="135"/>
    </row>
    <row r="2121" spans="1:3" x14ac:dyDescent="0.2">
      <c r="A2121" s="9"/>
      <c r="B2121" s="135">
        <v>14.32</v>
      </c>
      <c r="C2121" s="135"/>
    </row>
    <row r="2122" spans="1:3" x14ac:dyDescent="0.2">
      <c r="A2122" s="9"/>
      <c r="B2122" s="135">
        <v>14.33</v>
      </c>
      <c r="C2122" s="135"/>
    </row>
    <row r="2123" spans="1:3" x14ac:dyDescent="0.2">
      <c r="A2123" s="9"/>
      <c r="B2123" s="135">
        <v>14.34</v>
      </c>
      <c r="C2123" s="135"/>
    </row>
    <row r="2124" spans="1:3" x14ac:dyDescent="0.2">
      <c r="A2124" s="9"/>
      <c r="B2124" s="135">
        <v>14.35</v>
      </c>
      <c r="C2124" s="135"/>
    </row>
    <row r="2125" spans="1:3" x14ac:dyDescent="0.2">
      <c r="A2125" s="9"/>
      <c r="B2125" s="135">
        <v>14.36</v>
      </c>
      <c r="C2125" s="135"/>
    </row>
    <row r="2126" spans="1:3" x14ac:dyDescent="0.2">
      <c r="A2126" s="9"/>
      <c r="B2126" s="135">
        <v>14.37</v>
      </c>
      <c r="C2126" s="135"/>
    </row>
    <row r="2127" spans="1:3" x14ac:dyDescent="0.2">
      <c r="A2127" s="9"/>
      <c r="B2127" s="135">
        <v>14.38</v>
      </c>
      <c r="C2127" s="135"/>
    </row>
    <row r="2128" spans="1:3" x14ac:dyDescent="0.2">
      <c r="A2128" s="9"/>
      <c r="B2128" s="135">
        <v>14.39</v>
      </c>
      <c r="C2128" s="135"/>
    </row>
    <row r="2129" spans="1:3" x14ac:dyDescent="0.2">
      <c r="A2129" s="9"/>
      <c r="B2129" s="135">
        <v>14.4</v>
      </c>
      <c r="C2129" s="135"/>
    </row>
    <row r="2130" spans="1:3" x14ac:dyDescent="0.2">
      <c r="A2130" s="9"/>
      <c r="B2130" s="135">
        <v>14.41</v>
      </c>
      <c r="C2130" s="135"/>
    </row>
    <row r="2131" spans="1:3" x14ac:dyDescent="0.2">
      <c r="A2131" s="9"/>
      <c r="B2131" s="135">
        <v>14.42</v>
      </c>
      <c r="C2131" s="135"/>
    </row>
    <row r="2132" spans="1:3" x14ac:dyDescent="0.2">
      <c r="A2132" s="9"/>
      <c r="B2132" s="135">
        <v>14.43</v>
      </c>
      <c r="C2132" s="135"/>
    </row>
    <row r="2133" spans="1:3" x14ac:dyDescent="0.2">
      <c r="A2133" s="9"/>
      <c r="B2133" s="135">
        <v>14.44</v>
      </c>
      <c r="C2133" s="135"/>
    </row>
    <row r="2134" spans="1:3" x14ac:dyDescent="0.2">
      <c r="A2134" s="9"/>
      <c r="B2134" s="135">
        <v>14.45</v>
      </c>
      <c r="C2134" s="135"/>
    </row>
    <row r="2135" spans="1:3" x14ac:dyDescent="0.2">
      <c r="A2135" s="9"/>
      <c r="B2135" s="135">
        <v>14.46</v>
      </c>
      <c r="C2135" s="135"/>
    </row>
    <row r="2136" spans="1:3" x14ac:dyDescent="0.2">
      <c r="A2136" s="9"/>
      <c r="B2136" s="135">
        <v>14.47</v>
      </c>
      <c r="C2136" s="135"/>
    </row>
    <row r="2137" spans="1:3" x14ac:dyDescent="0.2">
      <c r="A2137" s="9"/>
      <c r="B2137" s="135">
        <v>14.48</v>
      </c>
      <c r="C2137" s="135"/>
    </row>
    <row r="2138" spans="1:3" x14ac:dyDescent="0.2">
      <c r="A2138" s="9"/>
      <c r="B2138" s="135">
        <v>14.49</v>
      </c>
      <c r="C2138" s="135"/>
    </row>
    <row r="2139" spans="1:3" x14ac:dyDescent="0.2">
      <c r="A2139" s="9"/>
      <c r="B2139" s="135">
        <v>14.5</v>
      </c>
      <c r="C2139" s="135"/>
    </row>
    <row r="2140" spans="1:3" x14ac:dyDescent="0.2">
      <c r="A2140" s="9"/>
      <c r="B2140" s="135">
        <v>14.51</v>
      </c>
      <c r="C2140" s="135"/>
    </row>
    <row r="2141" spans="1:3" x14ac:dyDescent="0.2">
      <c r="A2141" s="9"/>
      <c r="B2141" s="135">
        <v>14.52</v>
      </c>
      <c r="C2141" s="135"/>
    </row>
    <row r="2142" spans="1:3" x14ac:dyDescent="0.2">
      <c r="A2142" s="9"/>
      <c r="B2142" s="135">
        <v>14.53</v>
      </c>
      <c r="C2142" s="135"/>
    </row>
    <row r="2143" spans="1:3" x14ac:dyDescent="0.2">
      <c r="A2143" s="9"/>
      <c r="B2143" s="135">
        <v>14.54</v>
      </c>
      <c r="C2143" s="135"/>
    </row>
    <row r="2144" spans="1:3" x14ac:dyDescent="0.2">
      <c r="A2144" s="9"/>
      <c r="B2144" s="135">
        <v>14.55</v>
      </c>
      <c r="C2144" s="135"/>
    </row>
    <row r="2145" spans="1:3" x14ac:dyDescent="0.2">
      <c r="A2145" s="9"/>
      <c r="B2145" s="135">
        <v>14.56</v>
      </c>
      <c r="C2145" s="135"/>
    </row>
    <row r="2146" spans="1:3" x14ac:dyDescent="0.2">
      <c r="A2146" s="9"/>
      <c r="B2146" s="135">
        <v>14.57</v>
      </c>
      <c r="C2146" s="135"/>
    </row>
    <row r="2147" spans="1:3" x14ac:dyDescent="0.2">
      <c r="A2147" s="9"/>
      <c r="B2147" s="135">
        <v>14.58</v>
      </c>
      <c r="C2147" s="135"/>
    </row>
    <row r="2148" spans="1:3" x14ac:dyDescent="0.2">
      <c r="A2148" s="9"/>
      <c r="B2148" s="135">
        <v>14.59</v>
      </c>
      <c r="C2148" s="135"/>
    </row>
    <row r="2149" spans="1:3" x14ac:dyDescent="0.2">
      <c r="A2149" s="9"/>
      <c r="B2149" s="135">
        <v>14.6</v>
      </c>
      <c r="C2149" s="135"/>
    </row>
    <row r="2150" spans="1:3" x14ac:dyDescent="0.2">
      <c r="A2150" s="9"/>
      <c r="B2150" s="135">
        <v>14.61</v>
      </c>
      <c r="C2150" s="135"/>
    </row>
    <row r="2151" spans="1:3" x14ac:dyDescent="0.2">
      <c r="A2151" s="9"/>
      <c r="B2151" s="135">
        <v>14.62</v>
      </c>
      <c r="C2151" s="135"/>
    </row>
    <row r="2152" spans="1:3" x14ac:dyDescent="0.2">
      <c r="A2152" s="9"/>
      <c r="B2152" s="135">
        <v>14.63</v>
      </c>
      <c r="C2152" s="135"/>
    </row>
    <row r="2153" spans="1:3" x14ac:dyDescent="0.2">
      <c r="A2153" s="9"/>
      <c r="B2153" s="135">
        <v>14.64</v>
      </c>
      <c r="C2153" s="135"/>
    </row>
    <row r="2154" spans="1:3" x14ac:dyDescent="0.2">
      <c r="A2154" s="9"/>
      <c r="B2154" s="135">
        <v>14.65</v>
      </c>
      <c r="C2154" s="135"/>
    </row>
    <row r="2155" spans="1:3" x14ac:dyDescent="0.2">
      <c r="A2155" s="9"/>
      <c r="B2155" s="135">
        <v>14.66</v>
      </c>
      <c r="C2155" s="135"/>
    </row>
    <row r="2156" spans="1:3" x14ac:dyDescent="0.2">
      <c r="A2156" s="9"/>
      <c r="B2156" s="135">
        <v>14.67</v>
      </c>
      <c r="C2156" s="135"/>
    </row>
    <row r="2157" spans="1:3" x14ac:dyDescent="0.2">
      <c r="A2157" s="9"/>
      <c r="B2157" s="135">
        <v>14.68</v>
      </c>
      <c r="C2157" s="135"/>
    </row>
    <row r="2158" spans="1:3" x14ac:dyDescent="0.2">
      <c r="A2158" s="9"/>
      <c r="B2158" s="135">
        <v>14.69</v>
      </c>
      <c r="C2158" s="135"/>
    </row>
    <row r="2159" spans="1:3" x14ac:dyDescent="0.2">
      <c r="A2159" s="9"/>
      <c r="B2159" s="135">
        <v>14.7</v>
      </c>
      <c r="C2159" s="135"/>
    </row>
    <row r="2160" spans="1:3" x14ac:dyDescent="0.2">
      <c r="A2160" s="9"/>
      <c r="B2160" s="135">
        <v>14.71</v>
      </c>
      <c r="C2160" s="135"/>
    </row>
    <row r="2161" spans="1:3" x14ac:dyDescent="0.2">
      <c r="A2161" s="9"/>
      <c r="B2161" s="135">
        <v>14.72</v>
      </c>
      <c r="C2161" s="135"/>
    </row>
    <row r="2162" spans="1:3" x14ac:dyDescent="0.2">
      <c r="A2162" s="9"/>
      <c r="B2162" s="135">
        <v>14.73</v>
      </c>
      <c r="C2162" s="135"/>
    </row>
    <row r="2163" spans="1:3" x14ac:dyDescent="0.2">
      <c r="A2163" s="9"/>
      <c r="B2163" s="135">
        <v>14.74</v>
      </c>
      <c r="C2163" s="135"/>
    </row>
    <row r="2164" spans="1:3" x14ac:dyDescent="0.2">
      <c r="A2164" s="9"/>
      <c r="B2164" s="135">
        <v>14.75</v>
      </c>
      <c r="C2164" s="135"/>
    </row>
    <row r="2165" spans="1:3" x14ac:dyDescent="0.2">
      <c r="A2165" s="9"/>
      <c r="B2165" s="135">
        <v>14.76</v>
      </c>
      <c r="C2165" s="135"/>
    </row>
    <row r="2166" spans="1:3" x14ac:dyDescent="0.2">
      <c r="A2166" s="9"/>
      <c r="B2166" s="135">
        <v>14.77</v>
      </c>
      <c r="C2166" s="135"/>
    </row>
    <row r="2167" spans="1:3" x14ac:dyDescent="0.2">
      <c r="A2167" s="9"/>
      <c r="B2167" s="135">
        <v>14.78</v>
      </c>
      <c r="C2167" s="135"/>
    </row>
    <row r="2168" spans="1:3" x14ac:dyDescent="0.2">
      <c r="A2168" s="9"/>
      <c r="B2168" s="135">
        <v>14.79</v>
      </c>
      <c r="C2168" s="135"/>
    </row>
    <row r="2169" spans="1:3" x14ac:dyDescent="0.2">
      <c r="A2169" s="9"/>
      <c r="B2169" s="135">
        <v>14.8</v>
      </c>
      <c r="C2169" s="135"/>
    </row>
    <row r="2170" spans="1:3" x14ac:dyDescent="0.2">
      <c r="A2170" s="9"/>
      <c r="B2170" s="135">
        <v>14.81</v>
      </c>
      <c r="C2170" s="135"/>
    </row>
    <row r="2171" spans="1:3" x14ac:dyDescent="0.2">
      <c r="A2171" s="9"/>
      <c r="B2171" s="135">
        <v>14.82</v>
      </c>
      <c r="C2171" s="135"/>
    </row>
    <row r="2172" spans="1:3" x14ac:dyDescent="0.2">
      <c r="A2172" s="9"/>
      <c r="B2172" s="135">
        <v>14.83</v>
      </c>
      <c r="C2172" s="135"/>
    </row>
    <row r="2173" spans="1:3" x14ac:dyDescent="0.2">
      <c r="A2173" s="9"/>
      <c r="B2173" s="135">
        <v>14.84</v>
      </c>
      <c r="C2173" s="135"/>
    </row>
    <row r="2174" spans="1:3" x14ac:dyDescent="0.2">
      <c r="A2174" s="9"/>
      <c r="B2174" s="135">
        <v>14.85</v>
      </c>
      <c r="C2174" s="135"/>
    </row>
    <row r="2175" spans="1:3" x14ac:dyDescent="0.2">
      <c r="A2175" s="9"/>
      <c r="B2175" s="135">
        <v>14.86</v>
      </c>
      <c r="C2175" s="135"/>
    </row>
    <row r="2176" spans="1:3" x14ac:dyDescent="0.2">
      <c r="A2176" s="9"/>
      <c r="B2176" s="135">
        <v>14.87</v>
      </c>
      <c r="C2176" s="135"/>
    </row>
    <row r="2177" spans="1:3" x14ac:dyDescent="0.2">
      <c r="A2177" s="9"/>
      <c r="B2177" s="135">
        <v>14.88</v>
      </c>
      <c r="C2177" s="135"/>
    </row>
    <row r="2178" spans="1:3" x14ac:dyDescent="0.2">
      <c r="A2178" s="9"/>
      <c r="B2178" s="135">
        <v>14.89</v>
      </c>
      <c r="C2178" s="135"/>
    </row>
    <row r="2179" spans="1:3" x14ac:dyDescent="0.2">
      <c r="A2179" s="9"/>
      <c r="B2179" s="135">
        <v>14.9</v>
      </c>
      <c r="C2179" s="135"/>
    </row>
    <row r="2180" spans="1:3" x14ac:dyDescent="0.2">
      <c r="A2180" s="9"/>
      <c r="B2180" s="135">
        <v>14.91</v>
      </c>
      <c r="C2180" s="135"/>
    </row>
    <row r="2181" spans="1:3" x14ac:dyDescent="0.2">
      <c r="A2181" s="9"/>
      <c r="B2181" s="135">
        <v>14.92</v>
      </c>
      <c r="C2181" s="135"/>
    </row>
    <row r="2182" spans="1:3" x14ac:dyDescent="0.2">
      <c r="A2182" s="9"/>
      <c r="B2182" s="135">
        <v>14.93</v>
      </c>
      <c r="C2182" s="135"/>
    </row>
    <row r="2183" spans="1:3" x14ac:dyDescent="0.2">
      <c r="A2183" s="9"/>
      <c r="B2183" s="135">
        <v>14.94</v>
      </c>
      <c r="C2183" s="135"/>
    </row>
    <row r="2184" spans="1:3" x14ac:dyDescent="0.2">
      <c r="A2184" s="9"/>
      <c r="B2184" s="135">
        <v>14.95</v>
      </c>
      <c r="C2184" s="135"/>
    </row>
    <row r="2185" spans="1:3" x14ac:dyDescent="0.2">
      <c r="A2185" s="9"/>
      <c r="B2185" s="135">
        <v>14.96</v>
      </c>
      <c r="C2185" s="135"/>
    </row>
    <row r="2186" spans="1:3" x14ac:dyDescent="0.2">
      <c r="A2186" s="9"/>
      <c r="B2186" s="135">
        <v>14.97</v>
      </c>
      <c r="C2186" s="135"/>
    </row>
    <row r="2187" spans="1:3" x14ac:dyDescent="0.2">
      <c r="A2187" s="9"/>
      <c r="B2187" s="135">
        <v>14.98</v>
      </c>
      <c r="C2187" s="135"/>
    </row>
    <row r="2188" spans="1:3" x14ac:dyDescent="0.2">
      <c r="A2188" s="9"/>
      <c r="B2188" s="135">
        <v>14.99</v>
      </c>
      <c r="C2188" s="135"/>
    </row>
    <row r="2189" spans="1:3" x14ac:dyDescent="0.2">
      <c r="A2189" s="9"/>
      <c r="B2189" s="135">
        <v>15</v>
      </c>
      <c r="C2189" s="135"/>
    </row>
    <row r="2190" spans="1:3" x14ac:dyDescent="0.2">
      <c r="A2190" s="9"/>
      <c r="B2190" s="135">
        <v>15.01</v>
      </c>
      <c r="C2190" s="135"/>
    </row>
    <row r="2191" spans="1:3" x14ac:dyDescent="0.2">
      <c r="A2191" s="9"/>
      <c r="B2191" s="135">
        <v>15.02</v>
      </c>
      <c r="C2191" s="135"/>
    </row>
    <row r="2192" spans="1:3" x14ac:dyDescent="0.2">
      <c r="A2192" s="9"/>
      <c r="B2192" s="135">
        <v>15.03</v>
      </c>
      <c r="C2192" s="135"/>
    </row>
    <row r="2193" spans="1:3" x14ac:dyDescent="0.2">
      <c r="A2193" s="9"/>
      <c r="B2193" s="135">
        <v>15.04</v>
      </c>
      <c r="C2193" s="135"/>
    </row>
    <row r="2194" spans="1:3" x14ac:dyDescent="0.2">
      <c r="A2194" s="9"/>
      <c r="B2194" s="135">
        <v>15.05</v>
      </c>
      <c r="C2194" s="135"/>
    </row>
    <row r="2195" spans="1:3" x14ac:dyDescent="0.2">
      <c r="A2195" s="9"/>
      <c r="B2195" s="135">
        <v>15.06</v>
      </c>
      <c r="C2195" s="135"/>
    </row>
    <row r="2196" spans="1:3" x14ac:dyDescent="0.2">
      <c r="A2196" s="9"/>
      <c r="B2196" s="135">
        <v>15.07</v>
      </c>
      <c r="C2196" s="135"/>
    </row>
    <row r="2197" spans="1:3" x14ac:dyDescent="0.2">
      <c r="A2197" s="9"/>
      <c r="B2197" s="135">
        <v>15.08</v>
      </c>
      <c r="C2197" s="135"/>
    </row>
    <row r="2198" spans="1:3" x14ac:dyDescent="0.2">
      <c r="A2198" s="9"/>
      <c r="B2198" s="135">
        <v>15.09</v>
      </c>
      <c r="C2198" s="135"/>
    </row>
    <row r="2199" spans="1:3" x14ac:dyDescent="0.2">
      <c r="A2199" s="9"/>
      <c r="B2199" s="135">
        <v>15.1</v>
      </c>
      <c r="C2199" s="135"/>
    </row>
    <row r="2200" spans="1:3" x14ac:dyDescent="0.2">
      <c r="A2200" s="9"/>
      <c r="B2200" s="135">
        <v>15.11</v>
      </c>
      <c r="C2200" s="135"/>
    </row>
    <row r="2201" spans="1:3" x14ac:dyDescent="0.2">
      <c r="A2201" s="9"/>
      <c r="B2201" s="135">
        <v>15.12</v>
      </c>
      <c r="C2201" s="135"/>
    </row>
    <row r="2202" spans="1:3" x14ac:dyDescent="0.2">
      <c r="A2202" s="9"/>
      <c r="B2202" s="135">
        <v>15.13</v>
      </c>
      <c r="C2202" s="135"/>
    </row>
    <row r="2203" spans="1:3" x14ac:dyDescent="0.2">
      <c r="A2203" s="9"/>
      <c r="B2203" s="135">
        <v>15.14</v>
      </c>
      <c r="C2203" s="135"/>
    </row>
    <row r="2204" spans="1:3" x14ac:dyDescent="0.2">
      <c r="A2204" s="9"/>
      <c r="B2204" s="135">
        <v>15.15</v>
      </c>
      <c r="C2204" s="135"/>
    </row>
    <row r="2205" spans="1:3" x14ac:dyDescent="0.2">
      <c r="A2205" s="9"/>
      <c r="B2205" s="135">
        <v>15.16</v>
      </c>
      <c r="C2205" s="135"/>
    </row>
    <row r="2206" spans="1:3" x14ac:dyDescent="0.2">
      <c r="A2206" s="9"/>
      <c r="B2206" s="135">
        <v>15.17</v>
      </c>
      <c r="C2206" s="135"/>
    </row>
    <row r="2207" spans="1:3" x14ac:dyDescent="0.2">
      <c r="A2207" s="9"/>
      <c r="B2207" s="135">
        <v>15.18</v>
      </c>
      <c r="C2207" s="135"/>
    </row>
    <row r="2208" spans="1:3" x14ac:dyDescent="0.2">
      <c r="A2208" s="9"/>
      <c r="B2208" s="135">
        <v>15.19</v>
      </c>
      <c r="C2208" s="135"/>
    </row>
    <row r="2209" spans="1:3" x14ac:dyDescent="0.2">
      <c r="A2209" s="9"/>
      <c r="B2209" s="135">
        <v>15.2</v>
      </c>
      <c r="C2209" s="135"/>
    </row>
    <row r="2210" spans="1:3" x14ac:dyDescent="0.2">
      <c r="A2210" s="9"/>
      <c r="B2210" s="135">
        <v>15.21</v>
      </c>
      <c r="C2210" s="135"/>
    </row>
    <row r="2211" spans="1:3" x14ac:dyDescent="0.2">
      <c r="A2211" s="9"/>
      <c r="B2211" s="135">
        <v>15.22</v>
      </c>
      <c r="C2211" s="135"/>
    </row>
    <row r="2212" spans="1:3" x14ac:dyDescent="0.2">
      <c r="A2212" s="9"/>
      <c r="B2212" s="135">
        <v>15.23</v>
      </c>
      <c r="C2212" s="135"/>
    </row>
    <row r="2213" spans="1:3" x14ac:dyDescent="0.2">
      <c r="A2213" s="9"/>
      <c r="B2213" s="135">
        <v>15.24</v>
      </c>
      <c r="C2213" s="135"/>
    </row>
    <row r="2214" spans="1:3" x14ac:dyDescent="0.2">
      <c r="A2214" s="9"/>
      <c r="B2214" s="135">
        <v>15.25</v>
      </c>
      <c r="C2214" s="135"/>
    </row>
    <row r="2215" spans="1:3" x14ac:dyDescent="0.2">
      <c r="A2215" s="9"/>
      <c r="B2215" s="135">
        <v>15.26</v>
      </c>
      <c r="C2215" s="135"/>
    </row>
    <row r="2216" spans="1:3" x14ac:dyDescent="0.2">
      <c r="A2216" s="9"/>
      <c r="B2216" s="135">
        <v>15.27</v>
      </c>
      <c r="C2216" s="135"/>
    </row>
    <row r="2217" spans="1:3" x14ac:dyDescent="0.2">
      <c r="A2217" s="9"/>
      <c r="B2217" s="135">
        <v>15.28</v>
      </c>
      <c r="C2217" s="135"/>
    </row>
    <row r="2218" spans="1:3" x14ac:dyDescent="0.2">
      <c r="A2218" s="9"/>
      <c r="B2218" s="135">
        <v>15.29</v>
      </c>
      <c r="C2218" s="135"/>
    </row>
    <row r="2219" spans="1:3" x14ac:dyDescent="0.2">
      <c r="A2219" s="9"/>
      <c r="B2219" s="135">
        <v>15.3</v>
      </c>
      <c r="C2219" s="135"/>
    </row>
    <row r="2220" spans="1:3" x14ac:dyDescent="0.2">
      <c r="A2220" s="9"/>
      <c r="B2220" s="135">
        <v>15.31</v>
      </c>
      <c r="C2220" s="135"/>
    </row>
    <row r="2221" spans="1:3" x14ac:dyDescent="0.2">
      <c r="A2221" s="9"/>
      <c r="B2221" s="135">
        <v>15.32</v>
      </c>
      <c r="C2221" s="135"/>
    </row>
    <row r="2222" spans="1:3" x14ac:dyDescent="0.2">
      <c r="A2222" s="9"/>
      <c r="B2222" s="135">
        <v>15.33</v>
      </c>
      <c r="C2222" s="135"/>
    </row>
    <row r="2223" spans="1:3" x14ac:dyDescent="0.2">
      <c r="A2223" s="9"/>
      <c r="B2223" s="135">
        <v>15.34</v>
      </c>
      <c r="C2223" s="135"/>
    </row>
    <row r="2224" spans="1:3" x14ac:dyDescent="0.2">
      <c r="A2224" s="9"/>
      <c r="B2224" s="135">
        <v>15.35</v>
      </c>
      <c r="C2224" s="135"/>
    </row>
    <row r="2225" spans="1:3" x14ac:dyDescent="0.2">
      <c r="A2225" s="9"/>
      <c r="B2225" s="135">
        <v>15.36</v>
      </c>
      <c r="C2225" s="135"/>
    </row>
    <row r="2226" spans="1:3" x14ac:dyDescent="0.2">
      <c r="A2226" s="9"/>
      <c r="B2226" s="135">
        <v>15.37</v>
      </c>
      <c r="C2226" s="135"/>
    </row>
    <row r="2227" spans="1:3" x14ac:dyDescent="0.2">
      <c r="A2227" s="9"/>
      <c r="B2227" s="135">
        <v>15.38</v>
      </c>
      <c r="C2227" s="135"/>
    </row>
    <row r="2228" spans="1:3" x14ac:dyDescent="0.2">
      <c r="A2228" s="9"/>
      <c r="B2228" s="135">
        <v>15.39</v>
      </c>
      <c r="C2228" s="135"/>
    </row>
    <row r="2229" spans="1:3" x14ac:dyDescent="0.2">
      <c r="A2229" s="9"/>
      <c r="B2229" s="135">
        <v>15.4</v>
      </c>
      <c r="C2229" s="135"/>
    </row>
    <row r="2230" spans="1:3" x14ac:dyDescent="0.2">
      <c r="A2230" s="9"/>
      <c r="B2230" s="135">
        <v>15.41</v>
      </c>
      <c r="C2230" s="135"/>
    </row>
    <row r="2231" spans="1:3" x14ac:dyDescent="0.2">
      <c r="A2231" s="9"/>
      <c r="B2231" s="135">
        <v>15.42</v>
      </c>
      <c r="C2231" s="135"/>
    </row>
    <row r="2232" spans="1:3" x14ac:dyDescent="0.2">
      <c r="A2232" s="9"/>
      <c r="B2232" s="135">
        <v>15.43</v>
      </c>
      <c r="C2232" s="135"/>
    </row>
    <row r="2233" spans="1:3" x14ac:dyDescent="0.2">
      <c r="A2233" s="9"/>
      <c r="B2233" s="135">
        <v>15.44</v>
      </c>
      <c r="C2233" s="135"/>
    </row>
    <row r="2234" spans="1:3" x14ac:dyDescent="0.2">
      <c r="A2234" s="9"/>
      <c r="B2234" s="135">
        <v>15.45</v>
      </c>
      <c r="C2234" s="135"/>
    </row>
    <row r="2235" spans="1:3" x14ac:dyDescent="0.2">
      <c r="A2235" s="9"/>
      <c r="B2235" s="135">
        <v>15.46</v>
      </c>
      <c r="C2235" s="135"/>
    </row>
    <row r="2236" spans="1:3" x14ac:dyDescent="0.2">
      <c r="A2236" s="9"/>
      <c r="B2236" s="135">
        <v>15.47</v>
      </c>
      <c r="C2236" s="135"/>
    </row>
    <row r="2237" spans="1:3" x14ac:dyDescent="0.2">
      <c r="A2237" s="9"/>
      <c r="B2237" s="135">
        <v>15.48</v>
      </c>
      <c r="C2237" s="135"/>
    </row>
    <row r="2238" spans="1:3" x14ac:dyDescent="0.2">
      <c r="A2238" s="9"/>
      <c r="B2238" s="135">
        <v>15.49</v>
      </c>
      <c r="C2238" s="135"/>
    </row>
    <row r="2239" spans="1:3" x14ac:dyDescent="0.2">
      <c r="A2239" s="9"/>
      <c r="B2239" s="135">
        <v>15.5</v>
      </c>
      <c r="C2239" s="135"/>
    </row>
    <row r="2240" spans="1:3" x14ac:dyDescent="0.2">
      <c r="A2240" s="9"/>
      <c r="B2240" s="135">
        <v>15.51</v>
      </c>
      <c r="C2240" s="135"/>
    </row>
    <row r="2241" spans="1:3" x14ac:dyDescent="0.2">
      <c r="A2241" s="9"/>
      <c r="B2241" s="135">
        <v>15.52</v>
      </c>
      <c r="C2241" s="135"/>
    </row>
    <row r="2242" spans="1:3" x14ac:dyDescent="0.2">
      <c r="A2242" s="9"/>
      <c r="B2242" s="135">
        <v>15.53</v>
      </c>
      <c r="C2242" s="135"/>
    </row>
    <row r="2243" spans="1:3" x14ac:dyDescent="0.2">
      <c r="A2243" s="9"/>
      <c r="B2243" s="135">
        <v>15.54</v>
      </c>
      <c r="C2243" s="135"/>
    </row>
    <row r="2244" spans="1:3" x14ac:dyDescent="0.2">
      <c r="A2244" s="9"/>
      <c r="B2244" s="135">
        <v>15.55</v>
      </c>
      <c r="C2244" s="135"/>
    </row>
    <row r="2245" spans="1:3" x14ac:dyDescent="0.2">
      <c r="A2245" s="9"/>
      <c r="B2245" s="135">
        <v>15.56</v>
      </c>
      <c r="C2245" s="135"/>
    </row>
    <row r="2246" spans="1:3" x14ac:dyDescent="0.2">
      <c r="A2246" s="9"/>
      <c r="B2246" s="135">
        <v>15.57</v>
      </c>
      <c r="C2246" s="135"/>
    </row>
    <row r="2247" spans="1:3" x14ac:dyDescent="0.2">
      <c r="A2247" s="9"/>
      <c r="B2247" s="135">
        <v>15.58</v>
      </c>
      <c r="C2247" s="135"/>
    </row>
    <row r="2248" spans="1:3" x14ac:dyDescent="0.2">
      <c r="A2248" s="9"/>
      <c r="B2248" s="135">
        <v>15.59</v>
      </c>
      <c r="C2248" s="135"/>
    </row>
    <row r="2249" spans="1:3" x14ac:dyDescent="0.2">
      <c r="A2249" s="9"/>
      <c r="B2249" s="135">
        <v>15.6</v>
      </c>
      <c r="C2249" s="135"/>
    </row>
    <row r="2250" spans="1:3" x14ac:dyDescent="0.2">
      <c r="A2250" s="9"/>
      <c r="B2250" s="135">
        <v>15.61</v>
      </c>
      <c r="C2250" s="135"/>
    </row>
    <row r="2251" spans="1:3" x14ac:dyDescent="0.2">
      <c r="A2251" s="9"/>
      <c r="B2251" s="135">
        <v>15.62</v>
      </c>
      <c r="C2251" s="135"/>
    </row>
    <row r="2252" spans="1:3" x14ac:dyDescent="0.2">
      <c r="A2252" s="9"/>
      <c r="B2252" s="135">
        <v>15.63</v>
      </c>
      <c r="C2252" s="135"/>
    </row>
    <row r="2253" spans="1:3" x14ac:dyDescent="0.2">
      <c r="A2253" s="9"/>
      <c r="B2253" s="135">
        <v>15.64</v>
      </c>
      <c r="C2253" s="135"/>
    </row>
    <row r="2254" spans="1:3" x14ac:dyDescent="0.2">
      <c r="A2254" s="9"/>
      <c r="B2254" s="135">
        <v>15.65</v>
      </c>
      <c r="C2254" s="135"/>
    </row>
    <row r="2255" spans="1:3" x14ac:dyDescent="0.2">
      <c r="A2255" s="9"/>
      <c r="B2255" s="135">
        <v>15.66</v>
      </c>
      <c r="C2255" s="135"/>
    </row>
    <row r="2256" spans="1:3" x14ac:dyDescent="0.2">
      <c r="A2256" s="9"/>
      <c r="B2256" s="135">
        <v>15.67</v>
      </c>
      <c r="C2256" s="135"/>
    </row>
    <row r="2257" spans="1:3" x14ac:dyDescent="0.2">
      <c r="A2257" s="9"/>
      <c r="B2257" s="135">
        <v>15.68</v>
      </c>
      <c r="C2257" s="135"/>
    </row>
    <row r="2258" spans="1:3" x14ac:dyDescent="0.2">
      <c r="A2258" s="9"/>
      <c r="B2258" s="135">
        <v>15.69</v>
      </c>
      <c r="C2258" s="135"/>
    </row>
    <row r="2259" spans="1:3" x14ac:dyDescent="0.2">
      <c r="A2259" s="9"/>
      <c r="B2259" s="135">
        <v>15.7</v>
      </c>
      <c r="C2259" s="135"/>
    </row>
    <row r="2260" spans="1:3" x14ac:dyDescent="0.2">
      <c r="A2260" s="9"/>
      <c r="B2260" s="135">
        <v>15.71</v>
      </c>
      <c r="C2260" s="135"/>
    </row>
    <row r="2261" spans="1:3" x14ac:dyDescent="0.2">
      <c r="A2261" s="9"/>
      <c r="B2261" s="135">
        <v>15.72</v>
      </c>
      <c r="C2261" s="135"/>
    </row>
    <row r="2262" spans="1:3" x14ac:dyDescent="0.2">
      <c r="A2262" s="9"/>
      <c r="B2262" s="135">
        <v>15.73</v>
      </c>
      <c r="C2262" s="135"/>
    </row>
    <row r="2263" spans="1:3" x14ac:dyDescent="0.2">
      <c r="A2263" s="9"/>
      <c r="B2263" s="135">
        <v>15.74</v>
      </c>
      <c r="C2263" s="135"/>
    </row>
    <row r="2264" spans="1:3" x14ac:dyDescent="0.2">
      <c r="A2264" s="9"/>
      <c r="B2264" s="135">
        <v>15.75</v>
      </c>
      <c r="C2264" s="135"/>
    </row>
    <row r="2265" spans="1:3" x14ac:dyDescent="0.2">
      <c r="A2265" s="9"/>
      <c r="B2265" s="135">
        <v>15.76</v>
      </c>
      <c r="C2265" s="135"/>
    </row>
    <row r="2266" spans="1:3" x14ac:dyDescent="0.2">
      <c r="A2266" s="9"/>
      <c r="B2266" s="135">
        <v>15.77</v>
      </c>
      <c r="C2266" s="135"/>
    </row>
    <row r="2267" spans="1:3" x14ac:dyDescent="0.2">
      <c r="A2267" s="9"/>
      <c r="B2267" s="135">
        <v>15.78</v>
      </c>
      <c r="C2267" s="135"/>
    </row>
    <row r="2268" spans="1:3" x14ac:dyDescent="0.2">
      <c r="A2268" s="9"/>
      <c r="B2268" s="135">
        <v>15.79</v>
      </c>
      <c r="C2268" s="135"/>
    </row>
    <row r="2269" spans="1:3" x14ac:dyDescent="0.2">
      <c r="A2269" s="9"/>
      <c r="B2269" s="135">
        <v>15.8</v>
      </c>
      <c r="C2269" s="135"/>
    </row>
    <row r="2270" spans="1:3" x14ac:dyDescent="0.2">
      <c r="A2270" s="9"/>
      <c r="B2270" s="135">
        <v>15.81</v>
      </c>
      <c r="C2270" s="135"/>
    </row>
    <row r="2271" spans="1:3" x14ac:dyDescent="0.2">
      <c r="A2271" s="9"/>
      <c r="B2271" s="135">
        <v>15.82</v>
      </c>
      <c r="C2271" s="135"/>
    </row>
    <row r="2272" spans="1:3" x14ac:dyDescent="0.2">
      <c r="A2272" s="9"/>
      <c r="B2272" s="135">
        <v>15.83</v>
      </c>
      <c r="C2272" s="135"/>
    </row>
    <row r="2273" spans="1:3" x14ac:dyDescent="0.2">
      <c r="A2273" s="9"/>
      <c r="B2273" s="135">
        <v>15.84</v>
      </c>
      <c r="C2273" s="135"/>
    </row>
    <row r="2274" spans="1:3" x14ac:dyDescent="0.2">
      <c r="A2274" s="9"/>
      <c r="B2274" s="135">
        <v>15.85</v>
      </c>
      <c r="C2274" s="135"/>
    </row>
    <row r="2275" spans="1:3" x14ac:dyDescent="0.2">
      <c r="A2275" s="9"/>
      <c r="B2275" s="135">
        <v>15.86</v>
      </c>
      <c r="C2275" s="135"/>
    </row>
    <row r="2276" spans="1:3" x14ac:dyDescent="0.2">
      <c r="A2276" s="9"/>
      <c r="B2276" s="135">
        <v>15.87</v>
      </c>
      <c r="C2276" s="135"/>
    </row>
    <row r="2277" spans="1:3" x14ac:dyDescent="0.2">
      <c r="A2277" s="9"/>
      <c r="B2277" s="135">
        <v>15.88</v>
      </c>
      <c r="C2277" s="135"/>
    </row>
    <row r="2278" spans="1:3" x14ac:dyDescent="0.2">
      <c r="A2278" s="9"/>
      <c r="B2278" s="135">
        <v>15.89</v>
      </c>
      <c r="C2278" s="135"/>
    </row>
    <row r="2279" spans="1:3" x14ac:dyDescent="0.2">
      <c r="A2279" s="9"/>
      <c r="B2279" s="135">
        <v>15.9</v>
      </c>
      <c r="C2279" s="135"/>
    </row>
    <row r="2280" spans="1:3" x14ac:dyDescent="0.2">
      <c r="A2280" s="9"/>
      <c r="B2280" s="135">
        <v>15.91</v>
      </c>
      <c r="C2280" s="135"/>
    </row>
    <row r="2281" spans="1:3" x14ac:dyDescent="0.2">
      <c r="A2281" s="9"/>
      <c r="B2281" s="135">
        <v>15.92</v>
      </c>
      <c r="C2281" s="135"/>
    </row>
    <row r="2282" spans="1:3" x14ac:dyDescent="0.2">
      <c r="A2282" s="9"/>
      <c r="B2282" s="135">
        <v>15.93</v>
      </c>
      <c r="C2282" s="135"/>
    </row>
    <row r="2283" spans="1:3" x14ac:dyDescent="0.2">
      <c r="A2283" s="9"/>
      <c r="B2283" s="135">
        <v>15.94</v>
      </c>
      <c r="C2283" s="135"/>
    </row>
    <row r="2284" spans="1:3" x14ac:dyDescent="0.2">
      <c r="A2284" s="9"/>
      <c r="B2284" s="135">
        <v>15.95</v>
      </c>
      <c r="C2284" s="135"/>
    </row>
    <row r="2285" spans="1:3" x14ac:dyDescent="0.2">
      <c r="A2285" s="9"/>
      <c r="B2285" s="135">
        <v>15.96</v>
      </c>
      <c r="C2285" s="135"/>
    </row>
    <row r="2286" spans="1:3" x14ac:dyDescent="0.2">
      <c r="A2286" s="9"/>
      <c r="B2286" s="135">
        <v>15.97</v>
      </c>
      <c r="C2286" s="135"/>
    </row>
    <row r="2287" spans="1:3" x14ac:dyDescent="0.2">
      <c r="A2287" s="9"/>
      <c r="B2287" s="135">
        <v>15.98</v>
      </c>
      <c r="C2287" s="135"/>
    </row>
    <row r="2288" spans="1:3" x14ac:dyDescent="0.2">
      <c r="A2288" s="9"/>
      <c r="B2288" s="135">
        <v>15.99</v>
      </c>
      <c r="C2288" s="135"/>
    </row>
    <row r="2289" spans="1:3" x14ac:dyDescent="0.2">
      <c r="A2289" s="9"/>
      <c r="B2289" s="135">
        <v>16</v>
      </c>
      <c r="C2289" s="135"/>
    </row>
    <row r="2290" spans="1:3" x14ac:dyDescent="0.2">
      <c r="A2290" s="9"/>
      <c r="B2290" s="135">
        <v>16.010000000000002</v>
      </c>
      <c r="C2290" s="135"/>
    </row>
    <row r="2291" spans="1:3" x14ac:dyDescent="0.2">
      <c r="A2291" s="9"/>
      <c r="B2291" s="135">
        <v>16.02</v>
      </c>
      <c r="C2291" s="135"/>
    </row>
    <row r="2292" spans="1:3" x14ac:dyDescent="0.2">
      <c r="A2292" s="9"/>
      <c r="B2292" s="135">
        <v>16.03</v>
      </c>
      <c r="C2292" s="135"/>
    </row>
    <row r="2293" spans="1:3" x14ac:dyDescent="0.2">
      <c r="A2293" s="9"/>
      <c r="B2293" s="135">
        <v>16.04</v>
      </c>
      <c r="C2293" s="135"/>
    </row>
    <row r="2294" spans="1:3" x14ac:dyDescent="0.2">
      <c r="A2294" s="9"/>
      <c r="B2294" s="135">
        <v>16.05</v>
      </c>
      <c r="C2294" s="135"/>
    </row>
    <row r="2295" spans="1:3" x14ac:dyDescent="0.2">
      <c r="A2295" s="9"/>
      <c r="B2295" s="135">
        <v>16.059999999999999</v>
      </c>
      <c r="C2295" s="135"/>
    </row>
    <row r="2296" spans="1:3" x14ac:dyDescent="0.2">
      <c r="A2296" s="9"/>
      <c r="B2296" s="135">
        <v>16.07</v>
      </c>
      <c r="C2296" s="135"/>
    </row>
    <row r="2297" spans="1:3" x14ac:dyDescent="0.2">
      <c r="A2297" s="9"/>
      <c r="B2297" s="135">
        <v>16.079999999999998</v>
      </c>
      <c r="C2297" s="135"/>
    </row>
    <row r="2298" spans="1:3" x14ac:dyDescent="0.2">
      <c r="A2298" s="9"/>
      <c r="B2298" s="135">
        <v>16.09</v>
      </c>
      <c r="C2298" s="135"/>
    </row>
    <row r="2299" spans="1:3" x14ac:dyDescent="0.2">
      <c r="A2299" s="9"/>
      <c r="B2299" s="135">
        <v>16.100000000000001</v>
      </c>
      <c r="C2299" s="135"/>
    </row>
    <row r="2300" spans="1:3" x14ac:dyDescent="0.2">
      <c r="A2300" s="9"/>
      <c r="B2300" s="135">
        <v>16.11</v>
      </c>
      <c r="C2300" s="135"/>
    </row>
    <row r="2301" spans="1:3" x14ac:dyDescent="0.2">
      <c r="A2301" s="9"/>
      <c r="B2301" s="135">
        <v>16.12</v>
      </c>
      <c r="C2301" s="135"/>
    </row>
    <row r="2302" spans="1:3" x14ac:dyDescent="0.2">
      <c r="A2302" s="9"/>
      <c r="B2302" s="135">
        <v>16.13</v>
      </c>
      <c r="C2302" s="135"/>
    </row>
    <row r="2303" spans="1:3" x14ac:dyDescent="0.2">
      <c r="A2303" s="9"/>
      <c r="B2303" s="135">
        <v>16.14</v>
      </c>
      <c r="C2303" s="135"/>
    </row>
    <row r="2304" spans="1:3" x14ac:dyDescent="0.2">
      <c r="A2304" s="9"/>
      <c r="B2304" s="135">
        <v>16.149999999999999</v>
      </c>
      <c r="C2304" s="135"/>
    </row>
    <row r="2305" spans="1:3" x14ac:dyDescent="0.2">
      <c r="A2305" s="9"/>
      <c r="B2305" s="135">
        <v>16.16</v>
      </c>
      <c r="C2305" s="135"/>
    </row>
    <row r="2306" spans="1:3" x14ac:dyDescent="0.2">
      <c r="A2306" s="9"/>
      <c r="B2306" s="135">
        <v>16.170000000000002</v>
      </c>
      <c r="C2306" s="135"/>
    </row>
    <row r="2307" spans="1:3" x14ac:dyDescent="0.2">
      <c r="A2307" s="9"/>
      <c r="B2307" s="135">
        <v>16.18</v>
      </c>
      <c r="C2307" s="135"/>
    </row>
    <row r="2308" spans="1:3" x14ac:dyDescent="0.2">
      <c r="A2308" s="9"/>
      <c r="B2308" s="135">
        <v>16.190000000000001</v>
      </c>
      <c r="C2308" s="135"/>
    </row>
    <row r="2309" spans="1:3" x14ac:dyDescent="0.2">
      <c r="A2309" s="9"/>
      <c r="B2309" s="135">
        <v>16.2</v>
      </c>
      <c r="C2309" s="135"/>
    </row>
    <row r="2310" spans="1:3" x14ac:dyDescent="0.2">
      <c r="A2310" s="9"/>
      <c r="B2310" s="135">
        <v>16.21</v>
      </c>
      <c r="C2310" s="135"/>
    </row>
    <row r="2311" spans="1:3" x14ac:dyDescent="0.2">
      <c r="A2311" s="9"/>
      <c r="B2311" s="135">
        <v>16.22</v>
      </c>
      <c r="C2311" s="135"/>
    </row>
    <row r="2312" spans="1:3" x14ac:dyDescent="0.2">
      <c r="A2312" s="9"/>
      <c r="B2312" s="135">
        <v>16.23</v>
      </c>
      <c r="C2312" s="135"/>
    </row>
    <row r="2313" spans="1:3" x14ac:dyDescent="0.2">
      <c r="A2313" s="9"/>
      <c r="B2313" s="135">
        <v>16.239999999999998</v>
      </c>
      <c r="C2313" s="135"/>
    </row>
    <row r="2314" spans="1:3" x14ac:dyDescent="0.2">
      <c r="A2314" s="9"/>
      <c r="B2314" s="135">
        <v>16.25</v>
      </c>
      <c r="C2314" s="135"/>
    </row>
    <row r="2315" spans="1:3" x14ac:dyDescent="0.2">
      <c r="A2315" s="9"/>
      <c r="B2315" s="135">
        <v>16.260000000000002</v>
      </c>
      <c r="C2315" s="135"/>
    </row>
    <row r="2316" spans="1:3" x14ac:dyDescent="0.2">
      <c r="A2316" s="9"/>
      <c r="B2316" s="135">
        <v>16.27</v>
      </c>
      <c r="C2316" s="135"/>
    </row>
    <row r="2317" spans="1:3" x14ac:dyDescent="0.2">
      <c r="A2317" s="9"/>
      <c r="B2317" s="135">
        <v>16.28</v>
      </c>
      <c r="C2317" s="135"/>
    </row>
    <row r="2318" spans="1:3" x14ac:dyDescent="0.2">
      <c r="A2318" s="9"/>
      <c r="B2318" s="135">
        <v>16.29</v>
      </c>
      <c r="C2318" s="135"/>
    </row>
    <row r="2319" spans="1:3" x14ac:dyDescent="0.2">
      <c r="A2319" s="9"/>
      <c r="B2319" s="135">
        <v>16.3</v>
      </c>
      <c r="C2319" s="135"/>
    </row>
    <row r="2320" spans="1:3" x14ac:dyDescent="0.2">
      <c r="A2320" s="9"/>
      <c r="B2320" s="135">
        <v>16.309999999999999</v>
      </c>
      <c r="C2320" s="135"/>
    </row>
    <row r="2321" spans="1:3" x14ac:dyDescent="0.2">
      <c r="A2321" s="9"/>
      <c r="B2321" s="135">
        <v>16.32</v>
      </c>
      <c r="C2321" s="135"/>
    </row>
    <row r="2322" spans="1:3" x14ac:dyDescent="0.2">
      <c r="A2322" s="9"/>
      <c r="B2322" s="135">
        <v>16.329999999999998</v>
      </c>
      <c r="C2322" s="135"/>
    </row>
    <row r="2323" spans="1:3" x14ac:dyDescent="0.2">
      <c r="A2323" s="9"/>
      <c r="B2323" s="135">
        <v>16.34</v>
      </c>
      <c r="C2323" s="135"/>
    </row>
    <row r="2324" spans="1:3" x14ac:dyDescent="0.2">
      <c r="A2324" s="9"/>
      <c r="B2324" s="135">
        <v>16.350000000000001</v>
      </c>
      <c r="C2324" s="135"/>
    </row>
    <row r="2325" spans="1:3" x14ac:dyDescent="0.2">
      <c r="A2325" s="9"/>
      <c r="B2325" s="135">
        <v>16.36</v>
      </c>
      <c r="C2325" s="135"/>
    </row>
    <row r="2326" spans="1:3" x14ac:dyDescent="0.2">
      <c r="A2326" s="9"/>
      <c r="B2326" s="135">
        <v>16.37</v>
      </c>
      <c r="C2326" s="135"/>
    </row>
    <row r="2327" spans="1:3" x14ac:dyDescent="0.2">
      <c r="A2327" s="9"/>
      <c r="B2327" s="135">
        <v>16.38</v>
      </c>
      <c r="C2327" s="135"/>
    </row>
    <row r="2328" spans="1:3" x14ac:dyDescent="0.2">
      <c r="A2328" s="9"/>
      <c r="B2328" s="135">
        <v>16.39</v>
      </c>
      <c r="C2328" s="135"/>
    </row>
    <row r="2329" spans="1:3" x14ac:dyDescent="0.2">
      <c r="A2329" s="9"/>
      <c r="B2329" s="135">
        <v>16.399999999999999</v>
      </c>
      <c r="C2329" s="135"/>
    </row>
    <row r="2330" spans="1:3" x14ac:dyDescent="0.2">
      <c r="A2330" s="9"/>
      <c r="B2330" s="135">
        <v>16.41</v>
      </c>
      <c r="C2330" s="135"/>
    </row>
    <row r="2331" spans="1:3" x14ac:dyDescent="0.2">
      <c r="A2331" s="9"/>
      <c r="B2331" s="135">
        <v>16.420000000000002</v>
      </c>
      <c r="C2331" s="135"/>
    </row>
    <row r="2332" spans="1:3" x14ac:dyDescent="0.2">
      <c r="A2332" s="9"/>
      <c r="B2332" s="135">
        <v>16.43</v>
      </c>
      <c r="C2332" s="135"/>
    </row>
    <row r="2333" spans="1:3" x14ac:dyDescent="0.2">
      <c r="A2333" s="9"/>
      <c r="B2333" s="135">
        <v>16.440000000000001</v>
      </c>
      <c r="C2333" s="135"/>
    </row>
    <row r="2334" spans="1:3" x14ac:dyDescent="0.2">
      <c r="A2334" s="9"/>
      <c r="B2334" s="135">
        <v>16.45</v>
      </c>
      <c r="C2334" s="135"/>
    </row>
    <row r="2335" spans="1:3" x14ac:dyDescent="0.2">
      <c r="A2335" s="9"/>
      <c r="B2335" s="135">
        <v>16.46</v>
      </c>
      <c r="C2335" s="135"/>
    </row>
    <row r="2336" spans="1:3" x14ac:dyDescent="0.2">
      <c r="A2336" s="9"/>
      <c r="B2336" s="135">
        <v>16.47</v>
      </c>
      <c r="C2336" s="135"/>
    </row>
    <row r="2337" spans="1:3" x14ac:dyDescent="0.2">
      <c r="A2337" s="9"/>
      <c r="B2337" s="135">
        <v>16.48</v>
      </c>
      <c r="C2337" s="135"/>
    </row>
    <row r="2338" spans="1:3" x14ac:dyDescent="0.2">
      <c r="A2338" s="9"/>
      <c r="B2338" s="135">
        <v>16.489999999999998</v>
      </c>
      <c r="C2338" s="135"/>
    </row>
    <row r="2339" spans="1:3" x14ac:dyDescent="0.2">
      <c r="A2339" s="9"/>
      <c r="B2339" s="135">
        <v>16.5</v>
      </c>
      <c r="C2339" s="135"/>
    </row>
    <row r="2340" spans="1:3" x14ac:dyDescent="0.2">
      <c r="A2340" s="9"/>
      <c r="B2340" s="135">
        <v>16.510000000000002</v>
      </c>
      <c r="C2340" s="135"/>
    </row>
    <row r="2341" spans="1:3" x14ac:dyDescent="0.2">
      <c r="A2341" s="9"/>
      <c r="B2341" s="135">
        <v>16.52</v>
      </c>
      <c r="C2341" s="135"/>
    </row>
    <row r="2342" spans="1:3" x14ac:dyDescent="0.2">
      <c r="A2342" s="9"/>
      <c r="B2342" s="135">
        <v>16.53</v>
      </c>
      <c r="C2342" s="135"/>
    </row>
    <row r="2343" spans="1:3" x14ac:dyDescent="0.2">
      <c r="A2343" s="9"/>
      <c r="B2343" s="135">
        <v>16.54</v>
      </c>
      <c r="C2343" s="135"/>
    </row>
    <row r="2344" spans="1:3" x14ac:dyDescent="0.2">
      <c r="A2344" s="9"/>
      <c r="B2344" s="135">
        <v>16.55</v>
      </c>
      <c r="C2344" s="135"/>
    </row>
    <row r="2345" spans="1:3" x14ac:dyDescent="0.2">
      <c r="A2345" s="9"/>
      <c r="B2345" s="135">
        <v>16.559999999999999</v>
      </c>
      <c r="C2345" s="135"/>
    </row>
    <row r="2346" spans="1:3" x14ac:dyDescent="0.2">
      <c r="A2346" s="9"/>
      <c r="B2346" s="135">
        <v>16.57</v>
      </c>
      <c r="C2346" s="135"/>
    </row>
    <row r="2347" spans="1:3" x14ac:dyDescent="0.2">
      <c r="A2347" s="9"/>
      <c r="B2347" s="135">
        <v>16.579999999999998</v>
      </c>
      <c r="C2347" s="135"/>
    </row>
    <row r="2348" spans="1:3" x14ac:dyDescent="0.2">
      <c r="A2348" s="9"/>
      <c r="B2348" s="135">
        <v>16.59</v>
      </c>
      <c r="C2348" s="135"/>
    </row>
    <row r="2349" spans="1:3" x14ac:dyDescent="0.2">
      <c r="A2349" s="9"/>
      <c r="B2349" s="135">
        <v>16.600000000000001</v>
      </c>
      <c r="C2349" s="135"/>
    </row>
    <row r="2350" spans="1:3" x14ac:dyDescent="0.2">
      <c r="A2350" s="9"/>
      <c r="B2350" s="135">
        <v>16.61</v>
      </c>
      <c r="C2350" s="135"/>
    </row>
    <row r="2351" spans="1:3" x14ac:dyDescent="0.2">
      <c r="A2351" s="9"/>
      <c r="B2351" s="135">
        <v>16.62</v>
      </c>
      <c r="C2351" s="135"/>
    </row>
    <row r="2352" spans="1:3" x14ac:dyDescent="0.2">
      <c r="A2352" s="9"/>
      <c r="B2352" s="135">
        <v>16.63</v>
      </c>
      <c r="C2352" s="135"/>
    </row>
    <row r="2353" spans="1:3" x14ac:dyDescent="0.2">
      <c r="A2353" s="9"/>
      <c r="B2353" s="135">
        <v>16.64</v>
      </c>
      <c r="C2353" s="135"/>
    </row>
    <row r="2354" spans="1:3" x14ac:dyDescent="0.2">
      <c r="A2354" s="9"/>
      <c r="B2354" s="135">
        <v>16.649999999999999</v>
      </c>
      <c r="C2354" s="135"/>
    </row>
    <row r="2355" spans="1:3" x14ac:dyDescent="0.2">
      <c r="A2355" s="9"/>
      <c r="B2355" s="135">
        <v>16.66</v>
      </c>
      <c r="C2355" s="135"/>
    </row>
    <row r="2356" spans="1:3" x14ac:dyDescent="0.2">
      <c r="A2356" s="9"/>
      <c r="B2356" s="135">
        <v>16.670000000000002</v>
      </c>
      <c r="C2356" s="135"/>
    </row>
    <row r="2357" spans="1:3" x14ac:dyDescent="0.2">
      <c r="A2357" s="9"/>
      <c r="B2357" s="135">
        <v>16.68</v>
      </c>
      <c r="C2357" s="135"/>
    </row>
    <row r="2358" spans="1:3" x14ac:dyDescent="0.2">
      <c r="A2358" s="9"/>
      <c r="B2358" s="135">
        <v>16.690000000000001</v>
      </c>
      <c r="C2358" s="135"/>
    </row>
    <row r="2359" spans="1:3" x14ac:dyDescent="0.2">
      <c r="A2359" s="9"/>
      <c r="B2359" s="135">
        <v>16.7</v>
      </c>
      <c r="C2359" s="135"/>
    </row>
    <row r="2360" spans="1:3" x14ac:dyDescent="0.2">
      <c r="A2360" s="9"/>
      <c r="B2360" s="135">
        <v>16.71</v>
      </c>
      <c r="C2360" s="135"/>
    </row>
    <row r="2361" spans="1:3" x14ac:dyDescent="0.2">
      <c r="A2361" s="9"/>
      <c r="B2361" s="135">
        <v>16.72</v>
      </c>
      <c r="C2361" s="135"/>
    </row>
    <row r="2362" spans="1:3" x14ac:dyDescent="0.2">
      <c r="A2362" s="9"/>
      <c r="B2362" s="135">
        <v>16.73</v>
      </c>
      <c r="C2362" s="135"/>
    </row>
    <row r="2363" spans="1:3" x14ac:dyDescent="0.2">
      <c r="A2363" s="9"/>
      <c r="B2363" s="135">
        <v>16.739999999999998</v>
      </c>
      <c r="C2363" s="135"/>
    </row>
    <row r="2364" spans="1:3" x14ac:dyDescent="0.2">
      <c r="A2364" s="9"/>
      <c r="B2364" s="135">
        <v>16.75</v>
      </c>
      <c r="C2364" s="135"/>
    </row>
    <row r="2365" spans="1:3" x14ac:dyDescent="0.2">
      <c r="A2365" s="9"/>
      <c r="B2365" s="135">
        <v>16.760000000000002</v>
      </c>
      <c r="C2365" s="135"/>
    </row>
    <row r="2366" spans="1:3" x14ac:dyDescent="0.2">
      <c r="A2366" s="9"/>
      <c r="B2366" s="135">
        <v>16.77</v>
      </c>
      <c r="C2366" s="135"/>
    </row>
    <row r="2367" spans="1:3" x14ac:dyDescent="0.2">
      <c r="A2367" s="9"/>
      <c r="B2367" s="135">
        <v>16.78</v>
      </c>
      <c r="C2367" s="135"/>
    </row>
    <row r="2368" spans="1:3" x14ac:dyDescent="0.2">
      <c r="A2368" s="9"/>
      <c r="B2368" s="135">
        <v>16.79</v>
      </c>
      <c r="C2368" s="135"/>
    </row>
    <row r="2369" spans="1:3" x14ac:dyDescent="0.2">
      <c r="A2369" s="9"/>
      <c r="B2369" s="135">
        <v>16.8</v>
      </c>
      <c r="C2369" s="135"/>
    </row>
    <row r="2370" spans="1:3" x14ac:dyDescent="0.2">
      <c r="A2370" s="9"/>
      <c r="B2370" s="135">
        <v>16.809999999999999</v>
      </c>
      <c r="C2370" s="135"/>
    </row>
    <row r="2371" spans="1:3" x14ac:dyDescent="0.2">
      <c r="A2371" s="9"/>
      <c r="B2371" s="135">
        <v>16.82</v>
      </c>
      <c r="C2371" s="135"/>
    </row>
    <row r="2372" spans="1:3" x14ac:dyDescent="0.2">
      <c r="A2372" s="9"/>
      <c r="B2372" s="135">
        <v>16.829999999999998</v>
      </c>
      <c r="C2372" s="135"/>
    </row>
    <row r="2373" spans="1:3" x14ac:dyDescent="0.2">
      <c r="A2373" s="9"/>
      <c r="B2373" s="135">
        <v>16.84</v>
      </c>
      <c r="C2373" s="135"/>
    </row>
    <row r="2374" spans="1:3" x14ac:dyDescent="0.2">
      <c r="A2374" s="9"/>
      <c r="B2374" s="135">
        <v>16.850000000000001</v>
      </c>
      <c r="C2374" s="135"/>
    </row>
    <row r="2375" spans="1:3" x14ac:dyDescent="0.2">
      <c r="A2375" s="9"/>
      <c r="B2375" s="135">
        <v>16.86</v>
      </c>
      <c r="C2375" s="135"/>
    </row>
    <row r="2376" spans="1:3" x14ac:dyDescent="0.2">
      <c r="A2376" s="9"/>
      <c r="B2376" s="135">
        <v>16.87</v>
      </c>
      <c r="C2376" s="135"/>
    </row>
    <row r="2377" spans="1:3" x14ac:dyDescent="0.2">
      <c r="A2377" s="9"/>
      <c r="B2377" s="135">
        <v>16.88</v>
      </c>
      <c r="C2377" s="135"/>
    </row>
    <row r="2378" spans="1:3" x14ac:dyDescent="0.2">
      <c r="A2378" s="9"/>
      <c r="B2378" s="135">
        <v>16.89</v>
      </c>
      <c r="C2378" s="135"/>
    </row>
    <row r="2379" spans="1:3" x14ac:dyDescent="0.2">
      <c r="A2379" s="9"/>
      <c r="B2379" s="135">
        <v>16.899999999999999</v>
      </c>
      <c r="C2379" s="135"/>
    </row>
    <row r="2380" spans="1:3" x14ac:dyDescent="0.2">
      <c r="A2380" s="9"/>
      <c r="B2380" s="135">
        <v>16.91</v>
      </c>
      <c r="C2380" s="135"/>
    </row>
    <row r="2381" spans="1:3" x14ac:dyDescent="0.2">
      <c r="A2381" s="9"/>
      <c r="B2381" s="135">
        <v>16.920000000000002</v>
      </c>
      <c r="C2381" s="135"/>
    </row>
    <row r="2382" spans="1:3" x14ac:dyDescent="0.2">
      <c r="A2382" s="9"/>
      <c r="B2382" s="135">
        <v>16.93</v>
      </c>
      <c r="C2382" s="135"/>
    </row>
    <row r="2383" spans="1:3" x14ac:dyDescent="0.2">
      <c r="A2383" s="9"/>
      <c r="B2383" s="135">
        <v>16.940000000000001</v>
      </c>
      <c r="C2383" s="135"/>
    </row>
    <row r="2384" spans="1:3" x14ac:dyDescent="0.2">
      <c r="A2384" s="9"/>
      <c r="B2384" s="135">
        <v>16.95</v>
      </c>
      <c r="C2384" s="135"/>
    </row>
    <row r="2385" spans="1:3" x14ac:dyDescent="0.2">
      <c r="A2385" s="9"/>
      <c r="B2385" s="135">
        <v>16.96</v>
      </c>
      <c r="C2385" s="135"/>
    </row>
    <row r="2386" spans="1:3" x14ac:dyDescent="0.2">
      <c r="A2386" s="9"/>
      <c r="B2386" s="135">
        <v>16.97</v>
      </c>
      <c r="C2386" s="135"/>
    </row>
    <row r="2387" spans="1:3" x14ac:dyDescent="0.2">
      <c r="A2387" s="9"/>
      <c r="B2387" s="135">
        <v>16.98</v>
      </c>
      <c r="C2387" s="135"/>
    </row>
    <row r="2388" spans="1:3" x14ac:dyDescent="0.2">
      <c r="A2388" s="9"/>
      <c r="B2388" s="135">
        <v>16.989999999999998</v>
      </c>
      <c r="C2388" s="135"/>
    </row>
    <row r="2389" spans="1:3" x14ac:dyDescent="0.2">
      <c r="A2389" s="9"/>
      <c r="B2389" s="135">
        <v>17</v>
      </c>
      <c r="C2389" s="135"/>
    </row>
    <row r="2390" spans="1:3" x14ac:dyDescent="0.2">
      <c r="A2390" s="9"/>
      <c r="B2390" s="135">
        <v>17.010000000000002</v>
      </c>
      <c r="C2390" s="135"/>
    </row>
    <row r="2391" spans="1:3" x14ac:dyDescent="0.2">
      <c r="A2391" s="9"/>
      <c r="B2391" s="135">
        <v>17.02</v>
      </c>
      <c r="C2391" s="135"/>
    </row>
    <row r="2392" spans="1:3" x14ac:dyDescent="0.2">
      <c r="A2392" s="9"/>
      <c r="B2392" s="135">
        <v>17.03</v>
      </c>
      <c r="C2392" s="135"/>
    </row>
    <row r="2393" spans="1:3" x14ac:dyDescent="0.2">
      <c r="A2393" s="9"/>
      <c r="B2393" s="135">
        <v>17.04</v>
      </c>
      <c r="C2393" s="135"/>
    </row>
    <row r="2394" spans="1:3" x14ac:dyDescent="0.2">
      <c r="A2394" s="9"/>
      <c r="B2394" s="135">
        <v>17.05</v>
      </c>
      <c r="C2394" s="135"/>
    </row>
    <row r="2395" spans="1:3" x14ac:dyDescent="0.2">
      <c r="A2395" s="9"/>
      <c r="B2395" s="135">
        <v>17.059999999999999</v>
      </c>
      <c r="C2395" s="135"/>
    </row>
    <row r="2396" spans="1:3" x14ac:dyDescent="0.2">
      <c r="A2396" s="9"/>
      <c r="B2396" s="135">
        <v>17.07</v>
      </c>
      <c r="C2396" s="135"/>
    </row>
    <row r="2397" spans="1:3" x14ac:dyDescent="0.2">
      <c r="A2397" s="9"/>
      <c r="B2397" s="135">
        <v>17.079999999999998</v>
      </c>
      <c r="C2397" s="135"/>
    </row>
    <row r="2398" spans="1:3" x14ac:dyDescent="0.2">
      <c r="A2398" s="9"/>
      <c r="B2398" s="135">
        <v>17.09</v>
      </c>
      <c r="C2398" s="135"/>
    </row>
    <row r="2399" spans="1:3" x14ac:dyDescent="0.2">
      <c r="A2399" s="9"/>
      <c r="B2399" s="135">
        <v>17.100000000000001</v>
      </c>
      <c r="C2399" s="135"/>
    </row>
    <row r="2400" spans="1:3" x14ac:dyDescent="0.2">
      <c r="A2400" s="9"/>
      <c r="B2400" s="135">
        <v>17.11</v>
      </c>
      <c r="C2400" s="135"/>
    </row>
    <row r="2401" spans="1:3" x14ac:dyDescent="0.2">
      <c r="A2401" s="9"/>
      <c r="B2401" s="135">
        <v>17.12</v>
      </c>
      <c r="C2401" s="135"/>
    </row>
    <row r="2402" spans="1:3" x14ac:dyDescent="0.2">
      <c r="A2402" s="9"/>
      <c r="B2402" s="135">
        <v>17.13</v>
      </c>
      <c r="C2402" s="135"/>
    </row>
    <row r="2403" spans="1:3" x14ac:dyDescent="0.2">
      <c r="A2403" s="9"/>
      <c r="B2403" s="135">
        <v>17.14</v>
      </c>
      <c r="C2403" s="135"/>
    </row>
    <row r="2404" spans="1:3" x14ac:dyDescent="0.2">
      <c r="A2404" s="9"/>
      <c r="B2404" s="135">
        <v>17.149999999999999</v>
      </c>
      <c r="C2404" s="135"/>
    </row>
    <row r="2405" spans="1:3" x14ac:dyDescent="0.2">
      <c r="A2405" s="9"/>
      <c r="B2405" s="135">
        <v>17.16</v>
      </c>
      <c r="C2405" s="135"/>
    </row>
    <row r="2406" spans="1:3" x14ac:dyDescent="0.2">
      <c r="A2406" s="9"/>
      <c r="B2406" s="135">
        <v>17.170000000000002</v>
      </c>
      <c r="C2406" s="135"/>
    </row>
    <row r="2407" spans="1:3" x14ac:dyDescent="0.2">
      <c r="A2407" s="9"/>
      <c r="B2407" s="135">
        <v>17.18</v>
      </c>
      <c r="C2407" s="135"/>
    </row>
    <row r="2408" spans="1:3" x14ac:dyDescent="0.2">
      <c r="A2408" s="9"/>
      <c r="B2408" s="135">
        <v>17.190000000000001</v>
      </c>
      <c r="C2408" s="135"/>
    </row>
    <row r="2409" spans="1:3" x14ac:dyDescent="0.2">
      <c r="A2409" s="9"/>
      <c r="B2409" s="135">
        <v>17.2</v>
      </c>
      <c r="C2409" s="135"/>
    </row>
    <row r="2410" spans="1:3" x14ac:dyDescent="0.2">
      <c r="A2410" s="9"/>
      <c r="B2410" s="135">
        <v>17.21</v>
      </c>
      <c r="C2410" s="135"/>
    </row>
    <row r="2411" spans="1:3" x14ac:dyDescent="0.2">
      <c r="A2411" s="9"/>
      <c r="B2411" s="135">
        <v>17.22</v>
      </c>
      <c r="C2411" s="135"/>
    </row>
    <row r="2412" spans="1:3" x14ac:dyDescent="0.2">
      <c r="A2412" s="9"/>
      <c r="B2412" s="135">
        <v>17.23</v>
      </c>
      <c r="C2412" s="135"/>
    </row>
    <row r="2413" spans="1:3" x14ac:dyDescent="0.2">
      <c r="A2413" s="9"/>
      <c r="B2413" s="135">
        <v>17.239999999999998</v>
      </c>
      <c r="C2413" s="135"/>
    </row>
    <row r="2414" spans="1:3" x14ac:dyDescent="0.2">
      <c r="A2414" s="9"/>
      <c r="B2414" s="135">
        <v>17.25</v>
      </c>
      <c r="C2414" s="135"/>
    </row>
    <row r="2415" spans="1:3" x14ac:dyDescent="0.2">
      <c r="A2415" s="9"/>
      <c r="B2415" s="135">
        <v>17.260000000000002</v>
      </c>
      <c r="C2415" s="135"/>
    </row>
    <row r="2416" spans="1:3" x14ac:dyDescent="0.2">
      <c r="A2416" s="9"/>
      <c r="B2416" s="135">
        <v>17.27</v>
      </c>
      <c r="C2416" s="135"/>
    </row>
    <row r="2417" spans="1:3" x14ac:dyDescent="0.2">
      <c r="A2417" s="9"/>
      <c r="B2417" s="135">
        <v>17.28</v>
      </c>
      <c r="C2417" s="135"/>
    </row>
    <row r="2418" spans="1:3" x14ac:dyDescent="0.2">
      <c r="A2418" s="9"/>
      <c r="B2418" s="135">
        <v>17.29</v>
      </c>
      <c r="C2418" s="135"/>
    </row>
    <row r="2419" spans="1:3" x14ac:dyDescent="0.2">
      <c r="A2419" s="9"/>
      <c r="B2419" s="135">
        <v>17.3</v>
      </c>
      <c r="C2419" s="135"/>
    </row>
    <row r="2420" spans="1:3" x14ac:dyDescent="0.2">
      <c r="A2420" s="9"/>
      <c r="B2420" s="135">
        <v>17.309999999999999</v>
      </c>
      <c r="C2420" s="135"/>
    </row>
    <row r="2421" spans="1:3" x14ac:dyDescent="0.2">
      <c r="A2421" s="9"/>
      <c r="B2421" s="135">
        <v>17.32</v>
      </c>
      <c r="C2421" s="135"/>
    </row>
    <row r="2422" spans="1:3" x14ac:dyDescent="0.2">
      <c r="A2422" s="9"/>
      <c r="B2422" s="135">
        <v>17.329999999999998</v>
      </c>
      <c r="C2422" s="135"/>
    </row>
    <row r="2423" spans="1:3" x14ac:dyDescent="0.2">
      <c r="A2423" s="9"/>
      <c r="B2423" s="135">
        <v>17.34</v>
      </c>
      <c r="C2423" s="135"/>
    </row>
    <row r="2424" spans="1:3" x14ac:dyDescent="0.2">
      <c r="A2424" s="9"/>
      <c r="B2424" s="135">
        <v>17.350000000000001</v>
      </c>
      <c r="C2424" s="135"/>
    </row>
    <row r="2425" spans="1:3" x14ac:dyDescent="0.2">
      <c r="A2425" s="9"/>
      <c r="B2425" s="135">
        <v>17.36</v>
      </c>
      <c r="C2425" s="135"/>
    </row>
    <row r="2426" spans="1:3" x14ac:dyDescent="0.2">
      <c r="A2426" s="9"/>
      <c r="B2426" s="135">
        <v>17.37</v>
      </c>
      <c r="C2426" s="135"/>
    </row>
    <row r="2427" spans="1:3" x14ac:dyDescent="0.2">
      <c r="A2427" s="9"/>
      <c r="B2427" s="135">
        <v>17.38</v>
      </c>
      <c r="C2427" s="135"/>
    </row>
    <row r="2428" spans="1:3" x14ac:dyDescent="0.2">
      <c r="A2428" s="9"/>
      <c r="B2428" s="135">
        <v>17.39</v>
      </c>
      <c r="C2428" s="135"/>
    </row>
    <row r="2429" spans="1:3" x14ac:dyDescent="0.2">
      <c r="A2429" s="9"/>
      <c r="B2429" s="135">
        <v>17.399999999999999</v>
      </c>
      <c r="C2429" s="135"/>
    </row>
    <row r="2430" spans="1:3" x14ac:dyDescent="0.2">
      <c r="A2430" s="9"/>
      <c r="B2430" s="135">
        <v>17.41</v>
      </c>
      <c r="C2430" s="135"/>
    </row>
    <row r="2431" spans="1:3" x14ac:dyDescent="0.2">
      <c r="A2431" s="9"/>
      <c r="B2431" s="135">
        <v>17.420000000000002</v>
      </c>
      <c r="C2431" s="135"/>
    </row>
    <row r="2432" spans="1:3" x14ac:dyDescent="0.2">
      <c r="A2432" s="9"/>
      <c r="B2432" s="135">
        <v>17.43</v>
      </c>
      <c r="C2432" s="135"/>
    </row>
    <row r="2433" spans="1:3" x14ac:dyDescent="0.2">
      <c r="A2433" s="9"/>
      <c r="B2433" s="135">
        <v>17.440000000000001</v>
      </c>
      <c r="C2433" s="135"/>
    </row>
    <row r="2434" spans="1:3" x14ac:dyDescent="0.2">
      <c r="A2434" s="9"/>
      <c r="B2434" s="135">
        <v>17.45</v>
      </c>
      <c r="C2434" s="135"/>
    </row>
    <row r="2435" spans="1:3" x14ac:dyDescent="0.2">
      <c r="A2435" s="9"/>
      <c r="B2435" s="135">
        <v>17.46</v>
      </c>
      <c r="C2435" s="135"/>
    </row>
    <row r="2436" spans="1:3" x14ac:dyDescent="0.2">
      <c r="A2436" s="9"/>
      <c r="B2436" s="135">
        <v>17.47</v>
      </c>
      <c r="C2436" s="135"/>
    </row>
    <row r="2437" spans="1:3" x14ac:dyDescent="0.2">
      <c r="A2437" s="9"/>
      <c r="B2437" s="135">
        <v>17.48</v>
      </c>
      <c r="C2437" s="135"/>
    </row>
    <row r="2438" spans="1:3" x14ac:dyDescent="0.2">
      <c r="A2438" s="9"/>
      <c r="B2438" s="135">
        <v>17.489999999999998</v>
      </c>
      <c r="C2438" s="135"/>
    </row>
    <row r="2439" spans="1:3" x14ac:dyDescent="0.2">
      <c r="A2439" s="9"/>
      <c r="B2439" s="135">
        <v>17.5</v>
      </c>
      <c r="C2439" s="135"/>
    </row>
    <row r="2440" spans="1:3" x14ac:dyDescent="0.2">
      <c r="A2440" s="9"/>
      <c r="B2440" s="135">
        <v>17.510000000000002</v>
      </c>
      <c r="C2440" s="135"/>
    </row>
    <row r="2441" spans="1:3" x14ac:dyDescent="0.2">
      <c r="A2441" s="9"/>
      <c r="B2441" s="135">
        <v>17.52</v>
      </c>
      <c r="C2441" s="135"/>
    </row>
    <row r="2442" spans="1:3" x14ac:dyDescent="0.2">
      <c r="A2442" s="9"/>
      <c r="B2442" s="135">
        <v>17.53</v>
      </c>
      <c r="C2442" s="135"/>
    </row>
    <row r="2443" spans="1:3" x14ac:dyDescent="0.2">
      <c r="A2443" s="9"/>
      <c r="B2443" s="135">
        <v>17.54</v>
      </c>
      <c r="C2443" s="135"/>
    </row>
    <row r="2444" spans="1:3" x14ac:dyDescent="0.2">
      <c r="A2444" s="9"/>
      <c r="B2444" s="135">
        <v>17.55</v>
      </c>
      <c r="C2444" s="135"/>
    </row>
    <row r="2445" spans="1:3" x14ac:dyDescent="0.2">
      <c r="A2445" s="9"/>
      <c r="B2445" s="135">
        <v>17.559999999999999</v>
      </c>
      <c r="C2445" s="135"/>
    </row>
    <row r="2446" spans="1:3" x14ac:dyDescent="0.2">
      <c r="A2446" s="9"/>
      <c r="B2446" s="135">
        <v>17.57</v>
      </c>
      <c r="C2446" s="135"/>
    </row>
    <row r="2447" spans="1:3" x14ac:dyDescent="0.2">
      <c r="A2447" s="9"/>
      <c r="B2447" s="135">
        <v>17.579999999999998</v>
      </c>
      <c r="C2447" s="135"/>
    </row>
    <row r="2448" spans="1:3" x14ac:dyDescent="0.2">
      <c r="A2448" s="9"/>
      <c r="B2448" s="135">
        <v>17.59</v>
      </c>
      <c r="C2448" s="135"/>
    </row>
    <row r="2449" spans="1:3" x14ac:dyDescent="0.2">
      <c r="A2449" s="9"/>
      <c r="B2449" s="135">
        <v>17.600000000000001</v>
      </c>
      <c r="C2449" s="135"/>
    </row>
    <row r="2450" spans="1:3" x14ac:dyDescent="0.2">
      <c r="A2450" s="9"/>
      <c r="B2450" s="135">
        <v>17.61</v>
      </c>
      <c r="C2450" s="135"/>
    </row>
    <row r="2451" spans="1:3" x14ac:dyDescent="0.2">
      <c r="A2451" s="9"/>
      <c r="B2451" s="135">
        <v>17.62</v>
      </c>
      <c r="C2451" s="135"/>
    </row>
    <row r="2452" spans="1:3" x14ac:dyDescent="0.2">
      <c r="A2452" s="9"/>
      <c r="B2452" s="135">
        <v>17.63</v>
      </c>
      <c r="C2452" s="135"/>
    </row>
    <row r="2453" spans="1:3" x14ac:dyDescent="0.2">
      <c r="A2453" s="9"/>
      <c r="B2453" s="135">
        <v>17.64</v>
      </c>
      <c r="C2453" s="135"/>
    </row>
    <row r="2454" spans="1:3" x14ac:dyDescent="0.2">
      <c r="A2454" s="9"/>
      <c r="B2454" s="135">
        <v>17.649999999999999</v>
      </c>
      <c r="C2454" s="135"/>
    </row>
    <row r="2455" spans="1:3" x14ac:dyDescent="0.2">
      <c r="A2455" s="9"/>
      <c r="B2455" s="135">
        <v>17.66</v>
      </c>
      <c r="C2455" s="135"/>
    </row>
    <row r="2456" spans="1:3" x14ac:dyDescent="0.2">
      <c r="A2456" s="9"/>
      <c r="B2456" s="135">
        <v>17.670000000000002</v>
      </c>
      <c r="C2456" s="135"/>
    </row>
    <row r="2457" spans="1:3" x14ac:dyDescent="0.2">
      <c r="A2457" s="9"/>
      <c r="B2457" s="135">
        <v>17.68</v>
      </c>
      <c r="C2457" s="135"/>
    </row>
    <row r="2458" spans="1:3" x14ac:dyDescent="0.2">
      <c r="A2458" s="9"/>
      <c r="B2458" s="135">
        <v>17.690000000000001</v>
      </c>
      <c r="C2458" s="135"/>
    </row>
    <row r="2459" spans="1:3" x14ac:dyDescent="0.2">
      <c r="A2459" s="9"/>
      <c r="B2459" s="135">
        <v>17.7</v>
      </c>
      <c r="C2459" s="135"/>
    </row>
    <row r="2460" spans="1:3" x14ac:dyDescent="0.2">
      <c r="A2460" s="9"/>
      <c r="B2460" s="135">
        <v>17.71</v>
      </c>
      <c r="C2460" s="135"/>
    </row>
    <row r="2461" spans="1:3" x14ac:dyDescent="0.2">
      <c r="A2461" s="9"/>
      <c r="B2461" s="135">
        <v>17.72</v>
      </c>
      <c r="C2461" s="135"/>
    </row>
    <row r="2462" spans="1:3" x14ac:dyDescent="0.2">
      <c r="A2462" s="9"/>
      <c r="B2462" s="135">
        <v>17.73</v>
      </c>
      <c r="C2462" s="135"/>
    </row>
    <row r="2463" spans="1:3" x14ac:dyDescent="0.2">
      <c r="A2463" s="9"/>
      <c r="B2463" s="135">
        <v>17.739999999999998</v>
      </c>
      <c r="C2463" s="135"/>
    </row>
    <row r="2464" spans="1:3" x14ac:dyDescent="0.2">
      <c r="A2464" s="9"/>
      <c r="B2464" s="135">
        <v>17.75</v>
      </c>
      <c r="C2464" s="135"/>
    </row>
    <row r="2465" spans="1:3" x14ac:dyDescent="0.2">
      <c r="A2465" s="9"/>
      <c r="B2465" s="135">
        <v>17.760000000000002</v>
      </c>
      <c r="C2465" s="135"/>
    </row>
    <row r="2466" spans="1:3" x14ac:dyDescent="0.2">
      <c r="A2466" s="9"/>
      <c r="B2466" s="135">
        <v>17.77</v>
      </c>
      <c r="C2466" s="135"/>
    </row>
    <row r="2467" spans="1:3" x14ac:dyDescent="0.2">
      <c r="A2467" s="9"/>
      <c r="B2467" s="135">
        <v>17.78</v>
      </c>
      <c r="C2467" s="135"/>
    </row>
    <row r="2468" spans="1:3" x14ac:dyDescent="0.2">
      <c r="A2468" s="9"/>
      <c r="B2468" s="135">
        <v>17.79</v>
      </c>
      <c r="C2468" s="135"/>
    </row>
    <row r="2469" spans="1:3" x14ac:dyDescent="0.2">
      <c r="A2469" s="9"/>
      <c r="B2469" s="135">
        <v>17.8</v>
      </c>
      <c r="C2469" s="135"/>
    </row>
    <row r="2470" spans="1:3" x14ac:dyDescent="0.2">
      <c r="A2470" s="9"/>
      <c r="B2470" s="135">
        <v>17.809999999999999</v>
      </c>
      <c r="C2470" s="135"/>
    </row>
    <row r="2471" spans="1:3" x14ac:dyDescent="0.2">
      <c r="A2471" s="9"/>
      <c r="B2471" s="135">
        <v>17.82</v>
      </c>
      <c r="C2471" s="135"/>
    </row>
    <row r="2472" spans="1:3" x14ac:dyDescent="0.2">
      <c r="A2472" s="9"/>
      <c r="B2472" s="135">
        <v>17.829999999999998</v>
      </c>
      <c r="C2472" s="135"/>
    </row>
    <row r="2473" spans="1:3" x14ac:dyDescent="0.2">
      <c r="A2473" s="9"/>
      <c r="B2473" s="135">
        <v>17.84</v>
      </c>
      <c r="C2473" s="135"/>
    </row>
    <row r="2474" spans="1:3" x14ac:dyDescent="0.2">
      <c r="A2474" s="9"/>
      <c r="B2474" s="135">
        <v>17.850000000000001</v>
      </c>
      <c r="C2474" s="135"/>
    </row>
    <row r="2475" spans="1:3" x14ac:dyDescent="0.2">
      <c r="A2475" s="9"/>
      <c r="B2475" s="135">
        <v>17.86</v>
      </c>
      <c r="C2475" s="135"/>
    </row>
    <row r="2476" spans="1:3" x14ac:dyDescent="0.2">
      <c r="A2476" s="9"/>
      <c r="B2476" s="135">
        <v>17.87</v>
      </c>
      <c r="C2476" s="135"/>
    </row>
    <row r="2477" spans="1:3" x14ac:dyDescent="0.2">
      <c r="A2477" s="9"/>
      <c r="B2477" s="135">
        <v>17.88</v>
      </c>
      <c r="C2477" s="135"/>
    </row>
    <row r="2478" spans="1:3" x14ac:dyDescent="0.2">
      <c r="A2478" s="9"/>
      <c r="B2478" s="135">
        <v>17.89</v>
      </c>
      <c r="C2478" s="135"/>
    </row>
    <row r="2479" spans="1:3" x14ac:dyDescent="0.2">
      <c r="A2479" s="9"/>
      <c r="B2479" s="135">
        <v>17.899999999999999</v>
      </c>
      <c r="C2479" s="135"/>
    </row>
    <row r="2480" spans="1:3" x14ac:dyDescent="0.2">
      <c r="A2480" s="9"/>
      <c r="B2480" s="135">
        <v>17.91</v>
      </c>
      <c r="C2480" s="135"/>
    </row>
    <row r="2481" spans="1:3" x14ac:dyDescent="0.2">
      <c r="A2481" s="9"/>
      <c r="B2481" s="135">
        <v>17.920000000000002</v>
      </c>
      <c r="C2481" s="135"/>
    </row>
    <row r="2482" spans="1:3" x14ac:dyDescent="0.2">
      <c r="A2482" s="9"/>
      <c r="B2482" s="135">
        <v>17.93</v>
      </c>
      <c r="C2482" s="135"/>
    </row>
    <row r="2483" spans="1:3" x14ac:dyDescent="0.2">
      <c r="A2483" s="9"/>
      <c r="B2483" s="135">
        <v>17.940000000000001</v>
      </c>
      <c r="C2483" s="135"/>
    </row>
    <row r="2484" spans="1:3" x14ac:dyDescent="0.2">
      <c r="A2484" s="9"/>
      <c r="B2484" s="135">
        <v>17.95</v>
      </c>
      <c r="C2484" s="135"/>
    </row>
    <row r="2485" spans="1:3" x14ac:dyDescent="0.2">
      <c r="A2485" s="9"/>
      <c r="B2485" s="135">
        <v>17.96</v>
      </c>
      <c r="C2485" s="135"/>
    </row>
    <row r="2486" spans="1:3" x14ac:dyDescent="0.2">
      <c r="A2486" s="9"/>
      <c r="B2486" s="135">
        <v>17.97</v>
      </c>
      <c r="C2486" s="135"/>
    </row>
    <row r="2487" spans="1:3" x14ac:dyDescent="0.2">
      <c r="A2487" s="9"/>
      <c r="B2487" s="135">
        <v>17.98</v>
      </c>
      <c r="C2487" s="135"/>
    </row>
    <row r="2488" spans="1:3" x14ac:dyDescent="0.2">
      <c r="A2488" s="9"/>
      <c r="B2488" s="135">
        <v>17.989999999999998</v>
      </c>
      <c r="C2488" s="135"/>
    </row>
    <row r="2489" spans="1:3" x14ac:dyDescent="0.2">
      <c r="A2489" s="9"/>
      <c r="B2489" s="135">
        <v>18</v>
      </c>
      <c r="C2489" s="135"/>
    </row>
    <row r="2490" spans="1:3" x14ac:dyDescent="0.2">
      <c r="A2490" s="9"/>
      <c r="B2490" s="135">
        <v>18.010000000000002</v>
      </c>
      <c r="C2490" s="135"/>
    </row>
    <row r="2491" spans="1:3" x14ac:dyDescent="0.2">
      <c r="A2491" s="9"/>
      <c r="B2491" s="135">
        <v>18.02</v>
      </c>
      <c r="C2491" s="135"/>
    </row>
    <row r="2492" spans="1:3" x14ac:dyDescent="0.2">
      <c r="A2492" s="9"/>
      <c r="B2492" s="135">
        <v>18.03</v>
      </c>
      <c r="C2492" s="135"/>
    </row>
    <row r="2493" spans="1:3" x14ac:dyDescent="0.2">
      <c r="A2493" s="9"/>
      <c r="B2493" s="135">
        <v>18.04</v>
      </c>
      <c r="C2493" s="135"/>
    </row>
    <row r="2494" spans="1:3" x14ac:dyDescent="0.2">
      <c r="A2494" s="9"/>
      <c r="B2494" s="135">
        <v>18.05</v>
      </c>
      <c r="C2494" s="135"/>
    </row>
    <row r="2495" spans="1:3" x14ac:dyDescent="0.2">
      <c r="A2495" s="9"/>
      <c r="B2495" s="135">
        <v>18.059999999999999</v>
      </c>
      <c r="C2495" s="135"/>
    </row>
    <row r="2496" spans="1:3" x14ac:dyDescent="0.2">
      <c r="A2496" s="9"/>
      <c r="B2496" s="135">
        <v>18.07</v>
      </c>
      <c r="C2496" s="135"/>
    </row>
    <row r="2497" spans="1:3" x14ac:dyDescent="0.2">
      <c r="A2497" s="9"/>
      <c r="B2497" s="135">
        <v>18.079999999999998</v>
      </c>
      <c r="C2497" s="135"/>
    </row>
    <row r="2498" spans="1:3" x14ac:dyDescent="0.2">
      <c r="A2498" s="9"/>
      <c r="B2498" s="135">
        <v>18.09</v>
      </c>
      <c r="C2498" s="135"/>
    </row>
    <row r="2499" spans="1:3" x14ac:dyDescent="0.2">
      <c r="A2499" s="9"/>
      <c r="B2499" s="135">
        <v>18.100000000000001</v>
      </c>
      <c r="C2499" s="135"/>
    </row>
    <row r="2500" spans="1:3" x14ac:dyDescent="0.2">
      <c r="A2500" s="9"/>
      <c r="B2500" s="135">
        <v>18.11</v>
      </c>
      <c r="C2500" s="135"/>
    </row>
    <row r="2501" spans="1:3" x14ac:dyDescent="0.2">
      <c r="A2501" s="9"/>
      <c r="B2501" s="135">
        <v>18.12</v>
      </c>
      <c r="C2501" s="135"/>
    </row>
    <row r="2502" spans="1:3" x14ac:dyDescent="0.2">
      <c r="A2502" s="9"/>
      <c r="B2502" s="135">
        <v>18.13</v>
      </c>
      <c r="C2502" s="135"/>
    </row>
    <row r="2503" spans="1:3" x14ac:dyDescent="0.2">
      <c r="A2503" s="9"/>
      <c r="B2503" s="135">
        <v>18.14</v>
      </c>
      <c r="C2503" s="135"/>
    </row>
    <row r="2504" spans="1:3" x14ac:dyDescent="0.2">
      <c r="A2504" s="9"/>
      <c r="B2504" s="135">
        <v>18.149999999999999</v>
      </c>
      <c r="C2504" s="135"/>
    </row>
    <row r="2505" spans="1:3" x14ac:dyDescent="0.2">
      <c r="A2505" s="9"/>
      <c r="B2505" s="135">
        <v>18.16</v>
      </c>
      <c r="C2505" s="135"/>
    </row>
    <row r="2506" spans="1:3" x14ac:dyDescent="0.2">
      <c r="A2506" s="9"/>
      <c r="B2506" s="135">
        <v>18.170000000000002</v>
      </c>
      <c r="C2506" s="135"/>
    </row>
    <row r="2507" spans="1:3" x14ac:dyDescent="0.2">
      <c r="A2507" s="9"/>
      <c r="B2507" s="135">
        <v>18.18</v>
      </c>
      <c r="C2507" s="135"/>
    </row>
    <row r="2508" spans="1:3" x14ac:dyDescent="0.2">
      <c r="A2508" s="9"/>
      <c r="B2508" s="135">
        <v>18.190000000000001</v>
      </c>
      <c r="C2508" s="135"/>
    </row>
    <row r="2509" spans="1:3" x14ac:dyDescent="0.2">
      <c r="A2509" s="9"/>
      <c r="B2509" s="135">
        <v>18.2</v>
      </c>
      <c r="C2509" s="135"/>
    </row>
    <row r="2510" spans="1:3" x14ac:dyDescent="0.2">
      <c r="A2510" s="9"/>
      <c r="B2510" s="135">
        <v>18.21</v>
      </c>
      <c r="C2510" s="135"/>
    </row>
    <row r="2511" spans="1:3" x14ac:dyDescent="0.2">
      <c r="A2511" s="9"/>
      <c r="B2511" s="135">
        <v>18.22</v>
      </c>
      <c r="C2511" s="135"/>
    </row>
    <row r="2512" spans="1:3" x14ac:dyDescent="0.2">
      <c r="A2512" s="9"/>
      <c r="B2512" s="135">
        <v>18.23</v>
      </c>
      <c r="C2512" s="135"/>
    </row>
    <row r="2513" spans="1:3" x14ac:dyDescent="0.2">
      <c r="A2513" s="9"/>
      <c r="B2513" s="135">
        <v>18.239999999999998</v>
      </c>
      <c r="C2513" s="135"/>
    </row>
    <row r="2514" spans="1:3" x14ac:dyDescent="0.2">
      <c r="A2514" s="9"/>
      <c r="B2514" s="135">
        <v>18.25</v>
      </c>
      <c r="C2514" s="135"/>
    </row>
    <row r="2515" spans="1:3" x14ac:dyDescent="0.2">
      <c r="A2515" s="9"/>
      <c r="B2515" s="135">
        <v>18.260000000000002</v>
      </c>
      <c r="C2515" s="135"/>
    </row>
    <row r="2516" spans="1:3" x14ac:dyDescent="0.2">
      <c r="A2516" s="9"/>
      <c r="B2516" s="135">
        <v>18.27</v>
      </c>
      <c r="C2516" s="135"/>
    </row>
    <row r="2517" spans="1:3" x14ac:dyDescent="0.2">
      <c r="A2517" s="9"/>
      <c r="B2517" s="135">
        <v>18.28</v>
      </c>
      <c r="C2517" s="135"/>
    </row>
    <row r="2518" spans="1:3" x14ac:dyDescent="0.2">
      <c r="A2518" s="9"/>
      <c r="B2518" s="135">
        <v>18.29</v>
      </c>
      <c r="C2518" s="135"/>
    </row>
    <row r="2519" spans="1:3" x14ac:dyDescent="0.2">
      <c r="A2519" s="9"/>
      <c r="B2519" s="135">
        <v>18.3</v>
      </c>
      <c r="C2519" s="135"/>
    </row>
    <row r="2520" spans="1:3" x14ac:dyDescent="0.2">
      <c r="A2520" s="9"/>
      <c r="B2520" s="135">
        <v>18.309999999999999</v>
      </c>
      <c r="C2520" s="135"/>
    </row>
    <row r="2521" spans="1:3" x14ac:dyDescent="0.2">
      <c r="A2521" s="9"/>
      <c r="B2521" s="135">
        <v>18.32</v>
      </c>
      <c r="C2521" s="135"/>
    </row>
    <row r="2522" spans="1:3" x14ac:dyDescent="0.2">
      <c r="A2522" s="9"/>
      <c r="B2522" s="135">
        <v>18.329999999999998</v>
      </c>
      <c r="C2522" s="135"/>
    </row>
    <row r="2523" spans="1:3" x14ac:dyDescent="0.2">
      <c r="A2523" s="9"/>
      <c r="B2523" s="135">
        <v>18.34</v>
      </c>
      <c r="C2523" s="135"/>
    </row>
    <row r="2524" spans="1:3" x14ac:dyDescent="0.2">
      <c r="A2524" s="9"/>
      <c r="B2524" s="135">
        <v>18.350000000000001</v>
      </c>
      <c r="C2524" s="135"/>
    </row>
    <row r="2525" spans="1:3" x14ac:dyDescent="0.2">
      <c r="A2525" s="9"/>
      <c r="B2525" s="135">
        <v>18.36</v>
      </c>
      <c r="C2525" s="135"/>
    </row>
    <row r="2526" spans="1:3" x14ac:dyDescent="0.2">
      <c r="A2526" s="9"/>
      <c r="B2526" s="135">
        <v>18.37</v>
      </c>
      <c r="C2526" s="135"/>
    </row>
    <row r="2527" spans="1:3" x14ac:dyDescent="0.2">
      <c r="A2527" s="9"/>
      <c r="B2527" s="135">
        <v>18.38</v>
      </c>
      <c r="C2527" s="135"/>
    </row>
    <row r="2528" spans="1:3" x14ac:dyDescent="0.2">
      <c r="A2528" s="9"/>
      <c r="B2528" s="135">
        <v>18.39</v>
      </c>
      <c r="C2528" s="135"/>
    </row>
    <row r="2529" spans="1:3" x14ac:dyDescent="0.2">
      <c r="A2529" s="9"/>
      <c r="B2529" s="135">
        <v>18.399999999999999</v>
      </c>
      <c r="C2529" s="135"/>
    </row>
    <row r="2530" spans="1:3" x14ac:dyDescent="0.2">
      <c r="A2530" s="9"/>
      <c r="B2530" s="135">
        <v>18.41</v>
      </c>
      <c r="C2530" s="135"/>
    </row>
    <row r="2531" spans="1:3" x14ac:dyDescent="0.2">
      <c r="A2531" s="9"/>
      <c r="B2531" s="135">
        <v>18.420000000000002</v>
      </c>
      <c r="C2531" s="135"/>
    </row>
    <row r="2532" spans="1:3" x14ac:dyDescent="0.2">
      <c r="A2532" s="9"/>
      <c r="B2532" s="135">
        <v>18.43</v>
      </c>
      <c r="C2532" s="135"/>
    </row>
    <row r="2533" spans="1:3" x14ac:dyDescent="0.2">
      <c r="A2533" s="9"/>
      <c r="B2533" s="135">
        <v>18.440000000000001</v>
      </c>
      <c r="C2533" s="135"/>
    </row>
    <row r="2534" spans="1:3" x14ac:dyDescent="0.2">
      <c r="A2534" s="9"/>
      <c r="B2534" s="135">
        <v>18.45</v>
      </c>
      <c r="C2534" s="135"/>
    </row>
    <row r="2535" spans="1:3" x14ac:dyDescent="0.2">
      <c r="A2535" s="9"/>
      <c r="B2535" s="135">
        <v>18.46</v>
      </c>
      <c r="C2535" s="135"/>
    </row>
    <row r="2536" spans="1:3" x14ac:dyDescent="0.2">
      <c r="A2536" s="9"/>
      <c r="B2536" s="135">
        <v>18.47</v>
      </c>
      <c r="C2536" s="135"/>
    </row>
    <row r="2537" spans="1:3" x14ac:dyDescent="0.2">
      <c r="A2537" s="9"/>
      <c r="B2537" s="135">
        <v>18.48</v>
      </c>
      <c r="C2537" s="135"/>
    </row>
    <row r="2538" spans="1:3" x14ac:dyDescent="0.2">
      <c r="A2538" s="9"/>
      <c r="B2538" s="135">
        <v>18.489999999999998</v>
      </c>
      <c r="C2538" s="135"/>
    </row>
    <row r="2539" spans="1:3" x14ac:dyDescent="0.2">
      <c r="A2539" s="9"/>
      <c r="B2539" s="135">
        <v>18.5</v>
      </c>
      <c r="C2539" s="135"/>
    </row>
    <row r="2540" spans="1:3" x14ac:dyDescent="0.2">
      <c r="A2540" s="9"/>
      <c r="B2540" s="135">
        <v>18.510000000000002</v>
      </c>
      <c r="C2540" s="135"/>
    </row>
    <row r="2541" spans="1:3" x14ac:dyDescent="0.2">
      <c r="A2541" s="9"/>
      <c r="B2541" s="135">
        <v>18.52</v>
      </c>
      <c r="C2541" s="135"/>
    </row>
    <row r="2542" spans="1:3" x14ac:dyDescent="0.2">
      <c r="A2542" s="9"/>
      <c r="B2542" s="135">
        <v>18.53</v>
      </c>
      <c r="C2542" s="135"/>
    </row>
    <row r="2543" spans="1:3" x14ac:dyDescent="0.2">
      <c r="A2543" s="9"/>
      <c r="B2543" s="135">
        <v>18.54</v>
      </c>
      <c r="C2543" s="135"/>
    </row>
    <row r="2544" spans="1:3" x14ac:dyDescent="0.2">
      <c r="A2544" s="9"/>
      <c r="B2544" s="135">
        <v>18.55</v>
      </c>
      <c r="C2544" s="135"/>
    </row>
    <row r="2545" spans="1:3" x14ac:dyDescent="0.2">
      <c r="A2545" s="9"/>
      <c r="B2545" s="135">
        <v>18.559999999999999</v>
      </c>
      <c r="C2545" s="135"/>
    </row>
    <row r="2546" spans="1:3" x14ac:dyDescent="0.2">
      <c r="A2546" s="9"/>
      <c r="B2546" s="135">
        <v>18.57</v>
      </c>
      <c r="C2546" s="135"/>
    </row>
    <row r="2547" spans="1:3" x14ac:dyDescent="0.2">
      <c r="A2547" s="9"/>
      <c r="B2547" s="135">
        <v>18.579999999999998</v>
      </c>
      <c r="C2547" s="135"/>
    </row>
    <row r="2548" spans="1:3" x14ac:dyDescent="0.2">
      <c r="A2548" s="9"/>
      <c r="B2548" s="135">
        <v>18.59</v>
      </c>
      <c r="C2548" s="135"/>
    </row>
    <row r="2549" spans="1:3" x14ac:dyDescent="0.2">
      <c r="A2549" s="9"/>
      <c r="B2549" s="135">
        <v>18.600000000000001</v>
      </c>
      <c r="C2549" s="135"/>
    </row>
    <row r="2550" spans="1:3" x14ac:dyDescent="0.2">
      <c r="A2550" s="9"/>
      <c r="B2550" s="135">
        <v>18.61</v>
      </c>
      <c r="C2550" s="135"/>
    </row>
    <row r="2551" spans="1:3" x14ac:dyDescent="0.2">
      <c r="A2551" s="9"/>
      <c r="B2551" s="135">
        <v>18.62</v>
      </c>
      <c r="C2551" s="135"/>
    </row>
    <row r="2552" spans="1:3" x14ac:dyDescent="0.2">
      <c r="A2552" s="9"/>
      <c r="B2552" s="135">
        <v>18.63</v>
      </c>
      <c r="C2552" s="135"/>
    </row>
    <row r="2553" spans="1:3" x14ac:dyDescent="0.2">
      <c r="A2553" s="9"/>
      <c r="B2553" s="135">
        <v>18.64</v>
      </c>
      <c r="C2553" s="135"/>
    </row>
    <row r="2554" spans="1:3" x14ac:dyDescent="0.2">
      <c r="A2554" s="9"/>
      <c r="B2554" s="135">
        <v>18.649999999999999</v>
      </c>
      <c r="C2554" s="135"/>
    </row>
    <row r="2555" spans="1:3" x14ac:dyDescent="0.2">
      <c r="A2555" s="9"/>
      <c r="B2555" s="135">
        <v>18.66</v>
      </c>
      <c r="C2555" s="135"/>
    </row>
    <row r="2556" spans="1:3" x14ac:dyDescent="0.2">
      <c r="A2556" s="9"/>
      <c r="B2556" s="135">
        <v>18.670000000000002</v>
      </c>
      <c r="C2556" s="135"/>
    </row>
    <row r="2557" spans="1:3" x14ac:dyDescent="0.2">
      <c r="A2557" s="9"/>
      <c r="B2557" s="135">
        <v>18.68</v>
      </c>
      <c r="C2557" s="135"/>
    </row>
    <row r="2558" spans="1:3" x14ac:dyDescent="0.2">
      <c r="A2558" s="9"/>
      <c r="B2558" s="135">
        <v>18.690000000000001</v>
      </c>
      <c r="C2558" s="135"/>
    </row>
    <row r="2559" spans="1:3" x14ac:dyDescent="0.2">
      <c r="A2559" s="9"/>
      <c r="B2559" s="135">
        <v>18.7</v>
      </c>
      <c r="C2559" s="135"/>
    </row>
    <row r="2560" spans="1:3" x14ac:dyDescent="0.2">
      <c r="A2560" s="9"/>
      <c r="B2560" s="135">
        <v>18.71</v>
      </c>
      <c r="C2560" s="135"/>
    </row>
    <row r="2561" spans="1:3" x14ac:dyDescent="0.2">
      <c r="A2561" s="9"/>
      <c r="B2561" s="135">
        <v>18.72</v>
      </c>
      <c r="C2561" s="135"/>
    </row>
    <row r="2562" spans="1:3" x14ac:dyDescent="0.2">
      <c r="A2562" s="9"/>
      <c r="B2562" s="135">
        <v>18.73</v>
      </c>
      <c r="C2562" s="135"/>
    </row>
    <row r="2563" spans="1:3" x14ac:dyDescent="0.2">
      <c r="A2563" s="9"/>
      <c r="B2563" s="135">
        <v>18.739999999999998</v>
      </c>
      <c r="C2563" s="135"/>
    </row>
    <row r="2564" spans="1:3" x14ac:dyDescent="0.2">
      <c r="A2564" s="9"/>
      <c r="B2564" s="135">
        <v>18.75</v>
      </c>
      <c r="C2564" s="135"/>
    </row>
    <row r="2565" spans="1:3" x14ac:dyDescent="0.2">
      <c r="A2565" s="9"/>
      <c r="B2565" s="135">
        <v>18.760000000000002</v>
      </c>
      <c r="C2565" s="135"/>
    </row>
    <row r="2566" spans="1:3" x14ac:dyDescent="0.2">
      <c r="A2566" s="9"/>
      <c r="B2566" s="135">
        <v>18.77</v>
      </c>
      <c r="C2566" s="135"/>
    </row>
    <row r="2567" spans="1:3" x14ac:dyDescent="0.2">
      <c r="A2567" s="9"/>
      <c r="B2567" s="135">
        <v>18.78</v>
      </c>
      <c r="C2567" s="135"/>
    </row>
    <row r="2568" spans="1:3" x14ac:dyDescent="0.2">
      <c r="A2568" s="9"/>
      <c r="B2568" s="135">
        <v>18.79</v>
      </c>
      <c r="C2568" s="135"/>
    </row>
    <row r="2569" spans="1:3" x14ac:dyDescent="0.2">
      <c r="A2569" s="9"/>
      <c r="B2569" s="135">
        <v>18.8</v>
      </c>
      <c r="C2569" s="135"/>
    </row>
    <row r="2570" spans="1:3" x14ac:dyDescent="0.2">
      <c r="A2570" s="9"/>
      <c r="B2570" s="135">
        <v>18.809999999999999</v>
      </c>
      <c r="C2570" s="135"/>
    </row>
    <row r="2571" spans="1:3" x14ac:dyDescent="0.2">
      <c r="A2571" s="9"/>
      <c r="B2571" s="135">
        <v>18.82</v>
      </c>
      <c r="C2571" s="135"/>
    </row>
    <row r="2572" spans="1:3" x14ac:dyDescent="0.2">
      <c r="A2572" s="9"/>
      <c r="B2572" s="135">
        <v>18.829999999999998</v>
      </c>
      <c r="C2572" s="135"/>
    </row>
    <row r="2573" spans="1:3" x14ac:dyDescent="0.2">
      <c r="A2573" s="9"/>
      <c r="B2573" s="135">
        <v>18.84</v>
      </c>
      <c r="C2573" s="135"/>
    </row>
    <row r="2574" spans="1:3" x14ac:dyDescent="0.2">
      <c r="A2574" s="9"/>
      <c r="B2574" s="135">
        <v>18.850000000000001</v>
      </c>
      <c r="C2574" s="135"/>
    </row>
    <row r="2575" spans="1:3" x14ac:dyDescent="0.2">
      <c r="A2575" s="9"/>
      <c r="B2575" s="135">
        <v>18.86</v>
      </c>
      <c r="C2575" s="135"/>
    </row>
    <row r="2576" spans="1:3" x14ac:dyDescent="0.2">
      <c r="A2576" s="9"/>
      <c r="B2576" s="135">
        <v>18.87</v>
      </c>
      <c r="C2576" s="135"/>
    </row>
    <row r="2577" spans="1:3" x14ac:dyDescent="0.2">
      <c r="A2577" s="9"/>
      <c r="B2577" s="135">
        <v>18.88</v>
      </c>
      <c r="C2577" s="135"/>
    </row>
    <row r="2578" spans="1:3" x14ac:dyDescent="0.2">
      <c r="A2578" s="9"/>
      <c r="B2578" s="135">
        <v>18.89</v>
      </c>
      <c r="C2578" s="135"/>
    </row>
    <row r="2579" spans="1:3" x14ac:dyDescent="0.2">
      <c r="A2579" s="9"/>
      <c r="B2579" s="135">
        <v>18.899999999999999</v>
      </c>
      <c r="C2579" s="135"/>
    </row>
    <row r="2580" spans="1:3" x14ac:dyDescent="0.2">
      <c r="A2580" s="9"/>
      <c r="B2580" s="135">
        <v>18.91</v>
      </c>
      <c r="C2580" s="135"/>
    </row>
    <row r="2581" spans="1:3" x14ac:dyDescent="0.2">
      <c r="A2581" s="9"/>
      <c r="B2581" s="135">
        <v>18.920000000000002</v>
      </c>
      <c r="C2581" s="135"/>
    </row>
    <row r="2582" spans="1:3" x14ac:dyDescent="0.2">
      <c r="A2582" s="9"/>
      <c r="B2582" s="135">
        <v>18.93</v>
      </c>
      <c r="C2582" s="135"/>
    </row>
    <row r="2583" spans="1:3" x14ac:dyDescent="0.2">
      <c r="A2583" s="9"/>
      <c r="B2583" s="135">
        <v>18.940000000000001</v>
      </c>
      <c r="C2583" s="135"/>
    </row>
    <row r="2584" spans="1:3" x14ac:dyDescent="0.2">
      <c r="A2584" s="9"/>
      <c r="B2584" s="135">
        <v>18.95</v>
      </c>
      <c r="C2584" s="135"/>
    </row>
    <row r="2585" spans="1:3" x14ac:dyDescent="0.2">
      <c r="A2585" s="9"/>
      <c r="B2585" s="135">
        <v>18.96</v>
      </c>
      <c r="C2585" s="135"/>
    </row>
    <row r="2586" spans="1:3" x14ac:dyDescent="0.2">
      <c r="A2586" s="9"/>
      <c r="B2586" s="135">
        <v>18.97</v>
      </c>
      <c r="C2586" s="135"/>
    </row>
    <row r="2587" spans="1:3" x14ac:dyDescent="0.2">
      <c r="A2587" s="9"/>
      <c r="B2587" s="135">
        <v>18.98</v>
      </c>
      <c r="C2587" s="135"/>
    </row>
    <row r="2588" spans="1:3" x14ac:dyDescent="0.2">
      <c r="A2588" s="9"/>
      <c r="B2588" s="135">
        <v>18.989999999999998</v>
      </c>
      <c r="C2588" s="135"/>
    </row>
    <row r="2589" spans="1:3" x14ac:dyDescent="0.2">
      <c r="A2589" s="9"/>
      <c r="B2589" s="135">
        <v>19</v>
      </c>
      <c r="C2589" s="135"/>
    </row>
    <row r="2590" spans="1:3" x14ac:dyDescent="0.2">
      <c r="A2590" s="9"/>
      <c r="B2590" s="135">
        <v>19.010000000000002</v>
      </c>
      <c r="C2590" s="135"/>
    </row>
    <row r="2591" spans="1:3" x14ac:dyDescent="0.2">
      <c r="A2591" s="9"/>
      <c r="B2591" s="135">
        <v>19.02</v>
      </c>
      <c r="C2591" s="135"/>
    </row>
    <row r="2592" spans="1:3" x14ac:dyDescent="0.2">
      <c r="A2592" s="9"/>
      <c r="B2592" s="135">
        <v>19.03</v>
      </c>
      <c r="C2592" s="135"/>
    </row>
    <row r="2593" spans="1:3" x14ac:dyDescent="0.2">
      <c r="A2593" s="9"/>
      <c r="B2593" s="135">
        <v>19.04</v>
      </c>
      <c r="C2593" s="135"/>
    </row>
    <row r="2594" spans="1:3" x14ac:dyDescent="0.2">
      <c r="A2594" s="9"/>
      <c r="B2594" s="135">
        <v>19.05</v>
      </c>
      <c r="C2594" s="135"/>
    </row>
    <row r="2595" spans="1:3" x14ac:dyDescent="0.2">
      <c r="A2595" s="9"/>
      <c r="B2595" s="135">
        <v>19.059999999999999</v>
      </c>
      <c r="C2595" s="135"/>
    </row>
    <row r="2596" spans="1:3" x14ac:dyDescent="0.2">
      <c r="A2596" s="9"/>
      <c r="B2596" s="135">
        <v>19.07</v>
      </c>
      <c r="C2596" s="135"/>
    </row>
    <row r="2597" spans="1:3" x14ac:dyDescent="0.2">
      <c r="A2597" s="9"/>
      <c r="B2597" s="135">
        <v>19.079999999999998</v>
      </c>
      <c r="C2597" s="135"/>
    </row>
    <row r="2598" spans="1:3" x14ac:dyDescent="0.2">
      <c r="A2598" s="9"/>
      <c r="B2598" s="135">
        <v>19.09</v>
      </c>
      <c r="C2598" s="135"/>
    </row>
    <row r="2599" spans="1:3" x14ac:dyDescent="0.2">
      <c r="A2599" s="9"/>
      <c r="B2599" s="135">
        <v>19.100000000000001</v>
      </c>
      <c r="C2599" s="135"/>
    </row>
    <row r="2600" spans="1:3" x14ac:dyDescent="0.2">
      <c r="A2600" s="9"/>
      <c r="B2600" s="135">
        <v>19.11</v>
      </c>
      <c r="C2600" s="135"/>
    </row>
    <row r="2601" spans="1:3" x14ac:dyDescent="0.2">
      <c r="A2601" s="9"/>
      <c r="B2601" s="135">
        <v>19.12</v>
      </c>
      <c r="C2601" s="135"/>
    </row>
    <row r="2602" spans="1:3" x14ac:dyDescent="0.2">
      <c r="A2602" s="9"/>
      <c r="B2602" s="135">
        <v>19.13</v>
      </c>
      <c r="C2602" s="135"/>
    </row>
    <row r="2603" spans="1:3" x14ac:dyDescent="0.2">
      <c r="A2603" s="9"/>
      <c r="B2603" s="135">
        <v>19.14</v>
      </c>
      <c r="C2603" s="135"/>
    </row>
    <row r="2604" spans="1:3" x14ac:dyDescent="0.2">
      <c r="A2604" s="9"/>
      <c r="B2604" s="135">
        <v>19.149999999999999</v>
      </c>
      <c r="C2604" s="135"/>
    </row>
    <row r="2605" spans="1:3" x14ac:dyDescent="0.2">
      <c r="A2605" s="9"/>
      <c r="B2605" s="135">
        <v>19.16</v>
      </c>
      <c r="C2605" s="135"/>
    </row>
    <row r="2606" spans="1:3" x14ac:dyDescent="0.2">
      <c r="A2606" s="9"/>
      <c r="B2606" s="135">
        <v>19.170000000000002</v>
      </c>
      <c r="C2606" s="135"/>
    </row>
    <row r="2607" spans="1:3" x14ac:dyDescent="0.2">
      <c r="A2607" s="9"/>
      <c r="B2607" s="135">
        <v>19.18</v>
      </c>
      <c r="C2607" s="135"/>
    </row>
    <row r="2608" spans="1:3" x14ac:dyDescent="0.2">
      <c r="A2608" s="9"/>
      <c r="B2608" s="135">
        <v>19.190000000000001</v>
      </c>
      <c r="C2608" s="135"/>
    </row>
    <row r="2609" spans="1:3" x14ac:dyDescent="0.2">
      <c r="A2609" s="9"/>
      <c r="B2609" s="135">
        <v>19.2</v>
      </c>
      <c r="C2609" s="135"/>
    </row>
    <row r="2610" spans="1:3" x14ac:dyDescent="0.2">
      <c r="A2610" s="9"/>
      <c r="B2610" s="135">
        <v>19.21</v>
      </c>
      <c r="C2610" s="135"/>
    </row>
    <row r="2611" spans="1:3" x14ac:dyDescent="0.2">
      <c r="A2611" s="9"/>
      <c r="B2611" s="135">
        <v>19.22</v>
      </c>
      <c r="C2611" s="135"/>
    </row>
    <row r="2612" spans="1:3" x14ac:dyDescent="0.2">
      <c r="A2612" s="9"/>
      <c r="B2612" s="135">
        <v>19.23</v>
      </c>
      <c r="C2612" s="135"/>
    </row>
    <row r="2613" spans="1:3" x14ac:dyDescent="0.2">
      <c r="A2613" s="9"/>
      <c r="B2613" s="135">
        <v>19.239999999999998</v>
      </c>
      <c r="C2613" s="135"/>
    </row>
    <row r="2614" spans="1:3" x14ac:dyDescent="0.2">
      <c r="A2614" s="9"/>
      <c r="B2614" s="135">
        <v>19.25</v>
      </c>
      <c r="C2614" s="135"/>
    </row>
    <row r="2615" spans="1:3" x14ac:dyDescent="0.2">
      <c r="A2615" s="9"/>
      <c r="B2615" s="135">
        <v>19.260000000000002</v>
      </c>
      <c r="C2615" s="135"/>
    </row>
    <row r="2616" spans="1:3" x14ac:dyDescent="0.2">
      <c r="A2616" s="9"/>
      <c r="B2616" s="135">
        <v>19.27</v>
      </c>
      <c r="C2616" s="135"/>
    </row>
    <row r="2617" spans="1:3" x14ac:dyDescent="0.2">
      <c r="A2617" s="9"/>
      <c r="B2617" s="135">
        <v>19.28</v>
      </c>
      <c r="C2617" s="135"/>
    </row>
    <row r="2618" spans="1:3" x14ac:dyDescent="0.2">
      <c r="A2618" s="9"/>
      <c r="B2618" s="135">
        <v>19.29</v>
      </c>
      <c r="C2618" s="135"/>
    </row>
    <row r="2619" spans="1:3" x14ac:dyDescent="0.2">
      <c r="A2619" s="9"/>
      <c r="B2619" s="135">
        <v>19.3</v>
      </c>
      <c r="C2619" s="135"/>
    </row>
    <row r="2620" spans="1:3" x14ac:dyDescent="0.2">
      <c r="A2620" s="9"/>
      <c r="B2620" s="135">
        <v>19.309999999999999</v>
      </c>
      <c r="C2620" s="135"/>
    </row>
    <row r="2621" spans="1:3" x14ac:dyDescent="0.2">
      <c r="A2621" s="9"/>
      <c r="B2621" s="135">
        <v>19.32</v>
      </c>
      <c r="C2621" s="135"/>
    </row>
    <row r="2622" spans="1:3" x14ac:dyDescent="0.2">
      <c r="A2622" s="9"/>
      <c r="B2622" s="135">
        <v>19.329999999999998</v>
      </c>
      <c r="C2622" s="135"/>
    </row>
    <row r="2623" spans="1:3" x14ac:dyDescent="0.2">
      <c r="A2623" s="9"/>
      <c r="B2623" s="135">
        <v>19.34</v>
      </c>
      <c r="C2623" s="135"/>
    </row>
    <row r="2624" spans="1:3" x14ac:dyDescent="0.2">
      <c r="A2624" s="9"/>
      <c r="B2624" s="135">
        <v>19.350000000000001</v>
      </c>
      <c r="C2624" s="135"/>
    </row>
    <row r="2625" spans="1:3" x14ac:dyDescent="0.2">
      <c r="A2625" s="9"/>
      <c r="B2625" s="135">
        <v>19.36</v>
      </c>
      <c r="C2625" s="135"/>
    </row>
    <row r="2626" spans="1:3" x14ac:dyDescent="0.2">
      <c r="A2626" s="9"/>
      <c r="B2626" s="135">
        <v>19.37</v>
      </c>
      <c r="C2626" s="135"/>
    </row>
    <row r="2627" spans="1:3" x14ac:dyDescent="0.2">
      <c r="A2627" s="9"/>
      <c r="B2627" s="135">
        <v>19.38</v>
      </c>
      <c r="C2627" s="135"/>
    </row>
    <row r="2628" spans="1:3" x14ac:dyDescent="0.2">
      <c r="A2628" s="9"/>
      <c r="B2628" s="135">
        <v>19.39</v>
      </c>
      <c r="C2628" s="135"/>
    </row>
    <row r="2629" spans="1:3" x14ac:dyDescent="0.2">
      <c r="A2629" s="9"/>
      <c r="B2629" s="135">
        <v>19.399999999999999</v>
      </c>
      <c r="C2629" s="135"/>
    </row>
    <row r="2630" spans="1:3" x14ac:dyDescent="0.2">
      <c r="A2630" s="9"/>
      <c r="B2630" s="135">
        <v>19.41</v>
      </c>
      <c r="C2630" s="135"/>
    </row>
    <row r="2631" spans="1:3" x14ac:dyDescent="0.2">
      <c r="A2631" s="9"/>
      <c r="B2631" s="135">
        <v>19.420000000000002</v>
      </c>
      <c r="C2631" s="135"/>
    </row>
    <row r="2632" spans="1:3" x14ac:dyDescent="0.2">
      <c r="A2632" s="9"/>
      <c r="B2632" s="135">
        <v>19.43</v>
      </c>
      <c r="C2632" s="135"/>
    </row>
    <row r="2633" spans="1:3" x14ac:dyDescent="0.2">
      <c r="A2633" s="9"/>
      <c r="B2633" s="135">
        <v>19.440000000000001</v>
      </c>
      <c r="C2633" s="135"/>
    </row>
    <row r="2634" spans="1:3" x14ac:dyDescent="0.2">
      <c r="A2634" s="9"/>
      <c r="B2634" s="135">
        <v>19.45</v>
      </c>
      <c r="C2634" s="135"/>
    </row>
    <row r="2635" spans="1:3" x14ac:dyDescent="0.2">
      <c r="A2635" s="9"/>
      <c r="B2635" s="135">
        <v>19.46</v>
      </c>
      <c r="C2635" s="135"/>
    </row>
    <row r="2636" spans="1:3" x14ac:dyDescent="0.2">
      <c r="A2636" s="9"/>
      <c r="B2636" s="135">
        <v>19.47</v>
      </c>
      <c r="C2636" s="135"/>
    </row>
    <row r="2637" spans="1:3" x14ac:dyDescent="0.2">
      <c r="A2637" s="9"/>
      <c r="B2637" s="135">
        <v>19.48</v>
      </c>
      <c r="C2637" s="135"/>
    </row>
    <row r="2638" spans="1:3" x14ac:dyDescent="0.2">
      <c r="A2638" s="9"/>
      <c r="B2638" s="135">
        <v>19.489999999999998</v>
      </c>
      <c r="C2638" s="135"/>
    </row>
    <row r="2639" spans="1:3" x14ac:dyDescent="0.2">
      <c r="A2639" s="9"/>
      <c r="B2639" s="135">
        <v>19.5</v>
      </c>
      <c r="C2639" s="135"/>
    </row>
    <row r="2640" spans="1:3" x14ac:dyDescent="0.2">
      <c r="A2640" s="9"/>
      <c r="B2640" s="135">
        <v>19.510000000000002</v>
      </c>
      <c r="C2640" s="135"/>
    </row>
    <row r="2641" spans="1:3" x14ac:dyDescent="0.2">
      <c r="A2641" s="9"/>
      <c r="B2641" s="135">
        <v>19.52</v>
      </c>
      <c r="C2641" s="135"/>
    </row>
    <row r="2642" spans="1:3" x14ac:dyDescent="0.2">
      <c r="A2642" s="9"/>
      <c r="B2642" s="135">
        <v>19.53</v>
      </c>
      <c r="C2642" s="135"/>
    </row>
    <row r="2643" spans="1:3" x14ac:dyDescent="0.2">
      <c r="A2643" s="9"/>
      <c r="B2643" s="135">
        <v>19.54</v>
      </c>
      <c r="C2643" s="135"/>
    </row>
    <row r="2644" spans="1:3" x14ac:dyDescent="0.2">
      <c r="A2644" s="9"/>
      <c r="B2644" s="135">
        <v>19.55</v>
      </c>
      <c r="C2644" s="135"/>
    </row>
    <row r="2645" spans="1:3" x14ac:dyDescent="0.2">
      <c r="A2645" s="9"/>
      <c r="B2645" s="135">
        <v>19.559999999999999</v>
      </c>
      <c r="C2645" s="135"/>
    </row>
    <row r="2646" spans="1:3" x14ac:dyDescent="0.2">
      <c r="A2646" s="9"/>
      <c r="B2646" s="135">
        <v>19.57</v>
      </c>
      <c r="C2646" s="135"/>
    </row>
    <row r="2647" spans="1:3" x14ac:dyDescent="0.2">
      <c r="A2647" s="9"/>
      <c r="B2647" s="135">
        <v>19.579999999999998</v>
      </c>
      <c r="C2647" s="135"/>
    </row>
    <row r="2648" spans="1:3" x14ac:dyDescent="0.2">
      <c r="A2648" s="9"/>
      <c r="B2648" s="135">
        <v>19.59</v>
      </c>
      <c r="C2648" s="135"/>
    </row>
    <row r="2649" spans="1:3" x14ac:dyDescent="0.2">
      <c r="A2649" s="9"/>
      <c r="B2649" s="135">
        <v>19.600000000000001</v>
      </c>
      <c r="C2649" s="135"/>
    </row>
    <row r="2650" spans="1:3" x14ac:dyDescent="0.2">
      <c r="A2650" s="9"/>
      <c r="B2650" s="135">
        <v>19.61</v>
      </c>
      <c r="C2650" s="135"/>
    </row>
    <row r="2651" spans="1:3" x14ac:dyDescent="0.2">
      <c r="A2651" s="9"/>
      <c r="B2651" s="135">
        <v>19.62</v>
      </c>
      <c r="C2651" s="135"/>
    </row>
    <row r="2652" spans="1:3" x14ac:dyDescent="0.2">
      <c r="A2652" s="9"/>
      <c r="B2652" s="135">
        <v>19.63</v>
      </c>
      <c r="C2652" s="135"/>
    </row>
    <row r="2653" spans="1:3" x14ac:dyDescent="0.2">
      <c r="A2653" s="9"/>
      <c r="B2653" s="135">
        <v>19.64</v>
      </c>
      <c r="C2653" s="135"/>
    </row>
    <row r="2654" spans="1:3" x14ac:dyDescent="0.2">
      <c r="A2654" s="9"/>
      <c r="B2654" s="135">
        <v>19.649999999999999</v>
      </c>
      <c r="C2654" s="135"/>
    </row>
    <row r="2655" spans="1:3" x14ac:dyDescent="0.2">
      <c r="A2655" s="9"/>
      <c r="B2655" s="135">
        <v>19.66</v>
      </c>
      <c r="C2655" s="135"/>
    </row>
    <row r="2656" spans="1:3" x14ac:dyDescent="0.2">
      <c r="A2656" s="9"/>
      <c r="B2656" s="135">
        <v>19.670000000000002</v>
      </c>
      <c r="C2656" s="135"/>
    </row>
    <row r="2657" spans="1:3" x14ac:dyDescent="0.2">
      <c r="A2657" s="9"/>
      <c r="B2657" s="135">
        <v>19.68</v>
      </c>
      <c r="C2657" s="135"/>
    </row>
    <row r="2658" spans="1:3" x14ac:dyDescent="0.2">
      <c r="A2658" s="9"/>
      <c r="B2658" s="135">
        <v>19.690000000000001</v>
      </c>
      <c r="C2658" s="135"/>
    </row>
    <row r="2659" spans="1:3" x14ac:dyDescent="0.2">
      <c r="A2659" s="9"/>
      <c r="B2659" s="135">
        <v>19.7</v>
      </c>
      <c r="C2659" s="135"/>
    </row>
    <row r="2660" spans="1:3" x14ac:dyDescent="0.2">
      <c r="A2660" s="9"/>
      <c r="B2660" s="135">
        <v>19.71</v>
      </c>
      <c r="C2660" s="135"/>
    </row>
    <row r="2661" spans="1:3" x14ac:dyDescent="0.2">
      <c r="A2661" s="9"/>
      <c r="B2661" s="135">
        <v>19.72</v>
      </c>
      <c r="C2661" s="135"/>
    </row>
    <row r="2662" spans="1:3" x14ac:dyDescent="0.2">
      <c r="A2662" s="9"/>
      <c r="B2662" s="135">
        <v>19.73</v>
      </c>
      <c r="C2662" s="135"/>
    </row>
    <row r="2663" spans="1:3" x14ac:dyDescent="0.2">
      <c r="A2663" s="9"/>
      <c r="B2663" s="135">
        <v>19.739999999999998</v>
      </c>
      <c r="C2663" s="135"/>
    </row>
    <row r="2664" spans="1:3" x14ac:dyDescent="0.2">
      <c r="A2664" s="9"/>
      <c r="B2664" s="135">
        <v>19.75</v>
      </c>
      <c r="C2664" s="135"/>
    </row>
    <row r="2665" spans="1:3" x14ac:dyDescent="0.2">
      <c r="A2665" s="9"/>
      <c r="B2665" s="135">
        <v>19.760000000000002</v>
      </c>
      <c r="C2665" s="135"/>
    </row>
    <row r="2666" spans="1:3" x14ac:dyDescent="0.2">
      <c r="A2666" s="9"/>
      <c r="B2666" s="135">
        <v>19.77</v>
      </c>
      <c r="C2666" s="135"/>
    </row>
    <row r="2667" spans="1:3" x14ac:dyDescent="0.2">
      <c r="A2667" s="9"/>
      <c r="B2667" s="135">
        <v>19.78</v>
      </c>
      <c r="C2667" s="135"/>
    </row>
    <row r="2668" spans="1:3" x14ac:dyDescent="0.2">
      <c r="A2668" s="9"/>
      <c r="B2668" s="135">
        <v>19.79</v>
      </c>
      <c r="C2668" s="135"/>
    </row>
    <row r="2669" spans="1:3" x14ac:dyDescent="0.2">
      <c r="A2669" s="9"/>
      <c r="B2669" s="135">
        <v>19.8</v>
      </c>
      <c r="C2669" s="135"/>
    </row>
    <row r="2670" spans="1:3" x14ac:dyDescent="0.2">
      <c r="A2670" s="9"/>
      <c r="B2670" s="135">
        <v>19.809999999999999</v>
      </c>
      <c r="C2670" s="135"/>
    </row>
    <row r="2671" spans="1:3" x14ac:dyDescent="0.2">
      <c r="A2671" s="9"/>
      <c r="B2671" s="135">
        <v>19.82</v>
      </c>
      <c r="C2671" s="135"/>
    </row>
    <row r="2672" spans="1:3" x14ac:dyDescent="0.2">
      <c r="A2672" s="9"/>
      <c r="B2672" s="135">
        <v>19.829999999999998</v>
      </c>
      <c r="C2672" s="135"/>
    </row>
    <row r="2673" spans="1:3" x14ac:dyDescent="0.2">
      <c r="A2673" s="9"/>
      <c r="B2673" s="135">
        <v>19.84</v>
      </c>
      <c r="C2673" s="135"/>
    </row>
    <row r="2674" spans="1:3" x14ac:dyDescent="0.2">
      <c r="A2674" s="9"/>
      <c r="B2674" s="135">
        <v>19.850000000000001</v>
      </c>
      <c r="C2674" s="135"/>
    </row>
    <row r="2675" spans="1:3" x14ac:dyDescent="0.2">
      <c r="A2675" s="9"/>
      <c r="B2675" s="135">
        <v>19.86</v>
      </c>
      <c r="C2675" s="135"/>
    </row>
    <row r="2676" spans="1:3" x14ac:dyDescent="0.2">
      <c r="A2676" s="9"/>
      <c r="B2676" s="135">
        <v>19.87</v>
      </c>
      <c r="C2676" s="135"/>
    </row>
    <row r="2677" spans="1:3" x14ac:dyDescent="0.2">
      <c r="A2677" s="9"/>
      <c r="B2677" s="135">
        <v>19.88</v>
      </c>
      <c r="C2677" s="135"/>
    </row>
    <row r="2678" spans="1:3" x14ac:dyDescent="0.2">
      <c r="A2678" s="9"/>
      <c r="B2678" s="135">
        <v>19.89</v>
      </c>
      <c r="C2678" s="135"/>
    </row>
    <row r="2679" spans="1:3" x14ac:dyDescent="0.2">
      <c r="A2679" s="9"/>
      <c r="B2679" s="135">
        <v>19.899999999999999</v>
      </c>
      <c r="C2679" s="135"/>
    </row>
    <row r="2680" spans="1:3" x14ac:dyDescent="0.2">
      <c r="A2680" s="9"/>
      <c r="B2680" s="135">
        <v>19.91</v>
      </c>
      <c r="C2680" s="135"/>
    </row>
    <row r="2681" spans="1:3" x14ac:dyDescent="0.2">
      <c r="A2681" s="9"/>
      <c r="B2681" s="135">
        <v>19.920000000000002</v>
      </c>
      <c r="C2681" s="135"/>
    </row>
    <row r="2682" spans="1:3" x14ac:dyDescent="0.2">
      <c r="A2682" s="9"/>
      <c r="B2682" s="135">
        <v>19.93</v>
      </c>
      <c r="C2682" s="135"/>
    </row>
    <row r="2683" spans="1:3" x14ac:dyDescent="0.2">
      <c r="A2683" s="9"/>
      <c r="B2683" s="135">
        <v>19.940000000000001</v>
      </c>
      <c r="C2683" s="135"/>
    </row>
    <row r="2684" spans="1:3" x14ac:dyDescent="0.2">
      <c r="A2684" s="9"/>
      <c r="B2684" s="135">
        <v>19.95</v>
      </c>
      <c r="C2684" s="135"/>
    </row>
    <row r="2685" spans="1:3" x14ac:dyDescent="0.2">
      <c r="A2685" s="9"/>
      <c r="B2685" s="135">
        <v>19.96</v>
      </c>
      <c r="C2685" s="135"/>
    </row>
    <row r="2686" spans="1:3" x14ac:dyDescent="0.2">
      <c r="A2686" s="9"/>
      <c r="B2686" s="135">
        <v>19.97</v>
      </c>
      <c r="C2686" s="135"/>
    </row>
    <row r="2687" spans="1:3" x14ac:dyDescent="0.2">
      <c r="A2687" s="9"/>
      <c r="B2687" s="135">
        <v>19.98</v>
      </c>
      <c r="C2687" s="135"/>
    </row>
    <row r="2688" spans="1:3" x14ac:dyDescent="0.2">
      <c r="A2688" s="9"/>
      <c r="B2688" s="135">
        <v>19.989999999999998</v>
      </c>
      <c r="C2688" s="135"/>
    </row>
    <row r="2689" spans="1:3" x14ac:dyDescent="0.2">
      <c r="A2689" s="9"/>
      <c r="B2689" s="135">
        <v>20</v>
      </c>
      <c r="C2689" s="135"/>
    </row>
    <row r="2690" spans="1:3" x14ac:dyDescent="0.2">
      <c r="A2690" s="9"/>
      <c r="B2690" s="135">
        <v>20.010000000000002</v>
      </c>
      <c r="C2690" s="135"/>
    </row>
    <row r="2691" spans="1:3" x14ac:dyDescent="0.2">
      <c r="A2691" s="9"/>
      <c r="B2691" s="135">
        <v>20.02</v>
      </c>
      <c r="C2691" s="135"/>
    </row>
    <row r="2692" spans="1:3" x14ac:dyDescent="0.2">
      <c r="A2692" s="9"/>
      <c r="B2692" s="135">
        <v>20.03</v>
      </c>
      <c r="C2692" s="135"/>
    </row>
    <row r="2693" spans="1:3" x14ac:dyDescent="0.2">
      <c r="A2693" s="9"/>
      <c r="B2693" s="135">
        <v>20.04</v>
      </c>
      <c r="C2693" s="135"/>
    </row>
    <row r="2694" spans="1:3" x14ac:dyDescent="0.2">
      <c r="A2694" s="9"/>
      <c r="B2694" s="135">
        <v>20.05</v>
      </c>
      <c r="C2694" s="135"/>
    </row>
    <row r="2695" spans="1:3" x14ac:dyDescent="0.2">
      <c r="A2695" s="9"/>
      <c r="B2695" s="135">
        <v>20.059999999999999</v>
      </c>
      <c r="C2695" s="135"/>
    </row>
    <row r="2696" spans="1:3" x14ac:dyDescent="0.2">
      <c r="A2696" s="9"/>
      <c r="B2696" s="135">
        <v>20.07</v>
      </c>
      <c r="C2696" s="135"/>
    </row>
    <row r="2697" spans="1:3" x14ac:dyDescent="0.2">
      <c r="A2697" s="9"/>
      <c r="B2697" s="135">
        <v>20.079999999999998</v>
      </c>
      <c r="C2697" s="135"/>
    </row>
    <row r="2698" spans="1:3" x14ac:dyDescent="0.2">
      <c r="A2698" s="9"/>
      <c r="B2698" s="135">
        <v>20.09</v>
      </c>
      <c r="C2698" s="135"/>
    </row>
    <row r="2699" spans="1:3" x14ac:dyDescent="0.2">
      <c r="A2699" s="9"/>
      <c r="B2699" s="135">
        <v>20.100000000000001</v>
      </c>
      <c r="C2699" s="135"/>
    </row>
    <row r="2700" spans="1:3" x14ac:dyDescent="0.2">
      <c r="A2700" s="9"/>
      <c r="B2700" s="135">
        <v>20.11</v>
      </c>
      <c r="C2700" s="135"/>
    </row>
    <row r="2701" spans="1:3" x14ac:dyDescent="0.2">
      <c r="A2701" s="9"/>
      <c r="B2701" s="135">
        <v>20.12</v>
      </c>
      <c r="C2701" s="135"/>
    </row>
    <row r="2702" spans="1:3" x14ac:dyDescent="0.2">
      <c r="A2702" s="9"/>
      <c r="B2702" s="135">
        <v>20.13</v>
      </c>
      <c r="C2702" s="135"/>
    </row>
    <row r="2703" spans="1:3" x14ac:dyDescent="0.2">
      <c r="A2703" s="9"/>
      <c r="B2703" s="135">
        <v>20.14</v>
      </c>
      <c r="C2703" s="135"/>
    </row>
    <row r="2704" spans="1:3" x14ac:dyDescent="0.2">
      <c r="A2704" s="9"/>
      <c r="B2704" s="135">
        <v>20.149999999999999</v>
      </c>
      <c r="C2704" s="135"/>
    </row>
    <row r="2705" spans="1:3" x14ac:dyDescent="0.2">
      <c r="A2705" s="9"/>
      <c r="B2705" s="135">
        <v>20.16</v>
      </c>
      <c r="C2705" s="135"/>
    </row>
    <row r="2706" spans="1:3" x14ac:dyDescent="0.2">
      <c r="A2706" s="9"/>
      <c r="B2706" s="135">
        <v>20.170000000000002</v>
      </c>
      <c r="C2706" s="135"/>
    </row>
    <row r="2707" spans="1:3" x14ac:dyDescent="0.2">
      <c r="A2707" s="9"/>
      <c r="B2707" s="135">
        <v>20.18</v>
      </c>
      <c r="C2707" s="135"/>
    </row>
    <row r="2708" spans="1:3" x14ac:dyDescent="0.2">
      <c r="A2708" s="9"/>
      <c r="B2708" s="135">
        <v>20.190000000000001</v>
      </c>
      <c r="C2708" s="135"/>
    </row>
    <row r="2709" spans="1:3" x14ac:dyDescent="0.2">
      <c r="A2709" s="9"/>
      <c r="B2709" s="135">
        <v>20.2</v>
      </c>
      <c r="C2709" s="135"/>
    </row>
    <row r="2710" spans="1:3" x14ac:dyDescent="0.2">
      <c r="A2710" s="9"/>
      <c r="B2710" s="135">
        <v>20.21</v>
      </c>
      <c r="C2710" s="135"/>
    </row>
    <row r="2711" spans="1:3" x14ac:dyDescent="0.2">
      <c r="A2711" s="9"/>
      <c r="B2711" s="135">
        <v>20.22</v>
      </c>
      <c r="C2711" s="135"/>
    </row>
    <row r="2712" spans="1:3" x14ac:dyDescent="0.2">
      <c r="A2712" s="9"/>
      <c r="B2712" s="135">
        <v>20.23</v>
      </c>
      <c r="C2712" s="135"/>
    </row>
    <row r="2713" spans="1:3" x14ac:dyDescent="0.2">
      <c r="A2713" s="9"/>
      <c r="B2713" s="135">
        <v>20.239999999999998</v>
      </c>
      <c r="C2713" s="135"/>
    </row>
    <row r="2714" spans="1:3" x14ac:dyDescent="0.2">
      <c r="A2714" s="9"/>
      <c r="B2714" s="135">
        <v>20.25</v>
      </c>
      <c r="C2714" s="135"/>
    </row>
    <row r="2715" spans="1:3" x14ac:dyDescent="0.2">
      <c r="A2715" s="9"/>
      <c r="B2715" s="135">
        <v>20.260000000000002</v>
      </c>
      <c r="C2715" s="135"/>
    </row>
    <row r="2716" spans="1:3" x14ac:dyDescent="0.2">
      <c r="A2716" s="9"/>
      <c r="B2716" s="135">
        <v>20.27</v>
      </c>
      <c r="C2716" s="135"/>
    </row>
    <row r="2717" spans="1:3" x14ac:dyDescent="0.2">
      <c r="A2717" s="9"/>
      <c r="B2717" s="135">
        <v>20.28</v>
      </c>
      <c r="C2717" s="135"/>
    </row>
    <row r="2718" spans="1:3" x14ac:dyDescent="0.2">
      <c r="A2718" s="9"/>
      <c r="B2718" s="135">
        <v>20.29</v>
      </c>
      <c r="C2718" s="135"/>
    </row>
    <row r="2719" spans="1:3" x14ac:dyDescent="0.2">
      <c r="A2719" s="9"/>
      <c r="B2719" s="135">
        <v>20.3</v>
      </c>
      <c r="C2719" s="135"/>
    </row>
    <row r="2720" spans="1:3" x14ac:dyDescent="0.2">
      <c r="A2720" s="9"/>
      <c r="B2720" s="135">
        <v>20.309999999999999</v>
      </c>
      <c r="C2720" s="135"/>
    </row>
    <row r="2721" spans="1:3" x14ac:dyDescent="0.2">
      <c r="A2721" s="9"/>
      <c r="B2721" s="135">
        <v>20.32</v>
      </c>
      <c r="C2721" s="135"/>
    </row>
    <row r="2722" spans="1:3" x14ac:dyDescent="0.2">
      <c r="A2722" s="9"/>
      <c r="B2722" s="135">
        <v>20.329999999999998</v>
      </c>
      <c r="C2722" s="135"/>
    </row>
    <row r="2723" spans="1:3" x14ac:dyDescent="0.2">
      <c r="A2723" s="9"/>
      <c r="B2723" s="135">
        <v>20.34</v>
      </c>
      <c r="C2723" s="135"/>
    </row>
    <row r="2724" spans="1:3" x14ac:dyDescent="0.2">
      <c r="A2724" s="9"/>
      <c r="B2724" s="135">
        <v>20.350000000000001</v>
      </c>
      <c r="C2724" s="135"/>
    </row>
    <row r="2725" spans="1:3" x14ac:dyDescent="0.2">
      <c r="A2725" s="9"/>
      <c r="B2725" s="135">
        <v>20.36</v>
      </c>
      <c r="C2725" s="135"/>
    </row>
    <row r="2726" spans="1:3" x14ac:dyDescent="0.2">
      <c r="A2726" s="9"/>
      <c r="B2726" s="135">
        <v>20.37</v>
      </c>
      <c r="C2726" s="135"/>
    </row>
    <row r="2727" spans="1:3" x14ac:dyDescent="0.2">
      <c r="A2727" s="9"/>
      <c r="B2727" s="135">
        <v>20.38</v>
      </c>
      <c r="C2727" s="135"/>
    </row>
    <row r="2728" spans="1:3" x14ac:dyDescent="0.2">
      <c r="A2728" s="9"/>
      <c r="B2728" s="135">
        <v>20.39</v>
      </c>
      <c r="C2728" s="135"/>
    </row>
    <row r="2729" spans="1:3" x14ac:dyDescent="0.2">
      <c r="A2729" s="9"/>
      <c r="B2729" s="135">
        <v>20.399999999999999</v>
      </c>
      <c r="C2729" s="135"/>
    </row>
    <row r="2730" spans="1:3" x14ac:dyDescent="0.2">
      <c r="A2730" s="9"/>
      <c r="B2730" s="135">
        <v>20.41</v>
      </c>
      <c r="C2730" s="135"/>
    </row>
    <row r="2731" spans="1:3" x14ac:dyDescent="0.2">
      <c r="A2731" s="9"/>
      <c r="B2731" s="135">
        <v>20.420000000000002</v>
      </c>
      <c r="C2731" s="135"/>
    </row>
    <row r="2732" spans="1:3" x14ac:dyDescent="0.2">
      <c r="A2732" s="9"/>
      <c r="B2732" s="135">
        <v>20.43</v>
      </c>
      <c r="C2732" s="135"/>
    </row>
    <row r="2733" spans="1:3" x14ac:dyDescent="0.2">
      <c r="A2733" s="9"/>
      <c r="B2733" s="135">
        <v>20.440000000000001</v>
      </c>
      <c r="C2733" s="135"/>
    </row>
    <row r="2734" spans="1:3" x14ac:dyDescent="0.2">
      <c r="A2734" s="9"/>
      <c r="B2734" s="135">
        <v>20.45</v>
      </c>
      <c r="C2734" s="135"/>
    </row>
    <row r="2735" spans="1:3" x14ac:dyDescent="0.2">
      <c r="A2735" s="9"/>
      <c r="B2735" s="135">
        <v>20.46</v>
      </c>
      <c r="C2735" s="135"/>
    </row>
    <row r="2736" spans="1:3" x14ac:dyDescent="0.2">
      <c r="A2736" s="9"/>
      <c r="B2736" s="135">
        <v>20.47</v>
      </c>
      <c r="C2736" s="135"/>
    </row>
    <row r="2737" spans="1:3" x14ac:dyDescent="0.2">
      <c r="A2737" s="9"/>
      <c r="B2737" s="135">
        <v>20.48</v>
      </c>
      <c r="C2737" s="135"/>
    </row>
    <row r="2738" spans="1:3" x14ac:dyDescent="0.2">
      <c r="A2738" s="9"/>
      <c r="B2738" s="135">
        <v>20.49</v>
      </c>
      <c r="C2738" s="135"/>
    </row>
    <row r="2739" spans="1:3" x14ac:dyDescent="0.2">
      <c r="A2739" s="9"/>
      <c r="B2739" s="135">
        <v>20.5</v>
      </c>
      <c r="C2739" s="135"/>
    </row>
    <row r="2740" spans="1:3" x14ac:dyDescent="0.2">
      <c r="A2740" s="9"/>
      <c r="B2740" s="135">
        <v>20.51</v>
      </c>
      <c r="C2740" s="135"/>
    </row>
    <row r="2741" spans="1:3" x14ac:dyDescent="0.2">
      <c r="A2741" s="9"/>
      <c r="B2741" s="135">
        <v>20.52</v>
      </c>
      <c r="C2741" s="135"/>
    </row>
    <row r="2742" spans="1:3" x14ac:dyDescent="0.2">
      <c r="A2742" s="9"/>
      <c r="B2742" s="135">
        <v>20.53</v>
      </c>
      <c r="C2742" s="135"/>
    </row>
    <row r="2743" spans="1:3" x14ac:dyDescent="0.2">
      <c r="A2743" s="9"/>
      <c r="B2743" s="135">
        <v>20.54</v>
      </c>
      <c r="C2743" s="135"/>
    </row>
    <row r="2744" spans="1:3" x14ac:dyDescent="0.2">
      <c r="A2744" s="9"/>
      <c r="B2744" s="135">
        <v>20.55</v>
      </c>
      <c r="C2744" s="135"/>
    </row>
    <row r="2745" spans="1:3" x14ac:dyDescent="0.2">
      <c r="A2745" s="9"/>
      <c r="B2745" s="135">
        <v>20.56</v>
      </c>
      <c r="C2745" s="135"/>
    </row>
    <row r="2746" spans="1:3" x14ac:dyDescent="0.2">
      <c r="A2746" s="9"/>
      <c r="B2746" s="135">
        <v>20.57</v>
      </c>
      <c r="C2746" s="135"/>
    </row>
    <row r="2747" spans="1:3" x14ac:dyDescent="0.2">
      <c r="A2747" s="9"/>
      <c r="B2747" s="135">
        <v>20.58</v>
      </c>
      <c r="C2747" s="135"/>
    </row>
    <row r="2748" spans="1:3" x14ac:dyDescent="0.2">
      <c r="A2748" s="9"/>
      <c r="B2748" s="135">
        <v>20.59</v>
      </c>
      <c r="C2748" s="135"/>
    </row>
    <row r="2749" spans="1:3" x14ac:dyDescent="0.2">
      <c r="A2749" s="9"/>
      <c r="B2749" s="135">
        <v>20.6</v>
      </c>
      <c r="C2749" s="135"/>
    </row>
    <row r="2750" spans="1:3" x14ac:dyDescent="0.2">
      <c r="A2750" s="9"/>
      <c r="B2750" s="135">
        <v>20.61</v>
      </c>
      <c r="C2750" s="135"/>
    </row>
    <row r="2751" spans="1:3" x14ac:dyDescent="0.2">
      <c r="A2751" s="9"/>
      <c r="B2751" s="135">
        <v>20.62</v>
      </c>
      <c r="C2751" s="135"/>
    </row>
    <row r="2752" spans="1:3" x14ac:dyDescent="0.2">
      <c r="A2752" s="9"/>
      <c r="B2752" s="135">
        <v>20.63</v>
      </c>
      <c r="C2752" s="135"/>
    </row>
    <row r="2753" spans="1:3" x14ac:dyDescent="0.2">
      <c r="A2753" s="9"/>
      <c r="B2753" s="135">
        <v>20.64</v>
      </c>
      <c r="C2753" s="135"/>
    </row>
    <row r="2754" spans="1:3" x14ac:dyDescent="0.2">
      <c r="A2754" s="9"/>
      <c r="B2754" s="135">
        <v>20.65</v>
      </c>
      <c r="C2754" s="135"/>
    </row>
    <row r="2755" spans="1:3" x14ac:dyDescent="0.2">
      <c r="A2755" s="9"/>
      <c r="B2755" s="135">
        <v>20.66</v>
      </c>
      <c r="C2755" s="135"/>
    </row>
    <row r="2756" spans="1:3" x14ac:dyDescent="0.2">
      <c r="A2756" s="9"/>
      <c r="B2756" s="135">
        <v>20.67</v>
      </c>
      <c r="C2756" s="135"/>
    </row>
    <row r="2757" spans="1:3" x14ac:dyDescent="0.2">
      <c r="A2757" s="9"/>
      <c r="B2757" s="135">
        <v>20.68</v>
      </c>
      <c r="C2757" s="135"/>
    </row>
    <row r="2758" spans="1:3" x14ac:dyDescent="0.2">
      <c r="A2758" s="9"/>
      <c r="B2758" s="135">
        <v>20.69</v>
      </c>
      <c r="C2758" s="135"/>
    </row>
    <row r="2759" spans="1:3" x14ac:dyDescent="0.2">
      <c r="A2759" s="9"/>
      <c r="B2759" s="135">
        <v>20.7</v>
      </c>
      <c r="C2759" s="135"/>
    </row>
    <row r="2760" spans="1:3" x14ac:dyDescent="0.2">
      <c r="A2760" s="9"/>
      <c r="B2760" s="135">
        <v>20.71</v>
      </c>
      <c r="C2760" s="135"/>
    </row>
    <row r="2761" spans="1:3" x14ac:dyDescent="0.2">
      <c r="A2761" s="9"/>
      <c r="B2761" s="135">
        <v>20.72</v>
      </c>
      <c r="C2761" s="135"/>
    </row>
    <row r="2762" spans="1:3" x14ac:dyDescent="0.2">
      <c r="A2762" s="9"/>
      <c r="B2762" s="135">
        <v>20.73</v>
      </c>
      <c r="C2762" s="135"/>
    </row>
    <row r="2763" spans="1:3" x14ac:dyDescent="0.2">
      <c r="A2763" s="9"/>
      <c r="B2763" s="135">
        <v>20.74</v>
      </c>
      <c r="C2763" s="135"/>
    </row>
    <row r="2764" spans="1:3" x14ac:dyDescent="0.2">
      <c r="A2764" s="9"/>
      <c r="B2764" s="135">
        <v>20.75</v>
      </c>
      <c r="C2764" s="135"/>
    </row>
    <row r="2765" spans="1:3" x14ac:dyDescent="0.2">
      <c r="A2765" s="9"/>
      <c r="B2765" s="135">
        <v>20.76</v>
      </c>
      <c r="C2765" s="135"/>
    </row>
    <row r="2766" spans="1:3" x14ac:dyDescent="0.2">
      <c r="A2766" s="9"/>
      <c r="B2766" s="135">
        <v>20.77</v>
      </c>
      <c r="C2766" s="135"/>
    </row>
    <row r="2767" spans="1:3" x14ac:dyDescent="0.2">
      <c r="A2767" s="9"/>
      <c r="B2767" s="135">
        <v>20.78</v>
      </c>
      <c r="C2767" s="135"/>
    </row>
    <row r="2768" spans="1:3" x14ac:dyDescent="0.2">
      <c r="A2768" s="9"/>
      <c r="B2768" s="135">
        <v>20.79</v>
      </c>
      <c r="C2768" s="135"/>
    </row>
    <row r="2769" spans="1:3" x14ac:dyDescent="0.2">
      <c r="A2769" s="9"/>
      <c r="B2769" s="135">
        <v>20.8</v>
      </c>
      <c r="C2769" s="135"/>
    </row>
    <row r="2770" spans="1:3" x14ac:dyDescent="0.2">
      <c r="A2770" s="9"/>
      <c r="B2770" s="135">
        <v>20.81</v>
      </c>
      <c r="C2770" s="135"/>
    </row>
    <row r="2771" spans="1:3" x14ac:dyDescent="0.2">
      <c r="A2771" s="9"/>
      <c r="B2771" s="135">
        <v>20.82</v>
      </c>
      <c r="C2771" s="135"/>
    </row>
    <row r="2772" spans="1:3" x14ac:dyDescent="0.2">
      <c r="A2772" s="9"/>
      <c r="B2772" s="135">
        <v>20.83</v>
      </c>
      <c r="C2772" s="135"/>
    </row>
    <row r="2773" spans="1:3" x14ac:dyDescent="0.2">
      <c r="A2773" s="9"/>
      <c r="B2773" s="135">
        <v>20.84</v>
      </c>
      <c r="C2773" s="135"/>
    </row>
    <row r="2774" spans="1:3" x14ac:dyDescent="0.2">
      <c r="A2774" s="9"/>
      <c r="B2774" s="135">
        <v>20.85</v>
      </c>
      <c r="C2774" s="135"/>
    </row>
    <row r="2775" spans="1:3" x14ac:dyDescent="0.2">
      <c r="A2775" s="9"/>
      <c r="B2775" s="135">
        <v>20.86</v>
      </c>
      <c r="C2775" s="135"/>
    </row>
    <row r="2776" spans="1:3" x14ac:dyDescent="0.2">
      <c r="A2776" s="9"/>
      <c r="B2776" s="135">
        <v>20.87</v>
      </c>
      <c r="C2776" s="135"/>
    </row>
    <row r="2777" spans="1:3" x14ac:dyDescent="0.2">
      <c r="A2777" s="9"/>
      <c r="B2777" s="135">
        <v>20.88</v>
      </c>
      <c r="C2777" s="135"/>
    </row>
    <row r="2778" spans="1:3" x14ac:dyDescent="0.2">
      <c r="A2778" s="9"/>
      <c r="B2778" s="135">
        <v>20.89</v>
      </c>
      <c r="C2778" s="135"/>
    </row>
    <row r="2779" spans="1:3" x14ac:dyDescent="0.2">
      <c r="A2779" s="9"/>
      <c r="B2779" s="135">
        <v>20.9</v>
      </c>
      <c r="C2779" s="135"/>
    </row>
    <row r="2780" spans="1:3" x14ac:dyDescent="0.2">
      <c r="A2780" s="9"/>
      <c r="B2780" s="135">
        <v>20.91</v>
      </c>
      <c r="C2780" s="135"/>
    </row>
    <row r="2781" spans="1:3" x14ac:dyDescent="0.2">
      <c r="A2781" s="9"/>
      <c r="B2781" s="135">
        <v>20.92</v>
      </c>
      <c r="C2781" s="135"/>
    </row>
    <row r="2782" spans="1:3" x14ac:dyDescent="0.2">
      <c r="A2782" s="9"/>
      <c r="B2782" s="135">
        <v>20.93</v>
      </c>
      <c r="C2782" s="135"/>
    </row>
    <row r="2783" spans="1:3" x14ac:dyDescent="0.2">
      <c r="A2783" s="9"/>
      <c r="B2783" s="135">
        <v>20.94</v>
      </c>
      <c r="C2783" s="135"/>
    </row>
    <row r="2784" spans="1:3" x14ac:dyDescent="0.2">
      <c r="A2784" s="9"/>
      <c r="B2784" s="135">
        <v>20.95</v>
      </c>
      <c r="C2784" s="135"/>
    </row>
    <row r="2785" spans="1:3" x14ac:dyDescent="0.2">
      <c r="A2785" s="9"/>
      <c r="B2785" s="135">
        <v>20.96</v>
      </c>
      <c r="C2785" s="135"/>
    </row>
    <row r="2786" spans="1:3" x14ac:dyDescent="0.2">
      <c r="A2786" s="9"/>
      <c r="B2786" s="135">
        <v>20.97</v>
      </c>
      <c r="C2786" s="135"/>
    </row>
    <row r="2787" spans="1:3" x14ac:dyDescent="0.2">
      <c r="A2787" s="9"/>
      <c r="B2787" s="135">
        <v>20.98</v>
      </c>
      <c r="C2787" s="135"/>
    </row>
    <row r="2788" spans="1:3" x14ac:dyDescent="0.2">
      <c r="A2788" s="9"/>
      <c r="B2788" s="135">
        <v>20.99</v>
      </c>
      <c r="C2788" s="135"/>
    </row>
    <row r="2789" spans="1:3" x14ac:dyDescent="0.2">
      <c r="A2789" s="9"/>
      <c r="B2789" s="135">
        <v>21</v>
      </c>
      <c r="C2789" s="135"/>
    </row>
    <row r="2790" spans="1:3" x14ac:dyDescent="0.2">
      <c r="A2790" s="9"/>
      <c r="B2790" s="135">
        <v>21.01</v>
      </c>
      <c r="C2790" s="135"/>
    </row>
    <row r="2791" spans="1:3" x14ac:dyDescent="0.2">
      <c r="A2791" s="9"/>
      <c r="B2791" s="135">
        <v>21.02</v>
      </c>
      <c r="C2791" s="135"/>
    </row>
    <row r="2792" spans="1:3" x14ac:dyDescent="0.2">
      <c r="A2792" s="9"/>
      <c r="B2792" s="135">
        <v>21.03</v>
      </c>
      <c r="C2792" s="135"/>
    </row>
    <row r="2793" spans="1:3" x14ac:dyDescent="0.2">
      <c r="A2793" s="9"/>
      <c r="B2793" s="135">
        <v>21.04</v>
      </c>
      <c r="C2793" s="135"/>
    </row>
    <row r="2794" spans="1:3" x14ac:dyDescent="0.2">
      <c r="A2794" s="9"/>
      <c r="B2794" s="135">
        <v>21.05</v>
      </c>
      <c r="C2794" s="135"/>
    </row>
    <row r="2795" spans="1:3" x14ac:dyDescent="0.2">
      <c r="A2795" s="9"/>
      <c r="B2795" s="135">
        <v>21.06</v>
      </c>
      <c r="C2795" s="135"/>
    </row>
    <row r="2796" spans="1:3" x14ac:dyDescent="0.2">
      <c r="A2796" s="9"/>
      <c r="B2796" s="135">
        <v>21.07</v>
      </c>
      <c r="C2796" s="135"/>
    </row>
    <row r="2797" spans="1:3" x14ac:dyDescent="0.2">
      <c r="A2797" s="9"/>
      <c r="B2797" s="135">
        <v>21.08</v>
      </c>
      <c r="C2797" s="135"/>
    </row>
    <row r="2798" spans="1:3" x14ac:dyDescent="0.2">
      <c r="A2798" s="9"/>
      <c r="B2798" s="135">
        <v>21.09</v>
      </c>
      <c r="C2798" s="135"/>
    </row>
    <row r="2799" spans="1:3" x14ac:dyDescent="0.2">
      <c r="A2799" s="9"/>
      <c r="B2799" s="135">
        <v>21.1</v>
      </c>
      <c r="C2799" s="135"/>
    </row>
    <row r="2800" spans="1:3" x14ac:dyDescent="0.2">
      <c r="A2800" s="9"/>
      <c r="B2800" s="135">
        <v>21.11</v>
      </c>
      <c r="C2800" s="135"/>
    </row>
    <row r="2801" spans="1:3" x14ac:dyDescent="0.2">
      <c r="A2801" s="9"/>
      <c r="B2801" s="135">
        <v>21.12</v>
      </c>
      <c r="C2801" s="135"/>
    </row>
    <row r="2802" spans="1:3" x14ac:dyDescent="0.2">
      <c r="A2802" s="9"/>
      <c r="B2802" s="135">
        <v>21.13</v>
      </c>
      <c r="C2802" s="135"/>
    </row>
    <row r="2803" spans="1:3" x14ac:dyDescent="0.2">
      <c r="A2803" s="9"/>
      <c r="B2803" s="135">
        <v>21.14</v>
      </c>
      <c r="C2803" s="135"/>
    </row>
    <row r="2804" spans="1:3" x14ac:dyDescent="0.2">
      <c r="A2804" s="9"/>
      <c r="B2804" s="135">
        <v>21.15</v>
      </c>
      <c r="C2804" s="135"/>
    </row>
    <row r="2805" spans="1:3" x14ac:dyDescent="0.2">
      <c r="A2805" s="9"/>
      <c r="B2805" s="135">
        <v>21.16</v>
      </c>
      <c r="C2805" s="135"/>
    </row>
    <row r="2806" spans="1:3" x14ac:dyDescent="0.2">
      <c r="A2806" s="9"/>
      <c r="B2806" s="135">
        <v>21.17</v>
      </c>
      <c r="C2806" s="135"/>
    </row>
    <row r="2807" spans="1:3" x14ac:dyDescent="0.2">
      <c r="A2807" s="9"/>
      <c r="B2807" s="135">
        <v>21.18</v>
      </c>
      <c r="C2807" s="135"/>
    </row>
    <row r="2808" spans="1:3" x14ac:dyDescent="0.2">
      <c r="A2808" s="9"/>
      <c r="B2808" s="135">
        <v>21.19</v>
      </c>
      <c r="C2808" s="135"/>
    </row>
    <row r="2809" spans="1:3" x14ac:dyDescent="0.2">
      <c r="A2809" s="9"/>
      <c r="B2809" s="135">
        <v>21.2</v>
      </c>
      <c r="C2809" s="135"/>
    </row>
    <row r="2810" spans="1:3" x14ac:dyDescent="0.2">
      <c r="A2810" s="9"/>
      <c r="B2810" s="135">
        <v>21.21</v>
      </c>
      <c r="C2810" s="135"/>
    </row>
    <row r="2811" spans="1:3" x14ac:dyDescent="0.2">
      <c r="A2811" s="9"/>
      <c r="B2811" s="135">
        <v>21.22</v>
      </c>
      <c r="C2811" s="135"/>
    </row>
    <row r="2812" spans="1:3" x14ac:dyDescent="0.2">
      <c r="A2812" s="9"/>
      <c r="B2812" s="135">
        <v>21.23</v>
      </c>
      <c r="C2812" s="135"/>
    </row>
    <row r="2813" spans="1:3" x14ac:dyDescent="0.2">
      <c r="A2813" s="9"/>
      <c r="B2813" s="135">
        <v>21.24</v>
      </c>
      <c r="C2813" s="135"/>
    </row>
    <row r="2814" spans="1:3" x14ac:dyDescent="0.2">
      <c r="A2814" s="9"/>
      <c r="B2814" s="135">
        <v>21.25</v>
      </c>
      <c r="C2814" s="135"/>
    </row>
    <row r="2815" spans="1:3" x14ac:dyDescent="0.2">
      <c r="A2815" s="9"/>
      <c r="B2815" s="135">
        <v>21.26</v>
      </c>
      <c r="C2815" s="135"/>
    </row>
    <row r="2816" spans="1:3" x14ac:dyDescent="0.2">
      <c r="A2816" s="9"/>
      <c r="B2816" s="135">
        <v>21.27</v>
      </c>
      <c r="C2816" s="135"/>
    </row>
    <row r="2817" spans="1:3" x14ac:dyDescent="0.2">
      <c r="A2817" s="9"/>
      <c r="B2817" s="135">
        <v>21.28</v>
      </c>
      <c r="C2817" s="135"/>
    </row>
    <row r="2818" spans="1:3" x14ac:dyDescent="0.2">
      <c r="A2818" s="9"/>
      <c r="B2818" s="135">
        <v>21.29</v>
      </c>
      <c r="C2818" s="135"/>
    </row>
    <row r="2819" spans="1:3" x14ac:dyDescent="0.2">
      <c r="A2819" s="9"/>
      <c r="B2819" s="135">
        <v>21.3</v>
      </c>
      <c r="C2819" s="135"/>
    </row>
    <row r="2820" spans="1:3" x14ac:dyDescent="0.2">
      <c r="A2820" s="9"/>
      <c r="B2820" s="135">
        <v>21.31</v>
      </c>
      <c r="C2820" s="135"/>
    </row>
    <row r="2821" spans="1:3" x14ac:dyDescent="0.2">
      <c r="A2821" s="9"/>
      <c r="B2821" s="135">
        <v>21.32</v>
      </c>
      <c r="C2821" s="135"/>
    </row>
    <row r="2822" spans="1:3" x14ac:dyDescent="0.2">
      <c r="A2822" s="9"/>
      <c r="B2822" s="135">
        <v>21.33</v>
      </c>
      <c r="C2822" s="135"/>
    </row>
    <row r="2823" spans="1:3" x14ac:dyDescent="0.2">
      <c r="A2823" s="9"/>
      <c r="B2823" s="135">
        <v>21.34</v>
      </c>
      <c r="C2823" s="135"/>
    </row>
    <row r="2824" spans="1:3" x14ac:dyDescent="0.2">
      <c r="A2824" s="9"/>
      <c r="B2824" s="135">
        <v>21.35</v>
      </c>
      <c r="C2824" s="135"/>
    </row>
    <row r="2825" spans="1:3" x14ac:dyDescent="0.2">
      <c r="A2825" s="9"/>
      <c r="B2825" s="135">
        <v>21.36</v>
      </c>
      <c r="C2825" s="135"/>
    </row>
    <row r="2826" spans="1:3" x14ac:dyDescent="0.2">
      <c r="A2826" s="9"/>
      <c r="B2826" s="135">
        <v>21.37</v>
      </c>
      <c r="C2826" s="135"/>
    </row>
    <row r="2827" spans="1:3" x14ac:dyDescent="0.2">
      <c r="A2827" s="9"/>
      <c r="B2827" s="135">
        <v>21.38</v>
      </c>
      <c r="C2827" s="135"/>
    </row>
    <row r="2828" spans="1:3" x14ac:dyDescent="0.2">
      <c r="A2828" s="9"/>
      <c r="B2828" s="135">
        <v>21.39</v>
      </c>
      <c r="C2828" s="135"/>
    </row>
    <row r="2829" spans="1:3" x14ac:dyDescent="0.2">
      <c r="A2829" s="9"/>
      <c r="B2829" s="135">
        <v>21.4</v>
      </c>
      <c r="C2829" s="135"/>
    </row>
    <row r="2830" spans="1:3" x14ac:dyDescent="0.2">
      <c r="A2830" s="9"/>
      <c r="B2830" s="135">
        <v>21.41</v>
      </c>
      <c r="C2830" s="135"/>
    </row>
    <row r="2831" spans="1:3" x14ac:dyDescent="0.2">
      <c r="A2831" s="9"/>
      <c r="B2831" s="135">
        <v>21.42</v>
      </c>
      <c r="C2831" s="135"/>
    </row>
    <row r="2832" spans="1:3" x14ac:dyDescent="0.2">
      <c r="A2832" s="9"/>
      <c r="B2832" s="135">
        <v>21.43</v>
      </c>
      <c r="C2832" s="135"/>
    </row>
    <row r="2833" spans="1:3" x14ac:dyDescent="0.2">
      <c r="A2833" s="9"/>
      <c r="B2833" s="135">
        <v>21.44</v>
      </c>
      <c r="C2833" s="135"/>
    </row>
    <row r="2834" spans="1:3" x14ac:dyDescent="0.2">
      <c r="A2834" s="9"/>
      <c r="B2834" s="135">
        <v>21.45</v>
      </c>
      <c r="C2834" s="135"/>
    </row>
    <row r="2835" spans="1:3" x14ac:dyDescent="0.2">
      <c r="A2835" s="9"/>
      <c r="B2835" s="135">
        <v>21.46</v>
      </c>
      <c r="C2835" s="135"/>
    </row>
    <row r="2836" spans="1:3" x14ac:dyDescent="0.2">
      <c r="A2836" s="9"/>
      <c r="B2836" s="135">
        <v>21.47</v>
      </c>
      <c r="C2836" s="135"/>
    </row>
    <row r="2837" spans="1:3" x14ac:dyDescent="0.2">
      <c r="A2837" s="9"/>
      <c r="B2837" s="135">
        <v>21.48</v>
      </c>
      <c r="C2837" s="135"/>
    </row>
    <row r="2838" spans="1:3" x14ac:dyDescent="0.2">
      <c r="A2838" s="9"/>
      <c r="B2838" s="135">
        <v>21.49</v>
      </c>
      <c r="C2838" s="135"/>
    </row>
    <row r="2839" spans="1:3" x14ac:dyDescent="0.2">
      <c r="A2839" s="9"/>
      <c r="B2839" s="135">
        <v>21.5</v>
      </c>
      <c r="C2839" s="135"/>
    </row>
    <row r="2840" spans="1:3" x14ac:dyDescent="0.2">
      <c r="A2840" s="9"/>
      <c r="B2840" s="135">
        <v>21.51</v>
      </c>
      <c r="C2840" s="135"/>
    </row>
    <row r="2841" spans="1:3" x14ac:dyDescent="0.2">
      <c r="A2841" s="9"/>
      <c r="B2841" s="135">
        <v>21.52</v>
      </c>
      <c r="C2841" s="135"/>
    </row>
    <row r="2842" spans="1:3" x14ac:dyDescent="0.2">
      <c r="A2842" s="9"/>
      <c r="B2842" s="135">
        <v>21.53</v>
      </c>
      <c r="C2842" s="135"/>
    </row>
    <row r="2843" spans="1:3" x14ac:dyDescent="0.2">
      <c r="A2843" s="9"/>
      <c r="B2843" s="135">
        <v>21.54</v>
      </c>
      <c r="C2843" s="135"/>
    </row>
    <row r="2844" spans="1:3" x14ac:dyDescent="0.2">
      <c r="A2844" s="9"/>
      <c r="B2844" s="135">
        <v>21.55</v>
      </c>
      <c r="C2844" s="135"/>
    </row>
    <row r="2845" spans="1:3" x14ac:dyDescent="0.2">
      <c r="A2845" s="9"/>
      <c r="B2845" s="135">
        <v>21.56</v>
      </c>
      <c r="C2845" s="135"/>
    </row>
    <row r="2846" spans="1:3" x14ac:dyDescent="0.2">
      <c r="A2846" s="9"/>
      <c r="B2846" s="135">
        <v>21.57</v>
      </c>
      <c r="C2846" s="135"/>
    </row>
    <row r="2847" spans="1:3" x14ac:dyDescent="0.2">
      <c r="A2847" s="9"/>
      <c r="B2847" s="135">
        <v>21.58</v>
      </c>
      <c r="C2847" s="135"/>
    </row>
    <row r="2848" spans="1:3" x14ac:dyDescent="0.2">
      <c r="A2848" s="9"/>
      <c r="B2848" s="135">
        <v>21.59</v>
      </c>
      <c r="C2848" s="135"/>
    </row>
    <row r="2849" spans="1:3" x14ac:dyDescent="0.2">
      <c r="A2849" s="9"/>
      <c r="B2849" s="135">
        <v>21.6</v>
      </c>
      <c r="C2849" s="135"/>
    </row>
    <row r="2850" spans="1:3" x14ac:dyDescent="0.2">
      <c r="A2850" s="9"/>
      <c r="B2850" s="135">
        <v>21.61</v>
      </c>
      <c r="C2850" s="135"/>
    </row>
    <row r="2851" spans="1:3" x14ac:dyDescent="0.2">
      <c r="A2851" s="9"/>
      <c r="B2851" s="135">
        <v>21.62</v>
      </c>
      <c r="C2851" s="135"/>
    </row>
    <row r="2852" spans="1:3" x14ac:dyDescent="0.2">
      <c r="A2852" s="9"/>
      <c r="B2852" s="135">
        <v>21.63</v>
      </c>
      <c r="C2852" s="135"/>
    </row>
    <row r="2853" spans="1:3" x14ac:dyDescent="0.2">
      <c r="A2853" s="9"/>
      <c r="B2853" s="135">
        <v>21.64</v>
      </c>
      <c r="C2853" s="135"/>
    </row>
    <row r="2854" spans="1:3" x14ac:dyDescent="0.2">
      <c r="A2854" s="9"/>
      <c r="B2854" s="135">
        <v>21.65</v>
      </c>
      <c r="C2854" s="135"/>
    </row>
    <row r="2855" spans="1:3" x14ac:dyDescent="0.2">
      <c r="A2855" s="9"/>
      <c r="B2855" s="135">
        <v>21.66</v>
      </c>
      <c r="C2855" s="135"/>
    </row>
    <row r="2856" spans="1:3" x14ac:dyDescent="0.2">
      <c r="A2856" s="9"/>
      <c r="B2856" s="135">
        <v>21.67</v>
      </c>
      <c r="C2856" s="135"/>
    </row>
    <row r="2857" spans="1:3" x14ac:dyDescent="0.2">
      <c r="A2857" s="9"/>
      <c r="B2857" s="135">
        <v>21.68</v>
      </c>
      <c r="C2857" s="135"/>
    </row>
    <row r="2858" spans="1:3" x14ac:dyDescent="0.2">
      <c r="A2858" s="9"/>
      <c r="B2858" s="135">
        <v>21.69</v>
      </c>
      <c r="C2858" s="135"/>
    </row>
    <row r="2859" spans="1:3" x14ac:dyDescent="0.2">
      <c r="A2859" s="9"/>
      <c r="B2859" s="135">
        <v>21.7</v>
      </c>
      <c r="C2859" s="135"/>
    </row>
    <row r="2860" spans="1:3" x14ac:dyDescent="0.2">
      <c r="A2860" s="9"/>
      <c r="B2860" s="135">
        <v>21.71</v>
      </c>
      <c r="C2860" s="135"/>
    </row>
    <row r="2861" spans="1:3" x14ac:dyDescent="0.2">
      <c r="A2861" s="9"/>
      <c r="B2861" s="135">
        <v>21.72</v>
      </c>
      <c r="C2861" s="135"/>
    </row>
    <row r="2862" spans="1:3" x14ac:dyDescent="0.2">
      <c r="A2862" s="9"/>
      <c r="B2862" s="135">
        <v>21.73</v>
      </c>
      <c r="C2862" s="135"/>
    </row>
    <row r="2863" spans="1:3" x14ac:dyDescent="0.2">
      <c r="A2863" s="9"/>
      <c r="B2863" s="135">
        <v>21.74</v>
      </c>
      <c r="C2863" s="135"/>
    </row>
    <row r="2864" spans="1:3" x14ac:dyDescent="0.2">
      <c r="A2864" s="9"/>
      <c r="B2864" s="135">
        <v>21.75</v>
      </c>
      <c r="C2864" s="135"/>
    </row>
    <row r="2865" spans="1:3" x14ac:dyDescent="0.2">
      <c r="A2865" s="9"/>
      <c r="B2865" s="135">
        <v>21.76</v>
      </c>
      <c r="C2865" s="135"/>
    </row>
    <row r="2866" spans="1:3" x14ac:dyDescent="0.2">
      <c r="A2866" s="9"/>
      <c r="B2866" s="135">
        <v>21.77</v>
      </c>
      <c r="C2866" s="135"/>
    </row>
    <row r="2867" spans="1:3" x14ac:dyDescent="0.2">
      <c r="A2867" s="9"/>
      <c r="B2867" s="135">
        <v>21.78</v>
      </c>
      <c r="C2867" s="135"/>
    </row>
    <row r="2868" spans="1:3" x14ac:dyDescent="0.2">
      <c r="A2868" s="9"/>
      <c r="B2868" s="135">
        <v>21.79</v>
      </c>
      <c r="C2868" s="135"/>
    </row>
    <row r="2869" spans="1:3" x14ac:dyDescent="0.2">
      <c r="A2869" s="9"/>
      <c r="B2869" s="135">
        <v>21.8</v>
      </c>
      <c r="C2869" s="135"/>
    </row>
    <row r="2870" spans="1:3" x14ac:dyDescent="0.2">
      <c r="A2870" s="9"/>
      <c r="B2870" s="135">
        <v>21.81</v>
      </c>
      <c r="C2870" s="135"/>
    </row>
    <row r="2871" spans="1:3" x14ac:dyDescent="0.2">
      <c r="A2871" s="9"/>
      <c r="B2871" s="135">
        <v>21.82</v>
      </c>
      <c r="C2871" s="135"/>
    </row>
    <row r="2872" spans="1:3" x14ac:dyDescent="0.2">
      <c r="A2872" s="9"/>
      <c r="B2872" s="135">
        <v>21.83</v>
      </c>
      <c r="C2872" s="135"/>
    </row>
    <row r="2873" spans="1:3" x14ac:dyDescent="0.2">
      <c r="A2873" s="9"/>
      <c r="B2873" s="135">
        <v>21.84</v>
      </c>
      <c r="C2873" s="135"/>
    </row>
    <row r="2874" spans="1:3" x14ac:dyDescent="0.2">
      <c r="A2874" s="9"/>
      <c r="B2874" s="135">
        <v>21.85</v>
      </c>
      <c r="C2874" s="135"/>
    </row>
    <row r="2875" spans="1:3" x14ac:dyDescent="0.2">
      <c r="A2875" s="9"/>
      <c r="B2875" s="135">
        <v>21.86</v>
      </c>
      <c r="C2875" s="135"/>
    </row>
    <row r="2876" spans="1:3" x14ac:dyDescent="0.2">
      <c r="A2876" s="9"/>
      <c r="B2876" s="135">
        <v>21.87</v>
      </c>
      <c r="C2876" s="135"/>
    </row>
    <row r="2877" spans="1:3" x14ac:dyDescent="0.2">
      <c r="A2877" s="9"/>
      <c r="B2877" s="135">
        <v>21.88</v>
      </c>
      <c r="C2877" s="135"/>
    </row>
    <row r="2878" spans="1:3" x14ac:dyDescent="0.2">
      <c r="A2878" s="9"/>
      <c r="B2878" s="135">
        <v>21.89</v>
      </c>
      <c r="C2878" s="135"/>
    </row>
    <row r="2879" spans="1:3" x14ac:dyDescent="0.2">
      <c r="A2879" s="9"/>
      <c r="B2879" s="135">
        <v>21.9</v>
      </c>
      <c r="C2879" s="135"/>
    </row>
    <row r="2880" spans="1:3" x14ac:dyDescent="0.2">
      <c r="A2880" s="9"/>
      <c r="B2880" s="135">
        <v>21.91</v>
      </c>
      <c r="C2880" s="135"/>
    </row>
    <row r="2881" spans="1:3" x14ac:dyDescent="0.2">
      <c r="A2881" s="9"/>
      <c r="B2881" s="135">
        <v>21.92</v>
      </c>
      <c r="C2881" s="135"/>
    </row>
    <row r="2882" spans="1:3" x14ac:dyDescent="0.2">
      <c r="A2882" s="9"/>
      <c r="B2882" s="135">
        <v>21.93</v>
      </c>
      <c r="C2882" s="135"/>
    </row>
    <row r="2883" spans="1:3" x14ac:dyDescent="0.2">
      <c r="A2883" s="9"/>
      <c r="B2883" s="135">
        <v>21.94</v>
      </c>
      <c r="C2883" s="135"/>
    </row>
    <row r="2884" spans="1:3" x14ac:dyDescent="0.2">
      <c r="A2884" s="9"/>
      <c r="B2884" s="135">
        <v>21.95</v>
      </c>
      <c r="C2884" s="135"/>
    </row>
    <row r="2885" spans="1:3" x14ac:dyDescent="0.2">
      <c r="A2885" s="9"/>
      <c r="B2885" s="135">
        <v>21.96</v>
      </c>
      <c r="C2885" s="135"/>
    </row>
    <row r="2886" spans="1:3" x14ac:dyDescent="0.2">
      <c r="A2886" s="9"/>
      <c r="B2886" s="135">
        <v>21.97</v>
      </c>
      <c r="C2886" s="135"/>
    </row>
    <row r="2887" spans="1:3" x14ac:dyDescent="0.2">
      <c r="A2887" s="9"/>
      <c r="B2887" s="135">
        <v>21.98</v>
      </c>
      <c r="C2887" s="135"/>
    </row>
    <row r="2888" spans="1:3" x14ac:dyDescent="0.2">
      <c r="A2888" s="9"/>
      <c r="B2888" s="135">
        <v>21.99</v>
      </c>
      <c r="C2888" s="135"/>
    </row>
    <row r="2889" spans="1:3" x14ac:dyDescent="0.2">
      <c r="A2889" s="9"/>
      <c r="B2889" s="135">
        <v>22</v>
      </c>
      <c r="C2889" s="135"/>
    </row>
    <row r="2890" spans="1:3" x14ac:dyDescent="0.2">
      <c r="A2890" s="9"/>
      <c r="B2890" s="135">
        <v>22.01</v>
      </c>
      <c r="C2890" s="135"/>
    </row>
    <row r="2891" spans="1:3" x14ac:dyDescent="0.2">
      <c r="A2891" s="9"/>
      <c r="B2891" s="135">
        <v>22.02</v>
      </c>
      <c r="C2891" s="135"/>
    </row>
    <row r="2892" spans="1:3" x14ac:dyDescent="0.2">
      <c r="A2892" s="9"/>
      <c r="B2892" s="135">
        <v>22.03</v>
      </c>
      <c r="C2892" s="135"/>
    </row>
    <row r="2893" spans="1:3" x14ac:dyDescent="0.2">
      <c r="A2893" s="9"/>
      <c r="B2893" s="135">
        <v>22.04</v>
      </c>
      <c r="C2893" s="135"/>
    </row>
    <row r="2894" spans="1:3" x14ac:dyDescent="0.2">
      <c r="A2894" s="9"/>
      <c r="B2894" s="135">
        <v>22.05</v>
      </c>
      <c r="C2894" s="135"/>
    </row>
    <row r="2895" spans="1:3" x14ac:dyDescent="0.2">
      <c r="A2895" s="9"/>
      <c r="B2895" s="135">
        <v>22.06</v>
      </c>
      <c r="C2895" s="135"/>
    </row>
    <row r="2896" spans="1:3" x14ac:dyDescent="0.2">
      <c r="A2896" s="9"/>
      <c r="B2896" s="135">
        <v>22.07</v>
      </c>
      <c r="C2896" s="135"/>
    </row>
    <row r="2897" spans="1:3" x14ac:dyDescent="0.2">
      <c r="A2897" s="9"/>
      <c r="B2897" s="135">
        <v>22.08</v>
      </c>
      <c r="C2897" s="135"/>
    </row>
    <row r="2898" spans="1:3" x14ac:dyDescent="0.2">
      <c r="A2898" s="9"/>
      <c r="B2898" s="135">
        <v>22.09</v>
      </c>
      <c r="C2898" s="135"/>
    </row>
    <row r="2899" spans="1:3" x14ac:dyDescent="0.2">
      <c r="A2899" s="9"/>
      <c r="B2899" s="135">
        <v>22.1</v>
      </c>
      <c r="C2899" s="135"/>
    </row>
    <row r="2900" spans="1:3" x14ac:dyDescent="0.2">
      <c r="A2900" s="9"/>
      <c r="B2900" s="135">
        <v>22.11</v>
      </c>
      <c r="C2900" s="135"/>
    </row>
    <row r="2901" spans="1:3" x14ac:dyDescent="0.2">
      <c r="A2901" s="9"/>
      <c r="B2901" s="135">
        <v>22.12</v>
      </c>
      <c r="C2901" s="135"/>
    </row>
    <row r="2902" spans="1:3" x14ac:dyDescent="0.2">
      <c r="A2902" s="9"/>
      <c r="B2902" s="135">
        <v>22.13</v>
      </c>
      <c r="C2902" s="135"/>
    </row>
    <row r="2903" spans="1:3" x14ac:dyDescent="0.2">
      <c r="A2903" s="9"/>
      <c r="B2903" s="135">
        <v>22.14</v>
      </c>
      <c r="C2903" s="135"/>
    </row>
    <row r="2904" spans="1:3" x14ac:dyDescent="0.2">
      <c r="A2904" s="9"/>
      <c r="B2904" s="135">
        <v>22.15</v>
      </c>
      <c r="C2904" s="135"/>
    </row>
    <row r="2905" spans="1:3" x14ac:dyDescent="0.2">
      <c r="A2905" s="9"/>
      <c r="B2905" s="135">
        <v>22.16</v>
      </c>
      <c r="C2905" s="135"/>
    </row>
    <row r="2906" spans="1:3" x14ac:dyDescent="0.2">
      <c r="A2906" s="9"/>
      <c r="B2906" s="135">
        <v>22.17</v>
      </c>
      <c r="C2906" s="135"/>
    </row>
    <row r="2907" spans="1:3" x14ac:dyDescent="0.2">
      <c r="A2907" s="9"/>
      <c r="B2907" s="135">
        <v>22.18</v>
      </c>
      <c r="C2907" s="135"/>
    </row>
    <row r="2908" spans="1:3" x14ac:dyDescent="0.2">
      <c r="A2908" s="9"/>
      <c r="B2908" s="135">
        <v>22.19</v>
      </c>
      <c r="C2908" s="135"/>
    </row>
    <row r="2909" spans="1:3" x14ac:dyDescent="0.2">
      <c r="A2909" s="9"/>
      <c r="B2909" s="135">
        <v>22.2</v>
      </c>
      <c r="C2909" s="135"/>
    </row>
    <row r="2910" spans="1:3" x14ac:dyDescent="0.2">
      <c r="A2910" s="9"/>
      <c r="B2910" s="135">
        <v>22.21</v>
      </c>
      <c r="C2910" s="135"/>
    </row>
    <row r="2911" spans="1:3" x14ac:dyDescent="0.2">
      <c r="A2911" s="9"/>
      <c r="B2911" s="135">
        <v>22.22</v>
      </c>
      <c r="C2911" s="135"/>
    </row>
    <row r="2912" spans="1:3" x14ac:dyDescent="0.2">
      <c r="A2912" s="9"/>
      <c r="B2912" s="135">
        <v>22.23</v>
      </c>
      <c r="C2912" s="135"/>
    </row>
    <row r="2913" spans="1:3" x14ac:dyDescent="0.2">
      <c r="A2913" s="9"/>
      <c r="B2913" s="135">
        <v>22.24</v>
      </c>
      <c r="C2913" s="135"/>
    </row>
    <row r="2914" spans="1:3" x14ac:dyDescent="0.2">
      <c r="A2914" s="9"/>
      <c r="B2914" s="135">
        <v>22.25</v>
      </c>
      <c r="C2914" s="135"/>
    </row>
    <row r="2915" spans="1:3" x14ac:dyDescent="0.2">
      <c r="A2915" s="9"/>
      <c r="B2915" s="135">
        <v>22.26</v>
      </c>
      <c r="C2915" s="135"/>
    </row>
    <row r="2916" spans="1:3" x14ac:dyDescent="0.2">
      <c r="A2916" s="9"/>
      <c r="B2916" s="135">
        <v>22.27</v>
      </c>
      <c r="C2916" s="135"/>
    </row>
    <row r="2917" spans="1:3" x14ac:dyDescent="0.2">
      <c r="A2917" s="9"/>
      <c r="B2917" s="135">
        <v>22.28</v>
      </c>
      <c r="C2917" s="135"/>
    </row>
    <row r="2918" spans="1:3" x14ac:dyDescent="0.2">
      <c r="A2918" s="9"/>
      <c r="B2918" s="135">
        <v>22.29</v>
      </c>
      <c r="C2918" s="135"/>
    </row>
    <row r="2919" spans="1:3" x14ac:dyDescent="0.2">
      <c r="A2919" s="9"/>
      <c r="B2919" s="135">
        <v>22.3</v>
      </c>
      <c r="C2919" s="135"/>
    </row>
    <row r="2920" spans="1:3" x14ac:dyDescent="0.2">
      <c r="A2920" s="9"/>
      <c r="B2920" s="135">
        <v>22.31</v>
      </c>
      <c r="C2920" s="135"/>
    </row>
    <row r="2921" spans="1:3" x14ac:dyDescent="0.2">
      <c r="A2921" s="9"/>
      <c r="B2921" s="135">
        <v>22.32</v>
      </c>
      <c r="C2921" s="135"/>
    </row>
    <row r="2922" spans="1:3" x14ac:dyDescent="0.2">
      <c r="A2922" s="9"/>
      <c r="B2922" s="135">
        <v>22.33</v>
      </c>
      <c r="C2922" s="135"/>
    </row>
    <row r="2923" spans="1:3" x14ac:dyDescent="0.2">
      <c r="A2923" s="9"/>
      <c r="B2923" s="135">
        <v>22.34</v>
      </c>
      <c r="C2923" s="135"/>
    </row>
    <row r="2924" spans="1:3" x14ac:dyDescent="0.2">
      <c r="A2924" s="9"/>
      <c r="B2924" s="135">
        <v>22.35</v>
      </c>
      <c r="C2924" s="135"/>
    </row>
    <row r="2925" spans="1:3" x14ac:dyDescent="0.2">
      <c r="A2925" s="9"/>
      <c r="B2925" s="135">
        <v>22.36</v>
      </c>
      <c r="C2925" s="135"/>
    </row>
    <row r="2926" spans="1:3" x14ac:dyDescent="0.2">
      <c r="A2926" s="9"/>
      <c r="B2926" s="135">
        <v>22.37</v>
      </c>
      <c r="C2926" s="135"/>
    </row>
    <row r="2927" spans="1:3" x14ac:dyDescent="0.2">
      <c r="A2927" s="9"/>
      <c r="B2927" s="135">
        <v>22.38</v>
      </c>
      <c r="C2927" s="135"/>
    </row>
    <row r="2928" spans="1:3" x14ac:dyDescent="0.2">
      <c r="A2928" s="9"/>
      <c r="B2928" s="135">
        <v>22.39</v>
      </c>
      <c r="C2928" s="135"/>
    </row>
    <row r="2929" spans="1:3" x14ac:dyDescent="0.2">
      <c r="A2929" s="9"/>
      <c r="B2929" s="135">
        <v>22.4</v>
      </c>
      <c r="C2929" s="135"/>
    </row>
    <row r="2930" spans="1:3" x14ac:dyDescent="0.2">
      <c r="A2930" s="9"/>
      <c r="B2930" s="135">
        <v>22.41</v>
      </c>
      <c r="C2930" s="135"/>
    </row>
    <row r="2931" spans="1:3" x14ac:dyDescent="0.2">
      <c r="A2931" s="9"/>
      <c r="B2931" s="135">
        <v>22.42</v>
      </c>
      <c r="C2931" s="135"/>
    </row>
    <row r="2932" spans="1:3" x14ac:dyDescent="0.2">
      <c r="A2932" s="9"/>
      <c r="B2932" s="135">
        <v>22.43</v>
      </c>
      <c r="C2932" s="135"/>
    </row>
    <row r="2933" spans="1:3" x14ac:dyDescent="0.2">
      <c r="A2933" s="9"/>
      <c r="B2933" s="135">
        <v>22.44</v>
      </c>
      <c r="C2933" s="135"/>
    </row>
    <row r="2934" spans="1:3" x14ac:dyDescent="0.2">
      <c r="A2934" s="9"/>
      <c r="B2934" s="135">
        <v>22.45</v>
      </c>
      <c r="C2934" s="135"/>
    </row>
    <row r="2935" spans="1:3" x14ac:dyDescent="0.2">
      <c r="A2935" s="9"/>
      <c r="B2935" s="135">
        <v>22.46</v>
      </c>
      <c r="C2935" s="135"/>
    </row>
    <row r="2936" spans="1:3" x14ac:dyDescent="0.2">
      <c r="A2936" s="9"/>
      <c r="B2936" s="135">
        <v>22.47</v>
      </c>
      <c r="C2936" s="135"/>
    </row>
    <row r="2937" spans="1:3" x14ac:dyDescent="0.2">
      <c r="A2937" s="9"/>
      <c r="B2937" s="135">
        <v>22.48</v>
      </c>
      <c r="C2937" s="135"/>
    </row>
    <row r="2938" spans="1:3" x14ac:dyDescent="0.2">
      <c r="A2938" s="9"/>
      <c r="B2938" s="135">
        <v>22.49</v>
      </c>
      <c r="C2938" s="135"/>
    </row>
    <row r="2939" spans="1:3" x14ac:dyDescent="0.2">
      <c r="A2939" s="9"/>
      <c r="B2939" s="135">
        <v>22.5</v>
      </c>
      <c r="C2939" s="135"/>
    </row>
    <row r="2940" spans="1:3" x14ac:dyDescent="0.2">
      <c r="A2940" s="9"/>
      <c r="B2940" s="135">
        <v>22.51</v>
      </c>
      <c r="C2940" s="135"/>
    </row>
    <row r="2941" spans="1:3" x14ac:dyDescent="0.2">
      <c r="A2941" s="9"/>
      <c r="B2941" s="135">
        <v>22.52</v>
      </c>
      <c r="C2941" s="135"/>
    </row>
    <row r="2942" spans="1:3" x14ac:dyDescent="0.2">
      <c r="A2942" s="9"/>
      <c r="B2942" s="135">
        <v>22.53</v>
      </c>
      <c r="C2942" s="135"/>
    </row>
    <row r="2943" spans="1:3" x14ac:dyDescent="0.2">
      <c r="A2943" s="9"/>
      <c r="B2943" s="135">
        <v>22.54</v>
      </c>
      <c r="C2943" s="135"/>
    </row>
    <row r="2944" spans="1:3" x14ac:dyDescent="0.2">
      <c r="A2944" s="9"/>
      <c r="B2944" s="135">
        <v>22.55</v>
      </c>
      <c r="C2944" s="135"/>
    </row>
    <row r="2945" spans="1:3" x14ac:dyDescent="0.2">
      <c r="A2945" s="9"/>
      <c r="B2945" s="135">
        <v>22.56</v>
      </c>
      <c r="C2945" s="135"/>
    </row>
    <row r="2946" spans="1:3" x14ac:dyDescent="0.2">
      <c r="A2946" s="9"/>
      <c r="B2946" s="135">
        <v>22.57</v>
      </c>
      <c r="C2946" s="135"/>
    </row>
    <row r="2947" spans="1:3" x14ac:dyDescent="0.2">
      <c r="A2947" s="9"/>
      <c r="B2947" s="135">
        <v>22.58</v>
      </c>
      <c r="C2947" s="135"/>
    </row>
    <row r="2948" spans="1:3" x14ac:dyDescent="0.2">
      <c r="A2948" s="9"/>
      <c r="B2948" s="135">
        <v>22.59</v>
      </c>
      <c r="C2948" s="135"/>
    </row>
    <row r="2949" spans="1:3" x14ac:dyDescent="0.2">
      <c r="A2949" s="9"/>
      <c r="B2949" s="135">
        <v>22.6</v>
      </c>
      <c r="C2949" s="135"/>
    </row>
    <row r="2950" spans="1:3" x14ac:dyDescent="0.2">
      <c r="A2950" s="9"/>
      <c r="B2950" s="135">
        <v>22.61</v>
      </c>
      <c r="C2950" s="135"/>
    </row>
    <row r="2951" spans="1:3" x14ac:dyDescent="0.2">
      <c r="A2951" s="9"/>
      <c r="B2951" s="135">
        <v>22.62</v>
      </c>
      <c r="C2951" s="135"/>
    </row>
    <row r="2952" spans="1:3" x14ac:dyDescent="0.2">
      <c r="A2952" s="9"/>
      <c r="B2952" s="135">
        <v>22.63</v>
      </c>
      <c r="C2952" s="135"/>
    </row>
    <row r="2953" spans="1:3" x14ac:dyDescent="0.2">
      <c r="A2953" s="9"/>
      <c r="B2953" s="135">
        <v>22.64</v>
      </c>
      <c r="C2953" s="135"/>
    </row>
    <row r="2954" spans="1:3" x14ac:dyDescent="0.2">
      <c r="A2954" s="9"/>
      <c r="B2954" s="135">
        <v>22.65</v>
      </c>
      <c r="C2954" s="135"/>
    </row>
    <row r="2955" spans="1:3" x14ac:dyDescent="0.2">
      <c r="A2955" s="9"/>
      <c r="B2955" s="135">
        <v>22.66</v>
      </c>
      <c r="C2955" s="135"/>
    </row>
    <row r="2956" spans="1:3" x14ac:dyDescent="0.2">
      <c r="A2956" s="9"/>
      <c r="B2956" s="135">
        <v>22.67</v>
      </c>
      <c r="C2956" s="135"/>
    </row>
    <row r="2957" spans="1:3" x14ac:dyDescent="0.2">
      <c r="A2957" s="9"/>
      <c r="B2957" s="135">
        <v>22.68</v>
      </c>
      <c r="C2957" s="135"/>
    </row>
    <row r="2958" spans="1:3" x14ac:dyDescent="0.2">
      <c r="A2958" s="9"/>
      <c r="B2958" s="135">
        <v>22.69</v>
      </c>
      <c r="C2958" s="135"/>
    </row>
    <row r="2959" spans="1:3" x14ac:dyDescent="0.2">
      <c r="A2959" s="9"/>
      <c r="B2959" s="135">
        <v>22.7</v>
      </c>
      <c r="C2959" s="135"/>
    </row>
    <row r="2960" spans="1:3" x14ac:dyDescent="0.2">
      <c r="A2960" s="9"/>
      <c r="B2960" s="135">
        <v>22.71</v>
      </c>
      <c r="C2960" s="135"/>
    </row>
    <row r="2961" spans="1:3" x14ac:dyDescent="0.2">
      <c r="A2961" s="9"/>
      <c r="B2961" s="135">
        <v>22.72</v>
      </c>
      <c r="C2961" s="135"/>
    </row>
    <row r="2962" spans="1:3" x14ac:dyDescent="0.2">
      <c r="A2962" s="9"/>
      <c r="B2962" s="135">
        <v>22.73</v>
      </c>
      <c r="C2962" s="135"/>
    </row>
    <row r="2963" spans="1:3" x14ac:dyDescent="0.2">
      <c r="A2963" s="9"/>
      <c r="B2963" s="135">
        <v>22.74</v>
      </c>
      <c r="C2963" s="135"/>
    </row>
    <row r="2964" spans="1:3" x14ac:dyDescent="0.2">
      <c r="A2964" s="9"/>
      <c r="B2964" s="135">
        <v>22.75</v>
      </c>
      <c r="C2964" s="135"/>
    </row>
    <row r="2965" spans="1:3" x14ac:dyDescent="0.2">
      <c r="A2965" s="9"/>
      <c r="B2965" s="135">
        <v>22.76</v>
      </c>
      <c r="C2965" s="135"/>
    </row>
    <row r="2966" spans="1:3" x14ac:dyDescent="0.2">
      <c r="A2966" s="9"/>
      <c r="B2966" s="135">
        <v>22.77</v>
      </c>
      <c r="C2966" s="135"/>
    </row>
    <row r="2967" spans="1:3" x14ac:dyDescent="0.2">
      <c r="A2967" s="9"/>
      <c r="B2967" s="135">
        <v>22.78</v>
      </c>
      <c r="C2967" s="135"/>
    </row>
    <row r="2968" spans="1:3" x14ac:dyDescent="0.2">
      <c r="A2968" s="9"/>
      <c r="B2968" s="135">
        <v>22.79</v>
      </c>
      <c r="C2968" s="135"/>
    </row>
    <row r="2969" spans="1:3" x14ac:dyDescent="0.2">
      <c r="A2969" s="9"/>
      <c r="B2969" s="135">
        <v>22.8</v>
      </c>
      <c r="C2969" s="135"/>
    </row>
    <row r="2970" spans="1:3" x14ac:dyDescent="0.2">
      <c r="A2970" s="9"/>
      <c r="B2970" s="135">
        <v>22.81</v>
      </c>
      <c r="C2970" s="135"/>
    </row>
    <row r="2971" spans="1:3" x14ac:dyDescent="0.2">
      <c r="A2971" s="9"/>
      <c r="B2971" s="135">
        <v>22.82</v>
      </c>
      <c r="C2971" s="135"/>
    </row>
    <row r="2972" spans="1:3" x14ac:dyDescent="0.2">
      <c r="A2972" s="9"/>
      <c r="B2972" s="135">
        <v>22.83</v>
      </c>
      <c r="C2972" s="135"/>
    </row>
    <row r="2973" spans="1:3" x14ac:dyDescent="0.2">
      <c r="A2973" s="9"/>
      <c r="B2973" s="135">
        <v>22.84</v>
      </c>
      <c r="C2973" s="135"/>
    </row>
    <row r="2974" spans="1:3" x14ac:dyDescent="0.2">
      <c r="A2974" s="9"/>
      <c r="B2974" s="135">
        <v>22.85</v>
      </c>
      <c r="C2974" s="135"/>
    </row>
    <row r="2975" spans="1:3" x14ac:dyDescent="0.2">
      <c r="A2975" s="9"/>
      <c r="B2975" s="135">
        <v>22.86</v>
      </c>
      <c r="C2975" s="135"/>
    </row>
    <row r="2976" spans="1:3" x14ac:dyDescent="0.2">
      <c r="A2976" s="9"/>
      <c r="B2976" s="135">
        <v>22.87</v>
      </c>
      <c r="C2976" s="135"/>
    </row>
    <row r="2977" spans="1:3" x14ac:dyDescent="0.2">
      <c r="A2977" s="9"/>
      <c r="B2977" s="135">
        <v>22.88</v>
      </c>
      <c r="C2977" s="135"/>
    </row>
    <row r="2978" spans="1:3" x14ac:dyDescent="0.2">
      <c r="A2978" s="9"/>
      <c r="B2978" s="135">
        <v>22.89</v>
      </c>
      <c r="C2978" s="135"/>
    </row>
    <row r="2979" spans="1:3" x14ac:dyDescent="0.2">
      <c r="A2979" s="9"/>
      <c r="B2979" s="135">
        <v>22.9</v>
      </c>
      <c r="C2979" s="135"/>
    </row>
    <row r="2980" spans="1:3" x14ac:dyDescent="0.2">
      <c r="A2980" s="9"/>
      <c r="B2980" s="135">
        <v>22.91</v>
      </c>
      <c r="C2980" s="135"/>
    </row>
    <row r="2981" spans="1:3" x14ac:dyDescent="0.2">
      <c r="A2981" s="9"/>
      <c r="B2981" s="135">
        <v>22.92</v>
      </c>
      <c r="C2981" s="135"/>
    </row>
    <row r="2982" spans="1:3" x14ac:dyDescent="0.2">
      <c r="A2982" s="9"/>
      <c r="B2982" s="135">
        <v>22.93</v>
      </c>
      <c r="C2982" s="135"/>
    </row>
    <row r="2983" spans="1:3" x14ac:dyDescent="0.2">
      <c r="A2983" s="9"/>
      <c r="B2983" s="135">
        <v>22.94</v>
      </c>
      <c r="C2983" s="135"/>
    </row>
    <row r="2984" spans="1:3" x14ac:dyDescent="0.2">
      <c r="A2984" s="9"/>
      <c r="B2984" s="135">
        <v>22.95</v>
      </c>
      <c r="C2984" s="135"/>
    </row>
    <row r="2985" spans="1:3" x14ac:dyDescent="0.2">
      <c r="A2985" s="9"/>
      <c r="B2985" s="135">
        <v>22.96</v>
      </c>
      <c r="C2985" s="135"/>
    </row>
    <row r="2986" spans="1:3" x14ac:dyDescent="0.2">
      <c r="A2986" s="9"/>
      <c r="B2986" s="135">
        <v>22.97</v>
      </c>
      <c r="C2986" s="135"/>
    </row>
    <row r="2987" spans="1:3" x14ac:dyDescent="0.2">
      <c r="A2987" s="9"/>
      <c r="B2987" s="135">
        <v>22.98</v>
      </c>
      <c r="C2987" s="135"/>
    </row>
    <row r="2988" spans="1:3" x14ac:dyDescent="0.2">
      <c r="A2988" s="9"/>
      <c r="B2988" s="135">
        <v>22.99</v>
      </c>
      <c r="C2988" s="135"/>
    </row>
    <row r="2989" spans="1:3" x14ac:dyDescent="0.2">
      <c r="A2989" s="9"/>
      <c r="B2989" s="135">
        <v>23</v>
      </c>
      <c r="C2989" s="135"/>
    </row>
    <row r="2990" spans="1:3" x14ac:dyDescent="0.2">
      <c r="A2990" s="9"/>
      <c r="B2990" s="135">
        <v>23.01</v>
      </c>
      <c r="C2990" s="135"/>
    </row>
    <row r="2991" spans="1:3" x14ac:dyDescent="0.2">
      <c r="A2991" s="9"/>
      <c r="B2991" s="135">
        <v>23.02</v>
      </c>
      <c r="C2991" s="135"/>
    </row>
    <row r="2992" spans="1:3" x14ac:dyDescent="0.2">
      <c r="A2992" s="9"/>
      <c r="B2992" s="135">
        <v>23.03</v>
      </c>
      <c r="C2992" s="135"/>
    </row>
    <row r="2993" spans="1:3" x14ac:dyDescent="0.2">
      <c r="A2993" s="9"/>
      <c r="B2993" s="135">
        <v>23.04</v>
      </c>
      <c r="C2993" s="135"/>
    </row>
    <row r="2994" spans="1:3" x14ac:dyDescent="0.2">
      <c r="A2994" s="9"/>
      <c r="B2994" s="135">
        <v>23.05</v>
      </c>
      <c r="C2994" s="135"/>
    </row>
    <row r="2995" spans="1:3" x14ac:dyDescent="0.2">
      <c r="A2995" s="9"/>
      <c r="B2995" s="135">
        <v>23.06</v>
      </c>
      <c r="C2995" s="135"/>
    </row>
    <row r="2996" spans="1:3" x14ac:dyDescent="0.2">
      <c r="A2996" s="9"/>
      <c r="B2996" s="135">
        <v>23.07</v>
      </c>
      <c r="C2996" s="135"/>
    </row>
    <row r="2997" spans="1:3" x14ac:dyDescent="0.2">
      <c r="A2997" s="9"/>
      <c r="B2997" s="135">
        <v>23.08</v>
      </c>
      <c r="C2997" s="135"/>
    </row>
    <row r="2998" spans="1:3" x14ac:dyDescent="0.2">
      <c r="A2998" s="9"/>
      <c r="B2998" s="135">
        <v>23.09</v>
      </c>
      <c r="C2998" s="135"/>
    </row>
    <row r="2999" spans="1:3" x14ac:dyDescent="0.2">
      <c r="A2999" s="9"/>
      <c r="B2999" s="135">
        <v>23.1</v>
      </c>
      <c r="C2999" s="135"/>
    </row>
    <row r="3000" spans="1:3" x14ac:dyDescent="0.2">
      <c r="A3000" s="9"/>
      <c r="B3000" s="135">
        <v>23.11</v>
      </c>
      <c r="C3000" s="135"/>
    </row>
    <row r="3001" spans="1:3" x14ac:dyDescent="0.2">
      <c r="A3001" s="9"/>
      <c r="B3001" s="135">
        <v>23.12</v>
      </c>
      <c r="C3001" s="135"/>
    </row>
    <row r="3002" spans="1:3" x14ac:dyDescent="0.2">
      <c r="A3002" s="9"/>
      <c r="B3002" s="135">
        <v>23.13</v>
      </c>
      <c r="C3002" s="135"/>
    </row>
    <row r="3003" spans="1:3" x14ac:dyDescent="0.2">
      <c r="A3003" s="9"/>
      <c r="B3003" s="135">
        <v>23.14</v>
      </c>
      <c r="C3003" s="135"/>
    </row>
    <row r="3004" spans="1:3" x14ac:dyDescent="0.2">
      <c r="A3004" s="9"/>
      <c r="B3004" s="135">
        <v>23.15</v>
      </c>
      <c r="C3004" s="135"/>
    </row>
    <row r="3005" spans="1:3" x14ac:dyDescent="0.2">
      <c r="A3005" s="9"/>
      <c r="B3005" s="135">
        <v>23.16</v>
      </c>
      <c r="C3005" s="135"/>
    </row>
    <row r="3006" spans="1:3" x14ac:dyDescent="0.2">
      <c r="A3006" s="9"/>
      <c r="B3006" s="135">
        <v>23.17</v>
      </c>
      <c r="C3006" s="135"/>
    </row>
    <row r="3007" spans="1:3" x14ac:dyDescent="0.2">
      <c r="A3007" s="9"/>
      <c r="B3007" s="135">
        <v>23.18</v>
      </c>
      <c r="C3007" s="135"/>
    </row>
    <row r="3008" spans="1:3" x14ac:dyDescent="0.2">
      <c r="A3008" s="9"/>
      <c r="B3008" s="135">
        <v>23.19</v>
      </c>
      <c r="C3008" s="135"/>
    </row>
    <row r="3009" spans="1:3" x14ac:dyDescent="0.2">
      <c r="A3009" s="9"/>
      <c r="B3009" s="135">
        <v>23.2</v>
      </c>
      <c r="C3009" s="135"/>
    </row>
    <row r="3010" spans="1:3" x14ac:dyDescent="0.2">
      <c r="A3010" s="9"/>
      <c r="B3010" s="135">
        <v>23.21</v>
      </c>
      <c r="C3010" s="135"/>
    </row>
    <row r="3011" spans="1:3" x14ac:dyDescent="0.2">
      <c r="A3011" s="9"/>
      <c r="B3011" s="135">
        <v>23.22</v>
      </c>
      <c r="C3011" s="135"/>
    </row>
    <row r="3012" spans="1:3" x14ac:dyDescent="0.2">
      <c r="A3012" s="9"/>
      <c r="B3012" s="135">
        <v>23.23</v>
      </c>
      <c r="C3012" s="135"/>
    </row>
    <row r="3013" spans="1:3" x14ac:dyDescent="0.2">
      <c r="A3013" s="9"/>
      <c r="B3013" s="135">
        <v>23.24</v>
      </c>
      <c r="C3013" s="135"/>
    </row>
    <row r="3014" spans="1:3" x14ac:dyDescent="0.2">
      <c r="A3014" s="9"/>
      <c r="B3014" s="135">
        <v>23.25</v>
      </c>
      <c r="C3014" s="135"/>
    </row>
    <row r="3015" spans="1:3" x14ac:dyDescent="0.2">
      <c r="A3015" s="9"/>
      <c r="B3015" s="135">
        <v>23.26</v>
      </c>
      <c r="C3015" s="135"/>
    </row>
    <row r="3016" spans="1:3" x14ac:dyDescent="0.2">
      <c r="A3016" s="9"/>
      <c r="B3016" s="135">
        <v>23.27</v>
      </c>
      <c r="C3016" s="135"/>
    </row>
    <row r="3017" spans="1:3" x14ac:dyDescent="0.2">
      <c r="A3017" s="9"/>
      <c r="B3017" s="135">
        <v>23.28</v>
      </c>
      <c r="C3017" s="135"/>
    </row>
    <row r="3018" spans="1:3" x14ac:dyDescent="0.2">
      <c r="A3018" s="9"/>
      <c r="B3018" s="135">
        <v>23.29</v>
      </c>
      <c r="C3018" s="135"/>
    </row>
    <row r="3019" spans="1:3" x14ac:dyDescent="0.2">
      <c r="A3019" s="9"/>
      <c r="B3019" s="135">
        <v>23.3</v>
      </c>
      <c r="C3019" s="135"/>
    </row>
    <row r="3020" spans="1:3" x14ac:dyDescent="0.2">
      <c r="A3020" s="9"/>
      <c r="B3020" s="135">
        <v>23.31</v>
      </c>
      <c r="C3020" s="135"/>
    </row>
    <row r="3021" spans="1:3" x14ac:dyDescent="0.2">
      <c r="A3021" s="9"/>
      <c r="B3021" s="135">
        <v>23.32</v>
      </c>
      <c r="C3021" s="135"/>
    </row>
    <row r="3022" spans="1:3" x14ac:dyDescent="0.2">
      <c r="A3022" s="9"/>
      <c r="B3022" s="135">
        <v>23.33</v>
      </c>
      <c r="C3022" s="135"/>
    </row>
    <row r="3023" spans="1:3" x14ac:dyDescent="0.2">
      <c r="A3023" s="9"/>
      <c r="B3023" s="135">
        <v>23.34</v>
      </c>
      <c r="C3023" s="135"/>
    </row>
    <row r="3024" spans="1:3" x14ac:dyDescent="0.2">
      <c r="A3024" s="9"/>
      <c r="B3024" s="135">
        <v>23.35</v>
      </c>
      <c r="C3024" s="135"/>
    </row>
    <row r="3025" spans="1:3" x14ac:dyDescent="0.2">
      <c r="A3025" s="9"/>
      <c r="B3025" s="135">
        <v>23.36</v>
      </c>
      <c r="C3025" s="135"/>
    </row>
    <row r="3026" spans="1:3" x14ac:dyDescent="0.2">
      <c r="A3026" s="9"/>
      <c r="B3026" s="135">
        <v>23.37</v>
      </c>
      <c r="C3026" s="135"/>
    </row>
    <row r="3027" spans="1:3" x14ac:dyDescent="0.2">
      <c r="A3027" s="9"/>
      <c r="B3027" s="135">
        <v>23.38</v>
      </c>
      <c r="C3027" s="135"/>
    </row>
    <row r="3028" spans="1:3" x14ac:dyDescent="0.2">
      <c r="A3028" s="9"/>
      <c r="B3028" s="135">
        <v>23.39</v>
      </c>
      <c r="C3028" s="135"/>
    </row>
    <row r="3029" spans="1:3" x14ac:dyDescent="0.2">
      <c r="A3029" s="9"/>
      <c r="B3029" s="135">
        <v>23.4</v>
      </c>
      <c r="C3029" s="135"/>
    </row>
    <row r="3030" spans="1:3" x14ac:dyDescent="0.2">
      <c r="A3030" s="9"/>
      <c r="B3030" s="135">
        <v>23.41</v>
      </c>
      <c r="C3030" s="135"/>
    </row>
    <row r="3031" spans="1:3" x14ac:dyDescent="0.2">
      <c r="A3031" s="9"/>
      <c r="B3031" s="135">
        <v>23.42</v>
      </c>
      <c r="C3031" s="135"/>
    </row>
    <row r="3032" spans="1:3" x14ac:dyDescent="0.2">
      <c r="A3032" s="9"/>
      <c r="B3032" s="135">
        <v>23.43</v>
      </c>
      <c r="C3032" s="135"/>
    </row>
    <row r="3033" spans="1:3" x14ac:dyDescent="0.2">
      <c r="A3033" s="9"/>
      <c r="B3033" s="135">
        <v>23.44</v>
      </c>
      <c r="C3033" s="135"/>
    </row>
    <row r="3034" spans="1:3" x14ac:dyDescent="0.2">
      <c r="A3034" s="9"/>
      <c r="B3034" s="135">
        <v>23.45</v>
      </c>
      <c r="C3034" s="135"/>
    </row>
    <row r="3035" spans="1:3" x14ac:dyDescent="0.2">
      <c r="A3035" s="9"/>
      <c r="B3035" s="135">
        <v>23.46</v>
      </c>
      <c r="C3035" s="135"/>
    </row>
    <row r="3036" spans="1:3" x14ac:dyDescent="0.2">
      <c r="A3036" s="9"/>
      <c r="B3036" s="135">
        <v>23.47</v>
      </c>
      <c r="C3036" s="135"/>
    </row>
    <row r="3037" spans="1:3" x14ac:dyDescent="0.2">
      <c r="A3037" s="9"/>
      <c r="B3037" s="135">
        <v>23.48</v>
      </c>
      <c r="C3037" s="135"/>
    </row>
    <row r="3038" spans="1:3" x14ac:dyDescent="0.2">
      <c r="A3038" s="9"/>
      <c r="B3038" s="135">
        <v>23.49</v>
      </c>
      <c r="C3038" s="135"/>
    </row>
    <row r="3039" spans="1:3" x14ac:dyDescent="0.2">
      <c r="A3039" s="9"/>
      <c r="B3039" s="135">
        <v>23.5</v>
      </c>
      <c r="C3039" s="135"/>
    </row>
    <row r="3040" spans="1:3" x14ac:dyDescent="0.2">
      <c r="A3040" s="9"/>
      <c r="B3040" s="135">
        <v>23.51</v>
      </c>
      <c r="C3040" s="135"/>
    </row>
    <row r="3041" spans="1:3" x14ac:dyDescent="0.2">
      <c r="A3041" s="9"/>
      <c r="B3041" s="135">
        <v>23.52</v>
      </c>
      <c r="C3041" s="135"/>
    </row>
    <row r="3042" spans="1:3" x14ac:dyDescent="0.2">
      <c r="A3042" s="9"/>
      <c r="B3042" s="135">
        <v>23.53</v>
      </c>
      <c r="C3042" s="135"/>
    </row>
    <row r="3043" spans="1:3" x14ac:dyDescent="0.2">
      <c r="A3043" s="9"/>
      <c r="B3043" s="135">
        <v>23.54</v>
      </c>
      <c r="C3043" s="135"/>
    </row>
    <row r="3044" spans="1:3" x14ac:dyDescent="0.2">
      <c r="A3044" s="9"/>
      <c r="B3044" s="135">
        <v>23.55</v>
      </c>
      <c r="C3044" s="135"/>
    </row>
    <row r="3045" spans="1:3" x14ac:dyDescent="0.2">
      <c r="A3045" s="9"/>
      <c r="B3045" s="135">
        <v>23.56</v>
      </c>
      <c r="C3045" s="135"/>
    </row>
    <row r="3046" spans="1:3" x14ac:dyDescent="0.2">
      <c r="A3046" s="9"/>
      <c r="B3046" s="135">
        <v>23.57</v>
      </c>
      <c r="C3046" s="135"/>
    </row>
    <row r="3047" spans="1:3" x14ac:dyDescent="0.2">
      <c r="A3047" s="9"/>
      <c r="B3047" s="135">
        <v>23.58</v>
      </c>
      <c r="C3047" s="135"/>
    </row>
    <row r="3048" spans="1:3" x14ac:dyDescent="0.2">
      <c r="A3048" s="9"/>
      <c r="B3048" s="135">
        <v>23.59</v>
      </c>
      <c r="C3048" s="135"/>
    </row>
    <row r="3049" spans="1:3" x14ac:dyDescent="0.2">
      <c r="A3049" s="9"/>
      <c r="B3049" s="135">
        <v>23.6</v>
      </c>
      <c r="C3049" s="135"/>
    </row>
    <row r="3050" spans="1:3" x14ac:dyDescent="0.2">
      <c r="A3050" s="9"/>
      <c r="B3050" s="135">
        <v>23.61</v>
      </c>
      <c r="C3050" s="135"/>
    </row>
    <row r="3051" spans="1:3" x14ac:dyDescent="0.2">
      <c r="A3051" s="9"/>
      <c r="B3051" s="135">
        <v>23.62</v>
      </c>
      <c r="C3051" s="135"/>
    </row>
    <row r="3052" spans="1:3" x14ac:dyDescent="0.2">
      <c r="A3052" s="9"/>
      <c r="B3052" s="135">
        <v>23.63</v>
      </c>
      <c r="C3052" s="135"/>
    </row>
    <row r="3053" spans="1:3" x14ac:dyDescent="0.2">
      <c r="A3053" s="9"/>
      <c r="B3053" s="135">
        <v>23.64</v>
      </c>
      <c r="C3053" s="135"/>
    </row>
    <row r="3054" spans="1:3" x14ac:dyDescent="0.2">
      <c r="A3054" s="9"/>
      <c r="B3054" s="135">
        <v>23.65</v>
      </c>
      <c r="C3054" s="135"/>
    </row>
    <row r="3055" spans="1:3" x14ac:dyDescent="0.2">
      <c r="A3055" s="9"/>
      <c r="B3055" s="135">
        <v>23.66</v>
      </c>
      <c r="C3055" s="135"/>
    </row>
    <row r="3056" spans="1:3" x14ac:dyDescent="0.2">
      <c r="A3056" s="9"/>
      <c r="B3056" s="135">
        <v>23.67</v>
      </c>
      <c r="C3056" s="135"/>
    </row>
    <row r="3057" spans="1:3" x14ac:dyDescent="0.2">
      <c r="A3057" s="9"/>
      <c r="B3057" s="135">
        <v>23.68</v>
      </c>
      <c r="C3057" s="135"/>
    </row>
    <row r="3058" spans="1:3" x14ac:dyDescent="0.2">
      <c r="A3058" s="9"/>
      <c r="B3058" s="135">
        <v>23.69</v>
      </c>
      <c r="C3058" s="135"/>
    </row>
    <row r="3059" spans="1:3" x14ac:dyDescent="0.2">
      <c r="A3059" s="9"/>
      <c r="B3059" s="135">
        <v>23.7</v>
      </c>
      <c r="C3059" s="135"/>
    </row>
    <row r="3060" spans="1:3" x14ac:dyDescent="0.2">
      <c r="A3060" s="9"/>
      <c r="B3060" s="135">
        <v>23.71</v>
      </c>
      <c r="C3060" s="135"/>
    </row>
    <row r="3061" spans="1:3" x14ac:dyDescent="0.2">
      <c r="A3061" s="9"/>
      <c r="B3061" s="135">
        <v>23.72</v>
      </c>
      <c r="C3061" s="135"/>
    </row>
    <row r="3062" spans="1:3" x14ac:dyDescent="0.2">
      <c r="A3062" s="9"/>
      <c r="B3062" s="135">
        <v>23.73</v>
      </c>
      <c r="C3062" s="135"/>
    </row>
    <row r="3063" spans="1:3" x14ac:dyDescent="0.2">
      <c r="A3063" s="9"/>
      <c r="B3063" s="135">
        <v>23.74</v>
      </c>
      <c r="C3063" s="135"/>
    </row>
    <row r="3064" spans="1:3" x14ac:dyDescent="0.2">
      <c r="A3064" s="9"/>
      <c r="B3064" s="135">
        <v>23.75</v>
      </c>
      <c r="C3064" s="135"/>
    </row>
    <row r="3065" spans="1:3" x14ac:dyDescent="0.2">
      <c r="A3065" s="9"/>
      <c r="B3065" s="135">
        <v>23.76</v>
      </c>
      <c r="C3065" s="135"/>
    </row>
    <row r="3066" spans="1:3" x14ac:dyDescent="0.2">
      <c r="A3066" s="9"/>
      <c r="B3066" s="135">
        <v>23.77</v>
      </c>
      <c r="C3066" s="135"/>
    </row>
    <row r="3067" spans="1:3" x14ac:dyDescent="0.2">
      <c r="A3067" s="9"/>
      <c r="B3067" s="135">
        <v>23.78</v>
      </c>
      <c r="C3067" s="135"/>
    </row>
    <row r="3068" spans="1:3" x14ac:dyDescent="0.2">
      <c r="A3068" s="9"/>
      <c r="B3068" s="135">
        <v>23.79</v>
      </c>
      <c r="C3068" s="135"/>
    </row>
    <row r="3069" spans="1:3" x14ac:dyDescent="0.2">
      <c r="A3069" s="9"/>
      <c r="B3069" s="135">
        <v>23.8</v>
      </c>
      <c r="C3069" s="135"/>
    </row>
    <row r="3070" spans="1:3" x14ac:dyDescent="0.2">
      <c r="A3070" s="9"/>
      <c r="B3070" s="135">
        <v>23.81</v>
      </c>
      <c r="C3070" s="135"/>
    </row>
    <row r="3071" spans="1:3" x14ac:dyDescent="0.2">
      <c r="A3071" s="9"/>
      <c r="B3071" s="135">
        <v>23.82</v>
      </c>
      <c r="C3071" s="135"/>
    </row>
    <row r="3072" spans="1:3" x14ac:dyDescent="0.2">
      <c r="A3072" s="9"/>
      <c r="B3072" s="135">
        <v>23.83</v>
      </c>
      <c r="C3072" s="135"/>
    </row>
    <row r="3073" spans="1:3" x14ac:dyDescent="0.2">
      <c r="A3073" s="9"/>
      <c r="B3073" s="135">
        <v>23.84</v>
      </c>
      <c r="C3073" s="135"/>
    </row>
    <row r="3074" spans="1:3" x14ac:dyDescent="0.2">
      <c r="A3074" s="9"/>
      <c r="B3074" s="135">
        <v>23.85</v>
      </c>
      <c r="C3074" s="135"/>
    </row>
    <row r="3075" spans="1:3" x14ac:dyDescent="0.2">
      <c r="A3075" s="9"/>
      <c r="B3075" s="135">
        <v>23.86</v>
      </c>
      <c r="C3075" s="135"/>
    </row>
    <row r="3076" spans="1:3" x14ac:dyDescent="0.2">
      <c r="A3076" s="9"/>
      <c r="B3076" s="135">
        <v>23.87</v>
      </c>
      <c r="C3076" s="135"/>
    </row>
    <row r="3077" spans="1:3" x14ac:dyDescent="0.2">
      <c r="A3077" s="9"/>
      <c r="B3077" s="135">
        <v>23.88</v>
      </c>
      <c r="C3077" s="135"/>
    </row>
    <row r="3078" spans="1:3" x14ac:dyDescent="0.2">
      <c r="A3078" s="9"/>
      <c r="B3078" s="135">
        <v>23.89</v>
      </c>
      <c r="C3078" s="135"/>
    </row>
    <row r="3079" spans="1:3" x14ac:dyDescent="0.2">
      <c r="A3079" s="9"/>
      <c r="B3079" s="135">
        <v>23.9</v>
      </c>
      <c r="C3079" s="135"/>
    </row>
    <row r="3080" spans="1:3" x14ac:dyDescent="0.2">
      <c r="A3080" s="9"/>
      <c r="B3080" s="135">
        <v>23.91</v>
      </c>
      <c r="C3080" s="135"/>
    </row>
    <row r="3081" spans="1:3" x14ac:dyDescent="0.2">
      <c r="A3081" s="9"/>
      <c r="B3081" s="135">
        <v>23.92</v>
      </c>
      <c r="C3081" s="135"/>
    </row>
    <row r="3082" spans="1:3" x14ac:dyDescent="0.2">
      <c r="A3082" s="9"/>
      <c r="B3082" s="135">
        <v>23.93</v>
      </c>
      <c r="C3082" s="135"/>
    </row>
    <row r="3083" spans="1:3" x14ac:dyDescent="0.2">
      <c r="A3083" s="9"/>
      <c r="B3083" s="135">
        <v>23.94</v>
      </c>
      <c r="C3083" s="135"/>
    </row>
    <row r="3084" spans="1:3" x14ac:dyDescent="0.2">
      <c r="A3084" s="9"/>
      <c r="B3084" s="135">
        <v>23.95</v>
      </c>
      <c r="C3084" s="135"/>
    </row>
    <row r="3085" spans="1:3" x14ac:dyDescent="0.2">
      <c r="A3085" s="9"/>
      <c r="B3085" s="135">
        <v>23.96</v>
      </c>
      <c r="C3085" s="135"/>
    </row>
    <row r="3086" spans="1:3" x14ac:dyDescent="0.2">
      <c r="A3086" s="9"/>
      <c r="B3086" s="135">
        <v>23.97</v>
      </c>
      <c r="C3086" s="135"/>
    </row>
    <row r="3087" spans="1:3" x14ac:dyDescent="0.2">
      <c r="A3087" s="9"/>
      <c r="B3087" s="135">
        <v>23.98</v>
      </c>
      <c r="C3087" s="135"/>
    </row>
    <row r="3088" spans="1:3" x14ac:dyDescent="0.2">
      <c r="A3088" s="9"/>
      <c r="B3088" s="135">
        <v>23.99</v>
      </c>
      <c r="C3088" s="135"/>
    </row>
    <row r="3089" spans="1:3" x14ac:dyDescent="0.2">
      <c r="A3089" s="9"/>
      <c r="B3089" s="135">
        <v>24</v>
      </c>
      <c r="C3089" s="135"/>
    </row>
    <row r="3090" spans="1:3" x14ac:dyDescent="0.2">
      <c r="A3090" s="9"/>
      <c r="B3090" s="135">
        <v>24.01</v>
      </c>
      <c r="C3090" s="135"/>
    </row>
    <row r="3091" spans="1:3" x14ac:dyDescent="0.2">
      <c r="A3091" s="9"/>
      <c r="B3091" s="135">
        <v>24.02</v>
      </c>
      <c r="C3091" s="135"/>
    </row>
    <row r="3092" spans="1:3" x14ac:dyDescent="0.2">
      <c r="A3092" s="9"/>
      <c r="B3092" s="135">
        <v>24.03</v>
      </c>
      <c r="C3092" s="135"/>
    </row>
    <row r="3093" spans="1:3" x14ac:dyDescent="0.2">
      <c r="A3093" s="9"/>
      <c r="B3093" s="135">
        <v>24.04</v>
      </c>
      <c r="C3093" s="135"/>
    </row>
    <row r="3094" spans="1:3" x14ac:dyDescent="0.2">
      <c r="A3094" s="9"/>
      <c r="B3094" s="135">
        <v>24.05</v>
      </c>
      <c r="C3094" s="135"/>
    </row>
    <row r="3095" spans="1:3" x14ac:dyDescent="0.2">
      <c r="A3095" s="9"/>
      <c r="B3095" s="135">
        <v>24.06</v>
      </c>
      <c r="C3095" s="135"/>
    </row>
    <row r="3096" spans="1:3" x14ac:dyDescent="0.2">
      <c r="A3096" s="9"/>
      <c r="B3096" s="135">
        <v>24.07</v>
      </c>
      <c r="C3096" s="135"/>
    </row>
    <row r="3097" spans="1:3" x14ac:dyDescent="0.2">
      <c r="A3097" s="9"/>
      <c r="B3097" s="135">
        <v>24.08</v>
      </c>
      <c r="C3097" s="135"/>
    </row>
    <row r="3098" spans="1:3" x14ac:dyDescent="0.2">
      <c r="A3098" s="9"/>
      <c r="B3098" s="135">
        <v>24.09</v>
      </c>
      <c r="C3098" s="135"/>
    </row>
    <row r="3099" spans="1:3" x14ac:dyDescent="0.2">
      <c r="A3099" s="9"/>
      <c r="B3099" s="135">
        <v>24.1</v>
      </c>
      <c r="C3099" s="135"/>
    </row>
    <row r="3100" spans="1:3" x14ac:dyDescent="0.2">
      <c r="A3100" s="9"/>
      <c r="B3100" s="135">
        <v>24.11</v>
      </c>
      <c r="C3100" s="135"/>
    </row>
    <row r="3101" spans="1:3" x14ac:dyDescent="0.2">
      <c r="A3101" s="9"/>
      <c r="B3101" s="135">
        <v>24.12</v>
      </c>
      <c r="C3101" s="135"/>
    </row>
    <row r="3102" spans="1:3" x14ac:dyDescent="0.2">
      <c r="A3102" s="9"/>
      <c r="B3102" s="135">
        <v>24.13</v>
      </c>
      <c r="C3102" s="135"/>
    </row>
    <row r="3103" spans="1:3" x14ac:dyDescent="0.2">
      <c r="A3103" s="9"/>
      <c r="B3103" s="135">
        <v>24.14</v>
      </c>
      <c r="C3103" s="135"/>
    </row>
    <row r="3104" spans="1:3" x14ac:dyDescent="0.2">
      <c r="A3104" s="9"/>
      <c r="B3104" s="135">
        <v>24.15</v>
      </c>
      <c r="C3104" s="135"/>
    </row>
    <row r="3105" spans="1:3" x14ac:dyDescent="0.2">
      <c r="A3105" s="9"/>
      <c r="B3105" s="135">
        <v>24.16</v>
      </c>
      <c r="C3105" s="135"/>
    </row>
    <row r="3106" spans="1:3" x14ac:dyDescent="0.2">
      <c r="A3106" s="9"/>
      <c r="B3106" s="135">
        <v>24.17</v>
      </c>
      <c r="C3106" s="135"/>
    </row>
    <row r="3107" spans="1:3" x14ac:dyDescent="0.2">
      <c r="A3107" s="9"/>
      <c r="B3107" s="135">
        <v>24.18</v>
      </c>
      <c r="C3107" s="135"/>
    </row>
    <row r="3108" spans="1:3" x14ac:dyDescent="0.2">
      <c r="A3108" s="9"/>
      <c r="B3108" s="135">
        <v>24.19</v>
      </c>
      <c r="C3108" s="135"/>
    </row>
    <row r="3109" spans="1:3" x14ac:dyDescent="0.2">
      <c r="A3109" s="9"/>
      <c r="B3109" s="135">
        <v>24.2</v>
      </c>
      <c r="C3109" s="135"/>
    </row>
    <row r="3110" spans="1:3" x14ac:dyDescent="0.2">
      <c r="A3110" s="9"/>
      <c r="B3110" s="135">
        <v>24.21</v>
      </c>
      <c r="C3110" s="135"/>
    </row>
    <row r="3111" spans="1:3" x14ac:dyDescent="0.2">
      <c r="A3111" s="9"/>
      <c r="B3111" s="135">
        <v>24.22</v>
      </c>
      <c r="C3111" s="135"/>
    </row>
    <row r="3112" spans="1:3" x14ac:dyDescent="0.2">
      <c r="A3112" s="9"/>
      <c r="B3112" s="135">
        <v>24.23</v>
      </c>
      <c r="C3112" s="135"/>
    </row>
    <row r="3113" spans="1:3" x14ac:dyDescent="0.2">
      <c r="A3113" s="9"/>
      <c r="B3113" s="135">
        <v>24.24</v>
      </c>
      <c r="C3113" s="135"/>
    </row>
    <row r="3114" spans="1:3" x14ac:dyDescent="0.2">
      <c r="A3114" s="9"/>
      <c r="B3114" s="135">
        <v>24.25</v>
      </c>
      <c r="C3114" s="135"/>
    </row>
    <row r="3115" spans="1:3" x14ac:dyDescent="0.2">
      <c r="A3115" s="9"/>
      <c r="B3115" s="135">
        <v>24.26</v>
      </c>
      <c r="C3115" s="135"/>
    </row>
    <row r="3116" spans="1:3" x14ac:dyDescent="0.2">
      <c r="A3116" s="9"/>
      <c r="B3116" s="135">
        <v>24.27</v>
      </c>
      <c r="C3116" s="135"/>
    </row>
    <row r="3117" spans="1:3" x14ac:dyDescent="0.2">
      <c r="A3117" s="9"/>
      <c r="B3117" s="135">
        <v>24.28</v>
      </c>
      <c r="C3117" s="135"/>
    </row>
    <row r="3118" spans="1:3" x14ac:dyDescent="0.2">
      <c r="A3118" s="9"/>
      <c r="B3118" s="135">
        <v>24.29</v>
      </c>
      <c r="C3118" s="135"/>
    </row>
    <row r="3119" spans="1:3" x14ac:dyDescent="0.2">
      <c r="A3119" s="9"/>
      <c r="B3119" s="135">
        <v>24.3</v>
      </c>
      <c r="C3119" s="135"/>
    </row>
    <row r="3120" spans="1:3" x14ac:dyDescent="0.2">
      <c r="A3120" s="9"/>
      <c r="B3120" s="135">
        <v>24.31</v>
      </c>
      <c r="C3120" s="135"/>
    </row>
    <row r="3121" spans="1:3" x14ac:dyDescent="0.2">
      <c r="A3121" s="9"/>
      <c r="B3121" s="135">
        <v>24.32</v>
      </c>
      <c r="C3121" s="135"/>
    </row>
    <row r="3122" spans="1:3" x14ac:dyDescent="0.2">
      <c r="A3122" s="9"/>
      <c r="B3122" s="135">
        <v>24.33</v>
      </c>
      <c r="C3122" s="135"/>
    </row>
    <row r="3123" spans="1:3" x14ac:dyDescent="0.2">
      <c r="A3123" s="9"/>
      <c r="B3123" s="135">
        <v>24.34</v>
      </c>
      <c r="C3123" s="135"/>
    </row>
    <row r="3124" spans="1:3" x14ac:dyDescent="0.2">
      <c r="A3124" s="9"/>
      <c r="B3124" s="135">
        <v>24.35</v>
      </c>
      <c r="C3124" s="135"/>
    </row>
    <row r="3125" spans="1:3" x14ac:dyDescent="0.2">
      <c r="A3125" s="9"/>
      <c r="B3125" s="135">
        <v>24.36</v>
      </c>
      <c r="C3125" s="135"/>
    </row>
    <row r="3126" spans="1:3" x14ac:dyDescent="0.2">
      <c r="A3126" s="9"/>
      <c r="B3126" s="135">
        <v>24.37</v>
      </c>
      <c r="C3126" s="135"/>
    </row>
    <row r="3127" spans="1:3" x14ac:dyDescent="0.2">
      <c r="A3127" s="9"/>
      <c r="B3127" s="135">
        <v>24.38</v>
      </c>
      <c r="C3127" s="135"/>
    </row>
    <row r="3128" spans="1:3" x14ac:dyDescent="0.2">
      <c r="A3128" s="9"/>
      <c r="B3128" s="135">
        <v>24.39</v>
      </c>
      <c r="C3128" s="135"/>
    </row>
    <row r="3129" spans="1:3" x14ac:dyDescent="0.2">
      <c r="A3129" s="9"/>
      <c r="B3129" s="135">
        <v>24.4</v>
      </c>
      <c r="C3129" s="135"/>
    </row>
    <row r="3130" spans="1:3" x14ac:dyDescent="0.2">
      <c r="A3130" s="9"/>
      <c r="B3130" s="135">
        <v>24.41</v>
      </c>
      <c r="C3130" s="135"/>
    </row>
    <row r="3131" spans="1:3" x14ac:dyDescent="0.2">
      <c r="A3131" s="9"/>
      <c r="B3131" s="135">
        <v>24.42</v>
      </c>
      <c r="C3131" s="135"/>
    </row>
    <row r="3132" spans="1:3" x14ac:dyDescent="0.2">
      <c r="A3132" s="9"/>
      <c r="B3132" s="135">
        <v>24.43</v>
      </c>
      <c r="C3132" s="135"/>
    </row>
    <row r="3133" spans="1:3" x14ac:dyDescent="0.2">
      <c r="A3133" s="9"/>
      <c r="B3133" s="135">
        <v>24.44</v>
      </c>
      <c r="C3133" s="135"/>
    </row>
    <row r="3134" spans="1:3" x14ac:dyDescent="0.2">
      <c r="A3134" s="9"/>
      <c r="B3134" s="135">
        <v>24.45</v>
      </c>
      <c r="C3134" s="135"/>
    </row>
    <row r="3135" spans="1:3" x14ac:dyDescent="0.2">
      <c r="A3135" s="9"/>
      <c r="B3135" s="135">
        <v>24.46</v>
      </c>
      <c r="C3135" s="135"/>
    </row>
    <row r="3136" spans="1:3" x14ac:dyDescent="0.2">
      <c r="A3136" s="9"/>
      <c r="B3136" s="135">
        <v>24.47</v>
      </c>
      <c r="C3136" s="135"/>
    </row>
    <row r="3137" spans="1:3" x14ac:dyDescent="0.2">
      <c r="A3137" s="9"/>
      <c r="B3137" s="135">
        <v>24.48</v>
      </c>
      <c r="C3137" s="135"/>
    </row>
    <row r="3138" spans="1:3" x14ac:dyDescent="0.2">
      <c r="A3138" s="9"/>
      <c r="B3138" s="135">
        <v>24.49</v>
      </c>
      <c r="C3138" s="135"/>
    </row>
    <row r="3139" spans="1:3" x14ac:dyDescent="0.2">
      <c r="A3139" s="9"/>
      <c r="B3139" s="135">
        <v>24.5</v>
      </c>
      <c r="C3139" s="135"/>
    </row>
    <row r="3140" spans="1:3" x14ac:dyDescent="0.2">
      <c r="A3140" s="9"/>
      <c r="B3140" s="135">
        <v>24.51</v>
      </c>
      <c r="C3140" s="135"/>
    </row>
    <row r="3141" spans="1:3" x14ac:dyDescent="0.2">
      <c r="A3141" s="9"/>
      <c r="B3141" s="135">
        <v>24.52</v>
      </c>
      <c r="C3141" s="135"/>
    </row>
    <row r="3142" spans="1:3" x14ac:dyDescent="0.2">
      <c r="A3142" s="9"/>
      <c r="B3142" s="135">
        <v>24.53</v>
      </c>
      <c r="C3142" s="135"/>
    </row>
    <row r="3143" spans="1:3" x14ac:dyDescent="0.2">
      <c r="A3143" s="9"/>
      <c r="B3143" s="135">
        <v>24.54</v>
      </c>
      <c r="C3143" s="135"/>
    </row>
    <row r="3144" spans="1:3" x14ac:dyDescent="0.2">
      <c r="A3144" s="9"/>
      <c r="B3144" s="135">
        <v>24.55</v>
      </c>
      <c r="C3144" s="135"/>
    </row>
    <row r="3145" spans="1:3" x14ac:dyDescent="0.2">
      <c r="A3145" s="9"/>
      <c r="B3145" s="135">
        <v>24.56</v>
      </c>
      <c r="C3145" s="135"/>
    </row>
    <row r="3146" spans="1:3" x14ac:dyDescent="0.2">
      <c r="A3146" s="9"/>
      <c r="B3146" s="135">
        <v>24.57</v>
      </c>
      <c r="C3146" s="135"/>
    </row>
    <row r="3147" spans="1:3" x14ac:dyDescent="0.2">
      <c r="A3147" s="9"/>
      <c r="B3147" s="135">
        <v>24.58</v>
      </c>
      <c r="C3147" s="135"/>
    </row>
    <row r="3148" spans="1:3" x14ac:dyDescent="0.2">
      <c r="A3148" s="9"/>
      <c r="B3148" s="135">
        <v>24.59</v>
      </c>
      <c r="C3148" s="135"/>
    </row>
    <row r="3149" spans="1:3" x14ac:dyDescent="0.2">
      <c r="A3149" s="9"/>
      <c r="B3149" s="135">
        <v>24.6</v>
      </c>
      <c r="C3149" s="135"/>
    </row>
    <row r="3150" spans="1:3" x14ac:dyDescent="0.2">
      <c r="A3150" s="9"/>
      <c r="B3150" s="135">
        <v>24.61</v>
      </c>
      <c r="C3150" s="135"/>
    </row>
    <row r="3151" spans="1:3" x14ac:dyDescent="0.2">
      <c r="A3151" s="9"/>
      <c r="B3151" s="135">
        <v>24.62</v>
      </c>
      <c r="C3151" s="135"/>
    </row>
    <row r="3152" spans="1:3" x14ac:dyDescent="0.2">
      <c r="A3152" s="9"/>
      <c r="B3152" s="135">
        <v>24.63</v>
      </c>
      <c r="C3152" s="135"/>
    </row>
    <row r="3153" spans="1:3" x14ac:dyDescent="0.2">
      <c r="A3153" s="9"/>
      <c r="B3153" s="135">
        <v>24.64</v>
      </c>
      <c r="C3153" s="135"/>
    </row>
    <row r="3154" spans="1:3" x14ac:dyDescent="0.2">
      <c r="A3154" s="9"/>
      <c r="B3154" s="135">
        <v>24.65</v>
      </c>
      <c r="C3154" s="135"/>
    </row>
    <row r="3155" spans="1:3" x14ac:dyDescent="0.2">
      <c r="A3155" s="9"/>
      <c r="B3155" s="135">
        <v>24.66</v>
      </c>
      <c r="C3155" s="135"/>
    </row>
    <row r="3156" spans="1:3" x14ac:dyDescent="0.2">
      <c r="A3156" s="9"/>
      <c r="B3156" s="135">
        <v>24.67</v>
      </c>
      <c r="C3156" s="135"/>
    </row>
    <row r="3157" spans="1:3" x14ac:dyDescent="0.2">
      <c r="A3157" s="9"/>
      <c r="B3157" s="135">
        <v>24.68</v>
      </c>
      <c r="C3157" s="135"/>
    </row>
    <row r="3158" spans="1:3" x14ac:dyDescent="0.2">
      <c r="A3158" s="9"/>
      <c r="B3158" s="135">
        <v>24.69</v>
      </c>
      <c r="C3158" s="135"/>
    </row>
    <row r="3159" spans="1:3" x14ac:dyDescent="0.2">
      <c r="A3159" s="9"/>
      <c r="B3159" s="135">
        <v>24.7</v>
      </c>
      <c r="C3159" s="135"/>
    </row>
    <row r="3160" spans="1:3" x14ac:dyDescent="0.2">
      <c r="A3160" s="9"/>
      <c r="B3160" s="135">
        <v>24.71</v>
      </c>
      <c r="C3160" s="135"/>
    </row>
    <row r="3161" spans="1:3" x14ac:dyDescent="0.2">
      <c r="A3161" s="9"/>
      <c r="B3161" s="135">
        <v>24.72</v>
      </c>
      <c r="C3161" s="135"/>
    </row>
    <row r="3162" spans="1:3" x14ac:dyDescent="0.2">
      <c r="A3162" s="9"/>
      <c r="B3162" s="135">
        <v>24.73</v>
      </c>
      <c r="C3162" s="135"/>
    </row>
    <row r="3163" spans="1:3" x14ac:dyDescent="0.2">
      <c r="A3163" s="9"/>
      <c r="B3163" s="135">
        <v>24.74</v>
      </c>
      <c r="C3163" s="135"/>
    </row>
    <row r="3164" spans="1:3" x14ac:dyDescent="0.2">
      <c r="A3164" s="9"/>
      <c r="B3164" s="135">
        <v>24.75</v>
      </c>
      <c r="C3164" s="135"/>
    </row>
    <row r="3165" spans="1:3" x14ac:dyDescent="0.2">
      <c r="A3165" s="9"/>
      <c r="B3165" s="135">
        <v>24.76</v>
      </c>
      <c r="C3165" s="135"/>
    </row>
    <row r="3166" spans="1:3" x14ac:dyDescent="0.2">
      <c r="A3166" s="9"/>
      <c r="B3166" s="135">
        <v>24.77</v>
      </c>
      <c r="C3166" s="135"/>
    </row>
    <row r="3167" spans="1:3" x14ac:dyDescent="0.2">
      <c r="A3167" s="9"/>
      <c r="B3167" s="135">
        <v>24.78</v>
      </c>
      <c r="C3167" s="135"/>
    </row>
    <row r="3168" spans="1:3" x14ac:dyDescent="0.2">
      <c r="A3168" s="9"/>
      <c r="B3168" s="135">
        <v>24.79</v>
      </c>
      <c r="C3168" s="135"/>
    </row>
    <row r="3169" spans="1:3" x14ac:dyDescent="0.2">
      <c r="A3169" s="9"/>
      <c r="B3169" s="135">
        <v>24.8</v>
      </c>
      <c r="C3169" s="135"/>
    </row>
    <row r="3170" spans="1:3" x14ac:dyDescent="0.2">
      <c r="A3170" s="9"/>
      <c r="B3170" s="135">
        <v>24.81</v>
      </c>
      <c r="C3170" s="135"/>
    </row>
    <row r="3171" spans="1:3" x14ac:dyDescent="0.2">
      <c r="A3171" s="9"/>
      <c r="B3171" s="135">
        <v>24.82</v>
      </c>
      <c r="C3171" s="135"/>
    </row>
    <row r="3172" spans="1:3" x14ac:dyDescent="0.2">
      <c r="A3172" s="9"/>
      <c r="B3172" s="135">
        <v>24.83</v>
      </c>
      <c r="C3172" s="135"/>
    </row>
    <row r="3173" spans="1:3" x14ac:dyDescent="0.2">
      <c r="A3173" s="9"/>
      <c r="B3173" s="135">
        <v>24.84</v>
      </c>
      <c r="C3173" s="135"/>
    </row>
    <row r="3174" spans="1:3" x14ac:dyDescent="0.2">
      <c r="A3174" s="9"/>
      <c r="B3174" s="135">
        <v>24.85</v>
      </c>
      <c r="C3174" s="135"/>
    </row>
    <row r="3175" spans="1:3" x14ac:dyDescent="0.2">
      <c r="A3175" s="9"/>
      <c r="B3175" s="135">
        <v>24.86</v>
      </c>
      <c r="C3175" s="135"/>
    </row>
    <row r="3176" spans="1:3" x14ac:dyDescent="0.2">
      <c r="A3176" s="9"/>
      <c r="B3176" s="135">
        <v>24.87</v>
      </c>
      <c r="C3176" s="135"/>
    </row>
    <row r="3177" spans="1:3" x14ac:dyDescent="0.2">
      <c r="A3177" s="9"/>
      <c r="B3177" s="135">
        <v>24.88</v>
      </c>
      <c r="C3177" s="135"/>
    </row>
    <row r="3178" spans="1:3" x14ac:dyDescent="0.2">
      <c r="A3178" s="9"/>
      <c r="B3178" s="135">
        <v>24.89</v>
      </c>
      <c r="C3178" s="135"/>
    </row>
    <row r="3179" spans="1:3" x14ac:dyDescent="0.2">
      <c r="A3179" s="9"/>
      <c r="B3179" s="135">
        <v>24.9</v>
      </c>
      <c r="C3179" s="135"/>
    </row>
    <row r="3180" spans="1:3" x14ac:dyDescent="0.2">
      <c r="A3180" s="9"/>
      <c r="B3180" s="135">
        <v>24.91</v>
      </c>
      <c r="C3180" s="135"/>
    </row>
    <row r="3181" spans="1:3" x14ac:dyDescent="0.2">
      <c r="A3181" s="9"/>
      <c r="B3181" s="135">
        <v>24.92</v>
      </c>
      <c r="C3181" s="135"/>
    </row>
    <row r="3182" spans="1:3" x14ac:dyDescent="0.2">
      <c r="A3182" s="9"/>
      <c r="B3182" s="135">
        <v>24.93</v>
      </c>
      <c r="C3182" s="135"/>
    </row>
    <row r="3183" spans="1:3" x14ac:dyDescent="0.2">
      <c r="A3183" s="9"/>
      <c r="B3183" s="135">
        <v>24.94</v>
      </c>
      <c r="C3183" s="135"/>
    </row>
    <row r="3184" spans="1:3" x14ac:dyDescent="0.2">
      <c r="A3184" s="9"/>
      <c r="B3184" s="135">
        <v>24.95</v>
      </c>
      <c r="C3184" s="135"/>
    </row>
    <row r="3185" spans="1:3" x14ac:dyDescent="0.2">
      <c r="A3185" s="9"/>
      <c r="B3185" s="135">
        <v>24.96</v>
      </c>
      <c r="C3185" s="135"/>
    </row>
    <row r="3186" spans="1:3" x14ac:dyDescent="0.2">
      <c r="A3186" s="9"/>
      <c r="B3186" s="135">
        <v>24.97</v>
      </c>
      <c r="C3186" s="135"/>
    </row>
    <row r="3187" spans="1:3" x14ac:dyDescent="0.2">
      <c r="A3187" s="9"/>
      <c r="B3187" s="135">
        <v>24.98</v>
      </c>
      <c r="C3187" s="135"/>
    </row>
    <row r="3188" spans="1:3" x14ac:dyDescent="0.2">
      <c r="A3188" s="9"/>
      <c r="B3188" s="135">
        <v>24.99</v>
      </c>
      <c r="C3188" s="135"/>
    </row>
    <row r="3189" spans="1:3" x14ac:dyDescent="0.2">
      <c r="A3189" s="9"/>
      <c r="B3189" s="135">
        <v>25</v>
      </c>
      <c r="C3189" s="135"/>
    </row>
    <row r="3190" spans="1:3" x14ac:dyDescent="0.2">
      <c r="A3190" s="9"/>
      <c r="B3190" s="135">
        <v>25.01</v>
      </c>
      <c r="C3190" s="135"/>
    </row>
    <row r="3191" spans="1:3" x14ac:dyDescent="0.2">
      <c r="A3191" s="9"/>
      <c r="B3191" s="135">
        <v>25.02</v>
      </c>
      <c r="C3191" s="135"/>
    </row>
    <row r="3192" spans="1:3" x14ac:dyDescent="0.2">
      <c r="A3192" s="9"/>
      <c r="B3192" s="135">
        <v>25.03</v>
      </c>
      <c r="C3192" s="135"/>
    </row>
    <row r="3193" spans="1:3" x14ac:dyDescent="0.2">
      <c r="A3193" s="9"/>
      <c r="B3193" s="135">
        <v>25.04</v>
      </c>
      <c r="C3193" s="135"/>
    </row>
    <row r="3194" spans="1:3" x14ac:dyDescent="0.2">
      <c r="A3194" s="9"/>
      <c r="B3194" s="135">
        <v>25.05</v>
      </c>
      <c r="C3194" s="135"/>
    </row>
    <row r="3195" spans="1:3" x14ac:dyDescent="0.2">
      <c r="A3195" s="9"/>
      <c r="B3195" s="135">
        <v>25.06</v>
      </c>
      <c r="C3195" s="135"/>
    </row>
    <row r="3196" spans="1:3" x14ac:dyDescent="0.2">
      <c r="A3196" s="9"/>
      <c r="B3196" s="135">
        <v>25.07</v>
      </c>
      <c r="C3196" s="135"/>
    </row>
    <row r="3197" spans="1:3" x14ac:dyDescent="0.2">
      <c r="A3197" s="9"/>
      <c r="B3197" s="135">
        <v>25.08</v>
      </c>
      <c r="C3197" s="135"/>
    </row>
    <row r="3198" spans="1:3" x14ac:dyDescent="0.2">
      <c r="A3198" s="9"/>
      <c r="B3198" s="135">
        <v>25.09</v>
      </c>
      <c r="C3198" s="135"/>
    </row>
    <row r="3199" spans="1:3" x14ac:dyDescent="0.2">
      <c r="A3199" s="9"/>
      <c r="B3199" s="135">
        <v>25.1</v>
      </c>
      <c r="C3199" s="135"/>
    </row>
    <row r="3200" spans="1:3" x14ac:dyDescent="0.2">
      <c r="A3200" s="9"/>
      <c r="B3200" s="135">
        <v>25.11</v>
      </c>
      <c r="C3200" s="135"/>
    </row>
    <row r="3201" spans="1:3" x14ac:dyDescent="0.2">
      <c r="A3201" s="9"/>
      <c r="B3201" s="135">
        <v>25.12</v>
      </c>
      <c r="C3201" s="135"/>
    </row>
    <row r="3202" spans="1:3" x14ac:dyDescent="0.2">
      <c r="A3202" s="9"/>
      <c r="B3202" s="135">
        <v>25.13</v>
      </c>
      <c r="C3202" s="135"/>
    </row>
    <row r="3203" spans="1:3" x14ac:dyDescent="0.2">
      <c r="A3203" s="9"/>
      <c r="B3203" s="135">
        <v>25.14</v>
      </c>
      <c r="C3203" s="135"/>
    </row>
    <row r="3204" spans="1:3" x14ac:dyDescent="0.2">
      <c r="A3204" s="9"/>
      <c r="B3204" s="135">
        <v>25.15</v>
      </c>
      <c r="C3204" s="135"/>
    </row>
    <row r="3205" spans="1:3" x14ac:dyDescent="0.2">
      <c r="A3205" s="9"/>
      <c r="B3205" s="135">
        <v>25.16</v>
      </c>
      <c r="C3205" s="135"/>
    </row>
    <row r="3206" spans="1:3" x14ac:dyDescent="0.2">
      <c r="A3206" s="9"/>
      <c r="B3206" s="135">
        <v>25.17</v>
      </c>
      <c r="C3206" s="135"/>
    </row>
    <row r="3207" spans="1:3" x14ac:dyDescent="0.2">
      <c r="A3207" s="9"/>
      <c r="B3207" s="135">
        <v>25.18</v>
      </c>
      <c r="C3207" s="135"/>
    </row>
    <row r="3208" spans="1:3" x14ac:dyDescent="0.2">
      <c r="A3208" s="9"/>
      <c r="B3208" s="135">
        <v>25.19</v>
      </c>
      <c r="C3208" s="135"/>
    </row>
    <row r="3209" spans="1:3" x14ac:dyDescent="0.2">
      <c r="A3209" s="9"/>
      <c r="B3209" s="135">
        <v>25.2</v>
      </c>
      <c r="C3209" s="135"/>
    </row>
    <row r="3210" spans="1:3" x14ac:dyDescent="0.2">
      <c r="A3210" s="9"/>
      <c r="B3210" s="135">
        <v>25.21</v>
      </c>
      <c r="C3210" s="135"/>
    </row>
    <row r="3211" spans="1:3" x14ac:dyDescent="0.2">
      <c r="A3211" s="9"/>
      <c r="B3211" s="135">
        <v>25.22</v>
      </c>
      <c r="C3211" s="135"/>
    </row>
    <row r="3212" spans="1:3" x14ac:dyDescent="0.2">
      <c r="A3212" s="9"/>
      <c r="B3212" s="135">
        <v>25.23</v>
      </c>
      <c r="C3212" s="135"/>
    </row>
    <row r="3213" spans="1:3" x14ac:dyDescent="0.2">
      <c r="A3213" s="9"/>
      <c r="B3213" s="135">
        <v>25.24</v>
      </c>
      <c r="C3213" s="135"/>
    </row>
    <row r="3214" spans="1:3" x14ac:dyDescent="0.2">
      <c r="A3214" s="9"/>
      <c r="B3214" s="135">
        <v>25.25</v>
      </c>
      <c r="C3214" s="135"/>
    </row>
    <row r="3215" spans="1:3" x14ac:dyDescent="0.2">
      <c r="A3215" s="9"/>
      <c r="B3215" s="135">
        <v>25.26</v>
      </c>
      <c r="C3215" s="135"/>
    </row>
    <row r="3216" spans="1:3" x14ac:dyDescent="0.2">
      <c r="A3216" s="9"/>
      <c r="B3216" s="135">
        <v>25.27</v>
      </c>
      <c r="C3216" s="135"/>
    </row>
    <row r="3217" spans="1:3" x14ac:dyDescent="0.2">
      <c r="A3217" s="9"/>
      <c r="B3217" s="135">
        <v>25.28</v>
      </c>
      <c r="C3217" s="135"/>
    </row>
    <row r="3218" spans="1:3" x14ac:dyDescent="0.2">
      <c r="A3218" s="9"/>
      <c r="B3218" s="135">
        <v>25.29</v>
      </c>
      <c r="C3218" s="135"/>
    </row>
    <row r="3219" spans="1:3" x14ac:dyDescent="0.2">
      <c r="A3219" s="9"/>
      <c r="B3219" s="135">
        <v>25.3</v>
      </c>
      <c r="C3219" s="135"/>
    </row>
    <row r="3220" spans="1:3" x14ac:dyDescent="0.2">
      <c r="A3220" s="9"/>
      <c r="B3220" s="135">
        <v>25.31</v>
      </c>
      <c r="C3220" s="135"/>
    </row>
    <row r="3221" spans="1:3" x14ac:dyDescent="0.2">
      <c r="A3221" s="9"/>
      <c r="B3221" s="135">
        <v>25.32</v>
      </c>
      <c r="C3221" s="135"/>
    </row>
    <row r="3222" spans="1:3" x14ac:dyDescent="0.2">
      <c r="A3222" s="9"/>
      <c r="B3222" s="135">
        <v>25.33</v>
      </c>
      <c r="C3222" s="135"/>
    </row>
    <row r="3223" spans="1:3" x14ac:dyDescent="0.2">
      <c r="A3223" s="9"/>
      <c r="B3223" s="135">
        <v>25.34</v>
      </c>
      <c r="C3223" s="135"/>
    </row>
    <row r="3224" spans="1:3" x14ac:dyDescent="0.2">
      <c r="A3224" s="9"/>
      <c r="B3224" s="135">
        <v>25.35</v>
      </c>
      <c r="C3224" s="135"/>
    </row>
    <row r="3225" spans="1:3" x14ac:dyDescent="0.2">
      <c r="A3225" s="9"/>
      <c r="B3225" s="135">
        <v>25.36</v>
      </c>
      <c r="C3225" s="135"/>
    </row>
    <row r="3226" spans="1:3" x14ac:dyDescent="0.2">
      <c r="A3226" s="9"/>
      <c r="B3226" s="135">
        <v>25.37</v>
      </c>
      <c r="C3226" s="135"/>
    </row>
    <row r="3227" spans="1:3" x14ac:dyDescent="0.2">
      <c r="A3227" s="9"/>
      <c r="B3227" s="135">
        <v>25.38</v>
      </c>
      <c r="C3227" s="135"/>
    </row>
    <row r="3228" spans="1:3" x14ac:dyDescent="0.2">
      <c r="A3228" s="9"/>
      <c r="B3228" s="135">
        <v>25.39</v>
      </c>
      <c r="C3228" s="135"/>
    </row>
    <row r="3229" spans="1:3" x14ac:dyDescent="0.2">
      <c r="A3229" s="9"/>
      <c r="B3229" s="135">
        <v>25.4</v>
      </c>
      <c r="C3229" s="135"/>
    </row>
    <row r="3230" spans="1:3" x14ac:dyDescent="0.2">
      <c r="A3230" s="9"/>
      <c r="B3230" s="135">
        <v>25.41</v>
      </c>
      <c r="C3230" s="135"/>
    </row>
    <row r="3231" spans="1:3" x14ac:dyDescent="0.2">
      <c r="A3231" s="9"/>
      <c r="B3231" s="135">
        <v>25.42</v>
      </c>
      <c r="C3231" s="135"/>
    </row>
    <row r="3232" spans="1:3" x14ac:dyDescent="0.2">
      <c r="A3232" s="9"/>
      <c r="B3232" s="135">
        <v>25.43</v>
      </c>
      <c r="C3232" s="135"/>
    </row>
    <row r="3233" spans="1:3" x14ac:dyDescent="0.2">
      <c r="A3233" s="9"/>
      <c r="B3233" s="135">
        <v>25.44</v>
      </c>
      <c r="C3233" s="135"/>
    </row>
    <row r="3234" spans="1:3" x14ac:dyDescent="0.2">
      <c r="A3234" s="9"/>
      <c r="B3234" s="135">
        <v>25.45</v>
      </c>
      <c r="C3234" s="135"/>
    </row>
    <row r="3235" spans="1:3" x14ac:dyDescent="0.2">
      <c r="A3235" s="9"/>
      <c r="B3235" s="135">
        <v>25.46</v>
      </c>
      <c r="C3235" s="135"/>
    </row>
    <row r="3236" spans="1:3" x14ac:dyDescent="0.2">
      <c r="A3236" s="9"/>
      <c r="B3236" s="135">
        <v>25.47</v>
      </c>
      <c r="C3236" s="135"/>
    </row>
    <row r="3237" spans="1:3" x14ac:dyDescent="0.2">
      <c r="A3237" s="9"/>
      <c r="B3237" s="135">
        <v>25.48</v>
      </c>
      <c r="C3237" s="135"/>
    </row>
    <row r="3238" spans="1:3" x14ac:dyDescent="0.2">
      <c r="A3238" s="9"/>
      <c r="B3238" s="135">
        <v>25.49</v>
      </c>
      <c r="C3238" s="135"/>
    </row>
    <row r="3239" spans="1:3" x14ac:dyDescent="0.2">
      <c r="A3239" s="9"/>
      <c r="B3239" s="135">
        <v>25.5</v>
      </c>
      <c r="C3239" s="135"/>
    </row>
    <row r="3240" spans="1:3" x14ac:dyDescent="0.2">
      <c r="A3240" s="9"/>
      <c r="B3240" s="135">
        <v>25.51</v>
      </c>
      <c r="C3240" s="135"/>
    </row>
    <row r="3241" spans="1:3" x14ac:dyDescent="0.2">
      <c r="A3241" s="9"/>
      <c r="B3241" s="135">
        <v>25.52</v>
      </c>
      <c r="C3241" s="135"/>
    </row>
    <row r="3242" spans="1:3" x14ac:dyDescent="0.2">
      <c r="A3242" s="9"/>
      <c r="B3242" s="135">
        <v>25.53</v>
      </c>
      <c r="C3242" s="135"/>
    </row>
    <row r="3243" spans="1:3" x14ac:dyDescent="0.2">
      <c r="A3243" s="9"/>
      <c r="B3243" s="135">
        <v>25.54</v>
      </c>
      <c r="C3243" s="135"/>
    </row>
    <row r="3244" spans="1:3" x14ac:dyDescent="0.2">
      <c r="A3244" s="9"/>
      <c r="B3244" s="135">
        <v>25.55</v>
      </c>
      <c r="C3244" s="135"/>
    </row>
    <row r="3245" spans="1:3" x14ac:dyDescent="0.2">
      <c r="A3245" s="9"/>
      <c r="B3245" s="135">
        <v>25.56</v>
      </c>
      <c r="C3245" s="135"/>
    </row>
    <row r="3246" spans="1:3" x14ac:dyDescent="0.2">
      <c r="A3246" s="9"/>
      <c r="B3246" s="135">
        <v>25.57</v>
      </c>
      <c r="C3246" s="135"/>
    </row>
    <row r="3247" spans="1:3" x14ac:dyDescent="0.2">
      <c r="A3247" s="9"/>
      <c r="B3247" s="135">
        <v>25.58</v>
      </c>
      <c r="C3247" s="135"/>
    </row>
    <row r="3248" spans="1:3" x14ac:dyDescent="0.2">
      <c r="A3248" s="9"/>
      <c r="B3248" s="135">
        <v>25.59</v>
      </c>
      <c r="C3248" s="135"/>
    </row>
    <row r="3249" spans="1:3" x14ac:dyDescent="0.2">
      <c r="A3249" s="9"/>
      <c r="B3249" s="135">
        <v>25.6</v>
      </c>
      <c r="C3249" s="135"/>
    </row>
    <row r="3250" spans="1:3" x14ac:dyDescent="0.2">
      <c r="A3250" s="9"/>
      <c r="B3250" s="135">
        <v>25.61</v>
      </c>
      <c r="C3250" s="135"/>
    </row>
    <row r="3251" spans="1:3" x14ac:dyDescent="0.2">
      <c r="A3251" s="9"/>
      <c r="B3251" s="135">
        <v>25.62</v>
      </c>
      <c r="C3251" s="135"/>
    </row>
    <row r="3252" spans="1:3" x14ac:dyDescent="0.2">
      <c r="A3252" s="9"/>
      <c r="B3252" s="135">
        <v>25.63</v>
      </c>
      <c r="C3252" s="135"/>
    </row>
    <row r="3253" spans="1:3" x14ac:dyDescent="0.2">
      <c r="A3253" s="9"/>
      <c r="B3253" s="135">
        <v>25.64</v>
      </c>
      <c r="C3253" s="135"/>
    </row>
    <row r="3254" spans="1:3" x14ac:dyDescent="0.2">
      <c r="A3254" s="9"/>
      <c r="B3254" s="135">
        <v>25.65</v>
      </c>
      <c r="C3254" s="135"/>
    </row>
    <row r="3255" spans="1:3" x14ac:dyDescent="0.2">
      <c r="A3255" s="9"/>
      <c r="B3255" s="135">
        <v>25.66</v>
      </c>
      <c r="C3255" s="135"/>
    </row>
    <row r="3256" spans="1:3" x14ac:dyDescent="0.2">
      <c r="A3256" s="9"/>
      <c r="B3256" s="135">
        <v>25.67</v>
      </c>
      <c r="C3256" s="135"/>
    </row>
    <row r="3257" spans="1:3" x14ac:dyDescent="0.2">
      <c r="A3257" s="9"/>
      <c r="B3257" s="135">
        <v>25.68</v>
      </c>
      <c r="C3257" s="135"/>
    </row>
    <row r="3258" spans="1:3" x14ac:dyDescent="0.2">
      <c r="A3258" s="9"/>
      <c r="B3258" s="135">
        <v>25.69</v>
      </c>
      <c r="C3258" s="135"/>
    </row>
    <row r="3259" spans="1:3" x14ac:dyDescent="0.2">
      <c r="A3259" s="9"/>
      <c r="B3259" s="135">
        <v>25.7</v>
      </c>
      <c r="C3259" s="135"/>
    </row>
    <row r="3260" spans="1:3" x14ac:dyDescent="0.2">
      <c r="A3260" s="9"/>
      <c r="B3260" s="135">
        <v>25.71</v>
      </c>
      <c r="C3260" s="135"/>
    </row>
    <row r="3261" spans="1:3" x14ac:dyDescent="0.2">
      <c r="A3261" s="9"/>
      <c r="B3261" s="135">
        <v>25.72</v>
      </c>
      <c r="C3261" s="135"/>
    </row>
    <row r="3262" spans="1:3" x14ac:dyDescent="0.2">
      <c r="A3262" s="9"/>
      <c r="B3262" s="135">
        <v>25.73</v>
      </c>
      <c r="C3262" s="135"/>
    </row>
    <row r="3263" spans="1:3" x14ac:dyDescent="0.2">
      <c r="A3263" s="9"/>
      <c r="B3263" s="135">
        <v>25.74</v>
      </c>
      <c r="C3263" s="135"/>
    </row>
    <row r="3264" spans="1:3" x14ac:dyDescent="0.2">
      <c r="A3264" s="9"/>
      <c r="B3264" s="135">
        <v>25.75</v>
      </c>
      <c r="C3264" s="135"/>
    </row>
    <row r="3265" spans="1:3" x14ac:dyDescent="0.2">
      <c r="A3265" s="9"/>
      <c r="B3265" s="135">
        <v>25.76</v>
      </c>
      <c r="C3265" s="135"/>
    </row>
    <row r="3266" spans="1:3" x14ac:dyDescent="0.2">
      <c r="A3266" s="9"/>
      <c r="B3266" s="135">
        <v>25.77</v>
      </c>
      <c r="C3266" s="135"/>
    </row>
    <row r="3267" spans="1:3" x14ac:dyDescent="0.2">
      <c r="A3267" s="9"/>
      <c r="B3267" s="135">
        <v>25.78</v>
      </c>
      <c r="C3267" s="135"/>
    </row>
    <row r="3268" spans="1:3" x14ac:dyDescent="0.2">
      <c r="A3268" s="9"/>
      <c r="B3268" s="135">
        <v>25.79</v>
      </c>
      <c r="C3268" s="135"/>
    </row>
    <row r="3269" spans="1:3" x14ac:dyDescent="0.2">
      <c r="A3269" s="9"/>
      <c r="B3269" s="135">
        <v>25.8</v>
      </c>
      <c r="C3269" s="135"/>
    </row>
    <row r="3270" spans="1:3" x14ac:dyDescent="0.2">
      <c r="A3270" s="9"/>
      <c r="B3270" s="135">
        <v>25.81</v>
      </c>
      <c r="C3270" s="135"/>
    </row>
    <row r="3271" spans="1:3" x14ac:dyDescent="0.2">
      <c r="A3271" s="9"/>
      <c r="B3271" s="135">
        <v>25.82</v>
      </c>
      <c r="C3271" s="135"/>
    </row>
    <row r="3272" spans="1:3" x14ac:dyDescent="0.2">
      <c r="A3272" s="9"/>
      <c r="B3272" s="135">
        <v>25.83</v>
      </c>
      <c r="C3272" s="135"/>
    </row>
    <row r="3273" spans="1:3" x14ac:dyDescent="0.2">
      <c r="A3273" s="9"/>
      <c r="B3273" s="135">
        <v>25.84</v>
      </c>
      <c r="C3273" s="135"/>
    </row>
    <row r="3274" spans="1:3" x14ac:dyDescent="0.2">
      <c r="A3274" s="9"/>
      <c r="B3274" s="135">
        <v>25.85</v>
      </c>
      <c r="C3274" s="135"/>
    </row>
    <row r="3275" spans="1:3" x14ac:dyDescent="0.2">
      <c r="A3275" s="9"/>
      <c r="B3275" s="135">
        <v>25.86</v>
      </c>
      <c r="C3275" s="135"/>
    </row>
    <row r="3276" spans="1:3" x14ac:dyDescent="0.2">
      <c r="A3276" s="9"/>
      <c r="B3276" s="135">
        <v>25.87</v>
      </c>
      <c r="C3276" s="135"/>
    </row>
    <row r="3277" spans="1:3" x14ac:dyDescent="0.2">
      <c r="A3277" s="9"/>
      <c r="B3277" s="135">
        <v>25.88</v>
      </c>
      <c r="C3277" s="135"/>
    </row>
    <row r="3278" spans="1:3" x14ac:dyDescent="0.2">
      <c r="A3278" s="9"/>
      <c r="B3278" s="135">
        <v>25.89</v>
      </c>
      <c r="C3278" s="135"/>
    </row>
    <row r="3279" spans="1:3" x14ac:dyDescent="0.2">
      <c r="A3279" s="9"/>
      <c r="B3279" s="135">
        <v>25.9</v>
      </c>
      <c r="C3279" s="135"/>
    </row>
    <row r="3280" spans="1:3" x14ac:dyDescent="0.2">
      <c r="A3280" s="9"/>
      <c r="B3280" s="135">
        <v>25.91</v>
      </c>
      <c r="C3280" s="135"/>
    </row>
    <row r="3281" spans="1:3" x14ac:dyDescent="0.2">
      <c r="A3281" s="9"/>
      <c r="B3281" s="135">
        <v>25.92</v>
      </c>
      <c r="C3281" s="135"/>
    </row>
    <row r="3282" spans="1:3" x14ac:dyDescent="0.2">
      <c r="A3282" s="9"/>
      <c r="B3282" s="135">
        <v>25.93</v>
      </c>
      <c r="C3282" s="135"/>
    </row>
    <row r="3283" spans="1:3" x14ac:dyDescent="0.2">
      <c r="A3283" s="9"/>
      <c r="B3283" s="135">
        <v>25.94</v>
      </c>
      <c r="C3283" s="135"/>
    </row>
    <row r="3284" spans="1:3" x14ac:dyDescent="0.2">
      <c r="A3284" s="9"/>
      <c r="B3284" s="135">
        <v>25.95</v>
      </c>
      <c r="C3284" s="135"/>
    </row>
    <row r="3285" spans="1:3" x14ac:dyDescent="0.2">
      <c r="A3285" s="9"/>
      <c r="B3285" s="135">
        <v>25.96</v>
      </c>
      <c r="C3285" s="135"/>
    </row>
    <row r="3286" spans="1:3" x14ac:dyDescent="0.2">
      <c r="A3286" s="9"/>
      <c r="B3286" s="135">
        <v>25.97</v>
      </c>
      <c r="C3286" s="135"/>
    </row>
    <row r="3287" spans="1:3" x14ac:dyDescent="0.2">
      <c r="A3287" s="9"/>
      <c r="B3287" s="135">
        <v>25.98</v>
      </c>
      <c r="C3287" s="135"/>
    </row>
    <row r="3288" spans="1:3" x14ac:dyDescent="0.2">
      <c r="A3288" s="9"/>
      <c r="B3288" s="135">
        <v>25.99</v>
      </c>
      <c r="C3288" s="135"/>
    </row>
    <row r="3289" spans="1:3" x14ac:dyDescent="0.2">
      <c r="A3289" s="9"/>
      <c r="B3289" s="135">
        <v>26</v>
      </c>
      <c r="C3289" s="135"/>
    </row>
    <row r="3290" spans="1:3" x14ac:dyDescent="0.2">
      <c r="A3290" s="9"/>
      <c r="B3290" s="135">
        <v>26.01</v>
      </c>
      <c r="C3290" s="135"/>
    </row>
    <row r="3291" spans="1:3" x14ac:dyDescent="0.2">
      <c r="A3291" s="9"/>
      <c r="B3291" s="135">
        <v>26.02</v>
      </c>
      <c r="C3291" s="135"/>
    </row>
    <row r="3292" spans="1:3" x14ac:dyDescent="0.2">
      <c r="A3292" s="9"/>
      <c r="B3292" s="135">
        <v>26.03</v>
      </c>
      <c r="C3292" s="135"/>
    </row>
    <row r="3293" spans="1:3" x14ac:dyDescent="0.2">
      <c r="A3293" s="9"/>
      <c r="B3293" s="135">
        <v>26.04</v>
      </c>
      <c r="C3293" s="135"/>
    </row>
    <row r="3294" spans="1:3" x14ac:dyDescent="0.2">
      <c r="A3294" s="9"/>
      <c r="B3294" s="135">
        <v>26.05</v>
      </c>
      <c r="C3294" s="135"/>
    </row>
    <row r="3295" spans="1:3" x14ac:dyDescent="0.2">
      <c r="A3295" s="9"/>
      <c r="B3295" s="135">
        <v>26.06</v>
      </c>
      <c r="C3295" s="135"/>
    </row>
    <row r="3296" spans="1:3" x14ac:dyDescent="0.2">
      <c r="A3296" s="9"/>
      <c r="B3296" s="135">
        <v>26.07</v>
      </c>
      <c r="C3296" s="135"/>
    </row>
    <row r="3297" spans="1:3" x14ac:dyDescent="0.2">
      <c r="A3297" s="9"/>
      <c r="B3297" s="135">
        <v>26.08</v>
      </c>
      <c r="C3297" s="135"/>
    </row>
    <row r="3298" spans="1:3" x14ac:dyDescent="0.2">
      <c r="A3298" s="9"/>
      <c r="B3298" s="135">
        <v>26.09</v>
      </c>
      <c r="C3298" s="135"/>
    </row>
    <row r="3299" spans="1:3" x14ac:dyDescent="0.2">
      <c r="A3299" s="9"/>
      <c r="B3299" s="135">
        <v>26.1</v>
      </c>
      <c r="C3299" s="135"/>
    </row>
    <row r="3300" spans="1:3" x14ac:dyDescent="0.2">
      <c r="A3300" s="9"/>
      <c r="B3300" s="135">
        <v>26.11</v>
      </c>
      <c r="C3300" s="135"/>
    </row>
    <row r="3301" spans="1:3" x14ac:dyDescent="0.2">
      <c r="A3301" s="9"/>
      <c r="B3301" s="135">
        <v>26.12</v>
      </c>
      <c r="C3301" s="135"/>
    </row>
    <row r="3302" spans="1:3" x14ac:dyDescent="0.2">
      <c r="A3302" s="9"/>
      <c r="B3302" s="135">
        <v>26.13</v>
      </c>
      <c r="C3302" s="135"/>
    </row>
    <row r="3303" spans="1:3" x14ac:dyDescent="0.2">
      <c r="A3303" s="9"/>
      <c r="B3303" s="135">
        <v>26.14</v>
      </c>
      <c r="C3303" s="135"/>
    </row>
    <row r="3304" spans="1:3" x14ac:dyDescent="0.2">
      <c r="A3304" s="9"/>
      <c r="B3304" s="135">
        <v>26.15</v>
      </c>
      <c r="C3304" s="135"/>
    </row>
    <row r="3305" spans="1:3" x14ac:dyDescent="0.2">
      <c r="A3305" s="9"/>
      <c r="B3305" s="135">
        <v>26.16</v>
      </c>
      <c r="C3305" s="135"/>
    </row>
    <row r="3306" spans="1:3" x14ac:dyDescent="0.2">
      <c r="A3306" s="9"/>
      <c r="B3306" s="135">
        <v>26.17</v>
      </c>
      <c r="C3306" s="135"/>
    </row>
    <row r="3307" spans="1:3" x14ac:dyDescent="0.2">
      <c r="A3307" s="9"/>
      <c r="B3307" s="135">
        <v>26.18</v>
      </c>
      <c r="C3307" s="135"/>
    </row>
    <row r="3308" spans="1:3" x14ac:dyDescent="0.2">
      <c r="A3308" s="9"/>
      <c r="B3308" s="135">
        <v>26.19</v>
      </c>
      <c r="C3308" s="135"/>
    </row>
    <row r="3309" spans="1:3" x14ac:dyDescent="0.2">
      <c r="A3309" s="9"/>
      <c r="B3309" s="135">
        <v>26.2</v>
      </c>
      <c r="C3309" s="135"/>
    </row>
    <row r="3310" spans="1:3" x14ac:dyDescent="0.2">
      <c r="A3310" s="9"/>
      <c r="B3310" s="135">
        <v>26.21</v>
      </c>
      <c r="C3310" s="135"/>
    </row>
    <row r="3311" spans="1:3" x14ac:dyDescent="0.2">
      <c r="A3311" s="9"/>
      <c r="B3311" s="135">
        <v>26.22</v>
      </c>
      <c r="C3311" s="135"/>
    </row>
    <row r="3312" spans="1:3" x14ac:dyDescent="0.2">
      <c r="A3312" s="9"/>
      <c r="B3312" s="135">
        <v>26.23</v>
      </c>
      <c r="C3312" s="135"/>
    </row>
    <row r="3313" spans="1:3" x14ac:dyDescent="0.2">
      <c r="A3313" s="9"/>
      <c r="B3313" s="135">
        <v>26.24</v>
      </c>
      <c r="C3313" s="135"/>
    </row>
    <row r="3314" spans="1:3" x14ac:dyDescent="0.2">
      <c r="A3314" s="9"/>
      <c r="B3314" s="135">
        <v>26.25</v>
      </c>
      <c r="C3314" s="135"/>
    </row>
    <row r="3315" spans="1:3" x14ac:dyDescent="0.2">
      <c r="A3315" s="9"/>
      <c r="B3315" s="135">
        <v>26.26</v>
      </c>
      <c r="C3315" s="135"/>
    </row>
    <row r="3316" spans="1:3" x14ac:dyDescent="0.2">
      <c r="A3316" s="9"/>
      <c r="B3316" s="135">
        <v>26.27</v>
      </c>
      <c r="C3316" s="135"/>
    </row>
    <row r="3317" spans="1:3" x14ac:dyDescent="0.2">
      <c r="A3317" s="9"/>
      <c r="B3317" s="135">
        <v>26.28</v>
      </c>
      <c r="C3317" s="135"/>
    </row>
    <row r="3318" spans="1:3" x14ac:dyDescent="0.2">
      <c r="A3318" s="9"/>
      <c r="B3318" s="135">
        <v>26.29</v>
      </c>
      <c r="C3318" s="135"/>
    </row>
    <row r="3319" spans="1:3" x14ac:dyDescent="0.2">
      <c r="A3319" s="9"/>
      <c r="B3319" s="135">
        <v>26.3</v>
      </c>
      <c r="C3319" s="135"/>
    </row>
    <row r="3320" spans="1:3" x14ac:dyDescent="0.2">
      <c r="A3320" s="9"/>
      <c r="B3320" s="135">
        <v>26.31</v>
      </c>
      <c r="C3320" s="135"/>
    </row>
    <row r="3321" spans="1:3" x14ac:dyDescent="0.2">
      <c r="A3321" s="9"/>
      <c r="B3321" s="135">
        <v>26.32</v>
      </c>
      <c r="C3321" s="135"/>
    </row>
    <row r="3322" spans="1:3" x14ac:dyDescent="0.2">
      <c r="A3322" s="9"/>
      <c r="B3322" s="135">
        <v>26.33</v>
      </c>
      <c r="C3322" s="135"/>
    </row>
    <row r="3323" spans="1:3" x14ac:dyDescent="0.2">
      <c r="A3323" s="9"/>
      <c r="B3323" s="135">
        <v>26.34</v>
      </c>
      <c r="C3323" s="135"/>
    </row>
    <row r="3324" spans="1:3" x14ac:dyDescent="0.2">
      <c r="A3324" s="9"/>
      <c r="B3324" s="135">
        <v>26.35</v>
      </c>
      <c r="C3324" s="135"/>
    </row>
    <row r="3325" spans="1:3" x14ac:dyDescent="0.2">
      <c r="A3325" s="9"/>
      <c r="B3325" s="135">
        <v>26.36</v>
      </c>
      <c r="C3325" s="135"/>
    </row>
    <row r="3326" spans="1:3" x14ac:dyDescent="0.2">
      <c r="A3326" s="9"/>
      <c r="B3326" s="135">
        <v>26.37</v>
      </c>
      <c r="C3326" s="135"/>
    </row>
    <row r="3327" spans="1:3" x14ac:dyDescent="0.2">
      <c r="A3327" s="9"/>
      <c r="B3327" s="135">
        <v>26.38</v>
      </c>
      <c r="C3327" s="135"/>
    </row>
    <row r="3328" spans="1:3" x14ac:dyDescent="0.2">
      <c r="A3328" s="9"/>
      <c r="B3328" s="135">
        <v>26.39</v>
      </c>
      <c r="C3328" s="135"/>
    </row>
    <row r="3329" spans="1:3" x14ac:dyDescent="0.2">
      <c r="A3329" s="9"/>
      <c r="B3329" s="135">
        <v>26.4</v>
      </c>
      <c r="C3329" s="135"/>
    </row>
    <row r="3330" spans="1:3" x14ac:dyDescent="0.2">
      <c r="A3330" s="9"/>
      <c r="B3330" s="135">
        <v>26.41</v>
      </c>
      <c r="C3330" s="135"/>
    </row>
    <row r="3331" spans="1:3" x14ac:dyDescent="0.2">
      <c r="A3331" s="9"/>
      <c r="B3331" s="135">
        <v>26.42</v>
      </c>
      <c r="C3331" s="135"/>
    </row>
    <row r="3332" spans="1:3" x14ac:dyDescent="0.2">
      <c r="A3332" s="9"/>
      <c r="B3332" s="135">
        <v>26.43</v>
      </c>
      <c r="C3332" s="135"/>
    </row>
    <row r="3333" spans="1:3" x14ac:dyDescent="0.2">
      <c r="A3333" s="9"/>
      <c r="B3333" s="135">
        <v>26.44</v>
      </c>
      <c r="C3333" s="135"/>
    </row>
    <row r="3334" spans="1:3" x14ac:dyDescent="0.2">
      <c r="A3334" s="9"/>
      <c r="B3334" s="135">
        <v>26.45</v>
      </c>
      <c r="C3334" s="135"/>
    </row>
    <row r="3335" spans="1:3" x14ac:dyDescent="0.2">
      <c r="A3335" s="9"/>
      <c r="B3335" s="135">
        <v>26.46</v>
      </c>
      <c r="C3335" s="135"/>
    </row>
    <row r="3336" spans="1:3" x14ac:dyDescent="0.2">
      <c r="A3336" s="9"/>
      <c r="B3336" s="135">
        <v>26.47</v>
      </c>
      <c r="C3336" s="135"/>
    </row>
    <row r="3337" spans="1:3" x14ac:dyDescent="0.2">
      <c r="A3337" s="9"/>
      <c r="B3337" s="135">
        <v>26.48</v>
      </c>
      <c r="C3337" s="135"/>
    </row>
    <row r="3338" spans="1:3" x14ac:dyDescent="0.2">
      <c r="A3338" s="9"/>
      <c r="B3338" s="135">
        <v>26.49</v>
      </c>
      <c r="C3338" s="135"/>
    </row>
    <row r="3339" spans="1:3" x14ac:dyDescent="0.2">
      <c r="A3339" s="9"/>
      <c r="B3339" s="135">
        <v>26.5</v>
      </c>
      <c r="C3339" s="135"/>
    </row>
    <row r="3340" spans="1:3" x14ac:dyDescent="0.2">
      <c r="A3340" s="9"/>
      <c r="B3340" s="135">
        <v>26.51</v>
      </c>
      <c r="C3340" s="135"/>
    </row>
    <row r="3341" spans="1:3" x14ac:dyDescent="0.2">
      <c r="A3341" s="9"/>
      <c r="B3341" s="135">
        <v>26.52</v>
      </c>
      <c r="C3341" s="135"/>
    </row>
    <row r="3342" spans="1:3" x14ac:dyDescent="0.2">
      <c r="A3342" s="9"/>
      <c r="B3342" s="135">
        <v>26.53</v>
      </c>
      <c r="C3342" s="135"/>
    </row>
    <row r="3343" spans="1:3" x14ac:dyDescent="0.2">
      <c r="A3343" s="9"/>
      <c r="B3343" s="135">
        <v>26.54</v>
      </c>
      <c r="C3343" s="135"/>
    </row>
    <row r="3344" spans="1:3" x14ac:dyDescent="0.2">
      <c r="A3344" s="9"/>
      <c r="B3344" s="135">
        <v>26.55</v>
      </c>
      <c r="C3344" s="135"/>
    </row>
    <row r="3345" spans="1:3" x14ac:dyDescent="0.2">
      <c r="A3345" s="9"/>
      <c r="B3345" s="135">
        <v>26.56</v>
      </c>
      <c r="C3345" s="135"/>
    </row>
    <row r="3346" spans="1:3" x14ac:dyDescent="0.2">
      <c r="A3346" s="9"/>
      <c r="B3346" s="135">
        <v>26.57</v>
      </c>
      <c r="C3346" s="135"/>
    </row>
    <row r="3347" spans="1:3" x14ac:dyDescent="0.2">
      <c r="A3347" s="9"/>
      <c r="B3347" s="135">
        <v>26.58</v>
      </c>
      <c r="C3347" s="135"/>
    </row>
    <row r="3348" spans="1:3" x14ac:dyDescent="0.2">
      <c r="A3348" s="9"/>
      <c r="B3348" s="135">
        <v>26.59</v>
      </c>
      <c r="C3348" s="135"/>
    </row>
    <row r="3349" spans="1:3" x14ac:dyDescent="0.2">
      <c r="A3349" s="9"/>
      <c r="B3349" s="135">
        <v>26.6</v>
      </c>
      <c r="C3349" s="135"/>
    </row>
    <row r="3350" spans="1:3" x14ac:dyDescent="0.2">
      <c r="A3350" s="9"/>
      <c r="B3350" s="135">
        <v>26.61</v>
      </c>
      <c r="C3350" s="135"/>
    </row>
    <row r="3351" spans="1:3" x14ac:dyDescent="0.2">
      <c r="A3351" s="9"/>
      <c r="B3351" s="135">
        <v>26.62</v>
      </c>
      <c r="C3351" s="135"/>
    </row>
    <row r="3352" spans="1:3" x14ac:dyDescent="0.2">
      <c r="A3352" s="9"/>
      <c r="B3352" s="135">
        <v>26.63</v>
      </c>
      <c r="C3352" s="135"/>
    </row>
    <row r="3353" spans="1:3" x14ac:dyDescent="0.2">
      <c r="A3353" s="9"/>
      <c r="B3353" s="135">
        <v>26.64</v>
      </c>
      <c r="C3353" s="135"/>
    </row>
    <row r="3354" spans="1:3" x14ac:dyDescent="0.2">
      <c r="A3354" s="9"/>
      <c r="B3354" s="135">
        <v>26.65</v>
      </c>
      <c r="C3354" s="135"/>
    </row>
    <row r="3355" spans="1:3" x14ac:dyDescent="0.2">
      <c r="A3355" s="9"/>
      <c r="B3355" s="135">
        <v>26.66</v>
      </c>
      <c r="C3355" s="135"/>
    </row>
    <row r="3356" spans="1:3" x14ac:dyDescent="0.2">
      <c r="A3356" s="9"/>
      <c r="B3356" s="135">
        <v>26.67</v>
      </c>
      <c r="C3356" s="135"/>
    </row>
    <row r="3357" spans="1:3" x14ac:dyDescent="0.2">
      <c r="A3357" s="9"/>
      <c r="B3357" s="135">
        <v>26.68</v>
      </c>
      <c r="C3357" s="135"/>
    </row>
    <row r="3358" spans="1:3" x14ac:dyDescent="0.2">
      <c r="A3358" s="9"/>
      <c r="B3358" s="135">
        <v>26.69</v>
      </c>
      <c r="C3358" s="135"/>
    </row>
    <row r="3359" spans="1:3" x14ac:dyDescent="0.2">
      <c r="A3359" s="9"/>
      <c r="B3359" s="135">
        <v>26.7</v>
      </c>
      <c r="C3359" s="135"/>
    </row>
    <row r="3360" spans="1:3" x14ac:dyDescent="0.2">
      <c r="A3360" s="9"/>
      <c r="B3360" s="135">
        <v>26.71</v>
      </c>
      <c r="C3360" s="135"/>
    </row>
    <row r="3361" spans="1:3" x14ac:dyDescent="0.2">
      <c r="A3361" s="9"/>
      <c r="B3361" s="135">
        <v>26.72</v>
      </c>
      <c r="C3361" s="135"/>
    </row>
    <row r="3362" spans="1:3" x14ac:dyDescent="0.2">
      <c r="A3362" s="9"/>
      <c r="B3362" s="135">
        <v>26.73</v>
      </c>
      <c r="C3362" s="135"/>
    </row>
    <row r="3363" spans="1:3" x14ac:dyDescent="0.2">
      <c r="A3363" s="9"/>
      <c r="B3363" s="135">
        <v>26.74</v>
      </c>
      <c r="C3363" s="135"/>
    </row>
    <row r="3364" spans="1:3" x14ac:dyDescent="0.2">
      <c r="A3364" s="9"/>
      <c r="B3364" s="135">
        <v>26.75</v>
      </c>
      <c r="C3364" s="135"/>
    </row>
    <row r="3365" spans="1:3" x14ac:dyDescent="0.2">
      <c r="A3365" s="9"/>
      <c r="B3365" s="135">
        <v>26.76</v>
      </c>
      <c r="C3365" s="135"/>
    </row>
    <row r="3366" spans="1:3" x14ac:dyDescent="0.2">
      <c r="A3366" s="9"/>
      <c r="B3366" s="135">
        <v>26.77</v>
      </c>
      <c r="C3366" s="135"/>
    </row>
    <row r="3367" spans="1:3" x14ac:dyDescent="0.2">
      <c r="A3367" s="9"/>
      <c r="B3367" s="135">
        <v>26.78</v>
      </c>
      <c r="C3367" s="135"/>
    </row>
    <row r="3368" spans="1:3" x14ac:dyDescent="0.2">
      <c r="A3368" s="9"/>
      <c r="B3368" s="135">
        <v>26.79</v>
      </c>
      <c r="C3368" s="135"/>
    </row>
    <row r="3369" spans="1:3" x14ac:dyDescent="0.2">
      <c r="A3369" s="9"/>
      <c r="B3369" s="135">
        <v>26.8</v>
      </c>
      <c r="C3369" s="135"/>
    </row>
    <row r="3370" spans="1:3" x14ac:dyDescent="0.2">
      <c r="A3370" s="9"/>
      <c r="B3370" s="135">
        <v>26.81</v>
      </c>
      <c r="C3370" s="135"/>
    </row>
    <row r="3371" spans="1:3" x14ac:dyDescent="0.2">
      <c r="A3371" s="9"/>
      <c r="B3371" s="135">
        <v>26.82</v>
      </c>
      <c r="C3371" s="135"/>
    </row>
    <row r="3372" spans="1:3" x14ac:dyDescent="0.2">
      <c r="A3372" s="9"/>
      <c r="B3372" s="135">
        <v>26.83</v>
      </c>
      <c r="C3372" s="135"/>
    </row>
    <row r="3373" spans="1:3" x14ac:dyDescent="0.2">
      <c r="A3373" s="9"/>
      <c r="B3373" s="135">
        <v>26.84</v>
      </c>
      <c r="C3373" s="135"/>
    </row>
    <row r="3374" spans="1:3" x14ac:dyDescent="0.2">
      <c r="A3374" s="9"/>
      <c r="B3374" s="135">
        <v>26.85</v>
      </c>
      <c r="C3374" s="135"/>
    </row>
    <row r="3375" spans="1:3" x14ac:dyDescent="0.2">
      <c r="A3375" s="9"/>
      <c r="B3375" s="135">
        <v>26.86</v>
      </c>
      <c r="C3375" s="135"/>
    </row>
    <row r="3376" spans="1:3" x14ac:dyDescent="0.2">
      <c r="A3376" s="9"/>
      <c r="B3376" s="135">
        <v>26.87</v>
      </c>
      <c r="C3376" s="135"/>
    </row>
    <row r="3377" spans="1:3" x14ac:dyDescent="0.2">
      <c r="A3377" s="9"/>
      <c r="B3377" s="135">
        <v>26.88</v>
      </c>
      <c r="C3377" s="135"/>
    </row>
    <row r="3378" spans="1:3" x14ac:dyDescent="0.2">
      <c r="A3378" s="9"/>
      <c r="B3378" s="135">
        <v>26.89</v>
      </c>
      <c r="C3378" s="135"/>
    </row>
    <row r="3379" spans="1:3" x14ac:dyDescent="0.2">
      <c r="A3379" s="9"/>
      <c r="B3379" s="135">
        <v>26.9</v>
      </c>
      <c r="C3379" s="135"/>
    </row>
    <row r="3380" spans="1:3" x14ac:dyDescent="0.2">
      <c r="A3380" s="9"/>
      <c r="B3380" s="135">
        <v>26.91</v>
      </c>
      <c r="C3380" s="135"/>
    </row>
    <row r="3381" spans="1:3" x14ac:dyDescent="0.2">
      <c r="A3381" s="9"/>
      <c r="B3381" s="135">
        <v>26.92</v>
      </c>
      <c r="C3381" s="135"/>
    </row>
    <row r="3382" spans="1:3" x14ac:dyDescent="0.2">
      <c r="A3382" s="9"/>
      <c r="B3382" s="135">
        <v>26.93</v>
      </c>
      <c r="C3382" s="135"/>
    </row>
    <row r="3383" spans="1:3" x14ac:dyDescent="0.2">
      <c r="A3383" s="9"/>
      <c r="B3383" s="135">
        <v>26.94</v>
      </c>
      <c r="C3383" s="135"/>
    </row>
    <row r="3384" spans="1:3" x14ac:dyDescent="0.2">
      <c r="A3384" s="9"/>
      <c r="B3384" s="135">
        <v>26.95</v>
      </c>
      <c r="C3384" s="135"/>
    </row>
    <row r="3385" spans="1:3" x14ac:dyDescent="0.2">
      <c r="A3385" s="9"/>
      <c r="B3385" s="135">
        <v>26.96</v>
      </c>
      <c r="C3385" s="135"/>
    </row>
    <row r="3386" spans="1:3" x14ac:dyDescent="0.2">
      <c r="A3386" s="9"/>
      <c r="B3386" s="135">
        <v>26.97</v>
      </c>
      <c r="C3386" s="135"/>
    </row>
    <row r="3387" spans="1:3" x14ac:dyDescent="0.2">
      <c r="A3387" s="9"/>
      <c r="B3387" s="135">
        <v>26.98</v>
      </c>
      <c r="C3387" s="135"/>
    </row>
    <row r="3388" spans="1:3" x14ac:dyDescent="0.2">
      <c r="A3388" s="9"/>
      <c r="B3388" s="135">
        <v>26.99</v>
      </c>
      <c r="C3388" s="135"/>
    </row>
    <row r="3389" spans="1:3" x14ac:dyDescent="0.2">
      <c r="A3389" s="9"/>
      <c r="B3389" s="135">
        <v>27</v>
      </c>
      <c r="C3389" s="135"/>
    </row>
    <row r="3390" spans="1:3" x14ac:dyDescent="0.2">
      <c r="A3390" s="9"/>
      <c r="B3390" s="135">
        <v>27.01</v>
      </c>
      <c r="C3390" s="135"/>
    </row>
    <row r="3391" spans="1:3" x14ac:dyDescent="0.2">
      <c r="A3391" s="9"/>
      <c r="B3391" s="135">
        <v>27.02</v>
      </c>
      <c r="C3391" s="135"/>
    </row>
    <row r="3392" spans="1:3" x14ac:dyDescent="0.2">
      <c r="A3392" s="9"/>
      <c r="B3392" s="135">
        <v>27.03</v>
      </c>
      <c r="C3392" s="135"/>
    </row>
    <row r="3393" spans="1:3" x14ac:dyDescent="0.2">
      <c r="A3393" s="9"/>
      <c r="B3393" s="135">
        <v>27.04</v>
      </c>
      <c r="C3393" s="135"/>
    </row>
    <row r="3394" spans="1:3" x14ac:dyDescent="0.2">
      <c r="A3394" s="9"/>
      <c r="B3394" s="135">
        <v>27.05</v>
      </c>
      <c r="C3394" s="135"/>
    </row>
    <row r="3395" spans="1:3" x14ac:dyDescent="0.2">
      <c r="A3395" s="9"/>
      <c r="B3395" s="135">
        <v>27.06</v>
      </c>
      <c r="C3395" s="135"/>
    </row>
    <row r="3396" spans="1:3" x14ac:dyDescent="0.2">
      <c r="A3396" s="9"/>
      <c r="B3396" s="135">
        <v>27.07</v>
      </c>
      <c r="C3396" s="135"/>
    </row>
    <row r="3397" spans="1:3" x14ac:dyDescent="0.2">
      <c r="A3397" s="9"/>
      <c r="B3397" s="135">
        <v>27.08</v>
      </c>
      <c r="C3397" s="135"/>
    </row>
    <row r="3398" spans="1:3" x14ac:dyDescent="0.2">
      <c r="A3398" s="9"/>
      <c r="B3398" s="135">
        <v>27.09</v>
      </c>
      <c r="C3398" s="135"/>
    </row>
    <row r="3399" spans="1:3" x14ac:dyDescent="0.2">
      <c r="A3399" s="9"/>
      <c r="B3399" s="135">
        <v>27.1</v>
      </c>
      <c r="C3399" s="135"/>
    </row>
    <row r="3400" spans="1:3" x14ac:dyDescent="0.2">
      <c r="A3400" s="9"/>
      <c r="B3400" s="135">
        <v>27.11</v>
      </c>
      <c r="C3400" s="135"/>
    </row>
    <row r="3401" spans="1:3" x14ac:dyDescent="0.2">
      <c r="A3401" s="9"/>
      <c r="B3401" s="135">
        <v>27.12</v>
      </c>
      <c r="C3401" s="135"/>
    </row>
    <row r="3402" spans="1:3" x14ac:dyDescent="0.2">
      <c r="A3402" s="9"/>
      <c r="B3402" s="135">
        <v>27.13</v>
      </c>
      <c r="C3402" s="135"/>
    </row>
    <row r="3403" spans="1:3" x14ac:dyDescent="0.2">
      <c r="A3403" s="9"/>
      <c r="B3403" s="135">
        <v>27.14</v>
      </c>
      <c r="C3403" s="135"/>
    </row>
    <row r="3404" spans="1:3" x14ac:dyDescent="0.2">
      <c r="A3404" s="9"/>
      <c r="B3404" s="135">
        <v>27.15</v>
      </c>
      <c r="C3404" s="135"/>
    </row>
    <row r="3405" spans="1:3" x14ac:dyDescent="0.2">
      <c r="A3405" s="9"/>
      <c r="B3405" s="135">
        <v>27.16</v>
      </c>
      <c r="C3405" s="135"/>
    </row>
    <row r="3406" spans="1:3" x14ac:dyDescent="0.2">
      <c r="A3406" s="9"/>
      <c r="B3406" s="135">
        <v>27.17</v>
      </c>
      <c r="C3406" s="135"/>
    </row>
    <row r="3407" spans="1:3" x14ac:dyDescent="0.2">
      <c r="A3407" s="9"/>
      <c r="B3407" s="135">
        <v>27.18</v>
      </c>
      <c r="C3407" s="135"/>
    </row>
    <row r="3408" spans="1:3" x14ac:dyDescent="0.2">
      <c r="A3408" s="9"/>
      <c r="B3408" s="135">
        <v>27.19</v>
      </c>
      <c r="C3408" s="135"/>
    </row>
    <row r="3409" spans="1:3" x14ac:dyDescent="0.2">
      <c r="A3409" s="9"/>
      <c r="B3409" s="135">
        <v>27.2</v>
      </c>
      <c r="C3409" s="135"/>
    </row>
    <row r="3410" spans="1:3" x14ac:dyDescent="0.2">
      <c r="A3410" s="9"/>
      <c r="B3410" s="135">
        <v>27.21</v>
      </c>
      <c r="C3410" s="135"/>
    </row>
    <row r="3411" spans="1:3" x14ac:dyDescent="0.2">
      <c r="A3411" s="9"/>
      <c r="B3411" s="135">
        <v>27.22</v>
      </c>
      <c r="C3411" s="135"/>
    </row>
    <row r="3412" spans="1:3" x14ac:dyDescent="0.2">
      <c r="A3412" s="9"/>
      <c r="B3412" s="135">
        <v>27.23</v>
      </c>
      <c r="C3412" s="135"/>
    </row>
    <row r="3413" spans="1:3" x14ac:dyDescent="0.2">
      <c r="A3413" s="9"/>
      <c r="B3413" s="135">
        <v>27.24</v>
      </c>
      <c r="C3413" s="135"/>
    </row>
    <row r="3414" spans="1:3" x14ac:dyDescent="0.2">
      <c r="A3414" s="9"/>
      <c r="B3414" s="135">
        <v>27.25</v>
      </c>
      <c r="C3414" s="135"/>
    </row>
    <row r="3415" spans="1:3" x14ac:dyDescent="0.2">
      <c r="A3415" s="9"/>
      <c r="B3415" s="135">
        <v>27.26</v>
      </c>
      <c r="C3415" s="135"/>
    </row>
    <row r="3416" spans="1:3" x14ac:dyDescent="0.2">
      <c r="A3416" s="9"/>
      <c r="B3416" s="135">
        <v>27.27</v>
      </c>
      <c r="C3416" s="135"/>
    </row>
    <row r="3417" spans="1:3" x14ac:dyDescent="0.2">
      <c r="A3417" s="9"/>
      <c r="B3417" s="135">
        <v>27.28</v>
      </c>
      <c r="C3417" s="135"/>
    </row>
    <row r="3418" spans="1:3" x14ac:dyDescent="0.2">
      <c r="A3418" s="9"/>
      <c r="B3418" s="135">
        <v>27.29</v>
      </c>
      <c r="C3418" s="135"/>
    </row>
    <row r="3419" spans="1:3" x14ac:dyDescent="0.2">
      <c r="A3419" s="9"/>
      <c r="B3419" s="135">
        <v>27.3</v>
      </c>
      <c r="C3419" s="135"/>
    </row>
    <row r="3420" spans="1:3" x14ac:dyDescent="0.2">
      <c r="A3420" s="9"/>
      <c r="B3420" s="135">
        <v>27.31</v>
      </c>
      <c r="C3420" s="135"/>
    </row>
    <row r="3421" spans="1:3" x14ac:dyDescent="0.2">
      <c r="A3421" s="9"/>
      <c r="B3421" s="135">
        <v>27.32</v>
      </c>
      <c r="C3421" s="135"/>
    </row>
    <row r="3422" spans="1:3" x14ac:dyDescent="0.2">
      <c r="A3422" s="9"/>
      <c r="B3422" s="135">
        <v>27.33</v>
      </c>
      <c r="C3422" s="135"/>
    </row>
    <row r="3423" spans="1:3" x14ac:dyDescent="0.2">
      <c r="A3423" s="9"/>
      <c r="B3423" s="135">
        <v>27.34</v>
      </c>
      <c r="C3423" s="135"/>
    </row>
    <row r="3424" spans="1:3" x14ac:dyDescent="0.2">
      <c r="A3424" s="9"/>
      <c r="B3424" s="135">
        <v>27.35</v>
      </c>
      <c r="C3424" s="135"/>
    </row>
    <row r="3425" spans="1:3" x14ac:dyDescent="0.2">
      <c r="A3425" s="9"/>
      <c r="B3425" s="135">
        <v>27.36</v>
      </c>
      <c r="C3425" s="135"/>
    </row>
    <row r="3426" spans="1:3" x14ac:dyDescent="0.2">
      <c r="A3426" s="9"/>
      <c r="B3426" s="135">
        <v>27.37</v>
      </c>
      <c r="C3426" s="135"/>
    </row>
    <row r="3427" spans="1:3" x14ac:dyDescent="0.2">
      <c r="A3427" s="9"/>
      <c r="B3427" s="135">
        <v>27.38</v>
      </c>
      <c r="C3427" s="135"/>
    </row>
    <row r="3428" spans="1:3" x14ac:dyDescent="0.2">
      <c r="A3428" s="9"/>
      <c r="B3428" s="135">
        <v>27.39</v>
      </c>
      <c r="C3428" s="135"/>
    </row>
    <row r="3429" spans="1:3" x14ac:dyDescent="0.2">
      <c r="A3429" s="9"/>
      <c r="B3429" s="135">
        <v>27.4</v>
      </c>
      <c r="C3429" s="135"/>
    </row>
    <row r="3430" spans="1:3" x14ac:dyDescent="0.2">
      <c r="A3430" s="9"/>
      <c r="B3430" s="135">
        <v>27.41</v>
      </c>
      <c r="C3430" s="135"/>
    </row>
    <row r="3431" spans="1:3" x14ac:dyDescent="0.2">
      <c r="A3431" s="9"/>
      <c r="B3431" s="135">
        <v>27.42</v>
      </c>
      <c r="C3431" s="135"/>
    </row>
    <row r="3432" spans="1:3" x14ac:dyDescent="0.2">
      <c r="A3432" s="9"/>
      <c r="B3432" s="135">
        <v>27.43</v>
      </c>
      <c r="C3432" s="135"/>
    </row>
    <row r="3433" spans="1:3" x14ac:dyDescent="0.2">
      <c r="A3433" s="9"/>
      <c r="B3433" s="135">
        <v>27.44</v>
      </c>
      <c r="C3433" s="135"/>
    </row>
    <row r="3434" spans="1:3" x14ac:dyDescent="0.2">
      <c r="A3434" s="9"/>
      <c r="B3434" s="135">
        <v>27.45</v>
      </c>
      <c r="C3434" s="135"/>
    </row>
    <row r="3435" spans="1:3" x14ac:dyDescent="0.2">
      <c r="A3435" s="9"/>
      <c r="B3435" s="135">
        <v>27.46</v>
      </c>
      <c r="C3435" s="135"/>
    </row>
    <row r="3436" spans="1:3" x14ac:dyDescent="0.2">
      <c r="A3436" s="9"/>
      <c r="B3436" s="135">
        <v>27.47</v>
      </c>
      <c r="C3436" s="135"/>
    </row>
    <row r="3437" spans="1:3" x14ac:dyDescent="0.2">
      <c r="A3437" s="9"/>
      <c r="B3437" s="135">
        <v>27.48</v>
      </c>
      <c r="C3437" s="135"/>
    </row>
    <row r="3438" spans="1:3" x14ac:dyDescent="0.2">
      <c r="A3438" s="9"/>
      <c r="B3438" s="135">
        <v>27.49</v>
      </c>
      <c r="C3438" s="135"/>
    </row>
    <row r="3439" spans="1:3" x14ac:dyDescent="0.2">
      <c r="A3439" s="9"/>
      <c r="B3439" s="135">
        <v>27.5</v>
      </c>
      <c r="C3439" s="135"/>
    </row>
    <row r="3440" spans="1:3" x14ac:dyDescent="0.2">
      <c r="A3440" s="9"/>
      <c r="B3440" s="135">
        <v>27.51</v>
      </c>
      <c r="C3440" s="135"/>
    </row>
    <row r="3441" spans="1:3" x14ac:dyDescent="0.2">
      <c r="A3441" s="9"/>
      <c r="B3441" s="135">
        <v>27.52</v>
      </c>
      <c r="C3441" s="135"/>
    </row>
    <row r="3442" spans="1:3" x14ac:dyDescent="0.2">
      <c r="A3442" s="9"/>
      <c r="B3442" s="135">
        <v>27.53</v>
      </c>
      <c r="C3442" s="135"/>
    </row>
    <row r="3443" spans="1:3" x14ac:dyDescent="0.2">
      <c r="A3443" s="9"/>
      <c r="B3443" s="135">
        <v>27.54</v>
      </c>
      <c r="C3443" s="135"/>
    </row>
    <row r="3444" spans="1:3" x14ac:dyDescent="0.2">
      <c r="A3444" s="9"/>
      <c r="B3444" s="135">
        <v>27.55</v>
      </c>
      <c r="C3444" s="135"/>
    </row>
    <row r="3445" spans="1:3" x14ac:dyDescent="0.2">
      <c r="A3445" s="9"/>
      <c r="B3445" s="135">
        <v>27.56</v>
      </c>
      <c r="C3445" s="135"/>
    </row>
    <row r="3446" spans="1:3" x14ac:dyDescent="0.2">
      <c r="A3446" s="9"/>
      <c r="B3446" s="135">
        <v>27.57</v>
      </c>
      <c r="C3446" s="135"/>
    </row>
    <row r="3447" spans="1:3" x14ac:dyDescent="0.2">
      <c r="A3447" s="9"/>
      <c r="B3447" s="135">
        <v>27.58</v>
      </c>
      <c r="C3447" s="135"/>
    </row>
    <row r="3448" spans="1:3" x14ac:dyDescent="0.2">
      <c r="A3448" s="9"/>
      <c r="B3448" s="135">
        <v>27.59</v>
      </c>
      <c r="C3448" s="135"/>
    </row>
    <row r="3449" spans="1:3" x14ac:dyDescent="0.2">
      <c r="A3449" s="9"/>
      <c r="B3449" s="135">
        <v>27.6</v>
      </c>
      <c r="C3449" s="135"/>
    </row>
    <row r="3450" spans="1:3" x14ac:dyDescent="0.2">
      <c r="A3450" s="9"/>
      <c r="B3450" s="135">
        <v>27.61</v>
      </c>
      <c r="C3450" s="135"/>
    </row>
    <row r="3451" spans="1:3" x14ac:dyDescent="0.2">
      <c r="A3451" s="9"/>
      <c r="B3451" s="135">
        <v>27.62</v>
      </c>
      <c r="C3451" s="135"/>
    </row>
    <row r="3452" spans="1:3" x14ac:dyDescent="0.2">
      <c r="A3452" s="9"/>
      <c r="B3452" s="135">
        <v>27.63</v>
      </c>
      <c r="C3452" s="135"/>
    </row>
    <row r="3453" spans="1:3" x14ac:dyDescent="0.2">
      <c r="A3453" s="9"/>
      <c r="B3453" s="135">
        <v>27.64</v>
      </c>
      <c r="C3453" s="135"/>
    </row>
    <row r="3454" spans="1:3" x14ac:dyDescent="0.2">
      <c r="A3454" s="9"/>
      <c r="B3454" s="135">
        <v>27.65</v>
      </c>
      <c r="C3454" s="135"/>
    </row>
    <row r="3455" spans="1:3" x14ac:dyDescent="0.2">
      <c r="A3455" s="9"/>
      <c r="B3455" s="135">
        <v>27.66</v>
      </c>
      <c r="C3455" s="135"/>
    </row>
    <row r="3456" spans="1:3" x14ac:dyDescent="0.2">
      <c r="A3456" s="9"/>
      <c r="B3456" s="135">
        <v>27.67</v>
      </c>
      <c r="C3456" s="135"/>
    </row>
    <row r="3457" spans="1:3" x14ac:dyDescent="0.2">
      <c r="A3457" s="9"/>
      <c r="B3457" s="135">
        <v>27.68</v>
      </c>
      <c r="C3457" s="135"/>
    </row>
    <row r="3458" spans="1:3" x14ac:dyDescent="0.2">
      <c r="A3458" s="9"/>
      <c r="B3458" s="135">
        <v>27.69</v>
      </c>
      <c r="C3458" s="135"/>
    </row>
    <row r="3459" spans="1:3" x14ac:dyDescent="0.2">
      <c r="A3459" s="9"/>
      <c r="B3459" s="135">
        <v>27.7</v>
      </c>
      <c r="C3459" s="135"/>
    </row>
    <row r="3460" spans="1:3" x14ac:dyDescent="0.2">
      <c r="A3460" s="9"/>
      <c r="B3460" s="135">
        <v>27.71</v>
      </c>
      <c r="C3460" s="135"/>
    </row>
    <row r="3461" spans="1:3" x14ac:dyDescent="0.2">
      <c r="A3461" s="9"/>
      <c r="B3461" s="135">
        <v>27.72</v>
      </c>
      <c r="C3461" s="135"/>
    </row>
    <row r="3462" spans="1:3" x14ac:dyDescent="0.2">
      <c r="A3462" s="9"/>
      <c r="B3462" s="135">
        <v>27.73</v>
      </c>
      <c r="C3462" s="135"/>
    </row>
    <row r="3463" spans="1:3" x14ac:dyDescent="0.2">
      <c r="A3463" s="9"/>
      <c r="B3463" s="135">
        <v>27.74</v>
      </c>
      <c r="C3463" s="135"/>
    </row>
    <row r="3464" spans="1:3" x14ac:dyDescent="0.2">
      <c r="A3464" s="9"/>
      <c r="B3464" s="135">
        <v>27.75</v>
      </c>
      <c r="C3464" s="135"/>
    </row>
    <row r="3465" spans="1:3" x14ac:dyDescent="0.2">
      <c r="A3465" s="9"/>
      <c r="B3465" s="135">
        <v>27.76</v>
      </c>
      <c r="C3465" s="135"/>
    </row>
    <row r="3466" spans="1:3" x14ac:dyDescent="0.2">
      <c r="A3466" s="9"/>
      <c r="B3466" s="135">
        <v>27.77</v>
      </c>
      <c r="C3466" s="135"/>
    </row>
    <row r="3467" spans="1:3" x14ac:dyDescent="0.2">
      <c r="A3467" s="9"/>
      <c r="B3467" s="135">
        <v>27.78</v>
      </c>
      <c r="C3467" s="135"/>
    </row>
    <row r="3468" spans="1:3" x14ac:dyDescent="0.2">
      <c r="A3468" s="9"/>
      <c r="B3468" s="135">
        <v>27.79</v>
      </c>
      <c r="C3468" s="135"/>
    </row>
    <row r="3469" spans="1:3" x14ac:dyDescent="0.2">
      <c r="A3469" s="9"/>
      <c r="B3469" s="135">
        <v>27.8</v>
      </c>
      <c r="C3469" s="135"/>
    </row>
    <row r="3470" spans="1:3" x14ac:dyDescent="0.2">
      <c r="A3470" s="9"/>
      <c r="B3470" s="135">
        <v>27.81</v>
      </c>
      <c r="C3470" s="135"/>
    </row>
    <row r="3471" spans="1:3" x14ac:dyDescent="0.2">
      <c r="A3471" s="9"/>
      <c r="B3471" s="135">
        <v>27.82</v>
      </c>
      <c r="C3471" s="135"/>
    </row>
    <row r="3472" spans="1:3" x14ac:dyDescent="0.2">
      <c r="A3472" s="9"/>
      <c r="B3472" s="135">
        <v>27.83</v>
      </c>
      <c r="C3472" s="135"/>
    </row>
    <row r="3473" spans="1:3" x14ac:dyDescent="0.2">
      <c r="A3473" s="9"/>
      <c r="B3473" s="135">
        <v>27.84</v>
      </c>
      <c r="C3473" s="135"/>
    </row>
    <row r="3474" spans="1:3" x14ac:dyDescent="0.2">
      <c r="A3474" s="9"/>
      <c r="B3474" s="135">
        <v>27.85</v>
      </c>
      <c r="C3474" s="135"/>
    </row>
    <row r="3475" spans="1:3" x14ac:dyDescent="0.2">
      <c r="A3475" s="9"/>
      <c r="B3475" s="135">
        <v>27.86</v>
      </c>
      <c r="C3475" s="135"/>
    </row>
    <row r="3476" spans="1:3" x14ac:dyDescent="0.2">
      <c r="A3476" s="9"/>
      <c r="B3476" s="135">
        <v>27.87</v>
      </c>
      <c r="C3476" s="135"/>
    </row>
    <row r="3477" spans="1:3" x14ac:dyDescent="0.2">
      <c r="A3477" s="9"/>
      <c r="B3477" s="135">
        <v>27.88</v>
      </c>
      <c r="C3477" s="135"/>
    </row>
    <row r="3478" spans="1:3" x14ac:dyDescent="0.2">
      <c r="A3478" s="9"/>
      <c r="B3478" s="135">
        <v>27.89</v>
      </c>
      <c r="C3478" s="135"/>
    </row>
    <row r="3479" spans="1:3" x14ac:dyDescent="0.2">
      <c r="A3479" s="9"/>
      <c r="B3479" s="135">
        <v>27.9</v>
      </c>
      <c r="C3479" s="135"/>
    </row>
    <row r="3480" spans="1:3" x14ac:dyDescent="0.2">
      <c r="A3480" s="9"/>
      <c r="B3480" s="135">
        <v>27.91</v>
      </c>
      <c r="C3480" s="135"/>
    </row>
    <row r="3481" spans="1:3" x14ac:dyDescent="0.2">
      <c r="A3481" s="9"/>
      <c r="B3481" s="135">
        <v>27.92</v>
      </c>
      <c r="C3481" s="135"/>
    </row>
    <row r="3482" spans="1:3" x14ac:dyDescent="0.2">
      <c r="A3482" s="9"/>
      <c r="B3482" s="135">
        <v>27.93</v>
      </c>
      <c r="C3482" s="135"/>
    </row>
    <row r="3483" spans="1:3" x14ac:dyDescent="0.2">
      <c r="A3483" s="9"/>
      <c r="B3483" s="135">
        <v>27.94</v>
      </c>
      <c r="C3483" s="135"/>
    </row>
    <row r="3484" spans="1:3" x14ac:dyDescent="0.2">
      <c r="A3484" s="9"/>
      <c r="B3484" s="135">
        <v>27.95</v>
      </c>
      <c r="C3484" s="135"/>
    </row>
    <row r="3485" spans="1:3" x14ac:dyDescent="0.2">
      <c r="A3485" s="9"/>
      <c r="B3485" s="135">
        <v>27.96</v>
      </c>
      <c r="C3485" s="135"/>
    </row>
    <row r="3486" spans="1:3" x14ac:dyDescent="0.2">
      <c r="A3486" s="9"/>
      <c r="B3486" s="135">
        <v>27.97</v>
      </c>
      <c r="C3486" s="135"/>
    </row>
    <row r="3487" spans="1:3" x14ac:dyDescent="0.2">
      <c r="A3487" s="9"/>
      <c r="B3487" s="135">
        <v>27.98</v>
      </c>
      <c r="C3487" s="135"/>
    </row>
    <row r="3488" spans="1:3" x14ac:dyDescent="0.2">
      <c r="A3488" s="9"/>
      <c r="B3488" s="135">
        <v>27.99</v>
      </c>
      <c r="C3488" s="135"/>
    </row>
    <row r="3489" spans="1:3" x14ac:dyDescent="0.2">
      <c r="A3489" s="9"/>
      <c r="B3489" s="135">
        <v>28</v>
      </c>
      <c r="C3489" s="135"/>
    </row>
    <row r="3490" spans="1:3" x14ac:dyDescent="0.2">
      <c r="A3490" s="9"/>
      <c r="B3490" s="135">
        <v>28.01</v>
      </c>
      <c r="C3490" s="135"/>
    </row>
    <row r="3491" spans="1:3" x14ac:dyDescent="0.2">
      <c r="A3491" s="9"/>
      <c r="B3491" s="135">
        <v>28.02</v>
      </c>
      <c r="C3491" s="135"/>
    </row>
    <row r="3492" spans="1:3" x14ac:dyDescent="0.2">
      <c r="A3492" s="9"/>
      <c r="B3492" s="135">
        <v>28.03</v>
      </c>
      <c r="C3492" s="135"/>
    </row>
    <row r="3493" spans="1:3" x14ac:dyDescent="0.2">
      <c r="A3493" s="9"/>
      <c r="B3493" s="135">
        <v>28.04</v>
      </c>
      <c r="C3493" s="135"/>
    </row>
    <row r="3494" spans="1:3" x14ac:dyDescent="0.2">
      <c r="A3494" s="9"/>
      <c r="B3494" s="135">
        <v>28.05</v>
      </c>
      <c r="C3494" s="135"/>
    </row>
    <row r="3495" spans="1:3" x14ac:dyDescent="0.2">
      <c r="A3495" s="9"/>
      <c r="B3495" s="135">
        <v>28.06</v>
      </c>
      <c r="C3495" s="135"/>
    </row>
    <row r="3496" spans="1:3" x14ac:dyDescent="0.2">
      <c r="A3496" s="9"/>
      <c r="B3496" s="135">
        <v>28.07</v>
      </c>
      <c r="C3496" s="135"/>
    </row>
    <row r="3497" spans="1:3" x14ac:dyDescent="0.2">
      <c r="A3497" s="9"/>
      <c r="B3497" s="135">
        <v>28.08</v>
      </c>
      <c r="C3497" s="135"/>
    </row>
    <row r="3498" spans="1:3" x14ac:dyDescent="0.2">
      <c r="A3498" s="9"/>
      <c r="B3498" s="135">
        <v>28.09</v>
      </c>
      <c r="C3498" s="135"/>
    </row>
    <row r="3499" spans="1:3" x14ac:dyDescent="0.2">
      <c r="A3499" s="9"/>
      <c r="B3499" s="135">
        <v>28.1</v>
      </c>
      <c r="C3499" s="135"/>
    </row>
    <row r="3500" spans="1:3" x14ac:dyDescent="0.2">
      <c r="A3500" s="9"/>
      <c r="B3500" s="135">
        <v>28.11</v>
      </c>
      <c r="C3500" s="135"/>
    </row>
    <row r="3501" spans="1:3" x14ac:dyDescent="0.2">
      <c r="A3501" s="9"/>
      <c r="B3501" s="135">
        <v>28.12</v>
      </c>
      <c r="C3501" s="135"/>
    </row>
    <row r="3502" spans="1:3" x14ac:dyDescent="0.2">
      <c r="A3502" s="9"/>
      <c r="B3502" s="135">
        <v>28.13</v>
      </c>
      <c r="C3502" s="135"/>
    </row>
    <row r="3503" spans="1:3" x14ac:dyDescent="0.2">
      <c r="A3503" s="9"/>
      <c r="B3503" s="135">
        <v>28.14</v>
      </c>
      <c r="C3503" s="135"/>
    </row>
    <row r="3504" spans="1:3" x14ac:dyDescent="0.2">
      <c r="A3504" s="9"/>
      <c r="B3504" s="135">
        <v>28.15</v>
      </c>
      <c r="C3504" s="135"/>
    </row>
    <row r="3505" spans="1:3" x14ac:dyDescent="0.2">
      <c r="A3505" s="9"/>
      <c r="B3505" s="135">
        <v>28.16</v>
      </c>
      <c r="C3505" s="135"/>
    </row>
    <row r="3506" spans="1:3" x14ac:dyDescent="0.2">
      <c r="A3506" s="9"/>
      <c r="B3506" s="135">
        <v>28.17</v>
      </c>
      <c r="C3506" s="135"/>
    </row>
    <row r="3507" spans="1:3" x14ac:dyDescent="0.2">
      <c r="A3507" s="9"/>
      <c r="B3507" s="135">
        <v>28.18</v>
      </c>
      <c r="C3507" s="135"/>
    </row>
    <row r="3508" spans="1:3" x14ac:dyDescent="0.2">
      <c r="A3508" s="9"/>
      <c r="B3508" s="135">
        <v>28.19</v>
      </c>
      <c r="C3508" s="135"/>
    </row>
    <row r="3509" spans="1:3" x14ac:dyDescent="0.2">
      <c r="A3509" s="9"/>
      <c r="B3509" s="135">
        <v>28.2</v>
      </c>
      <c r="C3509" s="135"/>
    </row>
    <row r="3510" spans="1:3" x14ac:dyDescent="0.2">
      <c r="A3510" s="9"/>
      <c r="B3510" s="135">
        <v>28.21</v>
      </c>
      <c r="C3510" s="135"/>
    </row>
    <row r="3511" spans="1:3" x14ac:dyDescent="0.2">
      <c r="A3511" s="9"/>
      <c r="B3511" s="135">
        <v>28.22</v>
      </c>
      <c r="C3511" s="135"/>
    </row>
    <row r="3512" spans="1:3" x14ac:dyDescent="0.2">
      <c r="A3512" s="9"/>
      <c r="B3512" s="135">
        <v>28.23</v>
      </c>
      <c r="C3512" s="135"/>
    </row>
    <row r="3513" spans="1:3" x14ac:dyDescent="0.2">
      <c r="A3513" s="9"/>
      <c r="B3513" s="135">
        <v>28.24</v>
      </c>
      <c r="C3513" s="135"/>
    </row>
    <row r="3514" spans="1:3" x14ac:dyDescent="0.2">
      <c r="A3514" s="9"/>
      <c r="B3514" s="135">
        <v>28.25</v>
      </c>
      <c r="C3514" s="135"/>
    </row>
    <row r="3515" spans="1:3" x14ac:dyDescent="0.2">
      <c r="A3515" s="9"/>
      <c r="B3515" s="135">
        <v>28.26</v>
      </c>
      <c r="C3515" s="135"/>
    </row>
    <row r="3516" spans="1:3" x14ac:dyDescent="0.2">
      <c r="A3516" s="9"/>
      <c r="B3516" s="135">
        <v>28.27</v>
      </c>
      <c r="C3516" s="135"/>
    </row>
    <row r="3517" spans="1:3" x14ac:dyDescent="0.2">
      <c r="A3517" s="9"/>
      <c r="B3517" s="135">
        <v>28.28</v>
      </c>
      <c r="C3517" s="135"/>
    </row>
    <row r="3518" spans="1:3" x14ac:dyDescent="0.2">
      <c r="A3518" s="9"/>
      <c r="B3518" s="135">
        <v>28.29</v>
      </c>
      <c r="C3518" s="135"/>
    </row>
    <row r="3519" spans="1:3" x14ac:dyDescent="0.2">
      <c r="A3519" s="9"/>
      <c r="B3519" s="135">
        <v>28.3</v>
      </c>
      <c r="C3519" s="135"/>
    </row>
    <row r="3520" spans="1:3" x14ac:dyDescent="0.2">
      <c r="A3520" s="9"/>
      <c r="B3520" s="135">
        <v>28.31</v>
      </c>
      <c r="C3520" s="135"/>
    </row>
    <row r="3521" spans="1:3" x14ac:dyDescent="0.2">
      <c r="A3521" s="9"/>
      <c r="B3521" s="135">
        <v>28.32</v>
      </c>
      <c r="C3521" s="135"/>
    </row>
    <row r="3522" spans="1:3" x14ac:dyDescent="0.2">
      <c r="A3522" s="9"/>
      <c r="B3522" s="135">
        <v>28.33</v>
      </c>
      <c r="C3522" s="135"/>
    </row>
    <row r="3523" spans="1:3" x14ac:dyDescent="0.2">
      <c r="A3523" s="9"/>
      <c r="B3523" s="135">
        <v>28.34</v>
      </c>
      <c r="C3523" s="135"/>
    </row>
    <row r="3524" spans="1:3" x14ac:dyDescent="0.2">
      <c r="A3524" s="9"/>
      <c r="B3524" s="135">
        <v>28.35</v>
      </c>
      <c r="C3524" s="135"/>
    </row>
    <row r="3525" spans="1:3" x14ac:dyDescent="0.2">
      <c r="A3525" s="9"/>
      <c r="B3525" s="135">
        <v>28.36</v>
      </c>
      <c r="C3525" s="135"/>
    </row>
    <row r="3526" spans="1:3" x14ac:dyDescent="0.2">
      <c r="A3526" s="9"/>
      <c r="B3526" s="135">
        <v>28.37</v>
      </c>
      <c r="C3526" s="135"/>
    </row>
    <row r="3527" spans="1:3" x14ac:dyDescent="0.2">
      <c r="A3527" s="9"/>
      <c r="B3527" s="135">
        <v>28.38</v>
      </c>
      <c r="C3527" s="135"/>
    </row>
    <row r="3528" spans="1:3" x14ac:dyDescent="0.2">
      <c r="A3528" s="9"/>
      <c r="B3528" s="135">
        <v>28.39</v>
      </c>
      <c r="C3528" s="135"/>
    </row>
    <row r="3529" spans="1:3" x14ac:dyDescent="0.2">
      <c r="A3529" s="9"/>
      <c r="B3529" s="135">
        <v>28.4</v>
      </c>
      <c r="C3529" s="135"/>
    </row>
    <row r="3530" spans="1:3" x14ac:dyDescent="0.2">
      <c r="A3530" s="9"/>
      <c r="B3530" s="135">
        <v>28.41</v>
      </c>
      <c r="C3530" s="135"/>
    </row>
    <row r="3531" spans="1:3" x14ac:dyDescent="0.2">
      <c r="A3531" s="9"/>
      <c r="B3531" s="135">
        <v>28.42</v>
      </c>
      <c r="C3531" s="135"/>
    </row>
    <row r="3532" spans="1:3" x14ac:dyDescent="0.2">
      <c r="A3532" s="9"/>
      <c r="B3532" s="135">
        <v>28.43</v>
      </c>
      <c r="C3532" s="135"/>
    </row>
    <row r="3533" spans="1:3" x14ac:dyDescent="0.2">
      <c r="A3533" s="9"/>
      <c r="B3533" s="135">
        <v>28.44</v>
      </c>
      <c r="C3533" s="135"/>
    </row>
    <row r="3534" spans="1:3" x14ac:dyDescent="0.2">
      <c r="A3534" s="9"/>
      <c r="B3534" s="135">
        <v>28.45</v>
      </c>
      <c r="C3534" s="135"/>
    </row>
    <row r="3535" spans="1:3" x14ac:dyDescent="0.2">
      <c r="A3535" s="9"/>
      <c r="B3535" s="135">
        <v>28.46</v>
      </c>
      <c r="C3535" s="135"/>
    </row>
    <row r="3536" spans="1:3" x14ac:dyDescent="0.2">
      <c r="A3536" s="9"/>
      <c r="B3536" s="135">
        <v>28.47</v>
      </c>
      <c r="C3536" s="135"/>
    </row>
    <row r="3537" spans="1:3" x14ac:dyDescent="0.2">
      <c r="A3537" s="9"/>
      <c r="B3537" s="135">
        <v>28.48</v>
      </c>
      <c r="C3537" s="135"/>
    </row>
    <row r="3538" spans="1:3" x14ac:dyDescent="0.2">
      <c r="A3538" s="9"/>
      <c r="B3538" s="135">
        <v>28.49</v>
      </c>
      <c r="C3538" s="135"/>
    </row>
    <row r="3539" spans="1:3" x14ac:dyDescent="0.2">
      <c r="A3539" s="9"/>
      <c r="B3539" s="135">
        <v>28.5</v>
      </c>
      <c r="C3539" s="135"/>
    </row>
    <row r="3540" spans="1:3" x14ac:dyDescent="0.2">
      <c r="A3540" s="9"/>
      <c r="B3540" s="135">
        <v>28.51</v>
      </c>
      <c r="C3540" s="135"/>
    </row>
    <row r="3541" spans="1:3" x14ac:dyDescent="0.2">
      <c r="A3541" s="9"/>
      <c r="B3541" s="135">
        <v>28.52</v>
      </c>
      <c r="C3541" s="135"/>
    </row>
    <row r="3542" spans="1:3" x14ac:dyDescent="0.2">
      <c r="A3542" s="9"/>
      <c r="B3542" s="135">
        <v>28.53</v>
      </c>
      <c r="C3542" s="135"/>
    </row>
    <row r="3543" spans="1:3" x14ac:dyDescent="0.2">
      <c r="A3543" s="9"/>
      <c r="B3543" s="135">
        <v>28.54</v>
      </c>
      <c r="C3543" s="135"/>
    </row>
    <row r="3544" spans="1:3" x14ac:dyDescent="0.2">
      <c r="A3544" s="9"/>
      <c r="B3544" s="135">
        <v>28.55</v>
      </c>
      <c r="C3544" s="135"/>
    </row>
    <row r="3545" spans="1:3" x14ac:dyDescent="0.2">
      <c r="A3545" s="9"/>
      <c r="B3545" s="135">
        <v>28.56</v>
      </c>
      <c r="C3545" s="135"/>
    </row>
    <row r="3546" spans="1:3" x14ac:dyDescent="0.2">
      <c r="A3546" s="9"/>
      <c r="B3546" s="135">
        <v>28.57</v>
      </c>
      <c r="C3546" s="135"/>
    </row>
    <row r="3547" spans="1:3" x14ac:dyDescent="0.2">
      <c r="A3547" s="9"/>
      <c r="B3547" s="135">
        <v>28.58</v>
      </c>
      <c r="C3547" s="135"/>
    </row>
    <row r="3548" spans="1:3" x14ac:dyDescent="0.2">
      <c r="A3548" s="9"/>
      <c r="B3548" s="135">
        <v>28.59</v>
      </c>
      <c r="C3548" s="135"/>
    </row>
    <row r="3549" spans="1:3" x14ac:dyDescent="0.2">
      <c r="A3549" s="9"/>
      <c r="B3549" s="135">
        <v>28.6</v>
      </c>
      <c r="C3549" s="135"/>
    </row>
    <row r="3550" spans="1:3" x14ac:dyDescent="0.2">
      <c r="A3550" s="9"/>
      <c r="B3550" s="135">
        <v>28.61</v>
      </c>
      <c r="C3550" s="135"/>
    </row>
    <row r="3551" spans="1:3" x14ac:dyDescent="0.2">
      <c r="A3551" s="9"/>
      <c r="B3551" s="135">
        <v>28.62</v>
      </c>
      <c r="C3551" s="135"/>
    </row>
    <row r="3552" spans="1:3" x14ac:dyDescent="0.2">
      <c r="A3552" s="9"/>
      <c r="B3552" s="135">
        <v>28.63</v>
      </c>
      <c r="C3552" s="135"/>
    </row>
    <row r="3553" spans="1:3" x14ac:dyDescent="0.2">
      <c r="A3553" s="9"/>
      <c r="B3553" s="135">
        <v>28.64</v>
      </c>
      <c r="C3553" s="135"/>
    </row>
    <row r="3554" spans="1:3" x14ac:dyDescent="0.2">
      <c r="A3554" s="9"/>
      <c r="B3554" s="135">
        <v>28.65</v>
      </c>
      <c r="C3554" s="135"/>
    </row>
    <row r="3555" spans="1:3" x14ac:dyDescent="0.2">
      <c r="A3555" s="9"/>
      <c r="B3555" s="135">
        <v>28.66</v>
      </c>
      <c r="C3555" s="135"/>
    </row>
    <row r="3556" spans="1:3" x14ac:dyDescent="0.2">
      <c r="A3556" s="9"/>
      <c r="B3556" s="135">
        <v>28.67</v>
      </c>
      <c r="C3556" s="135"/>
    </row>
    <row r="3557" spans="1:3" x14ac:dyDescent="0.2">
      <c r="A3557" s="9"/>
      <c r="B3557" s="135">
        <v>28.68</v>
      </c>
      <c r="C3557" s="135"/>
    </row>
    <row r="3558" spans="1:3" x14ac:dyDescent="0.2">
      <c r="A3558" s="9"/>
      <c r="B3558" s="135">
        <v>28.69</v>
      </c>
      <c r="C3558" s="135"/>
    </row>
    <row r="3559" spans="1:3" x14ac:dyDescent="0.2">
      <c r="A3559" s="9"/>
      <c r="B3559" s="135">
        <v>28.7</v>
      </c>
      <c r="C3559" s="135"/>
    </row>
    <row r="3560" spans="1:3" x14ac:dyDescent="0.2">
      <c r="A3560" s="9"/>
      <c r="B3560" s="135">
        <v>28.71</v>
      </c>
      <c r="C3560" s="135"/>
    </row>
    <row r="3561" spans="1:3" x14ac:dyDescent="0.2">
      <c r="A3561" s="9"/>
      <c r="B3561" s="135">
        <v>28.72</v>
      </c>
      <c r="C3561" s="135"/>
    </row>
    <row r="3562" spans="1:3" x14ac:dyDescent="0.2">
      <c r="A3562" s="9"/>
      <c r="B3562" s="135">
        <v>28.73</v>
      </c>
      <c r="C3562" s="135"/>
    </row>
    <row r="3563" spans="1:3" x14ac:dyDescent="0.2">
      <c r="A3563" s="9"/>
      <c r="B3563" s="135">
        <v>28.74</v>
      </c>
      <c r="C3563" s="135"/>
    </row>
    <row r="3564" spans="1:3" x14ac:dyDescent="0.2">
      <c r="A3564" s="9"/>
      <c r="B3564" s="135">
        <v>28.75</v>
      </c>
      <c r="C3564" s="135"/>
    </row>
    <row r="3565" spans="1:3" x14ac:dyDescent="0.2">
      <c r="A3565" s="9"/>
      <c r="B3565" s="135">
        <v>28.76</v>
      </c>
      <c r="C3565" s="135"/>
    </row>
    <row r="3566" spans="1:3" x14ac:dyDescent="0.2">
      <c r="A3566" s="9"/>
      <c r="B3566" s="135">
        <v>28.77</v>
      </c>
      <c r="C3566" s="135"/>
    </row>
    <row r="3567" spans="1:3" x14ac:dyDescent="0.2">
      <c r="A3567" s="9"/>
      <c r="B3567" s="135">
        <v>28.78</v>
      </c>
      <c r="C3567" s="135"/>
    </row>
    <row r="3568" spans="1:3" x14ac:dyDescent="0.2">
      <c r="A3568" s="9"/>
      <c r="B3568" s="135">
        <v>28.79</v>
      </c>
      <c r="C3568" s="135"/>
    </row>
    <row r="3569" spans="1:3" x14ac:dyDescent="0.2">
      <c r="A3569" s="9"/>
      <c r="B3569" s="135">
        <v>28.8</v>
      </c>
      <c r="C3569" s="135"/>
    </row>
    <row r="3570" spans="1:3" x14ac:dyDescent="0.2">
      <c r="A3570" s="9"/>
      <c r="B3570" s="135">
        <v>28.81</v>
      </c>
      <c r="C3570" s="135"/>
    </row>
    <row r="3571" spans="1:3" x14ac:dyDescent="0.2">
      <c r="A3571" s="9"/>
      <c r="B3571" s="135">
        <v>28.82</v>
      </c>
      <c r="C3571" s="135"/>
    </row>
    <row r="3572" spans="1:3" x14ac:dyDescent="0.2">
      <c r="A3572" s="9"/>
      <c r="B3572" s="135">
        <v>28.83</v>
      </c>
      <c r="C3572" s="135"/>
    </row>
    <row r="3573" spans="1:3" x14ac:dyDescent="0.2">
      <c r="A3573" s="9"/>
      <c r="B3573" s="135">
        <v>28.84</v>
      </c>
      <c r="C3573" s="135"/>
    </row>
    <row r="3574" spans="1:3" x14ac:dyDescent="0.2">
      <c r="A3574" s="9"/>
      <c r="B3574" s="135">
        <v>28.85</v>
      </c>
      <c r="C3574" s="135"/>
    </row>
    <row r="3575" spans="1:3" x14ac:dyDescent="0.2">
      <c r="A3575" s="9"/>
      <c r="B3575" s="135">
        <v>28.86</v>
      </c>
      <c r="C3575" s="135"/>
    </row>
    <row r="3576" spans="1:3" x14ac:dyDescent="0.2">
      <c r="A3576" s="9"/>
      <c r="B3576" s="135">
        <v>28.87</v>
      </c>
      <c r="C3576" s="135"/>
    </row>
    <row r="3577" spans="1:3" x14ac:dyDescent="0.2">
      <c r="A3577" s="9"/>
      <c r="B3577" s="135">
        <v>28.88</v>
      </c>
      <c r="C3577" s="135"/>
    </row>
    <row r="3578" spans="1:3" x14ac:dyDescent="0.2">
      <c r="A3578" s="9"/>
      <c r="B3578" s="135">
        <v>28.89</v>
      </c>
      <c r="C3578" s="135"/>
    </row>
    <row r="3579" spans="1:3" x14ac:dyDescent="0.2">
      <c r="A3579" s="9"/>
      <c r="B3579" s="135">
        <v>28.9</v>
      </c>
      <c r="C3579" s="135"/>
    </row>
    <row r="3580" spans="1:3" x14ac:dyDescent="0.2">
      <c r="A3580" s="9"/>
      <c r="B3580" s="135">
        <v>28.91</v>
      </c>
      <c r="C3580" s="135"/>
    </row>
    <row r="3581" spans="1:3" x14ac:dyDescent="0.2">
      <c r="A3581" s="9"/>
      <c r="B3581" s="135">
        <v>28.92</v>
      </c>
      <c r="C3581" s="135"/>
    </row>
    <row r="3582" spans="1:3" x14ac:dyDescent="0.2">
      <c r="A3582" s="9"/>
      <c r="B3582" s="135">
        <v>28.93</v>
      </c>
      <c r="C3582" s="135"/>
    </row>
    <row r="3583" spans="1:3" x14ac:dyDescent="0.2">
      <c r="A3583" s="9"/>
      <c r="B3583" s="135">
        <v>28.94</v>
      </c>
      <c r="C3583" s="135"/>
    </row>
    <row r="3584" spans="1:3" x14ac:dyDescent="0.2">
      <c r="A3584" s="9"/>
      <c r="B3584" s="135">
        <v>28.95</v>
      </c>
      <c r="C3584" s="135"/>
    </row>
    <row r="3585" spans="1:3" x14ac:dyDescent="0.2">
      <c r="A3585" s="9"/>
      <c r="B3585" s="135">
        <v>28.96</v>
      </c>
      <c r="C3585" s="135"/>
    </row>
    <row r="3586" spans="1:3" x14ac:dyDescent="0.2">
      <c r="A3586" s="9"/>
      <c r="B3586" s="135">
        <v>28.97</v>
      </c>
      <c r="C3586" s="135"/>
    </row>
    <row r="3587" spans="1:3" x14ac:dyDescent="0.2">
      <c r="A3587" s="9"/>
      <c r="B3587" s="135">
        <v>28.98</v>
      </c>
      <c r="C3587" s="135"/>
    </row>
    <row r="3588" spans="1:3" x14ac:dyDescent="0.2">
      <c r="A3588" s="9"/>
      <c r="B3588" s="135">
        <v>28.99</v>
      </c>
      <c r="C3588" s="135"/>
    </row>
    <row r="3589" spans="1:3" x14ac:dyDescent="0.2">
      <c r="A3589" s="9"/>
      <c r="B3589" s="135">
        <v>29</v>
      </c>
      <c r="C3589" s="135"/>
    </row>
    <row r="3590" spans="1:3" x14ac:dyDescent="0.2">
      <c r="A3590" s="9"/>
      <c r="B3590" s="135">
        <v>29.01</v>
      </c>
      <c r="C3590" s="135"/>
    </row>
    <row r="3591" spans="1:3" x14ac:dyDescent="0.2">
      <c r="A3591" s="9"/>
      <c r="B3591" s="135">
        <v>29.02</v>
      </c>
      <c r="C3591" s="135"/>
    </row>
    <row r="3592" spans="1:3" x14ac:dyDescent="0.2">
      <c r="A3592" s="9"/>
      <c r="B3592" s="135">
        <v>29.03</v>
      </c>
      <c r="C3592" s="135"/>
    </row>
    <row r="3593" spans="1:3" x14ac:dyDescent="0.2">
      <c r="A3593" s="9"/>
      <c r="B3593" s="135">
        <v>29.04</v>
      </c>
      <c r="C3593" s="135"/>
    </row>
    <row r="3594" spans="1:3" x14ac:dyDescent="0.2">
      <c r="A3594" s="9"/>
      <c r="B3594" s="135">
        <v>29.05</v>
      </c>
      <c r="C3594" s="135"/>
    </row>
    <row r="3595" spans="1:3" x14ac:dyDescent="0.2">
      <c r="A3595" s="9"/>
      <c r="B3595" s="135">
        <v>29.06</v>
      </c>
      <c r="C3595" s="135"/>
    </row>
    <row r="3596" spans="1:3" x14ac:dyDescent="0.2">
      <c r="A3596" s="9"/>
      <c r="B3596" s="135">
        <v>29.07</v>
      </c>
      <c r="C3596" s="135"/>
    </row>
    <row r="3597" spans="1:3" x14ac:dyDescent="0.2">
      <c r="A3597" s="9"/>
      <c r="B3597" s="135">
        <v>29.08</v>
      </c>
      <c r="C3597" s="135"/>
    </row>
    <row r="3598" spans="1:3" x14ac:dyDescent="0.2">
      <c r="A3598" s="9"/>
      <c r="B3598" s="135">
        <v>29.09</v>
      </c>
      <c r="C3598" s="135"/>
    </row>
    <row r="3599" spans="1:3" x14ac:dyDescent="0.2">
      <c r="A3599" s="9"/>
      <c r="B3599" s="135">
        <v>29.1</v>
      </c>
      <c r="C3599" s="135"/>
    </row>
    <row r="3600" spans="1:3" x14ac:dyDescent="0.2">
      <c r="A3600" s="9"/>
      <c r="B3600" s="135">
        <v>29.11</v>
      </c>
      <c r="C3600" s="135"/>
    </row>
    <row r="3601" spans="1:3" x14ac:dyDescent="0.2">
      <c r="A3601" s="9"/>
      <c r="B3601" s="135">
        <v>29.12</v>
      </c>
      <c r="C3601" s="135"/>
    </row>
    <row r="3602" spans="1:3" x14ac:dyDescent="0.2">
      <c r="A3602" s="9"/>
      <c r="B3602" s="135">
        <v>29.13</v>
      </c>
      <c r="C3602" s="135"/>
    </row>
    <row r="3603" spans="1:3" x14ac:dyDescent="0.2">
      <c r="A3603" s="9"/>
      <c r="B3603" s="135">
        <v>29.14</v>
      </c>
      <c r="C3603" s="135"/>
    </row>
    <row r="3604" spans="1:3" x14ac:dyDescent="0.2">
      <c r="A3604" s="9"/>
      <c r="B3604" s="135">
        <v>29.15</v>
      </c>
      <c r="C3604" s="135"/>
    </row>
    <row r="3605" spans="1:3" x14ac:dyDescent="0.2">
      <c r="A3605" s="9"/>
      <c r="B3605" s="135">
        <v>29.16</v>
      </c>
      <c r="C3605" s="135"/>
    </row>
    <row r="3606" spans="1:3" x14ac:dyDescent="0.2">
      <c r="A3606" s="9"/>
      <c r="B3606" s="135">
        <v>29.17</v>
      </c>
      <c r="C3606" s="135"/>
    </row>
    <row r="3607" spans="1:3" x14ac:dyDescent="0.2">
      <c r="A3607" s="9"/>
      <c r="B3607" s="135">
        <v>29.18</v>
      </c>
      <c r="C3607" s="135"/>
    </row>
    <row r="3608" spans="1:3" x14ac:dyDescent="0.2">
      <c r="A3608" s="9"/>
      <c r="B3608" s="135">
        <v>29.19</v>
      </c>
      <c r="C3608" s="135"/>
    </row>
    <row r="3609" spans="1:3" x14ac:dyDescent="0.2">
      <c r="A3609" s="9"/>
      <c r="B3609" s="135">
        <v>29.2</v>
      </c>
      <c r="C3609" s="135"/>
    </row>
    <row r="3610" spans="1:3" x14ac:dyDescent="0.2">
      <c r="A3610" s="9"/>
      <c r="B3610" s="135">
        <v>29.21</v>
      </c>
      <c r="C3610" s="135"/>
    </row>
    <row r="3611" spans="1:3" x14ac:dyDescent="0.2">
      <c r="A3611" s="9"/>
      <c r="B3611" s="135">
        <v>29.22</v>
      </c>
      <c r="C3611" s="135"/>
    </row>
    <row r="3612" spans="1:3" x14ac:dyDescent="0.2">
      <c r="A3612" s="9"/>
      <c r="B3612" s="135">
        <v>29.23</v>
      </c>
      <c r="C3612" s="135"/>
    </row>
    <row r="3613" spans="1:3" x14ac:dyDescent="0.2">
      <c r="A3613" s="9"/>
      <c r="B3613" s="135">
        <v>29.24</v>
      </c>
      <c r="C3613" s="135"/>
    </row>
    <row r="3614" spans="1:3" x14ac:dyDescent="0.2">
      <c r="A3614" s="9"/>
      <c r="B3614" s="135">
        <v>29.25</v>
      </c>
      <c r="C3614" s="135"/>
    </row>
    <row r="3615" spans="1:3" x14ac:dyDescent="0.2">
      <c r="A3615" s="9"/>
      <c r="B3615" s="135">
        <v>29.26</v>
      </c>
      <c r="C3615" s="135"/>
    </row>
    <row r="3616" spans="1:3" x14ac:dyDescent="0.2">
      <c r="A3616" s="9"/>
      <c r="B3616" s="135">
        <v>29.27</v>
      </c>
      <c r="C3616" s="135"/>
    </row>
    <row r="3617" spans="1:3" x14ac:dyDescent="0.2">
      <c r="A3617" s="9"/>
      <c r="B3617" s="135">
        <v>29.28</v>
      </c>
      <c r="C3617" s="135"/>
    </row>
    <row r="3618" spans="1:3" x14ac:dyDescent="0.2">
      <c r="A3618" s="9"/>
      <c r="B3618" s="135">
        <v>29.29</v>
      </c>
      <c r="C3618" s="135"/>
    </row>
    <row r="3619" spans="1:3" x14ac:dyDescent="0.2">
      <c r="A3619" s="9"/>
      <c r="B3619" s="135">
        <v>29.3</v>
      </c>
      <c r="C3619" s="135"/>
    </row>
    <row r="3620" spans="1:3" x14ac:dyDescent="0.2">
      <c r="A3620" s="9"/>
      <c r="B3620" s="135">
        <v>29.31</v>
      </c>
      <c r="C3620" s="135"/>
    </row>
    <row r="3621" spans="1:3" x14ac:dyDescent="0.2">
      <c r="A3621" s="9"/>
      <c r="B3621" s="135">
        <v>29.32</v>
      </c>
      <c r="C3621" s="135"/>
    </row>
    <row r="3622" spans="1:3" x14ac:dyDescent="0.2">
      <c r="A3622" s="9"/>
      <c r="B3622" s="135">
        <v>29.33</v>
      </c>
      <c r="C3622" s="135"/>
    </row>
    <row r="3623" spans="1:3" x14ac:dyDescent="0.2">
      <c r="A3623" s="9"/>
      <c r="B3623" s="135">
        <v>29.34</v>
      </c>
      <c r="C3623" s="135"/>
    </row>
    <row r="3624" spans="1:3" x14ac:dyDescent="0.2">
      <c r="A3624" s="9"/>
      <c r="B3624" s="135">
        <v>29.35</v>
      </c>
      <c r="C3624" s="135"/>
    </row>
    <row r="3625" spans="1:3" x14ac:dyDescent="0.2">
      <c r="A3625" s="9"/>
      <c r="B3625" s="135">
        <v>29.36</v>
      </c>
      <c r="C3625" s="135"/>
    </row>
    <row r="3626" spans="1:3" x14ac:dyDescent="0.2">
      <c r="A3626" s="9"/>
      <c r="B3626" s="135">
        <v>29.37</v>
      </c>
      <c r="C3626" s="135"/>
    </row>
    <row r="3627" spans="1:3" x14ac:dyDescent="0.2">
      <c r="A3627" s="9"/>
      <c r="B3627" s="135">
        <v>29.38</v>
      </c>
      <c r="C3627" s="135"/>
    </row>
    <row r="3628" spans="1:3" x14ac:dyDescent="0.2">
      <c r="A3628" s="9"/>
      <c r="B3628" s="135">
        <v>29.39</v>
      </c>
      <c r="C3628" s="135"/>
    </row>
    <row r="3629" spans="1:3" x14ac:dyDescent="0.2">
      <c r="A3629" s="9"/>
      <c r="B3629" s="135">
        <v>29.4</v>
      </c>
      <c r="C3629" s="135"/>
    </row>
    <row r="3630" spans="1:3" x14ac:dyDescent="0.2">
      <c r="A3630" s="9"/>
      <c r="B3630" s="135">
        <v>29.41</v>
      </c>
      <c r="C3630" s="135"/>
    </row>
    <row r="3631" spans="1:3" x14ac:dyDescent="0.2">
      <c r="A3631" s="9"/>
      <c r="B3631" s="135">
        <v>29.42</v>
      </c>
      <c r="C3631" s="135"/>
    </row>
    <row r="3632" spans="1:3" x14ac:dyDescent="0.2">
      <c r="A3632" s="9"/>
      <c r="B3632" s="135">
        <v>29.43</v>
      </c>
      <c r="C3632" s="135"/>
    </row>
    <row r="3633" spans="1:3" x14ac:dyDescent="0.2">
      <c r="A3633" s="9"/>
      <c r="B3633" s="135">
        <v>29.44</v>
      </c>
      <c r="C3633" s="135"/>
    </row>
    <row r="3634" spans="1:3" x14ac:dyDescent="0.2">
      <c r="A3634" s="9"/>
      <c r="B3634" s="135">
        <v>29.45</v>
      </c>
      <c r="C3634" s="135"/>
    </row>
    <row r="3635" spans="1:3" x14ac:dyDescent="0.2">
      <c r="A3635" s="9"/>
      <c r="B3635" s="135">
        <v>29.46</v>
      </c>
      <c r="C3635" s="135"/>
    </row>
    <row r="3636" spans="1:3" x14ac:dyDescent="0.2">
      <c r="A3636" s="9"/>
      <c r="B3636" s="135">
        <v>29.47</v>
      </c>
      <c r="C3636" s="135"/>
    </row>
    <row r="3637" spans="1:3" x14ac:dyDescent="0.2">
      <c r="A3637" s="9"/>
      <c r="B3637" s="135">
        <v>29.48</v>
      </c>
      <c r="C3637" s="135"/>
    </row>
    <row r="3638" spans="1:3" x14ac:dyDescent="0.2">
      <c r="A3638" s="9"/>
      <c r="B3638" s="135">
        <v>29.49</v>
      </c>
      <c r="C3638" s="135"/>
    </row>
    <row r="3639" spans="1:3" x14ac:dyDescent="0.2">
      <c r="A3639" s="9"/>
      <c r="B3639" s="135">
        <v>29.5</v>
      </c>
      <c r="C3639" s="135"/>
    </row>
    <row r="3640" spans="1:3" x14ac:dyDescent="0.2">
      <c r="A3640" s="9"/>
      <c r="B3640" s="135">
        <v>29.51</v>
      </c>
      <c r="C3640" s="135"/>
    </row>
    <row r="3641" spans="1:3" x14ac:dyDescent="0.2">
      <c r="A3641" s="9"/>
      <c r="B3641" s="135">
        <v>29.52</v>
      </c>
      <c r="C3641" s="135"/>
    </row>
    <row r="3642" spans="1:3" x14ac:dyDescent="0.2">
      <c r="A3642" s="9"/>
      <c r="B3642" s="135">
        <v>29.53</v>
      </c>
      <c r="C3642" s="135"/>
    </row>
    <row r="3643" spans="1:3" x14ac:dyDescent="0.2">
      <c r="A3643" s="9"/>
      <c r="B3643" s="135">
        <v>29.54</v>
      </c>
      <c r="C3643" s="135"/>
    </row>
    <row r="3644" spans="1:3" x14ac:dyDescent="0.2">
      <c r="A3644" s="9"/>
      <c r="B3644" s="135">
        <v>29.55</v>
      </c>
      <c r="C3644" s="135"/>
    </row>
    <row r="3645" spans="1:3" x14ac:dyDescent="0.2">
      <c r="A3645" s="9"/>
      <c r="B3645" s="135">
        <v>29.56</v>
      </c>
      <c r="C3645" s="135"/>
    </row>
    <row r="3646" spans="1:3" x14ac:dyDescent="0.2">
      <c r="A3646" s="9"/>
      <c r="B3646" s="135">
        <v>29.57</v>
      </c>
      <c r="C3646" s="135"/>
    </row>
    <row r="3647" spans="1:3" x14ac:dyDescent="0.2">
      <c r="A3647" s="9"/>
      <c r="B3647" s="135">
        <v>29.58</v>
      </c>
      <c r="C3647" s="135"/>
    </row>
    <row r="3648" spans="1:3" x14ac:dyDescent="0.2">
      <c r="A3648" s="9"/>
      <c r="B3648" s="135">
        <v>29.59</v>
      </c>
      <c r="C3648" s="135"/>
    </row>
    <row r="3649" spans="1:3" x14ac:dyDescent="0.2">
      <c r="A3649" s="9"/>
      <c r="B3649" s="135">
        <v>29.6</v>
      </c>
      <c r="C3649" s="135"/>
    </row>
    <row r="3650" spans="1:3" x14ac:dyDescent="0.2">
      <c r="A3650" s="9"/>
      <c r="B3650" s="135">
        <v>29.61</v>
      </c>
      <c r="C3650" s="135"/>
    </row>
    <row r="3651" spans="1:3" x14ac:dyDescent="0.2">
      <c r="A3651" s="9"/>
      <c r="B3651" s="135">
        <v>29.62</v>
      </c>
      <c r="C3651" s="135"/>
    </row>
    <row r="3652" spans="1:3" x14ac:dyDescent="0.2">
      <c r="A3652" s="9"/>
      <c r="B3652" s="135">
        <v>29.63</v>
      </c>
      <c r="C3652" s="135"/>
    </row>
    <row r="3653" spans="1:3" x14ac:dyDescent="0.2">
      <c r="A3653" s="9"/>
      <c r="B3653" s="135">
        <v>29.64</v>
      </c>
      <c r="C3653" s="135"/>
    </row>
    <row r="3654" spans="1:3" x14ac:dyDescent="0.2">
      <c r="A3654" s="9"/>
      <c r="B3654" s="135">
        <v>29.65</v>
      </c>
      <c r="C3654" s="135"/>
    </row>
    <row r="3655" spans="1:3" x14ac:dyDescent="0.2">
      <c r="A3655" s="9"/>
      <c r="B3655" s="135">
        <v>29.66</v>
      </c>
      <c r="C3655" s="135"/>
    </row>
    <row r="3656" spans="1:3" x14ac:dyDescent="0.2">
      <c r="A3656" s="9"/>
      <c r="B3656" s="135">
        <v>29.67</v>
      </c>
      <c r="C3656" s="135"/>
    </row>
    <row r="3657" spans="1:3" x14ac:dyDescent="0.2">
      <c r="A3657" s="9"/>
      <c r="B3657" s="135">
        <v>29.68</v>
      </c>
      <c r="C3657" s="135"/>
    </row>
    <row r="3658" spans="1:3" x14ac:dyDescent="0.2">
      <c r="A3658" s="9"/>
      <c r="B3658" s="135">
        <v>29.69</v>
      </c>
      <c r="C3658" s="135"/>
    </row>
    <row r="3659" spans="1:3" x14ac:dyDescent="0.2">
      <c r="A3659" s="9"/>
      <c r="B3659" s="135">
        <v>29.7</v>
      </c>
      <c r="C3659" s="135"/>
    </row>
    <row r="3660" spans="1:3" x14ac:dyDescent="0.2">
      <c r="A3660" s="9"/>
      <c r="B3660" s="135">
        <v>29.71</v>
      </c>
      <c r="C3660" s="135"/>
    </row>
    <row r="3661" spans="1:3" x14ac:dyDescent="0.2">
      <c r="A3661" s="9"/>
      <c r="B3661" s="135">
        <v>29.72</v>
      </c>
      <c r="C3661" s="135"/>
    </row>
    <row r="3662" spans="1:3" x14ac:dyDescent="0.2">
      <c r="A3662" s="9"/>
      <c r="B3662" s="135">
        <v>29.73</v>
      </c>
      <c r="C3662" s="135"/>
    </row>
    <row r="3663" spans="1:3" x14ac:dyDescent="0.2">
      <c r="A3663" s="9"/>
      <c r="B3663" s="135">
        <v>29.74</v>
      </c>
      <c r="C3663" s="135"/>
    </row>
    <row r="3664" spans="1:3" x14ac:dyDescent="0.2">
      <c r="A3664" s="9"/>
      <c r="B3664" s="135">
        <v>29.75</v>
      </c>
      <c r="C3664" s="135"/>
    </row>
    <row r="3665" spans="1:3" x14ac:dyDescent="0.2">
      <c r="A3665" s="9"/>
      <c r="B3665" s="135">
        <v>29.76</v>
      </c>
      <c r="C3665" s="135"/>
    </row>
    <row r="3666" spans="1:3" x14ac:dyDescent="0.2">
      <c r="A3666" s="9"/>
      <c r="B3666" s="135">
        <v>29.77</v>
      </c>
      <c r="C3666" s="135"/>
    </row>
    <row r="3667" spans="1:3" x14ac:dyDescent="0.2">
      <c r="A3667" s="9"/>
      <c r="B3667" s="135">
        <v>29.78</v>
      </c>
      <c r="C3667" s="135"/>
    </row>
    <row r="3668" spans="1:3" x14ac:dyDescent="0.2">
      <c r="A3668" s="9"/>
      <c r="B3668" s="135">
        <v>29.79</v>
      </c>
      <c r="C3668" s="135"/>
    </row>
    <row r="3669" spans="1:3" x14ac:dyDescent="0.2">
      <c r="A3669" s="9"/>
      <c r="B3669" s="135">
        <v>29.8</v>
      </c>
      <c r="C3669" s="135"/>
    </row>
    <row r="3670" spans="1:3" x14ac:dyDescent="0.2">
      <c r="A3670" s="9"/>
      <c r="B3670" s="135">
        <v>29.81</v>
      </c>
      <c r="C3670" s="135"/>
    </row>
    <row r="3671" spans="1:3" x14ac:dyDescent="0.2">
      <c r="A3671" s="9"/>
      <c r="B3671" s="135">
        <v>29.82</v>
      </c>
      <c r="C3671" s="135"/>
    </row>
    <row r="3672" spans="1:3" x14ac:dyDescent="0.2">
      <c r="A3672" s="9"/>
      <c r="B3672" s="135">
        <v>29.83</v>
      </c>
      <c r="C3672" s="135"/>
    </row>
    <row r="3673" spans="1:3" x14ac:dyDescent="0.2">
      <c r="A3673" s="9"/>
      <c r="B3673" s="135">
        <v>29.84</v>
      </c>
      <c r="C3673" s="135"/>
    </row>
    <row r="3674" spans="1:3" x14ac:dyDescent="0.2">
      <c r="A3674" s="9"/>
      <c r="B3674" s="135">
        <v>29.85</v>
      </c>
      <c r="C3674" s="135"/>
    </row>
    <row r="3675" spans="1:3" x14ac:dyDescent="0.2">
      <c r="A3675" s="9"/>
      <c r="B3675" s="135">
        <v>29.86</v>
      </c>
      <c r="C3675" s="135"/>
    </row>
    <row r="3676" spans="1:3" x14ac:dyDescent="0.2">
      <c r="A3676" s="9"/>
      <c r="B3676" s="135">
        <v>29.87</v>
      </c>
      <c r="C3676" s="135"/>
    </row>
    <row r="3677" spans="1:3" x14ac:dyDescent="0.2">
      <c r="A3677" s="9"/>
      <c r="B3677" s="135">
        <v>29.88</v>
      </c>
      <c r="C3677" s="135"/>
    </row>
    <row r="3678" spans="1:3" x14ac:dyDescent="0.2">
      <c r="A3678" s="9"/>
      <c r="B3678" s="135">
        <v>29.89</v>
      </c>
      <c r="C3678" s="135"/>
    </row>
    <row r="3679" spans="1:3" x14ac:dyDescent="0.2">
      <c r="A3679" s="9"/>
      <c r="B3679" s="135">
        <v>29.9</v>
      </c>
      <c r="C3679" s="135"/>
    </row>
    <row r="3680" spans="1:3" x14ac:dyDescent="0.2">
      <c r="A3680" s="9"/>
      <c r="B3680" s="135">
        <v>29.91</v>
      </c>
      <c r="C3680" s="135"/>
    </row>
    <row r="3681" spans="1:3" x14ac:dyDescent="0.2">
      <c r="A3681" s="9"/>
      <c r="B3681" s="135">
        <v>29.92</v>
      </c>
      <c r="C3681" s="135"/>
    </row>
    <row r="3682" spans="1:3" x14ac:dyDescent="0.2">
      <c r="A3682" s="9"/>
      <c r="B3682" s="135">
        <v>29.93</v>
      </c>
      <c r="C3682" s="135"/>
    </row>
    <row r="3683" spans="1:3" x14ac:dyDescent="0.2">
      <c r="A3683" s="9"/>
      <c r="B3683" s="135">
        <v>29.94</v>
      </c>
      <c r="C3683" s="135"/>
    </row>
    <row r="3684" spans="1:3" x14ac:dyDescent="0.2">
      <c r="A3684" s="9"/>
      <c r="B3684" s="135">
        <v>29.95</v>
      </c>
      <c r="C3684" s="135"/>
    </row>
    <row r="3685" spans="1:3" x14ac:dyDescent="0.2">
      <c r="A3685" s="9"/>
      <c r="B3685" s="135">
        <v>29.96</v>
      </c>
      <c r="C3685" s="135"/>
    </row>
    <row r="3686" spans="1:3" x14ac:dyDescent="0.2">
      <c r="A3686" s="9"/>
      <c r="B3686" s="135">
        <v>29.97</v>
      </c>
      <c r="C3686" s="135"/>
    </row>
    <row r="3687" spans="1:3" x14ac:dyDescent="0.2">
      <c r="A3687" s="9"/>
      <c r="B3687" s="135">
        <v>29.98</v>
      </c>
      <c r="C3687" s="135"/>
    </row>
    <row r="3688" spans="1:3" x14ac:dyDescent="0.2">
      <c r="A3688" s="9"/>
      <c r="B3688" s="135">
        <v>29.99</v>
      </c>
      <c r="C3688" s="135"/>
    </row>
    <row r="3689" spans="1:3" x14ac:dyDescent="0.2">
      <c r="A3689" s="9"/>
      <c r="B3689" s="135">
        <v>30</v>
      </c>
      <c r="C3689" s="135"/>
    </row>
    <row r="3690" spans="1:3" x14ac:dyDescent="0.2">
      <c r="A3690" s="9"/>
      <c r="B3690" s="135">
        <v>30.01</v>
      </c>
      <c r="C3690" s="135"/>
    </row>
    <row r="3691" spans="1:3" x14ac:dyDescent="0.2">
      <c r="A3691" s="9"/>
      <c r="B3691" s="135">
        <v>30.02</v>
      </c>
      <c r="C3691" s="135"/>
    </row>
    <row r="3692" spans="1:3" x14ac:dyDescent="0.2">
      <c r="A3692" s="9"/>
      <c r="B3692" s="135">
        <v>30.03</v>
      </c>
      <c r="C3692" s="135"/>
    </row>
    <row r="3693" spans="1:3" x14ac:dyDescent="0.2">
      <c r="A3693" s="9"/>
      <c r="B3693" s="135">
        <v>30.04</v>
      </c>
      <c r="C3693" s="135"/>
    </row>
    <row r="3694" spans="1:3" x14ac:dyDescent="0.2">
      <c r="A3694" s="9"/>
      <c r="B3694" s="135">
        <v>30.05</v>
      </c>
      <c r="C3694" s="135"/>
    </row>
    <row r="3695" spans="1:3" x14ac:dyDescent="0.2">
      <c r="A3695" s="9"/>
      <c r="B3695" s="135">
        <v>30.06</v>
      </c>
      <c r="C3695" s="135"/>
    </row>
    <row r="3696" spans="1:3" x14ac:dyDescent="0.2">
      <c r="A3696" s="9"/>
      <c r="B3696" s="135">
        <v>30.07</v>
      </c>
      <c r="C3696" s="135"/>
    </row>
    <row r="3697" spans="1:3" x14ac:dyDescent="0.2">
      <c r="A3697" s="9"/>
      <c r="B3697" s="135">
        <v>30.08</v>
      </c>
      <c r="C3697" s="135"/>
    </row>
    <row r="3698" spans="1:3" x14ac:dyDescent="0.2">
      <c r="A3698" s="9"/>
      <c r="B3698" s="135">
        <v>30.09</v>
      </c>
      <c r="C3698" s="135"/>
    </row>
    <row r="3699" spans="1:3" x14ac:dyDescent="0.2">
      <c r="A3699" s="9"/>
      <c r="B3699" s="135">
        <v>30.1</v>
      </c>
      <c r="C3699" s="135"/>
    </row>
    <row r="3700" spans="1:3" x14ac:dyDescent="0.2">
      <c r="A3700" s="9"/>
      <c r="B3700" s="135">
        <v>30.11</v>
      </c>
      <c r="C3700" s="135"/>
    </row>
    <row r="3701" spans="1:3" x14ac:dyDescent="0.2">
      <c r="A3701" s="9"/>
      <c r="B3701" s="135">
        <v>30.12</v>
      </c>
      <c r="C3701" s="135"/>
    </row>
    <row r="3702" spans="1:3" x14ac:dyDescent="0.2">
      <c r="A3702" s="9"/>
      <c r="B3702" s="135">
        <v>30.13</v>
      </c>
      <c r="C3702" s="135"/>
    </row>
    <row r="3703" spans="1:3" x14ac:dyDescent="0.2">
      <c r="A3703" s="9"/>
      <c r="B3703" s="135">
        <v>30.14</v>
      </c>
      <c r="C3703" s="135"/>
    </row>
    <row r="3704" spans="1:3" x14ac:dyDescent="0.2">
      <c r="A3704" s="9"/>
      <c r="B3704" s="135">
        <v>30.15</v>
      </c>
      <c r="C3704" s="135"/>
    </row>
    <row r="3705" spans="1:3" x14ac:dyDescent="0.2">
      <c r="A3705" s="9"/>
      <c r="B3705" s="135">
        <v>30.16</v>
      </c>
      <c r="C3705" s="135"/>
    </row>
    <row r="3706" spans="1:3" x14ac:dyDescent="0.2">
      <c r="A3706" s="9"/>
      <c r="B3706" s="135">
        <v>30.17</v>
      </c>
      <c r="C3706" s="135"/>
    </row>
    <row r="3707" spans="1:3" x14ac:dyDescent="0.2">
      <c r="A3707" s="9"/>
      <c r="B3707" s="135">
        <v>30.18</v>
      </c>
      <c r="C3707" s="135"/>
    </row>
    <row r="3708" spans="1:3" x14ac:dyDescent="0.2">
      <c r="A3708" s="9"/>
      <c r="B3708" s="135">
        <v>30.19</v>
      </c>
      <c r="C3708" s="135"/>
    </row>
    <row r="3709" spans="1:3" x14ac:dyDescent="0.2">
      <c r="A3709" s="9"/>
      <c r="B3709" s="135">
        <v>30.2</v>
      </c>
      <c r="C3709" s="135"/>
    </row>
    <row r="3710" spans="1:3" x14ac:dyDescent="0.2">
      <c r="A3710" s="9"/>
      <c r="B3710" s="135">
        <v>30.21</v>
      </c>
      <c r="C3710" s="135"/>
    </row>
    <row r="3711" spans="1:3" x14ac:dyDescent="0.2">
      <c r="A3711" s="9"/>
      <c r="B3711" s="135">
        <v>30.22</v>
      </c>
      <c r="C3711" s="135"/>
    </row>
    <row r="3712" spans="1:3" x14ac:dyDescent="0.2">
      <c r="A3712" s="9"/>
      <c r="B3712" s="135">
        <v>30.23</v>
      </c>
      <c r="C3712" s="135"/>
    </row>
    <row r="3713" spans="1:3" x14ac:dyDescent="0.2">
      <c r="A3713" s="9"/>
      <c r="B3713" s="135">
        <v>30.24</v>
      </c>
      <c r="C3713" s="135"/>
    </row>
    <row r="3714" spans="1:3" x14ac:dyDescent="0.2">
      <c r="A3714" s="9"/>
      <c r="B3714" s="135">
        <v>30.25</v>
      </c>
      <c r="C3714" s="135"/>
    </row>
    <row r="3715" spans="1:3" x14ac:dyDescent="0.2">
      <c r="A3715" s="9"/>
      <c r="B3715" s="135">
        <v>30.26</v>
      </c>
      <c r="C3715" s="135"/>
    </row>
    <row r="3716" spans="1:3" x14ac:dyDescent="0.2">
      <c r="A3716" s="9"/>
      <c r="B3716" s="135">
        <v>30.27</v>
      </c>
      <c r="C3716" s="135"/>
    </row>
    <row r="3717" spans="1:3" x14ac:dyDescent="0.2">
      <c r="A3717" s="9"/>
      <c r="B3717" s="135">
        <v>30.28</v>
      </c>
      <c r="C3717" s="135"/>
    </row>
    <row r="3718" spans="1:3" x14ac:dyDescent="0.2">
      <c r="A3718" s="9"/>
      <c r="B3718" s="135">
        <v>30.29</v>
      </c>
      <c r="C3718" s="135"/>
    </row>
    <row r="3719" spans="1:3" x14ac:dyDescent="0.2">
      <c r="A3719" s="9"/>
      <c r="B3719" s="135">
        <v>30.3</v>
      </c>
      <c r="C3719" s="135"/>
    </row>
    <row r="3720" spans="1:3" x14ac:dyDescent="0.2">
      <c r="A3720" s="9"/>
      <c r="B3720" s="135">
        <v>30.31</v>
      </c>
      <c r="C3720" s="135"/>
    </row>
    <row r="3721" spans="1:3" x14ac:dyDescent="0.2">
      <c r="A3721" s="9"/>
      <c r="B3721" s="135">
        <v>30.32</v>
      </c>
      <c r="C3721" s="135"/>
    </row>
    <row r="3722" spans="1:3" x14ac:dyDescent="0.2">
      <c r="A3722" s="9"/>
      <c r="B3722" s="135">
        <v>30.33</v>
      </c>
      <c r="C3722" s="135"/>
    </row>
    <row r="3723" spans="1:3" x14ac:dyDescent="0.2">
      <c r="A3723" s="9"/>
      <c r="B3723" s="135">
        <v>30.34</v>
      </c>
      <c r="C3723" s="135"/>
    </row>
    <row r="3724" spans="1:3" x14ac:dyDescent="0.2">
      <c r="A3724" s="9"/>
      <c r="B3724" s="135">
        <v>30.35</v>
      </c>
      <c r="C3724" s="135"/>
    </row>
    <row r="3725" spans="1:3" x14ac:dyDescent="0.2">
      <c r="A3725" s="9"/>
      <c r="B3725" s="135">
        <v>30.36</v>
      </c>
      <c r="C3725" s="135"/>
    </row>
    <row r="3726" spans="1:3" x14ac:dyDescent="0.2">
      <c r="A3726" s="9"/>
      <c r="B3726" s="135">
        <v>30.37</v>
      </c>
      <c r="C3726" s="135"/>
    </row>
    <row r="3727" spans="1:3" x14ac:dyDescent="0.2">
      <c r="A3727" s="9"/>
      <c r="B3727" s="135">
        <v>30.38</v>
      </c>
      <c r="C3727" s="135"/>
    </row>
    <row r="3728" spans="1:3" x14ac:dyDescent="0.2">
      <c r="A3728" s="9"/>
      <c r="B3728" s="135">
        <v>30.39</v>
      </c>
      <c r="C3728" s="135"/>
    </row>
    <row r="3729" spans="1:3" x14ac:dyDescent="0.2">
      <c r="A3729" s="9"/>
      <c r="B3729" s="135">
        <v>30.4</v>
      </c>
      <c r="C3729" s="135"/>
    </row>
    <row r="3730" spans="1:3" x14ac:dyDescent="0.2">
      <c r="A3730" s="9"/>
      <c r="B3730" s="135">
        <v>30.41</v>
      </c>
      <c r="C3730" s="135"/>
    </row>
    <row r="3731" spans="1:3" x14ac:dyDescent="0.2">
      <c r="A3731" s="9"/>
      <c r="B3731" s="135">
        <v>30.42</v>
      </c>
      <c r="C3731" s="135"/>
    </row>
    <row r="3732" spans="1:3" x14ac:dyDescent="0.2">
      <c r="A3732" s="9"/>
      <c r="B3732" s="135">
        <v>30.43</v>
      </c>
      <c r="C3732" s="135"/>
    </row>
    <row r="3733" spans="1:3" x14ac:dyDescent="0.2">
      <c r="A3733" s="9"/>
      <c r="B3733" s="135">
        <v>30.44</v>
      </c>
      <c r="C3733" s="135"/>
    </row>
    <row r="3734" spans="1:3" x14ac:dyDescent="0.2">
      <c r="A3734" s="9"/>
      <c r="B3734" s="135">
        <v>30.45</v>
      </c>
      <c r="C3734" s="135"/>
    </row>
    <row r="3735" spans="1:3" x14ac:dyDescent="0.2">
      <c r="A3735" s="9"/>
      <c r="B3735" s="135">
        <v>30.46</v>
      </c>
      <c r="C3735" s="135"/>
    </row>
    <row r="3736" spans="1:3" x14ac:dyDescent="0.2">
      <c r="A3736" s="9"/>
      <c r="B3736" s="135">
        <v>30.47</v>
      </c>
      <c r="C3736" s="135"/>
    </row>
    <row r="3737" spans="1:3" x14ac:dyDescent="0.2">
      <c r="A3737" s="9"/>
      <c r="B3737" s="135">
        <v>30.48</v>
      </c>
      <c r="C3737" s="135"/>
    </row>
    <row r="3738" spans="1:3" x14ac:dyDescent="0.2">
      <c r="A3738" s="9"/>
      <c r="B3738" s="135">
        <v>30.49</v>
      </c>
      <c r="C3738" s="135"/>
    </row>
    <row r="3739" spans="1:3" x14ac:dyDescent="0.2">
      <c r="A3739" s="9"/>
      <c r="B3739" s="135">
        <v>30.5</v>
      </c>
      <c r="C3739" s="135"/>
    </row>
    <row r="3740" spans="1:3" x14ac:dyDescent="0.2">
      <c r="A3740" s="9"/>
      <c r="B3740" s="135">
        <v>30.51</v>
      </c>
      <c r="C3740" s="135"/>
    </row>
    <row r="3741" spans="1:3" x14ac:dyDescent="0.2">
      <c r="A3741" s="9"/>
      <c r="B3741" s="135">
        <v>30.52</v>
      </c>
      <c r="C3741" s="135"/>
    </row>
    <row r="3742" spans="1:3" x14ac:dyDescent="0.2">
      <c r="A3742" s="9"/>
      <c r="B3742" s="135">
        <v>30.53</v>
      </c>
      <c r="C3742" s="135"/>
    </row>
    <row r="3743" spans="1:3" x14ac:dyDescent="0.2">
      <c r="A3743" s="9"/>
      <c r="B3743" s="135">
        <v>30.54</v>
      </c>
      <c r="C3743" s="135"/>
    </row>
    <row r="3744" spans="1:3" x14ac:dyDescent="0.2">
      <c r="A3744" s="9"/>
      <c r="B3744" s="135">
        <v>30.55</v>
      </c>
      <c r="C3744" s="135"/>
    </row>
    <row r="3745" spans="1:3" x14ac:dyDescent="0.2">
      <c r="A3745" s="9"/>
      <c r="B3745" s="135">
        <v>30.56</v>
      </c>
      <c r="C3745" s="135"/>
    </row>
    <row r="3746" spans="1:3" x14ac:dyDescent="0.2">
      <c r="A3746" s="9"/>
      <c r="B3746" s="135">
        <v>30.57</v>
      </c>
      <c r="C3746" s="135"/>
    </row>
    <row r="3747" spans="1:3" x14ac:dyDescent="0.2">
      <c r="A3747" s="9"/>
      <c r="B3747" s="135">
        <v>30.58</v>
      </c>
      <c r="C3747" s="135"/>
    </row>
    <row r="3748" spans="1:3" x14ac:dyDescent="0.2">
      <c r="A3748" s="9"/>
      <c r="B3748" s="135">
        <v>30.59</v>
      </c>
      <c r="C3748" s="135"/>
    </row>
    <row r="3749" spans="1:3" x14ac:dyDescent="0.2">
      <c r="A3749" s="9"/>
      <c r="B3749" s="135">
        <v>30.6</v>
      </c>
      <c r="C3749" s="135"/>
    </row>
    <row r="3750" spans="1:3" x14ac:dyDescent="0.2">
      <c r="A3750" s="9"/>
      <c r="B3750" s="135">
        <v>30.61</v>
      </c>
      <c r="C3750" s="135"/>
    </row>
    <row r="3751" spans="1:3" x14ac:dyDescent="0.2">
      <c r="A3751" s="9"/>
      <c r="B3751" s="135">
        <v>30.62</v>
      </c>
      <c r="C3751" s="135"/>
    </row>
    <row r="3752" spans="1:3" x14ac:dyDescent="0.2">
      <c r="A3752" s="9"/>
      <c r="B3752" s="135">
        <v>30.63</v>
      </c>
      <c r="C3752" s="135"/>
    </row>
    <row r="3753" spans="1:3" x14ac:dyDescent="0.2">
      <c r="A3753" s="9"/>
      <c r="B3753" s="135">
        <v>30.64</v>
      </c>
      <c r="C3753" s="135"/>
    </row>
    <row r="3754" spans="1:3" x14ac:dyDescent="0.2">
      <c r="A3754" s="9"/>
      <c r="B3754" s="135">
        <v>30.65</v>
      </c>
      <c r="C3754" s="135"/>
    </row>
    <row r="3755" spans="1:3" x14ac:dyDescent="0.2">
      <c r="A3755" s="9"/>
      <c r="B3755" s="135">
        <v>30.66</v>
      </c>
      <c r="C3755" s="135"/>
    </row>
    <row r="3756" spans="1:3" x14ac:dyDescent="0.2">
      <c r="A3756" s="9"/>
      <c r="B3756" s="135">
        <v>30.67</v>
      </c>
      <c r="C3756" s="135"/>
    </row>
    <row r="3757" spans="1:3" x14ac:dyDescent="0.2">
      <c r="A3757" s="9"/>
      <c r="B3757" s="135">
        <v>30.68</v>
      </c>
      <c r="C3757" s="135"/>
    </row>
    <row r="3758" spans="1:3" x14ac:dyDescent="0.2">
      <c r="A3758" s="9"/>
      <c r="B3758" s="135">
        <v>30.69</v>
      </c>
      <c r="C3758" s="135"/>
    </row>
    <row r="3759" spans="1:3" x14ac:dyDescent="0.2">
      <c r="A3759" s="9"/>
      <c r="B3759" s="135">
        <v>30.7</v>
      </c>
      <c r="C3759" s="135"/>
    </row>
    <row r="3760" spans="1:3" x14ac:dyDescent="0.2">
      <c r="A3760" s="9"/>
      <c r="B3760" s="135">
        <v>30.71</v>
      </c>
      <c r="C3760" s="135"/>
    </row>
    <row r="3761" spans="1:3" x14ac:dyDescent="0.2">
      <c r="A3761" s="9"/>
      <c r="B3761" s="135">
        <v>30.72</v>
      </c>
      <c r="C3761" s="135"/>
    </row>
    <row r="3762" spans="1:3" x14ac:dyDescent="0.2">
      <c r="A3762" s="9"/>
      <c r="B3762" s="135">
        <v>30.73</v>
      </c>
      <c r="C3762" s="135"/>
    </row>
    <row r="3763" spans="1:3" x14ac:dyDescent="0.2">
      <c r="A3763" s="9"/>
      <c r="B3763" s="135">
        <v>30.74</v>
      </c>
      <c r="C3763" s="135"/>
    </row>
    <row r="3764" spans="1:3" x14ac:dyDescent="0.2">
      <c r="A3764" s="9"/>
      <c r="B3764" s="135">
        <v>30.75</v>
      </c>
      <c r="C3764" s="135"/>
    </row>
    <row r="3765" spans="1:3" x14ac:dyDescent="0.2">
      <c r="A3765" s="9"/>
      <c r="B3765" s="135">
        <v>30.76</v>
      </c>
      <c r="C3765" s="135"/>
    </row>
    <row r="3766" spans="1:3" x14ac:dyDescent="0.2">
      <c r="A3766" s="9"/>
      <c r="B3766" s="135">
        <v>30.77</v>
      </c>
      <c r="C3766" s="135"/>
    </row>
    <row r="3767" spans="1:3" x14ac:dyDescent="0.2">
      <c r="A3767" s="9"/>
      <c r="B3767" s="135">
        <v>30.78</v>
      </c>
      <c r="C3767" s="135"/>
    </row>
    <row r="3768" spans="1:3" x14ac:dyDescent="0.2">
      <c r="A3768" s="9"/>
      <c r="B3768" s="135">
        <v>30.79</v>
      </c>
      <c r="C3768" s="135"/>
    </row>
    <row r="3769" spans="1:3" x14ac:dyDescent="0.2">
      <c r="A3769" s="9"/>
      <c r="B3769" s="135">
        <v>30.8</v>
      </c>
      <c r="C3769" s="135"/>
    </row>
    <row r="3770" spans="1:3" x14ac:dyDescent="0.2">
      <c r="A3770" s="9"/>
      <c r="B3770" s="135">
        <v>30.81</v>
      </c>
      <c r="C3770" s="135"/>
    </row>
    <row r="3771" spans="1:3" x14ac:dyDescent="0.2">
      <c r="A3771" s="9"/>
      <c r="B3771" s="135">
        <v>30.82</v>
      </c>
      <c r="C3771" s="135"/>
    </row>
    <row r="3772" spans="1:3" x14ac:dyDescent="0.2">
      <c r="A3772" s="9"/>
      <c r="B3772" s="135">
        <v>30.83</v>
      </c>
      <c r="C3772" s="135"/>
    </row>
    <row r="3773" spans="1:3" x14ac:dyDescent="0.2">
      <c r="A3773" s="9"/>
      <c r="B3773" s="135">
        <v>30.84</v>
      </c>
      <c r="C3773" s="135"/>
    </row>
    <row r="3774" spans="1:3" x14ac:dyDescent="0.2">
      <c r="A3774" s="9"/>
      <c r="B3774" s="135">
        <v>30.85</v>
      </c>
      <c r="C3774" s="135"/>
    </row>
    <row r="3775" spans="1:3" x14ac:dyDescent="0.2">
      <c r="A3775" s="9"/>
      <c r="B3775" s="135">
        <v>30.86</v>
      </c>
      <c r="C3775" s="135"/>
    </row>
    <row r="3776" spans="1:3" x14ac:dyDescent="0.2">
      <c r="A3776" s="9"/>
      <c r="B3776" s="135">
        <v>30.87</v>
      </c>
      <c r="C3776" s="135"/>
    </row>
    <row r="3777" spans="1:3" x14ac:dyDescent="0.2">
      <c r="A3777" s="9"/>
      <c r="B3777" s="135">
        <v>30.88</v>
      </c>
      <c r="C3777" s="135"/>
    </row>
    <row r="3778" spans="1:3" x14ac:dyDescent="0.2">
      <c r="A3778" s="9"/>
      <c r="B3778" s="135">
        <v>30.89</v>
      </c>
      <c r="C3778" s="135"/>
    </row>
    <row r="3779" spans="1:3" x14ac:dyDescent="0.2">
      <c r="A3779" s="9"/>
      <c r="B3779" s="135">
        <v>30.9</v>
      </c>
      <c r="C3779" s="135"/>
    </row>
    <row r="3780" spans="1:3" x14ac:dyDescent="0.2">
      <c r="A3780" s="9"/>
      <c r="B3780" s="135">
        <v>30.91</v>
      </c>
      <c r="C3780" s="135"/>
    </row>
    <row r="3781" spans="1:3" x14ac:dyDescent="0.2">
      <c r="A3781" s="9"/>
      <c r="B3781" s="135">
        <v>30.92</v>
      </c>
      <c r="C3781" s="135"/>
    </row>
    <row r="3782" spans="1:3" x14ac:dyDescent="0.2">
      <c r="A3782" s="9"/>
      <c r="B3782" s="135">
        <v>30.93</v>
      </c>
      <c r="C3782" s="135"/>
    </row>
    <row r="3783" spans="1:3" x14ac:dyDescent="0.2">
      <c r="A3783" s="9"/>
      <c r="B3783" s="135">
        <v>30.94</v>
      </c>
      <c r="C3783" s="135"/>
    </row>
    <row r="3784" spans="1:3" x14ac:dyDescent="0.2">
      <c r="A3784" s="9"/>
      <c r="B3784" s="135">
        <v>30.95</v>
      </c>
      <c r="C3784" s="135"/>
    </row>
    <row r="3785" spans="1:3" x14ac:dyDescent="0.2">
      <c r="A3785" s="9"/>
      <c r="B3785" s="135">
        <v>30.96</v>
      </c>
      <c r="C3785" s="135"/>
    </row>
    <row r="3786" spans="1:3" x14ac:dyDescent="0.2">
      <c r="A3786" s="9"/>
      <c r="B3786" s="135">
        <v>30.97</v>
      </c>
      <c r="C3786" s="135"/>
    </row>
    <row r="3787" spans="1:3" x14ac:dyDescent="0.2">
      <c r="A3787" s="9"/>
      <c r="B3787" s="135">
        <v>30.98</v>
      </c>
      <c r="C3787" s="135"/>
    </row>
    <row r="3788" spans="1:3" x14ac:dyDescent="0.2">
      <c r="A3788" s="9"/>
      <c r="B3788" s="135">
        <v>30.99</v>
      </c>
      <c r="C3788" s="135"/>
    </row>
    <row r="3789" spans="1:3" x14ac:dyDescent="0.2">
      <c r="A3789" s="9"/>
      <c r="B3789" s="135">
        <v>31</v>
      </c>
      <c r="C3789" s="135"/>
    </row>
    <row r="3790" spans="1:3" x14ac:dyDescent="0.2">
      <c r="A3790" s="9"/>
      <c r="B3790" s="135">
        <v>31.01</v>
      </c>
      <c r="C3790" s="135"/>
    </row>
    <row r="3791" spans="1:3" x14ac:dyDescent="0.2">
      <c r="A3791" s="9"/>
      <c r="B3791" s="135">
        <v>31.02</v>
      </c>
      <c r="C3791" s="135"/>
    </row>
    <row r="3792" spans="1:3" x14ac:dyDescent="0.2">
      <c r="A3792" s="9"/>
      <c r="B3792" s="135">
        <v>31.03</v>
      </c>
      <c r="C3792" s="135"/>
    </row>
    <row r="3793" spans="1:3" x14ac:dyDescent="0.2">
      <c r="A3793" s="9"/>
      <c r="B3793" s="135">
        <v>31.04</v>
      </c>
      <c r="C3793" s="135"/>
    </row>
    <row r="3794" spans="1:3" x14ac:dyDescent="0.2">
      <c r="A3794" s="9"/>
      <c r="B3794" s="135">
        <v>31.05</v>
      </c>
      <c r="C3794" s="135"/>
    </row>
    <row r="3795" spans="1:3" x14ac:dyDescent="0.2">
      <c r="A3795" s="9"/>
      <c r="B3795" s="135">
        <v>31.06</v>
      </c>
      <c r="C3795" s="135"/>
    </row>
    <row r="3796" spans="1:3" x14ac:dyDescent="0.2">
      <c r="A3796" s="9"/>
      <c r="B3796" s="135">
        <v>31.07</v>
      </c>
      <c r="C3796" s="135"/>
    </row>
    <row r="3797" spans="1:3" x14ac:dyDescent="0.2">
      <c r="A3797" s="9"/>
      <c r="B3797" s="135">
        <v>31.08</v>
      </c>
      <c r="C3797" s="135"/>
    </row>
    <row r="3798" spans="1:3" x14ac:dyDescent="0.2">
      <c r="A3798" s="9"/>
      <c r="B3798" s="135">
        <v>31.09</v>
      </c>
      <c r="C3798" s="135"/>
    </row>
    <row r="3799" spans="1:3" x14ac:dyDescent="0.2">
      <c r="A3799" s="9"/>
      <c r="B3799" s="135">
        <v>31.1</v>
      </c>
      <c r="C3799" s="135"/>
    </row>
    <row r="3800" spans="1:3" x14ac:dyDescent="0.2">
      <c r="A3800" s="9"/>
      <c r="B3800" s="135">
        <v>31.11</v>
      </c>
      <c r="C3800" s="135"/>
    </row>
    <row r="3801" spans="1:3" x14ac:dyDescent="0.2">
      <c r="A3801" s="9"/>
      <c r="B3801" s="135">
        <v>31.12</v>
      </c>
      <c r="C3801" s="135"/>
    </row>
    <row r="3802" spans="1:3" x14ac:dyDescent="0.2">
      <c r="A3802" s="9"/>
      <c r="B3802" s="135">
        <v>31.13</v>
      </c>
      <c r="C3802" s="135"/>
    </row>
    <row r="3803" spans="1:3" x14ac:dyDescent="0.2">
      <c r="A3803" s="9"/>
      <c r="B3803" s="135">
        <v>31.14</v>
      </c>
      <c r="C3803" s="135"/>
    </row>
    <row r="3804" spans="1:3" x14ac:dyDescent="0.2">
      <c r="A3804" s="9"/>
      <c r="B3804" s="135">
        <v>31.15</v>
      </c>
      <c r="C3804" s="135"/>
    </row>
    <row r="3805" spans="1:3" x14ac:dyDescent="0.2">
      <c r="A3805" s="9"/>
      <c r="B3805" s="135">
        <v>31.16</v>
      </c>
      <c r="C3805" s="135"/>
    </row>
    <row r="3806" spans="1:3" x14ac:dyDescent="0.2">
      <c r="A3806" s="9"/>
      <c r="B3806" s="135">
        <v>31.17</v>
      </c>
      <c r="C3806" s="135"/>
    </row>
    <row r="3807" spans="1:3" x14ac:dyDescent="0.2">
      <c r="A3807" s="9"/>
      <c r="B3807" s="135">
        <v>31.18</v>
      </c>
      <c r="C3807" s="135"/>
    </row>
    <row r="3808" spans="1:3" x14ac:dyDescent="0.2">
      <c r="A3808" s="9"/>
      <c r="B3808" s="135">
        <v>31.19</v>
      </c>
      <c r="C3808" s="135"/>
    </row>
    <row r="3809" spans="1:3" x14ac:dyDescent="0.2">
      <c r="A3809" s="9"/>
      <c r="B3809" s="135">
        <v>31.2</v>
      </c>
      <c r="C3809" s="135"/>
    </row>
    <row r="3810" spans="1:3" x14ac:dyDescent="0.2">
      <c r="A3810" s="9"/>
      <c r="B3810" s="135">
        <v>31.21</v>
      </c>
      <c r="C3810" s="135"/>
    </row>
    <row r="3811" spans="1:3" x14ac:dyDescent="0.2">
      <c r="A3811" s="9"/>
      <c r="B3811" s="135">
        <v>31.22</v>
      </c>
      <c r="C3811" s="135"/>
    </row>
    <row r="3812" spans="1:3" x14ac:dyDescent="0.2">
      <c r="A3812" s="9"/>
      <c r="B3812" s="135">
        <v>31.23</v>
      </c>
      <c r="C3812" s="135"/>
    </row>
    <row r="3813" spans="1:3" x14ac:dyDescent="0.2">
      <c r="A3813" s="9"/>
      <c r="B3813" s="135">
        <v>31.24</v>
      </c>
      <c r="C3813" s="135"/>
    </row>
    <row r="3814" spans="1:3" x14ac:dyDescent="0.2">
      <c r="A3814" s="9"/>
      <c r="B3814" s="135">
        <v>31.25</v>
      </c>
      <c r="C3814" s="135"/>
    </row>
    <row r="3815" spans="1:3" x14ac:dyDescent="0.2">
      <c r="A3815" s="9"/>
      <c r="B3815" s="135">
        <v>31.26</v>
      </c>
      <c r="C3815" s="135"/>
    </row>
    <row r="3816" spans="1:3" x14ac:dyDescent="0.2">
      <c r="A3816" s="9"/>
      <c r="B3816" s="135">
        <v>31.27</v>
      </c>
      <c r="C3816" s="135"/>
    </row>
    <row r="3817" spans="1:3" x14ac:dyDescent="0.2">
      <c r="A3817" s="9"/>
      <c r="B3817" s="135">
        <v>31.28</v>
      </c>
      <c r="C3817" s="135"/>
    </row>
    <row r="3818" spans="1:3" x14ac:dyDescent="0.2">
      <c r="A3818" s="9"/>
      <c r="B3818" s="135">
        <v>31.29</v>
      </c>
      <c r="C3818" s="135"/>
    </row>
    <row r="3819" spans="1:3" x14ac:dyDescent="0.2">
      <c r="A3819" s="9"/>
      <c r="B3819" s="135">
        <v>31.3</v>
      </c>
      <c r="C3819" s="135"/>
    </row>
    <row r="3820" spans="1:3" x14ac:dyDescent="0.2">
      <c r="A3820" s="9"/>
      <c r="B3820" s="135">
        <v>31.31</v>
      </c>
      <c r="C3820" s="135"/>
    </row>
    <row r="3821" spans="1:3" x14ac:dyDescent="0.2">
      <c r="A3821" s="9"/>
      <c r="B3821" s="135">
        <v>31.32</v>
      </c>
      <c r="C3821" s="135"/>
    </row>
    <row r="3822" spans="1:3" x14ac:dyDescent="0.2">
      <c r="A3822" s="9"/>
      <c r="B3822" s="135">
        <v>31.33</v>
      </c>
      <c r="C3822" s="135"/>
    </row>
    <row r="3823" spans="1:3" x14ac:dyDescent="0.2">
      <c r="A3823" s="9"/>
      <c r="B3823" s="135">
        <v>31.34</v>
      </c>
      <c r="C3823" s="135"/>
    </row>
    <row r="3824" spans="1:3" x14ac:dyDescent="0.2">
      <c r="A3824" s="9"/>
      <c r="B3824" s="135">
        <v>31.35</v>
      </c>
      <c r="C3824" s="135"/>
    </row>
    <row r="3825" spans="1:3" x14ac:dyDescent="0.2">
      <c r="A3825" s="9"/>
      <c r="B3825" s="135">
        <v>31.36</v>
      </c>
      <c r="C3825" s="135"/>
    </row>
    <row r="3826" spans="1:3" x14ac:dyDescent="0.2">
      <c r="A3826" s="9"/>
      <c r="B3826" s="135">
        <v>31.37</v>
      </c>
      <c r="C3826" s="135"/>
    </row>
    <row r="3827" spans="1:3" x14ac:dyDescent="0.2">
      <c r="A3827" s="9"/>
      <c r="B3827" s="135">
        <v>31.38</v>
      </c>
      <c r="C3827" s="135"/>
    </row>
    <row r="3828" spans="1:3" x14ac:dyDescent="0.2">
      <c r="A3828" s="9"/>
      <c r="B3828" s="135">
        <v>31.39</v>
      </c>
      <c r="C3828" s="135"/>
    </row>
    <row r="3829" spans="1:3" x14ac:dyDescent="0.2">
      <c r="A3829" s="9"/>
      <c r="B3829" s="135">
        <v>31.4</v>
      </c>
      <c r="C3829" s="135"/>
    </row>
    <row r="3830" spans="1:3" x14ac:dyDescent="0.2">
      <c r="A3830" s="9"/>
      <c r="B3830" s="135">
        <v>31.41</v>
      </c>
      <c r="C3830" s="135"/>
    </row>
    <row r="3831" spans="1:3" x14ac:dyDescent="0.2">
      <c r="A3831" s="9"/>
      <c r="B3831" s="135">
        <v>31.42</v>
      </c>
      <c r="C3831" s="135"/>
    </row>
    <row r="3832" spans="1:3" x14ac:dyDescent="0.2">
      <c r="A3832" s="9"/>
      <c r="B3832" s="135">
        <v>31.43</v>
      </c>
      <c r="C3832" s="135"/>
    </row>
    <row r="3833" spans="1:3" x14ac:dyDescent="0.2">
      <c r="A3833" s="9"/>
      <c r="B3833" s="135">
        <v>31.44</v>
      </c>
      <c r="C3833" s="135"/>
    </row>
    <row r="3834" spans="1:3" x14ac:dyDescent="0.2">
      <c r="A3834" s="9"/>
      <c r="B3834" s="135">
        <v>31.45</v>
      </c>
      <c r="C3834" s="135"/>
    </row>
    <row r="3835" spans="1:3" x14ac:dyDescent="0.2">
      <c r="A3835" s="9"/>
      <c r="B3835" s="135">
        <v>31.46</v>
      </c>
      <c r="C3835" s="135"/>
    </row>
    <row r="3836" spans="1:3" x14ac:dyDescent="0.2">
      <c r="A3836" s="9"/>
      <c r="B3836" s="135">
        <v>31.47</v>
      </c>
      <c r="C3836" s="135"/>
    </row>
    <row r="3837" spans="1:3" x14ac:dyDescent="0.2">
      <c r="A3837" s="9"/>
      <c r="B3837" s="135">
        <v>31.48</v>
      </c>
      <c r="C3837" s="135"/>
    </row>
    <row r="3838" spans="1:3" x14ac:dyDescent="0.2">
      <c r="A3838" s="9"/>
      <c r="B3838" s="135">
        <v>31.49</v>
      </c>
      <c r="C3838" s="135"/>
    </row>
    <row r="3839" spans="1:3" x14ac:dyDescent="0.2">
      <c r="A3839" s="9"/>
      <c r="B3839" s="135">
        <v>31.5</v>
      </c>
      <c r="C3839" s="135"/>
    </row>
    <row r="3840" spans="1:3" x14ac:dyDescent="0.2">
      <c r="A3840" s="9"/>
      <c r="B3840" s="135">
        <v>31.51</v>
      </c>
      <c r="C3840" s="135"/>
    </row>
    <row r="3841" spans="1:3" x14ac:dyDescent="0.2">
      <c r="A3841" s="9"/>
      <c r="B3841" s="135">
        <v>31.52</v>
      </c>
      <c r="C3841" s="135"/>
    </row>
    <row r="3842" spans="1:3" x14ac:dyDescent="0.2">
      <c r="A3842" s="9"/>
      <c r="B3842" s="135">
        <v>31.53</v>
      </c>
      <c r="C3842" s="135"/>
    </row>
    <row r="3843" spans="1:3" x14ac:dyDescent="0.2">
      <c r="A3843" s="9"/>
      <c r="B3843" s="135">
        <v>31.54</v>
      </c>
      <c r="C3843" s="135"/>
    </row>
    <row r="3844" spans="1:3" x14ac:dyDescent="0.2">
      <c r="A3844" s="9"/>
      <c r="B3844" s="135">
        <v>31.55</v>
      </c>
      <c r="C3844" s="135"/>
    </row>
    <row r="3845" spans="1:3" x14ac:dyDescent="0.2">
      <c r="A3845" s="9"/>
      <c r="B3845" s="135">
        <v>31.56</v>
      </c>
      <c r="C3845" s="135"/>
    </row>
    <row r="3846" spans="1:3" x14ac:dyDescent="0.2">
      <c r="A3846" s="9"/>
      <c r="B3846" s="135">
        <v>31.57</v>
      </c>
      <c r="C3846" s="135"/>
    </row>
    <row r="3847" spans="1:3" x14ac:dyDescent="0.2">
      <c r="A3847" s="9"/>
      <c r="B3847" s="135">
        <v>31.58</v>
      </c>
      <c r="C3847" s="135"/>
    </row>
    <row r="3848" spans="1:3" x14ac:dyDescent="0.2">
      <c r="A3848" s="9"/>
      <c r="B3848" s="135">
        <v>31.59</v>
      </c>
      <c r="C3848" s="135"/>
    </row>
    <row r="3849" spans="1:3" x14ac:dyDescent="0.2">
      <c r="A3849" s="9"/>
      <c r="B3849" s="135">
        <v>31.6</v>
      </c>
      <c r="C3849" s="135"/>
    </row>
    <row r="3850" spans="1:3" x14ac:dyDescent="0.2">
      <c r="A3850" s="9"/>
      <c r="B3850" s="135">
        <v>31.61</v>
      </c>
      <c r="C3850" s="135"/>
    </row>
    <row r="3851" spans="1:3" x14ac:dyDescent="0.2">
      <c r="A3851" s="9"/>
      <c r="B3851" s="135">
        <v>31.62</v>
      </c>
      <c r="C3851" s="135"/>
    </row>
    <row r="3852" spans="1:3" x14ac:dyDescent="0.2">
      <c r="A3852" s="9"/>
      <c r="B3852" s="135">
        <v>31.63</v>
      </c>
      <c r="C3852" s="135"/>
    </row>
    <row r="3853" spans="1:3" x14ac:dyDescent="0.2">
      <c r="A3853" s="9"/>
      <c r="B3853" s="135">
        <v>31.64</v>
      </c>
      <c r="C3853" s="135"/>
    </row>
    <row r="3854" spans="1:3" x14ac:dyDescent="0.2">
      <c r="A3854" s="9"/>
      <c r="B3854" s="135">
        <v>31.65</v>
      </c>
      <c r="C3854" s="135"/>
    </row>
    <row r="3855" spans="1:3" x14ac:dyDescent="0.2">
      <c r="A3855" s="9"/>
      <c r="B3855" s="135">
        <v>31.66</v>
      </c>
      <c r="C3855" s="135"/>
    </row>
    <row r="3856" spans="1:3" x14ac:dyDescent="0.2">
      <c r="A3856" s="9"/>
      <c r="B3856" s="135">
        <v>31.67</v>
      </c>
      <c r="C3856" s="135"/>
    </row>
    <row r="3857" spans="1:3" x14ac:dyDescent="0.2">
      <c r="A3857" s="9"/>
      <c r="B3857" s="135">
        <v>31.68</v>
      </c>
      <c r="C3857" s="135"/>
    </row>
    <row r="3858" spans="1:3" x14ac:dyDescent="0.2">
      <c r="A3858" s="9"/>
      <c r="B3858" s="135">
        <v>31.69</v>
      </c>
      <c r="C3858" s="135"/>
    </row>
    <row r="3859" spans="1:3" x14ac:dyDescent="0.2">
      <c r="A3859" s="9"/>
      <c r="B3859" s="135">
        <v>31.7</v>
      </c>
      <c r="C3859" s="135"/>
    </row>
    <row r="3860" spans="1:3" x14ac:dyDescent="0.2">
      <c r="A3860" s="9"/>
      <c r="B3860" s="135">
        <v>31.71</v>
      </c>
      <c r="C3860" s="135"/>
    </row>
    <row r="3861" spans="1:3" x14ac:dyDescent="0.2">
      <c r="A3861" s="9"/>
      <c r="B3861" s="135">
        <v>31.72</v>
      </c>
      <c r="C3861" s="135"/>
    </row>
    <row r="3862" spans="1:3" x14ac:dyDescent="0.2">
      <c r="A3862" s="9"/>
      <c r="B3862" s="135">
        <v>31.73</v>
      </c>
      <c r="C3862" s="135"/>
    </row>
    <row r="3863" spans="1:3" x14ac:dyDescent="0.2">
      <c r="A3863" s="9"/>
      <c r="B3863" s="135">
        <v>31.74</v>
      </c>
      <c r="C3863" s="135"/>
    </row>
    <row r="3864" spans="1:3" x14ac:dyDescent="0.2">
      <c r="A3864" s="9"/>
      <c r="B3864" s="135">
        <v>31.75</v>
      </c>
      <c r="C3864" s="135"/>
    </row>
    <row r="3865" spans="1:3" x14ac:dyDescent="0.2">
      <c r="A3865" s="9"/>
      <c r="B3865" s="135">
        <v>31.76</v>
      </c>
      <c r="C3865" s="135"/>
    </row>
    <row r="3866" spans="1:3" x14ac:dyDescent="0.2">
      <c r="A3866" s="9"/>
      <c r="B3866" s="135">
        <v>31.77</v>
      </c>
      <c r="C3866" s="135"/>
    </row>
    <row r="3867" spans="1:3" x14ac:dyDescent="0.2">
      <c r="A3867" s="9"/>
      <c r="B3867" s="135">
        <v>31.78</v>
      </c>
      <c r="C3867" s="135"/>
    </row>
    <row r="3868" spans="1:3" x14ac:dyDescent="0.2">
      <c r="A3868" s="9"/>
      <c r="B3868" s="135">
        <v>31.79</v>
      </c>
      <c r="C3868" s="135"/>
    </row>
    <row r="3869" spans="1:3" x14ac:dyDescent="0.2">
      <c r="A3869" s="9"/>
      <c r="B3869" s="135">
        <v>31.8</v>
      </c>
      <c r="C3869" s="135"/>
    </row>
    <row r="3870" spans="1:3" x14ac:dyDescent="0.2">
      <c r="A3870" s="9"/>
      <c r="B3870" s="135">
        <v>31.81</v>
      </c>
      <c r="C3870" s="135"/>
    </row>
    <row r="3871" spans="1:3" x14ac:dyDescent="0.2">
      <c r="A3871" s="9"/>
      <c r="B3871" s="135">
        <v>31.82</v>
      </c>
      <c r="C3871" s="135"/>
    </row>
    <row r="3872" spans="1:3" x14ac:dyDescent="0.2">
      <c r="A3872" s="9"/>
      <c r="B3872" s="135">
        <v>31.83</v>
      </c>
      <c r="C3872" s="135"/>
    </row>
    <row r="3873" spans="1:3" x14ac:dyDescent="0.2">
      <c r="A3873" s="9"/>
      <c r="B3873" s="135">
        <v>31.84</v>
      </c>
      <c r="C3873" s="135"/>
    </row>
    <row r="3874" spans="1:3" x14ac:dyDescent="0.2">
      <c r="A3874" s="9"/>
      <c r="B3874" s="135">
        <v>31.85</v>
      </c>
      <c r="C3874" s="135"/>
    </row>
    <row r="3875" spans="1:3" x14ac:dyDescent="0.2">
      <c r="A3875" s="9"/>
      <c r="B3875" s="135">
        <v>31.86</v>
      </c>
      <c r="C3875" s="135"/>
    </row>
    <row r="3876" spans="1:3" x14ac:dyDescent="0.2">
      <c r="A3876" s="9"/>
      <c r="B3876" s="135">
        <v>31.87</v>
      </c>
      <c r="C3876" s="135"/>
    </row>
    <row r="3877" spans="1:3" x14ac:dyDescent="0.2">
      <c r="A3877" s="9"/>
      <c r="B3877" s="135">
        <v>31.88</v>
      </c>
      <c r="C3877" s="135"/>
    </row>
    <row r="3878" spans="1:3" x14ac:dyDescent="0.2">
      <c r="A3878" s="9"/>
      <c r="B3878" s="135">
        <v>31.89</v>
      </c>
      <c r="C3878" s="135"/>
    </row>
    <row r="3879" spans="1:3" x14ac:dyDescent="0.2">
      <c r="A3879" s="9"/>
      <c r="B3879" s="135">
        <v>31.9</v>
      </c>
      <c r="C3879" s="135"/>
    </row>
    <row r="3880" spans="1:3" x14ac:dyDescent="0.2">
      <c r="A3880" s="9"/>
      <c r="B3880" s="135">
        <v>31.91</v>
      </c>
      <c r="C3880" s="135"/>
    </row>
    <row r="3881" spans="1:3" x14ac:dyDescent="0.2">
      <c r="A3881" s="9"/>
      <c r="B3881" s="135">
        <v>31.92</v>
      </c>
      <c r="C3881" s="135"/>
    </row>
    <row r="3882" spans="1:3" x14ac:dyDescent="0.2">
      <c r="A3882" s="9"/>
      <c r="B3882" s="135">
        <v>31.93</v>
      </c>
      <c r="C3882" s="135"/>
    </row>
    <row r="3883" spans="1:3" x14ac:dyDescent="0.2">
      <c r="A3883" s="9"/>
      <c r="B3883" s="135">
        <v>31.94</v>
      </c>
      <c r="C3883" s="135"/>
    </row>
    <row r="3884" spans="1:3" x14ac:dyDescent="0.2">
      <c r="A3884" s="9"/>
      <c r="B3884" s="135">
        <v>31.95</v>
      </c>
      <c r="C3884" s="135"/>
    </row>
    <row r="3885" spans="1:3" x14ac:dyDescent="0.2">
      <c r="A3885" s="9"/>
      <c r="B3885" s="135">
        <v>31.96</v>
      </c>
      <c r="C3885" s="135"/>
    </row>
    <row r="3886" spans="1:3" x14ac:dyDescent="0.2">
      <c r="A3886" s="9"/>
      <c r="B3886" s="135">
        <v>31.97</v>
      </c>
      <c r="C3886" s="135"/>
    </row>
    <row r="3887" spans="1:3" x14ac:dyDescent="0.2">
      <c r="A3887" s="9"/>
      <c r="B3887" s="135">
        <v>31.98</v>
      </c>
      <c r="C3887" s="135"/>
    </row>
    <row r="3888" spans="1:3" x14ac:dyDescent="0.2">
      <c r="A3888" s="9"/>
      <c r="B3888" s="135">
        <v>31.99</v>
      </c>
      <c r="C3888" s="135"/>
    </row>
    <row r="3889" spans="1:3" x14ac:dyDescent="0.2">
      <c r="A3889" s="9"/>
      <c r="B3889" s="135">
        <v>32</v>
      </c>
      <c r="C3889" s="135"/>
    </row>
    <row r="3890" spans="1:3" x14ac:dyDescent="0.2">
      <c r="A3890" s="9"/>
      <c r="B3890" s="135">
        <v>32.01</v>
      </c>
      <c r="C3890" s="135"/>
    </row>
    <row r="3891" spans="1:3" x14ac:dyDescent="0.2">
      <c r="A3891" s="9"/>
      <c r="B3891" s="135">
        <v>32.020000000000003</v>
      </c>
      <c r="C3891" s="135"/>
    </row>
    <row r="3892" spans="1:3" x14ac:dyDescent="0.2">
      <c r="A3892" s="9"/>
      <c r="B3892" s="135">
        <v>32.03</v>
      </c>
      <c r="C3892" s="135"/>
    </row>
    <row r="3893" spans="1:3" x14ac:dyDescent="0.2">
      <c r="A3893" s="9"/>
      <c r="B3893" s="135">
        <v>32.04</v>
      </c>
      <c r="C3893" s="135"/>
    </row>
    <row r="3894" spans="1:3" x14ac:dyDescent="0.2">
      <c r="A3894" s="9"/>
      <c r="B3894" s="135">
        <v>32.049999999999997</v>
      </c>
      <c r="C3894" s="135"/>
    </row>
    <row r="3895" spans="1:3" x14ac:dyDescent="0.2">
      <c r="A3895" s="9"/>
      <c r="B3895" s="135">
        <v>32.06</v>
      </c>
      <c r="C3895" s="135"/>
    </row>
    <row r="3896" spans="1:3" x14ac:dyDescent="0.2">
      <c r="A3896" s="9"/>
      <c r="B3896" s="135">
        <v>32.07</v>
      </c>
      <c r="C3896" s="135"/>
    </row>
    <row r="3897" spans="1:3" x14ac:dyDescent="0.2">
      <c r="A3897" s="9"/>
      <c r="B3897" s="135">
        <v>32.08</v>
      </c>
      <c r="C3897" s="135"/>
    </row>
    <row r="3898" spans="1:3" x14ac:dyDescent="0.2">
      <c r="A3898" s="9"/>
      <c r="B3898" s="135">
        <v>32.090000000000003</v>
      </c>
      <c r="C3898" s="135"/>
    </row>
    <row r="3899" spans="1:3" x14ac:dyDescent="0.2">
      <c r="A3899" s="9"/>
      <c r="B3899" s="135">
        <v>32.1</v>
      </c>
      <c r="C3899" s="135"/>
    </row>
    <row r="3900" spans="1:3" x14ac:dyDescent="0.2">
      <c r="A3900" s="9"/>
      <c r="B3900" s="135">
        <v>32.11</v>
      </c>
      <c r="C3900" s="135"/>
    </row>
    <row r="3901" spans="1:3" x14ac:dyDescent="0.2">
      <c r="A3901" s="9"/>
      <c r="B3901" s="135">
        <v>32.119999999999997</v>
      </c>
      <c r="C3901" s="135"/>
    </row>
    <row r="3902" spans="1:3" x14ac:dyDescent="0.2">
      <c r="A3902" s="9"/>
      <c r="B3902" s="135">
        <v>32.130000000000003</v>
      </c>
      <c r="C3902" s="135"/>
    </row>
    <row r="3903" spans="1:3" x14ac:dyDescent="0.2">
      <c r="A3903" s="9"/>
      <c r="B3903" s="135">
        <v>32.14</v>
      </c>
      <c r="C3903" s="135"/>
    </row>
    <row r="3904" spans="1:3" x14ac:dyDescent="0.2">
      <c r="A3904" s="9"/>
      <c r="B3904" s="135">
        <v>32.15</v>
      </c>
      <c r="C3904" s="135"/>
    </row>
    <row r="3905" spans="1:3" x14ac:dyDescent="0.2">
      <c r="A3905" s="9"/>
      <c r="B3905" s="135">
        <v>32.159999999999997</v>
      </c>
      <c r="C3905" s="135"/>
    </row>
    <row r="3906" spans="1:3" x14ac:dyDescent="0.2">
      <c r="A3906" s="9"/>
      <c r="B3906" s="135">
        <v>32.17</v>
      </c>
      <c r="C3906" s="135"/>
    </row>
    <row r="3907" spans="1:3" x14ac:dyDescent="0.2">
      <c r="A3907" s="9"/>
      <c r="B3907" s="135">
        <v>32.18</v>
      </c>
      <c r="C3907" s="135"/>
    </row>
    <row r="3908" spans="1:3" x14ac:dyDescent="0.2">
      <c r="A3908" s="9"/>
      <c r="B3908" s="135">
        <v>32.19</v>
      </c>
      <c r="C3908" s="135"/>
    </row>
    <row r="3909" spans="1:3" x14ac:dyDescent="0.2">
      <c r="A3909" s="9"/>
      <c r="B3909" s="135">
        <v>32.200000000000003</v>
      </c>
      <c r="C3909" s="135"/>
    </row>
    <row r="3910" spans="1:3" x14ac:dyDescent="0.2">
      <c r="A3910" s="9"/>
      <c r="B3910" s="135">
        <v>32.21</v>
      </c>
      <c r="C3910" s="135"/>
    </row>
    <row r="3911" spans="1:3" x14ac:dyDescent="0.2">
      <c r="A3911" s="9"/>
      <c r="B3911" s="135">
        <v>32.22</v>
      </c>
      <c r="C3911" s="135"/>
    </row>
    <row r="3912" spans="1:3" x14ac:dyDescent="0.2">
      <c r="A3912" s="9"/>
      <c r="B3912" s="135">
        <v>32.229999999999997</v>
      </c>
      <c r="C3912" s="135"/>
    </row>
    <row r="3913" spans="1:3" x14ac:dyDescent="0.2">
      <c r="A3913" s="9"/>
      <c r="B3913" s="135">
        <v>32.24</v>
      </c>
      <c r="C3913" s="135"/>
    </row>
    <row r="3914" spans="1:3" x14ac:dyDescent="0.2">
      <c r="A3914" s="9"/>
      <c r="B3914" s="135">
        <v>32.25</v>
      </c>
      <c r="C3914" s="135"/>
    </row>
    <row r="3915" spans="1:3" x14ac:dyDescent="0.2">
      <c r="A3915" s="9"/>
      <c r="B3915" s="135">
        <v>32.26</v>
      </c>
      <c r="C3915" s="135"/>
    </row>
    <row r="3916" spans="1:3" x14ac:dyDescent="0.2">
      <c r="A3916" s="9"/>
      <c r="B3916" s="135">
        <v>32.270000000000003</v>
      </c>
      <c r="C3916" s="135"/>
    </row>
    <row r="3917" spans="1:3" x14ac:dyDescent="0.2">
      <c r="A3917" s="9"/>
      <c r="B3917" s="135">
        <v>32.28</v>
      </c>
      <c r="C3917" s="135"/>
    </row>
    <row r="3918" spans="1:3" x14ac:dyDescent="0.2">
      <c r="A3918" s="9"/>
      <c r="B3918" s="135">
        <v>32.29</v>
      </c>
      <c r="C3918" s="135"/>
    </row>
    <row r="3919" spans="1:3" x14ac:dyDescent="0.2">
      <c r="A3919" s="9"/>
      <c r="B3919" s="135">
        <v>32.299999999999997</v>
      </c>
      <c r="C3919" s="135"/>
    </row>
    <row r="3920" spans="1:3" x14ac:dyDescent="0.2">
      <c r="A3920" s="9"/>
      <c r="B3920" s="135">
        <v>32.31</v>
      </c>
      <c r="C3920" s="135"/>
    </row>
    <row r="3921" spans="1:3" x14ac:dyDescent="0.2">
      <c r="A3921" s="9"/>
      <c r="B3921" s="135">
        <v>32.32</v>
      </c>
      <c r="C3921" s="135"/>
    </row>
    <row r="3922" spans="1:3" x14ac:dyDescent="0.2">
      <c r="A3922" s="9"/>
      <c r="B3922" s="135">
        <v>32.33</v>
      </c>
      <c r="C3922" s="135"/>
    </row>
    <row r="3923" spans="1:3" x14ac:dyDescent="0.2">
      <c r="A3923" s="9"/>
      <c r="B3923" s="135">
        <v>32.340000000000003</v>
      </c>
      <c r="C3923" s="135"/>
    </row>
    <row r="3924" spans="1:3" x14ac:dyDescent="0.2">
      <c r="A3924" s="9"/>
      <c r="B3924" s="135">
        <v>32.35</v>
      </c>
      <c r="C3924" s="135"/>
    </row>
    <row r="3925" spans="1:3" x14ac:dyDescent="0.2">
      <c r="A3925" s="9"/>
      <c r="B3925" s="135">
        <v>32.36</v>
      </c>
      <c r="C3925" s="135"/>
    </row>
    <row r="3926" spans="1:3" x14ac:dyDescent="0.2">
      <c r="A3926" s="9"/>
      <c r="B3926" s="135">
        <v>32.369999999999997</v>
      </c>
      <c r="C3926" s="135"/>
    </row>
    <row r="3927" spans="1:3" x14ac:dyDescent="0.2">
      <c r="A3927" s="9"/>
      <c r="B3927" s="135">
        <v>32.380000000000003</v>
      </c>
      <c r="C3927" s="135"/>
    </row>
    <row r="3928" spans="1:3" x14ac:dyDescent="0.2">
      <c r="A3928" s="9"/>
      <c r="B3928" s="135">
        <v>32.39</v>
      </c>
      <c r="C3928" s="135"/>
    </row>
    <row r="3929" spans="1:3" x14ac:dyDescent="0.2">
      <c r="A3929" s="9"/>
      <c r="B3929" s="135">
        <v>32.4</v>
      </c>
      <c r="C3929" s="135"/>
    </row>
    <row r="3930" spans="1:3" x14ac:dyDescent="0.2">
      <c r="A3930" s="9"/>
      <c r="B3930" s="135">
        <v>32.409999999999997</v>
      </c>
      <c r="C3930" s="135"/>
    </row>
    <row r="3931" spans="1:3" x14ac:dyDescent="0.2">
      <c r="A3931" s="9"/>
      <c r="B3931" s="135">
        <v>32.42</v>
      </c>
      <c r="C3931" s="135"/>
    </row>
    <row r="3932" spans="1:3" x14ac:dyDescent="0.2">
      <c r="A3932" s="9"/>
      <c r="B3932" s="135">
        <v>32.43</v>
      </c>
      <c r="C3932" s="135"/>
    </row>
    <row r="3933" spans="1:3" x14ac:dyDescent="0.2">
      <c r="A3933" s="9"/>
      <c r="B3933" s="135">
        <v>32.44</v>
      </c>
      <c r="C3933" s="135"/>
    </row>
    <row r="3934" spans="1:3" x14ac:dyDescent="0.2">
      <c r="A3934" s="9"/>
      <c r="B3934" s="135">
        <v>32.450000000000003</v>
      </c>
      <c r="C3934" s="135"/>
    </row>
    <row r="3935" spans="1:3" x14ac:dyDescent="0.2">
      <c r="A3935" s="9"/>
      <c r="B3935" s="135">
        <v>32.46</v>
      </c>
      <c r="C3935" s="135"/>
    </row>
    <row r="3936" spans="1:3" x14ac:dyDescent="0.2">
      <c r="A3936" s="9"/>
      <c r="B3936" s="135">
        <v>32.47</v>
      </c>
      <c r="C3936" s="135"/>
    </row>
    <row r="3937" spans="1:3" x14ac:dyDescent="0.2">
      <c r="A3937" s="9"/>
      <c r="B3937" s="135">
        <v>32.479999999999997</v>
      </c>
      <c r="C3937" s="135"/>
    </row>
    <row r="3938" spans="1:3" x14ac:dyDescent="0.2">
      <c r="A3938" s="9"/>
      <c r="B3938" s="135">
        <v>32.49</v>
      </c>
      <c r="C3938" s="135"/>
    </row>
    <row r="3939" spans="1:3" x14ac:dyDescent="0.2">
      <c r="A3939" s="9"/>
      <c r="B3939" s="135">
        <v>32.5</v>
      </c>
      <c r="C3939" s="135"/>
    </row>
    <row r="3940" spans="1:3" x14ac:dyDescent="0.2">
      <c r="A3940" s="9"/>
      <c r="B3940" s="135">
        <v>32.51</v>
      </c>
      <c r="C3940" s="135"/>
    </row>
    <row r="3941" spans="1:3" x14ac:dyDescent="0.2">
      <c r="A3941" s="9"/>
      <c r="B3941" s="135">
        <v>32.520000000000003</v>
      </c>
      <c r="C3941" s="135"/>
    </row>
    <row r="3942" spans="1:3" x14ac:dyDescent="0.2">
      <c r="A3942" s="9"/>
      <c r="B3942" s="135">
        <v>32.53</v>
      </c>
      <c r="C3942" s="135"/>
    </row>
    <row r="3943" spans="1:3" x14ac:dyDescent="0.2">
      <c r="A3943" s="9"/>
      <c r="B3943" s="135">
        <v>32.54</v>
      </c>
      <c r="C3943" s="135"/>
    </row>
    <row r="3944" spans="1:3" x14ac:dyDescent="0.2">
      <c r="A3944" s="9"/>
      <c r="B3944" s="135">
        <v>32.549999999999997</v>
      </c>
      <c r="C3944" s="135"/>
    </row>
    <row r="3945" spans="1:3" x14ac:dyDescent="0.2">
      <c r="A3945" s="9"/>
      <c r="B3945" s="135">
        <v>32.56</v>
      </c>
      <c r="C3945" s="135"/>
    </row>
    <row r="3946" spans="1:3" x14ac:dyDescent="0.2">
      <c r="A3946" s="9"/>
      <c r="B3946" s="135">
        <v>32.57</v>
      </c>
      <c r="C3946" s="135"/>
    </row>
    <row r="3947" spans="1:3" x14ac:dyDescent="0.2">
      <c r="A3947" s="9"/>
      <c r="B3947" s="135">
        <v>32.58</v>
      </c>
      <c r="C3947" s="135"/>
    </row>
    <row r="3948" spans="1:3" x14ac:dyDescent="0.2">
      <c r="A3948" s="9"/>
      <c r="B3948" s="135">
        <v>32.590000000000003</v>
      </c>
      <c r="C3948" s="135"/>
    </row>
    <row r="3949" spans="1:3" x14ac:dyDescent="0.2">
      <c r="A3949" s="9"/>
      <c r="B3949" s="135">
        <v>32.6</v>
      </c>
      <c r="C3949" s="135"/>
    </row>
    <row r="3950" spans="1:3" x14ac:dyDescent="0.2">
      <c r="A3950" s="9"/>
      <c r="B3950" s="135">
        <v>32.61</v>
      </c>
      <c r="C3950" s="135"/>
    </row>
    <row r="3951" spans="1:3" x14ac:dyDescent="0.2">
      <c r="A3951" s="9"/>
      <c r="B3951" s="135">
        <v>32.619999999999997</v>
      </c>
      <c r="C3951" s="135"/>
    </row>
    <row r="3952" spans="1:3" x14ac:dyDescent="0.2">
      <c r="A3952" s="9"/>
      <c r="B3952" s="135">
        <v>32.630000000000003</v>
      </c>
      <c r="C3952" s="135"/>
    </row>
    <row r="3953" spans="1:3" x14ac:dyDescent="0.2">
      <c r="A3953" s="9"/>
      <c r="B3953" s="135">
        <v>32.64</v>
      </c>
      <c r="C3953" s="135"/>
    </row>
    <row r="3954" spans="1:3" x14ac:dyDescent="0.2">
      <c r="A3954" s="9"/>
      <c r="B3954" s="135">
        <v>32.65</v>
      </c>
      <c r="C3954" s="135"/>
    </row>
    <row r="3955" spans="1:3" x14ac:dyDescent="0.2">
      <c r="A3955" s="9"/>
      <c r="B3955" s="135">
        <v>32.659999999999997</v>
      </c>
      <c r="C3955" s="135"/>
    </row>
    <row r="3956" spans="1:3" x14ac:dyDescent="0.2">
      <c r="A3956" s="9"/>
      <c r="B3956" s="135">
        <v>32.67</v>
      </c>
      <c r="C3956" s="135"/>
    </row>
    <row r="3957" spans="1:3" x14ac:dyDescent="0.2">
      <c r="A3957" s="9"/>
      <c r="B3957" s="135">
        <v>32.68</v>
      </c>
      <c r="C3957" s="135"/>
    </row>
    <row r="3958" spans="1:3" x14ac:dyDescent="0.2">
      <c r="A3958" s="9"/>
      <c r="B3958" s="135">
        <v>32.69</v>
      </c>
      <c r="C3958" s="135"/>
    </row>
    <row r="3959" spans="1:3" x14ac:dyDescent="0.2">
      <c r="A3959" s="9"/>
      <c r="B3959" s="135">
        <v>32.700000000000003</v>
      </c>
      <c r="C3959" s="135"/>
    </row>
    <row r="3960" spans="1:3" x14ac:dyDescent="0.2">
      <c r="A3960" s="9"/>
      <c r="B3960" s="135">
        <v>32.71</v>
      </c>
      <c r="C3960" s="135"/>
    </row>
    <row r="3961" spans="1:3" x14ac:dyDescent="0.2">
      <c r="A3961" s="9"/>
      <c r="B3961" s="135">
        <v>32.72</v>
      </c>
      <c r="C3961" s="135"/>
    </row>
    <row r="3962" spans="1:3" x14ac:dyDescent="0.2">
      <c r="A3962" s="9"/>
      <c r="B3962" s="135">
        <v>32.729999999999997</v>
      </c>
      <c r="C3962" s="135"/>
    </row>
    <row r="3963" spans="1:3" x14ac:dyDescent="0.2">
      <c r="A3963" s="9"/>
      <c r="B3963" s="135">
        <v>32.74</v>
      </c>
      <c r="C3963" s="135"/>
    </row>
    <row r="3964" spans="1:3" x14ac:dyDescent="0.2">
      <c r="A3964" s="9"/>
      <c r="B3964" s="135">
        <v>32.75</v>
      </c>
      <c r="C3964" s="135"/>
    </row>
    <row r="3965" spans="1:3" x14ac:dyDescent="0.2">
      <c r="A3965" s="9"/>
      <c r="B3965" s="135">
        <v>32.76</v>
      </c>
      <c r="C3965" s="135"/>
    </row>
    <row r="3966" spans="1:3" x14ac:dyDescent="0.2">
      <c r="A3966" s="9"/>
      <c r="B3966" s="135">
        <v>32.770000000000003</v>
      </c>
      <c r="C3966" s="135"/>
    </row>
    <row r="3967" spans="1:3" x14ac:dyDescent="0.2">
      <c r="A3967" s="9"/>
      <c r="B3967" s="135">
        <v>32.78</v>
      </c>
      <c r="C3967" s="135"/>
    </row>
    <row r="3968" spans="1:3" x14ac:dyDescent="0.2">
      <c r="A3968" s="9"/>
      <c r="B3968" s="135">
        <v>32.79</v>
      </c>
      <c r="C3968" s="135"/>
    </row>
    <row r="3969" spans="1:3" x14ac:dyDescent="0.2">
      <c r="A3969" s="9"/>
      <c r="B3969" s="135">
        <v>32.799999999999997</v>
      </c>
      <c r="C3969" s="135"/>
    </row>
    <row r="3970" spans="1:3" x14ac:dyDescent="0.2">
      <c r="A3970" s="9"/>
      <c r="B3970" s="135">
        <v>32.81</v>
      </c>
      <c r="C3970" s="135"/>
    </row>
    <row r="3971" spans="1:3" x14ac:dyDescent="0.2">
      <c r="A3971" s="9"/>
      <c r="B3971" s="135">
        <v>32.82</v>
      </c>
      <c r="C3971" s="135"/>
    </row>
    <row r="3972" spans="1:3" x14ac:dyDescent="0.2">
      <c r="A3972" s="9"/>
      <c r="B3972" s="135">
        <v>32.83</v>
      </c>
      <c r="C3972" s="135"/>
    </row>
    <row r="3973" spans="1:3" x14ac:dyDescent="0.2">
      <c r="A3973" s="9"/>
      <c r="B3973" s="135">
        <v>32.840000000000003</v>
      </c>
      <c r="C3973" s="135"/>
    </row>
    <row r="3974" spans="1:3" x14ac:dyDescent="0.2">
      <c r="A3974" s="9"/>
      <c r="B3974" s="135">
        <v>32.85</v>
      </c>
      <c r="C3974" s="135"/>
    </row>
    <row r="3975" spans="1:3" x14ac:dyDescent="0.2">
      <c r="A3975" s="9"/>
      <c r="B3975" s="135">
        <v>32.86</v>
      </c>
      <c r="C3975" s="135"/>
    </row>
    <row r="3976" spans="1:3" x14ac:dyDescent="0.2">
      <c r="A3976" s="9"/>
      <c r="B3976" s="135">
        <v>32.869999999999997</v>
      </c>
      <c r="C3976" s="135"/>
    </row>
    <row r="3977" spans="1:3" x14ac:dyDescent="0.2">
      <c r="A3977" s="9"/>
      <c r="B3977" s="135">
        <v>32.880000000000003</v>
      </c>
      <c r="C3977" s="135"/>
    </row>
    <row r="3978" spans="1:3" x14ac:dyDescent="0.2">
      <c r="A3978" s="9"/>
      <c r="B3978" s="135">
        <v>32.89</v>
      </c>
      <c r="C3978" s="135"/>
    </row>
    <row r="3979" spans="1:3" x14ac:dyDescent="0.2">
      <c r="A3979" s="9"/>
      <c r="B3979" s="135">
        <v>32.9</v>
      </c>
      <c r="C3979" s="135"/>
    </row>
    <row r="3980" spans="1:3" x14ac:dyDescent="0.2">
      <c r="A3980" s="9"/>
      <c r="B3980" s="135">
        <v>32.909999999999997</v>
      </c>
      <c r="C3980" s="135"/>
    </row>
    <row r="3981" spans="1:3" x14ac:dyDescent="0.2">
      <c r="A3981" s="9"/>
      <c r="B3981" s="135">
        <v>32.92</v>
      </c>
      <c r="C3981" s="135"/>
    </row>
    <row r="3982" spans="1:3" x14ac:dyDescent="0.2">
      <c r="A3982" s="9"/>
      <c r="B3982" s="135">
        <v>32.93</v>
      </c>
      <c r="C3982" s="135"/>
    </row>
    <row r="3983" spans="1:3" x14ac:dyDescent="0.2">
      <c r="A3983" s="9"/>
      <c r="B3983" s="135">
        <v>32.94</v>
      </c>
      <c r="C3983" s="135"/>
    </row>
    <row r="3984" spans="1:3" x14ac:dyDescent="0.2">
      <c r="A3984" s="9"/>
      <c r="B3984" s="135">
        <v>32.950000000000003</v>
      </c>
      <c r="C3984" s="135"/>
    </row>
    <row r="3985" spans="1:3" x14ac:dyDescent="0.2">
      <c r="A3985" s="9"/>
      <c r="B3985" s="135">
        <v>32.96</v>
      </c>
      <c r="C3985" s="135"/>
    </row>
    <row r="3986" spans="1:3" x14ac:dyDescent="0.2">
      <c r="A3986" s="9"/>
      <c r="B3986" s="135">
        <v>32.97</v>
      </c>
      <c r="C3986" s="135"/>
    </row>
    <row r="3987" spans="1:3" x14ac:dyDescent="0.2">
      <c r="A3987" s="9"/>
      <c r="B3987" s="135">
        <v>32.979999999999997</v>
      </c>
      <c r="C3987" s="135"/>
    </row>
    <row r="3988" spans="1:3" x14ac:dyDescent="0.2">
      <c r="A3988" s="9"/>
      <c r="B3988" s="135">
        <v>32.99</v>
      </c>
      <c r="C3988" s="135"/>
    </row>
    <row r="3989" spans="1:3" x14ac:dyDescent="0.2">
      <c r="A3989" s="9"/>
      <c r="B3989" s="135">
        <v>33</v>
      </c>
      <c r="C3989" s="135"/>
    </row>
    <row r="3990" spans="1:3" x14ac:dyDescent="0.2">
      <c r="A3990" s="9"/>
      <c r="B3990" s="135">
        <v>33.01</v>
      </c>
      <c r="C3990" s="135"/>
    </row>
    <row r="3991" spans="1:3" x14ac:dyDescent="0.2">
      <c r="A3991" s="9"/>
      <c r="B3991" s="135">
        <v>33.020000000000003</v>
      </c>
      <c r="C3991" s="135"/>
    </row>
    <row r="3992" spans="1:3" x14ac:dyDescent="0.2">
      <c r="A3992" s="9"/>
      <c r="B3992" s="135">
        <v>33.03</v>
      </c>
      <c r="C3992" s="135"/>
    </row>
    <row r="3993" spans="1:3" x14ac:dyDescent="0.2">
      <c r="A3993" s="9"/>
      <c r="B3993" s="135">
        <v>33.04</v>
      </c>
      <c r="C3993" s="135"/>
    </row>
    <row r="3994" spans="1:3" x14ac:dyDescent="0.2">
      <c r="A3994" s="9"/>
      <c r="B3994" s="135">
        <v>33.049999999999997</v>
      </c>
      <c r="C3994" s="135"/>
    </row>
    <row r="3995" spans="1:3" x14ac:dyDescent="0.2">
      <c r="A3995" s="9"/>
      <c r="B3995" s="135">
        <v>33.06</v>
      </c>
      <c r="C3995" s="135"/>
    </row>
    <row r="3996" spans="1:3" x14ac:dyDescent="0.2">
      <c r="A3996" s="9"/>
      <c r="B3996" s="135">
        <v>33.07</v>
      </c>
      <c r="C3996" s="135"/>
    </row>
    <row r="3997" spans="1:3" x14ac:dyDescent="0.2">
      <c r="A3997" s="9"/>
      <c r="B3997" s="135">
        <v>33.08</v>
      </c>
      <c r="C3997" s="135"/>
    </row>
    <row r="3998" spans="1:3" x14ac:dyDescent="0.2">
      <c r="A3998" s="9"/>
      <c r="B3998" s="135">
        <v>33.090000000000003</v>
      </c>
      <c r="C3998" s="135"/>
    </row>
    <row r="3999" spans="1:3" x14ac:dyDescent="0.2">
      <c r="A3999" s="9"/>
      <c r="B3999" s="135">
        <v>33.1</v>
      </c>
      <c r="C3999" s="135"/>
    </row>
    <row r="4000" spans="1:3" x14ac:dyDescent="0.2">
      <c r="A4000" s="9"/>
      <c r="B4000" s="135">
        <v>33.11</v>
      </c>
      <c r="C4000" s="135"/>
    </row>
    <row r="4001" spans="1:3" x14ac:dyDescent="0.2">
      <c r="A4001" s="9"/>
      <c r="B4001" s="135">
        <v>33.119999999999997</v>
      </c>
      <c r="C4001" s="135"/>
    </row>
    <row r="4002" spans="1:3" x14ac:dyDescent="0.2">
      <c r="A4002" s="9"/>
      <c r="B4002" s="135">
        <v>33.130000000000003</v>
      </c>
      <c r="C4002" s="135"/>
    </row>
    <row r="4003" spans="1:3" x14ac:dyDescent="0.2">
      <c r="A4003" s="9"/>
      <c r="B4003" s="135">
        <v>33.14</v>
      </c>
      <c r="C4003" s="135"/>
    </row>
    <row r="4004" spans="1:3" x14ac:dyDescent="0.2">
      <c r="A4004" s="9"/>
      <c r="B4004" s="135">
        <v>33.15</v>
      </c>
      <c r="C4004" s="135"/>
    </row>
    <row r="4005" spans="1:3" x14ac:dyDescent="0.2">
      <c r="A4005" s="9"/>
      <c r="B4005" s="135">
        <v>33.159999999999997</v>
      </c>
      <c r="C4005" s="135"/>
    </row>
    <row r="4006" spans="1:3" x14ac:dyDescent="0.2">
      <c r="A4006" s="9"/>
      <c r="B4006" s="135">
        <v>33.17</v>
      </c>
      <c r="C4006" s="135"/>
    </row>
    <row r="4007" spans="1:3" x14ac:dyDescent="0.2">
      <c r="A4007" s="9"/>
      <c r="B4007" s="135">
        <v>33.18</v>
      </c>
      <c r="C4007" s="135"/>
    </row>
    <row r="4008" spans="1:3" x14ac:dyDescent="0.2">
      <c r="A4008" s="9"/>
      <c r="B4008" s="135">
        <v>33.19</v>
      </c>
      <c r="C4008" s="135"/>
    </row>
    <row r="4009" spans="1:3" x14ac:dyDescent="0.2">
      <c r="A4009" s="9"/>
      <c r="B4009" s="135">
        <v>33.200000000000003</v>
      </c>
      <c r="C4009" s="135"/>
    </row>
    <row r="4010" spans="1:3" x14ac:dyDescent="0.2">
      <c r="A4010" s="9"/>
      <c r="B4010" s="135">
        <v>33.21</v>
      </c>
      <c r="C4010" s="135"/>
    </row>
    <row r="4011" spans="1:3" x14ac:dyDescent="0.2">
      <c r="A4011" s="9"/>
      <c r="B4011" s="135">
        <v>33.22</v>
      </c>
      <c r="C4011" s="135"/>
    </row>
    <row r="4012" spans="1:3" x14ac:dyDescent="0.2">
      <c r="A4012" s="9"/>
      <c r="B4012" s="135">
        <v>33.229999999999997</v>
      </c>
      <c r="C4012" s="135"/>
    </row>
    <row r="4013" spans="1:3" x14ac:dyDescent="0.2">
      <c r="A4013" s="9"/>
      <c r="B4013" s="135">
        <v>33.24</v>
      </c>
      <c r="C4013" s="135"/>
    </row>
    <row r="4014" spans="1:3" x14ac:dyDescent="0.2">
      <c r="A4014" s="9"/>
      <c r="B4014" s="135">
        <v>33.25</v>
      </c>
      <c r="C4014" s="135"/>
    </row>
    <row r="4015" spans="1:3" x14ac:dyDescent="0.2">
      <c r="A4015" s="9"/>
      <c r="B4015" s="135">
        <v>33.26</v>
      </c>
      <c r="C4015" s="135"/>
    </row>
    <row r="4016" spans="1:3" x14ac:dyDescent="0.2">
      <c r="A4016" s="9"/>
      <c r="B4016" s="135">
        <v>33.270000000000003</v>
      </c>
      <c r="C4016" s="135"/>
    </row>
    <row r="4017" spans="1:3" x14ac:dyDescent="0.2">
      <c r="A4017" s="9"/>
      <c r="B4017" s="135">
        <v>33.28</v>
      </c>
      <c r="C4017" s="135"/>
    </row>
    <row r="4018" spans="1:3" x14ac:dyDescent="0.2">
      <c r="A4018" s="9"/>
      <c r="B4018" s="135">
        <v>33.29</v>
      </c>
      <c r="C4018" s="135"/>
    </row>
    <row r="4019" spans="1:3" x14ac:dyDescent="0.2">
      <c r="A4019" s="9"/>
      <c r="B4019" s="135">
        <v>33.299999999999997</v>
      </c>
      <c r="C4019" s="135"/>
    </row>
    <row r="4020" spans="1:3" x14ac:dyDescent="0.2">
      <c r="A4020" s="9"/>
      <c r="B4020" s="135">
        <v>33.31</v>
      </c>
      <c r="C4020" s="135"/>
    </row>
    <row r="4021" spans="1:3" x14ac:dyDescent="0.2">
      <c r="A4021" s="9"/>
      <c r="B4021" s="135">
        <v>33.32</v>
      </c>
      <c r="C4021" s="135"/>
    </row>
    <row r="4022" spans="1:3" x14ac:dyDescent="0.2">
      <c r="A4022" s="9"/>
      <c r="B4022" s="135">
        <v>33.33</v>
      </c>
      <c r="C4022" s="135"/>
    </row>
    <row r="4023" spans="1:3" x14ac:dyDescent="0.2">
      <c r="A4023" s="9"/>
      <c r="B4023" s="135">
        <v>33.340000000000003</v>
      </c>
      <c r="C4023" s="135"/>
    </row>
    <row r="4024" spans="1:3" x14ac:dyDescent="0.2">
      <c r="A4024" s="9"/>
      <c r="B4024" s="135">
        <v>33.35</v>
      </c>
      <c r="C4024" s="135"/>
    </row>
    <row r="4025" spans="1:3" x14ac:dyDescent="0.2">
      <c r="A4025" s="9"/>
      <c r="B4025" s="135">
        <v>33.36</v>
      </c>
      <c r="C4025" s="135"/>
    </row>
    <row r="4026" spans="1:3" x14ac:dyDescent="0.2">
      <c r="A4026" s="9"/>
      <c r="B4026" s="135">
        <v>33.369999999999997</v>
      </c>
      <c r="C4026" s="135"/>
    </row>
    <row r="4027" spans="1:3" x14ac:dyDescent="0.2">
      <c r="A4027" s="9"/>
      <c r="B4027" s="135">
        <v>33.380000000000003</v>
      </c>
      <c r="C4027" s="135"/>
    </row>
    <row r="4028" spans="1:3" x14ac:dyDescent="0.2">
      <c r="A4028" s="9"/>
      <c r="B4028" s="135">
        <v>33.39</v>
      </c>
      <c r="C4028" s="135"/>
    </row>
    <row r="4029" spans="1:3" x14ac:dyDescent="0.2">
      <c r="A4029" s="9"/>
      <c r="B4029" s="135">
        <v>33.4</v>
      </c>
      <c r="C4029" s="135"/>
    </row>
    <row r="4030" spans="1:3" x14ac:dyDescent="0.2">
      <c r="A4030" s="9"/>
      <c r="B4030" s="135">
        <v>33.409999999999997</v>
      </c>
      <c r="C4030" s="135"/>
    </row>
    <row r="4031" spans="1:3" x14ac:dyDescent="0.2">
      <c r="A4031" s="9"/>
      <c r="B4031" s="135">
        <v>33.42</v>
      </c>
      <c r="C4031" s="135"/>
    </row>
    <row r="4032" spans="1:3" x14ac:dyDescent="0.2">
      <c r="A4032" s="9"/>
      <c r="B4032" s="135">
        <v>33.43</v>
      </c>
      <c r="C4032" s="135"/>
    </row>
    <row r="4033" spans="1:3" x14ac:dyDescent="0.2">
      <c r="A4033" s="9"/>
      <c r="B4033" s="135">
        <v>33.44</v>
      </c>
      <c r="C4033" s="135"/>
    </row>
    <row r="4034" spans="1:3" x14ac:dyDescent="0.2">
      <c r="A4034" s="9"/>
      <c r="B4034" s="135">
        <v>33.450000000000003</v>
      </c>
      <c r="C4034" s="135"/>
    </row>
    <row r="4035" spans="1:3" x14ac:dyDescent="0.2">
      <c r="A4035" s="9"/>
      <c r="B4035" s="135">
        <v>33.46</v>
      </c>
      <c r="C4035" s="135"/>
    </row>
    <row r="4036" spans="1:3" x14ac:dyDescent="0.2">
      <c r="A4036" s="9"/>
      <c r="B4036" s="135">
        <v>33.47</v>
      </c>
      <c r="C4036" s="135"/>
    </row>
    <row r="4037" spans="1:3" x14ac:dyDescent="0.2">
      <c r="A4037" s="9"/>
      <c r="B4037" s="135">
        <v>33.479999999999997</v>
      </c>
      <c r="C4037" s="135"/>
    </row>
    <row r="4038" spans="1:3" x14ac:dyDescent="0.2">
      <c r="A4038" s="9"/>
      <c r="B4038" s="135">
        <v>33.49</v>
      </c>
      <c r="C4038" s="135"/>
    </row>
    <row r="4039" spans="1:3" x14ac:dyDescent="0.2">
      <c r="A4039" s="9"/>
      <c r="B4039" s="135">
        <v>33.5</v>
      </c>
      <c r="C4039" s="135"/>
    </row>
    <row r="4040" spans="1:3" x14ac:dyDescent="0.2">
      <c r="A4040" s="9"/>
      <c r="B4040" s="135">
        <v>33.51</v>
      </c>
      <c r="C4040" s="135"/>
    </row>
    <row r="4041" spans="1:3" x14ac:dyDescent="0.2">
      <c r="A4041" s="9"/>
      <c r="B4041" s="135">
        <v>33.520000000000003</v>
      </c>
      <c r="C4041" s="135"/>
    </row>
    <row r="4042" spans="1:3" x14ac:dyDescent="0.2">
      <c r="A4042" s="9"/>
      <c r="B4042" s="135">
        <v>33.53</v>
      </c>
      <c r="C4042" s="135"/>
    </row>
    <row r="4043" spans="1:3" x14ac:dyDescent="0.2">
      <c r="A4043" s="9"/>
      <c r="B4043" s="135">
        <v>33.54</v>
      </c>
      <c r="C4043" s="135"/>
    </row>
    <row r="4044" spans="1:3" x14ac:dyDescent="0.2">
      <c r="A4044" s="9"/>
      <c r="B4044" s="135">
        <v>33.549999999999997</v>
      </c>
      <c r="C4044" s="135"/>
    </row>
    <row r="4045" spans="1:3" x14ac:dyDescent="0.2">
      <c r="A4045" s="9"/>
      <c r="B4045" s="135">
        <v>33.56</v>
      </c>
      <c r="C4045" s="135"/>
    </row>
    <row r="4046" spans="1:3" x14ac:dyDescent="0.2">
      <c r="A4046" s="9"/>
      <c r="B4046" s="135">
        <v>33.57</v>
      </c>
      <c r="C4046" s="135"/>
    </row>
    <row r="4047" spans="1:3" x14ac:dyDescent="0.2">
      <c r="A4047" s="9"/>
      <c r="B4047" s="135">
        <v>33.58</v>
      </c>
      <c r="C4047" s="135"/>
    </row>
    <row r="4048" spans="1:3" x14ac:dyDescent="0.2">
      <c r="A4048" s="9"/>
      <c r="B4048" s="135">
        <v>33.590000000000003</v>
      </c>
      <c r="C4048" s="135"/>
    </row>
    <row r="4049" spans="1:3" x14ac:dyDescent="0.2">
      <c r="A4049" s="9"/>
      <c r="B4049" s="135">
        <v>33.6</v>
      </c>
      <c r="C4049" s="135"/>
    </row>
    <row r="4050" spans="1:3" x14ac:dyDescent="0.2">
      <c r="A4050" s="9"/>
      <c r="B4050" s="135">
        <v>33.61</v>
      </c>
      <c r="C4050" s="135"/>
    </row>
    <row r="4051" spans="1:3" x14ac:dyDescent="0.2">
      <c r="A4051" s="9"/>
      <c r="B4051" s="135">
        <v>33.619999999999997</v>
      </c>
      <c r="C4051" s="135"/>
    </row>
    <row r="4052" spans="1:3" x14ac:dyDescent="0.2">
      <c r="A4052" s="9"/>
      <c r="B4052" s="135">
        <v>33.630000000000003</v>
      </c>
      <c r="C4052" s="135"/>
    </row>
    <row r="4053" spans="1:3" x14ac:dyDescent="0.2">
      <c r="A4053" s="9"/>
      <c r="B4053" s="135">
        <v>33.64</v>
      </c>
      <c r="C4053" s="135"/>
    </row>
    <row r="4054" spans="1:3" x14ac:dyDescent="0.2">
      <c r="A4054" s="9"/>
      <c r="B4054" s="135">
        <v>33.65</v>
      </c>
      <c r="C4054" s="135"/>
    </row>
    <row r="4055" spans="1:3" x14ac:dyDescent="0.2">
      <c r="A4055" s="9"/>
      <c r="B4055" s="135">
        <v>33.659999999999997</v>
      </c>
      <c r="C4055" s="135"/>
    </row>
    <row r="4056" spans="1:3" x14ac:dyDescent="0.2">
      <c r="A4056" s="9"/>
      <c r="B4056" s="135">
        <v>33.67</v>
      </c>
      <c r="C4056" s="135"/>
    </row>
    <row r="4057" spans="1:3" x14ac:dyDescent="0.2">
      <c r="A4057" s="9"/>
      <c r="B4057" s="135">
        <v>33.68</v>
      </c>
      <c r="C4057" s="135"/>
    </row>
    <row r="4058" spans="1:3" x14ac:dyDescent="0.2">
      <c r="A4058" s="9"/>
      <c r="B4058" s="135">
        <v>33.69</v>
      </c>
      <c r="C4058" s="135"/>
    </row>
    <row r="4059" spans="1:3" x14ac:dyDescent="0.2">
      <c r="A4059" s="9"/>
      <c r="B4059" s="135">
        <v>33.700000000000003</v>
      </c>
      <c r="C4059" s="135"/>
    </row>
    <row r="4060" spans="1:3" x14ac:dyDescent="0.2">
      <c r="A4060" s="9"/>
      <c r="B4060" s="135">
        <v>33.71</v>
      </c>
      <c r="C4060" s="135"/>
    </row>
    <row r="4061" spans="1:3" x14ac:dyDescent="0.2">
      <c r="A4061" s="9"/>
      <c r="B4061" s="135">
        <v>33.72</v>
      </c>
      <c r="C4061" s="135"/>
    </row>
    <row r="4062" spans="1:3" x14ac:dyDescent="0.2">
      <c r="A4062" s="9"/>
      <c r="B4062" s="135">
        <v>33.729999999999997</v>
      </c>
      <c r="C4062" s="135"/>
    </row>
    <row r="4063" spans="1:3" x14ac:dyDescent="0.2">
      <c r="A4063" s="9"/>
      <c r="B4063" s="135">
        <v>33.74</v>
      </c>
      <c r="C4063" s="135"/>
    </row>
    <row r="4064" spans="1:3" x14ac:dyDescent="0.2">
      <c r="A4064" s="9"/>
      <c r="B4064" s="135">
        <v>33.75</v>
      </c>
      <c r="C4064" s="135"/>
    </row>
    <row r="4065" spans="1:3" x14ac:dyDescent="0.2">
      <c r="A4065" s="9"/>
      <c r="B4065" s="135">
        <v>33.76</v>
      </c>
      <c r="C4065" s="135"/>
    </row>
    <row r="4066" spans="1:3" x14ac:dyDescent="0.2">
      <c r="A4066" s="9"/>
      <c r="B4066" s="135">
        <v>33.770000000000003</v>
      </c>
      <c r="C4066" s="135"/>
    </row>
    <row r="4067" spans="1:3" x14ac:dyDescent="0.2">
      <c r="A4067" s="9"/>
      <c r="B4067" s="135">
        <v>33.78</v>
      </c>
      <c r="C4067" s="135"/>
    </row>
    <row r="4068" spans="1:3" x14ac:dyDescent="0.2">
      <c r="A4068" s="9"/>
      <c r="B4068" s="135">
        <v>33.79</v>
      </c>
      <c r="C4068" s="135"/>
    </row>
    <row r="4069" spans="1:3" x14ac:dyDescent="0.2">
      <c r="A4069" s="9"/>
      <c r="B4069" s="135">
        <v>33.799999999999997</v>
      </c>
      <c r="C4069" s="135"/>
    </row>
    <row r="4070" spans="1:3" x14ac:dyDescent="0.2">
      <c r="A4070" s="9"/>
      <c r="B4070" s="135">
        <v>33.81</v>
      </c>
      <c r="C4070" s="135"/>
    </row>
    <row r="4071" spans="1:3" x14ac:dyDescent="0.2">
      <c r="A4071" s="9"/>
      <c r="B4071" s="135">
        <v>33.82</v>
      </c>
      <c r="C4071" s="135"/>
    </row>
    <row r="4072" spans="1:3" x14ac:dyDescent="0.2">
      <c r="A4072" s="9"/>
      <c r="B4072" s="135">
        <v>33.83</v>
      </c>
      <c r="C4072" s="135"/>
    </row>
    <row r="4073" spans="1:3" x14ac:dyDescent="0.2">
      <c r="A4073" s="9"/>
      <c r="B4073" s="135">
        <v>33.840000000000003</v>
      </c>
      <c r="C4073" s="135"/>
    </row>
    <row r="4074" spans="1:3" x14ac:dyDescent="0.2">
      <c r="A4074" s="9"/>
      <c r="B4074" s="135">
        <v>33.85</v>
      </c>
      <c r="C4074" s="135"/>
    </row>
    <row r="4075" spans="1:3" x14ac:dyDescent="0.2">
      <c r="A4075" s="9"/>
      <c r="B4075" s="135">
        <v>33.86</v>
      </c>
      <c r="C4075" s="135"/>
    </row>
    <row r="4076" spans="1:3" x14ac:dyDescent="0.2">
      <c r="A4076" s="9"/>
      <c r="B4076" s="135">
        <v>33.869999999999997</v>
      </c>
      <c r="C4076" s="135"/>
    </row>
    <row r="4077" spans="1:3" x14ac:dyDescent="0.2">
      <c r="A4077" s="9"/>
      <c r="B4077" s="135">
        <v>33.880000000000003</v>
      </c>
      <c r="C4077" s="135"/>
    </row>
    <row r="4078" spans="1:3" x14ac:dyDescent="0.2">
      <c r="A4078" s="9"/>
      <c r="B4078" s="135">
        <v>33.89</v>
      </c>
      <c r="C4078" s="135"/>
    </row>
    <row r="4079" spans="1:3" x14ac:dyDescent="0.2">
      <c r="A4079" s="9"/>
      <c r="B4079" s="135">
        <v>33.9</v>
      </c>
      <c r="C4079" s="135"/>
    </row>
    <row r="4080" spans="1:3" x14ac:dyDescent="0.2">
      <c r="A4080" s="9"/>
      <c r="B4080" s="135">
        <v>33.909999999999997</v>
      </c>
      <c r="C4080" s="135"/>
    </row>
    <row r="4081" spans="1:3" x14ac:dyDescent="0.2">
      <c r="A4081" s="9"/>
      <c r="B4081" s="135">
        <v>33.92</v>
      </c>
      <c r="C4081" s="135"/>
    </row>
    <row r="4082" spans="1:3" x14ac:dyDescent="0.2">
      <c r="A4082" s="9"/>
      <c r="B4082" s="135">
        <v>33.93</v>
      </c>
      <c r="C4082" s="135"/>
    </row>
    <row r="4083" spans="1:3" x14ac:dyDescent="0.2">
      <c r="A4083" s="9"/>
      <c r="B4083" s="135">
        <v>33.94</v>
      </c>
      <c r="C4083" s="135"/>
    </row>
    <row r="4084" spans="1:3" x14ac:dyDescent="0.2">
      <c r="A4084" s="9"/>
      <c r="B4084" s="135">
        <v>33.950000000000003</v>
      </c>
      <c r="C4084" s="135"/>
    </row>
    <row r="4085" spans="1:3" x14ac:dyDescent="0.2">
      <c r="A4085" s="9"/>
      <c r="B4085" s="135">
        <v>33.96</v>
      </c>
      <c r="C4085" s="135"/>
    </row>
    <row r="4086" spans="1:3" x14ac:dyDescent="0.2">
      <c r="A4086" s="9"/>
      <c r="B4086" s="135">
        <v>33.97</v>
      </c>
      <c r="C4086" s="135"/>
    </row>
    <row r="4087" spans="1:3" x14ac:dyDescent="0.2">
      <c r="A4087" s="9"/>
      <c r="B4087" s="135">
        <v>33.979999999999997</v>
      </c>
      <c r="C4087" s="135"/>
    </row>
    <row r="4088" spans="1:3" x14ac:dyDescent="0.2">
      <c r="A4088" s="9"/>
      <c r="B4088" s="135">
        <v>33.99</v>
      </c>
      <c r="C4088" s="135"/>
    </row>
    <row r="4089" spans="1:3" x14ac:dyDescent="0.2">
      <c r="A4089" s="9"/>
      <c r="B4089" s="135">
        <v>34</v>
      </c>
      <c r="C4089" s="135"/>
    </row>
    <row r="4090" spans="1:3" x14ac:dyDescent="0.2">
      <c r="A4090" s="9"/>
      <c r="B4090" s="135">
        <v>34.01</v>
      </c>
      <c r="C4090" s="135"/>
    </row>
    <row r="4091" spans="1:3" x14ac:dyDescent="0.2">
      <c r="A4091" s="9"/>
      <c r="B4091" s="135">
        <v>34.020000000000003</v>
      </c>
      <c r="C4091" s="135"/>
    </row>
    <row r="4092" spans="1:3" x14ac:dyDescent="0.2">
      <c r="A4092" s="9"/>
      <c r="B4092" s="135">
        <v>34.03</v>
      </c>
      <c r="C4092" s="135"/>
    </row>
    <row r="4093" spans="1:3" x14ac:dyDescent="0.2">
      <c r="A4093" s="9"/>
      <c r="B4093" s="135">
        <v>34.04</v>
      </c>
      <c r="C4093" s="135"/>
    </row>
    <row r="4094" spans="1:3" x14ac:dyDescent="0.2">
      <c r="A4094" s="9"/>
      <c r="B4094" s="135">
        <v>34.049999999999997</v>
      </c>
      <c r="C4094" s="135"/>
    </row>
    <row r="4095" spans="1:3" x14ac:dyDescent="0.2">
      <c r="A4095" s="9"/>
      <c r="B4095" s="135">
        <v>34.06</v>
      </c>
      <c r="C4095" s="135"/>
    </row>
    <row r="4096" spans="1:3" x14ac:dyDescent="0.2">
      <c r="A4096" s="9"/>
      <c r="B4096" s="135">
        <v>34.07</v>
      </c>
      <c r="C4096" s="135"/>
    </row>
    <row r="4097" spans="1:3" x14ac:dyDescent="0.2">
      <c r="A4097" s="9"/>
      <c r="B4097" s="135">
        <v>34.08</v>
      </c>
      <c r="C4097" s="135"/>
    </row>
    <row r="4098" spans="1:3" x14ac:dyDescent="0.2">
      <c r="A4098" s="9"/>
      <c r="B4098" s="135">
        <v>34.090000000000003</v>
      </c>
      <c r="C4098" s="135"/>
    </row>
    <row r="4099" spans="1:3" x14ac:dyDescent="0.2">
      <c r="A4099" s="9"/>
      <c r="B4099" s="135">
        <v>34.1</v>
      </c>
      <c r="C4099" s="135"/>
    </row>
    <row r="4100" spans="1:3" x14ac:dyDescent="0.2">
      <c r="A4100" s="9"/>
      <c r="B4100" s="135">
        <v>34.11</v>
      </c>
      <c r="C4100" s="135"/>
    </row>
    <row r="4101" spans="1:3" x14ac:dyDescent="0.2">
      <c r="A4101" s="9"/>
      <c r="B4101" s="135">
        <v>34.119999999999997</v>
      </c>
      <c r="C4101" s="135"/>
    </row>
    <row r="4102" spans="1:3" x14ac:dyDescent="0.2">
      <c r="A4102" s="9"/>
      <c r="B4102" s="135">
        <v>34.130000000000003</v>
      </c>
      <c r="C4102" s="135"/>
    </row>
    <row r="4103" spans="1:3" x14ac:dyDescent="0.2">
      <c r="A4103" s="9"/>
      <c r="B4103" s="135">
        <v>34.14</v>
      </c>
      <c r="C4103" s="135"/>
    </row>
    <row r="4104" spans="1:3" x14ac:dyDescent="0.2">
      <c r="A4104" s="9"/>
      <c r="B4104" s="135">
        <v>34.15</v>
      </c>
      <c r="C4104" s="135"/>
    </row>
    <row r="4105" spans="1:3" x14ac:dyDescent="0.2">
      <c r="A4105" s="9"/>
      <c r="B4105" s="135">
        <v>34.159999999999997</v>
      </c>
      <c r="C4105" s="135"/>
    </row>
    <row r="4106" spans="1:3" x14ac:dyDescent="0.2">
      <c r="A4106" s="9"/>
      <c r="B4106" s="135">
        <v>34.17</v>
      </c>
      <c r="C4106" s="135"/>
    </row>
    <row r="4107" spans="1:3" x14ac:dyDescent="0.2">
      <c r="A4107" s="9"/>
      <c r="B4107" s="135">
        <v>34.18</v>
      </c>
      <c r="C4107" s="135"/>
    </row>
    <row r="4108" spans="1:3" x14ac:dyDescent="0.2">
      <c r="A4108" s="9"/>
      <c r="B4108" s="135">
        <v>34.19</v>
      </c>
      <c r="C4108" s="135"/>
    </row>
    <row r="4109" spans="1:3" x14ac:dyDescent="0.2">
      <c r="A4109" s="9"/>
      <c r="B4109" s="135">
        <v>34.200000000000003</v>
      </c>
      <c r="C4109" s="135"/>
    </row>
    <row r="4110" spans="1:3" x14ac:dyDescent="0.2">
      <c r="A4110" s="9"/>
      <c r="B4110" s="135">
        <v>34.21</v>
      </c>
      <c r="C4110" s="135"/>
    </row>
    <row r="4111" spans="1:3" x14ac:dyDescent="0.2">
      <c r="A4111" s="9"/>
      <c r="B4111" s="135">
        <v>34.22</v>
      </c>
      <c r="C4111" s="135"/>
    </row>
    <row r="4112" spans="1:3" x14ac:dyDescent="0.2">
      <c r="A4112" s="9"/>
      <c r="B4112" s="135">
        <v>34.229999999999997</v>
      </c>
      <c r="C4112" s="135"/>
    </row>
    <row r="4113" spans="1:3" x14ac:dyDescent="0.2">
      <c r="A4113" s="9"/>
      <c r="B4113" s="135">
        <v>34.24</v>
      </c>
      <c r="C4113" s="135"/>
    </row>
    <row r="4114" spans="1:3" x14ac:dyDescent="0.2">
      <c r="A4114" s="9"/>
      <c r="B4114" s="135">
        <v>34.25</v>
      </c>
      <c r="C4114" s="135"/>
    </row>
    <row r="4115" spans="1:3" x14ac:dyDescent="0.2">
      <c r="A4115" s="9"/>
      <c r="B4115" s="135">
        <v>34.26</v>
      </c>
      <c r="C4115" s="135"/>
    </row>
    <row r="4116" spans="1:3" x14ac:dyDescent="0.2">
      <c r="A4116" s="9"/>
      <c r="B4116" s="135">
        <v>34.270000000000003</v>
      </c>
      <c r="C4116" s="135"/>
    </row>
    <row r="4117" spans="1:3" x14ac:dyDescent="0.2">
      <c r="A4117" s="9"/>
      <c r="B4117" s="135">
        <v>34.28</v>
      </c>
      <c r="C4117" s="135"/>
    </row>
    <row r="4118" spans="1:3" x14ac:dyDescent="0.2">
      <c r="A4118" s="9"/>
      <c r="B4118" s="135">
        <v>34.29</v>
      </c>
      <c r="C4118" s="135"/>
    </row>
    <row r="4119" spans="1:3" x14ac:dyDescent="0.2">
      <c r="A4119" s="9"/>
      <c r="B4119" s="135">
        <v>34.299999999999997</v>
      </c>
      <c r="C4119" s="135"/>
    </row>
    <row r="4120" spans="1:3" x14ac:dyDescent="0.2">
      <c r="A4120" s="9"/>
      <c r="B4120" s="135">
        <v>34.31</v>
      </c>
      <c r="C4120" s="135"/>
    </row>
    <row r="4121" spans="1:3" x14ac:dyDescent="0.2">
      <c r="A4121" s="9"/>
      <c r="B4121" s="135">
        <v>34.32</v>
      </c>
      <c r="C4121" s="135"/>
    </row>
    <row r="4122" spans="1:3" x14ac:dyDescent="0.2">
      <c r="A4122" s="9"/>
      <c r="B4122" s="135">
        <v>34.33</v>
      </c>
      <c r="C4122" s="135"/>
    </row>
    <row r="4123" spans="1:3" x14ac:dyDescent="0.2">
      <c r="A4123" s="9"/>
      <c r="B4123" s="135">
        <v>34.340000000000003</v>
      </c>
      <c r="C4123" s="135"/>
    </row>
    <row r="4124" spans="1:3" x14ac:dyDescent="0.2">
      <c r="A4124" s="9"/>
      <c r="B4124" s="135">
        <v>34.35</v>
      </c>
      <c r="C4124" s="135"/>
    </row>
    <row r="4125" spans="1:3" x14ac:dyDescent="0.2">
      <c r="A4125" s="9"/>
      <c r="B4125" s="135">
        <v>34.36</v>
      </c>
      <c r="C4125" s="135"/>
    </row>
    <row r="4126" spans="1:3" x14ac:dyDescent="0.2">
      <c r="A4126" s="9"/>
      <c r="B4126" s="135">
        <v>34.369999999999997</v>
      </c>
      <c r="C4126" s="135"/>
    </row>
    <row r="4127" spans="1:3" x14ac:dyDescent="0.2">
      <c r="A4127" s="9"/>
      <c r="B4127" s="135">
        <v>34.380000000000003</v>
      </c>
      <c r="C4127" s="135"/>
    </row>
    <row r="4128" spans="1:3" x14ac:dyDescent="0.2">
      <c r="A4128" s="9"/>
      <c r="B4128" s="135">
        <v>34.39</v>
      </c>
      <c r="C4128" s="135"/>
    </row>
    <row r="4129" spans="1:3" x14ac:dyDescent="0.2">
      <c r="A4129" s="9"/>
      <c r="B4129" s="135">
        <v>34.4</v>
      </c>
      <c r="C4129" s="135"/>
    </row>
    <row r="4130" spans="1:3" x14ac:dyDescent="0.2">
      <c r="A4130" s="9"/>
      <c r="B4130" s="135">
        <v>34.409999999999997</v>
      </c>
      <c r="C4130" s="135"/>
    </row>
    <row r="4131" spans="1:3" x14ac:dyDescent="0.2">
      <c r="A4131" s="9"/>
      <c r="B4131" s="135">
        <v>34.42</v>
      </c>
      <c r="C4131" s="135"/>
    </row>
    <row r="4132" spans="1:3" x14ac:dyDescent="0.2">
      <c r="A4132" s="9"/>
      <c r="B4132" s="135">
        <v>34.43</v>
      </c>
      <c r="C4132" s="135"/>
    </row>
    <row r="4133" spans="1:3" x14ac:dyDescent="0.2">
      <c r="A4133" s="9"/>
      <c r="B4133" s="135">
        <v>34.44</v>
      </c>
      <c r="C4133" s="135"/>
    </row>
    <row r="4134" spans="1:3" x14ac:dyDescent="0.2">
      <c r="A4134" s="9"/>
      <c r="B4134" s="135">
        <v>34.450000000000003</v>
      </c>
      <c r="C4134" s="135"/>
    </row>
    <row r="4135" spans="1:3" x14ac:dyDescent="0.2">
      <c r="A4135" s="9"/>
      <c r="B4135" s="135">
        <v>34.46</v>
      </c>
      <c r="C4135" s="135"/>
    </row>
    <row r="4136" spans="1:3" x14ac:dyDescent="0.2">
      <c r="A4136" s="9"/>
      <c r="B4136" s="135">
        <v>34.47</v>
      </c>
      <c r="C4136" s="135"/>
    </row>
    <row r="4137" spans="1:3" x14ac:dyDescent="0.2">
      <c r="A4137" s="9"/>
      <c r="B4137" s="135">
        <v>34.479999999999997</v>
      </c>
      <c r="C4137" s="135"/>
    </row>
    <row r="4138" spans="1:3" x14ac:dyDescent="0.2">
      <c r="A4138" s="9"/>
      <c r="B4138" s="135">
        <v>34.49</v>
      </c>
      <c r="C4138" s="135"/>
    </row>
    <row r="4139" spans="1:3" x14ac:dyDescent="0.2">
      <c r="A4139" s="9"/>
      <c r="B4139" s="135">
        <v>34.5</v>
      </c>
      <c r="C4139" s="135"/>
    </row>
    <row r="4140" spans="1:3" x14ac:dyDescent="0.2">
      <c r="A4140" s="9"/>
      <c r="B4140" s="135">
        <v>34.51</v>
      </c>
      <c r="C4140" s="135"/>
    </row>
    <row r="4141" spans="1:3" x14ac:dyDescent="0.2">
      <c r="A4141" s="9"/>
      <c r="B4141" s="135">
        <v>34.520000000000003</v>
      </c>
      <c r="C4141" s="135"/>
    </row>
    <row r="4142" spans="1:3" x14ac:dyDescent="0.2">
      <c r="A4142" s="9"/>
      <c r="B4142" s="135">
        <v>34.53</v>
      </c>
      <c r="C4142" s="135"/>
    </row>
    <row r="4143" spans="1:3" x14ac:dyDescent="0.2">
      <c r="A4143" s="9"/>
      <c r="B4143" s="135">
        <v>34.54</v>
      </c>
      <c r="C4143" s="135"/>
    </row>
    <row r="4144" spans="1:3" x14ac:dyDescent="0.2">
      <c r="A4144" s="9"/>
      <c r="B4144" s="135">
        <v>34.549999999999997</v>
      </c>
      <c r="C4144" s="135"/>
    </row>
    <row r="4145" spans="1:3" x14ac:dyDescent="0.2">
      <c r="A4145" s="9"/>
      <c r="B4145" s="135">
        <v>34.56</v>
      </c>
      <c r="C4145" s="135"/>
    </row>
    <row r="4146" spans="1:3" x14ac:dyDescent="0.2">
      <c r="A4146" s="9"/>
      <c r="B4146" s="135">
        <v>34.57</v>
      </c>
      <c r="C4146" s="135"/>
    </row>
    <row r="4147" spans="1:3" x14ac:dyDescent="0.2">
      <c r="A4147" s="9"/>
      <c r="B4147" s="135">
        <v>34.58</v>
      </c>
      <c r="C4147" s="135"/>
    </row>
    <row r="4148" spans="1:3" x14ac:dyDescent="0.2">
      <c r="A4148" s="9"/>
      <c r="B4148" s="135">
        <v>34.590000000000003</v>
      </c>
      <c r="C4148" s="135"/>
    </row>
    <row r="4149" spans="1:3" x14ac:dyDescent="0.2">
      <c r="A4149" s="9"/>
      <c r="B4149" s="135">
        <v>34.6</v>
      </c>
      <c r="C4149" s="135"/>
    </row>
    <row r="4150" spans="1:3" x14ac:dyDescent="0.2">
      <c r="A4150" s="9"/>
      <c r="B4150" s="135">
        <v>34.61</v>
      </c>
      <c r="C4150" s="135"/>
    </row>
    <row r="4151" spans="1:3" x14ac:dyDescent="0.2">
      <c r="A4151" s="9"/>
      <c r="B4151" s="135">
        <v>34.619999999999997</v>
      </c>
      <c r="C4151" s="135"/>
    </row>
    <row r="4152" spans="1:3" x14ac:dyDescent="0.2">
      <c r="A4152" s="9"/>
      <c r="B4152" s="135">
        <v>34.630000000000003</v>
      </c>
      <c r="C4152" s="135"/>
    </row>
    <row r="4153" spans="1:3" x14ac:dyDescent="0.2">
      <c r="A4153" s="9"/>
      <c r="B4153" s="135">
        <v>34.64</v>
      </c>
      <c r="C4153" s="135"/>
    </row>
    <row r="4154" spans="1:3" x14ac:dyDescent="0.2">
      <c r="A4154" s="9"/>
      <c r="B4154" s="135">
        <v>34.65</v>
      </c>
      <c r="C4154" s="135"/>
    </row>
    <row r="4155" spans="1:3" x14ac:dyDescent="0.2">
      <c r="A4155" s="9"/>
      <c r="B4155" s="135">
        <v>34.659999999999997</v>
      </c>
      <c r="C4155" s="135"/>
    </row>
    <row r="4156" spans="1:3" x14ac:dyDescent="0.2">
      <c r="A4156" s="9"/>
      <c r="B4156" s="135">
        <v>34.67</v>
      </c>
      <c r="C4156" s="135"/>
    </row>
    <row r="4157" spans="1:3" x14ac:dyDescent="0.2">
      <c r="A4157" s="9"/>
      <c r="B4157" s="135">
        <v>34.68</v>
      </c>
      <c r="C4157" s="135"/>
    </row>
    <row r="4158" spans="1:3" x14ac:dyDescent="0.2">
      <c r="A4158" s="9"/>
      <c r="B4158" s="135">
        <v>34.69</v>
      </c>
      <c r="C4158" s="135"/>
    </row>
    <row r="4159" spans="1:3" x14ac:dyDescent="0.2">
      <c r="A4159" s="9"/>
      <c r="B4159" s="135">
        <v>34.700000000000003</v>
      </c>
      <c r="C4159" s="135"/>
    </row>
    <row r="4160" spans="1:3" x14ac:dyDescent="0.2">
      <c r="A4160" s="9"/>
      <c r="B4160" s="135">
        <v>34.71</v>
      </c>
      <c r="C4160" s="135"/>
    </row>
    <row r="4161" spans="1:3" x14ac:dyDescent="0.2">
      <c r="A4161" s="9"/>
      <c r="B4161" s="135">
        <v>34.72</v>
      </c>
      <c r="C4161" s="135"/>
    </row>
    <row r="4162" spans="1:3" x14ac:dyDescent="0.2">
      <c r="A4162" s="9"/>
      <c r="B4162" s="135">
        <v>34.729999999999997</v>
      </c>
      <c r="C4162" s="135"/>
    </row>
    <row r="4163" spans="1:3" x14ac:dyDescent="0.2">
      <c r="A4163" s="9"/>
      <c r="B4163" s="135">
        <v>34.74</v>
      </c>
      <c r="C4163" s="135"/>
    </row>
    <row r="4164" spans="1:3" x14ac:dyDescent="0.2">
      <c r="A4164" s="9"/>
      <c r="B4164" s="135">
        <v>34.75</v>
      </c>
      <c r="C4164" s="135"/>
    </row>
    <row r="4165" spans="1:3" x14ac:dyDescent="0.2">
      <c r="A4165" s="9"/>
      <c r="B4165" s="135">
        <v>34.76</v>
      </c>
      <c r="C4165" s="135"/>
    </row>
    <row r="4166" spans="1:3" x14ac:dyDescent="0.2">
      <c r="A4166" s="9"/>
      <c r="B4166" s="135">
        <v>34.770000000000003</v>
      </c>
      <c r="C4166" s="135"/>
    </row>
    <row r="4167" spans="1:3" x14ac:dyDescent="0.2">
      <c r="A4167" s="9"/>
      <c r="B4167" s="135">
        <v>34.78</v>
      </c>
      <c r="C4167" s="135"/>
    </row>
    <row r="4168" spans="1:3" x14ac:dyDescent="0.2">
      <c r="A4168" s="9"/>
      <c r="B4168" s="135">
        <v>34.79</v>
      </c>
      <c r="C4168" s="135"/>
    </row>
    <row r="4169" spans="1:3" x14ac:dyDescent="0.2">
      <c r="A4169" s="9"/>
      <c r="B4169" s="135">
        <v>34.799999999999997</v>
      </c>
      <c r="C4169" s="135"/>
    </row>
    <row r="4170" spans="1:3" x14ac:dyDescent="0.2">
      <c r="A4170" s="9"/>
      <c r="B4170" s="135">
        <v>34.81</v>
      </c>
      <c r="C4170" s="135"/>
    </row>
    <row r="4171" spans="1:3" x14ac:dyDescent="0.2">
      <c r="A4171" s="9"/>
      <c r="B4171" s="135">
        <v>34.82</v>
      </c>
      <c r="C4171" s="135"/>
    </row>
    <row r="4172" spans="1:3" x14ac:dyDescent="0.2">
      <c r="A4172" s="9"/>
      <c r="B4172" s="135">
        <v>34.83</v>
      </c>
      <c r="C4172" s="135"/>
    </row>
    <row r="4173" spans="1:3" x14ac:dyDescent="0.2">
      <c r="A4173" s="9"/>
      <c r="B4173" s="135">
        <v>34.840000000000003</v>
      </c>
      <c r="C4173" s="135"/>
    </row>
    <row r="4174" spans="1:3" x14ac:dyDescent="0.2">
      <c r="A4174" s="9"/>
      <c r="B4174" s="135">
        <v>34.85</v>
      </c>
      <c r="C4174" s="135"/>
    </row>
    <row r="4175" spans="1:3" x14ac:dyDescent="0.2">
      <c r="A4175" s="9"/>
      <c r="B4175" s="135">
        <v>34.86</v>
      </c>
      <c r="C4175" s="135"/>
    </row>
    <row r="4176" spans="1:3" x14ac:dyDescent="0.2">
      <c r="A4176" s="9"/>
      <c r="B4176" s="135">
        <v>34.869999999999997</v>
      </c>
      <c r="C4176" s="135"/>
    </row>
    <row r="4177" spans="1:3" x14ac:dyDescent="0.2">
      <c r="A4177" s="9"/>
      <c r="B4177" s="135">
        <v>34.880000000000003</v>
      </c>
      <c r="C4177" s="135"/>
    </row>
    <row r="4178" spans="1:3" x14ac:dyDescent="0.2">
      <c r="A4178" s="9"/>
      <c r="B4178" s="135">
        <v>34.89</v>
      </c>
      <c r="C4178" s="135"/>
    </row>
    <row r="4179" spans="1:3" x14ac:dyDescent="0.2">
      <c r="A4179" s="9"/>
      <c r="B4179" s="135">
        <v>34.9</v>
      </c>
      <c r="C4179" s="135"/>
    </row>
    <row r="4180" spans="1:3" x14ac:dyDescent="0.2">
      <c r="A4180" s="9"/>
      <c r="B4180" s="135">
        <v>34.909999999999997</v>
      </c>
      <c r="C4180" s="135"/>
    </row>
    <row r="4181" spans="1:3" x14ac:dyDescent="0.2">
      <c r="A4181" s="9"/>
      <c r="B4181" s="135">
        <v>34.92</v>
      </c>
      <c r="C4181" s="135"/>
    </row>
    <row r="4182" spans="1:3" x14ac:dyDescent="0.2">
      <c r="A4182" s="9"/>
      <c r="B4182" s="135">
        <v>34.93</v>
      </c>
      <c r="C4182" s="135"/>
    </row>
    <row r="4183" spans="1:3" x14ac:dyDescent="0.2">
      <c r="A4183" s="9"/>
      <c r="B4183" s="135">
        <v>34.94</v>
      </c>
      <c r="C4183" s="135"/>
    </row>
    <row r="4184" spans="1:3" x14ac:dyDescent="0.2">
      <c r="A4184" s="9"/>
      <c r="B4184" s="135">
        <v>34.950000000000003</v>
      </c>
      <c r="C4184" s="135"/>
    </row>
    <row r="4185" spans="1:3" x14ac:dyDescent="0.2">
      <c r="A4185" s="9"/>
      <c r="B4185" s="135">
        <v>34.96</v>
      </c>
      <c r="C4185" s="135"/>
    </row>
    <row r="4186" spans="1:3" x14ac:dyDescent="0.2">
      <c r="A4186" s="9"/>
      <c r="B4186" s="135">
        <v>34.97</v>
      </c>
      <c r="C4186" s="135"/>
    </row>
    <row r="4187" spans="1:3" x14ac:dyDescent="0.2">
      <c r="A4187" s="9"/>
      <c r="B4187" s="135">
        <v>34.979999999999997</v>
      </c>
      <c r="C4187" s="135"/>
    </row>
    <row r="4188" spans="1:3" x14ac:dyDescent="0.2">
      <c r="A4188" s="9"/>
      <c r="B4188" s="135">
        <v>34.99</v>
      </c>
      <c r="C4188" s="135"/>
    </row>
    <row r="4189" spans="1:3" x14ac:dyDescent="0.2">
      <c r="A4189" s="9"/>
      <c r="B4189" s="135">
        <v>35</v>
      </c>
      <c r="C4189" s="135"/>
    </row>
    <row r="4190" spans="1:3" x14ac:dyDescent="0.2">
      <c r="A4190" s="9"/>
      <c r="B4190" s="135">
        <v>35.01</v>
      </c>
      <c r="C4190" s="135"/>
    </row>
    <row r="4191" spans="1:3" x14ac:dyDescent="0.2">
      <c r="A4191" s="9"/>
      <c r="B4191" s="135">
        <v>35.020000000000003</v>
      </c>
      <c r="C4191" s="135"/>
    </row>
    <row r="4192" spans="1:3" x14ac:dyDescent="0.2">
      <c r="A4192" s="9"/>
      <c r="B4192" s="135">
        <v>35.03</v>
      </c>
      <c r="C4192" s="135"/>
    </row>
    <row r="4193" spans="1:3" x14ac:dyDescent="0.2">
      <c r="A4193" s="9"/>
      <c r="B4193" s="135">
        <v>35.04</v>
      </c>
      <c r="C4193" s="135"/>
    </row>
    <row r="4194" spans="1:3" x14ac:dyDescent="0.2">
      <c r="A4194" s="9"/>
      <c r="B4194" s="135">
        <v>35.049999999999997</v>
      </c>
      <c r="C4194" s="135"/>
    </row>
    <row r="4195" spans="1:3" x14ac:dyDescent="0.2">
      <c r="A4195" s="9"/>
      <c r="B4195" s="135">
        <v>35.06</v>
      </c>
      <c r="C4195" s="135"/>
    </row>
    <row r="4196" spans="1:3" x14ac:dyDescent="0.2">
      <c r="A4196" s="9"/>
      <c r="B4196" s="135">
        <v>35.07</v>
      </c>
      <c r="C4196" s="135"/>
    </row>
    <row r="4197" spans="1:3" x14ac:dyDescent="0.2">
      <c r="A4197" s="9"/>
      <c r="B4197" s="135">
        <v>35.08</v>
      </c>
      <c r="C4197" s="135"/>
    </row>
    <row r="4198" spans="1:3" x14ac:dyDescent="0.2">
      <c r="A4198" s="9"/>
      <c r="B4198" s="135">
        <v>35.090000000000003</v>
      </c>
      <c r="C4198" s="135"/>
    </row>
    <row r="4199" spans="1:3" x14ac:dyDescent="0.2">
      <c r="A4199" s="9"/>
      <c r="B4199" s="135">
        <v>35.1</v>
      </c>
      <c r="C4199" s="135"/>
    </row>
    <row r="4200" spans="1:3" x14ac:dyDescent="0.2">
      <c r="A4200" s="9"/>
      <c r="B4200" s="135">
        <v>35.11</v>
      </c>
      <c r="C4200" s="135"/>
    </row>
    <row r="4201" spans="1:3" x14ac:dyDescent="0.2">
      <c r="A4201" s="9"/>
      <c r="B4201" s="135">
        <v>35.119999999999997</v>
      </c>
      <c r="C4201" s="135"/>
    </row>
    <row r="4202" spans="1:3" x14ac:dyDescent="0.2">
      <c r="A4202" s="9"/>
      <c r="B4202" s="135">
        <v>35.130000000000003</v>
      </c>
      <c r="C4202" s="135"/>
    </row>
    <row r="4203" spans="1:3" x14ac:dyDescent="0.2">
      <c r="A4203" s="9"/>
      <c r="B4203" s="135">
        <v>35.14</v>
      </c>
      <c r="C4203" s="135"/>
    </row>
    <row r="4204" spans="1:3" x14ac:dyDescent="0.2">
      <c r="A4204" s="9"/>
      <c r="B4204" s="135">
        <v>35.15</v>
      </c>
      <c r="C4204" s="135"/>
    </row>
    <row r="4205" spans="1:3" x14ac:dyDescent="0.2">
      <c r="A4205" s="9"/>
      <c r="B4205" s="135">
        <v>35.159999999999997</v>
      </c>
      <c r="C4205" s="135"/>
    </row>
    <row r="4206" spans="1:3" x14ac:dyDescent="0.2">
      <c r="A4206" s="9"/>
      <c r="B4206" s="135">
        <v>35.17</v>
      </c>
      <c r="C4206" s="135"/>
    </row>
    <row r="4207" spans="1:3" x14ac:dyDescent="0.2">
      <c r="A4207" s="9"/>
      <c r="B4207" s="135">
        <v>35.18</v>
      </c>
      <c r="C4207" s="135"/>
    </row>
    <row r="4208" spans="1:3" x14ac:dyDescent="0.2">
      <c r="A4208" s="9"/>
      <c r="B4208" s="135">
        <v>35.19</v>
      </c>
      <c r="C4208" s="135"/>
    </row>
    <row r="4209" spans="1:3" x14ac:dyDescent="0.2">
      <c r="A4209" s="9"/>
      <c r="B4209" s="135">
        <v>35.200000000000003</v>
      </c>
      <c r="C4209" s="135"/>
    </row>
    <row r="4210" spans="1:3" x14ac:dyDescent="0.2">
      <c r="A4210" s="9"/>
      <c r="B4210" s="135">
        <v>35.21</v>
      </c>
      <c r="C4210" s="135"/>
    </row>
    <row r="4211" spans="1:3" x14ac:dyDescent="0.2">
      <c r="A4211" s="9"/>
      <c r="B4211" s="135">
        <v>35.22</v>
      </c>
      <c r="C4211" s="135"/>
    </row>
    <row r="4212" spans="1:3" x14ac:dyDescent="0.2">
      <c r="A4212" s="9"/>
      <c r="B4212" s="135">
        <v>35.229999999999997</v>
      </c>
      <c r="C4212" s="135"/>
    </row>
    <row r="4213" spans="1:3" x14ac:dyDescent="0.2">
      <c r="A4213" s="9"/>
      <c r="B4213" s="135">
        <v>35.24</v>
      </c>
      <c r="C4213" s="135"/>
    </row>
    <row r="4214" spans="1:3" x14ac:dyDescent="0.2">
      <c r="A4214" s="9"/>
      <c r="B4214" s="135">
        <v>35.25</v>
      </c>
      <c r="C4214" s="135"/>
    </row>
    <row r="4215" spans="1:3" x14ac:dyDescent="0.2">
      <c r="A4215" s="9"/>
      <c r="B4215" s="135">
        <v>35.26</v>
      </c>
      <c r="C4215" s="135"/>
    </row>
    <row r="4216" spans="1:3" x14ac:dyDescent="0.2">
      <c r="A4216" s="9"/>
      <c r="B4216" s="135">
        <v>35.270000000000003</v>
      </c>
      <c r="C4216" s="135"/>
    </row>
    <row r="4217" spans="1:3" x14ac:dyDescent="0.2">
      <c r="A4217" s="9"/>
      <c r="B4217" s="135">
        <v>35.28</v>
      </c>
      <c r="C4217" s="135"/>
    </row>
    <row r="4218" spans="1:3" x14ac:dyDescent="0.2">
      <c r="A4218" s="9"/>
      <c r="B4218" s="135">
        <v>35.29</v>
      </c>
      <c r="C4218" s="135"/>
    </row>
    <row r="4219" spans="1:3" x14ac:dyDescent="0.2">
      <c r="A4219" s="9"/>
      <c r="B4219" s="135">
        <v>35.299999999999997</v>
      </c>
      <c r="C4219" s="135"/>
    </row>
    <row r="4220" spans="1:3" x14ac:dyDescent="0.2">
      <c r="A4220" s="9"/>
      <c r="B4220" s="135">
        <v>35.31</v>
      </c>
      <c r="C4220" s="135"/>
    </row>
    <row r="4221" spans="1:3" x14ac:dyDescent="0.2">
      <c r="A4221" s="9"/>
      <c r="B4221" s="135">
        <v>35.32</v>
      </c>
      <c r="C4221" s="135"/>
    </row>
    <row r="4222" spans="1:3" x14ac:dyDescent="0.2">
      <c r="A4222" s="9"/>
      <c r="B4222" s="135">
        <v>35.33</v>
      </c>
      <c r="C4222" s="135"/>
    </row>
    <row r="4223" spans="1:3" x14ac:dyDescent="0.2">
      <c r="A4223" s="9"/>
      <c r="B4223" s="135">
        <v>35.340000000000003</v>
      </c>
      <c r="C4223" s="135"/>
    </row>
    <row r="4224" spans="1:3" x14ac:dyDescent="0.2">
      <c r="A4224" s="9"/>
      <c r="B4224" s="135">
        <v>35.35</v>
      </c>
      <c r="C4224" s="135"/>
    </row>
    <row r="4225" spans="1:3" x14ac:dyDescent="0.2">
      <c r="A4225" s="9"/>
      <c r="B4225" s="135">
        <v>35.36</v>
      </c>
      <c r="C4225" s="135"/>
    </row>
    <row r="4226" spans="1:3" x14ac:dyDescent="0.2">
      <c r="A4226" s="9"/>
      <c r="B4226" s="135">
        <v>35.369999999999997</v>
      </c>
      <c r="C4226" s="135"/>
    </row>
    <row r="4227" spans="1:3" x14ac:dyDescent="0.2">
      <c r="A4227" s="9"/>
      <c r="B4227" s="135">
        <v>35.380000000000003</v>
      </c>
      <c r="C4227" s="135"/>
    </row>
    <row r="4228" spans="1:3" x14ac:dyDescent="0.2">
      <c r="A4228" s="9"/>
      <c r="B4228" s="135">
        <v>35.39</v>
      </c>
      <c r="C4228" s="135"/>
    </row>
    <row r="4229" spans="1:3" x14ac:dyDescent="0.2">
      <c r="A4229" s="9"/>
      <c r="B4229" s="135">
        <v>35.4</v>
      </c>
      <c r="C4229" s="135"/>
    </row>
    <row r="4230" spans="1:3" x14ac:dyDescent="0.2">
      <c r="A4230" s="9"/>
      <c r="B4230" s="135">
        <v>35.409999999999997</v>
      </c>
      <c r="C4230" s="135"/>
    </row>
    <row r="4231" spans="1:3" x14ac:dyDescent="0.2">
      <c r="A4231" s="9"/>
      <c r="B4231" s="135">
        <v>35.42</v>
      </c>
      <c r="C4231" s="135"/>
    </row>
    <row r="4232" spans="1:3" x14ac:dyDescent="0.2">
      <c r="A4232" s="9"/>
      <c r="B4232" s="135">
        <v>35.43</v>
      </c>
      <c r="C4232" s="135"/>
    </row>
    <row r="4233" spans="1:3" x14ac:dyDescent="0.2">
      <c r="A4233" s="9"/>
      <c r="B4233" s="135">
        <v>35.44</v>
      </c>
      <c r="C4233" s="135"/>
    </row>
    <row r="4234" spans="1:3" x14ac:dyDescent="0.2">
      <c r="A4234" s="9"/>
      <c r="B4234" s="135">
        <v>35.450000000000003</v>
      </c>
      <c r="C4234" s="135"/>
    </row>
    <row r="4235" spans="1:3" x14ac:dyDescent="0.2">
      <c r="A4235" s="9"/>
      <c r="B4235" s="135">
        <v>35.46</v>
      </c>
      <c r="C4235" s="135"/>
    </row>
    <row r="4236" spans="1:3" x14ac:dyDescent="0.2">
      <c r="A4236" s="9"/>
      <c r="B4236" s="135">
        <v>35.47</v>
      </c>
      <c r="C4236" s="135"/>
    </row>
    <row r="4237" spans="1:3" x14ac:dyDescent="0.2">
      <c r="A4237" s="9"/>
      <c r="B4237" s="135">
        <v>35.479999999999997</v>
      </c>
      <c r="C4237" s="135"/>
    </row>
    <row r="4238" spans="1:3" x14ac:dyDescent="0.2">
      <c r="A4238" s="9"/>
      <c r="B4238" s="135">
        <v>35.49</v>
      </c>
      <c r="C4238" s="135"/>
    </row>
    <row r="4239" spans="1:3" x14ac:dyDescent="0.2">
      <c r="A4239" s="9"/>
      <c r="B4239" s="135">
        <v>35.5</v>
      </c>
      <c r="C4239" s="135"/>
    </row>
    <row r="4240" spans="1:3" x14ac:dyDescent="0.2">
      <c r="A4240" s="9"/>
      <c r="B4240" s="135">
        <v>35.51</v>
      </c>
      <c r="C4240" s="135"/>
    </row>
    <row r="4241" spans="1:3" x14ac:dyDescent="0.2">
      <c r="A4241" s="9"/>
      <c r="B4241" s="135">
        <v>35.520000000000003</v>
      </c>
      <c r="C4241" s="135"/>
    </row>
    <row r="4242" spans="1:3" x14ac:dyDescent="0.2">
      <c r="A4242" s="9"/>
      <c r="B4242" s="135">
        <v>35.53</v>
      </c>
      <c r="C4242" s="135"/>
    </row>
    <row r="4243" spans="1:3" x14ac:dyDescent="0.2">
      <c r="A4243" s="9"/>
      <c r="B4243" s="135">
        <v>35.54</v>
      </c>
      <c r="C4243" s="135"/>
    </row>
    <row r="4244" spans="1:3" x14ac:dyDescent="0.2">
      <c r="A4244" s="9"/>
      <c r="B4244" s="135">
        <v>35.549999999999997</v>
      </c>
      <c r="C4244" s="135"/>
    </row>
    <row r="4245" spans="1:3" x14ac:dyDescent="0.2">
      <c r="A4245" s="9"/>
      <c r="B4245" s="135">
        <v>35.56</v>
      </c>
      <c r="C4245" s="135"/>
    </row>
    <row r="4246" spans="1:3" x14ac:dyDescent="0.2">
      <c r="A4246" s="9"/>
      <c r="B4246" s="135">
        <v>35.57</v>
      </c>
      <c r="C4246" s="135"/>
    </row>
    <row r="4247" spans="1:3" x14ac:dyDescent="0.2">
      <c r="A4247" s="9"/>
      <c r="B4247" s="135">
        <v>35.58</v>
      </c>
      <c r="C4247" s="135"/>
    </row>
    <row r="4248" spans="1:3" x14ac:dyDescent="0.2">
      <c r="A4248" s="9"/>
      <c r="B4248" s="135">
        <v>35.590000000000003</v>
      </c>
      <c r="C4248" s="135"/>
    </row>
    <row r="4249" spans="1:3" x14ac:dyDescent="0.2">
      <c r="A4249" s="9"/>
      <c r="B4249" s="135">
        <v>35.6</v>
      </c>
      <c r="C4249" s="135"/>
    </row>
    <row r="4250" spans="1:3" x14ac:dyDescent="0.2">
      <c r="A4250" s="9"/>
      <c r="B4250" s="135">
        <v>35.61</v>
      </c>
      <c r="C4250" s="135"/>
    </row>
    <row r="4251" spans="1:3" x14ac:dyDescent="0.2">
      <c r="A4251" s="9"/>
      <c r="B4251" s="135">
        <v>35.619999999999997</v>
      </c>
      <c r="C4251" s="135"/>
    </row>
    <row r="4252" spans="1:3" x14ac:dyDescent="0.2">
      <c r="A4252" s="9"/>
      <c r="B4252" s="135">
        <v>35.630000000000003</v>
      </c>
      <c r="C4252" s="135"/>
    </row>
    <row r="4253" spans="1:3" x14ac:dyDescent="0.2">
      <c r="A4253" s="9"/>
      <c r="B4253" s="135">
        <v>35.64</v>
      </c>
      <c r="C4253" s="135"/>
    </row>
    <row r="4254" spans="1:3" x14ac:dyDescent="0.2">
      <c r="A4254" s="9"/>
      <c r="B4254" s="135">
        <v>35.65</v>
      </c>
      <c r="C4254" s="135"/>
    </row>
    <row r="4255" spans="1:3" x14ac:dyDescent="0.2">
      <c r="A4255" s="9"/>
      <c r="B4255" s="135">
        <v>35.659999999999997</v>
      </c>
      <c r="C4255" s="135"/>
    </row>
    <row r="4256" spans="1:3" x14ac:dyDescent="0.2">
      <c r="A4256" s="9"/>
      <c r="B4256" s="135">
        <v>35.67</v>
      </c>
      <c r="C4256" s="135"/>
    </row>
    <row r="4257" spans="1:3" x14ac:dyDescent="0.2">
      <c r="A4257" s="9"/>
      <c r="B4257" s="135">
        <v>35.68</v>
      </c>
      <c r="C4257" s="135"/>
    </row>
    <row r="4258" spans="1:3" x14ac:dyDescent="0.2">
      <c r="A4258" s="9"/>
      <c r="B4258" s="135">
        <v>35.69</v>
      </c>
      <c r="C4258" s="135"/>
    </row>
    <row r="4259" spans="1:3" x14ac:dyDescent="0.2">
      <c r="A4259" s="9"/>
      <c r="B4259" s="135">
        <v>35.700000000000003</v>
      </c>
      <c r="C4259" s="135"/>
    </row>
    <row r="4260" spans="1:3" x14ac:dyDescent="0.2">
      <c r="A4260" s="9"/>
      <c r="B4260" s="135">
        <v>35.71</v>
      </c>
      <c r="C4260" s="135"/>
    </row>
    <row r="4261" spans="1:3" x14ac:dyDescent="0.2">
      <c r="A4261" s="9"/>
      <c r="B4261" s="135">
        <v>35.72</v>
      </c>
      <c r="C4261" s="135"/>
    </row>
    <row r="4262" spans="1:3" x14ac:dyDescent="0.2">
      <c r="A4262" s="9"/>
      <c r="B4262" s="135">
        <v>35.729999999999997</v>
      </c>
      <c r="C4262" s="135"/>
    </row>
    <row r="4263" spans="1:3" x14ac:dyDescent="0.2">
      <c r="A4263" s="9"/>
      <c r="B4263" s="135">
        <v>35.74</v>
      </c>
      <c r="C4263" s="135"/>
    </row>
    <row r="4264" spans="1:3" x14ac:dyDescent="0.2">
      <c r="A4264" s="9"/>
      <c r="B4264" s="135">
        <v>35.75</v>
      </c>
      <c r="C4264" s="135"/>
    </row>
    <row r="4265" spans="1:3" x14ac:dyDescent="0.2">
      <c r="A4265" s="9"/>
      <c r="B4265" s="135">
        <v>35.76</v>
      </c>
      <c r="C4265" s="135"/>
    </row>
    <row r="4266" spans="1:3" x14ac:dyDescent="0.2">
      <c r="A4266" s="9"/>
      <c r="B4266" s="135">
        <v>35.770000000000003</v>
      </c>
      <c r="C4266" s="135"/>
    </row>
    <row r="4267" spans="1:3" x14ac:dyDescent="0.2">
      <c r="A4267" s="9"/>
      <c r="B4267" s="135">
        <v>35.78</v>
      </c>
      <c r="C4267" s="135"/>
    </row>
    <row r="4268" spans="1:3" x14ac:dyDescent="0.2">
      <c r="A4268" s="9"/>
      <c r="B4268" s="135">
        <v>35.79</v>
      </c>
      <c r="C4268" s="135"/>
    </row>
    <row r="4269" spans="1:3" x14ac:dyDescent="0.2">
      <c r="A4269" s="9"/>
      <c r="B4269" s="135">
        <v>35.799999999999997</v>
      </c>
      <c r="C4269" s="135"/>
    </row>
    <row r="4270" spans="1:3" x14ac:dyDescent="0.2">
      <c r="A4270" s="9"/>
      <c r="B4270" s="135">
        <v>35.81</v>
      </c>
      <c r="C4270" s="135"/>
    </row>
    <row r="4271" spans="1:3" x14ac:dyDescent="0.2">
      <c r="A4271" s="9"/>
      <c r="B4271" s="135">
        <v>35.82</v>
      </c>
      <c r="C4271" s="135"/>
    </row>
    <row r="4272" spans="1:3" x14ac:dyDescent="0.2">
      <c r="A4272" s="9"/>
      <c r="B4272" s="135">
        <v>35.83</v>
      </c>
      <c r="C4272" s="135"/>
    </row>
    <row r="4273" spans="1:3" x14ac:dyDescent="0.2">
      <c r="A4273" s="9"/>
      <c r="B4273" s="135">
        <v>35.840000000000003</v>
      </c>
      <c r="C4273" s="135"/>
    </row>
    <row r="4274" spans="1:3" x14ac:dyDescent="0.2">
      <c r="A4274" s="9"/>
      <c r="B4274" s="135">
        <v>35.85</v>
      </c>
      <c r="C4274" s="135"/>
    </row>
    <row r="4275" spans="1:3" x14ac:dyDescent="0.2">
      <c r="A4275" s="9"/>
      <c r="B4275" s="135">
        <v>35.86</v>
      </c>
      <c r="C4275" s="135"/>
    </row>
    <row r="4276" spans="1:3" x14ac:dyDescent="0.2">
      <c r="A4276" s="9"/>
      <c r="B4276" s="135">
        <v>35.869999999999997</v>
      </c>
      <c r="C4276" s="135"/>
    </row>
    <row r="4277" spans="1:3" x14ac:dyDescent="0.2">
      <c r="A4277" s="9"/>
      <c r="B4277" s="135">
        <v>35.880000000000003</v>
      </c>
      <c r="C4277" s="135"/>
    </row>
    <row r="4278" spans="1:3" x14ac:dyDescent="0.2">
      <c r="A4278" s="9"/>
      <c r="B4278" s="135">
        <v>35.89</v>
      </c>
      <c r="C4278" s="135"/>
    </row>
    <row r="4279" spans="1:3" x14ac:dyDescent="0.2">
      <c r="A4279" s="9"/>
      <c r="B4279" s="135">
        <v>35.9</v>
      </c>
      <c r="C4279" s="135"/>
    </row>
    <row r="4280" spans="1:3" x14ac:dyDescent="0.2">
      <c r="A4280" s="9"/>
      <c r="B4280" s="135">
        <v>35.909999999999997</v>
      </c>
      <c r="C4280" s="135"/>
    </row>
    <row r="4281" spans="1:3" x14ac:dyDescent="0.2">
      <c r="A4281" s="9"/>
      <c r="B4281" s="135">
        <v>35.92</v>
      </c>
      <c r="C4281" s="135"/>
    </row>
    <row r="4282" spans="1:3" x14ac:dyDescent="0.2">
      <c r="A4282" s="9"/>
      <c r="B4282" s="135">
        <v>35.93</v>
      </c>
      <c r="C4282" s="135"/>
    </row>
    <row r="4283" spans="1:3" x14ac:dyDescent="0.2">
      <c r="A4283" s="9"/>
      <c r="B4283" s="135">
        <v>35.94</v>
      </c>
      <c r="C4283" s="135"/>
    </row>
    <row r="4284" spans="1:3" x14ac:dyDescent="0.2">
      <c r="A4284" s="9"/>
      <c r="B4284" s="135">
        <v>35.950000000000003</v>
      </c>
      <c r="C4284" s="135"/>
    </row>
    <row r="4285" spans="1:3" x14ac:dyDescent="0.2">
      <c r="A4285" s="9"/>
      <c r="B4285" s="135">
        <v>35.96</v>
      </c>
      <c r="C4285" s="135"/>
    </row>
    <row r="4286" spans="1:3" x14ac:dyDescent="0.2">
      <c r="A4286" s="9"/>
      <c r="B4286" s="135">
        <v>35.97</v>
      </c>
      <c r="C4286" s="135"/>
    </row>
    <row r="4287" spans="1:3" x14ac:dyDescent="0.2">
      <c r="A4287" s="9"/>
      <c r="B4287" s="135">
        <v>35.979999999999997</v>
      </c>
      <c r="C4287" s="135"/>
    </row>
    <row r="4288" spans="1:3" x14ac:dyDescent="0.2">
      <c r="A4288" s="9"/>
      <c r="B4288" s="135">
        <v>35.99</v>
      </c>
      <c r="C4288" s="135"/>
    </row>
    <row r="4289" spans="1:3" x14ac:dyDescent="0.2">
      <c r="A4289" s="9"/>
      <c r="B4289" s="135">
        <v>36</v>
      </c>
      <c r="C4289" s="135"/>
    </row>
    <row r="4290" spans="1:3" x14ac:dyDescent="0.2">
      <c r="A4290" s="9"/>
      <c r="B4290" s="135">
        <v>36.01</v>
      </c>
      <c r="C4290" s="135"/>
    </row>
    <row r="4291" spans="1:3" x14ac:dyDescent="0.2">
      <c r="A4291" s="9"/>
      <c r="B4291" s="135">
        <v>36.020000000000003</v>
      </c>
      <c r="C4291" s="135"/>
    </row>
    <row r="4292" spans="1:3" x14ac:dyDescent="0.2">
      <c r="A4292" s="9"/>
      <c r="B4292" s="135">
        <v>36.03</v>
      </c>
      <c r="C4292" s="135"/>
    </row>
    <row r="4293" spans="1:3" x14ac:dyDescent="0.2">
      <c r="A4293" s="9"/>
      <c r="B4293" s="135">
        <v>36.04</v>
      </c>
      <c r="C4293" s="135"/>
    </row>
    <row r="4294" spans="1:3" x14ac:dyDescent="0.2">
      <c r="A4294" s="9"/>
      <c r="B4294" s="135">
        <v>36.049999999999997</v>
      </c>
      <c r="C4294" s="135"/>
    </row>
    <row r="4295" spans="1:3" x14ac:dyDescent="0.2">
      <c r="A4295" s="9"/>
      <c r="B4295" s="135">
        <v>36.06</v>
      </c>
      <c r="C4295" s="135"/>
    </row>
    <row r="4296" spans="1:3" x14ac:dyDescent="0.2">
      <c r="A4296" s="9"/>
      <c r="B4296" s="135">
        <v>36.07</v>
      </c>
      <c r="C4296" s="135"/>
    </row>
    <row r="4297" spans="1:3" x14ac:dyDescent="0.2">
      <c r="A4297" s="9"/>
      <c r="B4297" s="135">
        <v>36.08</v>
      </c>
      <c r="C4297" s="135"/>
    </row>
    <row r="4298" spans="1:3" x14ac:dyDescent="0.2">
      <c r="A4298" s="9"/>
      <c r="B4298" s="135">
        <v>36.090000000000003</v>
      </c>
      <c r="C4298" s="135"/>
    </row>
    <row r="4299" spans="1:3" x14ac:dyDescent="0.2">
      <c r="A4299" s="9"/>
      <c r="B4299" s="135">
        <v>36.1</v>
      </c>
      <c r="C4299" s="135"/>
    </row>
    <row r="4300" spans="1:3" x14ac:dyDescent="0.2">
      <c r="A4300" s="9"/>
      <c r="B4300" s="135">
        <v>36.11</v>
      </c>
      <c r="C4300" s="135"/>
    </row>
    <row r="4301" spans="1:3" x14ac:dyDescent="0.2">
      <c r="A4301" s="9"/>
      <c r="B4301" s="135">
        <v>36.119999999999997</v>
      </c>
      <c r="C4301" s="135"/>
    </row>
    <row r="4302" spans="1:3" x14ac:dyDescent="0.2">
      <c r="A4302" s="9"/>
      <c r="B4302" s="135">
        <v>36.130000000000003</v>
      </c>
      <c r="C4302" s="135"/>
    </row>
    <row r="4303" spans="1:3" x14ac:dyDescent="0.2">
      <c r="A4303" s="9"/>
      <c r="B4303" s="135">
        <v>36.14</v>
      </c>
      <c r="C4303" s="135"/>
    </row>
    <row r="4304" spans="1:3" x14ac:dyDescent="0.2">
      <c r="A4304" s="9"/>
      <c r="B4304" s="135">
        <v>36.15</v>
      </c>
      <c r="C4304" s="135"/>
    </row>
    <row r="4305" spans="1:3" x14ac:dyDescent="0.2">
      <c r="A4305" s="9"/>
      <c r="B4305" s="135">
        <v>36.159999999999997</v>
      </c>
      <c r="C4305" s="135"/>
    </row>
    <row r="4306" spans="1:3" x14ac:dyDescent="0.2">
      <c r="A4306" s="9"/>
      <c r="B4306" s="135">
        <v>36.17</v>
      </c>
      <c r="C4306" s="135"/>
    </row>
    <row r="4307" spans="1:3" x14ac:dyDescent="0.2">
      <c r="A4307" s="9"/>
      <c r="B4307" s="135">
        <v>36.18</v>
      </c>
      <c r="C4307" s="135"/>
    </row>
    <row r="4308" spans="1:3" x14ac:dyDescent="0.2">
      <c r="A4308" s="9"/>
      <c r="B4308" s="135">
        <v>36.19</v>
      </c>
      <c r="C4308" s="135"/>
    </row>
    <row r="4309" spans="1:3" x14ac:dyDescent="0.2">
      <c r="A4309" s="9"/>
      <c r="B4309" s="135">
        <v>36.200000000000003</v>
      </c>
      <c r="C4309" s="135"/>
    </row>
    <row r="4310" spans="1:3" x14ac:dyDescent="0.2">
      <c r="A4310" s="9"/>
      <c r="B4310" s="135">
        <v>36.21</v>
      </c>
      <c r="C4310" s="135"/>
    </row>
    <row r="4311" spans="1:3" x14ac:dyDescent="0.2">
      <c r="A4311" s="9"/>
      <c r="B4311" s="135">
        <v>36.22</v>
      </c>
      <c r="C4311" s="135"/>
    </row>
    <row r="4312" spans="1:3" x14ac:dyDescent="0.2">
      <c r="A4312" s="9"/>
      <c r="B4312" s="135">
        <v>36.229999999999997</v>
      </c>
      <c r="C4312" s="135"/>
    </row>
    <row r="4313" spans="1:3" x14ac:dyDescent="0.2">
      <c r="A4313" s="9"/>
      <c r="B4313" s="135">
        <v>36.24</v>
      </c>
      <c r="C4313" s="135"/>
    </row>
    <row r="4314" spans="1:3" x14ac:dyDescent="0.2">
      <c r="A4314" s="9"/>
      <c r="B4314" s="135">
        <v>36.25</v>
      </c>
      <c r="C4314" s="135"/>
    </row>
    <row r="4315" spans="1:3" x14ac:dyDescent="0.2">
      <c r="A4315" s="9"/>
      <c r="B4315" s="135">
        <v>36.26</v>
      </c>
      <c r="C4315" s="135"/>
    </row>
    <row r="4316" spans="1:3" x14ac:dyDescent="0.2">
      <c r="A4316" s="9"/>
      <c r="B4316" s="135">
        <v>36.270000000000003</v>
      </c>
      <c r="C4316" s="135"/>
    </row>
    <row r="4317" spans="1:3" x14ac:dyDescent="0.2">
      <c r="A4317" s="9"/>
      <c r="B4317" s="135">
        <v>36.28</v>
      </c>
      <c r="C4317" s="135"/>
    </row>
    <row r="4318" spans="1:3" x14ac:dyDescent="0.2">
      <c r="A4318" s="9"/>
      <c r="B4318" s="135">
        <v>36.29</v>
      </c>
      <c r="C4318" s="135"/>
    </row>
    <row r="4319" spans="1:3" x14ac:dyDescent="0.2">
      <c r="A4319" s="9"/>
      <c r="B4319" s="135">
        <v>36.299999999999997</v>
      </c>
      <c r="C4319" s="135"/>
    </row>
    <row r="4320" spans="1:3" x14ac:dyDescent="0.2">
      <c r="A4320" s="9"/>
      <c r="B4320" s="135">
        <v>36.31</v>
      </c>
      <c r="C4320" s="135"/>
    </row>
    <row r="4321" spans="1:3" x14ac:dyDescent="0.2">
      <c r="A4321" s="9"/>
      <c r="B4321" s="135">
        <v>36.32</v>
      </c>
      <c r="C4321" s="135"/>
    </row>
    <row r="4322" spans="1:3" x14ac:dyDescent="0.2">
      <c r="A4322" s="9"/>
      <c r="B4322" s="135">
        <v>36.33</v>
      </c>
      <c r="C4322" s="135"/>
    </row>
    <row r="4323" spans="1:3" x14ac:dyDescent="0.2">
      <c r="A4323" s="9"/>
      <c r="B4323" s="135">
        <v>36.340000000000003</v>
      </c>
      <c r="C4323" s="135"/>
    </row>
    <row r="4324" spans="1:3" x14ac:dyDescent="0.2">
      <c r="A4324" s="9"/>
      <c r="B4324" s="135">
        <v>36.35</v>
      </c>
      <c r="C4324" s="135"/>
    </row>
    <row r="4325" spans="1:3" x14ac:dyDescent="0.2">
      <c r="A4325" s="9"/>
      <c r="B4325" s="135">
        <v>36.36</v>
      </c>
      <c r="C4325" s="135"/>
    </row>
    <row r="4326" spans="1:3" x14ac:dyDescent="0.2">
      <c r="A4326" s="9"/>
      <c r="B4326" s="135">
        <v>36.369999999999997</v>
      </c>
      <c r="C4326" s="135"/>
    </row>
    <row r="4327" spans="1:3" x14ac:dyDescent="0.2">
      <c r="A4327" s="9"/>
      <c r="B4327" s="135">
        <v>36.380000000000003</v>
      </c>
      <c r="C4327" s="135"/>
    </row>
    <row r="4328" spans="1:3" x14ac:dyDescent="0.2">
      <c r="A4328" s="9"/>
      <c r="B4328" s="135">
        <v>36.39</v>
      </c>
      <c r="C4328" s="135"/>
    </row>
    <row r="4329" spans="1:3" x14ac:dyDescent="0.2">
      <c r="A4329" s="9"/>
      <c r="B4329" s="135">
        <v>36.4</v>
      </c>
      <c r="C4329" s="135"/>
    </row>
    <row r="4330" spans="1:3" x14ac:dyDescent="0.2">
      <c r="A4330" s="9"/>
      <c r="B4330" s="135">
        <v>36.409999999999997</v>
      </c>
      <c r="C4330" s="135"/>
    </row>
    <row r="4331" spans="1:3" x14ac:dyDescent="0.2">
      <c r="A4331" s="9"/>
      <c r="B4331" s="135">
        <v>36.42</v>
      </c>
      <c r="C4331" s="135"/>
    </row>
    <row r="4332" spans="1:3" x14ac:dyDescent="0.2">
      <c r="A4332" s="9"/>
      <c r="B4332" s="135">
        <v>36.43</v>
      </c>
      <c r="C4332" s="135"/>
    </row>
    <row r="4333" spans="1:3" x14ac:dyDescent="0.2">
      <c r="A4333" s="9"/>
      <c r="B4333" s="135">
        <v>36.44</v>
      </c>
      <c r="C4333" s="135"/>
    </row>
    <row r="4334" spans="1:3" x14ac:dyDescent="0.2">
      <c r="A4334" s="9"/>
      <c r="B4334" s="135">
        <v>36.450000000000003</v>
      </c>
      <c r="C4334" s="135"/>
    </row>
    <row r="4335" spans="1:3" x14ac:dyDescent="0.2">
      <c r="A4335" s="9"/>
      <c r="B4335" s="135">
        <v>36.46</v>
      </c>
      <c r="C4335" s="135"/>
    </row>
    <row r="4336" spans="1:3" x14ac:dyDescent="0.2">
      <c r="A4336" s="9"/>
      <c r="B4336" s="135">
        <v>36.47</v>
      </c>
      <c r="C4336" s="135"/>
    </row>
    <row r="4337" spans="1:3" x14ac:dyDescent="0.2">
      <c r="A4337" s="9"/>
      <c r="B4337" s="135">
        <v>36.479999999999997</v>
      </c>
      <c r="C4337" s="135"/>
    </row>
    <row r="4338" spans="1:3" x14ac:dyDescent="0.2">
      <c r="A4338" s="9"/>
      <c r="B4338" s="135">
        <v>36.49</v>
      </c>
      <c r="C4338" s="135"/>
    </row>
    <row r="4339" spans="1:3" x14ac:dyDescent="0.2">
      <c r="A4339" s="9"/>
      <c r="B4339" s="135">
        <v>36.5</v>
      </c>
      <c r="C4339" s="135"/>
    </row>
    <row r="4340" spans="1:3" x14ac:dyDescent="0.2">
      <c r="A4340" s="9"/>
      <c r="B4340" s="135">
        <v>36.51</v>
      </c>
      <c r="C4340" s="135"/>
    </row>
    <row r="4341" spans="1:3" x14ac:dyDescent="0.2">
      <c r="A4341" s="9"/>
      <c r="B4341" s="135">
        <v>36.520000000000003</v>
      </c>
      <c r="C4341" s="135"/>
    </row>
    <row r="4342" spans="1:3" x14ac:dyDescent="0.2">
      <c r="A4342" s="9"/>
      <c r="B4342" s="135">
        <v>36.53</v>
      </c>
      <c r="C4342" s="135"/>
    </row>
    <row r="4343" spans="1:3" x14ac:dyDescent="0.2">
      <c r="A4343" s="9"/>
      <c r="B4343" s="135">
        <v>36.54</v>
      </c>
      <c r="C4343" s="135"/>
    </row>
    <row r="4344" spans="1:3" x14ac:dyDescent="0.2">
      <c r="A4344" s="9"/>
      <c r="B4344" s="135">
        <v>36.549999999999997</v>
      </c>
      <c r="C4344" s="135"/>
    </row>
    <row r="4345" spans="1:3" x14ac:dyDescent="0.2">
      <c r="A4345" s="9"/>
      <c r="B4345" s="135">
        <v>36.56</v>
      </c>
      <c r="C4345" s="135"/>
    </row>
    <row r="4346" spans="1:3" x14ac:dyDescent="0.2">
      <c r="A4346" s="9"/>
      <c r="B4346" s="135">
        <v>36.57</v>
      </c>
      <c r="C4346" s="135"/>
    </row>
    <row r="4347" spans="1:3" x14ac:dyDescent="0.2">
      <c r="A4347" s="9"/>
      <c r="B4347" s="135">
        <v>36.58</v>
      </c>
      <c r="C4347" s="135"/>
    </row>
    <row r="4348" spans="1:3" x14ac:dyDescent="0.2">
      <c r="A4348" s="9"/>
      <c r="B4348" s="135">
        <v>36.590000000000003</v>
      </c>
      <c r="C4348" s="135"/>
    </row>
    <row r="4349" spans="1:3" x14ac:dyDescent="0.2">
      <c r="A4349" s="9"/>
      <c r="B4349" s="135">
        <v>36.6</v>
      </c>
      <c r="C4349" s="135"/>
    </row>
    <row r="4350" spans="1:3" x14ac:dyDescent="0.2">
      <c r="A4350" s="9"/>
      <c r="B4350" s="135">
        <v>36.61</v>
      </c>
      <c r="C4350" s="135"/>
    </row>
    <row r="4351" spans="1:3" x14ac:dyDescent="0.2">
      <c r="A4351" s="9"/>
      <c r="B4351" s="135">
        <v>36.619999999999997</v>
      </c>
      <c r="C4351" s="135"/>
    </row>
    <row r="4352" spans="1:3" x14ac:dyDescent="0.2">
      <c r="A4352" s="9"/>
      <c r="B4352" s="135">
        <v>36.630000000000003</v>
      </c>
      <c r="C4352" s="135"/>
    </row>
    <row r="4353" spans="1:3" x14ac:dyDescent="0.2">
      <c r="A4353" s="9"/>
      <c r="B4353" s="135">
        <v>36.64</v>
      </c>
      <c r="C4353" s="135"/>
    </row>
    <row r="4354" spans="1:3" x14ac:dyDescent="0.2">
      <c r="A4354" s="9"/>
      <c r="B4354" s="135">
        <v>36.65</v>
      </c>
      <c r="C4354" s="135"/>
    </row>
    <row r="4355" spans="1:3" x14ac:dyDescent="0.2">
      <c r="A4355" s="9"/>
      <c r="B4355" s="135">
        <v>36.659999999999997</v>
      </c>
      <c r="C4355" s="135"/>
    </row>
    <row r="4356" spans="1:3" x14ac:dyDescent="0.2">
      <c r="A4356" s="9"/>
      <c r="B4356" s="135">
        <v>36.67</v>
      </c>
      <c r="C4356" s="135"/>
    </row>
    <row r="4357" spans="1:3" x14ac:dyDescent="0.2">
      <c r="A4357" s="9"/>
      <c r="B4357" s="135">
        <v>36.68</v>
      </c>
      <c r="C4357" s="135"/>
    </row>
    <row r="4358" spans="1:3" x14ac:dyDescent="0.2">
      <c r="A4358" s="9"/>
      <c r="B4358" s="135">
        <v>36.69</v>
      </c>
      <c r="C4358" s="135"/>
    </row>
    <row r="4359" spans="1:3" x14ac:dyDescent="0.2">
      <c r="A4359" s="9"/>
      <c r="B4359" s="135">
        <v>36.700000000000003</v>
      </c>
      <c r="C4359" s="135"/>
    </row>
    <row r="4360" spans="1:3" x14ac:dyDescent="0.2">
      <c r="A4360" s="9"/>
      <c r="B4360" s="135">
        <v>36.71</v>
      </c>
      <c r="C4360" s="135"/>
    </row>
    <row r="4361" spans="1:3" x14ac:dyDescent="0.2">
      <c r="A4361" s="9"/>
      <c r="B4361" s="135">
        <v>36.72</v>
      </c>
      <c r="C4361" s="135"/>
    </row>
    <row r="4362" spans="1:3" x14ac:dyDescent="0.2">
      <c r="A4362" s="9"/>
      <c r="B4362" s="135">
        <v>36.729999999999997</v>
      </c>
      <c r="C4362" s="135"/>
    </row>
    <row r="4363" spans="1:3" x14ac:dyDescent="0.2">
      <c r="A4363" s="9"/>
      <c r="B4363" s="135">
        <v>36.74</v>
      </c>
      <c r="C4363" s="135"/>
    </row>
    <row r="4364" spans="1:3" x14ac:dyDescent="0.2">
      <c r="A4364" s="9"/>
      <c r="B4364" s="135">
        <v>36.75</v>
      </c>
      <c r="C4364" s="135"/>
    </row>
    <row r="4365" spans="1:3" x14ac:dyDescent="0.2">
      <c r="A4365" s="9"/>
      <c r="B4365" s="135">
        <v>36.76</v>
      </c>
      <c r="C4365" s="135"/>
    </row>
    <row r="4366" spans="1:3" x14ac:dyDescent="0.2">
      <c r="A4366" s="9"/>
      <c r="B4366" s="135">
        <v>36.770000000000003</v>
      </c>
      <c r="C4366" s="135"/>
    </row>
    <row r="4367" spans="1:3" x14ac:dyDescent="0.2">
      <c r="A4367" s="9"/>
      <c r="B4367" s="135">
        <v>36.78</v>
      </c>
      <c r="C4367" s="135"/>
    </row>
    <row r="4368" spans="1:3" x14ac:dyDescent="0.2">
      <c r="A4368" s="9"/>
      <c r="B4368" s="135">
        <v>36.79</v>
      </c>
      <c r="C4368" s="135"/>
    </row>
    <row r="4369" spans="1:3" x14ac:dyDescent="0.2">
      <c r="A4369" s="9"/>
      <c r="B4369" s="135">
        <v>36.799999999999997</v>
      </c>
      <c r="C4369" s="135"/>
    </row>
    <row r="4370" spans="1:3" x14ac:dyDescent="0.2">
      <c r="A4370" s="9"/>
      <c r="B4370" s="135">
        <v>36.81</v>
      </c>
      <c r="C4370" s="135"/>
    </row>
    <row r="4371" spans="1:3" x14ac:dyDescent="0.2">
      <c r="A4371" s="9"/>
      <c r="B4371" s="135">
        <v>36.82</v>
      </c>
      <c r="C4371" s="135"/>
    </row>
    <row r="4372" spans="1:3" x14ac:dyDescent="0.2">
      <c r="A4372" s="9"/>
      <c r="B4372" s="135">
        <v>36.83</v>
      </c>
      <c r="C4372" s="135"/>
    </row>
    <row r="4373" spans="1:3" x14ac:dyDescent="0.2">
      <c r="A4373" s="9"/>
      <c r="B4373" s="135">
        <v>36.840000000000003</v>
      </c>
      <c r="C4373" s="135"/>
    </row>
    <row r="4374" spans="1:3" x14ac:dyDescent="0.2">
      <c r="A4374" s="9"/>
      <c r="B4374" s="135">
        <v>36.85</v>
      </c>
      <c r="C4374" s="135"/>
    </row>
    <row r="4375" spans="1:3" x14ac:dyDescent="0.2">
      <c r="A4375" s="9"/>
      <c r="B4375" s="135">
        <v>36.86</v>
      </c>
      <c r="C4375" s="135"/>
    </row>
    <row r="4376" spans="1:3" x14ac:dyDescent="0.2">
      <c r="A4376" s="9"/>
      <c r="B4376" s="135">
        <v>36.869999999999997</v>
      </c>
      <c r="C4376" s="135"/>
    </row>
    <row r="4377" spans="1:3" x14ac:dyDescent="0.2">
      <c r="A4377" s="9"/>
      <c r="B4377" s="135">
        <v>36.880000000000003</v>
      </c>
      <c r="C4377" s="135"/>
    </row>
    <row r="4378" spans="1:3" x14ac:dyDescent="0.2">
      <c r="A4378" s="9"/>
      <c r="B4378" s="135">
        <v>36.89</v>
      </c>
      <c r="C4378" s="135"/>
    </row>
    <row r="4379" spans="1:3" x14ac:dyDescent="0.2">
      <c r="A4379" s="9"/>
      <c r="B4379" s="135">
        <v>36.9</v>
      </c>
      <c r="C4379" s="135"/>
    </row>
    <row r="4380" spans="1:3" x14ac:dyDescent="0.2">
      <c r="A4380" s="9"/>
      <c r="B4380" s="135">
        <v>36.909999999999997</v>
      </c>
      <c r="C4380" s="135"/>
    </row>
    <row r="4381" spans="1:3" x14ac:dyDescent="0.2">
      <c r="A4381" s="9"/>
      <c r="B4381" s="135">
        <v>36.92</v>
      </c>
      <c r="C4381" s="135"/>
    </row>
    <row r="4382" spans="1:3" x14ac:dyDescent="0.2">
      <c r="A4382" s="9"/>
      <c r="B4382" s="135">
        <v>36.93</v>
      </c>
      <c r="C4382" s="135"/>
    </row>
    <row r="4383" spans="1:3" x14ac:dyDescent="0.2">
      <c r="A4383" s="9"/>
      <c r="B4383" s="135">
        <v>36.94</v>
      </c>
      <c r="C4383" s="135"/>
    </row>
    <row r="4384" spans="1:3" x14ac:dyDescent="0.2">
      <c r="A4384" s="9"/>
      <c r="B4384" s="135">
        <v>36.950000000000003</v>
      </c>
      <c r="C4384" s="135"/>
    </row>
    <row r="4385" spans="1:3" x14ac:dyDescent="0.2">
      <c r="A4385" s="9"/>
      <c r="B4385" s="135">
        <v>36.96</v>
      </c>
      <c r="C4385" s="135"/>
    </row>
    <row r="4386" spans="1:3" x14ac:dyDescent="0.2">
      <c r="A4386" s="9"/>
      <c r="B4386" s="135">
        <v>36.97</v>
      </c>
      <c r="C4386" s="135"/>
    </row>
    <row r="4387" spans="1:3" x14ac:dyDescent="0.2">
      <c r="A4387" s="9"/>
      <c r="B4387" s="135">
        <v>36.979999999999997</v>
      </c>
      <c r="C4387" s="135"/>
    </row>
    <row r="4388" spans="1:3" x14ac:dyDescent="0.2">
      <c r="A4388" s="9"/>
      <c r="B4388" s="135">
        <v>36.99</v>
      </c>
      <c r="C4388" s="135"/>
    </row>
    <row r="4389" spans="1:3" x14ac:dyDescent="0.2">
      <c r="A4389" s="9"/>
      <c r="B4389" s="135">
        <v>37</v>
      </c>
      <c r="C4389" s="135"/>
    </row>
    <row r="4390" spans="1:3" x14ac:dyDescent="0.2">
      <c r="A4390" s="9"/>
      <c r="B4390" s="135">
        <v>37.01</v>
      </c>
      <c r="C4390" s="135"/>
    </row>
    <row r="4391" spans="1:3" x14ac:dyDescent="0.2">
      <c r="A4391" s="9"/>
      <c r="B4391" s="135">
        <v>37.020000000000003</v>
      </c>
      <c r="C4391" s="135"/>
    </row>
    <row r="4392" spans="1:3" x14ac:dyDescent="0.2">
      <c r="A4392" s="9"/>
      <c r="B4392" s="135">
        <v>37.03</v>
      </c>
      <c r="C4392" s="135"/>
    </row>
    <row r="4393" spans="1:3" x14ac:dyDescent="0.2">
      <c r="A4393" s="9"/>
      <c r="B4393" s="135">
        <v>37.04</v>
      </c>
      <c r="C4393" s="135"/>
    </row>
    <row r="4394" spans="1:3" x14ac:dyDescent="0.2">
      <c r="A4394" s="9"/>
      <c r="B4394" s="135">
        <v>37.049999999999997</v>
      </c>
      <c r="C4394" s="135"/>
    </row>
    <row r="4395" spans="1:3" x14ac:dyDescent="0.2">
      <c r="A4395" s="9"/>
      <c r="B4395" s="135">
        <v>37.06</v>
      </c>
      <c r="C4395" s="135"/>
    </row>
    <row r="4396" spans="1:3" x14ac:dyDescent="0.2">
      <c r="A4396" s="9"/>
      <c r="B4396" s="135">
        <v>37.07</v>
      </c>
      <c r="C4396" s="135"/>
    </row>
    <row r="4397" spans="1:3" x14ac:dyDescent="0.2">
      <c r="A4397" s="9"/>
      <c r="B4397" s="135">
        <v>37.08</v>
      </c>
      <c r="C4397" s="135"/>
    </row>
    <row r="4398" spans="1:3" x14ac:dyDescent="0.2">
      <c r="A4398" s="9"/>
      <c r="B4398" s="135">
        <v>37.090000000000003</v>
      </c>
      <c r="C4398" s="135"/>
    </row>
    <row r="4399" spans="1:3" x14ac:dyDescent="0.2">
      <c r="A4399" s="9"/>
      <c r="B4399" s="135">
        <v>37.1</v>
      </c>
      <c r="C4399" s="135"/>
    </row>
    <row r="4400" spans="1:3" x14ac:dyDescent="0.2">
      <c r="A4400" s="9"/>
      <c r="B4400" s="135">
        <v>37.11</v>
      </c>
      <c r="C4400" s="135"/>
    </row>
    <row r="4401" spans="1:3" x14ac:dyDescent="0.2">
      <c r="A4401" s="9"/>
      <c r="B4401" s="135">
        <v>37.119999999999997</v>
      </c>
      <c r="C4401" s="135"/>
    </row>
    <row r="4402" spans="1:3" x14ac:dyDescent="0.2">
      <c r="A4402" s="9"/>
      <c r="B4402" s="135">
        <v>37.130000000000003</v>
      </c>
      <c r="C4402" s="135"/>
    </row>
    <row r="4403" spans="1:3" x14ac:dyDescent="0.2">
      <c r="A4403" s="9"/>
      <c r="B4403" s="135">
        <v>37.14</v>
      </c>
      <c r="C4403" s="135"/>
    </row>
    <row r="4404" spans="1:3" x14ac:dyDescent="0.2">
      <c r="A4404" s="9"/>
      <c r="B4404" s="135">
        <v>37.15</v>
      </c>
      <c r="C4404" s="135"/>
    </row>
    <row r="4405" spans="1:3" x14ac:dyDescent="0.2">
      <c r="A4405" s="9"/>
      <c r="B4405" s="135">
        <v>37.159999999999997</v>
      </c>
      <c r="C4405" s="135"/>
    </row>
    <row r="4406" spans="1:3" x14ac:dyDescent="0.2">
      <c r="A4406" s="9"/>
      <c r="B4406" s="135">
        <v>37.17</v>
      </c>
      <c r="C4406" s="135"/>
    </row>
    <row r="4407" spans="1:3" x14ac:dyDescent="0.2">
      <c r="A4407" s="9"/>
      <c r="B4407" s="135">
        <v>37.18</v>
      </c>
      <c r="C4407" s="135"/>
    </row>
    <row r="4408" spans="1:3" x14ac:dyDescent="0.2">
      <c r="A4408" s="9"/>
      <c r="B4408" s="135">
        <v>37.19</v>
      </c>
      <c r="C4408" s="135"/>
    </row>
    <row r="4409" spans="1:3" x14ac:dyDescent="0.2">
      <c r="A4409" s="9"/>
      <c r="B4409" s="135">
        <v>37.200000000000003</v>
      </c>
      <c r="C4409" s="135"/>
    </row>
    <row r="4410" spans="1:3" x14ac:dyDescent="0.2">
      <c r="A4410" s="9"/>
      <c r="B4410" s="135">
        <v>37.21</v>
      </c>
      <c r="C4410" s="135"/>
    </row>
    <row r="4411" spans="1:3" x14ac:dyDescent="0.2">
      <c r="A4411" s="9"/>
      <c r="B4411" s="135">
        <v>37.22</v>
      </c>
      <c r="C4411" s="135"/>
    </row>
    <row r="4412" spans="1:3" x14ac:dyDescent="0.2">
      <c r="A4412" s="9"/>
      <c r="B4412" s="135">
        <v>37.229999999999997</v>
      </c>
      <c r="C4412" s="135"/>
    </row>
    <row r="4413" spans="1:3" x14ac:dyDescent="0.2">
      <c r="A4413" s="9"/>
      <c r="B4413" s="135">
        <v>37.24</v>
      </c>
      <c r="C4413" s="135"/>
    </row>
    <row r="4414" spans="1:3" x14ac:dyDescent="0.2">
      <c r="A4414" s="9"/>
      <c r="B4414" s="135">
        <v>37.25</v>
      </c>
      <c r="C4414" s="135"/>
    </row>
    <row r="4415" spans="1:3" x14ac:dyDescent="0.2">
      <c r="A4415" s="9"/>
      <c r="B4415" s="135">
        <v>37.26</v>
      </c>
      <c r="C4415" s="135"/>
    </row>
    <row r="4416" spans="1:3" x14ac:dyDescent="0.2">
      <c r="A4416" s="9"/>
      <c r="B4416" s="135">
        <v>37.270000000000003</v>
      </c>
      <c r="C4416" s="135"/>
    </row>
    <row r="4417" spans="1:3" x14ac:dyDescent="0.2">
      <c r="A4417" s="9"/>
      <c r="B4417" s="135">
        <v>37.28</v>
      </c>
      <c r="C4417" s="135"/>
    </row>
    <row r="4418" spans="1:3" x14ac:dyDescent="0.2">
      <c r="A4418" s="9"/>
      <c r="B4418" s="135">
        <v>37.29</v>
      </c>
      <c r="C4418" s="135"/>
    </row>
    <row r="4419" spans="1:3" x14ac:dyDescent="0.2">
      <c r="A4419" s="9"/>
      <c r="B4419" s="135">
        <v>37.299999999999997</v>
      </c>
      <c r="C4419" s="135"/>
    </row>
    <row r="4420" spans="1:3" x14ac:dyDescent="0.2">
      <c r="A4420" s="9"/>
      <c r="B4420" s="135">
        <v>37.31</v>
      </c>
      <c r="C4420" s="135"/>
    </row>
    <row r="4421" spans="1:3" x14ac:dyDescent="0.2">
      <c r="A4421" s="9"/>
      <c r="B4421" s="135">
        <v>37.32</v>
      </c>
      <c r="C4421" s="135"/>
    </row>
    <row r="4422" spans="1:3" x14ac:dyDescent="0.2">
      <c r="A4422" s="9"/>
      <c r="B4422" s="135">
        <v>37.33</v>
      </c>
      <c r="C4422" s="135"/>
    </row>
    <row r="4423" spans="1:3" x14ac:dyDescent="0.2">
      <c r="A4423" s="9"/>
      <c r="B4423" s="135">
        <v>37.340000000000003</v>
      </c>
      <c r="C4423" s="135"/>
    </row>
    <row r="4424" spans="1:3" x14ac:dyDescent="0.2">
      <c r="A4424" s="9"/>
      <c r="B4424" s="135">
        <v>37.35</v>
      </c>
      <c r="C4424" s="135"/>
    </row>
    <row r="4425" spans="1:3" x14ac:dyDescent="0.2">
      <c r="A4425" s="9"/>
      <c r="B4425" s="135">
        <v>37.36</v>
      </c>
      <c r="C4425" s="135"/>
    </row>
    <row r="4426" spans="1:3" x14ac:dyDescent="0.2">
      <c r="A4426" s="9"/>
      <c r="B4426" s="135">
        <v>37.369999999999997</v>
      </c>
      <c r="C4426" s="135"/>
    </row>
    <row r="4427" spans="1:3" x14ac:dyDescent="0.2">
      <c r="A4427" s="9"/>
      <c r="B4427" s="135">
        <v>37.380000000000003</v>
      </c>
      <c r="C4427" s="135"/>
    </row>
    <row r="4428" spans="1:3" x14ac:dyDescent="0.2">
      <c r="A4428" s="9"/>
      <c r="B4428" s="135">
        <v>37.39</v>
      </c>
      <c r="C4428" s="135"/>
    </row>
    <row r="4429" spans="1:3" x14ac:dyDescent="0.2">
      <c r="A4429" s="9"/>
      <c r="B4429" s="135">
        <v>37.4</v>
      </c>
      <c r="C4429" s="135"/>
    </row>
    <row r="4430" spans="1:3" x14ac:dyDescent="0.2">
      <c r="A4430" s="9"/>
      <c r="B4430" s="135">
        <v>37.409999999999997</v>
      </c>
      <c r="C4430" s="135"/>
    </row>
    <row r="4431" spans="1:3" x14ac:dyDescent="0.2">
      <c r="A4431" s="9"/>
      <c r="B4431" s="135">
        <v>37.42</v>
      </c>
      <c r="C4431" s="135"/>
    </row>
    <row r="4432" spans="1:3" x14ac:dyDescent="0.2">
      <c r="A4432" s="9"/>
      <c r="B4432" s="135">
        <v>37.43</v>
      </c>
      <c r="C4432" s="135"/>
    </row>
    <row r="4433" spans="1:3" x14ac:dyDescent="0.2">
      <c r="A4433" s="9"/>
      <c r="B4433" s="135">
        <v>37.44</v>
      </c>
      <c r="C4433" s="135"/>
    </row>
    <row r="4434" spans="1:3" x14ac:dyDescent="0.2">
      <c r="A4434" s="9"/>
      <c r="B4434" s="135">
        <v>37.450000000000003</v>
      </c>
      <c r="C4434" s="135"/>
    </row>
    <row r="4435" spans="1:3" x14ac:dyDescent="0.2">
      <c r="A4435" s="9"/>
      <c r="B4435" s="135">
        <v>37.46</v>
      </c>
      <c r="C4435" s="135"/>
    </row>
    <row r="4436" spans="1:3" x14ac:dyDescent="0.2">
      <c r="A4436" s="9"/>
      <c r="B4436" s="135">
        <v>37.47</v>
      </c>
      <c r="C4436" s="135"/>
    </row>
    <row r="4437" spans="1:3" x14ac:dyDescent="0.2">
      <c r="A4437" s="9"/>
      <c r="B4437" s="135">
        <v>37.479999999999997</v>
      </c>
      <c r="C4437" s="135"/>
    </row>
    <row r="4438" spans="1:3" x14ac:dyDescent="0.2">
      <c r="A4438" s="9"/>
      <c r="B4438" s="135">
        <v>37.49</v>
      </c>
      <c r="C4438" s="135"/>
    </row>
    <row r="4439" spans="1:3" x14ac:dyDescent="0.2">
      <c r="A4439" s="9"/>
      <c r="B4439" s="135">
        <v>37.5</v>
      </c>
      <c r="C4439" s="135"/>
    </row>
    <row r="4440" spans="1:3" x14ac:dyDescent="0.2">
      <c r="A4440" s="9"/>
      <c r="B4440" s="135">
        <v>37.51</v>
      </c>
      <c r="C4440" s="135"/>
    </row>
    <row r="4441" spans="1:3" x14ac:dyDescent="0.2">
      <c r="A4441" s="9"/>
      <c r="B4441" s="135">
        <v>37.520000000000003</v>
      </c>
      <c r="C4441" s="135"/>
    </row>
    <row r="4442" spans="1:3" x14ac:dyDescent="0.2">
      <c r="A4442" s="9"/>
      <c r="B4442" s="135">
        <v>37.53</v>
      </c>
      <c r="C4442" s="135"/>
    </row>
    <row r="4443" spans="1:3" x14ac:dyDescent="0.2">
      <c r="A4443" s="9"/>
      <c r="B4443" s="135">
        <v>37.54</v>
      </c>
      <c r="C4443" s="135"/>
    </row>
    <row r="4444" spans="1:3" x14ac:dyDescent="0.2">
      <c r="A4444" s="9"/>
      <c r="B4444" s="135">
        <v>37.549999999999997</v>
      </c>
      <c r="C4444" s="135"/>
    </row>
    <row r="4445" spans="1:3" x14ac:dyDescent="0.2">
      <c r="A4445" s="9"/>
      <c r="B4445" s="135">
        <v>37.56</v>
      </c>
      <c r="C4445" s="135"/>
    </row>
    <row r="4446" spans="1:3" x14ac:dyDescent="0.2">
      <c r="A4446" s="9"/>
      <c r="B4446" s="135">
        <v>37.57</v>
      </c>
      <c r="C4446" s="135"/>
    </row>
    <row r="4447" spans="1:3" x14ac:dyDescent="0.2">
      <c r="A4447" s="9"/>
      <c r="B4447" s="135">
        <v>37.58</v>
      </c>
      <c r="C4447" s="135"/>
    </row>
    <row r="4448" spans="1:3" x14ac:dyDescent="0.2">
      <c r="A4448" s="9"/>
      <c r="B4448" s="135">
        <v>37.590000000000003</v>
      </c>
      <c r="C4448" s="135"/>
    </row>
    <row r="4449" spans="1:3" x14ac:dyDescent="0.2">
      <c r="A4449" s="9"/>
      <c r="B4449" s="135">
        <v>37.6</v>
      </c>
      <c r="C4449" s="135"/>
    </row>
    <row r="4450" spans="1:3" x14ac:dyDescent="0.2">
      <c r="A4450" s="9"/>
      <c r="B4450" s="135">
        <v>37.61</v>
      </c>
      <c r="C4450" s="135"/>
    </row>
    <row r="4451" spans="1:3" x14ac:dyDescent="0.2">
      <c r="A4451" s="9"/>
      <c r="B4451" s="135">
        <v>37.619999999999997</v>
      </c>
      <c r="C4451" s="135"/>
    </row>
    <row r="4452" spans="1:3" x14ac:dyDescent="0.2">
      <c r="A4452" s="9"/>
      <c r="B4452" s="135">
        <v>37.630000000000003</v>
      </c>
      <c r="C4452" s="135"/>
    </row>
    <row r="4453" spans="1:3" x14ac:dyDescent="0.2">
      <c r="A4453" s="9"/>
      <c r="B4453" s="135">
        <v>37.64</v>
      </c>
      <c r="C4453" s="135"/>
    </row>
    <row r="4454" spans="1:3" x14ac:dyDescent="0.2">
      <c r="A4454" s="9"/>
      <c r="B4454" s="135">
        <v>37.65</v>
      </c>
      <c r="C4454" s="135"/>
    </row>
    <row r="4455" spans="1:3" x14ac:dyDescent="0.2">
      <c r="A4455" s="9"/>
      <c r="B4455" s="135">
        <v>37.659999999999997</v>
      </c>
      <c r="C4455" s="135"/>
    </row>
    <row r="4456" spans="1:3" x14ac:dyDescent="0.2">
      <c r="A4456" s="9"/>
      <c r="B4456" s="135">
        <v>37.67</v>
      </c>
      <c r="C4456" s="135"/>
    </row>
    <row r="4457" spans="1:3" x14ac:dyDescent="0.2">
      <c r="A4457" s="9"/>
      <c r="B4457" s="135">
        <v>37.68</v>
      </c>
      <c r="C4457" s="135"/>
    </row>
    <row r="4458" spans="1:3" x14ac:dyDescent="0.2">
      <c r="A4458" s="9"/>
      <c r="B4458" s="135">
        <v>37.69</v>
      </c>
      <c r="C4458" s="135"/>
    </row>
    <row r="4459" spans="1:3" x14ac:dyDescent="0.2">
      <c r="A4459" s="9"/>
      <c r="B4459" s="135">
        <v>37.700000000000003</v>
      </c>
      <c r="C4459" s="135"/>
    </row>
    <row r="4460" spans="1:3" x14ac:dyDescent="0.2">
      <c r="A4460" s="9"/>
      <c r="B4460" s="135">
        <v>37.71</v>
      </c>
      <c r="C4460" s="135"/>
    </row>
    <row r="4461" spans="1:3" x14ac:dyDescent="0.2">
      <c r="A4461" s="9"/>
      <c r="B4461" s="135">
        <v>37.72</v>
      </c>
      <c r="C4461" s="135"/>
    </row>
    <row r="4462" spans="1:3" x14ac:dyDescent="0.2">
      <c r="A4462" s="9"/>
      <c r="B4462" s="135">
        <v>37.729999999999997</v>
      </c>
      <c r="C4462" s="135"/>
    </row>
    <row r="4463" spans="1:3" x14ac:dyDescent="0.2">
      <c r="A4463" s="9"/>
      <c r="B4463" s="135">
        <v>37.74</v>
      </c>
      <c r="C4463" s="135"/>
    </row>
    <row r="4464" spans="1:3" x14ac:dyDescent="0.2">
      <c r="A4464" s="9"/>
      <c r="B4464" s="135">
        <v>37.75</v>
      </c>
      <c r="C4464" s="135"/>
    </row>
    <row r="4465" spans="1:3" x14ac:dyDescent="0.2">
      <c r="A4465" s="9"/>
      <c r="B4465" s="135">
        <v>37.76</v>
      </c>
      <c r="C4465" s="135"/>
    </row>
    <row r="4466" spans="1:3" x14ac:dyDescent="0.2">
      <c r="A4466" s="9"/>
      <c r="B4466" s="135">
        <v>37.770000000000003</v>
      </c>
      <c r="C4466" s="135"/>
    </row>
    <row r="4467" spans="1:3" x14ac:dyDescent="0.2">
      <c r="A4467" s="9"/>
      <c r="B4467" s="135">
        <v>37.78</v>
      </c>
      <c r="C4467" s="135"/>
    </row>
    <row r="4468" spans="1:3" x14ac:dyDescent="0.2">
      <c r="A4468" s="9"/>
      <c r="B4468" s="135">
        <v>37.79</v>
      </c>
      <c r="C4468" s="135"/>
    </row>
    <row r="4469" spans="1:3" x14ac:dyDescent="0.2">
      <c r="A4469" s="9"/>
      <c r="B4469" s="135">
        <v>37.799999999999997</v>
      </c>
      <c r="C4469" s="135"/>
    </row>
    <row r="4470" spans="1:3" x14ac:dyDescent="0.2">
      <c r="A4470" s="9"/>
      <c r="B4470" s="135">
        <v>37.81</v>
      </c>
      <c r="C4470" s="135"/>
    </row>
    <row r="4471" spans="1:3" x14ac:dyDescent="0.2">
      <c r="A4471" s="9"/>
      <c r="B4471" s="135">
        <v>37.82</v>
      </c>
      <c r="C4471" s="135"/>
    </row>
    <row r="4472" spans="1:3" x14ac:dyDescent="0.2">
      <c r="A4472" s="9"/>
      <c r="B4472" s="135">
        <v>37.83</v>
      </c>
      <c r="C4472" s="135"/>
    </row>
    <row r="4473" spans="1:3" x14ac:dyDescent="0.2">
      <c r="A4473" s="9"/>
      <c r="B4473" s="135">
        <v>37.840000000000003</v>
      </c>
      <c r="C4473" s="135"/>
    </row>
    <row r="4474" spans="1:3" x14ac:dyDescent="0.2">
      <c r="A4474" s="9"/>
      <c r="B4474" s="135">
        <v>37.85</v>
      </c>
      <c r="C4474" s="135"/>
    </row>
    <row r="4475" spans="1:3" x14ac:dyDescent="0.2">
      <c r="A4475" s="9"/>
      <c r="B4475" s="135">
        <v>37.86</v>
      </c>
      <c r="C4475" s="135"/>
    </row>
    <row r="4476" spans="1:3" x14ac:dyDescent="0.2">
      <c r="A4476" s="9"/>
      <c r="B4476" s="135">
        <v>37.869999999999997</v>
      </c>
      <c r="C4476" s="135"/>
    </row>
    <row r="4477" spans="1:3" x14ac:dyDescent="0.2">
      <c r="A4477" s="9"/>
      <c r="B4477" s="135">
        <v>37.880000000000003</v>
      </c>
      <c r="C4477" s="135"/>
    </row>
    <row r="4478" spans="1:3" x14ac:dyDescent="0.2">
      <c r="A4478" s="9"/>
      <c r="B4478" s="135">
        <v>37.89</v>
      </c>
      <c r="C4478" s="135"/>
    </row>
    <row r="4479" spans="1:3" x14ac:dyDescent="0.2">
      <c r="A4479" s="9"/>
      <c r="B4479" s="135">
        <v>37.9</v>
      </c>
      <c r="C4479" s="135"/>
    </row>
    <row r="4480" spans="1:3" x14ac:dyDescent="0.2">
      <c r="A4480" s="9"/>
      <c r="B4480" s="135">
        <v>37.909999999999997</v>
      </c>
      <c r="C4480" s="135"/>
    </row>
    <row r="4481" spans="1:3" x14ac:dyDescent="0.2">
      <c r="A4481" s="9"/>
      <c r="B4481" s="135">
        <v>37.92</v>
      </c>
      <c r="C4481" s="135"/>
    </row>
    <row r="4482" spans="1:3" x14ac:dyDescent="0.2">
      <c r="A4482" s="9"/>
      <c r="B4482" s="135">
        <v>37.93</v>
      </c>
      <c r="C4482" s="135"/>
    </row>
    <row r="4483" spans="1:3" x14ac:dyDescent="0.2">
      <c r="A4483" s="9"/>
      <c r="B4483" s="135">
        <v>37.94</v>
      </c>
      <c r="C4483" s="135"/>
    </row>
    <row r="4484" spans="1:3" x14ac:dyDescent="0.2">
      <c r="A4484" s="9"/>
      <c r="B4484" s="135">
        <v>37.950000000000003</v>
      </c>
      <c r="C4484" s="135"/>
    </row>
    <row r="4485" spans="1:3" x14ac:dyDescent="0.2">
      <c r="A4485" s="9"/>
      <c r="B4485" s="135">
        <v>37.96</v>
      </c>
      <c r="C4485" s="135"/>
    </row>
    <row r="4486" spans="1:3" x14ac:dyDescent="0.2">
      <c r="A4486" s="9"/>
      <c r="B4486" s="135">
        <v>37.97</v>
      </c>
      <c r="C4486" s="135"/>
    </row>
    <row r="4487" spans="1:3" x14ac:dyDescent="0.2">
      <c r="A4487" s="9"/>
      <c r="B4487" s="135">
        <v>37.979999999999997</v>
      </c>
      <c r="C4487" s="135"/>
    </row>
    <row r="4488" spans="1:3" x14ac:dyDescent="0.2">
      <c r="A4488" s="9"/>
      <c r="B4488" s="135">
        <v>37.99</v>
      </c>
      <c r="C4488" s="135"/>
    </row>
    <row r="4489" spans="1:3" x14ac:dyDescent="0.2">
      <c r="A4489" s="9"/>
      <c r="B4489" s="135">
        <v>38</v>
      </c>
      <c r="C4489" s="135"/>
    </row>
    <row r="4490" spans="1:3" x14ac:dyDescent="0.2">
      <c r="A4490" s="9"/>
      <c r="B4490" s="135">
        <v>38.01</v>
      </c>
      <c r="C4490" s="135"/>
    </row>
    <row r="4491" spans="1:3" x14ac:dyDescent="0.2">
      <c r="A4491" s="9"/>
      <c r="B4491" s="135">
        <v>38.020000000000003</v>
      </c>
      <c r="C4491" s="135"/>
    </row>
    <row r="4492" spans="1:3" x14ac:dyDescent="0.2">
      <c r="A4492" s="9"/>
      <c r="B4492" s="135">
        <v>38.03</v>
      </c>
      <c r="C4492" s="135"/>
    </row>
    <row r="4493" spans="1:3" x14ac:dyDescent="0.2">
      <c r="A4493" s="9"/>
      <c r="B4493" s="135">
        <v>38.04</v>
      </c>
      <c r="C4493" s="135"/>
    </row>
    <row r="4494" spans="1:3" x14ac:dyDescent="0.2">
      <c r="A4494" s="9"/>
      <c r="B4494" s="135">
        <v>38.049999999999997</v>
      </c>
      <c r="C4494" s="135"/>
    </row>
    <row r="4495" spans="1:3" x14ac:dyDescent="0.2">
      <c r="A4495" s="9"/>
      <c r="B4495" s="135">
        <v>38.06</v>
      </c>
      <c r="C4495" s="135"/>
    </row>
    <row r="4496" spans="1:3" x14ac:dyDescent="0.2">
      <c r="A4496" s="9"/>
      <c r="B4496" s="135">
        <v>38.07</v>
      </c>
      <c r="C4496" s="135"/>
    </row>
    <row r="4497" spans="1:3" x14ac:dyDescent="0.2">
      <c r="A4497" s="9"/>
      <c r="B4497" s="135">
        <v>38.08</v>
      </c>
      <c r="C4497" s="135"/>
    </row>
    <row r="4498" spans="1:3" x14ac:dyDescent="0.2">
      <c r="A4498" s="9"/>
      <c r="B4498" s="135">
        <v>38.090000000000003</v>
      </c>
      <c r="C4498" s="135"/>
    </row>
    <row r="4499" spans="1:3" x14ac:dyDescent="0.2">
      <c r="A4499" s="9"/>
      <c r="B4499" s="135">
        <v>38.1</v>
      </c>
      <c r="C4499" s="135"/>
    </row>
    <row r="4500" spans="1:3" x14ac:dyDescent="0.2">
      <c r="A4500" s="9"/>
      <c r="B4500" s="135">
        <v>38.11</v>
      </c>
      <c r="C4500" s="135"/>
    </row>
    <row r="4501" spans="1:3" x14ac:dyDescent="0.2">
      <c r="A4501" s="9"/>
      <c r="B4501" s="135">
        <v>38.119999999999997</v>
      </c>
      <c r="C4501" s="135"/>
    </row>
    <row r="4502" spans="1:3" x14ac:dyDescent="0.2">
      <c r="A4502" s="9"/>
      <c r="B4502" s="135">
        <v>38.130000000000003</v>
      </c>
      <c r="C4502" s="135"/>
    </row>
    <row r="4503" spans="1:3" x14ac:dyDescent="0.2">
      <c r="A4503" s="9"/>
      <c r="B4503" s="135">
        <v>38.14</v>
      </c>
      <c r="C4503" s="135"/>
    </row>
    <row r="4504" spans="1:3" x14ac:dyDescent="0.2">
      <c r="A4504" s="9"/>
      <c r="B4504" s="135">
        <v>38.15</v>
      </c>
      <c r="C4504" s="135"/>
    </row>
    <row r="4505" spans="1:3" x14ac:dyDescent="0.2">
      <c r="A4505" s="9"/>
      <c r="B4505" s="135">
        <v>38.159999999999997</v>
      </c>
      <c r="C4505" s="135"/>
    </row>
    <row r="4506" spans="1:3" x14ac:dyDescent="0.2">
      <c r="A4506" s="9"/>
      <c r="B4506" s="135">
        <v>38.17</v>
      </c>
      <c r="C4506" s="135"/>
    </row>
    <row r="4507" spans="1:3" x14ac:dyDescent="0.2">
      <c r="A4507" s="9"/>
      <c r="B4507" s="135">
        <v>38.18</v>
      </c>
      <c r="C4507" s="135"/>
    </row>
    <row r="4508" spans="1:3" x14ac:dyDescent="0.2">
      <c r="A4508" s="9"/>
      <c r="B4508" s="135">
        <v>38.19</v>
      </c>
      <c r="C4508" s="135"/>
    </row>
    <row r="4509" spans="1:3" x14ac:dyDescent="0.2">
      <c r="A4509" s="9"/>
      <c r="B4509" s="135">
        <v>38.200000000000003</v>
      </c>
      <c r="C4509" s="135"/>
    </row>
    <row r="4510" spans="1:3" x14ac:dyDescent="0.2">
      <c r="A4510" s="9"/>
      <c r="B4510" s="135">
        <v>38.21</v>
      </c>
      <c r="C4510" s="135"/>
    </row>
    <row r="4511" spans="1:3" x14ac:dyDescent="0.2">
      <c r="A4511" s="9"/>
      <c r="B4511" s="135">
        <v>38.22</v>
      </c>
      <c r="C4511" s="135"/>
    </row>
    <row r="4512" spans="1:3" x14ac:dyDescent="0.2">
      <c r="A4512" s="9"/>
      <c r="B4512" s="135">
        <v>38.229999999999997</v>
      </c>
      <c r="C4512" s="135"/>
    </row>
    <row r="4513" spans="1:3" x14ac:dyDescent="0.2">
      <c r="A4513" s="9"/>
      <c r="B4513" s="135">
        <v>38.24</v>
      </c>
      <c r="C4513" s="135"/>
    </row>
    <row r="4514" spans="1:3" x14ac:dyDescent="0.2">
      <c r="A4514" s="9"/>
      <c r="B4514" s="135">
        <v>38.25</v>
      </c>
      <c r="C4514" s="135"/>
    </row>
    <row r="4515" spans="1:3" x14ac:dyDescent="0.2">
      <c r="A4515" s="9"/>
      <c r="B4515" s="135">
        <v>38.26</v>
      </c>
      <c r="C4515" s="135"/>
    </row>
    <row r="4516" spans="1:3" x14ac:dyDescent="0.2">
      <c r="A4516" s="9"/>
      <c r="B4516" s="135">
        <v>38.270000000000003</v>
      </c>
      <c r="C4516" s="135"/>
    </row>
    <row r="4517" spans="1:3" x14ac:dyDescent="0.2">
      <c r="A4517" s="9"/>
      <c r="B4517" s="135">
        <v>38.28</v>
      </c>
      <c r="C4517" s="135"/>
    </row>
    <row r="4518" spans="1:3" x14ac:dyDescent="0.2">
      <c r="A4518" s="9"/>
      <c r="B4518" s="135">
        <v>38.29</v>
      </c>
      <c r="C4518" s="135"/>
    </row>
    <row r="4519" spans="1:3" x14ac:dyDescent="0.2">
      <c r="A4519" s="9"/>
      <c r="B4519" s="135">
        <v>38.299999999999997</v>
      </c>
      <c r="C4519" s="135"/>
    </row>
    <row r="4520" spans="1:3" x14ac:dyDescent="0.2">
      <c r="A4520" s="9"/>
      <c r="B4520" s="135">
        <v>38.31</v>
      </c>
      <c r="C4520" s="135"/>
    </row>
    <row r="4521" spans="1:3" x14ac:dyDescent="0.2">
      <c r="A4521" s="9"/>
      <c r="B4521" s="135">
        <v>38.32</v>
      </c>
      <c r="C4521" s="135"/>
    </row>
    <row r="4522" spans="1:3" x14ac:dyDescent="0.2">
      <c r="A4522" s="9"/>
      <c r="B4522" s="135">
        <v>38.33</v>
      </c>
      <c r="C4522" s="135"/>
    </row>
    <row r="4523" spans="1:3" x14ac:dyDescent="0.2">
      <c r="A4523" s="9"/>
      <c r="B4523" s="135">
        <v>38.340000000000003</v>
      </c>
      <c r="C4523" s="135"/>
    </row>
    <row r="4524" spans="1:3" x14ac:dyDescent="0.2">
      <c r="A4524" s="9"/>
      <c r="B4524" s="135">
        <v>38.35</v>
      </c>
      <c r="C4524" s="135"/>
    </row>
    <row r="4525" spans="1:3" x14ac:dyDescent="0.2">
      <c r="A4525" s="9"/>
      <c r="B4525" s="135">
        <v>38.36</v>
      </c>
      <c r="C4525" s="135"/>
    </row>
    <row r="4526" spans="1:3" x14ac:dyDescent="0.2">
      <c r="A4526" s="9"/>
      <c r="B4526" s="135">
        <v>38.369999999999997</v>
      </c>
      <c r="C4526" s="135"/>
    </row>
    <row r="4527" spans="1:3" x14ac:dyDescent="0.2">
      <c r="A4527" s="9"/>
      <c r="B4527" s="135">
        <v>38.380000000000003</v>
      </c>
      <c r="C4527" s="135"/>
    </row>
    <row r="4528" spans="1:3" x14ac:dyDescent="0.2">
      <c r="A4528" s="9"/>
      <c r="B4528" s="135">
        <v>38.39</v>
      </c>
      <c r="C4528" s="135"/>
    </row>
    <row r="4529" spans="1:3" x14ac:dyDescent="0.2">
      <c r="A4529" s="9"/>
      <c r="B4529" s="135">
        <v>38.4</v>
      </c>
      <c r="C4529" s="135"/>
    </row>
    <row r="4530" spans="1:3" x14ac:dyDescent="0.2">
      <c r="A4530" s="9"/>
      <c r="B4530" s="135">
        <v>38.409999999999997</v>
      </c>
      <c r="C4530" s="135"/>
    </row>
    <row r="4531" spans="1:3" x14ac:dyDescent="0.2">
      <c r="A4531" s="9"/>
      <c r="B4531" s="135">
        <v>38.42</v>
      </c>
      <c r="C4531" s="135"/>
    </row>
    <row r="4532" spans="1:3" x14ac:dyDescent="0.2">
      <c r="A4532" s="9"/>
      <c r="B4532" s="135">
        <v>38.43</v>
      </c>
      <c r="C4532" s="135"/>
    </row>
    <row r="4533" spans="1:3" x14ac:dyDescent="0.2">
      <c r="A4533" s="9"/>
      <c r="B4533" s="135">
        <v>38.44</v>
      </c>
      <c r="C4533" s="135"/>
    </row>
    <row r="4534" spans="1:3" x14ac:dyDescent="0.2">
      <c r="A4534" s="9"/>
      <c r="B4534" s="135">
        <v>38.450000000000003</v>
      </c>
      <c r="C4534" s="135"/>
    </row>
    <row r="4535" spans="1:3" x14ac:dyDescent="0.2">
      <c r="A4535" s="9"/>
      <c r="B4535" s="135">
        <v>38.46</v>
      </c>
      <c r="C4535" s="135"/>
    </row>
    <row r="4536" spans="1:3" x14ac:dyDescent="0.2">
      <c r="A4536" s="9"/>
      <c r="B4536" s="135">
        <v>38.47</v>
      </c>
      <c r="C4536" s="135"/>
    </row>
    <row r="4537" spans="1:3" x14ac:dyDescent="0.2">
      <c r="A4537" s="9"/>
      <c r="B4537" s="135">
        <v>38.479999999999997</v>
      </c>
      <c r="C4537" s="135"/>
    </row>
    <row r="4538" spans="1:3" x14ac:dyDescent="0.2">
      <c r="A4538" s="9"/>
      <c r="B4538" s="135">
        <v>38.49</v>
      </c>
      <c r="C4538" s="135"/>
    </row>
    <row r="4539" spans="1:3" x14ac:dyDescent="0.2">
      <c r="A4539" s="9"/>
      <c r="B4539" s="135">
        <v>38.5</v>
      </c>
      <c r="C4539" s="135"/>
    </row>
    <row r="4540" spans="1:3" x14ac:dyDescent="0.2">
      <c r="A4540" s="9"/>
      <c r="B4540" s="135">
        <v>38.51</v>
      </c>
      <c r="C4540" s="135"/>
    </row>
    <row r="4541" spans="1:3" x14ac:dyDescent="0.2">
      <c r="A4541" s="9"/>
      <c r="B4541" s="135">
        <v>38.520000000000003</v>
      </c>
      <c r="C4541" s="135"/>
    </row>
    <row r="4542" spans="1:3" x14ac:dyDescent="0.2">
      <c r="A4542" s="9"/>
      <c r="B4542" s="135">
        <v>38.53</v>
      </c>
      <c r="C4542" s="135"/>
    </row>
    <row r="4543" spans="1:3" x14ac:dyDescent="0.2">
      <c r="A4543" s="9"/>
      <c r="B4543" s="135">
        <v>38.54</v>
      </c>
      <c r="C4543" s="135"/>
    </row>
    <row r="4544" spans="1:3" x14ac:dyDescent="0.2">
      <c r="A4544" s="9"/>
      <c r="B4544" s="135">
        <v>38.549999999999997</v>
      </c>
      <c r="C4544" s="135"/>
    </row>
    <row r="4545" spans="1:3" x14ac:dyDescent="0.2">
      <c r="A4545" s="9"/>
      <c r="B4545" s="135">
        <v>38.56</v>
      </c>
      <c r="C4545" s="135"/>
    </row>
    <row r="4546" spans="1:3" x14ac:dyDescent="0.2">
      <c r="A4546" s="9"/>
      <c r="B4546" s="135">
        <v>38.57</v>
      </c>
      <c r="C4546" s="135"/>
    </row>
    <row r="4547" spans="1:3" x14ac:dyDescent="0.2">
      <c r="A4547" s="9"/>
      <c r="B4547" s="135">
        <v>38.58</v>
      </c>
      <c r="C4547" s="135"/>
    </row>
    <row r="4548" spans="1:3" x14ac:dyDescent="0.2">
      <c r="A4548" s="9"/>
      <c r="B4548" s="135">
        <v>38.590000000000003</v>
      </c>
      <c r="C4548" s="135"/>
    </row>
    <row r="4549" spans="1:3" x14ac:dyDescent="0.2">
      <c r="A4549" s="9"/>
      <c r="B4549" s="135">
        <v>38.6</v>
      </c>
      <c r="C4549" s="135"/>
    </row>
    <row r="4550" spans="1:3" x14ac:dyDescent="0.2">
      <c r="A4550" s="9"/>
      <c r="B4550" s="135">
        <v>38.61</v>
      </c>
      <c r="C4550" s="135"/>
    </row>
    <row r="4551" spans="1:3" x14ac:dyDescent="0.2">
      <c r="A4551" s="9"/>
      <c r="B4551" s="135">
        <v>38.619999999999997</v>
      </c>
      <c r="C4551" s="135"/>
    </row>
    <row r="4552" spans="1:3" x14ac:dyDescent="0.2">
      <c r="A4552" s="9"/>
      <c r="B4552" s="135">
        <v>38.630000000000003</v>
      </c>
      <c r="C4552" s="135"/>
    </row>
    <row r="4553" spans="1:3" x14ac:dyDescent="0.2">
      <c r="A4553" s="9"/>
      <c r="B4553" s="135">
        <v>38.64</v>
      </c>
      <c r="C4553" s="135"/>
    </row>
    <row r="4554" spans="1:3" x14ac:dyDescent="0.2">
      <c r="A4554" s="9"/>
      <c r="B4554" s="135">
        <v>38.65</v>
      </c>
      <c r="C4554" s="135"/>
    </row>
    <row r="4555" spans="1:3" x14ac:dyDescent="0.2">
      <c r="A4555" s="9"/>
      <c r="B4555" s="135">
        <v>38.659999999999997</v>
      </c>
      <c r="C4555" s="135"/>
    </row>
    <row r="4556" spans="1:3" x14ac:dyDescent="0.2">
      <c r="A4556" s="9"/>
      <c r="B4556" s="135">
        <v>38.67</v>
      </c>
      <c r="C4556" s="135"/>
    </row>
    <row r="4557" spans="1:3" x14ac:dyDescent="0.2">
      <c r="A4557" s="9"/>
      <c r="B4557" s="135">
        <v>38.68</v>
      </c>
      <c r="C4557" s="135"/>
    </row>
    <row r="4558" spans="1:3" x14ac:dyDescent="0.2">
      <c r="A4558" s="9"/>
      <c r="B4558" s="135">
        <v>38.69</v>
      </c>
      <c r="C4558" s="135"/>
    </row>
    <row r="4559" spans="1:3" x14ac:dyDescent="0.2">
      <c r="A4559" s="9"/>
      <c r="B4559" s="135">
        <v>38.700000000000003</v>
      </c>
      <c r="C4559" s="135"/>
    </row>
    <row r="4560" spans="1:3" x14ac:dyDescent="0.2">
      <c r="A4560" s="9"/>
      <c r="B4560" s="135">
        <v>38.71</v>
      </c>
      <c r="C4560" s="135"/>
    </row>
    <row r="4561" spans="1:3" x14ac:dyDescent="0.2">
      <c r="A4561" s="9"/>
      <c r="B4561" s="135">
        <v>38.72</v>
      </c>
      <c r="C4561" s="135"/>
    </row>
    <row r="4562" spans="1:3" x14ac:dyDescent="0.2">
      <c r="A4562" s="9"/>
      <c r="B4562" s="135">
        <v>38.729999999999997</v>
      </c>
      <c r="C4562" s="135"/>
    </row>
    <row r="4563" spans="1:3" x14ac:dyDescent="0.2">
      <c r="A4563" s="9"/>
      <c r="B4563" s="135">
        <v>38.74</v>
      </c>
      <c r="C4563" s="135"/>
    </row>
    <row r="4564" spans="1:3" x14ac:dyDescent="0.2">
      <c r="A4564" s="9"/>
      <c r="B4564" s="135">
        <v>38.75</v>
      </c>
      <c r="C4564" s="135"/>
    </row>
    <row r="4565" spans="1:3" x14ac:dyDescent="0.2">
      <c r="A4565" s="9"/>
      <c r="B4565" s="135">
        <v>38.76</v>
      </c>
      <c r="C4565" s="135"/>
    </row>
    <row r="4566" spans="1:3" x14ac:dyDescent="0.2">
      <c r="A4566" s="9"/>
      <c r="B4566" s="135">
        <v>38.770000000000003</v>
      </c>
      <c r="C4566" s="135"/>
    </row>
    <row r="4567" spans="1:3" x14ac:dyDescent="0.2">
      <c r="A4567" s="9"/>
      <c r="B4567" s="135">
        <v>38.78</v>
      </c>
      <c r="C4567" s="135"/>
    </row>
    <row r="4568" spans="1:3" x14ac:dyDescent="0.2">
      <c r="A4568" s="9"/>
      <c r="B4568" s="135">
        <v>38.79</v>
      </c>
      <c r="C4568" s="135"/>
    </row>
    <row r="4569" spans="1:3" x14ac:dyDescent="0.2">
      <c r="A4569" s="9"/>
      <c r="B4569" s="135">
        <v>38.799999999999997</v>
      </c>
      <c r="C4569" s="135"/>
    </row>
    <row r="4570" spans="1:3" x14ac:dyDescent="0.2">
      <c r="A4570" s="9"/>
      <c r="B4570" s="135">
        <v>38.81</v>
      </c>
      <c r="C4570" s="135"/>
    </row>
    <row r="4571" spans="1:3" x14ac:dyDescent="0.2">
      <c r="A4571" s="9"/>
      <c r="B4571" s="135">
        <v>38.82</v>
      </c>
      <c r="C4571" s="135"/>
    </row>
    <row r="4572" spans="1:3" x14ac:dyDescent="0.2">
      <c r="A4572" s="9"/>
      <c r="B4572" s="135">
        <v>38.83</v>
      </c>
      <c r="C4572" s="135"/>
    </row>
    <row r="4573" spans="1:3" x14ac:dyDescent="0.2">
      <c r="A4573" s="9"/>
      <c r="B4573" s="135">
        <v>38.840000000000003</v>
      </c>
      <c r="C4573" s="135"/>
    </row>
    <row r="4574" spans="1:3" x14ac:dyDescent="0.2">
      <c r="A4574" s="9"/>
      <c r="B4574" s="135">
        <v>38.85</v>
      </c>
      <c r="C4574" s="135"/>
    </row>
    <row r="4575" spans="1:3" x14ac:dyDescent="0.2">
      <c r="A4575" s="9"/>
      <c r="B4575" s="135">
        <v>38.86</v>
      </c>
      <c r="C4575" s="135"/>
    </row>
    <row r="4576" spans="1:3" x14ac:dyDescent="0.2">
      <c r="A4576" s="9"/>
      <c r="B4576" s="135">
        <v>38.869999999999997</v>
      </c>
      <c r="C4576" s="135"/>
    </row>
    <row r="4577" spans="1:3" x14ac:dyDescent="0.2">
      <c r="A4577" s="9"/>
      <c r="B4577" s="135">
        <v>38.880000000000003</v>
      </c>
      <c r="C4577" s="135"/>
    </row>
    <row r="4578" spans="1:3" x14ac:dyDescent="0.2">
      <c r="A4578" s="9"/>
      <c r="B4578" s="135">
        <v>38.89</v>
      </c>
      <c r="C4578" s="135"/>
    </row>
    <row r="4579" spans="1:3" x14ac:dyDescent="0.2">
      <c r="A4579" s="9"/>
      <c r="B4579" s="135">
        <v>38.9</v>
      </c>
      <c r="C4579" s="135"/>
    </row>
    <row r="4580" spans="1:3" x14ac:dyDescent="0.2">
      <c r="A4580" s="9"/>
      <c r="B4580" s="135">
        <v>38.909999999999997</v>
      </c>
      <c r="C4580" s="135"/>
    </row>
    <row r="4581" spans="1:3" x14ac:dyDescent="0.2">
      <c r="A4581" s="9"/>
      <c r="B4581" s="135">
        <v>38.92</v>
      </c>
      <c r="C4581" s="135"/>
    </row>
    <row r="4582" spans="1:3" x14ac:dyDescent="0.2">
      <c r="A4582" s="9"/>
      <c r="B4582" s="135">
        <v>38.93</v>
      </c>
      <c r="C4582" s="135"/>
    </row>
    <row r="4583" spans="1:3" x14ac:dyDescent="0.2">
      <c r="A4583" s="9"/>
      <c r="B4583" s="135">
        <v>38.94</v>
      </c>
      <c r="C4583" s="135"/>
    </row>
    <row r="4584" spans="1:3" x14ac:dyDescent="0.2">
      <c r="A4584" s="9"/>
      <c r="B4584" s="135">
        <v>38.950000000000003</v>
      </c>
      <c r="C4584" s="135"/>
    </row>
    <row r="4585" spans="1:3" x14ac:dyDescent="0.2">
      <c r="A4585" s="9"/>
      <c r="B4585" s="135">
        <v>38.96</v>
      </c>
      <c r="C4585" s="135"/>
    </row>
    <row r="4586" spans="1:3" x14ac:dyDescent="0.2">
      <c r="A4586" s="9"/>
      <c r="B4586" s="135">
        <v>38.97</v>
      </c>
      <c r="C4586" s="135"/>
    </row>
    <row r="4587" spans="1:3" x14ac:dyDescent="0.2">
      <c r="A4587" s="9"/>
      <c r="B4587" s="135">
        <v>38.979999999999997</v>
      </c>
      <c r="C4587" s="135"/>
    </row>
    <row r="4588" spans="1:3" x14ac:dyDescent="0.2">
      <c r="A4588" s="9"/>
      <c r="B4588" s="135">
        <v>38.99</v>
      </c>
      <c r="C4588" s="135"/>
    </row>
    <row r="4589" spans="1:3" x14ac:dyDescent="0.2">
      <c r="A4589" s="9"/>
      <c r="B4589" s="135">
        <v>39</v>
      </c>
      <c r="C4589" s="135"/>
    </row>
    <row r="4590" spans="1:3" x14ac:dyDescent="0.2">
      <c r="A4590" s="9"/>
      <c r="B4590" s="135">
        <v>39.01</v>
      </c>
      <c r="C4590" s="135"/>
    </row>
    <row r="4591" spans="1:3" x14ac:dyDescent="0.2">
      <c r="A4591" s="9"/>
      <c r="B4591" s="135">
        <v>39.020000000000003</v>
      </c>
      <c r="C4591" s="135"/>
    </row>
    <row r="4592" spans="1:3" x14ac:dyDescent="0.2">
      <c r="A4592" s="9"/>
      <c r="B4592" s="135">
        <v>39.03</v>
      </c>
      <c r="C4592" s="135"/>
    </row>
    <row r="4593" spans="1:3" x14ac:dyDescent="0.2">
      <c r="A4593" s="9"/>
      <c r="B4593" s="135">
        <v>39.04</v>
      </c>
      <c r="C4593" s="135"/>
    </row>
    <row r="4594" spans="1:3" x14ac:dyDescent="0.2">
      <c r="A4594" s="9"/>
      <c r="B4594" s="135">
        <v>39.049999999999997</v>
      </c>
      <c r="C4594" s="135"/>
    </row>
    <row r="4595" spans="1:3" x14ac:dyDescent="0.2">
      <c r="A4595" s="9"/>
      <c r="B4595" s="135">
        <v>39.06</v>
      </c>
      <c r="C4595" s="135"/>
    </row>
    <row r="4596" spans="1:3" x14ac:dyDescent="0.2">
      <c r="A4596" s="9"/>
      <c r="B4596" s="135">
        <v>39.07</v>
      </c>
      <c r="C4596" s="135"/>
    </row>
    <row r="4597" spans="1:3" x14ac:dyDescent="0.2">
      <c r="A4597" s="9"/>
      <c r="B4597" s="135">
        <v>39.08</v>
      </c>
      <c r="C4597" s="135"/>
    </row>
    <row r="4598" spans="1:3" x14ac:dyDescent="0.2">
      <c r="A4598" s="9"/>
      <c r="B4598" s="135">
        <v>39.090000000000003</v>
      </c>
      <c r="C4598" s="135"/>
    </row>
    <row r="4599" spans="1:3" x14ac:dyDescent="0.2">
      <c r="A4599" s="9"/>
      <c r="B4599" s="135">
        <v>39.1</v>
      </c>
      <c r="C4599" s="135"/>
    </row>
    <row r="4600" spans="1:3" x14ac:dyDescent="0.2">
      <c r="A4600" s="9"/>
      <c r="B4600" s="135">
        <v>39.11</v>
      </c>
      <c r="C4600" s="135"/>
    </row>
    <row r="4601" spans="1:3" x14ac:dyDescent="0.2">
      <c r="A4601" s="9"/>
      <c r="B4601" s="135">
        <v>39.119999999999997</v>
      </c>
      <c r="C4601" s="135"/>
    </row>
    <row r="4602" spans="1:3" x14ac:dyDescent="0.2">
      <c r="A4602" s="9"/>
      <c r="B4602" s="135">
        <v>39.130000000000003</v>
      </c>
      <c r="C4602" s="135"/>
    </row>
    <row r="4603" spans="1:3" x14ac:dyDescent="0.2">
      <c r="A4603" s="9"/>
      <c r="B4603" s="135">
        <v>39.14</v>
      </c>
      <c r="C4603" s="135"/>
    </row>
    <row r="4604" spans="1:3" x14ac:dyDescent="0.2">
      <c r="A4604" s="9"/>
      <c r="B4604" s="135">
        <v>39.15</v>
      </c>
      <c r="C4604" s="135"/>
    </row>
    <row r="4605" spans="1:3" x14ac:dyDescent="0.2">
      <c r="A4605" s="9"/>
      <c r="B4605" s="135">
        <v>39.159999999999997</v>
      </c>
      <c r="C4605" s="135"/>
    </row>
    <row r="4606" spans="1:3" x14ac:dyDescent="0.2">
      <c r="A4606" s="9"/>
      <c r="B4606" s="135">
        <v>39.17</v>
      </c>
      <c r="C4606" s="135"/>
    </row>
    <row r="4607" spans="1:3" x14ac:dyDescent="0.2">
      <c r="A4607" s="9"/>
      <c r="B4607" s="135">
        <v>39.18</v>
      </c>
      <c r="C4607" s="135"/>
    </row>
    <row r="4608" spans="1:3" x14ac:dyDescent="0.2">
      <c r="A4608" s="9"/>
      <c r="B4608" s="135">
        <v>39.19</v>
      </c>
      <c r="C4608" s="135"/>
    </row>
    <row r="4609" spans="1:3" x14ac:dyDescent="0.2">
      <c r="A4609" s="9"/>
      <c r="B4609" s="135">
        <v>39.200000000000003</v>
      </c>
      <c r="C4609" s="135"/>
    </row>
    <row r="4610" spans="1:3" x14ac:dyDescent="0.2">
      <c r="A4610" s="9"/>
      <c r="B4610" s="135">
        <v>39.21</v>
      </c>
      <c r="C4610" s="135"/>
    </row>
    <row r="4611" spans="1:3" x14ac:dyDescent="0.2">
      <c r="A4611" s="9"/>
      <c r="B4611" s="135">
        <v>39.22</v>
      </c>
      <c r="C4611" s="135"/>
    </row>
    <row r="4612" spans="1:3" x14ac:dyDescent="0.2">
      <c r="A4612" s="9"/>
      <c r="B4612" s="135">
        <v>39.229999999999997</v>
      </c>
      <c r="C4612" s="135"/>
    </row>
    <row r="4613" spans="1:3" x14ac:dyDescent="0.2">
      <c r="A4613" s="9"/>
      <c r="B4613" s="135">
        <v>39.24</v>
      </c>
      <c r="C4613" s="135"/>
    </row>
    <row r="4614" spans="1:3" x14ac:dyDescent="0.2">
      <c r="A4614" s="9"/>
      <c r="B4614" s="135">
        <v>39.25</v>
      </c>
      <c r="C4614" s="135"/>
    </row>
    <row r="4615" spans="1:3" x14ac:dyDescent="0.2">
      <c r="A4615" s="9"/>
      <c r="B4615" s="135">
        <v>39.26</v>
      </c>
      <c r="C4615" s="135"/>
    </row>
    <row r="4616" spans="1:3" x14ac:dyDescent="0.2">
      <c r="A4616" s="9"/>
      <c r="B4616" s="135">
        <v>39.270000000000003</v>
      </c>
      <c r="C4616" s="135"/>
    </row>
    <row r="4617" spans="1:3" x14ac:dyDescent="0.2">
      <c r="A4617" s="9"/>
      <c r="B4617" s="135">
        <v>39.28</v>
      </c>
      <c r="C4617" s="135"/>
    </row>
    <row r="4618" spans="1:3" x14ac:dyDescent="0.2">
      <c r="A4618" s="9"/>
      <c r="B4618" s="135">
        <v>39.29</v>
      </c>
      <c r="C4618" s="135"/>
    </row>
    <row r="4619" spans="1:3" x14ac:dyDescent="0.2">
      <c r="A4619" s="9"/>
      <c r="B4619" s="135">
        <v>39.299999999999997</v>
      </c>
      <c r="C4619" s="135"/>
    </row>
    <row r="4620" spans="1:3" x14ac:dyDescent="0.2">
      <c r="A4620" s="9"/>
      <c r="B4620" s="135">
        <v>39.31</v>
      </c>
      <c r="C4620" s="135"/>
    </row>
    <row r="4621" spans="1:3" x14ac:dyDescent="0.2">
      <c r="A4621" s="9"/>
      <c r="B4621" s="135">
        <v>39.32</v>
      </c>
      <c r="C4621" s="135"/>
    </row>
    <row r="4622" spans="1:3" x14ac:dyDescent="0.2">
      <c r="A4622" s="9"/>
      <c r="B4622" s="135">
        <v>39.33</v>
      </c>
      <c r="C4622" s="135"/>
    </row>
    <row r="4623" spans="1:3" x14ac:dyDescent="0.2">
      <c r="A4623" s="9"/>
      <c r="B4623" s="135">
        <v>39.340000000000003</v>
      </c>
      <c r="C4623" s="135"/>
    </row>
    <row r="4624" spans="1:3" x14ac:dyDescent="0.2">
      <c r="A4624" s="9"/>
      <c r="B4624" s="135">
        <v>39.35</v>
      </c>
      <c r="C4624" s="135"/>
    </row>
    <row r="4625" spans="1:3" x14ac:dyDescent="0.2">
      <c r="A4625" s="9"/>
      <c r="B4625" s="135">
        <v>39.36</v>
      </c>
      <c r="C4625" s="135"/>
    </row>
    <row r="4626" spans="1:3" x14ac:dyDescent="0.2">
      <c r="A4626" s="9"/>
      <c r="B4626" s="135">
        <v>39.369999999999997</v>
      </c>
      <c r="C4626" s="135"/>
    </row>
    <row r="4627" spans="1:3" x14ac:dyDescent="0.2">
      <c r="A4627" s="9"/>
      <c r="B4627" s="135">
        <v>39.380000000000003</v>
      </c>
      <c r="C4627" s="135"/>
    </row>
    <row r="4628" spans="1:3" x14ac:dyDescent="0.2">
      <c r="A4628" s="9"/>
      <c r="B4628" s="135">
        <v>39.39</v>
      </c>
      <c r="C4628" s="135"/>
    </row>
    <row r="4629" spans="1:3" x14ac:dyDescent="0.2">
      <c r="A4629" s="9"/>
      <c r="B4629" s="135">
        <v>39.4</v>
      </c>
      <c r="C4629" s="135"/>
    </row>
    <row r="4630" spans="1:3" x14ac:dyDescent="0.2">
      <c r="A4630" s="9"/>
      <c r="B4630" s="135">
        <v>39.409999999999997</v>
      </c>
      <c r="C4630" s="135"/>
    </row>
    <row r="4631" spans="1:3" x14ac:dyDescent="0.2">
      <c r="A4631" s="9"/>
      <c r="B4631" s="135">
        <v>39.42</v>
      </c>
      <c r="C4631" s="135"/>
    </row>
    <row r="4632" spans="1:3" x14ac:dyDescent="0.2">
      <c r="A4632" s="9"/>
      <c r="B4632" s="135">
        <v>39.43</v>
      </c>
      <c r="C4632" s="135"/>
    </row>
    <row r="4633" spans="1:3" x14ac:dyDescent="0.2">
      <c r="A4633" s="9"/>
      <c r="B4633" s="135">
        <v>39.44</v>
      </c>
      <c r="C4633" s="135"/>
    </row>
    <row r="4634" spans="1:3" x14ac:dyDescent="0.2">
      <c r="A4634" s="9"/>
      <c r="B4634" s="135">
        <v>39.450000000000003</v>
      </c>
      <c r="C4634" s="135"/>
    </row>
    <row r="4635" spans="1:3" x14ac:dyDescent="0.2">
      <c r="A4635" s="9"/>
      <c r="B4635" s="135">
        <v>39.46</v>
      </c>
      <c r="C4635" s="135"/>
    </row>
    <row r="4636" spans="1:3" x14ac:dyDescent="0.2">
      <c r="A4636" s="9"/>
      <c r="B4636" s="135">
        <v>39.47</v>
      </c>
      <c r="C4636" s="135"/>
    </row>
    <row r="4637" spans="1:3" x14ac:dyDescent="0.2">
      <c r="A4637" s="9"/>
      <c r="B4637" s="135">
        <v>39.479999999999997</v>
      </c>
      <c r="C4637" s="135"/>
    </row>
    <row r="4638" spans="1:3" x14ac:dyDescent="0.2">
      <c r="A4638" s="9"/>
      <c r="B4638" s="135">
        <v>39.49</v>
      </c>
      <c r="C4638" s="135"/>
    </row>
    <row r="4639" spans="1:3" x14ac:dyDescent="0.2">
      <c r="A4639" s="9"/>
      <c r="B4639" s="135">
        <v>39.5</v>
      </c>
      <c r="C4639" s="135"/>
    </row>
    <row r="4640" spans="1:3" x14ac:dyDescent="0.2">
      <c r="A4640" s="9"/>
      <c r="B4640" s="135">
        <v>39.51</v>
      </c>
      <c r="C4640" s="135"/>
    </row>
    <row r="4641" spans="1:3" x14ac:dyDescent="0.2">
      <c r="A4641" s="9"/>
      <c r="B4641" s="135">
        <v>39.520000000000003</v>
      </c>
      <c r="C4641" s="135"/>
    </row>
    <row r="4642" spans="1:3" x14ac:dyDescent="0.2">
      <c r="A4642" s="9"/>
      <c r="B4642" s="135">
        <v>39.53</v>
      </c>
      <c r="C4642" s="135"/>
    </row>
    <row r="4643" spans="1:3" x14ac:dyDescent="0.2">
      <c r="A4643" s="9"/>
      <c r="B4643" s="135">
        <v>39.54</v>
      </c>
      <c r="C4643" s="135"/>
    </row>
    <row r="4644" spans="1:3" x14ac:dyDescent="0.2">
      <c r="A4644" s="9"/>
      <c r="B4644" s="135">
        <v>39.549999999999997</v>
      </c>
      <c r="C4644" s="135"/>
    </row>
    <row r="4645" spans="1:3" x14ac:dyDescent="0.2">
      <c r="A4645" s="9"/>
      <c r="B4645" s="135">
        <v>39.56</v>
      </c>
      <c r="C4645" s="135"/>
    </row>
    <row r="4646" spans="1:3" x14ac:dyDescent="0.2">
      <c r="A4646" s="9"/>
      <c r="B4646" s="135">
        <v>39.57</v>
      </c>
      <c r="C4646" s="135"/>
    </row>
    <row r="4647" spans="1:3" x14ac:dyDescent="0.2">
      <c r="A4647" s="9"/>
      <c r="B4647" s="135">
        <v>39.58</v>
      </c>
      <c r="C4647" s="135"/>
    </row>
    <row r="4648" spans="1:3" x14ac:dyDescent="0.2">
      <c r="A4648" s="9"/>
      <c r="B4648" s="135">
        <v>39.590000000000003</v>
      </c>
      <c r="C4648" s="135"/>
    </row>
    <row r="4649" spans="1:3" x14ac:dyDescent="0.2">
      <c r="A4649" s="9"/>
      <c r="B4649" s="135">
        <v>39.6</v>
      </c>
      <c r="C4649" s="135"/>
    </row>
    <row r="4650" spans="1:3" x14ac:dyDescent="0.2">
      <c r="A4650" s="9"/>
      <c r="B4650" s="135">
        <v>39.61</v>
      </c>
      <c r="C4650" s="135"/>
    </row>
    <row r="4651" spans="1:3" x14ac:dyDescent="0.2">
      <c r="A4651" s="9"/>
      <c r="B4651" s="135">
        <v>39.619999999999997</v>
      </c>
      <c r="C4651" s="135"/>
    </row>
    <row r="4652" spans="1:3" x14ac:dyDescent="0.2">
      <c r="A4652" s="9"/>
      <c r="B4652" s="135">
        <v>39.630000000000003</v>
      </c>
      <c r="C4652" s="135"/>
    </row>
    <row r="4653" spans="1:3" x14ac:dyDescent="0.2">
      <c r="A4653" s="9"/>
      <c r="B4653" s="135">
        <v>39.64</v>
      </c>
      <c r="C4653" s="135"/>
    </row>
    <row r="4654" spans="1:3" x14ac:dyDescent="0.2">
      <c r="A4654" s="9"/>
      <c r="B4654" s="135">
        <v>39.65</v>
      </c>
      <c r="C4654" s="135"/>
    </row>
    <row r="4655" spans="1:3" x14ac:dyDescent="0.2">
      <c r="A4655" s="9"/>
      <c r="B4655" s="135">
        <v>39.659999999999997</v>
      </c>
      <c r="C4655" s="135"/>
    </row>
    <row r="4656" spans="1:3" x14ac:dyDescent="0.2">
      <c r="A4656" s="9"/>
      <c r="B4656" s="135">
        <v>39.67</v>
      </c>
      <c r="C4656" s="135"/>
    </row>
    <row r="4657" spans="1:3" x14ac:dyDescent="0.2">
      <c r="A4657" s="9"/>
      <c r="B4657" s="135">
        <v>39.68</v>
      </c>
      <c r="C4657" s="135"/>
    </row>
    <row r="4658" spans="1:3" x14ac:dyDescent="0.2">
      <c r="A4658" s="9"/>
      <c r="B4658" s="135">
        <v>39.69</v>
      </c>
      <c r="C4658" s="135"/>
    </row>
    <row r="4659" spans="1:3" x14ac:dyDescent="0.2">
      <c r="A4659" s="9"/>
      <c r="B4659" s="135">
        <v>39.700000000000003</v>
      </c>
      <c r="C4659" s="135"/>
    </row>
    <row r="4660" spans="1:3" x14ac:dyDescent="0.2">
      <c r="A4660" s="9"/>
      <c r="B4660" s="135">
        <v>39.71</v>
      </c>
      <c r="C4660" s="135"/>
    </row>
    <row r="4661" spans="1:3" x14ac:dyDescent="0.2">
      <c r="A4661" s="9"/>
      <c r="B4661" s="135">
        <v>39.72</v>
      </c>
      <c r="C4661" s="135"/>
    </row>
    <row r="4662" spans="1:3" x14ac:dyDescent="0.2">
      <c r="A4662" s="9"/>
      <c r="B4662" s="135">
        <v>39.729999999999997</v>
      </c>
      <c r="C4662" s="135"/>
    </row>
    <row r="4663" spans="1:3" x14ac:dyDescent="0.2">
      <c r="A4663" s="9"/>
      <c r="B4663" s="135">
        <v>39.74</v>
      </c>
      <c r="C4663" s="135"/>
    </row>
    <row r="4664" spans="1:3" x14ac:dyDescent="0.2">
      <c r="A4664" s="9"/>
      <c r="B4664" s="135">
        <v>39.75</v>
      </c>
      <c r="C4664" s="135"/>
    </row>
    <row r="4665" spans="1:3" x14ac:dyDescent="0.2">
      <c r="A4665" s="9"/>
      <c r="B4665" s="135">
        <v>39.76</v>
      </c>
      <c r="C4665" s="135"/>
    </row>
    <row r="4666" spans="1:3" x14ac:dyDescent="0.2">
      <c r="A4666" s="9"/>
      <c r="B4666" s="135">
        <v>39.770000000000003</v>
      </c>
      <c r="C4666" s="135"/>
    </row>
    <row r="4667" spans="1:3" x14ac:dyDescent="0.2">
      <c r="A4667" s="9"/>
      <c r="B4667" s="135">
        <v>39.78</v>
      </c>
      <c r="C4667" s="135"/>
    </row>
    <row r="4668" spans="1:3" x14ac:dyDescent="0.2">
      <c r="A4668" s="9"/>
      <c r="B4668" s="135">
        <v>39.79</v>
      </c>
      <c r="C4668" s="135"/>
    </row>
    <row r="4669" spans="1:3" x14ac:dyDescent="0.2">
      <c r="A4669" s="9"/>
      <c r="B4669" s="135">
        <v>39.799999999999997</v>
      </c>
      <c r="C4669" s="135"/>
    </row>
    <row r="4670" spans="1:3" x14ac:dyDescent="0.2">
      <c r="A4670" s="9"/>
      <c r="B4670" s="135">
        <v>39.81</v>
      </c>
      <c r="C4670" s="135"/>
    </row>
    <row r="4671" spans="1:3" x14ac:dyDescent="0.2">
      <c r="A4671" s="9"/>
      <c r="B4671" s="135">
        <v>39.82</v>
      </c>
      <c r="C4671" s="135"/>
    </row>
    <row r="4672" spans="1:3" x14ac:dyDescent="0.2">
      <c r="A4672" s="9"/>
      <c r="B4672" s="135">
        <v>39.83</v>
      </c>
      <c r="C4672" s="135"/>
    </row>
    <row r="4673" spans="1:3" x14ac:dyDescent="0.2">
      <c r="A4673" s="9"/>
      <c r="B4673" s="135">
        <v>39.840000000000003</v>
      </c>
      <c r="C4673" s="135"/>
    </row>
    <row r="4674" spans="1:3" x14ac:dyDescent="0.2">
      <c r="A4674" s="9"/>
      <c r="B4674" s="135">
        <v>39.85</v>
      </c>
      <c r="C4674" s="135"/>
    </row>
    <row r="4675" spans="1:3" x14ac:dyDescent="0.2">
      <c r="A4675" s="9"/>
      <c r="B4675" s="135">
        <v>39.86</v>
      </c>
      <c r="C4675" s="135"/>
    </row>
    <row r="4676" spans="1:3" x14ac:dyDescent="0.2">
      <c r="A4676" s="9"/>
      <c r="B4676" s="135">
        <v>39.869999999999997</v>
      </c>
      <c r="C4676" s="135"/>
    </row>
    <row r="4677" spans="1:3" x14ac:dyDescent="0.2">
      <c r="A4677" s="9"/>
      <c r="B4677" s="135">
        <v>39.880000000000003</v>
      </c>
      <c r="C4677" s="135"/>
    </row>
    <row r="4678" spans="1:3" x14ac:dyDescent="0.2">
      <c r="A4678" s="9"/>
      <c r="B4678" s="135">
        <v>39.89</v>
      </c>
      <c r="C4678" s="135"/>
    </row>
    <row r="4679" spans="1:3" x14ac:dyDescent="0.2">
      <c r="A4679" s="9"/>
      <c r="B4679" s="135">
        <v>39.9</v>
      </c>
      <c r="C4679" s="135"/>
    </row>
    <row r="4680" spans="1:3" x14ac:dyDescent="0.2">
      <c r="A4680" s="9"/>
      <c r="B4680" s="135">
        <v>39.909999999999997</v>
      </c>
      <c r="C4680" s="135"/>
    </row>
    <row r="4681" spans="1:3" x14ac:dyDescent="0.2">
      <c r="A4681" s="9"/>
      <c r="B4681" s="135">
        <v>39.92</v>
      </c>
      <c r="C4681" s="135"/>
    </row>
    <row r="4682" spans="1:3" x14ac:dyDescent="0.2">
      <c r="A4682" s="9"/>
      <c r="B4682" s="135">
        <v>39.93</v>
      </c>
      <c r="C4682" s="135"/>
    </row>
    <row r="4683" spans="1:3" x14ac:dyDescent="0.2">
      <c r="A4683" s="9"/>
      <c r="B4683" s="135">
        <v>39.94</v>
      </c>
      <c r="C4683" s="135"/>
    </row>
    <row r="4684" spans="1:3" x14ac:dyDescent="0.2">
      <c r="A4684" s="9"/>
      <c r="B4684" s="135">
        <v>39.950000000000003</v>
      </c>
      <c r="C4684" s="135"/>
    </row>
    <row r="4685" spans="1:3" x14ac:dyDescent="0.2">
      <c r="A4685" s="9"/>
      <c r="B4685" s="135">
        <v>39.96</v>
      </c>
      <c r="C4685" s="135"/>
    </row>
    <row r="4686" spans="1:3" x14ac:dyDescent="0.2">
      <c r="A4686" s="9"/>
      <c r="B4686" s="135">
        <v>39.97</v>
      </c>
      <c r="C4686" s="135"/>
    </row>
    <row r="4687" spans="1:3" x14ac:dyDescent="0.2">
      <c r="A4687" s="9"/>
      <c r="B4687" s="135">
        <v>39.979999999999997</v>
      </c>
      <c r="C4687" s="135"/>
    </row>
    <row r="4688" spans="1:3" x14ac:dyDescent="0.2">
      <c r="A4688" s="9"/>
      <c r="B4688" s="135">
        <v>39.99</v>
      </c>
      <c r="C4688" s="135"/>
    </row>
    <row r="4689" spans="1:3" x14ac:dyDescent="0.2">
      <c r="A4689" s="9"/>
      <c r="B4689" s="135">
        <v>40</v>
      </c>
      <c r="C4689" s="135"/>
    </row>
    <row r="4690" spans="1:3" x14ac:dyDescent="0.2">
      <c r="A4690" s="9"/>
      <c r="B4690" s="135">
        <v>40.01</v>
      </c>
      <c r="C4690" s="135"/>
    </row>
    <row r="4691" spans="1:3" x14ac:dyDescent="0.2">
      <c r="A4691" s="9"/>
      <c r="B4691" s="135">
        <v>40.020000000000003</v>
      </c>
      <c r="C4691" s="135"/>
    </row>
    <row r="4692" spans="1:3" x14ac:dyDescent="0.2">
      <c r="A4692" s="9"/>
      <c r="B4692" s="135">
        <v>40.03</v>
      </c>
      <c r="C4692" s="135"/>
    </row>
    <row r="4693" spans="1:3" x14ac:dyDescent="0.2">
      <c r="A4693" s="9"/>
      <c r="B4693" s="135">
        <v>40.04</v>
      </c>
      <c r="C4693" s="135"/>
    </row>
    <row r="4694" spans="1:3" x14ac:dyDescent="0.2">
      <c r="A4694" s="9"/>
      <c r="B4694" s="135">
        <v>40.049999999999997</v>
      </c>
      <c r="C4694" s="135"/>
    </row>
    <row r="4695" spans="1:3" x14ac:dyDescent="0.2">
      <c r="A4695" s="9"/>
      <c r="B4695" s="135">
        <v>40.06</v>
      </c>
      <c r="C4695" s="135"/>
    </row>
    <row r="4696" spans="1:3" x14ac:dyDescent="0.2">
      <c r="A4696" s="9"/>
      <c r="B4696" s="135">
        <v>40.07</v>
      </c>
      <c r="C4696" s="135"/>
    </row>
    <row r="4697" spans="1:3" x14ac:dyDescent="0.2">
      <c r="A4697" s="9"/>
      <c r="B4697" s="135">
        <v>40.08</v>
      </c>
      <c r="C4697" s="135"/>
    </row>
    <row r="4698" spans="1:3" x14ac:dyDescent="0.2">
      <c r="A4698" s="9"/>
      <c r="B4698" s="135">
        <v>40.090000000000003</v>
      </c>
      <c r="C4698" s="135"/>
    </row>
    <row r="4699" spans="1:3" x14ac:dyDescent="0.2">
      <c r="A4699" s="9"/>
      <c r="B4699" s="135">
        <v>40.1</v>
      </c>
      <c r="C4699" s="135"/>
    </row>
    <row r="4700" spans="1:3" x14ac:dyDescent="0.2">
      <c r="A4700" s="9"/>
      <c r="B4700" s="135">
        <v>40.11</v>
      </c>
      <c r="C4700" s="135"/>
    </row>
    <row r="4701" spans="1:3" x14ac:dyDescent="0.2">
      <c r="A4701" s="9"/>
      <c r="B4701" s="135">
        <v>40.119999999999997</v>
      </c>
      <c r="C4701" s="135"/>
    </row>
    <row r="4702" spans="1:3" x14ac:dyDescent="0.2">
      <c r="A4702" s="9"/>
      <c r="B4702" s="135">
        <v>40.130000000000003</v>
      </c>
      <c r="C4702" s="135"/>
    </row>
    <row r="4703" spans="1:3" x14ac:dyDescent="0.2">
      <c r="A4703" s="9"/>
      <c r="B4703" s="135">
        <v>40.14</v>
      </c>
      <c r="C4703" s="135"/>
    </row>
    <row r="4704" spans="1:3" x14ac:dyDescent="0.2">
      <c r="A4704" s="9"/>
      <c r="B4704" s="135">
        <v>40.15</v>
      </c>
      <c r="C4704" s="135"/>
    </row>
    <row r="4705" spans="1:3" x14ac:dyDescent="0.2">
      <c r="A4705" s="9"/>
      <c r="B4705" s="135">
        <v>40.159999999999997</v>
      </c>
      <c r="C4705" s="135"/>
    </row>
    <row r="4706" spans="1:3" x14ac:dyDescent="0.2">
      <c r="A4706" s="9"/>
      <c r="B4706" s="135">
        <v>40.17</v>
      </c>
      <c r="C4706" s="135"/>
    </row>
    <row r="4707" spans="1:3" x14ac:dyDescent="0.2">
      <c r="A4707" s="9"/>
      <c r="B4707" s="135">
        <v>40.18</v>
      </c>
      <c r="C4707" s="135"/>
    </row>
    <row r="4708" spans="1:3" x14ac:dyDescent="0.2">
      <c r="A4708" s="9"/>
      <c r="B4708" s="135">
        <v>40.19</v>
      </c>
      <c r="C4708" s="135"/>
    </row>
    <row r="4709" spans="1:3" x14ac:dyDescent="0.2">
      <c r="A4709" s="9"/>
      <c r="B4709" s="135">
        <v>40.200000000000003</v>
      </c>
      <c r="C4709" s="135"/>
    </row>
    <row r="4710" spans="1:3" x14ac:dyDescent="0.2">
      <c r="A4710" s="9"/>
      <c r="B4710" s="135">
        <v>40.21</v>
      </c>
      <c r="C4710" s="135"/>
    </row>
    <row r="4711" spans="1:3" x14ac:dyDescent="0.2">
      <c r="A4711" s="9"/>
      <c r="B4711" s="135">
        <v>40.22</v>
      </c>
      <c r="C4711" s="135"/>
    </row>
    <row r="4712" spans="1:3" x14ac:dyDescent="0.2">
      <c r="A4712" s="9"/>
      <c r="B4712" s="135">
        <v>40.229999999999997</v>
      </c>
      <c r="C4712" s="135"/>
    </row>
    <row r="4713" spans="1:3" x14ac:dyDescent="0.2">
      <c r="A4713" s="9"/>
      <c r="B4713" s="135">
        <v>40.24</v>
      </c>
      <c r="C4713" s="135"/>
    </row>
    <row r="4714" spans="1:3" x14ac:dyDescent="0.2">
      <c r="A4714" s="9"/>
      <c r="B4714" s="135">
        <v>40.25</v>
      </c>
      <c r="C4714" s="135"/>
    </row>
    <row r="4715" spans="1:3" x14ac:dyDescent="0.2">
      <c r="A4715" s="9"/>
      <c r="B4715" s="135">
        <v>40.26</v>
      </c>
      <c r="C4715" s="135"/>
    </row>
    <row r="4716" spans="1:3" x14ac:dyDescent="0.2">
      <c r="A4716" s="9"/>
      <c r="B4716" s="135">
        <v>40.270000000000003</v>
      </c>
      <c r="C4716" s="135"/>
    </row>
    <row r="4717" spans="1:3" x14ac:dyDescent="0.2">
      <c r="A4717" s="9"/>
      <c r="B4717" s="135">
        <v>40.28</v>
      </c>
      <c r="C4717" s="135"/>
    </row>
    <row r="4718" spans="1:3" x14ac:dyDescent="0.2">
      <c r="A4718" s="9"/>
      <c r="B4718" s="135">
        <v>40.29</v>
      </c>
      <c r="C4718" s="135"/>
    </row>
    <row r="4719" spans="1:3" x14ac:dyDescent="0.2">
      <c r="A4719" s="9"/>
      <c r="B4719" s="135">
        <v>40.299999999999997</v>
      </c>
      <c r="C4719" s="135"/>
    </row>
    <row r="4720" spans="1:3" x14ac:dyDescent="0.2">
      <c r="A4720" s="9"/>
      <c r="B4720" s="135">
        <v>40.31</v>
      </c>
      <c r="C4720" s="135"/>
    </row>
    <row r="4721" spans="1:3" x14ac:dyDescent="0.2">
      <c r="A4721" s="9"/>
      <c r="B4721" s="135">
        <v>40.32</v>
      </c>
      <c r="C4721" s="135"/>
    </row>
    <row r="4722" spans="1:3" x14ac:dyDescent="0.2">
      <c r="A4722" s="9"/>
      <c r="B4722" s="135">
        <v>40.33</v>
      </c>
      <c r="C4722" s="135"/>
    </row>
    <row r="4723" spans="1:3" x14ac:dyDescent="0.2">
      <c r="A4723" s="9"/>
      <c r="B4723" s="135">
        <v>40.340000000000003</v>
      </c>
      <c r="C4723" s="135"/>
    </row>
    <row r="4724" spans="1:3" x14ac:dyDescent="0.2">
      <c r="A4724" s="9"/>
      <c r="B4724" s="135">
        <v>40.35</v>
      </c>
      <c r="C4724" s="135"/>
    </row>
    <row r="4725" spans="1:3" x14ac:dyDescent="0.2">
      <c r="A4725" s="9"/>
      <c r="B4725" s="135">
        <v>40.36</v>
      </c>
      <c r="C4725" s="135"/>
    </row>
    <row r="4726" spans="1:3" x14ac:dyDescent="0.2">
      <c r="A4726" s="9"/>
      <c r="B4726" s="135">
        <v>40.369999999999997</v>
      </c>
      <c r="C4726" s="135"/>
    </row>
    <row r="4727" spans="1:3" x14ac:dyDescent="0.2">
      <c r="A4727" s="9"/>
      <c r="B4727" s="135">
        <v>40.380000000000003</v>
      </c>
      <c r="C4727" s="135"/>
    </row>
    <row r="4728" spans="1:3" x14ac:dyDescent="0.2">
      <c r="A4728" s="9"/>
      <c r="B4728" s="135">
        <v>40.39</v>
      </c>
      <c r="C4728" s="135"/>
    </row>
    <row r="4729" spans="1:3" x14ac:dyDescent="0.2">
      <c r="A4729" s="9"/>
      <c r="B4729" s="135">
        <v>40.4</v>
      </c>
      <c r="C4729" s="135"/>
    </row>
    <row r="4730" spans="1:3" x14ac:dyDescent="0.2">
      <c r="A4730" s="9"/>
      <c r="B4730" s="135">
        <v>40.409999999999997</v>
      </c>
      <c r="C4730" s="135"/>
    </row>
    <row r="4731" spans="1:3" x14ac:dyDescent="0.2">
      <c r="A4731" s="9"/>
      <c r="B4731" s="135">
        <v>40.42</v>
      </c>
      <c r="C4731" s="135"/>
    </row>
    <row r="4732" spans="1:3" x14ac:dyDescent="0.2">
      <c r="A4732" s="9"/>
      <c r="B4732" s="135">
        <v>40.43</v>
      </c>
      <c r="C4732" s="135"/>
    </row>
    <row r="4733" spans="1:3" x14ac:dyDescent="0.2">
      <c r="A4733" s="9"/>
      <c r="B4733" s="135">
        <v>40.44</v>
      </c>
      <c r="C4733" s="135"/>
    </row>
    <row r="4734" spans="1:3" x14ac:dyDescent="0.2">
      <c r="A4734" s="9"/>
      <c r="B4734" s="135">
        <v>40.450000000000003</v>
      </c>
      <c r="C4734" s="135"/>
    </row>
    <row r="4735" spans="1:3" x14ac:dyDescent="0.2">
      <c r="A4735" s="9"/>
      <c r="B4735" s="135">
        <v>40.46</v>
      </c>
      <c r="C4735" s="135"/>
    </row>
    <row r="4736" spans="1:3" x14ac:dyDescent="0.2">
      <c r="A4736" s="9"/>
      <c r="B4736" s="135">
        <v>40.47</v>
      </c>
      <c r="C4736" s="135"/>
    </row>
    <row r="4737" spans="1:3" x14ac:dyDescent="0.2">
      <c r="A4737" s="9"/>
      <c r="B4737" s="135">
        <v>40.479999999999997</v>
      </c>
      <c r="C4737" s="135"/>
    </row>
    <row r="4738" spans="1:3" x14ac:dyDescent="0.2">
      <c r="A4738" s="9"/>
      <c r="B4738" s="135">
        <v>40.49</v>
      </c>
      <c r="C4738" s="135"/>
    </row>
    <row r="4739" spans="1:3" x14ac:dyDescent="0.2">
      <c r="A4739" s="9"/>
      <c r="B4739" s="135">
        <v>40.5</v>
      </c>
      <c r="C4739" s="135"/>
    </row>
    <row r="4740" spans="1:3" x14ac:dyDescent="0.2">
      <c r="A4740" s="9"/>
      <c r="B4740" s="135">
        <v>40.51</v>
      </c>
      <c r="C4740" s="135"/>
    </row>
    <row r="4741" spans="1:3" x14ac:dyDescent="0.2">
      <c r="A4741" s="9"/>
      <c r="B4741" s="135">
        <v>40.520000000000003</v>
      </c>
      <c r="C4741" s="135"/>
    </row>
    <row r="4742" spans="1:3" x14ac:dyDescent="0.2">
      <c r="A4742" s="9"/>
      <c r="B4742" s="135">
        <v>40.53</v>
      </c>
      <c r="C4742" s="135"/>
    </row>
    <row r="4743" spans="1:3" x14ac:dyDescent="0.2">
      <c r="A4743" s="9"/>
      <c r="B4743" s="135">
        <v>40.54</v>
      </c>
      <c r="C4743" s="135"/>
    </row>
    <row r="4744" spans="1:3" x14ac:dyDescent="0.2">
      <c r="A4744" s="9"/>
      <c r="B4744" s="135">
        <v>40.549999999999997</v>
      </c>
      <c r="C4744" s="135"/>
    </row>
    <row r="4745" spans="1:3" x14ac:dyDescent="0.2">
      <c r="A4745" s="9"/>
      <c r="B4745" s="135">
        <v>40.56</v>
      </c>
      <c r="C4745" s="135"/>
    </row>
    <row r="4746" spans="1:3" x14ac:dyDescent="0.2">
      <c r="A4746" s="9"/>
      <c r="B4746" s="135">
        <v>40.57</v>
      </c>
      <c r="C4746" s="135"/>
    </row>
    <row r="4747" spans="1:3" x14ac:dyDescent="0.2">
      <c r="A4747" s="9"/>
      <c r="B4747" s="135">
        <v>40.58</v>
      </c>
      <c r="C4747" s="135"/>
    </row>
    <row r="4748" spans="1:3" x14ac:dyDescent="0.2">
      <c r="A4748" s="9"/>
      <c r="B4748" s="135">
        <v>40.590000000000003</v>
      </c>
      <c r="C4748" s="135"/>
    </row>
    <row r="4749" spans="1:3" x14ac:dyDescent="0.2">
      <c r="A4749" s="9"/>
      <c r="B4749" s="135">
        <v>40.6</v>
      </c>
      <c r="C4749" s="135"/>
    </row>
    <row r="4750" spans="1:3" x14ac:dyDescent="0.2">
      <c r="A4750" s="9"/>
      <c r="B4750" s="135">
        <v>40.61</v>
      </c>
      <c r="C4750" s="135"/>
    </row>
    <row r="4751" spans="1:3" x14ac:dyDescent="0.2">
      <c r="A4751" s="9"/>
      <c r="B4751" s="135">
        <v>40.619999999999997</v>
      </c>
      <c r="C4751" s="135"/>
    </row>
    <row r="4752" spans="1:3" x14ac:dyDescent="0.2">
      <c r="A4752" s="9"/>
      <c r="B4752" s="135">
        <v>40.630000000000003</v>
      </c>
      <c r="C4752" s="135"/>
    </row>
    <row r="4753" spans="1:3" x14ac:dyDescent="0.2">
      <c r="A4753" s="9"/>
      <c r="B4753" s="135">
        <v>40.64</v>
      </c>
      <c r="C4753" s="135"/>
    </row>
    <row r="4754" spans="1:3" x14ac:dyDescent="0.2">
      <c r="A4754" s="9"/>
      <c r="B4754" s="135">
        <v>40.65</v>
      </c>
      <c r="C4754" s="135"/>
    </row>
    <row r="4755" spans="1:3" x14ac:dyDescent="0.2">
      <c r="A4755" s="9"/>
      <c r="B4755" s="135">
        <v>40.659999999999997</v>
      </c>
      <c r="C4755" s="135"/>
    </row>
    <row r="4756" spans="1:3" x14ac:dyDescent="0.2">
      <c r="A4756" s="9"/>
      <c r="B4756" s="135">
        <v>40.67</v>
      </c>
      <c r="C4756" s="135"/>
    </row>
    <row r="4757" spans="1:3" x14ac:dyDescent="0.2">
      <c r="A4757" s="9"/>
      <c r="B4757" s="135">
        <v>40.68</v>
      </c>
      <c r="C4757" s="135"/>
    </row>
    <row r="4758" spans="1:3" x14ac:dyDescent="0.2">
      <c r="A4758" s="9"/>
      <c r="B4758" s="135">
        <v>40.69</v>
      </c>
      <c r="C4758" s="135"/>
    </row>
    <row r="4759" spans="1:3" x14ac:dyDescent="0.2">
      <c r="A4759" s="9"/>
      <c r="B4759" s="135">
        <v>40.700000000000003</v>
      </c>
      <c r="C4759" s="135"/>
    </row>
    <row r="4760" spans="1:3" x14ac:dyDescent="0.2">
      <c r="A4760" s="9"/>
      <c r="B4760" s="135">
        <v>40.71</v>
      </c>
      <c r="C4760" s="135"/>
    </row>
    <row r="4761" spans="1:3" x14ac:dyDescent="0.2">
      <c r="A4761" s="9"/>
      <c r="B4761" s="135">
        <v>40.72</v>
      </c>
      <c r="C4761" s="135"/>
    </row>
    <row r="4762" spans="1:3" x14ac:dyDescent="0.2">
      <c r="A4762" s="9"/>
      <c r="B4762" s="135">
        <v>40.729999999999997</v>
      </c>
      <c r="C4762" s="135"/>
    </row>
    <row r="4763" spans="1:3" x14ac:dyDescent="0.2">
      <c r="A4763" s="9"/>
      <c r="B4763" s="135">
        <v>40.74</v>
      </c>
      <c r="C4763" s="135"/>
    </row>
    <row r="4764" spans="1:3" x14ac:dyDescent="0.2">
      <c r="A4764" s="9"/>
      <c r="B4764" s="135">
        <v>40.75</v>
      </c>
      <c r="C4764" s="135"/>
    </row>
    <row r="4765" spans="1:3" x14ac:dyDescent="0.2">
      <c r="A4765" s="9"/>
      <c r="B4765" s="135">
        <v>40.76</v>
      </c>
      <c r="C4765" s="135"/>
    </row>
    <row r="4766" spans="1:3" x14ac:dyDescent="0.2">
      <c r="A4766" s="9"/>
      <c r="B4766" s="135">
        <v>40.770000000000003</v>
      </c>
      <c r="C4766" s="135"/>
    </row>
    <row r="4767" spans="1:3" x14ac:dyDescent="0.2">
      <c r="A4767" s="9"/>
      <c r="B4767" s="135">
        <v>40.78</v>
      </c>
      <c r="C4767" s="135"/>
    </row>
    <row r="4768" spans="1:3" x14ac:dyDescent="0.2">
      <c r="A4768" s="9"/>
      <c r="B4768" s="135">
        <v>40.79</v>
      </c>
      <c r="C4768" s="135"/>
    </row>
    <row r="4769" spans="1:3" x14ac:dyDescent="0.2">
      <c r="A4769" s="9"/>
      <c r="B4769" s="135">
        <v>40.799999999999997</v>
      </c>
      <c r="C4769" s="135"/>
    </row>
    <row r="4770" spans="1:3" x14ac:dyDescent="0.2">
      <c r="A4770" s="9"/>
      <c r="B4770" s="135">
        <v>40.81</v>
      </c>
      <c r="C4770" s="135"/>
    </row>
    <row r="4771" spans="1:3" x14ac:dyDescent="0.2">
      <c r="A4771" s="9"/>
      <c r="B4771" s="135">
        <v>40.82</v>
      </c>
      <c r="C4771" s="135"/>
    </row>
    <row r="4772" spans="1:3" x14ac:dyDescent="0.2">
      <c r="A4772" s="9"/>
      <c r="B4772" s="135">
        <v>40.83</v>
      </c>
      <c r="C4772" s="135"/>
    </row>
    <row r="4773" spans="1:3" x14ac:dyDescent="0.2">
      <c r="A4773" s="9"/>
      <c r="B4773" s="135">
        <v>40.840000000000003</v>
      </c>
      <c r="C4773" s="135"/>
    </row>
    <row r="4774" spans="1:3" x14ac:dyDescent="0.2">
      <c r="A4774" s="9"/>
      <c r="B4774" s="135">
        <v>40.85</v>
      </c>
      <c r="C4774" s="135"/>
    </row>
    <row r="4775" spans="1:3" x14ac:dyDescent="0.2">
      <c r="A4775" s="9"/>
      <c r="B4775" s="135">
        <v>40.86</v>
      </c>
      <c r="C4775" s="135"/>
    </row>
    <row r="4776" spans="1:3" x14ac:dyDescent="0.2">
      <c r="A4776" s="9"/>
      <c r="B4776" s="135">
        <v>40.869999999999997</v>
      </c>
      <c r="C4776" s="135"/>
    </row>
    <row r="4777" spans="1:3" x14ac:dyDescent="0.2">
      <c r="A4777" s="9"/>
      <c r="B4777" s="135">
        <v>40.880000000000003</v>
      </c>
      <c r="C4777" s="135"/>
    </row>
    <row r="4778" spans="1:3" x14ac:dyDescent="0.2">
      <c r="A4778" s="9"/>
      <c r="B4778" s="135">
        <v>40.89</v>
      </c>
      <c r="C4778" s="135"/>
    </row>
    <row r="4779" spans="1:3" x14ac:dyDescent="0.2">
      <c r="A4779" s="9"/>
      <c r="B4779" s="135">
        <v>40.9</v>
      </c>
      <c r="C4779" s="135"/>
    </row>
    <row r="4780" spans="1:3" x14ac:dyDescent="0.2">
      <c r="A4780" s="9"/>
      <c r="B4780" s="135">
        <v>40.909999999999997</v>
      </c>
      <c r="C4780" s="135"/>
    </row>
    <row r="4781" spans="1:3" x14ac:dyDescent="0.2">
      <c r="A4781" s="9"/>
      <c r="B4781" s="135">
        <v>40.92</v>
      </c>
      <c r="C4781" s="135"/>
    </row>
    <row r="4782" spans="1:3" x14ac:dyDescent="0.2">
      <c r="A4782" s="9"/>
      <c r="B4782" s="135">
        <v>40.93</v>
      </c>
      <c r="C4782" s="135"/>
    </row>
    <row r="4783" spans="1:3" x14ac:dyDescent="0.2">
      <c r="A4783" s="9"/>
      <c r="B4783" s="135">
        <v>40.94</v>
      </c>
      <c r="C4783" s="135"/>
    </row>
    <row r="4784" spans="1:3" x14ac:dyDescent="0.2">
      <c r="A4784" s="9"/>
      <c r="B4784" s="135">
        <v>40.950000000000003</v>
      </c>
      <c r="C4784" s="135"/>
    </row>
    <row r="4785" spans="1:3" x14ac:dyDescent="0.2">
      <c r="A4785" s="9"/>
      <c r="B4785" s="135">
        <v>40.96</v>
      </c>
      <c r="C4785" s="135"/>
    </row>
    <row r="4786" spans="1:3" x14ac:dyDescent="0.2">
      <c r="A4786" s="9"/>
      <c r="B4786" s="135">
        <v>40.97</v>
      </c>
      <c r="C4786" s="135"/>
    </row>
    <row r="4787" spans="1:3" x14ac:dyDescent="0.2">
      <c r="A4787" s="9"/>
      <c r="B4787" s="135">
        <v>40.98</v>
      </c>
      <c r="C4787" s="135"/>
    </row>
    <row r="4788" spans="1:3" x14ac:dyDescent="0.2">
      <c r="A4788" s="9"/>
      <c r="B4788" s="135">
        <v>40.99</v>
      </c>
      <c r="C4788" s="135"/>
    </row>
    <row r="4789" spans="1:3" x14ac:dyDescent="0.2">
      <c r="A4789" s="9"/>
      <c r="B4789" s="135">
        <v>41</v>
      </c>
      <c r="C4789" s="135"/>
    </row>
    <row r="4790" spans="1:3" x14ac:dyDescent="0.2">
      <c r="A4790" s="9"/>
      <c r="B4790" s="135">
        <v>41.01</v>
      </c>
      <c r="C4790" s="135"/>
    </row>
    <row r="4791" spans="1:3" x14ac:dyDescent="0.2">
      <c r="A4791" s="9"/>
      <c r="B4791" s="135">
        <v>41.02</v>
      </c>
      <c r="C4791" s="135"/>
    </row>
    <row r="4792" spans="1:3" x14ac:dyDescent="0.2">
      <c r="A4792" s="9"/>
      <c r="B4792" s="135">
        <v>41.03</v>
      </c>
      <c r="C4792" s="135"/>
    </row>
    <row r="4793" spans="1:3" x14ac:dyDescent="0.2">
      <c r="A4793" s="9"/>
      <c r="B4793" s="135">
        <v>41.04</v>
      </c>
      <c r="C4793" s="135"/>
    </row>
    <row r="4794" spans="1:3" x14ac:dyDescent="0.2">
      <c r="A4794" s="9"/>
      <c r="B4794" s="135">
        <v>41.05</v>
      </c>
      <c r="C4794" s="135"/>
    </row>
    <row r="4795" spans="1:3" x14ac:dyDescent="0.2">
      <c r="A4795" s="9"/>
      <c r="B4795" s="135">
        <v>41.06</v>
      </c>
      <c r="C4795" s="135"/>
    </row>
    <row r="4796" spans="1:3" x14ac:dyDescent="0.2">
      <c r="A4796" s="9"/>
      <c r="B4796" s="135">
        <v>41.07</v>
      </c>
      <c r="C4796" s="135"/>
    </row>
    <row r="4797" spans="1:3" x14ac:dyDescent="0.2">
      <c r="A4797" s="9"/>
      <c r="B4797" s="135">
        <v>41.08</v>
      </c>
      <c r="C4797" s="135"/>
    </row>
    <row r="4798" spans="1:3" x14ac:dyDescent="0.2">
      <c r="A4798" s="9"/>
      <c r="B4798" s="135">
        <v>41.09</v>
      </c>
      <c r="C4798" s="135"/>
    </row>
    <row r="4799" spans="1:3" x14ac:dyDescent="0.2">
      <c r="A4799" s="9"/>
      <c r="B4799" s="135">
        <v>41.1</v>
      </c>
      <c r="C4799" s="135"/>
    </row>
    <row r="4800" spans="1:3" x14ac:dyDescent="0.2">
      <c r="A4800" s="9"/>
      <c r="B4800" s="135">
        <v>41.11</v>
      </c>
      <c r="C4800" s="135"/>
    </row>
    <row r="4801" spans="1:3" x14ac:dyDescent="0.2">
      <c r="A4801" s="9"/>
      <c r="B4801" s="135">
        <v>41.12</v>
      </c>
      <c r="C4801" s="135"/>
    </row>
    <row r="4802" spans="1:3" x14ac:dyDescent="0.2">
      <c r="A4802" s="9"/>
      <c r="B4802" s="135">
        <v>41.13</v>
      </c>
      <c r="C4802" s="135"/>
    </row>
    <row r="4803" spans="1:3" x14ac:dyDescent="0.2">
      <c r="A4803" s="9"/>
      <c r="B4803" s="135">
        <v>41.14</v>
      </c>
      <c r="C4803" s="135"/>
    </row>
    <row r="4804" spans="1:3" x14ac:dyDescent="0.2">
      <c r="A4804" s="9"/>
      <c r="B4804" s="135">
        <v>41.15</v>
      </c>
      <c r="C4804" s="135"/>
    </row>
    <row r="4805" spans="1:3" x14ac:dyDescent="0.2">
      <c r="A4805" s="9"/>
      <c r="B4805" s="135">
        <v>41.16</v>
      </c>
      <c r="C4805" s="135"/>
    </row>
    <row r="4806" spans="1:3" x14ac:dyDescent="0.2">
      <c r="A4806" s="9"/>
      <c r="B4806" s="135">
        <v>41.17</v>
      </c>
      <c r="C4806" s="135"/>
    </row>
    <row r="4807" spans="1:3" x14ac:dyDescent="0.2">
      <c r="A4807" s="9"/>
      <c r="B4807" s="135">
        <v>41.18</v>
      </c>
      <c r="C4807" s="135"/>
    </row>
    <row r="4808" spans="1:3" x14ac:dyDescent="0.2">
      <c r="A4808" s="9"/>
      <c r="B4808" s="135">
        <v>41.19</v>
      </c>
      <c r="C4808" s="135"/>
    </row>
    <row r="4809" spans="1:3" x14ac:dyDescent="0.2">
      <c r="A4809" s="9"/>
      <c r="B4809" s="135">
        <v>41.2</v>
      </c>
      <c r="C4809" s="135"/>
    </row>
    <row r="4810" spans="1:3" x14ac:dyDescent="0.2">
      <c r="A4810" s="9"/>
      <c r="B4810" s="135">
        <v>41.21</v>
      </c>
      <c r="C4810" s="135"/>
    </row>
    <row r="4811" spans="1:3" x14ac:dyDescent="0.2">
      <c r="A4811" s="9"/>
      <c r="B4811" s="135">
        <v>41.22</v>
      </c>
      <c r="C4811" s="135"/>
    </row>
    <row r="4812" spans="1:3" x14ac:dyDescent="0.2">
      <c r="A4812" s="9"/>
      <c r="B4812" s="135">
        <v>41.23</v>
      </c>
      <c r="C4812" s="135"/>
    </row>
    <row r="4813" spans="1:3" x14ac:dyDescent="0.2">
      <c r="A4813" s="9"/>
      <c r="B4813" s="135">
        <v>41.24</v>
      </c>
      <c r="C4813" s="135"/>
    </row>
    <row r="4814" spans="1:3" x14ac:dyDescent="0.2">
      <c r="A4814" s="9"/>
      <c r="B4814" s="135">
        <v>41.25</v>
      </c>
      <c r="C4814" s="135"/>
    </row>
    <row r="4815" spans="1:3" x14ac:dyDescent="0.2">
      <c r="A4815" s="9"/>
      <c r="B4815" s="135">
        <v>41.26</v>
      </c>
      <c r="C4815" s="135"/>
    </row>
    <row r="4816" spans="1:3" x14ac:dyDescent="0.2">
      <c r="A4816" s="9"/>
      <c r="B4816" s="135">
        <v>41.27</v>
      </c>
      <c r="C4816" s="135"/>
    </row>
    <row r="4817" spans="1:3" x14ac:dyDescent="0.2">
      <c r="A4817" s="9"/>
      <c r="B4817" s="135">
        <v>41.28</v>
      </c>
      <c r="C4817" s="135"/>
    </row>
    <row r="4818" spans="1:3" x14ac:dyDescent="0.2">
      <c r="A4818" s="9"/>
      <c r="B4818" s="135">
        <v>41.29</v>
      </c>
      <c r="C4818" s="135"/>
    </row>
    <row r="4819" spans="1:3" x14ac:dyDescent="0.2">
      <c r="A4819" s="9"/>
      <c r="B4819" s="135">
        <v>41.3</v>
      </c>
      <c r="C4819" s="135"/>
    </row>
    <row r="4820" spans="1:3" x14ac:dyDescent="0.2">
      <c r="A4820" s="9"/>
      <c r="B4820" s="135">
        <v>41.31</v>
      </c>
      <c r="C4820" s="135"/>
    </row>
    <row r="4821" spans="1:3" x14ac:dyDescent="0.2">
      <c r="A4821" s="9"/>
      <c r="B4821" s="135">
        <v>41.32</v>
      </c>
      <c r="C4821" s="135"/>
    </row>
    <row r="4822" spans="1:3" x14ac:dyDescent="0.2">
      <c r="A4822" s="9"/>
      <c r="B4822" s="135">
        <v>41.33</v>
      </c>
      <c r="C4822" s="135"/>
    </row>
    <row r="4823" spans="1:3" x14ac:dyDescent="0.2">
      <c r="A4823" s="9"/>
      <c r="B4823" s="135">
        <v>41.34</v>
      </c>
      <c r="C4823" s="135"/>
    </row>
    <row r="4824" spans="1:3" x14ac:dyDescent="0.2">
      <c r="A4824" s="9"/>
      <c r="B4824" s="135">
        <v>41.35</v>
      </c>
      <c r="C4824" s="135"/>
    </row>
    <row r="4825" spans="1:3" x14ac:dyDescent="0.2">
      <c r="A4825" s="9"/>
      <c r="B4825" s="135">
        <v>41.36</v>
      </c>
      <c r="C4825" s="135"/>
    </row>
    <row r="4826" spans="1:3" x14ac:dyDescent="0.2">
      <c r="A4826" s="9"/>
      <c r="B4826" s="135">
        <v>41.37</v>
      </c>
      <c r="C4826" s="135"/>
    </row>
    <row r="4827" spans="1:3" x14ac:dyDescent="0.2">
      <c r="A4827" s="9"/>
      <c r="B4827" s="135">
        <v>41.38</v>
      </c>
      <c r="C4827" s="135"/>
    </row>
    <row r="4828" spans="1:3" x14ac:dyDescent="0.2">
      <c r="A4828" s="9"/>
      <c r="B4828" s="135">
        <v>41.39</v>
      </c>
      <c r="C4828" s="135"/>
    </row>
    <row r="4829" spans="1:3" x14ac:dyDescent="0.2">
      <c r="A4829" s="9"/>
      <c r="B4829" s="135">
        <v>41.4</v>
      </c>
      <c r="C4829" s="135"/>
    </row>
    <row r="4830" spans="1:3" x14ac:dyDescent="0.2">
      <c r="A4830" s="9"/>
      <c r="B4830" s="135">
        <v>41.41</v>
      </c>
      <c r="C4830" s="135"/>
    </row>
    <row r="4831" spans="1:3" x14ac:dyDescent="0.2">
      <c r="A4831" s="9"/>
      <c r="B4831" s="135">
        <v>41.42</v>
      </c>
      <c r="C4831" s="135"/>
    </row>
    <row r="4832" spans="1:3" x14ac:dyDescent="0.2">
      <c r="A4832" s="9"/>
      <c r="B4832" s="135">
        <v>41.43</v>
      </c>
      <c r="C4832" s="135"/>
    </row>
    <row r="4833" spans="1:3" x14ac:dyDescent="0.2">
      <c r="A4833" s="9"/>
      <c r="B4833" s="135">
        <v>41.44</v>
      </c>
      <c r="C4833" s="135"/>
    </row>
    <row r="4834" spans="1:3" x14ac:dyDescent="0.2">
      <c r="A4834" s="9"/>
      <c r="B4834" s="135">
        <v>41.45</v>
      </c>
      <c r="C4834" s="135"/>
    </row>
    <row r="4835" spans="1:3" x14ac:dyDescent="0.2">
      <c r="A4835" s="9"/>
      <c r="B4835" s="135">
        <v>41.46</v>
      </c>
      <c r="C4835" s="135"/>
    </row>
    <row r="4836" spans="1:3" x14ac:dyDescent="0.2">
      <c r="A4836" s="9"/>
      <c r="B4836" s="135">
        <v>41.47</v>
      </c>
      <c r="C4836" s="135"/>
    </row>
    <row r="4837" spans="1:3" x14ac:dyDescent="0.2">
      <c r="A4837" s="9"/>
      <c r="B4837" s="135">
        <v>41.48</v>
      </c>
      <c r="C4837" s="135"/>
    </row>
    <row r="4838" spans="1:3" x14ac:dyDescent="0.2">
      <c r="A4838" s="9"/>
      <c r="B4838" s="135">
        <v>41.49</v>
      </c>
      <c r="C4838" s="135"/>
    </row>
    <row r="4839" spans="1:3" x14ac:dyDescent="0.2">
      <c r="A4839" s="9"/>
      <c r="B4839" s="135">
        <v>41.5</v>
      </c>
      <c r="C4839" s="135"/>
    </row>
    <row r="4840" spans="1:3" x14ac:dyDescent="0.2">
      <c r="A4840" s="9"/>
      <c r="B4840" s="135">
        <v>41.51</v>
      </c>
      <c r="C4840" s="135"/>
    </row>
    <row r="4841" spans="1:3" x14ac:dyDescent="0.2">
      <c r="A4841" s="9"/>
      <c r="B4841" s="135">
        <v>41.52</v>
      </c>
      <c r="C4841" s="135"/>
    </row>
    <row r="4842" spans="1:3" x14ac:dyDescent="0.2">
      <c r="A4842" s="9"/>
      <c r="B4842" s="135">
        <v>41.53</v>
      </c>
      <c r="C4842" s="135"/>
    </row>
    <row r="4843" spans="1:3" x14ac:dyDescent="0.2">
      <c r="A4843" s="9"/>
      <c r="B4843" s="135">
        <v>41.54</v>
      </c>
      <c r="C4843" s="135"/>
    </row>
    <row r="4844" spans="1:3" x14ac:dyDescent="0.2">
      <c r="A4844" s="9"/>
      <c r="B4844" s="135">
        <v>41.55</v>
      </c>
      <c r="C4844" s="135"/>
    </row>
    <row r="4845" spans="1:3" x14ac:dyDescent="0.2">
      <c r="A4845" s="9"/>
      <c r="B4845" s="135">
        <v>41.56</v>
      </c>
      <c r="C4845" s="135"/>
    </row>
    <row r="4846" spans="1:3" x14ac:dyDescent="0.2">
      <c r="A4846" s="9"/>
      <c r="B4846" s="135">
        <v>41.57</v>
      </c>
      <c r="C4846" s="135"/>
    </row>
    <row r="4847" spans="1:3" x14ac:dyDescent="0.2">
      <c r="A4847" s="9"/>
      <c r="B4847" s="135">
        <v>41.58</v>
      </c>
      <c r="C4847" s="135"/>
    </row>
    <row r="4848" spans="1:3" x14ac:dyDescent="0.2">
      <c r="A4848" s="9"/>
      <c r="B4848" s="135">
        <v>41.59</v>
      </c>
      <c r="C4848" s="135"/>
    </row>
    <row r="4849" spans="1:3" x14ac:dyDescent="0.2">
      <c r="A4849" s="9"/>
      <c r="B4849" s="135">
        <v>41.6</v>
      </c>
      <c r="C4849" s="135"/>
    </row>
    <row r="4850" spans="1:3" x14ac:dyDescent="0.2">
      <c r="A4850" s="9"/>
      <c r="B4850" s="135">
        <v>41.61</v>
      </c>
      <c r="C4850" s="135"/>
    </row>
    <row r="4851" spans="1:3" x14ac:dyDescent="0.2">
      <c r="A4851" s="9"/>
      <c r="B4851" s="135">
        <v>41.62</v>
      </c>
      <c r="C4851" s="135"/>
    </row>
    <row r="4852" spans="1:3" x14ac:dyDescent="0.2">
      <c r="A4852" s="9"/>
      <c r="B4852" s="135">
        <v>41.63</v>
      </c>
      <c r="C4852" s="135"/>
    </row>
    <row r="4853" spans="1:3" x14ac:dyDescent="0.2">
      <c r="A4853" s="9"/>
      <c r="B4853" s="135">
        <v>41.64</v>
      </c>
      <c r="C4853" s="135"/>
    </row>
    <row r="4854" spans="1:3" x14ac:dyDescent="0.2">
      <c r="A4854" s="9"/>
      <c r="B4854" s="135">
        <v>41.65</v>
      </c>
      <c r="C4854" s="135"/>
    </row>
    <row r="4855" spans="1:3" x14ac:dyDescent="0.2">
      <c r="A4855" s="9"/>
      <c r="B4855" s="135">
        <v>41.66</v>
      </c>
      <c r="C4855" s="135"/>
    </row>
    <row r="4856" spans="1:3" x14ac:dyDescent="0.2">
      <c r="A4856" s="9"/>
      <c r="B4856" s="135">
        <v>41.67</v>
      </c>
      <c r="C4856" s="135"/>
    </row>
    <row r="4857" spans="1:3" x14ac:dyDescent="0.2">
      <c r="A4857" s="9"/>
      <c r="B4857" s="135">
        <v>41.68</v>
      </c>
      <c r="C4857" s="135"/>
    </row>
    <row r="4858" spans="1:3" x14ac:dyDescent="0.2">
      <c r="A4858" s="9"/>
      <c r="B4858" s="135">
        <v>41.69</v>
      </c>
      <c r="C4858" s="135"/>
    </row>
    <row r="4859" spans="1:3" x14ac:dyDescent="0.2">
      <c r="A4859" s="9"/>
      <c r="B4859" s="135">
        <v>41.7</v>
      </c>
      <c r="C4859" s="135"/>
    </row>
    <row r="4860" spans="1:3" x14ac:dyDescent="0.2">
      <c r="A4860" s="9"/>
      <c r="B4860" s="135">
        <v>41.71</v>
      </c>
      <c r="C4860" s="135"/>
    </row>
    <row r="4861" spans="1:3" x14ac:dyDescent="0.2">
      <c r="A4861" s="9"/>
      <c r="B4861" s="135">
        <v>41.72</v>
      </c>
      <c r="C4861" s="135"/>
    </row>
    <row r="4862" spans="1:3" x14ac:dyDescent="0.2">
      <c r="A4862" s="9"/>
      <c r="B4862" s="135">
        <v>41.73</v>
      </c>
      <c r="C4862" s="135"/>
    </row>
    <row r="4863" spans="1:3" x14ac:dyDescent="0.2">
      <c r="A4863" s="9"/>
      <c r="B4863" s="135">
        <v>41.74</v>
      </c>
      <c r="C4863" s="135"/>
    </row>
    <row r="4864" spans="1:3" x14ac:dyDescent="0.2">
      <c r="A4864" s="9"/>
      <c r="B4864" s="135">
        <v>41.75</v>
      </c>
      <c r="C4864" s="135"/>
    </row>
    <row r="4865" spans="1:3" x14ac:dyDescent="0.2">
      <c r="A4865" s="9"/>
      <c r="B4865" s="135">
        <v>41.76</v>
      </c>
      <c r="C4865" s="135"/>
    </row>
    <row r="4866" spans="1:3" x14ac:dyDescent="0.2">
      <c r="A4866" s="9"/>
      <c r="B4866" s="135">
        <v>41.77</v>
      </c>
      <c r="C4866" s="135"/>
    </row>
    <row r="4867" spans="1:3" x14ac:dyDescent="0.2">
      <c r="A4867" s="9"/>
      <c r="B4867" s="135">
        <v>41.78</v>
      </c>
      <c r="C4867" s="135"/>
    </row>
    <row r="4868" spans="1:3" x14ac:dyDescent="0.2">
      <c r="A4868" s="9"/>
      <c r="B4868" s="135">
        <v>41.79</v>
      </c>
      <c r="C4868" s="135"/>
    </row>
    <row r="4869" spans="1:3" x14ac:dyDescent="0.2">
      <c r="A4869" s="9"/>
      <c r="B4869" s="135">
        <v>41.8</v>
      </c>
      <c r="C4869" s="135"/>
    </row>
    <row r="4870" spans="1:3" x14ac:dyDescent="0.2">
      <c r="A4870" s="9"/>
      <c r="B4870" s="135">
        <v>41.81</v>
      </c>
      <c r="C4870" s="135"/>
    </row>
    <row r="4871" spans="1:3" x14ac:dyDescent="0.2">
      <c r="A4871" s="9"/>
      <c r="B4871" s="135">
        <v>41.82</v>
      </c>
      <c r="C4871" s="135"/>
    </row>
    <row r="4872" spans="1:3" x14ac:dyDescent="0.2">
      <c r="A4872" s="9"/>
      <c r="B4872" s="135">
        <v>41.83</v>
      </c>
      <c r="C4872" s="135"/>
    </row>
    <row r="4873" spans="1:3" x14ac:dyDescent="0.2">
      <c r="A4873" s="9"/>
      <c r="B4873" s="135">
        <v>41.84</v>
      </c>
      <c r="C4873" s="135"/>
    </row>
    <row r="4874" spans="1:3" x14ac:dyDescent="0.2">
      <c r="A4874" s="9"/>
      <c r="B4874" s="135">
        <v>41.85</v>
      </c>
      <c r="C4874" s="135"/>
    </row>
    <row r="4875" spans="1:3" x14ac:dyDescent="0.2">
      <c r="A4875" s="9"/>
      <c r="B4875" s="135">
        <v>41.86</v>
      </c>
      <c r="C4875" s="135"/>
    </row>
    <row r="4876" spans="1:3" x14ac:dyDescent="0.2">
      <c r="A4876" s="9"/>
      <c r="B4876" s="135">
        <v>41.87</v>
      </c>
      <c r="C4876" s="135"/>
    </row>
    <row r="4877" spans="1:3" x14ac:dyDescent="0.2">
      <c r="A4877" s="9"/>
      <c r="B4877" s="135">
        <v>41.88</v>
      </c>
      <c r="C4877" s="135"/>
    </row>
    <row r="4878" spans="1:3" x14ac:dyDescent="0.2">
      <c r="A4878" s="9"/>
      <c r="B4878" s="135">
        <v>41.89</v>
      </c>
      <c r="C4878" s="135"/>
    </row>
    <row r="4879" spans="1:3" x14ac:dyDescent="0.2">
      <c r="A4879" s="9"/>
      <c r="B4879" s="135">
        <v>41.9</v>
      </c>
      <c r="C4879" s="135"/>
    </row>
    <row r="4880" spans="1:3" x14ac:dyDescent="0.2">
      <c r="A4880" s="9"/>
      <c r="B4880" s="135">
        <v>41.91</v>
      </c>
      <c r="C4880" s="135"/>
    </row>
    <row r="4881" spans="1:3" x14ac:dyDescent="0.2">
      <c r="A4881" s="9"/>
      <c r="B4881" s="135">
        <v>41.92</v>
      </c>
      <c r="C4881" s="135"/>
    </row>
    <row r="4882" spans="1:3" x14ac:dyDescent="0.2">
      <c r="A4882" s="9"/>
      <c r="B4882" s="135">
        <v>41.93</v>
      </c>
      <c r="C4882" s="135"/>
    </row>
    <row r="4883" spans="1:3" x14ac:dyDescent="0.2">
      <c r="A4883" s="9"/>
      <c r="B4883" s="135">
        <v>41.94</v>
      </c>
      <c r="C4883" s="135"/>
    </row>
    <row r="4884" spans="1:3" x14ac:dyDescent="0.2">
      <c r="A4884" s="9"/>
      <c r="B4884" s="135">
        <v>41.95</v>
      </c>
      <c r="C4884" s="135"/>
    </row>
    <row r="4885" spans="1:3" x14ac:dyDescent="0.2">
      <c r="A4885" s="9"/>
      <c r="B4885" s="135">
        <v>41.96</v>
      </c>
      <c r="C4885" s="135"/>
    </row>
    <row r="4886" spans="1:3" x14ac:dyDescent="0.2">
      <c r="A4886" s="9"/>
      <c r="B4886" s="135">
        <v>41.97</v>
      </c>
      <c r="C4886" s="135"/>
    </row>
    <row r="4887" spans="1:3" x14ac:dyDescent="0.2">
      <c r="A4887" s="9"/>
      <c r="B4887" s="135">
        <v>41.98</v>
      </c>
      <c r="C4887" s="135"/>
    </row>
    <row r="4888" spans="1:3" x14ac:dyDescent="0.2">
      <c r="A4888" s="9"/>
      <c r="B4888" s="135">
        <v>41.99</v>
      </c>
      <c r="C4888" s="135"/>
    </row>
    <row r="4889" spans="1:3" x14ac:dyDescent="0.2">
      <c r="A4889" s="9"/>
      <c r="B4889" s="135">
        <v>42</v>
      </c>
      <c r="C4889" s="135"/>
    </row>
    <row r="4890" spans="1:3" x14ac:dyDescent="0.2">
      <c r="A4890" s="9"/>
      <c r="B4890" s="135">
        <v>42.01</v>
      </c>
      <c r="C4890" s="135"/>
    </row>
    <row r="4891" spans="1:3" x14ac:dyDescent="0.2">
      <c r="A4891" s="9"/>
      <c r="B4891" s="135">
        <v>42.02</v>
      </c>
      <c r="C4891" s="135"/>
    </row>
    <row r="4892" spans="1:3" x14ac:dyDescent="0.2">
      <c r="A4892" s="9"/>
      <c r="B4892" s="135">
        <v>42.03</v>
      </c>
      <c r="C4892" s="135"/>
    </row>
    <row r="4893" spans="1:3" x14ac:dyDescent="0.2">
      <c r="A4893" s="9"/>
      <c r="B4893" s="135">
        <v>42.04</v>
      </c>
      <c r="C4893" s="135"/>
    </row>
    <row r="4894" spans="1:3" x14ac:dyDescent="0.2">
      <c r="A4894" s="9"/>
      <c r="B4894" s="135">
        <v>42.05</v>
      </c>
      <c r="C4894" s="135"/>
    </row>
    <row r="4895" spans="1:3" x14ac:dyDescent="0.2">
      <c r="A4895" s="9"/>
      <c r="B4895" s="135">
        <v>42.06</v>
      </c>
      <c r="C4895" s="135"/>
    </row>
    <row r="4896" spans="1:3" x14ac:dyDescent="0.2">
      <c r="A4896" s="9"/>
      <c r="B4896" s="135">
        <v>42.07</v>
      </c>
      <c r="C4896" s="135"/>
    </row>
    <row r="4897" spans="1:3" x14ac:dyDescent="0.2">
      <c r="A4897" s="9"/>
      <c r="B4897" s="135">
        <v>42.08</v>
      </c>
      <c r="C4897" s="135"/>
    </row>
    <row r="4898" spans="1:3" x14ac:dyDescent="0.2">
      <c r="A4898" s="9"/>
      <c r="B4898" s="135">
        <v>42.09</v>
      </c>
      <c r="C4898" s="135"/>
    </row>
    <row r="4899" spans="1:3" x14ac:dyDescent="0.2">
      <c r="A4899" s="9"/>
      <c r="B4899" s="135">
        <v>42.1</v>
      </c>
      <c r="C4899" s="135"/>
    </row>
    <row r="4900" spans="1:3" x14ac:dyDescent="0.2">
      <c r="A4900" s="9"/>
      <c r="B4900" s="135">
        <v>42.11</v>
      </c>
      <c r="C4900" s="135"/>
    </row>
    <row r="4901" spans="1:3" x14ac:dyDescent="0.2">
      <c r="A4901" s="9"/>
      <c r="B4901" s="135">
        <v>42.12</v>
      </c>
      <c r="C4901" s="135"/>
    </row>
    <row r="4902" spans="1:3" x14ac:dyDescent="0.2">
      <c r="A4902" s="9"/>
      <c r="B4902" s="135">
        <v>42.13</v>
      </c>
      <c r="C4902" s="135"/>
    </row>
    <row r="4903" spans="1:3" x14ac:dyDescent="0.2">
      <c r="A4903" s="9"/>
      <c r="B4903" s="135">
        <v>42.14</v>
      </c>
      <c r="C4903" s="135"/>
    </row>
    <row r="4904" spans="1:3" x14ac:dyDescent="0.2">
      <c r="A4904" s="9"/>
      <c r="B4904" s="135">
        <v>42.15</v>
      </c>
      <c r="C4904" s="135"/>
    </row>
    <row r="4905" spans="1:3" x14ac:dyDescent="0.2">
      <c r="A4905" s="9"/>
      <c r="B4905" s="135">
        <v>42.16</v>
      </c>
      <c r="C4905" s="135"/>
    </row>
    <row r="4906" spans="1:3" x14ac:dyDescent="0.2">
      <c r="A4906" s="9"/>
      <c r="B4906" s="135">
        <v>42.17</v>
      </c>
      <c r="C4906" s="135"/>
    </row>
    <row r="4907" spans="1:3" x14ac:dyDescent="0.2">
      <c r="A4907" s="9"/>
      <c r="B4907" s="135">
        <v>42.18</v>
      </c>
      <c r="C4907" s="135"/>
    </row>
    <row r="4908" spans="1:3" x14ac:dyDescent="0.2">
      <c r="A4908" s="9"/>
      <c r="B4908" s="135">
        <v>42.19</v>
      </c>
      <c r="C4908" s="135"/>
    </row>
    <row r="4909" spans="1:3" x14ac:dyDescent="0.2">
      <c r="A4909" s="9"/>
      <c r="B4909" s="135">
        <v>42.2</v>
      </c>
      <c r="C4909" s="135"/>
    </row>
    <row r="4910" spans="1:3" x14ac:dyDescent="0.2">
      <c r="A4910" s="9"/>
      <c r="B4910" s="135">
        <v>42.21</v>
      </c>
      <c r="C4910" s="135"/>
    </row>
    <row r="4911" spans="1:3" x14ac:dyDescent="0.2">
      <c r="A4911" s="9"/>
      <c r="B4911" s="135">
        <v>42.22</v>
      </c>
      <c r="C4911" s="135"/>
    </row>
    <row r="4912" spans="1:3" x14ac:dyDescent="0.2">
      <c r="A4912" s="9"/>
      <c r="B4912" s="135">
        <v>42.23</v>
      </c>
      <c r="C4912" s="135"/>
    </row>
    <row r="4913" spans="1:3" x14ac:dyDescent="0.2">
      <c r="A4913" s="9"/>
      <c r="B4913" s="135">
        <v>42.24</v>
      </c>
      <c r="C4913" s="135"/>
    </row>
    <row r="4914" spans="1:3" x14ac:dyDescent="0.2">
      <c r="A4914" s="9"/>
      <c r="B4914" s="135">
        <v>42.25</v>
      </c>
      <c r="C4914" s="135"/>
    </row>
    <row r="4915" spans="1:3" x14ac:dyDescent="0.2">
      <c r="A4915" s="9"/>
      <c r="B4915" s="135">
        <v>42.26</v>
      </c>
      <c r="C4915" s="135"/>
    </row>
    <row r="4916" spans="1:3" x14ac:dyDescent="0.2">
      <c r="A4916" s="9"/>
      <c r="B4916" s="135">
        <v>42.27</v>
      </c>
      <c r="C4916" s="135"/>
    </row>
    <row r="4917" spans="1:3" x14ac:dyDescent="0.2">
      <c r="A4917" s="9"/>
      <c r="B4917" s="135">
        <v>42.28</v>
      </c>
      <c r="C4917" s="135"/>
    </row>
    <row r="4918" spans="1:3" x14ac:dyDescent="0.2">
      <c r="A4918" s="9"/>
      <c r="B4918" s="135">
        <v>42.29</v>
      </c>
      <c r="C4918" s="135"/>
    </row>
    <row r="4919" spans="1:3" x14ac:dyDescent="0.2">
      <c r="A4919" s="9"/>
      <c r="B4919" s="135">
        <v>42.3</v>
      </c>
      <c r="C4919" s="135"/>
    </row>
    <row r="4920" spans="1:3" x14ac:dyDescent="0.2">
      <c r="A4920" s="9"/>
      <c r="B4920" s="135">
        <v>42.31</v>
      </c>
      <c r="C4920" s="135"/>
    </row>
    <row r="4921" spans="1:3" x14ac:dyDescent="0.2">
      <c r="A4921" s="9"/>
      <c r="B4921" s="135">
        <v>42.32</v>
      </c>
      <c r="C4921" s="135"/>
    </row>
    <row r="4922" spans="1:3" x14ac:dyDescent="0.2">
      <c r="A4922" s="9"/>
      <c r="B4922" s="135">
        <v>42.33</v>
      </c>
      <c r="C4922" s="135"/>
    </row>
    <row r="4923" spans="1:3" x14ac:dyDescent="0.2">
      <c r="A4923" s="9"/>
      <c r="B4923" s="135">
        <v>42.34</v>
      </c>
      <c r="C4923" s="135"/>
    </row>
    <row r="4924" spans="1:3" x14ac:dyDescent="0.2">
      <c r="A4924" s="9"/>
      <c r="B4924" s="135">
        <v>42.35</v>
      </c>
      <c r="C4924" s="135"/>
    </row>
    <row r="4925" spans="1:3" x14ac:dyDescent="0.2">
      <c r="A4925" s="9"/>
      <c r="B4925" s="135">
        <v>42.36</v>
      </c>
      <c r="C4925" s="135"/>
    </row>
    <row r="4926" spans="1:3" x14ac:dyDescent="0.2">
      <c r="A4926" s="9"/>
      <c r="B4926" s="135">
        <v>42.37</v>
      </c>
      <c r="C4926" s="135"/>
    </row>
    <row r="4927" spans="1:3" x14ac:dyDescent="0.2">
      <c r="A4927" s="9"/>
      <c r="B4927" s="135">
        <v>42.38</v>
      </c>
      <c r="C4927" s="135"/>
    </row>
    <row r="4928" spans="1:3" x14ac:dyDescent="0.2">
      <c r="A4928" s="9"/>
      <c r="B4928" s="135">
        <v>42.39</v>
      </c>
      <c r="C4928" s="135"/>
    </row>
    <row r="4929" spans="1:3" x14ac:dyDescent="0.2">
      <c r="A4929" s="9"/>
      <c r="B4929" s="135">
        <v>42.4</v>
      </c>
      <c r="C4929" s="135"/>
    </row>
    <row r="4930" spans="1:3" x14ac:dyDescent="0.2">
      <c r="A4930" s="9"/>
      <c r="B4930" s="135">
        <v>42.41</v>
      </c>
      <c r="C4930" s="135"/>
    </row>
    <row r="4931" spans="1:3" x14ac:dyDescent="0.2">
      <c r="A4931" s="9"/>
      <c r="B4931" s="135">
        <v>42.42</v>
      </c>
      <c r="C4931" s="135"/>
    </row>
    <row r="4932" spans="1:3" x14ac:dyDescent="0.2">
      <c r="A4932" s="9"/>
      <c r="B4932" s="135">
        <v>42.43</v>
      </c>
      <c r="C4932" s="135"/>
    </row>
    <row r="4933" spans="1:3" x14ac:dyDescent="0.2">
      <c r="A4933" s="9"/>
      <c r="B4933" s="135">
        <v>42.44</v>
      </c>
      <c r="C4933" s="135"/>
    </row>
    <row r="4934" spans="1:3" x14ac:dyDescent="0.2">
      <c r="A4934" s="9"/>
      <c r="B4934" s="135">
        <v>42.45</v>
      </c>
      <c r="C4934" s="135"/>
    </row>
    <row r="4935" spans="1:3" x14ac:dyDescent="0.2">
      <c r="A4935" s="9"/>
      <c r="B4935" s="135">
        <v>42.46</v>
      </c>
      <c r="C4935" s="135"/>
    </row>
    <row r="4936" spans="1:3" x14ac:dyDescent="0.2">
      <c r="A4936" s="9"/>
      <c r="B4936" s="135">
        <v>42.47</v>
      </c>
      <c r="C4936" s="135"/>
    </row>
    <row r="4937" spans="1:3" x14ac:dyDescent="0.2">
      <c r="A4937" s="9"/>
      <c r="B4937" s="135">
        <v>42.48</v>
      </c>
      <c r="C4937" s="135"/>
    </row>
    <row r="4938" spans="1:3" x14ac:dyDescent="0.2">
      <c r="A4938" s="9"/>
      <c r="B4938" s="135">
        <v>42.49</v>
      </c>
      <c r="C4938" s="135"/>
    </row>
    <row r="4939" spans="1:3" x14ac:dyDescent="0.2">
      <c r="A4939" s="9"/>
      <c r="B4939" s="135">
        <v>42.5</v>
      </c>
      <c r="C4939" s="135"/>
    </row>
    <row r="4940" spans="1:3" x14ac:dyDescent="0.2">
      <c r="A4940" s="9"/>
      <c r="B4940" s="135">
        <v>42.51</v>
      </c>
      <c r="C4940" s="135"/>
    </row>
    <row r="4941" spans="1:3" x14ac:dyDescent="0.2">
      <c r="A4941" s="9"/>
      <c r="B4941" s="135">
        <v>42.52</v>
      </c>
      <c r="C4941" s="135"/>
    </row>
    <row r="4942" spans="1:3" x14ac:dyDescent="0.2">
      <c r="A4942" s="9"/>
      <c r="B4942" s="135">
        <v>42.53</v>
      </c>
      <c r="C4942" s="135"/>
    </row>
    <row r="4943" spans="1:3" x14ac:dyDescent="0.2">
      <c r="A4943" s="9"/>
      <c r="B4943" s="135">
        <v>42.54</v>
      </c>
      <c r="C4943" s="135"/>
    </row>
    <row r="4944" spans="1:3" x14ac:dyDescent="0.2">
      <c r="A4944" s="9"/>
      <c r="B4944" s="135">
        <v>42.55</v>
      </c>
      <c r="C4944" s="135"/>
    </row>
    <row r="4945" spans="1:3" x14ac:dyDescent="0.2">
      <c r="A4945" s="9"/>
      <c r="B4945" s="135">
        <v>42.56</v>
      </c>
      <c r="C4945" s="135"/>
    </row>
    <row r="4946" spans="1:3" x14ac:dyDescent="0.2">
      <c r="A4946" s="9"/>
      <c r="B4946" s="135">
        <v>42.57</v>
      </c>
      <c r="C4946" s="135"/>
    </row>
    <row r="4947" spans="1:3" x14ac:dyDescent="0.2">
      <c r="A4947" s="9"/>
      <c r="B4947" s="135">
        <v>42.58</v>
      </c>
      <c r="C4947" s="135"/>
    </row>
    <row r="4948" spans="1:3" x14ac:dyDescent="0.2">
      <c r="A4948" s="9"/>
      <c r="B4948" s="135">
        <v>42.59</v>
      </c>
      <c r="C4948" s="135"/>
    </row>
    <row r="4949" spans="1:3" x14ac:dyDescent="0.2">
      <c r="A4949" s="9"/>
      <c r="B4949" s="135">
        <v>42.6</v>
      </c>
      <c r="C4949" s="135"/>
    </row>
    <row r="4950" spans="1:3" x14ac:dyDescent="0.2">
      <c r="A4950" s="9"/>
      <c r="B4950" s="135">
        <v>42.61</v>
      </c>
      <c r="C4950" s="135"/>
    </row>
    <row r="4951" spans="1:3" x14ac:dyDescent="0.2">
      <c r="A4951" s="9"/>
      <c r="B4951" s="135">
        <v>42.62</v>
      </c>
      <c r="C4951" s="135"/>
    </row>
    <row r="4952" spans="1:3" x14ac:dyDescent="0.2">
      <c r="A4952" s="9"/>
      <c r="B4952" s="135">
        <v>42.63</v>
      </c>
      <c r="C4952" s="135"/>
    </row>
    <row r="4953" spans="1:3" x14ac:dyDescent="0.2">
      <c r="A4953" s="9"/>
      <c r="B4953" s="135">
        <v>42.64</v>
      </c>
      <c r="C4953" s="135"/>
    </row>
    <row r="4954" spans="1:3" x14ac:dyDescent="0.2">
      <c r="A4954" s="9"/>
      <c r="B4954" s="135">
        <v>42.65</v>
      </c>
      <c r="C4954" s="135"/>
    </row>
    <row r="4955" spans="1:3" x14ac:dyDescent="0.2">
      <c r="A4955" s="9"/>
      <c r="B4955" s="135">
        <v>42.66</v>
      </c>
      <c r="C4955" s="135"/>
    </row>
    <row r="4956" spans="1:3" x14ac:dyDescent="0.2">
      <c r="A4956" s="9"/>
      <c r="B4956" s="135">
        <v>42.67</v>
      </c>
      <c r="C4956" s="135"/>
    </row>
    <row r="4957" spans="1:3" x14ac:dyDescent="0.2">
      <c r="A4957" s="9"/>
      <c r="B4957" s="135">
        <v>42.68</v>
      </c>
      <c r="C4957" s="135"/>
    </row>
    <row r="4958" spans="1:3" x14ac:dyDescent="0.2">
      <c r="A4958" s="9"/>
      <c r="B4958" s="135">
        <v>42.69</v>
      </c>
      <c r="C4958" s="135"/>
    </row>
    <row r="4959" spans="1:3" x14ac:dyDescent="0.2">
      <c r="A4959" s="9"/>
      <c r="B4959" s="135">
        <v>42.7</v>
      </c>
      <c r="C4959" s="135"/>
    </row>
    <row r="4960" spans="1:3" x14ac:dyDescent="0.2">
      <c r="A4960" s="9"/>
      <c r="B4960" s="135">
        <v>42.71</v>
      </c>
      <c r="C4960" s="135"/>
    </row>
    <row r="4961" spans="1:3" x14ac:dyDescent="0.2">
      <c r="A4961" s="9"/>
      <c r="B4961" s="135">
        <v>42.72</v>
      </c>
      <c r="C4961" s="135"/>
    </row>
    <row r="4962" spans="1:3" x14ac:dyDescent="0.2">
      <c r="A4962" s="9"/>
      <c r="B4962" s="135">
        <v>42.73</v>
      </c>
      <c r="C4962" s="135"/>
    </row>
    <row r="4963" spans="1:3" x14ac:dyDescent="0.2">
      <c r="A4963" s="9"/>
      <c r="B4963" s="135">
        <v>42.74</v>
      </c>
      <c r="C4963" s="135"/>
    </row>
    <row r="4964" spans="1:3" x14ac:dyDescent="0.2">
      <c r="A4964" s="9"/>
      <c r="B4964" s="135">
        <v>42.75</v>
      </c>
      <c r="C4964" s="135"/>
    </row>
    <row r="4965" spans="1:3" x14ac:dyDescent="0.2">
      <c r="A4965" s="9"/>
      <c r="B4965" s="135">
        <v>42.76</v>
      </c>
      <c r="C4965" s="135"/>
    </row>
    <row r="4966" spans="1:3" x14ac:dyDescent="0.2">
      <c r="A4966" s="9"/>
      <c r="B4966" s="135">
        <v>42.77</v>
      </c>
      <c r="C4966" s="135"/>
    </row>
    <row r="4967" spans="1:3" x14ac:dyDescent="0.2">
      <c r="A4967" s="9"/>
      <c r="B4967" s="135">
        <v>42.78</v>
      </c>
      <c r="C4967" s="135"/>
    </row>
    <row r="4968" spans="1:3" x14ac:dyDescent="0.2">
      <c r="A4968" s="9"/>
      <c r="B4968" s="135">
        <v>42.79</v>
      </c>
      <c r="C4968" s="135"/>
    </row>
    <row r="4969" spans="1:3" x14ac:dyDescent="0.2">
      <c r="A4969" s="9"/>
      <c r="B4969" s="135">
        <v>42.8</v>
      </c>
      <c r="C4969" s="135"/>
    </row>
    <row r="4970" spans="1:3" x14ac:dyDescent="0.2">
      <c r="A4970" s="9"/>
      <c r="B4970" s="135">
        <v>42.81</v>
      </c>
      <c r="C4970" s="135"/>
    </row>
    <row r="4971" spans="1:3" x14ac:dyDescent="0.2">
      <c r="A4971" s="9"/>
      <c r="B4971" s="135">
        <v>42.82</v>
      </c>
      <c r="C4971" s="135"/>
    </row>
    <row r="4972" spans="1:3" x14ac:dyDescent="0.2">
      <c r="A4972" s="9"/>
      <c r="B4972" s="135">
        <v>42.83</v>
      </c>
      <c r="C4972" s="135"/>
    </row>
    <row r="4973" spans="1:3" x14ac:dyDescent="0.2">
      <c r="A4973" s="9"/>
      <c r="B4973" s="135">
        <v>42.84</v>
      </c>
      <c r="C4973" s="135"/>
    </row>
    <row r="4974" spans="1:3" x14ac:dyDescent="0.2">
      <c r="A4974" s="9"/>
      <c r="B4974" s="135">
        <v>42.85</v>
      </c>
      <c r="C4974" s="135"/>
    </row>
    <row r="4975" spans="1:3" x14ac:dyDescent="0.2">
      <c r="A4975" s="9"/>
      <c r="B4975" s="135">
        <v>42.86</v>
      </c>
      <c r="C4975" s="135"/>
    </row>
    <row r="4976" spans="1:3" x14ac:dyDescent="0.2">
      <c r="A4976" s="9"/>
      <c r="B4976" s="135">
        <v>42.87</v>
      </c>
      <c r="C4976" s="135"/>
    </row>
    <row r="4977" spans="1:3" x14ac:dyDescent="0.2">
      <c r="A4977" s="9"/>
      <c r="B4977" s="135">
        <v>42.88</v>
      </c>
      <c r="C4977" s="135"/>
    </row>
    <row r="4978" spans="1:3" x14ac:dyDescent="0.2">
      <c r="A4978" s="9"/>
      <c r="B4978" s="135">
        <v>42.89</v>
      </c>
      <c r="C4978" s="135"/>
    </row>
    <row r="4979" spans="1:3" x14ac:dyDescent="0.2">
      <c r="A4979" s="9"/>
      <c r="B4979" s="135">
        <v>42.9</v>
      </c>
      <c r="C4979" s="135"/>
    </row>
    <row r="4980" spans="1:3" x14ac:dyDescent="0.2">
      <c r="A4980" s="9"/>
      <c r="B4980" s="135">
        <v>42.91</v>
      </c>
      <c r="C4980" s="135"/>
    </row>
    <row r="4981" spans="1:3" x14ac:dyDescent="0.2">
      <c r="A4981" s="9"/>
      <c r="B4981" s="135">
        <v>42.92</v>
      </c>
      <c r="C4981" s="135"/>
    </row>
    <row r="4982" spans="1:3" x14ac:dyDescent="0.2">
      <c r="A4982" s="9"/>
      <c r="B4982" s="135">
        <v>42.93</v>
      </c>
      <c r="C4982" s="135"/>
    </row>
    <row r="4983" spans="1:3" x14ac:dyDescent="0.2">
      <c r="A4983" s="9"/>
      <c r="B4983" s="135">
        <v>42.94</v>
      </c>
      <c r="C4983" s="135"/>
    </row>
    <row r="4984" spans="1:3" x14ac:dyDescent="0.2">
      <c r="A4984" s="9"/>
      <c r="B4984" s="135">
        <v>42.95</v>
      </c>
      <c r="C4984" s="135"/>
    </row>
    <row r="4985" spans="1:3" x14ac:dyDescent="0.2">
      <c r="A4985" s="9"/>
      <c r="B4985" s="135">
        <v>42.96</v>
      </c>
      <c r="C4985" s="135"/>
    </row>
    <row r="4986" spans="1:3" x14ac:dyDescent="0.2">
      <c r="A4986" s="9"/>
      <c r="B4986" s="135">
        <v>42.97</v>
      </c>
      <c r="C4986" s="135"/>
    </row>
    <row r="4987" spans="1:3" x14ac:dyDescent="0.2">
      <c r="A4987" s="9"/>
      <c r="B4987" s="135">
        <v>42.98</v>
      </c>
      <c r="C4987" s="135"/>
    </row>
    <row r="4988" spans="1:3" x14ac:dyDescent="0.2">
      <c r="A4988" s="9"/>
      <c r="B4988" s="135">
        <v>42.99</v>
      </c>
      <c r="C4988" s="135"/>
    </row>
    <row r="4989" spans="1:3" x14ac:dyDescent="0.2">
      <c r="A4989" s="9"/>
      <c r="B4989" s="135">
        <v>43</v>
      </c>
      <c r="C4989" s="135"/>
    </row>
    <row r="4990" spans="1:3" x14ac:dyDescent="0.2">
      <c r="A4990" s="9"/>
      <c r="B4990" s="135">
        <v>43.01</v>
      </c>
      <c r="C4990" s="135"/>
    </row>
    <row r="4991" spans="1:3" x14ac:dyDescent="0.2">
      <c r="A4991" s="9"/>
      <c r="B4991" s="135">
        <v>43.02</v>
      </c>
      <c r="C4991" s="135"/>
    </row>
    <row r="4992" spans="1:3" x14ac:dyDescent="0.2">
      <c r="A4992" s="9"/>
      <c r="B4992" s="135">
        <v>43.03</v>
      </c>
      <c r="C4992" s="135"/>
    </row>
    <row r="4993" spans="1:3" x14ac:dyDescent="0.2">
      <c r="A4993" s="9"/>
      <c r="B4993" s="135">
        <v>43.04</v>
      </c>
      <c r="C4993" s="135"/>
    </row>
    <row r="4994" spans="1:3" x14ac:dyDescent="0.2">
      <c r="A4994" s="9"/>
      <c r="B4994" s="135">
        <v>43.05</v>
      </c>
      <c r="C4994" s="135"/>
    </row>
    <row r="4995" spans="1:3" x14ac:dyDescent="0.2">
      <c r="A4995" s="9"/>
      <c r="B4995" s="135">
        <v>43.06</v>
      </c>
      <c r="C4995" s="135"/>
    </row>
    <row r="4996" spans="1:3" x14ac:dyDescent="0.2">
      <c r="A4996" s="9"/>
      <c r="B4996" s="135">
        <v>43.07</v>
      </c>
      <c r="C4996" s="135"/>
    </row>
    <row r="4997" spans="1:3" x14ac:dyDescent="0.2">
      <c r="A4997" s="9"/>
      <c r="B4997" s="135">
        <v>43.08</v>
      </c>
      <c r="C4997" s="135"/>
    </row>
    <row r="4998" spans="1:3" x14ac:dyDescent="0.2">
      <c r="A4998" s="9"/>
      <c r="B4998" s="135">
        <v>43.09</v>
      </c>
      <c r="C4998" s="135"/>
    </row>
    <row r="4999" spans="1:3" x14ac:dyDescent="0.2">
      <c r="A4999" s="9"/>
      <c r="B4999" s="135">
        <v>43.1</v>
      </c>
      <c r="C4999" s="135"/>
    </row>
    <row r="5000" spans="1:3" x14ac:dyDescent="0.2">
      <c r="A5000" s="9"/>
      <c r="B5000" s="135">
        <v>43.11</v>
      </c>
      <c r="C5000" s="135"/>
    </row>
    <row r="5001" spans="1:3" x14ac:dyDescent="0.2">
      <c r="A5001" s="9"/>
      <c r="B5001" s="135">
        <v>43.12</v>
      </c>
      <c r="C5001" s="135"/>
    </row>
    <row r="5002" spans="1:3" x14ac:dyDescent="0.2">
      <c r="A5002" s="9"/>
      <c r="B5002" s="135">
        <v>43.13</v>
      </c>
      <c r="C5002" s="135"/>
    </row>
    <row r="5003" spans="1:3" x14ac:dyDescent="0.2">
      <c r="A5003" s="9"/>
      <c r="B5003" s="135">
        <v>43.14</v>
      </c>
      <c r="C5003" s="135"/>
    </row>
    <row r="5004" spans="1:3" x14ac:dyDescent="0.2">
      <c r="A5004" s="9"/>
      <c r="B5004" s="135">
        <v>43.15</v>
      </c>
      <c r="C5004" s="135"/>
    </row>
    <row r="5005" spans="1:3" x14ac:dyDescent="0.2">
      <c r="A5005" s="9"/>
      <c r="B5005" s="135">
        <v>43.16</v>
      </c>
      <c r="C5005" s="135"/>
    </row>
    <row r="5006" spans="1:3" x14ac:dyDescent="0.2">
      <c r="A5006" s="9"/>
      <c r="B5006" s="135">
        <v>43.17</v>
      </c>
      <c r="C5006" s="135"/>
    </row>
    <row r="5007" spans="1:3" x14ac:dyDescent="0.2">
      <c r="A5007" s="9"/>
      <c r="B5007" s="135">
        <v>43.18</v>
      </c>
      <c r="C5007" s="135"/>
    </row>
    <row r="5008" spans="1:3" x14ac:dyDescent="0.2">
      <c r="A5008" s="9"/>
      <c r="B5008" s="135">
        <v>43.19</v>
      </c>
      <c r="C5008" s="135"/>
    </row>
    <row r="5009" spans="1:3" x14ac:dyDescent="0.2">
      <c r="A5009" s="9"/>
      <c r="B5009" s="135">
        <v>43.2</v>
      </c>
      <c r="C5009" s="135"/>
    </row>
    <row r="5010" spans="1:3" x14ac:dyDescent="0.2">
      <c r="A5010" s="9"/>
      <c r="B5010" s="135">
        <v>43.21</v>
      </c>
      <c r="C5010" s="135"/>
    </row>
    <row r="5011" spans="1:3" x14ac:dyDescent="0.2">
      <c r="A5011" s="9"/>
      <c r="B5011" s="135">
        <v>43.22</v>
      </c>
      <c r="C5011" s="135"/>
    </row>
    <row r="5012" spans="1:3" x14ac:dyDescent="0.2">
      <c r="A5012" s="9"/>
      <c r="B5012" s="135">
        <v>43.23</v>
      </c>
      <c r="C5012" s="135"/>
    </row>
    <row r="5013" spans="1:3" x14ac:dyDescent="0.2">
      <c r="A5013" s="9"/>
      <c r="B5013" s="135">
        <v>43.24</v>
      </c>
      <c r="C5013" s="135"/>
    </row>
    <row r="5014" spans="1:3" x14ac:dyDescent="0.2">
      <c r="A5014" s="9"/>
      <c r="B5014" s="135">
        <v>43.25</v>
      </c>
      <c r="C5014" s="135"/>
    </row>
    <row r="5015" spans="1:3" x14ac:dyDescent="0.2">
      <c r="A5015" s="9"/>
      <c r="B5015" s="135">
        <v>43.26</v>
      </c>
      <c r="C5015" s="135"/>
    </row>
    <row r="5016" spans="1:3" x14ac:dyDescent="0.2">
      <c r="A5016" s="9"/>
      <c r="B5016" s="135">
        <v>43.27</v>
      </c>
      <c r="C5016" s="135"/>
    </row>
    <row r="5017" spans="1:3" x14ac:dyDescent="0.2">
      <c r="A5017" s="9"/>
      <c r="B5017" s="135">
        <v>43.28</v>
      </c>
      <c r="C5017" s="135"/>
    </row>
    <row r="5018" spans="1:3" x14ac:dyDescent="0.2">
      <c r="A5018" s="9"/>
      <c r="B5018" s="135">
        <v>43.29</v>
      </c>
      <c r="C5018" s="135"/>
    </row>
    <row r="5019" spans="1:3" x14ac:dyDescent="0.2">
      <c r="A5019" s="9"/>
      <c r="B5019" s="135">
        <v>43.3</v>
      </c>
      <c r="C5019" s="135"/>
    </row>
    <row r="5020" spans="1:3" x14ac:dyDescent="0.2">
      <c r="A5020" s="9"/>
      <c r="B5020" s="135">
        <v>43.31</v>
      </c>
      <c r="C5020" s="135"/>
    </row>
    <row r="5021" spans="1:3" x14ac:dyDescent="0.2">
      <c r="A5021" s="9"/>
      <c r="B5021" s="135">
        <v>43.32</v>
      </c>
      <c r="C5021" s="135"/>
    </row>
    <row r="5022" spans="1:3" x14ac:dyDescent="0.2">
      <c r="A5022" s="9"/>
      <c r="B5022" s="135">
        <v>43.33</v>
      </c>
      <c r="C5022" s="135"/>
    </row>
    <row r="5023" spans="1:3" x14ac:dyDescent="0.2">
      <c r="A5023" s="9"/>
      <c r="B5023" s="135">
        <v>43.34</v>
      </c>
      <c r="C5023" s="135"/>
    </row>
    <row r="5024" spans="1:3" x14ac:dyDescent="0.2">
      <c r="A5024" s="9"/>
      <c r="B5024" s="135">
        <v>43.35</v>
      </c>
      <c r="C5024" s="135"/>
    </row>
    <row r="5025" spans="1:3" x14ac:dyDescent="0.2">
      <c r="A5025" s="9"/>
      <c r="B5025" s="135">
        <v>43.36</v>
      </c>
      <c r="C5025" s="135"/>
    </row>
    <row r="5026" spans="1:3" x14ac:dyDescent="0.2">
      <c r="A5026" s="9"/>
      <c r="B5026" s="135">
        <v>43.37</v>
      </c>
      <c r="C5026" s="135"/>
    </row>
    <row r="5027" spans="1:3" x14ac:dyDescent="0.2">
      <c r="A5027" s="9"/>
      <c r="B5027" s="135">
        <v>43.38</v>
      </c>
      <c r="C5027" s="135"/>
    </row>
    <row r="5028" spans="1:3" x14ac:dyDescent="0.2">
      <c r="A5028" s="9"/>
      <c r="B5028" s="135">
        <v>43.39</v>
      </c>
      <c r="C5028" s="135"/>
    </row>
    <row r="5029" spans="1:3" x14ac:dyDescent="0.2">
      <c r="A5029" s="9"/>
      <c r="B5029" s="135">
        <v>43.4</v>
      </c>
      <c r="C5029" s="135"/>
    </row>
    <row r="5030" spans="1:3" x14ac:dyDescent="0.2">
      <c r="A5030" s="9"/>
      <c r="B5030" s="135">
        <v>43.41</v>
      </c>
      <c r="C5030" s="135"/>
    </row>
    <row r="5031" spans="1:3" x14ac:dyDescent="0.2">
      <c r="A5031" s="9"/>
      <c r="B5031" s="135">
        <v>43.42</v>
      </c>
      <c r="C5031" s="135"/>
    </row>
    <row r="5032" spans="1:3" x14ac:dyDescent="0.2">
      <c r="A5032" s="9"/>
      <c r="B5032" s="135">
        <v>43.43</v>
      </c>
      <c r="C5032" s="135"/>
    </row>
    <row r="5033" spans="1:3" x14ac:dyDescent="0.2">
      <c r="A5033" s="9"/>
      <c r="B5033" s="135">
        <v>43.44</v>
      </c>
      <c r="C5033" s="135"/>
    </row>
    <row r="5034" spans="1:3" x14ac:dyDescent="0.2">
      <c r="A5034" s="9"/>
      <c r="B5034" s="135">
        <v>43.45</v>
      </c>
      <c r="C5034" s="135"/>
    </row>
    <row r="5035" spans="1:3" x14ac:dyDescent="0.2">
      <c r="A5035" s="9"/>
      <c r="B5035" s="135">
        <v>43.46</v>
      </c>
      <c r="C5035" s="135"/>
    </row>
    <row r="5036" spans="1:3" x14ac:dyDescent="0.2">
      <c r="A5036" s="9"/>
      <c r="B5036" s="135">
        <v>43.47</v>
      </c>
      <c r="C5036" s="135"/>
    </row>
    <row r="5037" spans="1:3" x14ac:dyDescent="0.2">
      <c r="A5037" s="9"/>
      <c r="B5037" s="135">
        <v>43.48</v>
      </c>
      <c r="C5037" s="135"/>
    </row>
    <row r="5038" spans="1:3" x14ac:dyDescent="0.2">
      <c r="A5038" s="9"/>
      <c r="B5038" s="135">
        <v>43.49</v>
      </c>
      <c r="C5038" s="135"/>
    </row>
    <row r="5039" spans="1:3" x14ac:dyDescent="0.2">
      <c r="A5039" s="9"/>
      <c r="B5039" s="135">
        <v>43.5</v>
      </c>
      <c r="C5039" s="135"/>
    </row>
    <row r="5040" spans="1:3" x14ac:dyDescent="0.2">
      <c r="A5040" s="9"/>
      <c r="B5040" s="135">
        <v>43.51</v>
      </c>
      <c r="C5040" s="135"/>
    </row>
    <row r="5041" spans="1:3" x14ac:dyDescent="0.2">
      <c r="A5041" s="9"/>
      <c r="B5041" s="135">
        <v>43.52</v>
      </c>
      <c r="C5041" s="135"/>
    </row>
    <row r="5042" spans="1:3" x14ac:dyDescent="0.2">
      <c r="A5042" s="9"/>
      <c r="B5042" s="135">
        <v>43.53</v>
      </c>
      <c r="C5042" s="135"/>
    </row>
    <row r="5043" spans="1:3" x14ac:dyDescent="0.2">
      <c r="A5043" s="9"/>
      <c r="B5043" s="135">
        <v>43.54</v>
      </c>
      <c r="C5043" s="135"/>
    </row>
    <row r="5044" spans="1:3" x14ac:dyDescent="0.2">
      <c r="A5044" s="9"/>
      <c r="B5044" s="135">
        <v>43.55</v>
      </c>
      <c r="C5044" s="135"/>
    </row>
    <row r="5045" spans="1:3" x14ac:dyDescent="0.2">
      <c r="A5045" s="9"/>
      <c r="B5045" s="135">
        <v>43.56</v>
      </c>
      <c r="C5045" s="135"/>
    </row>
    <row r="5046" spans="1:3" x14ac:dyDescent="0.2">
      <c r="A5046" s="9"/>
      <c r="B5046" s="135">
        <v>43.57</v>
      </c>
      <c r="C5046" s="135"/>
    </row>
    <row r="5047" spans="1:3" x14ac:dyDescent="0.2">
      <c r="A5047" s="9"/>
      <c r="B5047" s="135">
        <v>43.58</v>
      </c>
      <c r="C5047" s="135"/>
    </row>
    <row r="5048" spans="1:3" x14ac:dyDescent="0.2">
      <c r="A5048" s="9"/>
      <c r="B5048" s="135">
        <v>43.59</v>
      </c>
      <c r="C5048" s="135"/>
    </row>
    <row r="5049" spans="1:3" x14ac:dyDescent="0.2">
      <c r="A5049" s="9"/>
      <c r="B5049" s="135">
        <v>43.6</v>
      </c>
      <c r="C5049" s="135"/>
    </row>
    <row r="5050" spans="1:3" x14ac:dyDescent="0.2">
      <c r="A5050" s="9"/>
      <c r="B5050" s="135">
        <v>43.61</v>
      </c>
      <c r="C5050" s="135"/>
    </row>
    <row r="5051" spans="1:3" x14ac:dyDescent="0.2">
      <c r="A5051" s="9"/>
      <c r="B5051" s="135">
        <v>43.62</v>
      </c>
      <c r="C5051" s="135"/>
    </row>
    <row r="5052" spans="1:3" x14ac:dyDescent="0.2">
      <c r="A5052" s="9"/>
      <c r="B5052" s="135">
        <v>43.63</v>
      </c>
      <c r="C5052" s="135"/>
    </row>
    <row r="5053" spans="1:3" x14ac:dyDescent="0.2">
      <c r="A5053" s="9"/>
      <c r="B5053" s="135">
        <v>43.64</v>
      </c>
      <c r="C5053" s="135"/>
    </row>
    <row r="5054" spans="1:3" x14ac:dyDescent="0.2">
      <c r="A5054" s="9"/>
      <c r="B5054" s="135">
        <v>43.65</v>
      </c>
      <c r="C5054" s="135"/>
    </row>
    <row r="5055" spans="1:3" x14ac:dyDescent="0.2">
      <c r="A5055" s="9"/>
      <c r="B5055" s="135">
        <v>43.66</v>
      </c>
      <c r="C5055" s="135"/>
    </row>
    <row r="5056" spans="1:3" x14ac:dyDescent="0.2">
      <c r="A5056" s="9"/>
      <c r="B5056" s="135">
        <v>43.67</v>
      </c>
      <c r="C5056" s="135"/>
    </row>
    <row r="5057" spans="1:3" x14ac:dyDescent="0.2">
      <c r="A5057" s="9"/>
      <c r="B5057" s="135">
        <v>43.68</v>
      </c>
      <c r="C5057" s="135"/>
    </row>
    <row r="5058" spans="1:3" x14ac:dyDescent="0.2">
      <c r="A5058" s="9"/>
      <c r="B5058" s="135">
        <v>43.69</v>
      </c>
      <c r="C5058" s="135"/>
    </row>
    <row r="5059" spans="1:3" x14ac:dyDescent="0.2">
      <c r="A5059" s="9"/>
      <c r="B5059" s="135">
        <v>43.7</v>
      </c>
      <c r="C5059" s="135"/>
    </row>
    <row r="5060" spans="1:3" x14ac:dyDescent="0.2">
      <c r="A5060" s="9"/>
      <c r="B5060" s="135">
        <v>43.71</v>
      </c>
      <c r="C5060" s="135"/>
    </row>
    <row r="5061" spans="1:3" x14ac:dyDescent="0.2">
      <c r="A5061" s="9"/>
      <c r="B5061" s="135">
        <v>43.72</v>
      </c>
      <c r="C5061" s="135"/>
    </row>
    <row r="5062" spans="1:3" x14ac:dyDescent="0.2">
      <c r="A5062" s="9"/>
      <c r="B5062" s="135">
        <v>43.73</v>
      </c>
      <c r="C5062" s="135"/>
    </row>
    <row r="5063" spans="1:3" x14ac:dyDescent="0.2">
      <c r="A5063" s="9"/>
      <c r="B5063" s="135">
        <v>43.74</v>
      </c>
      <c r="C5063" s="135"/>
    </row>
    <row r="5064" spans="1:3" x14ac:dyDescent="0.2">
      <c r="A5064" s="9"/>
      <c r="B5064" s="135">
        <v>43.75</v>
      </c>
      <c r="C5064" s="135"/>
    </row>
    <row r="5065" spans="1:3" x14ac:dyDescent="0.2">
      <c r="A5065" s="9"/>
      <c r="B5065" s="135">
        <v>43.76</v>
      </c>
      <c r="C5065" s="135"/>
    </row>
    <row r="5066" spans="1:3" x14ac:dyDescent="0.2">
      <c r="A5066" s="9"/>
      <c r="B5066" s="135">
        <v>43.77</v>
      </c>
      <c r="C5066" s="135"/>
    </row>
    <row r="5067" spans="1:3" x14ac:dyDescent="0.2">
      <c r="A5067" s="9"/>
      <c r="B5067" s="135">
        <v>43.78</v>
      </c>
      <c r="C5067" s="135"/>
    </row>
    <row r="5068" spans="1:3" x14ac:dyDescent="0.2">
      <c r="A5068" s="9"/>
      <c r="B5068" s="135">
        <v>43.79</v>
      </c>
      <c r="C5068" s="135"/>
    </row>
    <row r="5069" spans="1:3" x14ac:dyDescent="0.2">
      <c r="A5069" s="9"/>
      <c r="B5069" s="135">
        <v>43.8</v>
      </c>
      <c r="C5069" s="135"/>
    </row>
    <row r="5070" spans="1:3" x14ac:dyDescent="0.2">
      <c r="A5070" s="9"/>
      <c r="B5070" s="135">
        <v>43.81</v>
      </c>
      <c r="C5070" s="135"/>
    </row>
    <row r="5071" spans="1:3" x14ac:dyDescent="0.2">
      <c r="A5071" s="9"/>
      <c r="B5071" s="135">
        <v>43.82</v>
      </c>
      <c r="C5071" s="135"/>
    </row>
    <row r="5072" spans="1:3" x14ac:dyDescent="0.2">
      <c r="A5072" s="9"/>
      <c r="B5072" s="135">
        <v>43.83</v>
      </c>
      <c r="C5072" s="135"/>
    </row>
    <row r="5073" spans="1:3" x14ac:dyDescent="0.2">
      <c r="A5073" s="9"/>
      <c r="B5073" s="135">
        <v>43.84</v>
      </c>
      <c r="C5073" s="135"/>
    </row>
    <row r="5074" spans="1:3" x14ac:dyDescent="0.2">
      <c r="A5074" s="9"/>
      <c r="B5074" s="135">
        <v>43.85</v>
      </c>
      <c r="C5074" s="135"/>
    </row>
    <row r="5075" spans="1:3" x14ac:dyDescent="0.2">
      <c r="A5075" s="9"/>
      <c r="B5075" s="135">
        <v>43.86</v>
      </c>
      <c r="C5075" s="135"/>
    </row>
    <row r="5076" spans="1:3" x14ac:dyDescent="0.2">
      <c r="A5076" s="9"/>
      <c r="B5076" s="135">
        <v>43.87</v>
      </c>
      <c r="C5076" s="135"/>
    </row>
    <row r="5077" spans="1:3" x14ac:dyDescent="0.2">
      <c r="A5077" s="9"/>
      <c r="B5077" s="135">
        <v>43.88</v>
      </c>
      <c r="C5077" s="135"/>
    </row>
    <row r="5078" spans="1:3" x14ac:dyDescent="0.2">
      <c r="A5078" s="9"/>
      <c r="B5078" s="135">
        <v>43.89</v>
      </c>
      <c r="C5078" s="135"/>
    </row>
    <row r="5079" spans="1:3" x14ac:dyDescent="0.2">
      <c r="A5079" s="9"/>
      <c r="B5079" s="135">
        <v>43.9</v>
      </c>
      <c r="C5079" s="135"/>
    </row>
    <row r="5080" spans="1:3" x14ac:dyDescent="0.2">
      <c r="A5080" s="9"/>
      <c r="B5080" s="135">
        <v>43.91</v>
      </c>
      <c r="C5080" s="135"/>
    </row>
    <row r="5081" spans="1:3" x14ac:dyDescent="0.2">
      <c r="A5081" s="9"/>
      <c r="B5081" s="135">
        <v>43.92</v>
      </c>
      <c r="C5081" s="135"/>
    </row>
    <row r="5082" spans="1:3" x14ac:dyDescent="0.2">
      <c r="A5082" s="9"/>
      <c r="B5082" s="135">
        <v>43.93</v>
      </c>
      <c r="C5082" s="135"/>
    </row>
    <row r="5083" spans="1:3" x14ac:dyDescent="0.2">
      <c r="A5083" s="9"/>
      <c r="B5083" s="135">
        <v>43.94</v>
      </c>
      <c r="C5083" s="135"/>
    </row>
    <row r="5084" spans="1:3" x14ac:dyDescent="0.2">
      <c r="A5084" s="9"/>
      <c r="B5084" s="135">
        <v>43.95</v>
      </c>
      <c r="C5084" s="135"/>
    </row>
    <row r="5085" spans="1:3" x14ac:dyDescent="0.2">
      <c r="A5085" s="9"/>
      <c r="B5085" s="135">
        <v>43.96</v>
      </c>
      <c r="C5085" s="135"/>
    </row>
    <row r="5086" spans="1:3" x14ac:dyDescent="0.2">
      <c r="A5086" s="9"/>
      <c r="B5086" s="135">
        <v>43.97</v>
      </c>
      <c r="C5086" s="135"/>
    </row>
    <row r="5087" spans="1:3" x14ac:dyDescent="0.2">
      <c r="A5087" s="9"/>
      <c r="B5087" s="135">
        <v>43.98</v>
      </c>
      <c r="C5087" s="135"/>
    </row>
    <row r="5088" spans="1:3" x14ac:dyDescent="0.2">
      <c r="A5088" s="9"/>
      <c r="B5088" s="135">
        <v>43.99</v>
      </c>
      <c r="C5088" s="135"/>
    </row>
    <row r="5089" spans="1:3" x14ac:dyDescent="0.2">
      <c r="A5089" s="9"/>
      <c r="B5089" s="135">
        <v>44</v>
      </c>
      <c r="C5089" s="135"/>
    </row>
    <row r="5090" spans="1:3" x14ac:dyDescent="0.2">
      <c r="A5090" s="9"/>
      <c r="B5090" s="135">
        <v>44.01</v>
      </c>
      <c r="C5090" s="135"/>
    </row>
    <row r="5091" spans="1:3" x14ac:dyDescent="0.2">
      <c r="A5091" s="9"/>
      <c r="B5091" s="135">
        <v>44.02</v>
      </c>
      <c r="C5091" s="135"/>
    </row>
    <row r="5092" spans="1:3" x14ac:dyDescent="0.2">
      <c r="A5092" s="9"/>
      <c r="B5092" s="135">
        <v>44.03</v>
      </c>
      <c r="C5092" s="135"/>
    </row>
    <row r="5093" spans="1:3" x14ac:dyDescent="0.2">
      <c r="A5093" s="9"/>
      <c r="B5093" s="135">
        <v>44.04</v>
      </c>
      <c r="C5093" s="135"/>
    </row>
    <row r="5094" spans="1:3" x14ac:dyDescent="0.2">
      <c r="A5094" s="9"/>
      <c r="B5094" s="135">
        <v>44.05</v>
      </c>
      <c r="C5094" s="135"/>
    </row>
    <row r="5095" spans="1:3" x14ac:dyDescent="0.2">
      <c r="A5095" s="9"/>
      <c r="B5095" s="135">
        <v>44.06</v>
      </c>
      <c r="C5095" s="135"/>
    </row>
    <row r="5096" spans="1:3" x14ac:dyDescent="0.2">
      <c r="A5096" s="9"/>
      <c r="B5096" s="135">
        <v>44.07</v>
      </c>
      <c r="C5096" s="135"/>
    </row>
    <row r="5097" spans="1:3" x14ac:dyDescent="0.2">
      <c r="A5097" s="9"/>
      <c r="B5097" s="135">
        <v>44.08</v>
      </c>
      <c r="C5097" s="135"/>
    </row>
    <row r="5098" spans="1:3" x14ac:dyDescent="0.2">
      <c r="A5098" s="9"/>
      <c r="B5098" s="135">
        <v>44.09</v>
      </c>
      <c r="C5098" s="135"/>
    </row>
    <row r="5099" spans="1:3" x14ac:dyDescent="0.2">
      <c r="A5099" s="9"/>
      <c r="B5099" s="135">
        <v>44.1</v>
      </c>
      <c r="C5099" s="135"/>
    </row>
    <row r="5100" spans="1:3" x14ac:dyDescent="0.2">
      <c r="A5100" s="9"/>
      <c r="B5100" s="135">
        <v>44.11</v>
      </c>
      <c r="C5100" s="135"/>
    </row>
    <row r="5101" spans="1:3" x14ac:dyDescent="0.2">
      <c r="A5101" s="9"/>
      <c r="B5101" s="135">
        <v>44.12</v>
      </c>
      <c r="C5101" s="135"/>
    </row>
    <row r="5102" spans="1:3" x14ac:dyDescent="0.2">
      <c r="A5102" s="9"/>
      <c r="B5102" s="135">
        <v>44.13</v>
      </c>
      <c r="C5102" s="135"/>
    </row>
    <row r="5103" spans="1:3" x14ac:dyDescent="0.2">
      <c r="A5103" s="9"/>
      <c r="B5103" s="135">
        <v>44.14</v>
      </c>
      <c r="C5103" s="135"/>
    </row>
    <row r="5104" spans="1:3" x14ac:dyDescent="0.2">
      <c r="A5104" s="9"/>
      <c r="B5104" s="135">
        <v>44.15</v>
      </c>
      <c r="C5104" s="135"/>
    </row>
    <row r="5105" spans="1:3" x14ac:dyDescent="0.2">
      <c r="A5105" s="9"/>
      <c r="B5105" s="135">
        <v>44.16</v>
      </c>
      <c r="C5105" s="135"/>
    </row>
    <row r="5106" spans="1:3" x14ac:dyDescent="0.2">
      <c r="A5106" s="9"/>
      <c r="B5106" s="135">
        <v>44.17</v>
      </c>
      <c r="C5106" s="135"/>
    </row>
    <row r="5107" spans="1:3" x14ac:dyDescent="0.2">
      <c r="A5107" s="9"/>
      <c r="B5107" s="135">
        <v>44.18</v>
      </c>
      <c r="C5107" s="135"/>
    </row>
    <row r="5108" spans="1:3" x14ac:dyDescent="0.2">
      <c r="A5108" s="9"/>
      <c r="B5108" s="135">
        <v>44.19</v>
      </c>
      <c r="C5108" s="135"/>
    </row>
    <row r="5109" spans="1:3" x14ac:dyDescent="0.2">
      <c r="A5109" s="9"/>
      <c r="B5109" s="135">
        <v>44.2</v>
      </c>
      <c r="C5109" s="135"/>
    </row>
    <row r="5110" spans="1:3" x14ac:dyDescent="0.2">
      <c r="A5110" s="9"/>
      <c r="B5110" s="135">
        <v>44.21</v>
      </c>
      <c r="C5110" s="135"/>
    </row>
    <row r="5111" spans="1:3" x14ac:dyDescent="0.2">
      <c r="A5111" s="9"/>
      <c r="B5111" s="135">
        <v>44.22</v>
      </c>
      <c r="C5111" s="135"/>
    </row>
    <row r="5112" spans="1:3" x14ac:dyDescent="0.2">
      <c r="A5112" s="9"/>
      <c r="B5112" s="135">
        <v>44.23</v>
      </c>
      <c r="C5112" s="135"/>
    </row>
    <row r="5113" spans="1:3" x14ac:dyDescent="0.2">
      <c r="A5113" s="9"/>
      <c r="B5113" s="135">
        <v>44.24</v>
      </c>
      <c r="C5113" s="135"/>
    </row>
    <row r="5114" spans="1:3" x14ac:dyDescent="0.2">
      <c r="A5114" s="9"/>
      <c r="B5114" s="135">
        <v>44.25</v>
      </c>
      <c r="C5114" s="135"/>
    </row>
    <row r="5115" spans="1:3" x14ac:dyDescent="0.2">
      <c r="A5115" s="9"/>
      <c r="B5115" s="135">
        <v>44.26</v>
      </c>
      <c r="C5115" s="135"/>
    </row>
    <row r="5116" spans="1:3" x14ac:dyDescent="0.2">
      <c r="A5116" s="9"/>
      <c r="B5116" s="135">
        <v>44.27</v>
      </c>
      <c r="C5116" s="135"/>
    </row>
    <row r="5117" spans="1:3" x14ac:dyDescent="0.2">
      <c r="A5117" s="9"/>
      <c r="B5117" s="135">
        <v>44.28</v>
      </c>
      <c r="C5117" s="135"/>
    </row>
    <row r="5118" spans="1:3" x14ac:dyDescent="0.2">
      <c r="A5118" s="9"/>
      <c r="B5118" s="135">
        <v>44.29</v>
      </c>
      <c r="C5118" s="135"/>
    </row>
    <row r="5119" spans="1:3" x14ac:dyDescent="0.2">
      <c r="A5119" s="9"/>
      <c r="B5119" s="135">
        <v>44.3</v>
      </c>
      <c r="C5119" s="135"/>
    </row>
    <row r="5120" spans="1:3" x14ac:dyDescent="0.2">
      <c r="A5120" s="9"/>
      <c r="B5120" s="135">
        <v>44.31</v>
      </c>
      <c r="C5120" s="135"/>
    </row>
    <row r="5121" spans="1:3" x14ac:dyDescent="0.2">
      <c r="A5121" s="9"/>
      <c r="B5121" s="135">
        <v>44.32</v>
      </c>
      <c r="C5121" s="135"/>
    </row>
    <row r="5122" spans="1:3" x14ac:dyDescent="0.2">
      <c r="A5122" s="9"/>
      <c r="B5122" s="135">
        <v>44.33</v>
      </c>
      <c r="C5122" s="135"/>
    </row>
    <row r="5123" spans="1:3" x14ac:dyDescent="0.2">
      <c r="A5123" s="9"/>
      <c r="B5123" s="135">
        <v>44.34</v>
      </c>
      <c r="C5123" s="135"/>
    </row>
    <row r="5124" spans="1:3" x14ac:dyDescent="0.2">
      <c r="A5124" s="9"/>
      <c r="B5124" s="135">
        <v>44.35</v>
      </c>
      <c r="C5124" s="135"/>
    </row>
    <row r="5125" spans="1:3" x14ac:dyDescent="0.2">
      <c r="A5125" s="9"/>
      <c r="B5125" s="135">
        <v>44.36</v>
      </c>
      <c r="C5125" s="135"/>
    </row>
    <row r="5126" spans="1:3" x14ac:dyDescent="0.2">
      <c r="A5126" s="9"/>
      <c r="B5126" s="135">
        <v>44.37</v>
      </c>
      <c r="C5126" s="135"/>
    </row>
    <row r="5127" spans="1:3" x14ac:dyDescent="0.2">
      <c r="A5127" s="9"/>
      <c r="B5127" s="135">
        <v>44.38</v>
      </c>
      <c r="C5127" s="135"/>
    </row>
    <row r="5128" spans="1:3" x14ac:dyDescent="0.2">
      <c r="A5128" s="9"/>
      <c r="B5128" s="135">
        <v>44.39</v>
      </c>
      <c r="C5128" s="135"/>
    </row>
    <row r="5129" spans="1:3" x14ac:dyDescent="0.2">
      <c r="A5129" s="9"/>
      <c r="B5129" s="135">
        <v>44.4</v>
      </c>
      <c r="C5129" s="135"/>
    </row>
    <row r="5130" spans="1:3" x14ac:dyDescent="0.2">
      <c r="A5130" s="9"/>
      <c r="B5130" s="135">
        <v>44.41</v>
      </c>
      <c r="C5130" s="135"/>
    </row>
    <row r="5131" spans="1:3" x14ac:dyDescent="0.2">
      <c r="A5131" s="9"/>
      <c r="B5131" s="135">
        <v>44.42</v>
      </c>
      <c r="C5131" s="135"/>
    </row>
    <row r="5132" spans="1:3" x14ac:dyDescent="0.2">
      <c r="A5132" s="9"/>
      <c r="B5132" s="135">
        <v>44.43</v>
      </c>
      <c r="C5132" s="135"/>
    </row>
    <row r="5133" spans="1:3" x14ac:dyDescent="0.2">
      <c r="A5133" s="9"/>
      <c r="B5133" s="135">
        <v>44.44</v>
      </c>
      <c r="C5133" s="135"/>
    </row>
    <row r="5134" spans="1:3" x14ac:dyDescent="0.2">
      <c r="A5134" s="9"/>
      <c r="B5134" s="135">
        <v>44.45</v>
      </c>
      <c r="C5134" s="135"/>
    </row>
    <row r="5135" spans="1:3" x14ac:dyDescent="0.2">
      <c r="A5135" s="9"/>
      <c r="B5135" s="135">
        <v>44.46</v>
      </c>
      <c r="C5135" s="135"/>
    </row>
    <row r="5136" spans="1:3" x14ac:dyDescent="0.2">
      <c r="A5136" s="9"/>
      <c r="B5136" s="135">
        <v>44.47</v>
      </c>
      <c r="C5136" s="135"/>
    </row>
    <row r="5137" spans="1:3" x14ac:dyDescent="0.2">
      <c r="A5137" s="9"/>
      <c r="B5137" s="135">
        <v>44.48</v>
      </c>
      <c r="C5137" s="135"/>
    </row>
    <row r="5138" spans="1:3" x14ac:dyDescent="0.2">
      <c r="A5138" s="9"/>
      <c r="B5138" s="135">
        <v>44.49</v>
      </c>
      <c r="C5138" s="135"/>
    </row>
    <row r="5139" spans="1:3" x14ac:dyDescent="0.2">
      <c r="A5139" s="9"/>
      <c r="B5139" s="135">
        <v>44.5</v>
      </c>
      <c r="C5139" s="135"/>
    </row>
    <row r="5140" spans="1:3" x14ac:dyDescent="0.2">
      <c r="A5140" s="9"/>
      <c r="B5140" s="135">
        <v>44.51</v>
      </c>
      <c r="C5140" s="135"/>
    </row>
    <row r="5141" spans="1:3" x14ac:dyDescent="0.2">
      <c r="A5141" s="9"/>
      <c r="B5141" s="135">
        <v>44.52</v>
      </c>
      <c r="C5141" s="135"/>
    </row>
    <row r="5142" spans="1:3" x14ac:dyDescent="0.2">
      <c r="A5142" s="9"/>
      <c r="B5142" s="135">
        <v>44.53</v>
      </c>
      <c r="C5142" s="135"/>
    </row>
    <row r="5143" spans="1:3" x14ac:dyDescent="0.2">
      <c r="A5143" s="9"/>
      <c r="B5143" s="135">
        <v>44.54</v>
      </c>
      <c r="C5143" s="135"/>
    </row>
    <row r="5144" spans="1:3" x14ac:dyDescent="0.2">
      <c r="A5144" s="9"/>
      <c r="B5144" s="135">
        <v>44.55</v>
      </c>
      <c r="C5144" s="135"/>
    </row>
    <row r="5145" spans="1:3" x14ac:dyDescent="0.2">
      <c r="A5145" s="9"/>
      <c r="B5145" s="135">
        <v>44.56</v>
      </c>
      <c r="C5145" s="135"/>
    </row>
    <row r="5146" spans="1:3" x14ac:dyDescent="0.2">
      <c r="A5146" s="9"/>
      <c r="B5146" s="135">
        <v>44.57</v>
      </c>
      <c r="C5146" s="135"/>
    </row>
    <row r="5147" spans="1:3" x14ac:dyDescent="0.2">
      <c r="A5147" s="9"/>
      <c r="B5147" s="135">
        <v>44.58</v>
      </c>
      <c r="C5147" s="135"/>
    </row>
    <row r="5148" spans="1:3" x14ac:dyDescent="0.2">
      <c r="A5148" s="9"/>
      <c r="B5148" s="135">
        <v>44.59</v>
      </c>
      <c r="C5148" s="135"/>
    </row>
    <row r="5149" spans="1:3" x14ac:dyDescent="0.2">
      <c r="A5149" s="9"/>
      <c r="B5149" s="135">
        <v>44.6</v>
      </c>
      <c r="C5149" s="135"/>
    </row>
    <row r="5150" spans="1:3" x14ac:dyDescent="0.2">
      <c r="A5150" s="9"/>
      <c r="B5150" s="135">
        <v>44.61</v>
      </c>
      <c r="C5150" s="135"/>
    </row>
    <row r="5151" spans="1:3" x14ac:dyDescent="0.2">
      <c r="A5151" s="9"/>
      <c r="B5151" s="135">
        <v>44.62</v>
      </c>
      <c r="C5151" s="135"/>
    </row>
    <row r="5152" spans="1:3" x14ac:dyDescent="0.2">
      <c r="A5152" s="9"/>
      <c r="B5152" s="135">
        <v>44.63</v>
      </c>
      <c r="C5152" s="135"/>
    </row>
    <row r="5153" spans="1:3" x14ac:dyDescent="0.2">
      <c r="A5153" s="9"/>
      <c r="B5153" s="135">
        <v>44.64</v>
      </c>
      <c r="C5153" s="135"/>
    </row>
    <row r="5154" spans="1:3" x14ac:dyDescent="0.2">
      <c r="A5154" s="9"/>
      <c r="B5154" s="135">
        <v>44.65</v>
      </c>
      <c r="C5154" s="135"/>
    </row>
    <row r="5155" spans="1:3" x14ac:dyDescent="0.2">
      <c r="A5155" s="9"/>
      <c r="B5155" s="135">
        <v>44.66</v>
      </c>
      <c r="C5155" s="135"/>
    </row>
    <row r="5156" spans="1:3" x14ac:dyDescent="0.2">
      <c r="A5156" s="9"/>
      <c r="B5156" s="135">
        <v>44.67</v>
      </c>
      <c r="C5156" s="135"/>
    </row>
    <row r="5157" spans="1:3" x14ac:dyDescent="0.2">
      <c r="A5157" s="9"/>
      <c r="B5157" s="135">
        <v>44.68</v>
      </c>
      <c r="C5157" s="135"/>
    </row>
    <row r="5158" spans="1:3" x14ac:dyDescent="0.2">
      <c r="A5158" s="9"/>
      <c r="B5158" s="135">
        <v>44.69</v>
      </c>
      <c r="C5158" s="135"/>
    </row>
    <row r="5159" spans="1:3" x14ac:dyDescent="0.2">
      <c r="A5159" s="9"/>
      <c r="B5159" s="135">
        <v>44.7</v>
      </c>
      <c r="C5159" s="135"/>
    </row>
    <row r="5160" spans="1:3" x14ac:dyDescent="0.2">
      <c r="A5160" s="9"/>
      <c r="B5160" s="135">
        <v>44.71</v>
      </c>
      <c r="C5160" s="135"/>
    </row>
    <row r="5161" spans="1:3" x14ac:dyDescent="0.2">
      <c r="A5161" s="9"/>
      <c r="B5161" s="135">
        <v>44.72</v>
      </c>
      <c r="C5161" s="135"/>
    </row>
    <row r="5162" spans="1:3" x14ac:dyDescent="0.2">
      <c r="A5162" s="9"/>
      <c r="B5162" s="135">
        <v>44.73</v>
      </c>
      <c r="C5162" s="135"/>
    </row>
    <row r="5163" spans="1:3" x14ac:dyDescent="0.2">
      <c r="A5163" s="9"/>
      <c r="B5163" s="135">
        <v>44.74</v>
      </c>
      <c r="C5163" s="135"/>
    </row>
    <row r="5164" spans="1:3" x14ac:dyDescent="0.2">
      <c r="A5164" s="9"/>
      <c r="B5164" s="135">
        <v>44.75</v>
      </c>
      <c r="C5164" s="135"/>
    </row>
    <row r="5165" spans="1:3" x14ac:dyDescent="0.2">
      <c r="A5165" s="9"/>
      <c r="B5165" s="135">
        <v>44.76</v>
      </c>
      <c r="C5165" s="135"/>
    </row>
    <row r="5166" spans="1:3" x14ac:dyDescent="0.2">
      <c r="A5166" s="9"/>
      <c r="B5166" s="135">
        <v>44.77</v>
      </c>
      <c r="C5166" s="135"/>
    </row>
    <row r="5167" spans="1:3" x14ac:dyDescent="0.2">
      <c r="A5167" s="9"/>
      <c r="B5167" s="135">
        <v>44.78</v>
      </c>
      <c r="C5167" s="135"/>
    </row>
    <row r="5168" spans="1:3" x14ac:dyDescent="0.2">
      <c r="A5168" s="9"/>
      <c r="B5168" s="135">
        <v>44.79</v>
      </c>
      <c r="C5168" s="135"/>
    </row>
    <row r="5169" spans="1:3" x14ac:dyDescent="0.2">
      <c r="A5169" s="9"/>
      <c r="B5169" s="135">
        <v>44.8</v>
      </c>
      <c r="C5169" s="135"/>
    </row>
    <row r="5170" spans="1:3" x14ac:dyDescent="0.2">
      <c r="A5170" s="9"/>
      <c r="B5170" s="135">
        <v>44.81</v>
      </c>
      <c r="C5170" s="135"/>
    </row>
    <row r="5171" spans="1:3" x14ac:dyDescent="0.2">
      <c r="A5171" s="9"/>
      <c r="B5171" s="135">
        <v>44.82</v>
      </c>
      <c r="C5171" s="135"/>
    </row>
    <row r="5172" spans="1:3" x14ac:dyDescent="0.2">
      <c r="A5172" s="9"/>
      <c r="B5172" s="135">
        <v>44.83</v>
      </c>
      <c r="C5172" s="135"/>
    </row>
    <row r="5173" spans="1:3" x14ac:dyDescent="0.2">
      <c r="A5173" s="9"/>
      <c r="B5173" s="135">
        <v>44.84</v>
      </c>
      <c r="C5173" s="135"/>
    </row>
    <row r="5174" spans="1:3" x14ac:dyDescent="0.2">
      <c r="A5174" s="9"/>
      <c r="B5174" s="135">
        <v>44.85</v>
      </c>
      <c r="C5174" s="135"/>
    </row>
    <row r="5175" spans="1:3" x14ac:dyDescent="0.2">
      <c r="A5175" s="9"/>
      <c r="B5175" s="135">
        <v>44.86</v>
      </c>
      <c r="C5175" s="135"/>
    </row>
    <row r="5176" spans="1:3" x14ac:dyDescent="0.2">
      <c r="A5176" s="9"/>
      <c r="B5176" s="135">
        <v>44.87</v>
      </c>
      <c r="C5176" s="135"/>
    </row>
    <row r="5177" spans="1:3" x14ac:dyDescent="0.2">
      <c r="A5177" s="9"/>
      <c r="B5177" s="135">
        <v>44.88</v>
      </c>
      <c r="C5177" s="135"/>
    </row>
    <row r="5178" spans="1:3" x14ac:dyDescent="0.2">
      <c r="A5178" s="9"/>
      <c r="B5178" s="135">
        <v>44.89</v>
      </c>
      <c r="C5178" s="135"/>
    </row>
    <row r="5179" spans="1:3" x14ac:dyDescent="0.2">
      <c r="A5179" s="9"/>
      <c r="B5179" s="135">
        <v>44.9</v>
      </c>
      <c r="C5179" s="135"/>
    </row>
    <row r="5180" spans="1:3" x14ac:dyDescent="0.2">
      <c r="A5180" s="9"/>
      <c r="B5180" s="135">
        <v>44.91</v>
      </c>
      <c r="C5180" s="135"/>
    </row>
    <row r="5181" spans="1:3" x14ac:dyDescent="0.2">
      <c r="A5181" s="9"/>
      <c r="B5181" s="135">
        <v>44.92</v>
      </c>
      <c r="C5181" s="135"/>
    </row>
    <row r="5182" spans="1:3" x14ac:dyDescent="0.2">
      <c r="A5182" s="9"/>
      <c r="B5182" s="135">
        <v>44.93</v>
      </c>
      <c r="C5182" s="135"/>
    </row>
    <row r="5183" spans="1:3" x14ac:dyDescent="0.2">
      <c r="A5183" s="9"/>
      <c r="B5183" s="135">
        <v>44.94</v>
      </c>
      <c r="C5183" s="135"/>
    </row>
    <row r="5184" spans="1:3" x14ac:dyDescent="0.2">
      <c r="A5184" s="9"/>
      <c r="B5184" s="135">
        <v>44.95</v>
      </c>
      <c r="C5184" s="135"/>
    </row>
    <row r="5185" spans="1:3" x14ac:dyDescent="0.2">
      <c r="A5185" s="9"/>
      <c r="B5185" s="135">
        <v>44.96</v>
      </c>
      <c r="C5185" s="135"/>
    </row>
    <row r="5186" spans="1:3" x14ac:dyDescent="0.2">
      <c r="A5186" s="9"/>
      <c r="B5186" s="135">
        <v>44.97</v>
      </c>
      <c r="C5186" s="135"/>
    </row>
    <row r="5187" spans="1:3" x14ac:dyDescent="0.2">
      <c r="A5187" s="9"/>
      <c r="B5187" s="135">
        <v>44.98</v>
      </c>
      <c r="C5187" s="135"/>
    </row>
    <row r="5188" spans="1:3" x14ac:dyDescent="0.2">
      <c r="A5188" s="9"/>
      <c r="B5188" s="135">
        <v>44.99</v>
      </c>
      <c r="C5188" s="135"/>
    </row>
    <row r="5189" spans="1:3" x14ac:dyDescent="0.2">
      <c r="A5189" s="9"/>
      <c r="B5189" s="135">
        <v>45</v>
      </c>
      <c r="C5189" s="135"/>
    </row>
    <row r="5190" spans="1:3" x14ac:dyDescent="0.2">
      <c r="A5190" s="9"/>
      <c r="B5190" s="135">
        <v>45.01</v>
      </c>
      <c r="C5190" s="135"/>
    </row>
    <row r="5191" spans="1:3" x14ac:dyDescent="0.2">
      <c r="A5191" s="9"/>
      <c r="B5191" s="135">
        <v>45.02</v>
      </c>
      <c r="C5191" s="135"/>
    </row>
    <row r="5192" spans="1:3" x14ac:dyDescent="0.2">
      <c r="A5192" s="9"/>
      <c r="B5192" s="135">
        <v>45.03</v>
      </c>
      <c r="C5192" s="135"/>
    </row>
    <row r="5193" spans="1:3" x14ac:dyDescent="0.2">
      <c r="A5193" s="9"/>
      <c r="B5193" s="135">
        <v>45.04</v>
      </c>
      <c r="C5193" s="135"/>
    </row>
    <row r="5194" spans="1:3" x14ac:dyDescent="0.2">
      <c r="A5194" s="9"/>
      <c r="B5194" s="135">
        <v>45.05</v>
      </c>
      <c r="C5194" s="135"/>
    </row>
    <row r="5195" spans="1:3" x14ac:dyDescent="0.2">
      <c r="A5195" s="9"/>
      <c r="B5195" s="135">
        <v>45.06</v>
      </c>
      <c r="C5195" s="135"/>
    </row>
    <row r="5196" spans="1:3" x14ac:dyDescent="0.2">
      <c r="A5196" s="9"/>
      <c r="B5196" s="135">
        <v>45.07</v>
      </c>
      <c r="C5196" s="135"/>
    </row>
    <row r="5197" spans="1:3" x14ac:dyDescent="0.2">
      <c r="A5197" s="9"/>
      <c r="B5197" s="135">
        <v>45.08</v>
      </c>
      <c r="C5197" s="135"/>
    </row>
    <row r="5198" spans="1:3" x14ac:dyDescent="0.2">
      <c r="A5198" s="9"/>
      <c r="B5198" s="135">
        <v>45.09</v>
      </c>
      <c r="C5198" s="135"/>
    </row>
    <row r="5199" spans="1:3" x14ac:dyDescent="0.2">
      <c r="A5199" s="9"/>
      <c r="B5199" s="135">
        <v>45.1</v>
      </c>
      <c r="C5199" s="135"/>
    </row>
    <row r="5200" spans="1:3" x14ac:dyDescent="0.2">
      <c r="A5200" s="9"/>
      <c r="B5200" s="135">
        <v>45.11</v>
      </c>
      <c r="C5200" s="135"/>
    </row>
    <row r="5201" spans="1:3" x14ac:dyDescent="0.2">
      <c r="A5201" s="9"/>
      <c r="B5201" s="135">
        <v>45.12</v>
      </c>
      <c r="C5201" s="135"/>
    </row>
    <row r="5202" spans="1:3" x14ac:dyDescent="0.2">
      <c r="A5202" s="9"/>
      <c r="B5202" s="135">
        <v>45.13</v>
      </c>
      <c r="C5202" s="135"/>
    </row>
    <row r="5203" spans="1:3" x14ac:dyDescent="0.2">
      <c r="A5203" s="9"/>
      <c r="B5203" s="135">
        <v>45.14</v>
      </c>
      <c r="C5203" s="135"/>
    </row>
    <row r="5204" spans="1:3" x14ac:dyDescent="0.2">
      <c r="A5204" s="9"/>
      <c r="B5204" s="135">
        <v>45.15</v>
      </c>
      <c r="C5204" s="135"/>
    </row>
    <row r="5205" spans="1:3" x14ac:dyDescent="0.2">
      <c r="A5205" s="9"/>
      <c r="B5205" s="135">
        <v>45.16</v>
      </c>
      <c r="C5205" s="135"/>
    </row>
    <row r="5206" spans="1:3" x14ac:dyDescent="0.2">
      <c r="A5206" s="9"/>
      <c r="B5206" s="135">
        <v>45.17</v>
      </c>
      <c r="C5206" s="135"/>
    </row>
    <row r="5207" spans="1:3" x14ac:dyDescent="0.2">
      <c r="A5207" s="9"/>
      <c r="B5207" s="135">
        <v>45.18</v>
      </c>
      <c r="C5207" s="135"/>
    </row>
    <row r="5208" spans="1:3" x14ac:dyDescent="0.2">
      <c r="A5208" s="9"/>
      <c r="B5208" s="135">
        <v>45.19</v>
      </c>
      <c r="C5208" s="135"/>
    </row>
    <row r="5209" spans="1:3" x14ac:dyDescent="0.2">
      <c r="A5209" s="9"/>
      <c r="B5209" s="135">
        <v>45.2</v>
      </c>
      <c r="C5209" s="135"/>
    </row>
    <row r="5210" spans="1:3" x14ac:dyDescent="0.2">
      <c r="A5210" s="9"/>
      <c r="B5210" s="135">
        <v>45.21</v>
      </c>
      <c r="C5210" s="135"/>
    </row>
    <row r="5211" spans="1:3" x14ac:dyDescent="0.2">
      <c r="A5211" s="9"/>
      <c r="B5211" s="135">
        <v>45.22</v>
      </c>
      <c r="C5211" s="135"/>
    </row>
    <row r="5212" spans="1:3" x14ac:dyDescent="0.2">
      <c r="A5212" s="9"/>
      <c r="B5212" s="135">
        <v>45.23</v>
      </c>
      <c r="C5212" s="135"/>
    </row>
    <row r="5213" spans="1:3" x14ac:dyDescent="0.2">
      <c r="A5213" s="9"/>
      <c r="B5213" s="135">
        <v>45.24</v>
      </c>
      <c r="C5213" s="135"/>
    </row>
    <row r="5214" spans="1:3" x14ac:dyDescent="0.2">
      <c r="A5214" s="9"/>
      <c r="B5214" s="135">
        <v>45.25</v>
      </c>
      <c r="C5214" s="135"/>
    </row>
    <row r="5215" spans="1:3" x14ac:dyDescent="0.2">
      <c r="A5215" s="9"/>
      <c r="B5215" s="135">
        <v>45.26</v>
      </c>
      <c r="C5215" s="135"/>
    </row>
    <row r="5216" spans="1:3" x14ac:dyDescent="0.2">
      <c r="A5216" s="9"/>
      <c r="B5216" s="135">
        <v>45.27</v>
      </c>
      <c r="C5216" s="135"/>
    </row>
    <row r="5217" spans="1:3" x14ac:dyDescent="0.2">
      <c r="A5217" s="9"/>
      <c r="B5217" s="135">
        <v>45.28</v>
      </c>
      <c r="C5217" s="135"/>
    </row>
    <row r="5218" spans="1:3" x14ac:dyDescent="0.2">
      <c r="A5218" s="9"/>
      <c r="B5218" s="135">
        <v>45.29</v>
      </c>
      <c r="C5218" s="135"/>
    </row>
    <row r="5219" spans="1:3" x14ac:dyDescent="0.2">
      <c r="A5219" s="9"/>
      <c r="B5219" s="135">
        <v>45.3</v>
      </c>
      <c r="C5219" s="135"/>
    </row>
    <row r="5220" spans="1:3" x14ac:dyDescent="0.2">
      <c r="A5220" s="9"/>
      <c r="B5220" s="135">
        <v>45.31</v>
      </c>
      <c r="C5220" s="135"/>
    </row>
    <row r="5221" spans="1:3" x14ac:dyDescent="0.2">
      <c r="A5221" s="9"/>
      <c r="B5221" s="135">
        <v>45.32</v>
      </c>
      <c r="C5221" s="135"/>
    </row>
    <row r="5222" spans="1:3" x14ac:dyDescent="0.2">
      <c r="A5222" s="9"/>
      <c r="B5222" s="135">
        <v>45.33</v>
      </c>
      <c r="C5222" s="135"/>
    </row>
    <row r="5223" spans="1:3" x14ac:dyDescent="0.2">
      <c r="A5223" s="9"/>
      <c r="B5223" s="135">
        <v>45.34</v>
      </c>
      <c r="C5223" s="135"/>
    </row>
    <row r="5224" spans="1:3" x14ac:dyDescent="0.2">
      <c r="A5224" s="9"/>
      <c r="B5224" s="135">
        <v>45.35</v>
      </c>
      <c r="C5224" s="135"/>
    </row>
    <row r="5225" spans="1:3" x14ac:dyDescent="0.2">
      <c r="A5225" s="9"/>
      <c r="B5225" s="135">
        <v>45.36</v>
      </c>
      <c r="C5225" s="135"/>
    </row>
    <row r="5226" spans="1:3" x14ac:dyDescent="0.2">
      <c r="A5226" s="9"/>
      <c r="B5226" s="135">
        <v>45.37</v>
      </c>
      <c r="C5226" s="135"/>
    </row>
    <row r="5227" spans="1:3" x14ac:dyDescent="0.2">
      <c r="A5227" s="9"/>
      <c r="B5227" s="135">
        <v>45.38</v>
      </c>
      <c r="C5227" s="135"/>
    </row>
    <row r="5228" spans="1:3" x14ac:dyDescent="0.2">
      <c r="A5228" s="9"/>
      <c r="B5228" s="135">
        <v>45.39</v>
      </c>
      <c r="C5228" s="135"/>
    </row>
    <row r="5229" spans="1:3" x14ac:dyDescent="0.2">
      <c r="A5229" s="9"/>
      <c r="B5229" s="135">
        <v>45.4</v>
      </c>
      <c r="C5229" s="135"/>
    </row>
    <row r="5230" spans="1:3" x14ac:dyDescent="0.2">
      <c r="A5230" s="9"/>
      <c r="B5230" s="135">
        <v>45.41</v>
      </c>
      <c r="C5230" s="135"/>
    </row>
    <row r="5231" spans="1:3" x14ac:dyDescent="0.2">
      <c r="A5231" s="9"/>
      <c r="B5231" s="135">
        <v>45.42</v>
      </c>
      <c r="C5231" s="135"/>
    </row>
    <row r="5232" spans="1:3" x14ac:dyDescent="0.2">
      <c r="A5232" s="9"/>
      <c r="B5232" s="135">
        <v>45.43</v>
      </c>
      <c r="C5232" s="135"/>
    </row>
    <row r="5233" spans="1:3" x14ac:dyDescent="0.2">
      <c r="A5233" s="9"/>
      <c r="B5233" s="135">
        <v>45.44</v>
      </c>
      <c r="C5233" s="135"/>
    </row>
    <row r="5234" spans="1:3" x14ac:dyDescent="0.2">
      <c r="A5234" s="9"/>
      <c r="B5234" s="135">
        <v>45.45</v>
      </c>
      <c r="C5234" s="135"/>
    </row>
    <row r="5235" spans="1:3" x14ac:dyDescent="0.2">
      <c r="A5235" s="9"/>
      <c r="B5235" s="135">
        <v>45.46</v>
      </c>
      <c r="C5235" s="135"/>
    </row>
    <row r="5236" spans="1:3" x14ac:dyDescent="0.2">
      <c r="A5236" s="9"/>
      <c r="B5236" s="135">
        <v>45.47</v>
      </c>
      <c r="C5236" s="135"/>
    </row>
    <row r="5237" spans="1:3" x14ac:dyDescent="0.2">
      <c r="A5237" s="9"/>
      <c r="B5237" s="135">
        <v>45.48</v>
      </c>
      <c r="C5237" s="135"/>
    </row>
    <row r="5238" spans="1:3" x14ac:dyDescent="0.2">
      <c r="A5238" s="9"/>
      <c r="B5238" s="135">
        <v>45.49</v>
      </c>
      <c r="C5238" s="135"/>
    </row>
    <row r="5239" spans="1:3" x14ac:dyDescent="0.2">
      <c r="A5239" s="9"/>
      <c r="B5239" s="135">
        <v>45.5</v>
      </c>
      <c r="C5239" s="135"/>
    </row>
    <row r="5240" spans="1:3" x14ac:dyDescent="0.2">
      <c r="A5240" s="9"/>
      <c r="B5240" s="135">
        <v>45.51</v>
      </c>
      <c r="C5240" s="135"/>
    </row>
    <row r="5241" spans="1:3" x14ac:dyDescent="0.2">
      <c r="A5241" s="9"/>
      <c r="B5241" s="135">
        <v>45.52</v>
      </c>
      <c r="C5241" s="135"/>
    </row>
    <row r="5242" spans="1:3" x14ac:dyDescent="0.2">
      <c r="A5242" s="9"/>
      <c r="B5242" s="135">
        <v>45.53</v>
      </c>
      <c r="C5242" s="135"/>
    </row>
    <row r="5243" spans="1:3" x14ac:dyDescent="0.2">
      <c r="A5243" s="9"/>
      <c r="B5243" s="135">
        <v>45.54</v>
      </c>
      <c r="C5243" s="135"/>
    </row>
    <row r="5244" spans="1:3" x14ac:dyDescent="0.2">
      <c r="A5244" s="9"/>
      <c r="B5244" s="135">
        <v>45.55</v>
      </c>
      <c r="C5244" s="135"/>
    </row>
    <row r="5245" spans="1:3" x14ac:dyDescent="0.2">
      <c r="A5245" s="9"/>
      <c r="B5245" s="135">
        <v>45.56</v>
      </c>
      <c r="C5245" s="135"/>
    </row>
    <row r="5246" spans="1:3" x14ac:dyDescent="0.2">
      <c r="A5246" s="9"/>
      <c r="B5246" s="135">
        <v>45.57</v>
      </c>
      <c r="C5246" s="135"/>
    </row>
    <row r="5247" spans="1:3" x14ac:dyDescent="0.2">
      <c r="A5247" s="9"/>
      <c r="B5247" s="135">
        <v>45.58</v>
      </c>
      <c r="C5247" s="135"/>
    </row>
    <row r="5248" spans="1:3" x14ac:dyDescent="0.2">
      <c r="A5248" s="9"/>
      <c r="B5248" s="135">
        <v>45.59</v>
      </c>
      <c r="C5248" s="135"/>
    </row>
    <row r="5249" spans="1:3" x14ac:dyDescent="0.2">
      <c r="A5249" s="9"/>
      <c r="B5249" s="135">
        <v>45.6</v>
      </c>
      <c r="C5249" s="135"/>
    </row>
    <row r="5250" spans="1:3" x14ac:dyDescent="0.2">
      <c r="A5250" s="9"/>
      <c r="B5250" s="135">
        <v>45.61</v>
      </c>
      <c r="C5250" s="135"/>
    </row>
    <row r="5251" spans="1:3" x14ac:dyDescent="0.2">
      <c r="A5251" s="9"/>
      <c r="B5251" s="135">
        <v>45.62</v>
      </c>
      <c r="C5251" s="135"/>
    </row>
    <row r="5252" spans="1:3" x14ac:dyDescent="0.2">
      <c r="A5252" s="9"/>
      <c r="B5252" s="135">
        <v>45.63</v>
      </c>
      <c r="C5252" s="135"/>
    </row>
    <row r="5253" spans="1:3" x14ac:dyDescent="0.2">
      <c r="A5253" s="9"/>
      <c r="B5253" s="135">
        <v>45.64</v>
      </c>
      <c r="C5253" s="135"/>
    </row>
    <row r="5254" spans="1:3" x14ac:dyDescent="0.2">
      <c r="A5254" s="9"/>
      <c r="B5254" s="135">
        <v>45.65</v>
      </c>
      <c r="C5254" s="135"/>
    </row>
    <row r="5255" spans="1:3" x14ac:dyDescent="0.2">
      <c r="A5255" s="9"/>
      <c r="B5255" s="135">
        <v>45.66</v>
      </c>
      <c r="C5255" s="135"/>
    </row>
    <row r="5256" spans="1:3" x14ac:dyDescent="0.2">
      <c r="A5256" s="9"/>
      <c r="B5256" s="135">
        <v>45.67</v>
      </c>
      <c r="C5256" s="135"/>
    </row>
    <row r="5257" spans="1:3" x14ac:dyDescent="0.2">
      <c r="A5257" s="9"/>
      <c r="B5257" s="135">
        <v>45.68</v>
      </c>
      <c r="C5257" s="135"/>
    </row>
    <row r="5258" spans="1:3" x14ac:dyDescent="0.2">
      <c r="A5258" s="9"/>
      <c r="B5258" s="135">
        <v>45.69</v>
      </c>
      <c r="C5258" s="135"/>
    </row>
    <row r="5259" spans="1:3" x14ac:dyDescent="0.2">
      <c r="A5259" s="9"/>
      <c r="B5259" s="135">
        <v>45.7</v>
      </c>
      <c r="C5259" s="135"/>
    </row>
    <row r="5260" spans="1:3" x14ac:dyDescent="0.2">
      <c r="A5260" s="9"/>
      <c r="B5260" s="135">
        <v>45.71</v>
      </c>
      <c r="C5260" s="135"/>
    </row>
    <row r="5261" spans="1:3" x14ac:dyDescent="0.2">
      <c r="A5261" s="9"/>
      <c r="B5261" s="135">
        <v>45.72</v>
      </c>
      <c r="C5261" s="135"/>
    </row>
    <row r="5262" spans="1:3" x14ac:dyDescent="0.2">
      <c r="A5262" s="9"/>
      <c r="B5262" s="135">
        <v>45.73</v>
      </c>
      <c r="C5262" s="135"/>
    </row>
    <row r="5263" spans="1:3" x14ac:dyDescent="0.2">
      <c r="A5263" s="9"/>
      <c r="B5263" s="135">
        <v>45.74</v>
      </c>
      <c r="C5263" s="135"/>
    </row>
    <row r="5264" spans="1:3" x14ac:dyDescent="0.2">
      <c r="A5264" s="9"/>
      <c r="B5264" s="135">
        <v>45.75</v>
      </c>
      <c r="C5264" s="135"/>
    </row>
    <row r="5265" spans="1:3" x14ac:dyDescent="0.2">
      <c r="A5265" s="9"/>
      <c r="B5265" s="135">
        <v>45.76</v>
      </c>
      <c r="C5265" s="135"/>
    </row>
    <row r="5266" spans="1:3" x14ac:dyDescent="0.2">
      <c r="A5266" s="9"/>
      <c r="B5266" s="135">
        <v>45.77</v>
      </c>
      <c r="C5266" s="135"/>
    </row>
    <row r="5267" spans="1:3" x14ac:dyDescent="0.2">
      <c r="A5267" s="9"/>
      <c r="B5267" s="135">
        <v>45.78</v>
      </c>
      <c r="C5267" s="135"/>
    </row>
    <row r="5268" spans="1:3" x14ac:dyDescent="0.2">
      <c r="A5268" s="9"/>
      <c r="B5268" s="135">
        <v>45.79</v>
      </c>
      <c r="C5268" s="135"/>
    </row>
    <row r="5269" spans="1:3" x14ac:dyDescent="0.2">
      <c r="A5269" s="9"/>
      <c r="B5269" s="135">
        <v>45.8</v>
      </c>
      <c r="C5269" s="135"/>
    </row>
    <row r="5270" spans="1:3" x14ac:dyDescent="0.2">
      <c r="A5270" s="9"/>
      <c r="B5270" s="135">
        <v>45.81</v>
      </c>
      <c r="C5270" s="135"/>
    </row>
    <row r="5271" spans="1:3" x14ac:dyDescent="0.2">
      <c r="A5271" s="9"/>
      <c r="B5271" s="135">
        <v>45.82</v>
      </c>
      <c r="C5271" s="135"/>
    </row>
    <row r="5272" spans="1:3" x14ac:dyDescent="0.2">
      <c r="A5272" s="9"/>
      <c r="B5272" s="135">
        <v>45.83</v>
      </c>
      <c r="C5272" s="135"/>
    </row>
    <row r="5273" spans="1:3" x14ac:dyDescent="0.2">
      <c r="A5273" s="9"/>
      <c r="B5273" s="135">
        <v>45.84</v>
      </c>
      <c r="C5273" s="135"/>
    </row>
    <row r="5274" spans="1:3" x14ac:dyDescent="0.2">
      <c r="A5274" s="9"/>
      <c r="B5274" s="135">
        <v>45.85</v>
      </c>
      <c r="C5274" s="135"/>
    </row>
    <row r="5275" spans="1:3" x14ac:dyDescent="0.2">
      <c r="A5275" s="9"/>
      <c r="B5275" s="135">
        <v>45.86</v>
      </c>
      <c r="C5275" s="135"/>
    </row>
    <row r="5276" spans="1:3" x14ac:dyDescent="0.2">
      <c r="A5276" s="9"/>
      <c r="B5276" s="135">
        <v>45.87</v>
      </c>
      <c r="C5276" s="135"/>
    </row>
    <row r="5277" spans="1:3" x14ac:dyDescent="0.2">
      <c r="A5277" s="9"/>
      <c r="B5277" s="135">
        <v>45.88</v>
      </c>
      <c r="C5277" s="135"/>
    </row>
    <row r="5278" spans="1:3" x14ac:dyDescent="0.2">
      <c r="A5278" s="9"/>
      <c r="B5278" s="135">
        <v>45.89</v>
      </c>
      <c r="C5278" s="135"/>
    </row>
    <row r="5279" spans="1:3" x14ac:dyDescent="0.2">
      <c r="A5279" s="9"/>
      <c r="B5279" s="135">
        <v>45.9</v>
      </c>
      <c r="C5279" s="135"/>
    </row>
    <row r="5280" spans="1:3" x14ac:dyDescent="0.2">
      <c r="A5280" s="9"/>
      <c r="B5280" s="135">
        <v>45.91</v>
      </c>
      <c r="C5280" s="135"/>
    </row>
    <row r="5281" spans="1:3" x14ac:dyDescent="0.2">
      <c r="A5281" s="9"/>
      <c r="B5281" s="135">
        <v>45.92</v>
      </c>
      <c r="C5281" s="135"/>
    </row>
    <row r="5282" spans="1:3" x14ac:dyDescent="0.2">
      <c r="A5282" s="9"/>
      <c r="B5282" s="135">
        <v>45.93</v>
      </c>
      <c r="C5282" s="135"/>
    </row>
    <row r="5283" spans="1:3" x14ac:dyDescent="0.2">
      <c r="A5283" s="9"/>
      <c r="B5283" s="135">
        <v>45.94</v>
      </c>
      <c r="C5283" s="135"/>
    </row>
    <row r="5284" spans="1:3" x14ac:dyDescent="0.2">
      <c r="A5284" s="9"/>
      <c r="B5284" s="135">
        <v>45.95</v>
      </c>
      <c r="C5284" s="135"/>
    </row>
    <row r="5285" spans="1:3" x14ac:dyDescent="0.2">
      <c r="A5285" s="9"/>
      <c r="B5285" s="135">
        <v>45.96</v>
      </c>
      <c r="C5285" s="135"/>
    </row>
    <row r="5286" spans="1:3" x14ac:dyDescent="0.2">
      <c r="A5286" s="9"/>
      <c r="B5286" s="135">
        <v>45.97</v>
      </c>
      <c r="C5286" s="135"/>
    </row>
    <row r="5287" spans="1:3" x14ac:dyDescent="0.2">
      <c r="A5287" s="9"/>
      <c r="B5287" s="135">
        <v>45.98</v>
      </c>
      <c r="C5287" s="135"/>
    </row>
    <row r="5288" spans="1:3" x14ac:dyDescent="0.2">
      <c r="A5288" s="9"/>
      <c r="B5288" s="135">
        <v>45.99</v>
      </c>
      <c r="C5288" s="135"/>
    </row>
    <row r="5289" spans="1:3" x14ac:dyDescent="0.2">
      <c r="A5289" s="9"/>
      <c r="B5289" s="135">
        <v>46</v>
      </c>
      <c r="C5289" s="135"/>
    </row>
    <row r="5290" spans="1:3" x14ac:dyDescent="0.2">
      <c r="A5290" s="9"/>
      <c r="B5290" s="135">
        <v>46.01</v>
      </c>
      <c r="C5290" s="135"/>
    </row>
    <row r="5291" spans="1:3" x14ac:dyDescent="0.2">
      <c r="A5291" s="9"/>
      <c r="B5291" s="135">
        <v>46.02</v>
      </c>
      <c r="C5291" s="135"/>
    </row>
    <row r="5292" spans="1:3" x14ac:dyDescent="0.2">
      <c r="A5292" s="9"/>
      <c r="B5292" s="135">
        <v>46.03</v>
      </c>
      <c r="C5292" s="135"/>
    </row>
    <row r="5293" spans="1:3" x14ac:dyDescent="0.2">
      <c r="A5293" s="9"/>
      <c r="B5293" s="135">
        <v>46.04</v>
      </c>
      <c r="C5293" s="135"/>
    </row>
    <row r="5294" spans="1:3" x14ac:dyDescent="0.2">
      <c r="A5294" s="9"/>
      <c r="B5294" s="135">
        <v>46.05</v>
      </c>
      <c r="C5294" s="135"/>
    </row>
    <row r="5295" spans="1:3" x14ac:dyDescent="0.2">
      <c r="A5295" s="9"/>
      <c r="B5295" s="135">
        <v>46.06</v>
      </c>
      <c r="C5295" s="135"/>
    </row>
    <row r="5296" spans="1:3" x14ac:dyDescent="0.2">
      <c r="A5296" s="9"/>
      <c r="B5296" s="135">
        <v>46.07</v>
      </c>
      <c r="C5296" s="135"/>
    </row>
    <row r="5297" spans="1:3" x14ac:dyDescent="0.2">
      <c r="A5297" s="9"/>
      <c r="B5297" s="135">
        <v>46.08</v>
      </c>
      <c r="C5297" s="135"/>
    </row>
    <row r="5298" spans="1:3" x14ac:dyDescent="0.2">
      <c r="A5298" s="9"/>
      <c r="B5298" s="135">
        <v>46.09</v>
      </c>
      <c r="C5298" s="135"/>
    </row>
    <row r="5299" spans="1:3" x14ac:dyDescent="0.2">
      <c r="A5299" s="9"/>
      <c r="B5299" s="135">
        <v>46.1</v>
      </c>
      <c r="C5299" s="135"/>
    </row>
    <row r="5300" spans="1:3" x14ac:dyDescent="0.2">
      <c r="A5300" s="9"/>
      <c r="B5300" s="135">
        <v>46.11</v>
      </c>
      <c r="C5300" s="135"/>
    </row>
    <row r="5301" spans="1:3" x14ac:dyDescent="0.2">
      <c r="A5301" s="9"/>
      <c r="B5301" s="135">
        <v>46.12</v>
      </c>
      <c r="C5301" s="135"/>
    </row>
    <row r="5302" spans="1:3" x14ac:dyDescent="0.2">
      <c r="A5302" s="9"/>
      <c r="B5302" s="135">
        <v>46.13</v>
      </c>
      <c r="C5302" s="135"/>
    </row>
    <row r="5303" spans="1:3" x14ac:dyDescent="0.2">
      <c r="A5303" s="9"/>
      <c r="B5303" s="135">
        <v>46.14</v>
      </c>
      <c r="C5303" s="135"/>
    </row>
    <row r="5304" spans="1:3" x14ac:dyDescent="0.2">
      <c r="A5304" s="9"/>
      <c r="B5304" s="135">
        <v>46.15</v>
      </c>
      <c r="C5304" s="135"/>
    </row>
    <row r="5305" spans="1:3" x14ac:dyDescent="0.2">
      <c r="A5305" s="9"/>
      <c r="B5305" s="135">
        <v>46.16</v>
      </c>
      <c r="C5305" s="135"/>
    </row>
    <row r="5306" spans="1:3" x14ac:dyDescent="0.2">
      <c r="A5306" s="9"/>
      <c r="B5306" s="135">
        <v>46.17</v>
      </c>
      <c r="C5306" s="135"/>
    </row>
    <row r="5307" spans="1:3" x14ac:dyDescent="0.2">
      <c r="A5307" s="9"/>
      <c r="B5307" s="135">
        <v>46.18</v>
      </c>
      <c r="C5307" s="135"/>
    </row>
    <row r="5308" spans="1:3" x14ac:dyDescent="0.2">
      <c r="A5308" s="9"/>
      <c r="B5308" s="135">
        <v>46.19</v>
      </c>
      <c r="C5308" s="135"/>
    </row>
    <row r="5309" spans="1:3" x14ac:dyDescent="0.2">
      <c r="A5309" s="9"/>
      <c r="B5309" s="135">
        <v>46.2</v>
      </c>
      <c r="C5309" s="135"/>
    </row>
    <row r="5310" spans="1:3" x14ac:dyDescent="0.2">
      <c r="A5310" s="9"/>
      <c r="B5310" s="135">
        <v>46.21</v>
      </c>
      <c r="C5310" s="135"/>
    </row>
    <row r="5311" spans="1:3" x14ac:dyDescent="0.2">
      <c r="A5311" s="9"/>
      <c r="B5311" s="135">
        <v>46.22</v>
      </c>
      <c r="C5311" s="135"/>
    </row>
    <row r="5312" spans="1:3" x14ac:dyDescent="0.2">
      <c r="A5312" s="9"/>
      <c r="B5312" s="135">
        <v>46.23</v>
      </c>
      <c r="C5312" s="135"/>
    </row>
    <row r="5313" spans="1:3" x14ac:dyDescent="0.2">
      <c r="A5313" s="9"/>
      <c r="B5313" s="135">
        <v>46.24</v>
      </c>
      <c r="C5313" s="135"/>
    </row>
    <row r="5314" spans="1:3" x14ac:dyDescent="0.2">
      <c r="A5314" s="9"/>
      <c r="B5314" s="135">
        <v>46.25</v>
      </c>
      <c r="C5314" s="135"/>
    </row>
    <row r="5315" spans="1:3" x14ac:dyDescent="0.2">
      <c r="A5315" s="9"/>
      <c r="B5315" s="135">
        <v>46.26</v>
      </c>
      <c r="C5315" s="135"/>
    </row>
    <row r="5316" spans="1:3" x14ac:dyDescent="0.2">
      <c r="A5316" s="9"/>
      <c r="B5316" s="135">
        <v>46.27</v>
      </c>
      <c r="C5316" s="135"/>
    </row>
    <row r="5317" spans="1:3" x14ac:dyDescent="0.2">
      <c r="A5317" s="9"/>
      <c r="B5317" s="135">
        <v>46.28</v>
      </c>
      <c r="C5317" s="135"/>
    </row>
    <row r="5318" spans="1:3" x14ac:dyDescent="0.2">
      <c r="A5318" s="9"/>
      <c r="B5318" s="135">
        <v>46.29</v>
      </c>
      <c r="C5318" s="135"/>
    </row>
    <row r="5319" spans="1:3" x14ac:dyDescent="0.2">
      <c r="A5319" s="9"/>
      <c r="B5319" s="135">
        <v>46.3</v>
      </c>
      <c r="C5319" s="135"/>
    </row>
    <row r="5320" spans="1:3" x14ac:dyDescent="0.2">
      <c r="A5320" s="9"/>
      <c r="B5320" s="135">
        <v>46.31</v>
      </c>
      <c r="C5320" s="135"/>
    </row>
    <row r="5321" spans="1:3" x14ac:dyDescent="0.2">
      <c r="A5321" s="9"/>
      <c r="B5321" s="135">
        <v>46.32</v>
      </c>
      <c r="C5321" s="135"/>
    </row>
    <row r="5322" spans="1:3" x14ac:dyDescent="0.2">
      <c r="A5322" s="9"/>
      <c r="B5322" s="135">
        <v>46.33</v>
      </c>
      <c r="C5322" s="135"/>
    </row>
    <row r="5323" spans="1:3" x14ac:dyDescent="0.2">
      <c r="A5323" s="9"/>
      <c r="B5323" s="135">
        <v>46.34</v>
      </c>
      <c r="C5323" s="135"/>
    </row>
    <row r="5324" spans="1:3" x14ac:dyDescent="0.2">
      <c r="A5324" s="9"/>
      <c r="B5324" s="135">
        <v>46.35</v>
      </c>
      <c r="C5324" s="135"/>
    </row>
    <row r="5325" spans="1:3" x14ac:dyDescent="0.2">
      <c r="A5325" s="9"/>
      <c r="B5325" s="135">
        <v>46.36</v>
      </c>
      <c r="C5325" s="135"/>
    </row>
    <row r="5326" spans="1:3" x14ac:dyDescent="0.2">
      <c r="A5326" s="9"/>
      <c r="B5326" s="135">
        <v>46.37</v>
      </c>
      <c r="C5326" s="135"/>
    </row>
    <row r="5327" spans="1:3" x14ac:dyDescent="0.2">
      <c r="A5327" s="9"/>
      <c r="B5327" s="135">
        <v>46.38</v>
      </c>
      <c r="C5327" s="135"/>
    </row>
    <row r="5328" spans="1:3" x14ac:dyDescent="0.2">
      <c r="A5328" s="9"/>
      <c r="B5328" s="135">
        <v>46.39</v>
      </c>
      <c r="C5328" s="135"/>
    </row>
    <row r="5329" spans="1:3" x14ac:dyDescent="0.2">
      <c r="A5329" s="9"/>
      <c r="B5329" s="135">
        <v>46.4</v>
      </c>
      <c r="C5329" s="135"/>
    </row>
    <row r="5330" spans="1:3" x14ac:dyDescent="0.2">
      <c r="A5330" s="9"/>
      <c r="B5330" s="135">
        <v>46.41</v>
      </c>
      <c r="C5330" s="135"/>
    </row>
    <row r="5331" spans="1:3" x14ac:dyDescent="0.2">
      <c r="A5331" s="9"/>
      <c r="B5331" s="135">
        <v>46.42</v>
      </c>
      <c r="C5331" s="135"/>
    </row>
    <row r="5332" spans="1:3" x14ac:dyDescent="0.2">
      <c r="A5332" s="9"/>
      <c r="B5332" s="135">
        <v>46.43</v>
      </c>
      <c r="C5332" s="135"/>
    </row>
    <row r="5333" spans="1:3" x14ac:dyDescent="0.2">
      <c r="A5333" s="9"/>
      <c r="B5333" s="135">
        <v>46.44</v>
      </c>
      <c r="C5333" s="135"/>
    </row>
    <row r="5334" spans="1:3" x14ac:dyDescent="0.2">
      <c r="A5334" s="9"/>
      <c r="B5334" s="135">
        <v>46.45</v>
      </c>
      <c r="C5334" s="135"/>
    </row>
    <row r="5335" spans="1:3" x14ac:dyDescent="0.2">
      <c r="A5335" s="9"/>
      <c r="B5335" s="135">
        <v>46.46</v>
      </c>
      <c r="C5335" s="135"/>
    </row>
    <row r="5336" spans="1:3" x14ac:dyDescent="0.2">
      <c r="A5336" s="9"/>
      <c r="B5336" s="135">
        <v>46.47</v>
      </c>
      <c r="C5336" s="135"/>
    </row>
    <row r="5337" spans="1:3" x14ac:dyDescent="0.2">
      <c r="A5337" s="9"/>
      <c r="B5337" s="135">
        <v>46.48</v>
      </c>
      <c r="C5337" s="135"/>
    </row>
    <row r="5338" spans="1:3" x14ac:dyDescent="0.2">
      <c r="A5338" s="9"/>
      <c r="B5338" s="135">
        <v>46.49</v>
      </c>
      <c r="C5338" s="135"/>
    </row>
    <row r="5339" spans="1:3" x14ac:dyDescent="0.2">
      <c r="A5339" s="9"/>
      <c r="B5339" s="135">
        <v>46.5</v>
      </c>
      <c r="C5339" s="135"/>
    </row>
    <row r="5340" spans="1:3" x14ac:dyDescent="0.2">
      <c r="A5340" s="9"/>
      <c r="B5340" s="135">
        <v>46.51</v>
      </c>
      <c r="C5340" s="135"/>
    </row>
    <row r="5341" spans="1:3" x14ac:dyDescent="0.2">
      <c r="A5341" s="9"/>
      <c r="B5341" s="135">
        <v>46.52</v>
      </c>
      <c r="C5341" s="135"/>
    </row>
    <row r="5342" spans="1:3" x14ac:dyDescent="0.2">
      <c r="A5342" s="9"/>
      <c r="B5342" s="135">
        <v>46.53</v>
      </c>
      <c r="C5342" s="135"/>
    </row>
    <row r="5343" spans="1:3" x14ac:dyDescent="0.2">
      <c r="A5343" s="9"/>
      <c r="B5343" s="135">
        <v>46.54</v>
      </c>
      <c r="C5343" s="135"/>
    </row>
    <row r="5344" spans="1:3" x14ac:dyDescent="0.2">
      <c r="A5344" s="9"/>
      <c r="B5344" s="135">
        <v>46.55</v>
      </c>
      <c r="C5344" s="135"/>
    </row>
    <row r="5345" spans="1:3" x14ac:dyDescent="0.2">
      <c r="A5345" s="9"/>
      <c r="B5345" s="135">
        <v>46.56</v>
      </c>
      <c r="C5345" s="135"/>
    </row>
    <row r="5346" spans="1:3" x14ac:dyDescent="0.2">
      <c r="A5346" s="9"/>
      <c r="B5346" s="135">
        <v>46.57</v>
      </c>
      <c r="C5346" s="135"/>
    </row>
    <row r="5347" spans="1:3" x14ac:dyDescent="0.2">
      <c r="A5347" s="9"/>
      <c r="B5347" s="135">
        <v>46.58</v>
      </c>
      <c r="C5347" s="135"/>
    </row>
    <row r="5348" spans="1:3" x14ac:dyDescent="0.2">
      <c r="A5348" s="9"/>
      <c r="B5348" s="135">
        <v>46.59</v>
      </c>
      <c r="C5348" s="135"/>
    </row>
    <row r="5349" spans="1:3" x14ac:dyDescent="0.2">
      <c r="A5349" s="9"/>
      <c r="B5349" s="135">
        <v>46.6</v>
      </c>
      <c r="C5349" s="135"/>
    </row>
    <row r="5350" spans="1:3" x14ac:dyDescent="0.2">
      <c r="A5350" s="9"/>
      <c r="B5350" s="135">
        <v>46.61</v>
      </c>
      <c r="C5350" s="135"/>
    </row>
    <row r="5351" spans="1:3" x14ac:dyDescent="0.2">
      <c r="A5351" s="9"/>
      <c r="B5351" s="135">
        <v>46.62</v>
      </c>
      <c r="C5351" s="135"/>
    </row>
    <row r="5352" spans="1:3" x14ac:dyDescent="0.2">
      <c r="A5352" s="9"/>
      <c r="B5352" s="135">
        <v>46.63</v>
      </c>
      <c r="C5352" s="135"/>
    </row>
    <row r="5353" spans="1:3" x14ac:dyDescent="0.2">
      <c r="A5353" s="9"/>
      <c r="B5353" s="135">
        <v>46.64</v>
      </c>
      <c r="C5353" s="135"/>
    </row>
    <row r="5354" spans="1:3" x14ac:dyDescent="0.2">
      <c r="A5354" s="9"/>
      <c r="B5354" s="135">
        <v>46.65</v>
      </c>
      <c r="C5354" s="135"/>
    </row>
    <row r="5355" spans="1:3" x14ac:dyDescent="0.2">
      <c r="A5355" s="9"/>
      <c r="B5355" s="135">
        <v>46.66</v>
      </c>
      <c r="C5355" s="135"/>
    </row>
    <row r="5356" spans="1:3" x14ac:dyDescent="0.2">
      <c r="A5356" s="9"/>
      <c r="B5356" s="135">
        <v>46.67</v>
      </c>
      <c r="C5356" s="135"/>
    </row>
    <row r="5357" spans="1:3" x14ac:dyDescent="0.2">
      <c r="A5357" s="9"/>
      <c r="B5357" s="135">
        <v>46.68</v>
      </c>
      <c r="C5357" s="135"/>
    </row>
    <row r="5358" spans="1:3" x14ac:dyDescent="0.2">
      <c r="A5358" s="9"/>
      <c r="B5358" s="135">
        <v>46.69</v>
      </c>
      <c r="C5358" s="135"/>
    </row>
    <row r="5359" spans="1:3" x14ac:dyDescent="0.2">
      <c r="A5359" s="9"/>
      <c r="B5359" s="135">
        <v>46.7</v>
      </c>
      <c r="C5359" s="135"/>
    </row>
    <row r="5360" spans="1:3" x14ac:dyDescent="0.2">
      <c r="A5360" s="9"/>
      <c r="B5360" s="135">
        <v>46.71</v>
      </c>
      <c r="C5360" s="135"/>
    </row>
    <row r="5361" spans="1:3" x14ac:dyDescent="0.2">
      <c r="A5361" s="9"/>
      <c r="B5361" s="135">
        <v>46.72</v>
      </c>
      <c r="C5361" s="135"/>
    </row>
    <row r="5362" spans="1:3" x14ac:dyDescent="0.2">
      <c r="A5362" s="9"/>
      <c r="B5362" s="135">
        <v>46.73</v>
      </c>
      <c r="C5362" s="135"/>
    </row>
    <row r="5363" spans="1:3" x14ac:dyDescent="0.2">
      <c r="A5363" s="9"/>
      <c r="B5363" s="135">
        <v>46.74</v>
      </c>
      <c r="C5363" s="135"/>
    </row>
    <row r="5364" spans="1:3" x14ac:dyDescent="0.2">
      <c r="A5364" s="9"/>
      <c r="B5364" s="135">
        <v>46.75</v>
      </c>
      <c r="C5364" s="135"/>
    </row>
    <row r="5365" spans="1:3" x14ac:dyDescent="0.2">
      <c r="A5365" s="9"/>
      <c r="B5365" s="135">
        <v>46.76</v>
      </c>
      <c r="C5365" s="135"/>
    </row>
    <row r="5366" spans="1:3" x14ac:dyDescent="0.2">
      <c r="A5366" s="9"/>
      <c r="B5366" s="135">
        <v>46.77</v>
      </c>
      <c r="C5366" s="135"/>
    </row>
    <row r="5367" spans="1:3" x14ac:dyDescent="0.2">
      <c r="A5367" s="9"/>
      <c r="B5367" s="135">
        <v>46.78</v>
      </c>
      <c r="C5367" s="135"/>
    </row>
    <row r="5368" spans="1:3" x14ac:dyDescent="0.2">
      <c r="A5368" s="9"/>
      <c r="B5368" s="135">
        <v>46.79</v>
      </c>
      <c r="C5368" s="135"/>
    </row>
    <row r="5369" spans="1:3" x14ac:dyDescent="0.2">
      <c r="A5369" s="9"/>
      <c r="B5369" s="135">
        <v>46.8</v>
      </c>
      <c r="C5369" s="135"/>
    </row>
    <row r="5370" spans="1:3" x14ac:dyDescent="0.2">
      <c r="A5370" s="9"/>
      <c r="B5370" s="135">
        <v>46.81</v>
      </c>
      <c r="C5370" s="135"/>
    </row>
    <row r="5371" spans="1:3" x14ac:dyDescent="0.2">
      <c r="A5371" s="9"/>
      <c r="B5371" s="135">
        <v>46.82</v>
      </c>
      <c r="C5371" s="135"/>
    </row>
    <row r="5372" spans="1:3" x14ac:dyDescent="0.2">
      <c r="A5372" s="9"/>
      <c r="B5372" s="135">
        <v>46.83</v>
      </c>
      <c r="C5372" s="135"/>
    </row>
    <row r="5373" spans="1:3" x14ac:dyDescent="0.2">
      <c r="A5373" s="9"/>
      <c r="B5373" s="135">
        <v>46.84</v>
      </c>
      <c r="C5373" s="135"/>
    </row>
    <row r="5374" spans="1:3" x14ac:dyDescent="0.2">
      <c r="A5374" s="9"/>
      <c r="B5374" s="135">
        <v>46.85</v>
      </c>
      <c r="C5374" s="135"/>
    </row>
    <row r="5375" spans="1:3" x14ac:dyDescent="0.2">
      <c r="A5375" s="9"/>
      <c r="B5375" s="135">
        <v>46.86</v>
      </c>
      <c r="C5375" s="135"/>
    </row>
    <row r="5376" spans="1:3" x14ac:dyDescent="0.2">
      <c r="A5376" s="9"/>
      <c r="B5376" s="135">
        <v>46.87</v>
      </c>
      <c r="C5376" s="135"/>
    </row>
    <row r="5377" spans="1:3" x14ac:dyDescent="0.2">
      <c r="A5377" s="9"/>
      <c r="B5377" s="135">
        <v>46.88</v>
      </c>
      <c r="C5377" s="135"/>
    </row>
    <row r="5378" spans="1:3" x14ac:dyDescent="0.2">
      <c r="A5378" s="9"/>
      <c r="B5378" s="135">
        <v>46.89</v>
      </c>
      <c r="C5378" s="135"/>
    </row>
    <row r="5379" spans="1:3" x14ac:dyDescent="0.2">
      <c r="A5379" s="9"/>
      <c r="B5379" s="135">
        <v>46.9</v>
      </c>
      <c r="C5379" s="135"/>
    </row>
    <row r="5380" spans="1:3" x14ac:dyDescent="0.2">
      <c r="A5380" s="9"/>
      <c r="B5380" s="135">
        <v>46.91</v>
      </c>
      <c r="C5380" s="135"/>
    </row>
    <row r="5381" spans="1:3" x14ac:dyDescent="0.2">
      <c r="A5381" s="9"/>
      <c r="B5381" s="135">
        <v>46.92</v>
      </c>
      <c r="C5381" s="135"/>
    </row>
    <row r="5382" spans="1:3" x14ac:dyDescent="0.2">
      <c r="A5382" s="9"/>
      <c r="B5382" s="135">
        <v>46.93</v>
      </c>
      <c r="C5382" s="135"/>
    </row>
    <row r="5383" spans="1:3" x14ac:dyDescent="0.2">
      <c r="A5383" s="9"/>
      <c r="B5383" s="135">
        <v>46.94</v>
      </c>
      <c r="C5383" s="135"/>
    </row>
    <row r="5384" spans="1:3" x14ac:dyDescent="0.2">
      <c r="A5384" s="9"/>
      <c r="B5384" s="135">
        <v>46.95</v>
      </c>
      <c r="C5384" s="135"/>
    </row>
    <row r="5385" spans="1:3" x14ac:dyDescent="0.2">
      <c r="A5385" s="9"/>
      <c r="B5385" s="135">
        <v>46.96</v>
      </c>
      <c r="C5385" s="135"/>
    </row>
    <row r="5386" spans="1:3" x14ac:dyDescent="0.2">
      <c r="A5386" s="9"/>
      <c r="B5386" s="135">
        <v>46.97</v>
      </c>
      <c r="C5386" s="135"/>
    </row>
    <row r="5387" spans="1:3" x14ac:dyDescent="0.2">
      <c r="A5387" s="9"/>
      <c r="B5387" s="135">
        <v>46.98</v>
      </c>
      <c r="C5387" s="135"/>
    </row>
    <row r="5388" spans="1:3" x14ac:dyDescent="0.2">
      <c r="A5388" s="9"/>
      <c r="B5388" s="135">
        <v>46.99</v>
      </c>
      <c r="C5388" s="135"/>
    </row>
    <row r="5389" spans="1:3" x14ac:dyDescent="0.2">
      <c r="A5389" s="9"/>
      <c r="B5389" s="135">
        <v>47</v>
      </c>
      <c r="C5389" s="135"/>
    </row>
    <row r="5390" spans="1:3" x14ac:dyDescent="0.2">
      <c r="A5390" s="9"/>
      <c r="B5390" s="135">
        <v>47.01</v>
      </c>
      <c r="C5390" s="135"/>
    </row>
    <row r="5391" spans="1:3" x14ac:dyDescent="0.2">
      <c r="A5391" s="9"/>
      <c r="B5391" s="135">
        <v>47.02</v>
      </c>
      <c r="C5391" s="135"/>
    </row>
    <row r="5392" spans="1:3" x14ac:dyDescent="0.2">
      <c r="A5392" s="9"/>
      <c r="B5392" s="135">
        <v>47.03</v>
      </c>
      <c r="C5392" s="135"/>
    </row>
    <row r="5393" spans="1:3" x14ac:dyDescent="0.2">
      <c r="A5393" s="9"/>
      <c r="B5393" s="135">
        <v>47.04</v>
      </c>
      <c r="C5393" s="135"/>
    </row>
    <row r="5394" spans="1:3" x14ac:dyDescent="0.2">
      <c r="A5394" s="9"/>
      <c r="B5394" s="135">
        <v>47.05</v>
      </c>
      <c r="C5394" s="135"/>
    </row>
    <row r="5395" spans="1:3" x14ac:dyDescent="0.2">
      <c r="A5395" s="9"/>
      <c r="B5395" s="135">
        <v>47.06</v>
      </c>
      <c r="C5395" s="135"/>
    </row>
    <row r="5396" spans="1:3" x14ac:dyDescent="0.2">
      <c r="A5396" s="9"/>
      <c r="B5396" s="135">
        <v>47.07</v>
      </c>
      <c r="C5396" s="135"/>
    </row>
    <row r="5397" spans="1:3" x14ac:dyDescent="0.2">
      <c r="A5397" s="9"/>
      <c r="B5397" s="135">
        <v>47.08</v>
      </c>
      <c r="C5397" s="135"/>
    </row>
    <row r="5398" spans="1:3" x14ac:dyDescent="0.2">
      <c r="A5398" s="9"/>
      <c r="B5398" s="135">
        <v>47.09</v>
      </c>
      <c r="C5398" s="135"/>
    </row>
    <row r="5399" spans="1:3" x14ac:dyDescent="0.2">
      <c r="A5399" s="9"/>
      <c r="B5399" s="135">
        <v>47.1</v>
      </c>
      <c r="C5399" s="135"/>
    </row>
    <row r="5400" spans="1:3" x14ac:dyDescent="0.2">
      <c r="A5400" s="9"/>
      <c r="B5400" s="135">
        <v>47.11</v>
      </c>
      <c r="C5400" s="135"/>
    </row>
    <row r="5401" spans="1:3" x14ac:dyDescent="0.2">
      <c r="A5401" s="9"/>
      <c r="B5401" s="135">
        <v>47.12</v>
      </c>
      <c r="C5401" s="135"/>
    </row>
    <row r="5402" spans="1:3" x14ac:dyDescent="0.2">
      <c r="A5402" s="9"/>
      <c r="B5402" s="135">
        <v>47.13</v>
      </c>
      <c r="C5402" s="135"/>
    </row>
    <row r="5403" spans="1:3" x14ac:dyDescent="0.2">
      <c r="A5403" s="9"/>
      <c r="B5403" s="135">
        <v>47.14</v>
      </c>
      <c r="C5403" s="135"/>
    </row>
    <row r="5404" spans="1:3" x14ac:dyDescent="0.2">
      <c r="A5404" s="9"/>
      <c r="B5404" s="135">
        <v>47.15</v>
      </c>
      <c r="C5404" s="135"/>
    </row>
    <row r="5405" spans="1:3" x14ac:dyDescent="0.2">
      <c r="A5405" s="9"/>
      <c r="B5405" s="135">
        <v>47.16</v>
      </c>
      <c r="C5405" s="135"/>
    </row>
    <row r="5406" spans="1:3" x14ac:dyDescent="0.2">
      <c r="A5406" s="9"/>
      <c r="B5406" s="135">
        <v>47.17</v>
      </c>
      <c r="C5406" s="135"/>
    </row>
    <row r="5407" spans="1:3" x14ac:dyDescent="0.2">
      <c r="A5407" s="9"/>
      <c r="B5407" s="135">
        <v>47.18</v>
      </c>
      <c r="C5407" s="135"/>
    </row>
    <row r="5408" spans="1:3" x14ac:dyDescent="0.2">
      <c r="A5408" s="9"/>
      <c r="B5408" s="135">
        <v>47.19</v>
      </c>
      <c r="C5408" s="135"/>
    </row>
    <row r="5409" spans="1:3" x14ac:dyDescent="0.2">
      <c r="A5409" s="9"/>
      <c r="B5409" s="135">
        <v>47.2</v>
      </c>
      <c r="C5409" s="135"/>
    </row>
    <row r="5410" spans="1:3" x14ac:dyDescent="0.2">
      <c r="A5410" s="9"/>
      <c r="B5410" s="135">
        <v>47.21</v>
      </c>
      <c r="C5410" s="135"/>
    </row>
    <row r="5411" spans="1:3" x14ac:dyDescent="0.2">
      <c r="A5411" s="9"/>
      <c r="B5411" s="135">
        <v>47.22</v>
      </c>
      <c r="C5411" s="135"/>
    </row>
    <row r="5412" spans="1:3" x14ac:dyDescent="0.2">
      <c r="A5412" s="9"/>
      <c r="B5412" s="135">
        <v>47.23</v>
      </c>
      <c r="C5412" s="135"/>
    </row>
    <row r="5413" spans="1:3" x14ac:dyDescent="0.2">
      <c r="A5413" s="9"/>
      <c r="B5413" s="135">
        <v>47.24</v>
      </c>
      <c r="C5413" s="135"/>
    </row>
    <row r="5414" spans="1:3" x14ac:dyDescent="0.2">
      <c r="A5414" s="9"/>
      <c r="B5414" s="135">
        <v>47.25</v>
      </c>
      <c r="C5414" s="135"/>
    </row>
    <row r="5415" spans="1:3" x14ac:dyDescent="0.2">
      <c r="A5415" s="9"/>
      <c r="B5415" s="135">
        <v>47.26</v>
      </c>
      <c r="C5415" s="135"/>
    </row>
    <row r="5416" spans="1:3" x14ac:dyDescent="0.2">
      <c r="A5416" s="9"/>
      <c r="B5416" s="135">
        <v>47.27</v>
      </c>
      <c r="C5416" s="135"/>
    </row>
    <row r="5417" spans="1:3" x14ac:dyDescent="0.2">
      <c r="A5417" s="9"/>
      <c r="B5417" s="135">
        <v>47.28</v>
      </c>
      <c r="C5417" s="135"/>
    </row>
    <row r="5418" spans="1:3" x14ac:dyDescent="0.2">
      <c r="A5418" s="9"/>
      <c r="B5418" s="135">
        <v>47.29</v>
      </c>
      <c r="C5418" s="135"/>
    </row>
    <row r="5419" spans="1:3" x14ac:dyDescent="0.2">
      <c r="A5419" s="9"/>
      <c r="B5419" s="135">
        <v>47.3</v>
      </c>
      <c r="C5419" s="135"/>
    </row>
    <row r="5420" spans="1:3" x14ac:dyDescent="0.2">
      <c r="A5420" s="9"/>
      <c r="B5420" s="135">
        <v>47.31</v>
      </c>
      <c r="C5420" s="135"/>
    </row>
    <row r="5421" spans="1:3" x14ac:dyDescent="0.2">
      <c r="A5421" s="9"/>
      <c r="B5421" s="135">
        <v>47.32</v>
      </c>
      <c r="C5421" s="135"/>
    </row>
    <row r="5422" spans="1:3" x14ac:dyDescent="0.2">
      <c r="A5422" s="9"/>
      <c r="B5422" s="135">
        <v>47.33</v>
      </c>
      <c r="C5422" s="135"/>
    </row>
    <row r="5423" spans="1:3" x14ac:dyDescent="0.2">
      <c r="A5423" s="9"/>
      <c r="B5423" s="135">
        <v>47.34</v>
      </c>
      <c r="C5423" s="135"/>
    </row>
    <row r="5424" spans="1:3" x14ac:dyDescent="0.2">
      <c r="A5424" s="9"/>
      <c r="B5424" s="135">
        <v>47.35</v>
      </c>
      <c r="C5424" s="135"/>
    </row>
    <row r="5425" spans="1:3" x14ac:dyDescent="0.2">
      <c r="A5425" s="9"/>
      <c r="B5425" s="135">
        <v>47.36</v>
      </c>
      <c r="C5425" s="135"/>
    </row>
    <row r="5426" spans="1:3" x14ac:dyDescent="0.2">
      <c r="A5426" s="9"/>
      <c r="B5426" s="135">
        <v>47.37</v>
      </c>
      <c r="C5426" s="135"/>
    </row>
    <row r="5427" spans="1:3" x14ac:dyDescent="0.2">
      <c r="A5427" s="9"/>
      <c r="B5427" s="135">
        <v>47.38</v>
      </c>
      <c r="C5427" s="135"/>
    </row>
    <row r="5428" spans="1:3" x14ac:dyDescent="0.2">
      <c r="A5428" s="9"/>
      <c r="B5428" s="135">
        <v>47.39</v>
      </c>
      <c r="C5428" s="135"/>
    </row>
    <row r="5429" spans="1:3" x14ac:dyDescent="0.2">
      <c r="A5429" s="9"/>
      <c r="B5429" s="135">
        <v>47.4</v>
      </c>
      <c r="C5429" s="135"/>
    </row>
    <row r="5430" spans="1:3" x14ac:dyDescent="0.2">
      <c r="A5430" s="9"/>
      <c r="B5430" s="135">
        <v>47.41</v>
      </c>
      <c r="C5430" s="135"/>
    </row>
    <row r="5431" spans="1:3" x14ac:dyDescent="0.2">
      <c r="A5431" s="9"/>
      <c r="B5431" s="135">
        <v>47.42</v>
      </c>
      <c r="C5431" s="135"/>
    </row>
    <row r="5432" spans="1:3" x14ac:dyDescent="0.2">
      <c r="A5432" s="9"/>
      <c r="B5432" s="135">
        <v>47.43</v>
      </c>
      <c r="C5432" s="135"/>
    </row>
    <row r="5433" spans="1:3" x14ac:dyDescent="0.2">
      <c r="A5433" s="9"/>
      <c r="B5433" s="135">
        <v>47.44</v>
      </c>
      <c r="C5433" s="135"/>
    </row>
    <row r="5434" spans="1:3" x14ac:dyDescent="0.2">
      <c r="A5434" s="9"/>
      <c r="B5434" s="135">
        <v>47.45</v>
      </c>
      <c r="C5434" s="135"/>
    </row>
    <row r="5435" spans="1:3" x14ac:dyDescent="0.2">
      <c r="A5435" s="9"/>
      <c r="B5435" s="135">
        <v>47.46</v>
      </c>
      <c r="C5435" s="135"/>
    </row>
    <row r="5436" spans="1:3" x14ac:dyDescent="0.2">
      <c r="A5436" s="9"/>
      <c r="B5436" s="135">
        <v>47.47</v>
      </c>
      <c r="C5436" s="135"/>
    </row>
    <row r="5437" spans="1:3" x14ac:dyDescent="0.2">
      <c r="A5437" s="9"/>
      <c r="B5437" s="135">
        <v>47.48</v>
      </c>
      <c r="C5437" s="135"/>
    </row>
    <row r="5438" spans="1:3" x14ac:dyDescent="0.2">
      <c r="A5438" s="9"/>
      <c r="B5438" s="135">
        <v>47.49</v>
      </c>
      <c r="C5438" s="135"/>
    </row>
    <row r="5439" spans="1:3" x14ac:dyDescent="0.2">
      <c r="A5439" s="9"/>
      <c r="B5439" s="135">
        <v>47.5</v>
      </c>
      <c r="C5439" s="135"/>
    </row>
    <row r="5440" spans="1:3" x14ac:dyDescent="0.2">
      <c r="A5440" s="9"/>
      <c r="B5440" s="135">
        <v>47.51</v>
      </c>
      <c r="C5440" s="135"/>
    </row>
    <row r="5441" spans="1:3" x14ac:dyDescent="0.2">
      <c r="A5441" s="9"/>
      <c r="B5441" s="135">
        <v>47.52</v>
      </c>
      <c r="C5441" s="135"/>
    </row>
    <row r="5442" spans="1:3" x14ac:dyDescent="0.2">
      <c r="A5442" s="9"/>
      <c r="B5442" s="135">
        <v>47.53</v>
      </c>
      <c r="C5442" s="135"/>
    </row>
    <row r="5443" spans="1:3" x14ac:dyDescent="0.2">
      <c r="A5443" s="9"/>
      <c r="B5443" s="135">
        <v>47.54</v>
      </c>
      <c r="C5443" s="135"/>
    </row>
    <row r="5444" spans="1:3" x14ac:dyDescent="0.2">
      <c r="A5444" s="9"/>
      <c r="B5444" s="135">
        <v>47.55</v>
      </c>
      <c r="C5444" s="135"/>
    </row>
    <row r="5445" spans="1:3" x14ac:dyDescent="0.2">
      <c r="A5445" s="9"/>
      <c r="B5445" s="135">
        <v>47.56</v>
      </c>
      <c r="C5445" s="135"/>
    </row>
    <row r="5446" spans="1:3" x14ac:dyDescent="0.2">
      <c r="A5446" s="9"/>
      <c r="B5446" s="135">
        <v>47.57</v>
      </c>
      <c r="C5446" s="135"/>
    </row>
    <row r="5447" spans="1:3" x14ac:dyDescent="0.2">
      <c r="A5447" s="9"/>
      <c r="B5447" s="135">
        <v>47.58</v>
      </c>
      <c r="C5447" s="135"/>
    </row>
    <row r="5448" spans="1:3" x14ac:dyDescent="0.2">
      <c r="A5448" s="9"/>
      <c r="B5448" s="135">
        <v>47.59</v>
      </c>
      <c r="C5448" s="135"/>
    </row>
    <row r="5449" spans="1:3" x14ac:dyDescent="0.2">
      <c r="A5449" s="9"/>
      <c r="B5449" s="135">
        <v>47.6</v>
      </c>
      <c r="C5449" s="135"/>
    </row>
    <row r="5450" spans="1:3" x14ac:dyDescent="0.2">
      <c r="A5450" s="9"/>
      <c r="B5450" s="135">
        <v>47.61</v>
      </c>
      <c r="C5450" s="135"/>
    </row>
    <row r="5451" spans="1:3" x14ac:dyDescent="0.2">
      <c r="A5451" s="9"/>
      <c r="B5451" s="135">
        <v>47.62</v>
      </c>
      <c r="C5451" s="135"/>
    </row>
    <row r="5452" spans="1:3" x14ac:dyDescent="0.2">
      <c r="A5452" s="9"/>
      <c r="B5452" s="135">
        <v>47.63</v>
      </c>
      <c r="C5452" s="135"/>
    </row>
    <row r="5453" spans="1:3" x14ac:dyDescent="0.2">
      <c r="A5453" s="9"/>
      <c r="B5453" s="135">
        <v>47.64</v>
      </c>
      <c r="C5453" s="135"/>
    </row>
    <row r="5454" spans="1:3" x14ac:dyDescent="0.2">
      <c r="A5454" s="9"/>
      <c r="B5454" s="135">
        <v>47.65</v>
      </c>
      <c r="C5454" s="135"/>
    </row>
    <row r="5455" spans="1:3" x14ac:dyDescent="0.2">
      <c r="A5455" s="9"/>
      <c r="B5455" s="135">
        <v>47.66</v>
      </c>
      <c r="C5455" s="135"/>
    </row>
    <row r="5456" spans="1:3" x14ac:dyDescent="0.2">
      <c r="A5456" s="9"/>
      <c r="B5456" s="135">
        <v>47.67</v>
      </c>
      <c r="C5456" s="135"/>
    </row>
    <row r="5457" spans="1:3" x14ac:dyDescent="0.2">
      <c r="A5457" s="9"/>
      <c r="B5457" s="135">
        <v>47.68</v>
      </c>
      <c r="C5457" s="135"/>
    </row>
    <row r="5458" spans="1:3" x14ac:dyDescent="0.2">
      <c r="A5458" s="9"/>
      <c r="B5458" s="135">
        <v>47.69</v>
      </c>
      <c r="C5458" s="135"/>
    </row>
    <row r="5459" spans="1:3" x14ac:dyDescent="0.2">
      <c r="A5459" s="9"/>
      <c r="B5459" s="135">
        <v>47.7</v>
      </c>
      <c r="C5459" s="135"/>
    </row>
    <row r="5460" spans="1:3" x14ac:dyDescent="0.2">
      <c r="A5460" s="9"/>
      <c r="B5460" s="135">
        <v>47.71</v>
      </c>
      <c r="C5460" s="135"/>
    </row>
    <row r="5461" spans="1:3" x14ac:dyDescent="0.2">
      <c r="A5461" s="9"/>
      <c r="B5461" s="135">
        <v>47.72</v>
      </c>
      <c r="C5461" s="135"/>
    </row>
    <row r="5462" spans="1:3" x14ac:dyDescent="0.2">
      <c r="A5462" s="9"/>
      <c r="B5462" s="135">
        <v>47.73</v>
      </c>
      <c r="C5462" s="135"/>
    </row>
    <row r="5463" spans="1:3" x14ac:dyDescent="0.2">
      <c r="A5463" s="9"/>
      <c r="B5463" s="135">
        <v>47.74</v>
      </c>
      <c r="C5463" s="135"/>
    </row>
    <row r="5464" spans="1:3" x14ac:dyDescent="0.2">
      <c r="A5464" s="9"/>
      <c r="B5464" s="135">
        <v>47.75</v>
      </c>
      <c r="C5464" s="135"/>
    </row>
    <row r="5465" spans="1:3" x14ac:dyDescent="0.2">
      <c r="A5465" s="9"/>
      <c r="B5465" s="135">
        <v>47.76</v>
      </c>
      <c r="C5465" s="135"/>
    </row>
    <row r="5466" spans="1:3" x14ac:dyDescent="0.2">
      <c r="A5466" s="9"/>
      <c r="B5466" s="135">
        <v>47.77</v>
      </c>
      <c r="C5466" s="135"/>
    </row>
    <row r="5467" spans="1:3" x14ac:dyDescent="0.2">
      <c r="A5467" s="9"/>
      <c r="B5467" s="135">
        <v>47.78</v>
      </c>
      <c r="C5467" s="135"/>
    </row>
    <row r="5468" spans="1:3" x14ac:dyDescent="0.2">
      <c r="A5468" s="9"/>
      <c r="B5468" s="135">
        <v>47.79</v>
      </c>
      <c r="C5468" s="135"/>
    </row>
    <row r="5469" spans="1:3" x14ac:dyDescent="0.2">
      <c r="A5469" s="9"/>
      <c r="B5469" s="135">
        <v>47.8</v>
      </c>
      <c r="C5469" s="135"/>
    </row>
    <row r="5470" spans="1:3" x14ac:dyDescent="0.2">
      <c r="A5470" s="9"/>
      <c r="B5470" s="135">
        <v>47.81</v>
      </c>
      <c r="C5470" s="135"/>
    </row>
    <row r="5471" spans="1:3" x14ac:dyDescent="0.2">
      <c r="A5471" s="9"/>
      <c r="B5471" s="135">
        <v>47.82</v>
      </c>
      <c r="C5471" s="135"/>
    </row>
    <row r="5472" spans="1:3" x14ac:dyDescent="0.2">
      <c r="A5472" s="9"/>
      <c r="B5472" s="135">
        <v>47.83</v>
      </c>
      <c r="C5472" s="135"/>
    </row>
    <row r="5473" spans="1:3" x14ac:dyDescent="0.2">
      <c r="A5473" s="9"/>
      <c r="B5473" s="135">
        <v>47.84</v>
      </c>
      <c r="C5473" s="135"/>
    </row>
    <row r="5474" spans="1:3" x14ac:dyDescent="0.2">
      <c r="A5474" s="9"/>
      <c r="B5474" s="135">
        <v>47.85</v>
      </c>
      <c r="C5474" s="135"/>
    </row>
    <row r="5475" spans="1:3" x14ac:dyDescent="0.2">
      <c r="A5475" s="9"/>
      <c r="B5475" s="135">
        <v>47.86</v>
      </c>
      <c r="C5475" s="135"/>
    </row>
    <row r="5476" spans="1:3" x14ac:dyDescent="0.2">
      <c r="A5476" s="9"/>
      <c r="B5476" s="135">
        <v>47.87</v>
      </c>
      <c r="C5476" s="135"/>
    </row>
    <row r="5477" spans="1:3" x14ac:dyDescent="0.2">
      <c r="A5477" s="9"/>
      <c r="B5477" s="135">
        <v>47.88</v>
      </c>
      <c r="C5477" s="135"/>
    </row>
    <row r="5478" spans="1:3" x14ac:dyDescent="0.2">
      <c r="A5478" s="9"/>
      <c r="B5478" s="135">
        <v>47.89</v>
      </c>
      <c r="C5478" s="135"/>
    </row>
    <row r="5479" spans="1:3" x14ac:dyDescent="0.2">
      <c r="A5479" s="9"/>
      <c r="B5479" s="135">
        <v>47.9</v>
      </c>
      <c r="C5479" s="135"/>
    </row>
    <row r="5480" spans="1:3" x14ac:dyDescent="0.2">
      <c r="A5480" s="9"/>
      <c r="B5480" s="135">
        <v>47.91</v>
      </c>
      <c r="C5480" s="135"/>
    </row>
    <row r="5481" spans="1:3" x14ac:dyDescent="0.2">
      <c r="A5481" s="9"/>
      <c r="B5481" s="135">
        <v>47.92</v>
      </c>
      <c r="C5481" s="135"/>
    </row>
    <row r="5482" spans="1:3" x14ac:dyDescent="0.2">
      <c r="A5482" s="9"/>
      <c r="B5482" s="135">
        <v>47.93</v>
      </c>
      <c r="C5482" s="135"/>
    </row>
    <row r="5483" spans="1:3" x14ac:dyDescent="0.2">
      <c r="A5483" s="9"/>
      <c r="B5483" s="135">
        <v>47.94</v>
      </c>
      <c r="C5483" s="135"/>
    </row>
    <row r="5484" spans="1:3" x14ac:dyDescent="0.2">
      <c r="A5484" s="9"/>
      <c r="B5484" s="135">
        <v>47.95</v>
      </c>
      <c r="C5484" s="135"/>
    </row>
    <row r="5485" spans="1:3" x14ac:dyDescent="0.2">
      <c r="A5485" s="9"/>
      <c r="B5485" s="135">
        <v>47.96</v>
      </c>
      <c r="C5485" s="135"/>
    </row>
    <row r="5486" spans="1:3" x14ac:dyDescent="0.2">
      <c r="A5486" s="9"/>
      <c r="B5486" s="135">
        <v>47.97</v>
      </c>
      <c r="C5486" s="135"/>
    </row>
    <row r="5487" spans="1:3" x14ac:dyDescent="0.2">
      <c r="A5487" s="9"/>
      <c r="B5487" s="135">
        <v>47.98</v>
      </c>
      <c r="C5487" s="135"/>
    </row>
    <row r="5488" spans="1:3" x14ac:dyDescent="0.2">
      <c r="A5488" s="9"/>
      <c r="B5488" s="135">
        <v>47.99</v>
      </c>
      <c r="C5488" s="135"/>
    </row>
    <row r="5489" spans="1:3" x14ac:dyDescent="0.2">
      <c r="A5489" s="9"/>
      <c r="B5489" s="135">
        <v>48</v>
      </c>
      <c r="C5489" s="135"/>
    </row>
    <row r="5490" spans="1:3" x14ac:dyDescent="0.2">
      <c r="A5490" s="9"/>
      <c r="B5490" s="135">
        <v>48.01</v>
      </c>
      <c r="C5490" s="135"/>
    </row>
    <row r="5491" spans="1:3" x14ac:dyDescent="0.2">
      <c r="A5491" s="9"/>
      <c r="B5491" s="135">
        <v>48.02</v>
      </c>
      <c r="C5491" s="135"/>
    </row>
    <row r="5492" spans="1:3" x14ac:dyDescent="0.2">
      <c r="A5492" s="9"/>
      <c r="B5492" s="135">
        <v>48.03</v>
      </c>
      <c r="C5492" s="135"/>
    </row>
    <row r="5493" spans="1:3" x14ac:dyDescent="0.2">
      <c r="A5493" s="9"/>
      <c r="B5493" s="135">
        <v>48.04</v>
      </c>
      <c r="C5493" s="135"/>
    </row>
    <row r="5494" spans="1:3" x14ac:dyDescent="0.2">
      <c r="A5494" s="9"/>
      <c r="B5494" s="135">
        <v>48.05</v>
      </c>
      <c r="C5494" s="135"/>
    </row>
    <row r="5495" spans="1:3" x14ac:dyDescent="0.2">
      <c r="A5495" s="9"/>
      <c r="B5495" s="135">
        <v>48.06</v>
      </c>
      <c r="C5495" s="135"/>
    </row>
    <row r="5496" spans="1:3" x14ac:dyDescent="0.2">
      <c r="A5496" s="9"/>
      <c r="B5496" s="135">
        <v>48.07</v>
      </c>
      <c r="C5496" s="135"/>
    </row>
    <row r="5497" spans="1:3" x14ac:dyDescent="0.2">
      <c r="A5497" s="9"/>
      <c r="B5497" s="135">
        <v>48.08</v>
      </c>
      <c r="C5497" s="135"/>
    </row>
    <row r="5498" spans="1:3" x14ac:dyDescent="0.2">
      <c r="A5498" s="9"/>
      <c r="B5498" s="135">
        <v>48.09</v>
      </c>
      <c r="C5498" s="135"/>
    </row>
    <row r="5499" spans="1:3" x14ac:dyDescent="0.2">
      <c r="A5499" s="9"/>
      <c r="B5499" s="135">
        <v>48.1</v>
      </c>
      <c r="C5499" s="135"/>
    </row>
    <row r="5500" spans="1:3" x14ac:dyDescent="0.2">
      <c r="A5500" s="9"/>
      <c r="B5500" s="135">
        <v>48.11</v>
      </c>
      <c r="C5500" s="135"/>
    </row>
    <row r="5501" spans="1:3" x14ac:dyDescent="0.2">
      <c r="A5501" s="9"/>
      <c r="B5501" s="135">
        <v>48.12</v>
      </c>
      <c r="C5501" s="135"/>
    </row>
    <row r="5502" spans="1:3" x14ac:dyDescent="0.2">
      <c r="A5502" s="9"/>
      <c r="B5502" s="135">
        <v>48.13</v>
      </c>
      <c r="C5502" s="135"/>
    </row>
    <row r="5503" spans="1:3" x14ac:dyDescent="0.2">
      <c r="A5503" s="9"/>
      <c r="B5503" s="135">
        <v>48.14</v>
      </c>
      <c r="C5503" s="135"/>
    </row>
    <row r="5504" spans="1:3" x14ac:dyDescent="0.2">
      <c r="A5504" s="9"/>
      <c r="B5504" s="135">
        <v>48.15</v>
      </c>
      <c r="C5504" s="135"/>
    </row>
    <row r="5505" spans="1:3" x14ac:dyDescent="0.2">
      <c r="A5505" s="9"/>
      <c r="B5505" s="135">
        <v>48.16</v>
      </c>
      <c r="C5505" s="135"/>
    </row>
    <row r="5506" spans="1:3" x14ac:dyDescent="0.2">
      <c r="A5506" s="9"/>
      <c r="B5506" s="135">
        <v>48.17</v>
      </c>
      <c r="C5506" s="135"/>
    </row>
    <row r="5507" spans="1:3" x14ac:dyDescent="0.2">
      <c r="A5507" s="9"/>
      <c r="B5507" s="135">
        <v>48.18</v>
      </c>
      <c r="C5507" s="135"/>
    </row>
    <row r="5508" spans="1:3" x14ac:dyDescent="0.2">
      <c r="A5508" s="9"/>
      <c r="B5508" s="135">
        <v>48.19</v>
      </c>
      <c r="C5508" s="135"/>
    </row>
    <row r="5509" spans="1:3" x14ac:dyDescent="0.2">
      <c r="A5509" s="9"/>
      <c r="B5509" s="135">
        <v>48.2</v>
      </c>
      <c r="C5509" s="135"/>
    </row>
    <row r="5510" spans="1:3" x14ac:dyDescent="0.2">
      <c r="A5510" s="9"/>
      <c r="B5510" s="135">
        <v>48.21</v>
      </c>
      <c r="C5510" s="135"/>
    </row>
    <row r="5511" spans="1:3" x14ac:dyDescent="0.2">
      <c r="A5511" s="9"/>
      <c r="B5511" s="135">
        <v>48.22</v>
      </c>
      <c r="C5511" s="135"/>
    </row>
    <row r="5512" spans="1:3" x14ac:dyDescent="0.2">
      <c r="A5512" s="9"/>
      <c r="B5512" s="135">
        <v>48.23</v>
      </c>
      <c r="C5512" s="135"/>
    </row>
    <row r="5513" spans="1:3" x14ac:dyDescent="0.2">
      <c r="A5513" s="9"/>
      <c r="B5513" s="135">
        <v>48.24</v>
      </c>
      <c r="C5513" s="135"/>
    </row>
    <row r="5514" spans="1:3" x14ac:dyDescent="0.2">
      <c r="A5514" s="9"/>
      <c r="B5514" s="135">
        <v>48.25</v>
      </c>
      <c r="C5514" s="135"/>
    </row>
    <row r="5515" spans="1:3" x14ac:dyDescent="0.2">
      <c r="A5515" s="9"/>
      <c r="B5515" s="135">
        <v>48.26</v>
      </c>
      <c r="C5515" s="135"/>
    </row>
    <row r="5516" spans="1:3" x14ac:dyDescent="0.2">
      <c r="A5516" s="9"/>
      <c r="B5516" s="135">
        <v>48.27</v>
      </c>
      <c r="C5516" s="135"/>
    </row>
    <row r="5517" spans="1:3" x14ac:dyDescent="0.2">
      <c r="A5517" s="9"/>
      <c r="B5517" s="135">
        <v>48.28</v>
      </c>
      <c r="C5517" s="135"/>
    </row>
    <row r="5518" spans="1:3" x14ac:dyDescent="0.2">
      <c r="A5518" s="9"/>
      <c r="B5518" s="135">
        <v>48.29</v>
      </c>
      <c r="C5518" s="135"/>
    </row>
    <row r="5519" spans="1:3" x14ac:dyDescent="0.2">
      <c r="A5519" s="9"/>
      <c r="B5519" s="135">
        <v>48.3</v>
      </c>
      <c r="C5519" s="135"/>
    </row>
    <row r="5520" spans="1:3" x14ac:dyDescent="0.2">
      <c r="A5520" s="9"/>
      <c r="B5520" s="135">
        <v>48.31</v>
      </c>
      <c r="C5520" s="135"/>
    </row>
    <row r="5521" spans="1:3" x14ac:dyDescent="0.2">
      <c r="A5521" s="9"/>
      <c r="B5521" s="135">
        <v>48.32</v>
      </c>
      <c r="C5521" s="135"/>
    </row>
    <row r="5522" spans="1:3" x14ac:dyDescent="0.2">
      <c r="A5522" s="9"/>
      <c r="B5522" s="135">
        <v>48.33</v>
      </c>
      <c r="C5522" s="135"/>
    </row>
    <row r="5523" spans="1:3" x14ac:dyDescent="0.2">
      <c r="A5523" s="9"/>
      <c r="B5523" s="135">
        <v>48.34</v>
      </c>
      <c r="C5523" s="135"/>
    </row>
    <row r="5524" spans="1:3" x14ac:dyDescent="0.2">
      <c r="A5524" s="9"/>
      <c r="B5524" s="135">
        <v>48.35</v>
      </c>
      <c r="C5524" s="135"/>
    </row>
    <row r="5525" spans="1:3" x14ac:dyDescent="0.2">
      <c r="A5525" s="9"/>
      <c r="B5525" s="135">
        <v>48.36</v>
      </c>
      <c r="C5525" s="135"/>
    </row>
    <row r="5526" spans="1:3" x14ac:dyDescent="0.2">
      <c r="A5526" s="9"/>
      <c r="B5526" s="135">
        <v>48.37</v>
      </c>
      <c r="C5526" s="135"/>
    </row>
    <row r="5527" spans="1:3" x14ac:dyDescent="0.2">
      <c r="A5527" s="9"/>
      <c r="B5527" s="135">
        <v>48.38</v>
      </c>
      <c r="C5527" s="135"/>
    </row>
    <row r="5528" spans="1:3" x14ac:dyDescent="0.2">
      <c r="A5528" s="9"/>
      <c r="B5528" s="135">
        <v>48.39</v>
      </c>
      <c r="C5528" s="135"/>
    </row>
    <row r="5529" spans="1:3" x14ac:dyDescent="0.2">
      <c r="A5529" s="9"/>
      <c r="B5529" s="135">
        <v>48.4</v>
      </c>
      <c r="C5529" s="135"/>
    </row>
    <row r="5530" spans="1:3" x14ac:dyDescent="0.2">
      <c r="A5530" s="9"/>
      <c r="B5530" s="135">
        <v>48.41</v>
      </c>
      <c r="C5530" s="135"/>
    </row>
    <row r="5531" spans="1:3" x14ac:dyDescent="0.2">
      <c r="A5531" s="9"/>
      <c r="B5531" s="135">
        <v>48.42</v>
      </c>
      <c r="C5531" s="135"/>
    </row>
    <row r="5532" spans="1:3" x14ac:dyDescent="0.2">
      <c r="A5532" s="9"/>
      <c r="B5532" s="135">
        <v>48.43</v>
      </c>
      <c r="C5532" s="135"/>
    </row>
    <row r="5533" spans="1:3" x14ac:dyDescent="0.2">
      <c r="A5533" s="9"/>
      <c r="B5533" s="135">
        <v>48.44</v>
      </c>
      <c r="C5533" s="135"/>
    </row>
    <row r="5534" spans="1:3" x14ac:dyDescent="0.2">
      <c r="A5534" s="9"/>
      <c r="B5534" s="135">
        <v>48.45</v>
      </c>
      <c r="C5534" s="135"/>
    </row>
    <row r="5535" spans="1:3" x14ac:dyDescent="0.2">
      <c r="A5535" s="9"/>
      <c r="B5535" s="135">
        <v>48.46</v>
      </c>
      <c r="C5535" s="135"/>
    </row>
    <row r="5536" spans="1:3" x14ac:dyDescent="0.2">
      <c r="A5536" s="9"/>
      <c r="B5536" s="135">
        <v>48.47</v>
      </c>
      <c r="C5536" s="135"/>
    </row>
    <row r="5537" spans="1:3" x14ac:dyDescent="0.2">
      <c r="A5537" s="9"/>
      <c r="B5537" s="135">
        <v>48.48</v>
      </c>
      <c r="C5537" s="135"/>
    </row>
    <row r="5538" spans="1:3" x14ac:dyDescent="0.2">
      <c r="A5538" s="9"/>
      <c r="B5538" s="135">
        <v>48.49</v>
      </c>
      <c r="C5538" s="135"/>
    </row>
    <row r="5539" spans="1:3" x14ac:dyDescent="0.2">
      <c r="A5539" s="9"/>
      <c r="B5539" s="135">
        <v>48.5</v>
      </c>
      <c r="C5539" s="135"/>
    </row>
    <row r="5540" spans="1:3" x14ac:dyDescent="0.2">
      <c r="A5540" s="9"/>
      <c r="B5540" s="135">
        <v>48.51</v>
      </c>
      <c r="C5540" s="135"/>
    </row>
    <row r="5541" spans="1:3" x14ac:dyDescent="0.2">
      <c r="A5541" s="9"/>
      <c r="B5541" s="135">
        <v>48.52</v>
      </c>
      <c r="C5541" s="135"/>
    </row>
    <row r="5542" spans="1:3" x14ac:dyDescent="0.2">
      <c r="A5542" s="9"/>
      <c r="B5542" s="135">
        <v>48.53</v>
      </c>
      <c r="C5542" s="135"/>
    </row>
    <row r="5543" spans="1:3" x14ac:dyDescent="0.2">
      <c r="A5543" s="9"/>
      <c r="B5543" s="135">
        <v>48.54</v>
      </c>
      <c r="C5543" s="135"/>
    </row>
    <row r="5544" spans="1:3" x14ac:dyDescent="0.2">
      <c r="A5544" s="9"/>
      <c r="B5544" s="135">
        <v>48.55</v>
      </c>
      <c r="C5544" s="135"/>
    </row>
    <row r="5545" spans="1:3" x14ac:dyDescent="0.2">
      <c r="A5545" s="9"/>
      <c r="B5545" s="135">
        <v>48.56</v>
      </c>
      <c r="C5545" s="135"/>
    </row>
    <row r="5546" spans="1:3" x14ac:dyDescent="0.2">
      <c r="A5546" s="9"/>
      <c r="B5546" s="135">
        <v>48.57</v>
      </c>
      <c r="C5546" s="135"/>
    </row>
    <row r="5547" spans="1:3" x14ac:dyDescent="0.2">
      <c r="A5547" s="9"/>
      <c r="B5547" s="135">
        <v>48.58</v>
      </c>
      <c r="C5547" s="135"/>
    </row>
    <row r="5548" spans="1:3" x14ac:dyDescent="0.2">
      <c r="A5548" s="9"/>
      <c r="B5548" s="135">
        <v>48.59</v>
      </c>
      <c r="C5548" s="135"/>
    </row>
    <row r="5549" spans="1:3" x14ac:dyDescent="0.2">
      <c r="A5549" s="9"/>
      <c r="B5549" s="135">
        <v>48.6</v>
      </c>
      <c r="C5549" s="135"/>
    </row>
    <row r="5550" spans="1:3" x14ac:dyDescent="0.2">
      <c r="A5550" s="9"/>
      <c r="B5550" s="135">
        <v>48.61</v>
      </c>
      <c r="C5550" s="135"/>
    </row>
    <row r="5551" spans="1:3" x14ac:dyDescent="0.2">
      <c r="A5551" s="9"/>
      <c r="B5551" s="135">
        <v>48.62</v>
      </c>
      <c r="C5551" s="135"/>
    </row>
    <row r="5552" spans="1:3" x14ac:dyDescent="0.2">
      <c r="A5552" s="9"/>
      <c r="B5552" s="135">
        <v>48.63</v>
      </c>
      <c r="C5552" s="135"/>
    </row>
    <row r="5553" spans="1:3" x14ac:dyDescent="0.2">
      <c r="A5553" s="9"/>
      <c r="B5553" s="135">
        <v>48.64</v>
      </c>
      <c r="C5553" s="135"/>
    </row>
    <row r="5554" spans="1:3" x14ac:dyDescent="0.2">
      <c r="A5554" s="9"/>
      <c r="B5554" s="135">
        <v>48.65</v>
      </c>
      <c r="C5554" s="135"/>
    </row>
    <row r="5555" spans="1:3" x14ac:dyDescent="0.2">
      <c r="A5555" s="9"/>
      <c r="B5555" s="135">
        <v>48.66</v>
      </c>
      <c r="C5555" s="135"/>
    </row>
    <row r="5556" spans="1:3" x14ac:dyDescent="0.2">
      <c r="A5556" s="9"/>
      <c r="B5556" s="135">
        <v>48.67</v>
      </c>
      <c r="C5556" s="135"/>
    </row>
    <row r="5557" spans="1:3" x14ac:dyDescent="0.2">
      <c r="A5557" s="9"/>
      <c r="B5557" s="135">
        <v>48.68</v>
      </c>
      <c r="C5557" s="135"/>
    </row>
    <row r="5558" spans="1:3" x14ac:dyDescent="0.2">
      <c r="A5558" s="9"/>
      <c r="B5558" s="135">
        <v>48.69</v>
      </c>
      <c r="C5558" s="135"/>
    </row>
    <row r="5559" spans="1:3" x14ac:dyDescent="0.2">
      <c r="A5559" s="9"/>
      <c r="B5559" s="135">
        <v>48.7</v>
      </c>
      <c r="C5559" s="135"/>
    </row>
    <row r="5560" spans="1:3" x14ac:dyDescent="0.2">
      <c r="A5560" s="9"/>
      <c r="B5560" s="135">
        <v>48.71</v>
      </c>
      <c r="C5560" s="135"/>
    </row>
    <row r="5561" spans="1:3" x14ac:dyDescent="0.2">
      <c r="A5561" s="9"/>
      <c r="B5561" s="135">
        <v>48.72</v>
      </c>
      <c r="C5561" s="135"/>
    </row>
    <row r="5562" spans="1:3" x14ac:dyDescent="0.2">
      <c r="A5562" s="9"/>
      <c r="B5562" s="135">
        <v>48.73</v>
      </c>
      <c r="C5562" s="135"/>
    </row>
    <row r="5563" spans="1:3" x14ac:dyDescent="0.2">
      <c r="A5563" s="9"/>
      <c r="B5563" s="135">
        <v>48.74</v>
      </c>
      <c r="C5563" s="135"/>
    </row>
    <row r="5564" spans="1:3" x14ac:dyDescent="0.2">
      <c r="A5564" s="9"/>
      <c r="B5564" s="135">
        <v>48.75</v>
      </c>
      <c r="C5564" s="135"/>
    </row>
    <row r="5565" spans="1:3" x14ac:dyDescent="0.2">
      <c r="A5565" s="9"/>
      <c r="B5565" s="135">
        <v>48.76</v>
      </c>
      <c r="C5565" s="135"/>
    </row>
    <row r="5566" spans="1:3" x14ac:dyDescent="0.2">
      <c r="A5566" s="9"/>
      <c r="B5566" s="135">
        <v>48.77</v>
      </c>
      <c r="C5566" s="135"/>
    </row>
    <row r="5567" spans="1:3" x14ac:dyDescent="0.2">
      <c r="A5567" s="9"/>
      <c r="B5567" s="135">
        <v>48.78</v>
      </c>
      <c r="C5567" s="135"/>
    </row>
    <row r="5568" spans="1:3" x14ac:dyDescent="0.2">
      <c r="A5568" s="9"/>
      <c r="B5568" s="135">
        <v>48.79</v>
      </c>
      <c r="C5568" s="135"/>
    </row>
    <row r="5569" spans="1:3" x14ac:dyDescent="0.2">
      <c r="A5569" s="9"/>
      <c r="B5569" s="135">
        <v>48.8</v>
      </c>
      <c r="C5569" s="135"/>
    </row>
    <row r="5570" spans="1:3" x14ac:dyDescent="0.2">
      <c r="A5570" s="9"/>
      <c r="B5570" s="135">
        <v>48.81</v>
      </c>
      <c r="C5570" s="135"/>
    </row>
    <row r="5571" spans="1:3" x14ac:dyDescent="0.2">
      <c r="A5571" s="9"/>
      <c r="B5571" s="135">
        <v>48.82</v>
      </c>
      <c r="C5571" s="135"/>
    </row>
    <row r="5572" spans="1:3" x14ac:dyDescent="0.2">
      <c r="A5572" s="9"/>
      <c r="B5572" s="135">
        <v>48.83</v>
      </c>
      <c r="C5572" s="135"/>
    </row>
    <row r="5573" spans="1:3" x14ac:dyDescent="0.2">
      <c r="A5573" s="9"/>
      <c r="B5573" s="135">
        <v>48.84</v>
      </c>
      <c r="C5573" s="135"/>
    </row>
    <row r="5574" spans="1:3" x14ac:dyDescent="0.2">
      <c r="A5574" s="9"/>
      <c r="B5574" s="135">
        <v>48.85</v>
      </c>
      <c r="C5574" s="135"/>
    </row>
    <row r="5575" spans="1:3" x14ac:dyDescent="0.2">
      <c r="A5575" s="9"/>
      <c r="B5575" s="135">
        <v>48.86</v>
      </c>
      <c r="C5575" s="135"/>
    </row>
    <row r="5576" spans="1:3" x14ac:dyDescent="0.2">
      <c r="A5576" s="9"/>
      <c r="B5576" s="135">
        <v>48.87</v>
      </c>
      <c r="C5576" s="135"/>
    </row>
    <row r="5577" spans="1:3" x14ac:dyDescent="0.2">
      <c r="A5577" s="9"/>
      <c r="B5577" s="135">
        <v>48.88</v>
      </c>
      <c r="C5577" s="135"/>
    </row>
    <row r="5578" spans="1:3" x14ac:dyDescent="0.2">
      <c r="A5578" s="9"/>
      <c r="B5578" s="135">
        <v>48.89</v>
      </c>
      <c r="C5578" s="135"/>
    </row>
    <row r="5579" spans="1:3" x14ac:dyDescent="0.2">
      <c r="A5579" s="9"/>
      <c r="B5579" s="135">
        <v>48.9</v>
      </c>
      <c r="C5579" s="135"/>
    </row>
    <row r="5580" spans="1:3" x14ac:dyDescent="0.2">
      <c r="A5580" s="9"/>
      <c r="B5580" s="135">
        <v>48.91</v>
      </c>
      <c r="C5580" s="135"/>
    </row>
    <row r="5581" spans="1:3" x14ac:dyDescent="0.2">
      <c r="A5581" s="9"/>
      <c r="B5581" s="135">
        <v>48.92</v>
      </c>
      <c r="C5581" s="135"/>
    </row>
    <row r="5582" spans="1:3" x14ac:dyDescent="0.2">
      <c r="A5582" s="9"/>
      <c r="B5582" s="135">
        <v>48.93</v>
      </c>
      <c r="C5582" s="135"/>
    </row>
    <row r="5583" spans="1:3" x14ac:dyDescent="0.2">
      <c r="A5583" s="9"/>
      <c r="B5583" s="135">
        <v>48.94</v>
      </c>
      <c r="C5583" s="135"/>
    </row>
    <row r="5584" spans="1:3" x14ac:dyDescent="0.2">
      <c r="A5584" s="9"/>
      <c r="B5584" s="135">
        <v>48.95</v>
      </c>
      <c r="C5584" s="135"/>
    </row>
    <row r="5585" spans="1:3" x14ac:dyDescent="0.2">
      <c r="A5585" s="9"/>
      <c r="B5585" s="135">
        <v>48.96</v>
      </c>
      <c r="C5585" s="135"/>
    </row>
    <row r="5586" spans="1:3" x14ac:dyDescent="0.2">
      <c r="A5586" s="9"/>
      <c r="B5586" s="135">
        <v>48.97</v>
      </c>
      <c r="C5586" s="135"/>
    </row>
    <row r="5587" spans="1:3" x14ac:dyDescent="0.2">
      <c r="A5587" s="9"/>
      <c r="B5587" s="135">
        <v>48.98</v>
      </c>
      <c r="C5587" s="135"/>
    </row>
    <row r="5588" spans="1:3" x14ac:dyDescent="0.2">
      <c r="A5588" s="9"/>
      <c r="B5588" s="135">
        <v>48.99</v>
      </c>
      <c r="C5588" s="135"/>
    </row>
    <row r="5589" spans="1:3" x14ac:dyDescent="0.2">
      <c r="A5589" s="9"/>
      <c r="B5589" s="135">
        <v>49</v>
      </c>
      <c r="C5589" s="135"/>
    </row>
    <row r="5590" spans="1:3" x14ac:dyDescent="0.2">
      <c r="A5590" s="9"/>
      <c r="B5590" s="135">
        <v>49.01</v>
      </c>
      <c r="C5590" s="135"/>
    </row>
    <row r="5591" spans="1:3" x14ac:dyDescent="0.2">
      <c r="A5591" s="9"/>
      <c r="B5591" s="135">
        <v>49.02</v>
      </c>
      <c r="C5591" s="135"/>
    </row>
    <row r="5592" spans="1:3" x14ac:dyDescent="0.2">
      <c r="A5592" s="9"/>
      <c r="B5592" s="135">
        <v>49.03</v>
      </c>
      <c r="C5592" s="135"/>
    </row>
    <row r="5593" spans="1:3" x14ac:dyDescent="0.2">
      <c r="A5593" s="9"/>
      <c r="B5593" s="135">
        <v>49.04</v>
      </c>
      <c r="C5593" s="135"/>
    </row>
    <row r="5594" spans="1:3" x14ac:dyDescent="0.2">
      <c r="A5594" s="9"/>
      <c r="B5594" s="135">
        <v>49.05</v>
      </c>
      <c r="C5594" s="135"/>
    </row>
    <row r="5595" spans="1:3" x14ac:dyDescent="0.2">
      <c r="A5595" s="9"/>
      <c r="B5595" s="135">
        <v>49.06</v>
      </c>
      <c r="C5595" s="135"/>
    </row>
    <row r="5596" spans="1:3" x14ac:dyDescent="0.2">
      <c r="A5596" s="9"/>
      <c r="B5596" s="135">
        <v>49.07</v>
      </c>
      <c r="C5596" s="135"/>
    </row>
    <row r="5597" spans="1:3" x14ac:dyDescent="0.2">
      <c r="A5597" s="9"/>
      <c r="B5597" s="135">
        <v>49.08</v>
      </c>
      <c r="C5597" s="135"/>
    </row>
    <row r="5598" spans="1:3" x14ac:dyDescent="0.2">
      <c r="A5598" s="9"/>
      <c r="B5598" s="135">
        <v>49.09</v>
      </c>
      <c r="C5598" s="135"/>
    </row>
    <row r="5599" spans="1:3" x14ac:dyDescent="0.2">
      <c r="A5599" s="9"/>
      <c r="B5599" s="135">
        <v>49.1</v>
      </c>
      <c r="C5599" s="135"/>
    </row>
    <row r="5600" spans="1:3" x14ac:dyDescent="0.2">
      <c r="A5600" s="9"/>
      <c r="B5600" s="135">
        <v>49.11</v>
      </c>
      <c r="C5600" s="135"/>
    </row>
    <row r="5601" spans="1:3" x14ac:dyDescent="0.2">
      <c r="A5601" s="9"/>
      <c r="B5601" s="135">
        <v>49.12</v>
      </c>
      <c r="C5601" s="135"/>
    </row>
    <row r="5602" spans="1:3" x14ac:dyDescent="0.2">
      <c r="A5602" s="9"/>
      <c r="B5602" s="135">
        <v>49.13</v>
      </c>
      <c r="C5602" s="135"/>
    </row>
    <row r="5603" spans="1:3" x14ac:dyDescent="0.2">
      <c r="A5603" s="9"/>
      <c r="B5603" s="135">
        <v>49.14</v>
      </c>
      <c r="C5603" s="135"/>
    </row>
    <row r="5604" spans="1:3" x14ac:dyDescent="0.2">
      <c r="A5604" s="9"/>
      <c r="B5604" s="135">
        <v>49.15</v>
      </c>
      <c r="C5604" s="135"/>
    </row>
    <row r="5605" spans="1:3" x14ac:dyDescent="0.2">
      <c r="A5605" s="9"/>
      <c r="B5605" s="135">
        <v>49.16</v>
      </c>
      <c r="C5605" s="135"/>
    </row>
    <row r="5606" spans="1:3" x14ac:dyDescent="0.2">
      <c r="A5606" s="9"/>
      <c r="B5606" s="135">
        <v>49.17</v>
      </c>
      <c r="C5606" s="135"/>
    </row>
    <row r="5607" spans="1:3" x14ac:dyDescent="0.2">
      <c r="A5607" s="9"/>
      <c r="B5607" s="135">
        <v>49.18</v>
      </c>
      <c r="C5607" s="135"/>
    </row>
    <row r="5608" spans="1:3" x14ac:dyDescent="0.2">
      <c r="A5608" s="9"/>
      <c r="B5608" s="135">
        <v>49.19</v>
      </c>
      <c r="C5608" s="135"/>
    </row>
    <row r="5609" spans="1:3" x14ac:dyDescent="0.2">
      <c r="A5609" s="9"/>
      <c r="B5609" s="135">
        <v>49.2</v>
      </c>
      <c r="C5609" s="135"/>
    </row>
    <row r="5610" spans="1:3" x14ac:dyDescent="0.2">
      <c r="A5610" s="9"/>
      <c r="B5610" s="135">
        <v>49.21</v>
      </c>
      <c r="C5610" s="135"/>
    </row>
    <row r="5611" spans="1:3" x14ac:dyDescent="0.2">
      <c r="A5611" s="9"/>
      <c r="B5611" s="135">
        <v>49.22</v>
      </c>
      <c r="C5611" s="135"/>
    </row>
    <row r="5612" spans="1:3" x14ac:dyDescent="0.2">
      <c r="A5612" s="9"/>
      <c r="B5612" s="135">
        <v>49.23</v>
      </c>
      <c r="C5612" s="135"/>
    </row>
    <row r="5613" spans="1:3" x14ac:dyDescent="0.2">
      <c r="A5613" s="9"/>
      <c r="B5613" s="135">
        <v>49.24</v>
      </c>
      <c r="C5613" s="135"/>
    </row>
    <row r="5614" spans="1:3" x14ac:dyDescent="0.2">
      <c r="A5614" s="9"/>
      <c r="B5614" s="135">
        <v>49.25</v>
      </c>
      <c r="C5614" s="135"/>
    </row>
    <row r="5615" spans="1:3" x14ac:dyDescent="0.2">
      <c r="A5615" s="9"/>
      <c r="B5615" s="135">
        <v>49.26</v>
      </c>
      <c r="C5615" s="135"/>
    </row>
    <row r="5616" spans="1:3" x14ac:dyDescent="0.2">
      <c r="A5616" s="9"/>
      <c r="B5616" s="135">
        <v>49.27</v>
      </c>
      <c r="C5616" s="135"/>
    </row>
    <row r="5617" spans="1:3" x14ac:dyDescent="0.2">
      <c r="A5617" s="9"/>
      <c r="B5617" s="135">
        <v>49.28</v>
      </c>
      <c r="C5617" s="135"/>
    </row>
    <row r="5618" spans="1:3" x14ac:dyDescent="0.2">
      <c r="A5618" s="9"/>
      <c r="B5618" s="135">
        <v>49.29</v>
      </c>
      <c r="C5618" s="135"/>
    </row>
    <row r="5619" spans="1:3" x14ac:dyDescent="0.2">
      <c r="A5619" s="9"/>
      <c r="B5619" s="135">
        <v>49.3</v>
      </c>
      <c r="C5619" s="135"/>
    </row>
    <row r="5620" spans="1:3" x14ac:dyDescent="0.2">
      <c r="A5620" s="9"/>
      <c r="B5620" s="135">
        <v>49.31</v>
      </c>
      <c r="C5620" s="135"/>
    </row>
    <row r="5621" spans="1:3" x14ac:dyDescent="0.2">
      <c r="A5621" s="9"/>
      <c r="B5621" s="135">
        <v>49.32</v>
      </c>
      <c r="C5621" s="135"/>
    </row>
    <row r="5622" spans="1:3" x14ac:dyDescent="0.2">
      <c r="A5622" s="9"/>
      <c r="B5622" s="135">
        <v>49.33</v>
      </c>
      <c r="C5622" s="135"/>
    </row>
    <row r="5623" spans="1:3" x14ac:dyDescent="0.2">
      <c r="A5623" s="9"/>
      <c r="B5623" s="135">
        <v>49.34</v>
      </c>
      <c r="C5623" s="135"/>
    </row>
    <row r="5624" spans="1:3" x14ac:dyDescent="0.2">
      <c r="A5624" s="9"/>
      <c r="B5624" s="135">
        <v>49.35</v>
      </c>
      <c r="C5624" s="135"/>
    </row>
    <row r="5625" spans="1:3" x14ac:dyDescent="0.2">
      <c r="A5625" s="9"/>
      <c r="B5625" s="135">
        <v>49.36</v>
      </c>
      <c r="C5625" s="135"/>
    </row>
    <row r="5626" spans="1:3" x14ac:dyDescent="0.2">
      <c r="A5626" s="9"/>
      <c r="B5626" s="135">
        <v>49.37</v>
      </c>
      <c r="C5626" s="135"/>
    </row>
    <row r="5627" spans="1:3" x14ac:dyDescent="0.2">
      <c r="A5627" s="9"/>
      <c r="B5627" s="135">
        <v>49.38</v>
      </c>
      <c r="C5627" s="135"/>
    </row>
    <row r="5628" spans="1:3" x14ac:dyDescent="0.2">
      <c r="A5628" s="9"/>
      <c r="B5628" s="135">
        <v>49.39</v>
      </c>
      <c r="C5628" s="135"/>
    </row>
    <row r="5629" spans="1:3" x14ac:dyDescent="0.2">
      <c r="A5629" s="9"/>
      <c r="B5629" s="135">
        <v>49.4</v>
      </c>
      <c r="C5629" s="135"/>
    </row>
    <row r="5630" spans="1:3" x14ac:dyDescent="0.2">
      <c r="A5630" s="9"/>
      <c r="B5630" s="135">
        <v>49.41</v>
      </c>
      <c r="C5630" s="135"/>
    </row>
    <row r="5631" spans="1:3" x14ac:dyDescent="0.2">
      <c r="A5631" s="9"/>
      <c r="B5631" s="135">
        <v>49.42</v>
      </c>
      <c r="C5631" s="135"/>
    </row>
    <row r="5632" spans="1:3" x14ac:dyDescent="0.2">
      <c r="A5632" s="9"/>
      <c r="B5632" s="135">
        <v>49.43</v>
      </c>
      <c r="C5632" s="135"/>
    </row>
    <row r="5633" spans="1:3" x14ac:dyDescent="0.2">
      <c r="A5633" s="9"/>
      <c r="B5633" s="135">
        <v>49.44</v>
      </c>
      <c r="C5633" s="135"/>
    </row>
    <row r="5634" spans="1:3" x14ac:dyDescent="0.2">
      <c r="A5634" s="9"/>
      <c r="B5634" s="135">
        <v>49.45</v>
      </c>
      <c r="C5634" s="135"/>
    </row>
    <row r="5635" spans="1:3" x14ac:dyDescent="0.2">
      <c r="A5635" s="9"/>
      <c r="B5635" s="135">
        <v>49.46</v>
      </c>
      <c r="C5635" s="135"/>
    </row>
    <row r="5636" spans="1:3" x14ac:dyDescent="0.2">
      <c r="A5636" s="9"/>
      <c r="B5636" s="135">
        <v>49.47</v>
      </c>
      <c r="C5636" s="135"/>
    </row>
    <row r="5637" spans="1:3" x14ac:dyDescent="0.2">
      <c r="A5637" s="9"/>
      <c r="B5637" s="135">
        <v>49.48</v>
      </c>
      <c r="C5637" s="135"/>
    </row>
    <row r="5638" spans="1:3" x14ac:dyDescent="0.2">
      <c r="A5638" s="9"/>
      <c r="B5638" s="135">
        <v>49.49</v>
      </c>
      <c r="C5638" s="135"/>
    </row>
    <row r="5639" spans="1:3" x14ac:dyDescent="0.2">
      <c r="A5639" s="9"/>
      <c r="B5639" s="135">
        <v>49.5</v>
      </c>
      <c r="C5639" s="135"/>
    </row>
    <row r="5640" spans="1:3" x14ac:dyDescent="0.2">
      <c r="A5640" s="9"/>
      <c r="B5640" s="135">
        <v>49.51</v>
      </c>
      <c r="C5640" s="135"/>
    </row>
    <row r="5641" spans="1:3" x14ac:dyDescent="0.2">
      <c r="A5641" s="9"/>
      <c r="B5641" s="135">
        <v>49.52</v>
      </c>
      <c r="C5641" s="135"/>
    </row>
    <row r="5642" spans="1:3" x14ac:dyDescent="0.2">
      <c r="A5642" s="9"/>
      <c r="B5642" s="135">
        <v>49.53</v>
      </c>
      <c r="C5642" s="135"/>
    </row>
    <row r="5643" spans="1:3" x14ac:dyDescent="0.2">
      <c r="A5643" s="9"/>
      <c r="B5643" s="135">
        <v>49.54</v>
      </c>
      <c r="C5643" s="135"/>
    </row>
    <row r="5644" spans="1:3" x14ac:dyDescent="0.2">
      <c r="A5644" s="9"/>
      <c r="B5644" s="135">
        <v>49.55</v>
      </c>
      <c r="C5644" s="135"/>
    </row>
    <row r="5645" spans="1:3" x14ac:dyDescent="0.2">
      <c r="A5645" s="9"/>
      <c r="B5645" s="135">
        <v>49.56</v>
      </c>
      <c r="C5645" s="135"/>
    </row>
    <row r="5646" spans="1:3" x14ac:dyDescent="0.2">
      <c r="A5646" s="9"/>
      <c r="B5646" s="135">
        <v>49.57</v>
      </c>
      <c r="C5646" s="135"/>
    </row>
    <row r="5647" spans="1:3" x14ac:dyDescent="0.2">
      <c r="A5647" s="9"/>
      <c r="B5647" s="135">
        <v>49.58</v>
      </c>
      <c r="C5647" s="135"/>
    </row>
    <row r="5648" spans="1:3" x14ac:dyDescent="0.2">
      <c r="A5648" s="9"/>
      <c r="B5648" s="135">
        <v>49.59</v>
      </c>
      <c r="C5648" s="135"/>
    </row>
    <row r="5649" spans="1:3" x14ac:dyDescent="0.2">
      <c r="A5649" s="9"/>
      <c r="B5649" s="135">
        <v>49.6</v>
      </c>
      <c r="C5649" s="135"/>
    </row>
    <row r="5650" spans="1:3" x14ac:dyDescent="0.2">
      <c r="A5650" s="9"/>
      <c r="B5650" s="135">
        <v>49.61</v>
      </c>
      <c r="C5650" s="135"/>
    </row>
    <row r="5651" spans="1:3" x14ac:dyDescent="0.2">
      <c r="A5651" s="9"/>
      <c r="B5651" s="135">
        <v>49.62</v>
      </c>
      <c r="C5651" s="135"/>
    </row>
    <row r="5652" spans="1:3" x14ac:dyDescent="0.2">
      <c r="A5652" s="9"/>
      <c r="B5652" s="135">
        <v>49.63</v>
      </c>
      <c r="C5652" s="135"/>
    </row>
    <row r="5653" spans="1:3" x14ac:dyDescent="0.2">
      <c r="A5653" s="9"/>
      <c r="B5653" s="135">
        <v>49.64</v>
      </c>
      <c r="C5653" s="135"/>
    </row>
    <row r="5654" spans="1:3" x14ac:dyDescent="0.2">
      <c r="A5654" s="9"/>
      <c r="B5654" s="135">
        <v>49.65</v>
      </c>
      <c r="C5654" s="135"/>
    </row>
    <row r="5655" spans="1:3" x14ac:dyDescent="0.2">
      <c r="A5655" s="9"/>
      <c r="B5655" s="135">
        <v>49.66</v>
      </c>
      <c r="C5655" s="135"/>
    </row>
    <row r="5656" spans="1:3" x14ac:dyDescent="0.2">
      <c r="A5656" s="9"/>
      <c r="B5656" s="135">
        <v>49.67</v>
      </c>
      <c r="C5656" s="135"/>
    </row>
    <row r="5657" spans="1:3" x14ac:dyDescent="0.2">
      <c r="A5657" s="9"/>
      <c r="B5657" s="135">
        <v>49.68</v>
      </c>
      <c r="C5657" s="135"/>
    </row>
    <row r="5658" spans="1:3" x14ac:dyDescent="0.2">
      <c r="A5658" s="9"/>
      <c r="B5658" s="135">
        <v>49.69</v>
      </c>
      <c r="C5658" s="135"/>
    </row>
    <row r="5659" spans="1:3" x14ac:dyDescent="0.2">
      <c r="A5659" s="9"/>
      <c r="B5659" s="135">
        <v>49.7</v>
      </c>
      <c r="C5659" s="135"/>
    </row>
    <row r="5660" spans="1:3" x14ac:dyDescent="0.2">
      <c r="A5660" s="9"/>
      <c r="B5660" s="135">
        <v>49.71</v>
      </c>
      <c r="C5660" s="135"/>
    </row>
    <row r="5661" spans="1:3" x14ac:dyDescent="0.2">
      <c r="A5661" s="9"/>
      <c r="B5661" s="135">
        <v>49.72</v>
      </c>
      <c r="C5661" s="135"/>
    </row>
    <row r="5662" spans="1:3" x14ac:dyDescent="0.2">
      <c r="A5662" s="9"/>
      <c r="B5662" s="135">
        <v>49.73</v>
      </c>
      <c r="C5662" s="135"/>
    </row>
    <row r="5663" spans="1:3" x14ac:dyDescent="0.2">
      <c r="A5663" s="9"/>
      <c r="B5663" s="135">
        <v>49.74</v>
      </c>
      <c r="C5663" s="135"/>
    </row>
    <row r="5664" spans="1:3" x14ac:dyDescent="0.2">
      <c r="A5664" s="9"/>
      <c r="B5664" s="135">
        <v>49.75</v>
      </c>
      <c r="C5664" s="135"/>
    </row>
    <row r="5665" spans="1:3" x14ac:dyDescent="0.2">
      <c r="A5665" s="9"/>
      <c r="B5665" s="135">
        <v>49.76</v>
      </c>
      <c r="C5665" s="135"/>
    </row>
    <row r="5666" spans="1:3" x14ac:dyDescent="0.2">
      <c r="A5666" s="9"/>
      <c r="B5666" s="135">
        <v>49.77</v>
      </c>
      <c r="C5666" s="135"/>
    </row>
    <row r="5667" spans="1:3" x14ac:dyDescent="0.2">
      <c r="A5667" s="9"/>
      <c r="B5667" s="135">
        <v>49.78</v>
      </c>
      <c r="C5667" s="135"/>
    </row>
    <row r="5668" spans="1:3" x14ac:dyDescent="0.2">
      <c r="A5668" s="9"/>
      <c r="B5668" s="135">
        <v>49.79</v>
      </c>
      <c r="C5668" s="135"/>
    </row>
    <row r="5669" spans="1:3" x14ac:dyDescent="0.2">
      <c r="A5669" s="9"/>
      <c r="B5669" s="135">
        <v>49.8</v>
      </c>
      <c r="C5669" s="135"/>
    </row>
    <row r="5670" spans="1:3" x14ac:dyDescent="0.2">
      <c r="A5670" s="9"/>
      <c r="B5670" s="135">
        <v>49.81</v>
      </c>
      <c r="C5670" s="135"/>
    </row>
    <row r="5671" spans="1:3" x14ac:dyDescent="0.2">
      <c r="A5671" s="9"/>
      <c r="B5671" s="135">
        <v>49.82</v>
      </c>
      <c r="C5671" s="135"/>
    </row>
    <row r="5672" spans="1:3" x14ac:dyDescent="0.2">
      <c r="A5672" s="9"/>
      <c r="B5672" s="135">
        <v>49.83</v>
      </c>
      <c r="C5672" s="135"/>
    </row>
    <row r="5673" spans="1:3" x14ac:dyDescent="0.2">
      <c r="A5673" s="9"/>
      <c r="B5673" s="135">
        <v>49.84</v>
      </c>
      <c r="C5673" s="135"/>
    </row>
    <row r="5674" spans="1:3" x14ac:dyDescent="0.2">
      <c r="A5674" s="9"/>
      <c r="B5674" s="135">
        <v>49.85</v>
      </c>
      <c r="C5674" s="135"/>
    </row>
    <row r="5675" spans="1:3" x14ac:dyDescent="0.2">
      <c r="A5675" s="9"/>
      <c r="B5675" s="135">
        <v>49.86</v>
      </c>
      <c r="C5675" s="135"/>
    </row>
    <row r="5676" spans="1:3" x14ac:dyDescent="0.2">
      <c r="A5676" s="9"/>
      <c r="B5676" s="135">
        <v>49.87</v>
      </c>
      <c r="C5676" s="135"/>
    </row>
    <row r="5677" spans="1:3" x14ac:dyDescent="0.2">
      <c r="A5677" s="9"/>
      <c r="B5677" s="135">
        <v>49.88</v>
      </c>
      <c r="C5677" s="135"/>
    </row>
    <row r="5678" spans="1:3" x14ac:dyDescent="0.2">
      <c r="A5678" s="9"/>
      <c r="B5678" s="135">
        <v>49.89</v>
      </c>
      <c r="C5678" s="135"/>
    </row>
    <row r="5679" spans="1:3" x14ac:dyDescent="0.2">
      <c r="A5679" s="9"/>
      <c r="B5679" s="135">
        <v>49.9</v>
      </c>
      <c r="C5679" s="135"/>
    </row>
    <row r="5680" spans="1:3" x14ac:dyDescent="0.2">
      <c r="A5680" s="9"/>
      <c r="B5680" s="135">
        <v>49.91</v>
      </c>
      <c r="C5680" s="135"/>
    </row>
    <row r="5681" spans="1:3" x14ac:dyDescent="0.2">
      <c r="A5681" s="9"/>
      <c r="B5681" s="135">
        <v>49.92</v>
      </c>
      <c r="C5681" s="135"/>
    </row>
    <row r="5682" spans="1:3" x14ac:dyDescent="0.2">
      <c r="A5682" s="9"/>
      <c r="B5682" s="135">
        <v>49.93</v>
      </c>
      <c r="C5682" s="135"/>
    </row>
    <row r="5683" spans="1:3" x14ac:dyDescent="0.2">
      <c r="A5683" s="9"/>
      <c r="B5683" s="135">
        <v>49.94</v>
      </c>
      <c r="C5683" s="135"/>
    </row>
    <row r="5684" spans="1:3" x14ac:dyDescent="0.2">
      <c r="A5684" s="9"/>
      <c r="B5684" s="135">
        <v>49.95</v>
      </c>
      <c r="C5684" s="135"/>
    </row>
    <row r="5685" spans="1:3" x14ac:dyDescent="0.2">
      <c r="A5685" s="9"/>
      <c r="B5685" s="135">
        <v>49.96</v>
      </c>
      <c r="C5685" s="135"/>
    </row>
    <row r="5686" spans="1:3" x14ac:dyDescent="0.2">
      <c r="A5686" s="9"/>
      <c r="B5686" s="135">
        <v>49.97</v>
      </c>
      <c r="C5686" s="135"/>
    </row>
    <row r="5687" spans="1:3" x14ac:dyDescent="0.2">
      <c r="A5687" s="9"/>
      <c r="B5687" s="135">
        <v>49.98</v>
      </c>
      <c r="C5687" s="135"/>
    </row>
    <row r="5688" spans="1:3" x14ac:dyDescent="0.2">
      <c r="A5688" s="9"/>
      <c r="B5688" s="135">
        <v>49.99</v>
      </c>
      <c r="C5688" s="135"/>
    </row>
    <row r="5689" spans="1:3" x14ac:dyDescent="0.2">
      <c r="B5689" s="135">
        <v>50</v>
      </c>
      <c r="C5689" s="135"/>
    </row>
  </sheetData>
  <sheetProtection formatCells="0" formatColumns="0" formatRows="0" insertRows="0"/>
  <sortState ref="A532:I571">
    <sortCondition ref="A532:A571"/>
  </sortState>
  <phoneticPr fontId="3" type="noConversion"/>
  <printOptions horizontalCentered="1" headings="1"/>
  <pageMargins left="0.16" right="0.16" top="0.2" bottom="0.47" header="0.16" footer="0.47"/>
  <pageSetup scale="75"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A4865"/>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140625" defaultRowHeight="12.75" x14ac:dyDescent="0.2"/>
  <cols>
    <col min="1" max="1" width="13.5703125" style="586" customWidth="1"/>
    <col min="2" max="2" width="9.140625" style="586"/>
    <col min="3" max="3" width="9.140625" style="763"/>
    <col min="4" max="5" width="9.140625" style="586"/>
    <col min="6" max="6" width="29.140625" style="586" customWidth="1"/>
    <col min="7" max="7" width="20.140625" style="586" customWidth="1"/>
    <col min="8" max="8" width="36.140625" style="586" customWidth="1"/>
    <col min="9" max="9" width="16" style="586" customWidth="1"/>
    <col min="10" max="10" width="17.5703125" style="586" customWidth="1"/>
    <col min="11" max="11" width="36.140625" style="586" customWidth="1"/>
    <col min="12" max="12" width="14" style="586" customWidth="1"/>
    <col min="13" max="13" width="11.140625" style="586" customWidth="1"/>
    <col min="14" max="14" width="23.28515625" style="586" customWidth="1"/>
    <col min="15" max="15" width="21.5703125" style="586" bestFit="1" customWidth="1"/>
    <col min="16" max="16" width="9.140625" style="586"/>
    <col min="17" max="17" width="24.5703125" style="586" customWidth="1"/>
    <col min="18" max="22" width="9.140625" style="586"/>
    <col min="23" max="23" width="19.85546875" style="586" customWidth="1"/>
    <col min="24" max="24" width="25.28515625" style="586" customWidth="1"/>
    <col min="25" max="16384" width="9.140625" style="586"/>
  </cols>
  <sheetData>
    <row r="1" spans="1:27" ht="31.5" customHeight="1" x14ac:dyDescent="0.2">
      <c r="L1" s="1023" t="s">
        <v>1803</v>
      </c>
      <c r="M1" s="1023"/>
      <c r="N1" s="1023" t="s">
        <v>1804</v>
      </c>
      <c r="O1" s="1023"/>
      <c r="P1" s="1023"/>
      <c r="Q1" s="1023" t="s">
        <v>1805</v>
      </c>
      <c r="R1" s="1023"/>
    </row>
    <row r="2" spans="1:27" ht="15" x14ac:dyDescent="0.25">
      <c r="B2" s="587" t="s">
        <v>751</v>
      </c>
      <c r="C2" s="764" t="s">
        <v>1806</v>
      </c>
      <c r="D2" s="588" t="s">
        <v>1807</v>
      </c>
      <c r="E2" s="588" t="s">
        <v>1768</v>
      </c>
      <c r="F2" s="588" t="s">
        <v>155</v>
      </c>
      <c r="G2" s="588"/>
      <c r="H2" s="588" t="s">
        <v>1743</v>
      </c>
      <c r="I2" s="588"/>
      <c r="J2" s="588" t="s">
        <v>154</v>
      </c>
      <c r="K2" s="588" t="s">
        <v>1795</v>
      </c>
      <c r="L2" s="589" t="s">
        <v>1770</v>
      </c>
      <c r="M2" s="590" t="s">
        <v>1748</v>
      </c>
      <c r="O2" s="586" t="s">
        <v>1808</v>
      </c>
      <c r="P2" s="586" t="s">
        <v>1809</v>
      </c>
      <c r="R2" s="586" t="s">
        <v>1924</v>
      </c>
      <c r="S2" s="586" t="s">
        <v>1809</v>
      </c>
      <c r="U2" s="586" t="s">
        <v>1798</v>
      </c>
      <c r="W2" s="586" t="s">
        <v>1931</v>
      </c>
      <c r="X2" s="586" t="s">
        <v>1932</v>
      </c>
      <c r="AA2" s="586" t="s">
        <v>1936</v>
      </c>
    </row>
    <row r="3" spans="1:27" ht="15" x14ac:dyDescent="0.2">
      <c r="A3" s="588"/>
      <c r="B3" s="587"/>
      <c r="C3" s="764"/>
      <c r="D3" s="588"/>
      <c r="E3" s="588"/>
      <c r="F3" s="588"/>
      <c r="G3" s="588"/>
      <c r="H3" s="588"/>
      <c r="J3" s="591"/>
      <c r="L3" s="84" t="s">
        <v>1810</v>
      </c>
      <c r="M3" s="588">
        <v>200</v>
      </c>
      <c r="N3" s="592">
        <v>20484</v>
      </c>
      <c r="O3" s="586" t="s">
        <v>1718</v>
      </c>
      <c r="P3" s="586">
        <v>1000</v>
      </c>
      <c r="Q3" s="592">
        <v>14024</v>
      </c>
      <c r="R3" s="80">
        <v>281095</v>
      </c>
      <c r="S3" s="586">
        <v>150</v>
      </c>
      <c r="W3" s="754" t="s">
        <v>153</v>
      </c>
      <c r="X3" s="754" t="s">
        <v>625</v>
      </c>
      <c r="Z3" s="586" t="s">
        <v>1937</v>
      </c>
      <c r="AA3" s="586">
        <v>100</v>
      </c>
    </row>
    <row r="4" spans="1:27" x14ac:dyDescent="0.2">
      <c r="B4" s="98">
        <v>24000</v>
      </c>
      <c r="C4" s="86">
        <v>42</v>
      </c>
      <c r="D4" s="135">
        <v>1.41</v>
      </c>
      <c r="E4" s="586">
        <v>0.6</v>
      </c>
      <c r="F4" s="70" t="s">
        <v>1410</v>
      </c>
      <c r="G4" s="84"/>
      <c r="H4" s="593">
        <v>1</v>
      </c>
      <c r="J4" s="586">
        <v>0.4</v>
      </c>
      <c r="K4" s="586" t="s">
        <v>1811</v>
      </c>
      <c r="L4" s="84" t="s">
        <v>754</v>
      </c>
      <c r="M4" s="588">
        <v>275</v>
      </c>
      <c r="N4" s="592">
        <v>20484</v>
      </c>
      <c r="O4" s="586" t="s">
        <v>1719</v>
      </c>
      <c r="P4" s="586">
        <v>1000</v>
      </c>
      <c r="Q4" s="592">
        <v>17726</v>
      </c>
      <c r="R4" s="80">
        <v>281337</v>
      </c>
      <c r="S4" s="586">
        <v>200</v>
      </c>
      <c r="U4" s="586">
        <v>1</v>
      </c>
      <c r="W4" s="754" t="s">
        <v>473</v>
      </c>
      <c r="X4" s="754" t="s">
        <v>624</v>
      </c>
      <c r="Z4" s="586" t="s">
        <v>1938</v>
      </c>
      <c r="AA4" s="586">
        <v>6000</v>
      </c>
    </row>
    <row r="5" spans="1:27" x14ac:dyDescent="0.2">
      <c r="B5" s="98">
        <v>25000</v>
      </c>
      <c r="C5" s="86">
        <v>36</v>
      </c>
      <c r="D5" s="135">
        <v>1.42</v>
      </c>
      <c r="E5" s="586">
        <v>0.8</v>
      </c>
      <c r="F5" s="70" t="s">
        <v>1934</v>
      </c>
      <c r="G5" s="84"/>
      <c r="H5" s="593" t="s">
        <v>1206</v>
      </c>
      <c r="J5" s="586">
        <v>0.5</v>
      </c>
      <c r="K5" s="586" t="s">
        <v>688</v>
      </c>
      <c r="L5" s="84" t="s">
        <v>1812</v>
      </c>
      <c r="M5" s="588">
        <v>500</v>
      </c>
      <c r="N5" s="592">
        <v>22390</v>
      </c>
      <c r="O5" s="586" t="s">
        <v>1720</v>
      </c>
      <c r="P5" s="586">
        <v>1000</v>
      </c>
      <c r="Q5" s="592">
        <v>17726</v>
      </c>
      <c r="R5" s="80">
        <v>281337</v>
      </c>
      <c r="S5" s="586">
        <v>500</v>
      </c>
      <c r="U5" s="586">
        <v>2</v>
      </c>
      <c r="W5" s="754" t="s">
        <v>274</v>
      </c>
      <c r="X5" s="754" t="s">
        <v>472</v>
      </c>
    </row>
    <row r="6" spans="1:27" x14ac:dyDescent="0.2">
      <c r="B6" s="98">
        <v>28000</v>
      </c>
      <c r="C6" s="86">
        <v>34.5</v>
      </c>
      <c r="D6" s="135">
        <v>1.43</v>
      </c>
      <c r="E6" s="586">
        <v>1</v>
      </c>
      <c r="F6" s="70" t="s">
        <v>729</v>
      </c>
      <c r="G6" s="84"/>
      <c r="H6" s="593" t="s">
        <v>1211</v>
      </c>
      <c r="J6" s="594">
        <v>0.6</v>
      </c>
      <c r="L6" s="84" t="s">
        <v>755</v>
      </c>
      <c r="M6" s="588">
        <v>720</v>
      </c>
      <c r="N6" s="592">
        <v>22390</v>
      </c>
      <c r="O6" s="586" t="s">
        <v>1721</v>
      </c>
      <c r="P6" s="586">
        <v>1000</v>
      </c>
      <c r="Q6" s="592">
        <v>17670</v>
      </c>
      <c r="R6" s="80">
        <v>281421</v>
      </c>
      <c r="S6" s="586">
        <v>1000</v>
      </c>
      <c r="W6" s="754" t="s">
        <v>291</v>
      </c>
      <c r="X6" s="754" t="s">
        <v>508</v>
      </c>
    </row>
    <row r="7" spans="1:27" x14ac:dyDescent="0.2">
      <c r="B7" s="98">
        <v>30000</v>
      </c>
      <c r="C7" s="86">
        <v>34</v>
      </c>
      <c r="D7" s="135">
        <v>1.44</v>
      </c>
      <c r="E7" s="588" t="s">
        <v>1813</v>
      </c>
      <c r="F7" s="70" t="s">
        <v>731</v>
      </c>
      <c r="G7" s="84"/>
      <c r="H7" s="593" t="s">
        <v>1212</v>
      </c>
      <c r="J7" s="586">
        <v>0.72</v>
      </c>
      <c r="L7" s="84" t="s">
        <v>756</v>
      </c>
      <c r="M7" s="588">
        <v>960</v>
      </c>
      <c r="N7" s="592">
        <v>24797</v>
      </c>
      <c r="O7" s="586" t="s">
        <v>1722</v>
      </c>
      <c r="P7" s="586">
        <v>1440</v>
      </c>
      <c r="Q7" s="592">
        <v>18450</v>
      </c>
      <c r="R7" s="80">
        <v>281462</v>
      </c>
      <c r="S7" s="586">
        <v>500</v>
      </c>
      <c r="W7" s="754" t="s">
        <v>474</v>
      </c>
      <c r="X7" s="754" t="s">
        <v>516</v>
      </c>
    </row>
    <row r="8" spans="1:27" x14ac:dyDescent="0.2">
      <c r="B8" s="98">
        <v>32000</v>
      </c>
      <c r="C8" s="86">
        <v>32</v>
      </c>
      <c r="D8" s="135">
        <v>1.45</v>
      </c>
      <c r="F8" s="70" t="s">
        <v>730</v>
      </c>
      <c r="G8" s="84"/>
      <c r="H8" s="593" t="s">
        <v>1213</v>
      </c>
      <c r="J8" s="586">
        <v>1</v>
      </c>
      <c r="L8" s="84" t="s">
        <v>757</v>
      </c>
      <c r="M8" s="588">
        <v>1440</v>
      </c>
      <c r="N8" s="592">
        <v>24797</v>
      </c>
      <c r="O8" s="586" t="s">
        <v>1723</v>
      </c>
      <c r="P8" s="586">
        <v>1440</v>
      </c>
      <c r="Q8" s="592">
        <v>21285</v>
      </c>
      <c r="R8" s="80">
        <v>282482</v>
      </c>
      <c r="S8" s="586">
        <v>1000</v>
      </c>
      <c r="W8" s="754" t="s">
        <v>340</v>
      </c>
      <c r="X8" s="754" t="s">
        <v>622</v>
      </c>
    </row>
    <row r="9" spans="1:27" x14ac:dyDescent="0.2">
      <c r="B9" s="98">
        <v>33000</v>
      </c>
      <c r="C9" s="86">
        <v>30</v>
      </c>
      <c r="D9" s="135">
        <v>1.46</v>
      </c>
      <c r="F9" s="70" t="s">
        <v>748</v>
      </c>
      <c r="G9" s="84"/>
      <c r="H9" s="593">
        <v>2</v>
      </c>
      <c r="J9" s="588" t="s">
        <v>1813</v>
      </c>
      <c r="L9" s="84" t="s">
        <v>758</v>
      </c>
      <c r="M9" s="588">
        <v>2160</v>
      </c>
      <c r="N9" s="592">
        <v>29178</v>
      </c>
      <c r="O9" s="586" t="s">
        <v>1724</v>
      </c>
      <c r="P9" s="586">
        <v>1440</v>
      </c>
      <c r="Q9" s="592">
        <v>21251</v>
      </c>
      <c r="R9" s="80">
        <v>282484</v>
      </c>
      <c r="S9" s="586">
        <v>400</v>
      </c>
      <c r="W9" s="754" t="s">
        <v>595</v>
      </c>
      <c r="X9" s="754" t="s">
        <v>623</v>
      </c>
    </row>
    <row r="10" spans="1:27" x14ac:dyDescent="0.2">
      <c r="B10" s="98">
        <v>35000</v>
      </c>
      <c r="C10" s="86">
        <v>26</v>
      </c>
      <c r="D10" s="135">
        <v>1.47</v>
      </c>
      <c r="F10" s="70" t="s">
        <v>746</v>
      </c>
      <c r="G10" s="84"/>
      <c r="H10" s="593" t="s">
        <v>1207</v>
      </c>
      <c r="J10" s="586" t="s">
        <v>1925</v>
      </c>
      <c r="L10" s="84" t="s">
        <v>759</v>
      </c>
      <c r="M10" s="588">
        <v>3600</v>
      </c>
      <c r="N10" s="592">
        <v>29178</v>
      </c>
      <c r="O10" s="586" t="s">
        <v>1725</v>
      </c>
      <c r="P10" s="586">
        <v>1440</v>
      </c>
      <c r="Q10" s="592">
        <v>22053</v>
      </c>
      <c r="R10" s="80">
        <v>282737</v>
      </c>
      <c r="S10" s="586">
        <v>400</v>
      </c>
      <c r="W10" s="754" t="s">
        <v>121</v>
      </c>
      <c r="X10" s="754" t="s">
        <v>402</v>
      </c>
    </row>
    <row r="11" spans="1:27" x14ac:dyDescent="0.2">
      <c r="B11" s="98">
        <v>36000</v>
      </c>
      <c r="C11" s="86">
        <v>24</v>
      </c>
      <c r="D11" s="135">
        <v>1.48</v>
      </c>
      <c r="F11" s="70" t="s">
        <v>1813</v>
      </c>
      <c r="G11" s="84"/>
      <c r="H11" s="593" t="s">
        <v>1209</v>
      </c>
      <c r="L11" s="84" t="s">
        <v>760</v>
      </c>
      <c r="M11" s="588">
        <v>6170</v>
      </c>
      <c r="N11" s="592">
        <v>29178</v>
      </c>
      <c r="O11" s="586" t="s">
        <v>1726</v>
      </c>
      <c r="P11" s="586">
        <v>1440</v>
      </c>
      <c r="Q11" s="592">
        <v>22068</v>
      </c>
      <c r="R11" s="80">
        <v>282738</v>
      </c>
      <c r="S11" s="586">
        <v>500</v>
      </c>
      <c r="W11" s="754" t="s">
        <v>50</v>
      </c>
      <c r="X11" s="754" t="s">
        <v>580</v>
      </c>
    </row>
    <row r="12" spans="1:27" x14ac:dyDescent="0.2">
      <c r="B12" s="98">
        <v>38000</v>
      </c>
      <c r="C12" s="86">
        <v>22</v>
      </c>
      <c r="D12" s="135">
        <v>1.49</v>
      </c>
      <c r="F12" s="70" t="s">
        <v>123</v>
      </c>
      <c r="G12" s="84"/>
      <c r="H12" s="593">
        <v>3</v>
      </c>
      <c r="L12" s="84" t="s">
        <v>1814</v>
      </c>
      <c r="M12" s="588">
        <v>200</v>
      </c>
      <c r="N12" s="592">
        <v>29178</v>
      </c>
      <c r="O12" s="586" t="s">
        <v>1727</v>
      </c>
      <c r="P12" s="586">
        <v>1440</v>
      </c>
      <c r="Q12" s="592">
        <v>21738</v>
      </c>
      <c r="R12" s="80">
        <v>282760</v>
      </c>
      <c r="S12" s="586">
        <v>500</v>
      </c>
      <c r="W12" s="754" t="s">
        <v>594</v>
      </c>
      <c r="X12" s="754" t="s">
        <v>621</v>
      </c>
    </row>
    <row r="13" spans="1:27" x14ac:dyDescent="0.2">
      <c r="B13" s="98">
        <v>40000</v>
      </c>
      <c r="C13" s="86">
        <v>20</v>
      </c>
      <c r="D13" s="135">
        <v>1.5</v>
      </c>
      <c r="F13" s="70" t="s">
        <v>749</v>
      </c>
      <c r="G13" s="84"/>
      <c r="H13" s="593" t="s">
        <v>1208</v>
      </c>
      <c r="L13" s="84" t="s">
        <v>1815</v>
      </c>
      <c r="M13" s="588">
        <v>275</v>
      </c>
      <c r="N13" s="592">
        <v>32721</v>
      </c>
      <c r="O13" s="586" t="s">
        <v>1728</v>
      </c>
      <c r="P13" s="586">
        <v>1440</v>
      </c>
      <c r="Q13" s="592">
        <v>22034</v>
      </c>
      <c r="R13" s="80">
        <v>282793</v>
      </c>
      <c r="S13" s="586">
        <v>1000</v>
      </c>
      <c r="W13" s="754" t="s">
        <v>517</v>
      </c>
      <c r="X13" s="189" t="s">
        <v>1246</v>
      </c>
    </row>
    <row r="14" spans="1:27" x14ac:dyDescent="0.2">
      <c r="B14" s="98">
        <v>42000</v>
      </c>
      <c r="C14" s="86">
        <v>18</v>
      </c>
      <c r="D14" s="135">
        <v>1.51</v>
      </c>
      <c r="F14" s="70" t="s">
        <v>745</v>
      </c>
      <c r="G14" s="84"/>
      <c r="H14" s="593" t="s">
        <v>1210</v>
      </c>
      <c r="L14" s="84" t="s">
        <v>1816</v>
      </c>
      <c r="M14" s="588">
        <v>500</v>
      </c>
      <c r="N14" s="592">
        <v>32721</v>
      </c>
      <c r="O14" s="586" t="s">
        <v>1729</v>
      </c>
      <c r="P14" s="586">
        <v>1440</v>
      </c>
      <c r="Q14" s="592">
        <v>23600</v>
      </c>
      <c r="R14" s="80">
        <v>283203</v>
      </c>
      <c r="S14" s="586">
        <v>900</v>
      </c>
      <c r="W14" s="754" t="s">
        <v>315</v>
      </c>
      <c r="X14" s="754" t="s">
        <v>350</v>
      </c>
    </row>
    <row r="15" spans="1:27" x14ac:dyDescent="0.2">
      <c r="B15" s="98">
        <v>44000</v>
      </c>
      <c r="C15" s="86">
        <v>16</v>
      </c>
      <c r="D15" s="135">
        <v>1.52</v>
      </c>
      <c r="F15" s="70" t="s">
        <v>728</v>
      </c>
      <c r="G15" s="84"/>
      <c r="H15" s="593">
        <v>4</v>
      </c>
      <c r="L15" s="84" t="s">
        <v>1818</v>
      </c>
      <c r="M15" s="588">
        <v>720</v>
      </c>
      <c r="N15" s="592">
        <v>32721</v>
      </c>
      <c r="O15" s="586" t="s">
        <v>1730</v>
      </c>
      <c r="P15" s="586">
        <v>1440</v>
      </c>
      <c r="Q15" s="592">
        <v>23602</v>
      </c>
      <c r="R15" s="80">
        <v>283204</v>
      </c>
      <c r="S15" s="586">
        <v>500</v>
      </c>
      <c r="W15" s="754" t="s">
        <v>527</v>
      </c>
      <c r="X15" s="754" t="s">
        <v>1083</v>
      </c>
    </row>
    <row r="16" spans="1:27" x14ac:dyDescent="0.2">
      <c r="B16" s="98">
        <v>45000</v>
      </c>
      <c r="C16" s="86">
        <v>14</v>
      </c>
      <c r="D16" s="135">
        <v>1.53</v>
      </c>
      <c r="F16" s="70" t="s">
        <v>1817</v>
      </c>
      <c r="G16" s="84"/>
      <c r="H16" s="593" t="str">
        <f>"N/A"</f>
        <v>N/A</v>
      </c>
      <c r="L16" s="84" t="s">
        <v>1819</v>
      </c>
      <c r="M16" s="588">
        <v>960</v>
      </c>
      <c r="N16" s="592">
        <v>32721</v>
      </c>
      <c r="O16" s="586" t="s">
        <v>1731</v>
      </c>
      <c r="P16" s="586">
        <v>1440</v>
      </c>
      <c r="Q16" s="592">
        <v>23601</v>
      </c>
      <c r="R16" s="80">
        <v>283205</v>
      </c>
      <c r="S16" s="586">
        <v>700</v>
      </c>
      <c r="W16" s="754" t="s">
        <v>935</v>
      </c>
      <c r="X16" s="754" t="s">
        <v>214</v>
      </c>
    </row>
    <row r="17" spans="2:24" x14ac:dyDescent="0.2">
      <c r="B17" s="98">
        <v>46000</v>
      </c>
      <c r="C17" s="86">
        <v>12.75</v>
      </c>
      <c r="D17" s="135">
        <v>1.54</v>
      </c>
      <c r="F17" s="70" t="s">
        <v>121</v>
      </c>
      <c r="G17" s="84"/>
      <c r="H17" s="586" t="s">
        <v>158</v>
      </c>
      <c r="L17" s="84" t="s">
        <v>1820</v>
      </c>
      <c r="M17" s="588">
        <v>1440</v>
      </c>
      <c r="N17" s="592">
        <v>39591</v>
      </c>
      <c r="O17" s="586" t="s">
        <v>1732</v>
      </c>
      <c r="P17" s="586">
        <v>1440</v>
      </c>
      <c r="Q17" s="592">
        <v>24750</v>
      </c>
      <c r="R17" s="80">
        <v>283475</v>
      </c>
      <c r="S17" s="586">
        <v>500</v>
      </c>
      <c r="W17" s="754" t="s">
        <v>305</v>
      </c>
      <c r="X17" s="754" t="s">
        <v>152</v>
      </c>
    </row>
    <row r="18" spans="2:24" x14ac:dyDescent="0.2">
      <c r="B18" s="98">
        <v>48000</v>
      </c>
      <c r="C18" s="86">
        <v>10.75</v>
      </c>
      <c r="D18" s="135">
        <v>1.55</v>
      </c>
      <c r="F18" s="70" t="s">
        <v>747</v>
      </c>
      <c r="G18" s="84"/>
      <c r="L18" s="84" t="s">
        <v>1821</v>
      </c>
      <c r="M18" s="588">
        <v>2160</v>
      </c>
      <c r="N18" s="592">
        <v>39591</v>
      </c>
      <c r="O18" s="586" t="s">
        <v>1733</v>
      </c>
      <c r="P18" s="586">
        <v>1440</v>
      </c>
      <c r="Q18" s="592">
        <v>26988</v>
      </c>
      <c r="R18" s="80">
        <v>283473</v>
      </c>
      <c r="S18" s="586">
        <v>500</v>
      </c>
      <c r="W18" s="754" t="s">
        <v>1408</v>
      </c>
      <c r="X18" s="754" t="s">
        <v>158</v>
      </c>
    </row>
    <row r="19" spans="2:24" x14ac:dyDescent="0.2">
      <c r="B19" s="98">
        <v>50000</v>
      </c>
      <c r="C19" s="86">
        <v>8.625</v>
      </c>
      <c r="D19" s="135">
        <v>1.56</v>
      </c>
      <c r="F19" s="70" t="s">
        <v>1202</v>
      </c>
      <c r="G19" s="84"/>
      <c r="L19" s="84" t="s">
        <v>1823</v>
      </c>
      <c r="M19" s="588">
        <v>3600</v>
      </c>
      <c r="N19" s="592">
        <v>39591</v>
      </c>
      <c r="O19" s="586" t="s">
        <v>1734</v>
      </c>
      <c r="P19" s="586">
        <v>1440</v>
      </c>
      <c r="Q19" s="592">
        <v>26988</v>
      </c>
      <c r="R19" s="80">
        <v>283458</v>
      </c>
      <c r="S19" s="586">
        <v>900</v>
      </c>
      <c r="W19" s="754" t="s">
        <v>620</v>
      </c>
    </row>
    <row r="20" spans="2:24" x14ac:dyDescent="0.2">
      <c r="B20" s="98">
        <v>52000</v>
      </c>
      <c r="C20" s="86">
        <v>6.625</v>
      </c>
      <c r="D20" s="135">
        <v>1.57</v>
      </c>
      <c r="F20" s="70" t="s">
        <v>1822</v>
      </c>
      <c r="G20" s="84"/>
      <c r="L20" s="84" t="s">
        <v>1824</v>
      </c>
      <c r="M20" s="588">
        <v>6170</v>
      </c>
      <c r="Q20" s="592">
        <v>26988</v>
      </c>
      <c r="R20" s="80" t="s">
        <v>1540</v>
      </c>
      <c r="S20" s="586">
        <v>900</v>
      </c>
      <c r="W20" s="586" t="s">
        <v>158</v>
      </c>
    </row>
    <row r="21" spans="2:24" x14ac:dyDescent="0.2">
      <c r="B21" s="98">
        <v>56000</v>
      </c>
      <c r="C21" s="86">
        <v>4.5</v>
      </c>
      <c r="D21" s="135">
        <v>1.58</v>
      </c>
      <c r="F21" s="595" t="s">
        <v>158</v>
      </c>
      <c r="G21" s="84"/>
      <c r="L21" s="84" t="s">
        <v>1825</v>
      </c>
      <c r="M21" s="596"/>
      <c r="Q21" s="592">
        <v>26988</v>
      </c>
      <c r="R21" s="80" t="s">
        <v>1541</v>
      </c>
      <c r="S21" s="586">
        <v>500</v>
      </c>
    </row>
    <row r="22" spans="2:24" x14ac:dyDescent="0.2">
      <c r="B22" s="98">
        <v>57000</v>
      </c>
      <c r="C22" s="86">
        <v>3.5</v>
      </c>
      <c r="D22" s="135">
        <v>1.59</v>
      </c>
      <c r="F22" s="595" t="s">
        <v>232</v>
      </c>
      <c r="G22" s="84"/>
      <c r="L22" s="84" t="s">
        <v>1826</v>
      </c>
      <c r="M22" s="588">
        <v>275</v>
      </c>
    </row>
    <row r="23" spans="2:24" x14ac:dyDescent="0.2">
      <c r="B23" s="98">
        <v>60000</v>
      </c>
      <c r="C23" s="100">
        <v>2.375</v>
      </c>
      <c r="D23" s="135">
        <v>1.6</v>
      </c>
      <c r="F23" s="595" t="s">
        <v>329</v>
      </c>
      <c r="G23" s="84"/>
      <c r="L23" s="84" t="s">
        <v>1827</v>
      </c>
      <c r="M23" s="588">
        <v>720</v>
      </c>
    </row>
    <row r="24" spans="2:24" ht="18" customHeight="1" x14ac:dyDescent="0.2">
      <c r="B24" s="98">
        <v>65000</v>
      </c>
      <c r="C24" s="100">
        <v>1.9</v>
      </c>
      <c r="D24" s="135">
        <v>1.61</v>
      </c>
      <c r="F24" s="595" t="s">
        <v>750</v>
      </c>
      <c r="G24" s="84"/>
      <c r="L24" s="84" t="s">
        <v>1829</v>
      </c>
      <c r="M24" s="588">
        <v>960</v>
      </c>
    </row>
    <row r="25" spans="2:24" ht="24.75" customHeight="1" x14ac:dyDescent="0.2">
      <c r="B25" s="98">
        <v>70000</v>
      </c>
      <c r="C25" s="100">
        <v>1.66</v>
      </c>
      <c r="D25" s="135">
        <v>1.62</v>
      </c>
      <c r="F25" s="597" t="s">
        <v>1828</v>
      </c>
      <c r="G25" s="84"/>
      <c r="L25" s="84" t="s">
        <v>1831</v>
      </c>
      <c r="M25" s="588">
        <v>1440</v>
      </c>
    </row>
    <row r="26" spans="2:24" ht="20.25" customHeight="1" x14ac:dyDescent="0.2">
      <c r="B26" s="98">
        <v>75000</v>
      </c>
      <c r="C26" s="100">
        <v>1.3149999999999999</v>
      </c>
      <c r="D26" s="135">
        <v>1.63</v>
      </c>
      <c r="F26" s="597" t="s">
        <v>1830</v>
      </c>
      <c r="G26" s="84"/>
      <c r="L26" s="84" t="s">
        <v>761</v>
      </c>
      <c r="M26" s="588">
        <v>50</v>
      </c>
    </row>
    <row r="27" spans="2:24" ht="25.5" x14ac:dyDescent="0.2">
      <c r="B27" s="98">
        <v>80000</v>
      </c>
      <c r="C27" s="100">
        <v>1.05</v>
      </c>
      <c r="D27" s="135">
        <v>1.64</v>
      </c>
      <c r="F27" s="597" t="s">
        <v>1832</v>
      </c>
      <c r="G27" s="84"/>
      <c r="L27" s="84" t="s">
        <v>762</v>
      </c>
      <c r="M27" s="588">
        <v>100</v>
      </c>
    </row>
    <row r="28" spans="2:24" ht="25.5" x14ac:dyDescent="0.2">
      <c r="B28" s="563" t="s">
        <v>837</v>
      </c>
      <c r="C28" s="100">
        <v>0.84</v>
      </c>
      <c r="D28" s="135">
        <v>1.65</v>
      </c>
      <c r="G28" s="84"/>
      <c r="L28" s="84" t="s">
        <v>1833</v>
      </c>
      <c r="M28" s="588">
        <v>125</v>
      </c>
    </row>
    <row r="29" spans="2:24" ht="13.5" thickBot="1" x14ac:dyDescent="0.25">
      <c r="B29" s="563" t="s">
        <v>158</v>
      </c>
      <c r="C29" s="765">
        <v>0.54</v>
      </c>
      <c r="D29" s="135">
        <v>1.66</v>
      </c>
      <c r="G29" s="84"/>
      <c r="L29" s="84" t="s">
        <v>763</v>
      </c>
      <c r="M29" s="588">
        <v>150</v>
      </c>
    </row>
    <row r="30" spans="2:24" x14ac:dyDescent="0.2">
      <c r="B30" s="588" t="s">
        <v>1813</v>
      </c>
      <c r="C30" s="764" t="s">
        <v>1813</v>
      </c>
      <c r="D30" s="135">
        <v>1.67</v>
      </c>
      <c r="G30" s="84"/>
      <c r="L30" s="84" t="s">
        <v>1834</v>
      </c>
      <c r="M30" s="588">
        <v>175</v>
      </c>
    </row>
    <row r="31" spans="2:24" x14ac:dyDescent="0.2">
      <c r="C31" s="763" t="s">
        <v>158</v>
      </c>
      <c r="D31" s="135">
        <v>1.68</v>
      </c>
      <c r="G31" s="84"/>
      <c r="L31" s="84" t="s">
        <v>764</v>
      </c>
      <c r="M31" s="588">
        <v>200</v>
      </c>
    </row>
    <row r="32" spans="2:24" x14ac:dyDescent="0.2">
      <c r="C32" s="763" t="s">
        <v>1925</v>
      </c>
      <c r="D32" s="135">
        <v>1.69</v>
      </c>
      <c r="G32" s="84"/>
      <c r="L32" s="84" t="s">
        <v>1835</v>
      </c>
      <c r="M32" s="588">
        <v>230</v>
      </c>
    </row>
    <row r="33" spans="4:13" x14ac:dyDescent="0.2">
      <c r="D33" s="135">
        <v>1.7</v>
      </c>
      <c r="G33" s="84"/>
      <c r="L33" s="84" t="s">
        <v>1836</v>
      </c>
      <c r="M33" s="588">
        <v>250</v>
      </c>
    </row>
    <row r="34" spans="4:13" x14ac:dyDescent="0.2">
      <c r="D34" s="135">
        <v>1.71</v>
      </c>
      <c r="G34" s="84"/>
      <c r="L34" s="84" t="s">
        <v>1837</v>
      </c>
      <c r="M34" s="588">
        <v>275</v>
      </c>
    </row>
    <row r="35" spans="4:13" x14ac:dyDescent="0.2">
      <c r="D35" s="135">
        <v>1.72</v>
      </c>
      <c r="G35" s="84"/>
      <c r="L35" s="84" t="s">
        <v>1838</v>
      </c>
      <c r="M35" s="588">
        <v>300</v>
      </c>
    </row>
    <row r="36" spans="4:13" x14ac:dyDescent="0.2">
      <c r="D36" s="135">
        <v>1.73</v>
      </c>
      <c r="G36" s="84"/>
      <c r="L36" s="84" t="s">
        <v>1839</v>
      </c>
      <c r="M36" s="588">
        <v>400</v>
      </c>
    </row>
    <row r="37" spans="4:13" x14ac:dyDescent="0.2">
      <c r="D37" s="135">
        <v>1.74</v>
      </c>
      <c r="G37" s="84"/>
      <c r="L37" s="84" t="s">
        <v>765</v>
      </c>
      <c r="M37" s="588">
        <v>500</v>
      </c>
    </row>
    <row r="38" spans="4:13" x14ac:dyDescent="0.2">
      <c r="D38" s="135">
        <v>1.75</v>
      </c>
      <c r="G38" s="84"/>
      <c r="L38" s="84" t="s">
        <v>1840</v>
      </c>
      <c r="M38" s="588">
        <v>575</v>
      </c>
    </row>
    <row r="39" spans="4:13" x14ac:dyDescent="0.2">
      <c r="D39" s="135">
        <v>1.76</v>
      </c>
      <c r="G39" s="84"/>
      <c r="L39" s="84" t="s">
        <v>766</v>
      </c>
      <c r="M39" s="588">
        <v>600</v>
      </c>
    </row>
    <row r="40" spans="4:13" x14ac:dyDescent="0.2">
      <c r="D40" s="135">
        <v>1.77</v>
      </c>
      <c r="G40" s="84"/>
      <c r="L40" s="84" t="s">
        <v>1957</v>
      </c>
      <c r="M40" s="588">
        <v>700</v>
      </c>
    </row>
    <row r="41" spans="4:13" x14ac:dyDescent="0.2">
      <c r="D41" s="135">
        <v>1.78</v>
      </c>
      <c r="G41" s="84"/>
      <c r="L41" s="84" t="s">
        <v>437</v>
      </c>
      <c r="M41" s="588">
        <v>720</v>
      </c>
    </row>
    <row r="42" spans="4:13" x14ac:dyDescent="0.2">
      <c r="D42" s="135">
        <v>1.79</v>
      </c>
      <c r="G42" s="84"/>
      <c r="L42" s="84" t="s">
        <v>1841</v>
      </c>
      <c r="M42" s="588">
        <v>740</v>
      </c>
    </row>
    <row r="43" spans="4:13" x14ac:dyDescent="0.2">
      <c r="D43" s="135">
        <v>1.8</v>
      </c>
      <c r="G43" s="84"/>
      <c r="L43" s="84" t="s">
        <v>438</v>
      </c>
      <c r="M43" s="588">
        <v>800</v>
      </c>
    </row>
    <row r="44" spans="4:13" x14ac:dyDescent="0.2">
      <c r="D44" s="135">
        <v>1.81</v>
      </c>
      <c r="G44" s="84"/>
      <c r="L44" s="84" t="s">
        <v>1842</v>
      </c>
      <c r="M44" s="588">
        <v>900</v>
      </c>
    </row>
    <row r="45" spans="4:13" x14ac:dyDescent="0.2">
      <c r="D45" s="135">
        <v>1.82</v>
      </c>
      <c r="G45" s="84"/>
      <c r="L45" s="84" t="s">
        <v>1843</v>
      </c>
      <c r="M45" s="588">
        <v>920</v>
      </c>
    </row>
    <row r="46" spans="4:13" x14ac:dyDescent="0.2">
      <c r="D46" s="135">
        <v>1.83</v>
      </c>
      <c r="G46" s="84"/>
      <c r="I46" s="588"/>
      <c r="L46" s="84" t="s">
        <v>439</v>
      </c>
      <c r="M46" s="588">
        <v>960</v>
      </c>
    </row>
    <row r="47" spans="4:13" x14ac:dyDescent="0.2">
      <c r="D47" s="135">
        <v>1.84</v>
      </c>
      <c r="G47" s="84"/>
      <c r="L47" s="84" t="s">
        <v>440</v>
      </c>
      <c r="M47" s="588">
        <v>1000</v>
      </c>
    </row>
    <row r="48" spans="4:13" x14ac:dyDescent="0.2">
      <c r="D48" s="135">
        <v>1.85</v>
      </c>
      <c r="G48" s="84"/>
      <c r="L48" s="84" t="s">
        <v>1844</v>
      </c>
      <c r="M48" s="588">
        <v>1200</v>
      </c>
    </row>
    <row r="49" spans="4:13" x14ac:dyDescent="0.2">
      <c r="D49" s="135">
        <v>1.86</v>
      </c>
      <c r="G49" s="84"/>
      <c r="L49" s="84" t="s">
        <v>1845</v>
      </c>
      <c r="M49" s="588">
        <v>1290</v>
      </c>
    </row>
    <row r="50" spans="4:13" x14ac:dyDescent="0.2">
      <c r="D50" s="135">
        <v>1.87</v>
      </c>
      <c r="G50" s="84"/>
      <c r="L50" s="84" t="s">
        <v>441</v>
      </c>
      <c r="M50" s="588">
        <v>1440</v>
      </c>
    </row>
    <row r="51" spans="4:13" x14ac:dyDescent="0.2">
      <c r="D51" s="135">
        <v>1.88</v>
      </c>
      <c r="G51" s="84"/>
      <c r="L51" s="84" t="s">
        <v>1846</v>
      </c>
      <c r="M51" s="588">
        <v>1480</v>
      </c>
    </row>
    <row r="52" spans="4:13" x14ac:dyDescent="0.2">
      <c r="D52" s="135">
        <v>1.89</v>
      </c>
      <c r="G52" s="84"/>
      <c r="L52" s="84" t="s">
        <v>442</v>
      </c>
      <c r="M52" s="588">
        <v>1500</v>
      </c>
    </row>
    <row r="53" spans="4:13" x14ac:dyDescent="0.2">
      <c r="D53" s="135">
        <v>1.9</v>
      </c>
      <c r="G53" s="84"/>
      <c r="L53" s="84" t="s">
        <v>1847</v>
      </c>
      <c r="M53" s="588">
        <v>1800</v>
      </c>
    </row>
    <row r="54" spans="4:13" x14ac:dyDescent="0.2">
      <c r="D54" s="135">
        <v>1.91</v>
      </c>
      <c r="G54" s="84"/>
      <c r="L54" s="84" t="s">
        <v>1848</v>
      </c>
      <c r="M54" s="588">
        <v>2000</v>
      </c>
    </row>
    <row r="55" spans="4:13" x14ac:dyDescent="0.2">
      <c r="D55" s="135">
        <v>1.92</v>
      </c>
      <c r="G55" s="84"/>
      <c r="L55" s="84" t="s">
        <v>1935</v>
      </c>
      <c r="M55" s="588">
        <v>2120</v>
      </c>
    </row>
    <row r="56" spans="4:13" x14ac:dyDescent="0.2">
      <c r="D56" s="135">
        <v>1.93</v>
      </c>
      <c r="G56" s="84"/>
      <c r="L56" s="84" t="s">
        <v>443</v>
      </c>
      <c r="M56" s="588">
        <v>2160</v>
      </c>
    </row>
    <row r="57" spans="4:13" x14ac:dyDescent="0.2">
      <c r="D57" s="135">
        <v>1.94</v>
      </c>
      <c r="G57" s="84"/>
      <c r="L57" s="84" t="s">
        <v>444</v>
      </c>
      <c r="M57" s="588">
        <v>2200</v>
      </c>
    </row>
    <row r="58" spans="4:13" x14ac:dyDescent="0.2">
      <c r="D58" s="135">
        <v>1.95</v>
      </c>
      <c r="G58" s="84"/>
      <c r="L58" s="84" t="s">
        <v>1849</v>
      </c>
      <c r="M58" s="588">
        <v>2500</v>
      </c>
    </row>
    <row r="59" spans="4:13" x14ac:dyDescent="0.2">
      <c r="D59" s="135">
        <v>1.96</v>
      </c>
      <c r="G59" s="84"/>
      <c r="L59" s="84" t="s">
        <v>445</v>
      </c>
      <c r="M59" s="588">
        <v>3000</v>
      </c>
    </row>
    <row r="60" spans="4:13" x14ac:dyDescent="0.2">
      <c r="D60" s="135">
        <v>1.97</v>
      </c>
      <c r="G60" s="84"/>
      <c r="L60" s="84" t="s">
        <v>1850</v>
      </c>
      <c r="M60" s="588">
        <v>3600</v>
      </c>
    </row>
    <row r="61" spans="4:13" x14ac:dyDescent="0.2">
      <c r="D61" s="135">
        <v>1.98</v>
      </c>
      <c r="G61" s="84"/>
      <c r="L61" s="84" t="s">
        <v>1958</v>
      </c>
      <c r="M61" s="588">
        <v>4000</v>
      </c>
    </row>
    <row r="62" spans="4:13" x14ac:dyDescent="0.2">
      <c r="D62" s="135">
        <v>1.99</v>
      </c>
      <c r="G62" s="84"/>
      <c r="L62" s="84" t="s">
        <v>1851</v>
      </c>
      <c r="M62" s="588">
        <v>4500</v>
      </c>
    </row>
    <row r="63" spans="4:13" x14ac:dyDescent="0.2">
      <c r="D63" s="135">
        <v>2</v>
      </c>
      <c r="G63" s="84"/>
      <c r="L63" s="84" t="s">
        <v>1852</v>
      </c>
      <c r="M63" s="588">
        <v>5000</v>
      </c>
    </row>
    <row r="64" spans="4:13" x14ac:dyDescent="0.2">
      <c r="D64" s="135">
        <v>2.0099999999999998</v>
      </c>
      <c r="G64" s="84"/>
      <c r="L64" s="84" t="s">
        <v>1367</v>
      </c>
      <c r="M64" s="588">
        <v>6000</v>
      </c>
    </row>
    <row r="65" spans="4:13" x14ac:dyDescent="0.2">
      <c r="D65" s="135">
        <v>2.02</v>
      </c>
      <c r="G65" s="598"/>
      <c r="L65" s="84" t="s">
        <v>1853</v>
      </c>
      <c r="M65" s="588">
        <v>10000</v>
      </c>
    </row>
    <row r="66" spans="4:13" x14ac:dyDescent="0.2">
      <c r="D66" s="135">
        <v>2.0299999999999998</v>
      </c>
      <c r="L66" s="84" t="s">
        <v>158</v>
      </c>
    </row>
    <row r="67" spans="4:13" x14ac:dyDescent="0.2">
      <c r="D67" s="135">
        <v>2.04</v>
      </c>
      <c r="L67" s="598" t="s">
        <v>1925</v>
      </c>
    </row>
    <row r="68" spans="4:13" x14ac:dyDescent="0.2">
      <c r="D68" s="135">
        <v>2.0499999999999998</v>
      </c>
      <c r="L68" s="598" t="s">
        <v>1813</v>
      </c>
    </row>
    <row r="69" spans="4:13" x14ac:dyDescent="0.2">
      <c r="D69" s="135">
        <v>2.06</v>
      </c>
      <c r="L69" s="586" t="s">
        <v>1813</v>
      </c>
      <c r="M69" s="586" t="s">
        <v>1813</v>
      </c>
    </row>
    <row r="70" spans="4:13" x14ac:dyDescent="0.2">
      <c r="D70" s="135">
        <v>2.0699999999999998</v>
      </c>
    </row>
    <row r="71" spans="4:13" x14ac:dyDescent="0.2">
      <c r="D71" s="135">
        <v>2.08</v>
      </c>
    </row>
    <row r="72" spans="4:13" x14ac:dyDescent="0.2">
      <c r="D72" s="135">
        <v>2.09</v>
      </c>
    </row>
    <row r="73" spans="4:13" x14ac:dyDescent="0.2">
      <c r="D73" s="135">
        <v>2.1</v>
      </c>
    </row>
    <row r="74" spans="4:13" x14ac:dyDescent="0.2">
      <c r="D74" s="135">
        <v>2.11</v>
      </c>
    </row>
    <row r="75" spans="4:13" x14ac:dyDescent="0.2">
      <c r="D75" s="135">
        <v>2.12</v>
      </c>
    </row>
    <row r="76" spans="4:13" x14ac:dyDescent="0.2">
      <c r="D76" s="135">
        <v>2.13</v>
      </c>
    </row>
    <row r="77" spans="4:13" x14ac:dyDescent="0.2">
      <c r="D77" s="135">
        <v>2.14</v>
      </c>
    </row>
    <row r="78" spans="4:13" x14ac:dyDescent="0.2">
      <c r="D78" s="135">
        <v>2.15</v>
      </c>
    </row>
    <row r="79" spans="4:13" x14ac:dyDescent="0.2">
      <c r="D79" s="135">
        <v>2.16</v>
      </c>
    </row>
    <row r="80" spans="4:13" x14ac:dyDescent="0.2">
      <c r="D80" s="135">
        <v>2.17</v>
      </c>
    </row>
    <row r="81" spans="4:4" x14ac:dyDescent="0.2">
      <c r="D81" s="135">
        <v>2.1800000000000002</v>
      </c>
    </row>
    <row r="82" spans="4:4" x14ac:dyDescent="0.2">
      <c r="D82" s="135">
        <v>2.19</v>
      </c>
    </row>
    <row r="83" spans="4:4" x14ac:dyDescent="0.2">
      <c r="D83" s="135">
        <v>2.2000000000000002</v>
      </c>
    </row>
    <row r="84" spans="4:4" x14ac:dyDescent="0.2">
      <c r="D84" s="135">
        <v>2.21</v>
      </c>
    </row>
    <row r="85" spans="4:4" x14ac:dyDescent="0.2">
      <c r="D85" s="135">
        <v>2.2200000000000002</v>
      </c>
    </row>
    <row r="86" spans="4:4" x14ac:dyDescent="0.2">
      <c r="D86" s="135">
        <v>2.23</v>
      </c>
    </row>
    <row r="87" spans="4:4" x14ac:dyDescent="0.2">
      <c r="D87" s="135">
        <v>2.2400000000000002</v>
      </c>
    </row>
    <row r="88" spans="4:4" x14ac:dyDescent="0.2">
      <c r="D88" s="135">
        <v>2.25</v>
      </c>
    </row>
    <row r="89" spans="4:4" x14ac:dyDescent="0.2">
      <c r="D89" s="135">
        <v>2.2599999999999998</v>
      </c>
    </row>
    <row r="90" spans="4:4" x14ac:dyDescent="0.2">
      <c r="D90" s="135">
        <v>2.27</v>
      </c>
    </row>
    <row r="91" spans="4:4" x14ac:dyDescent="0.2">
      <c r="D91" s="135">
        <v>2.2799999999999998</v>
      </c>
    </row>
    <row r="92" spans="4:4" x14ac:dyDescent="0.2">
      <c r="D92" s="135">
        <v>2.29</v>
      </c>
    </row>
    <row r="93" spans="4:4" x14ac:dyDescent="0.2">
      <c r="D93" s="135">
        <v>2.2999999999999998</v>
      </c>
    </row>
    <row r="94" spans="4:4" x14ac:dyDescent="0.2">
      <c r="D94" s="135">
        <v>2.31</v>
      </c>
    </row>
    <row r="95" spans="4:4" x14ac:dyDescent="0.2">
      <c r="D95" s="135">
        <v>2.3199999999999998</v>
      </c>
    </row>
    <row r="96" spans="4:4" x14ac:dyDescent="0.2">
      <c r="D96" s="135">
        <v>2.33</v>
      </c>
    </row>
    <row r="97" spans="4:4" x14ac:dyDescent="0.2">
      <c r="D97" s="135">
        <v>2.34</v>
      </c>
    </row>
    <row r="98" spans="4:4" x14ac:dyDescent="0.2">
      <c r="D98" s="135">
        <v>2.35</v>
      </c>
    </row>
    <row r="99" spans="4:4" x14ac:dyDescent="0.2">
      <c r="D99" s="135">
        <v>2.36</v>
      </c>
    </row>
    <row r="100" spans="4:4" x14ac:dyDescent="0.2">
      <c r="D100" s="135">
        <v>2.37</v>
      </c>
    </row>
    <row r="101" spans="4:4" x14ac:dyDescent="0.2">
      <c r="D101" s="135">
        <v>2.38</v>
      </c>
    </row>
    <row r="102" spans="4:4" x14ac:dyDescent="0.2">
      <c r="D102" s="135">
        <v>2.39</v>
      </c>
    </row>
    <row r="103" spans="4:4" x14ac:dyDescent="0.2">
      <c r="D103" s="135">
        <v>2.4</v>
      </c>
    </row>
    <row r="104" spans="4:4" x14ac:dyDescent="0.2">
      <c r="D104" s="135">
        <v>2.41</v>
      </c>
    </row>
    <row r="105" spans="4:4" x14ac:dyDescent="0.2">
      <c r="D105" s="135">
        <v>2.42</v>
      </c>
    </row>
    <row r="106" spans="4:4" x14ac:dyDescent="0.2">
      <c r="D106" s="135">
        <v>2.4300000000000002</v>
      </c>
    </row>
    <row r="107" spans="4:4" x14ac:dyDescent="0.2">
      <c r="D107" s="135">
        <v>2.44</v>
      </c>
    </row>
    <row r="108" spans="4:4" x14ac:dyDescent="0.2">
      <c r="D108" s="135">
        <v>2.4500000000000002</v>
      </c>
    </row>
    <row r="109" spans="4:4" x14ac:dyDescent="0.2">
      <c r="D109" s="135">
        <v>2.46</v>
      </c>
    </row>
    <row r="110" spans="4:4" x14ac:dyDescent="0.2">
      <c r="D110" s="135">
        <v>2.4700000000000002</v>
      </c>
    </row>
    <row r="111" spans="4:4" x14ac:dyDescent="0.2">
      <c r="D111" s="135">
        <v>2.48</v>
      </c>
    </row>
    <row r="112" spans="4:4" x14ac:dyDescent="0.2">
      <c r="D112" s="135">
        <v>2.4900000000000002</v>
      </c>
    </row>
    <row r="113" spans="4:4" x14ac:dyDescent="0.2">
      <c r="D113" s="135">
        <v>2.5</v>
      </c>
    </row>
    <row r="114" spans="4:4" x14ac:dyDescent="0.2">
      <c r="D114" s="135">
        <v>2.5099999999999998</v>
      </c>
    </row>
    <row r="115" spans="4:4" x14ac:dyDescent="0.2">
      <c r="D115" s="135">
        <v>2.52</v>
      </c>
    </row>
    <row r="116" spans="4:4" x14ac:dyDescent="0.2">
      <c r="D116" s="135">
        <v>2.5299999999999998</v>
      </c>
    </row>
    <row r="117" spans="4:4" x14ac:dyDescent="0.2">
      <c r="D117" s="135">
        <v>2.54</v>
      </c>
    </row>
    <row r="118" spans="4:4" x14ac:dyDescent="0.2">
      <c r="D118" s="135">
        <v>2.5499999999999998</v>
      </c>
    </row>
    <row r="119" spans="4:4" x14ac:dyDescent="0.2">
      <c r="D119" s="135">
        <v>2.56</v>
      </c>
    </row>
    <row r="120" spans="4:4" x14ac:dyDescent="0.2">
      <c r="D120" s="135">
        <v>2.57</v>
      </c>
    </row>
    <row r="121" spans="4:4" x14ac:dyDescent="0.2">
      <c r="D121" s="135">
        <v>2.58</v>
      </c>
    </row>
    <row r="122" spans="4:4" x14ac:dyDescent="0.2">
      <c r="D122" s="135">
        <v>2.59</v>
      </c>
    </row>
    <row r="123" spans="4:4" x14ac:dyDescent="0.2">
      <c r="D123" s="135">
        <v>2.6</v>
      </c>
    </row>
    <row r="124" spans="4:4" x14ac:dyDescent="0.2">
      <c r="D124" s="135">
        <v>2.61</v>
      </c>
    </row>
    <row r="125" spans="4:4" x14ac:dyDescent="0.2">
      <c r="D125" s="135">
        <v>2.62</v>
      </c>
    </row>
    <row r="126" spans="4:4" x14ac:dyDescent="0.2">
      <c r="D126" s="135">
        <v>2.63</v>
      </c>
    </row>
    <row r="127" spans="4:4" x14ac:dyDescent="0.2">
      <c r="D127" s="135">
        <v>2.64</v>
      </c>
    </row>
    <row r="128" spans="4:4" x14ac:dyDescent="0.2">
      <c r="D128" s="135">
        <v>2.65</v>
      </c>
    </row>
    <row r="129" spans="4:4" x14ac:dyDescent="0.2">
      <c r="D129" s="135">
        <v>2.66</v>
      </c>
    </row>
    <row r="130" spans="4:4" x14ac:dyDescent="0.2">
      <c r="D130" s="135">
        <v>2.67</v>
      </c>
    </row>
    <row r="131" spans="4:4" x14ac:dyDescent="0.2">
      <c r="D131" s="135">
        <v>2.68</v>
      </c>
    </row>
    <row r="132" spans="4:4" x14ac:dyDescent="0.2">
      <c r="D132" s="135">
        <v>2.69</v>
      </c>
    </row>
    <row r="133" spans="4:4" x14ac:dyDescent="0.2">
      <c r="D133" s="135">
        <v>2.7</v>
      </c>
    </row>
    <row r="134" spans="4:4" x14ac:dyDescent="0.2">
      <c r="D134" s="135">
        <v>2.71</v>
      </c>
    </row>
    <row r="135" spans="4:4" x14ac:dyDescent="0.2">
      <c r="D135" s="135">
        <v>2.72</v>
      </c>
    </row>
    <row r="136" spans="4:4" x14ac:dyDescent="0.2">
      <c r="D136" s="135">
        <v>2.73</v>
      </c>
    </row>
    <row r="137" spans="4:4" x14ac:dyDescent="0.2">
      <c r="D137" s="135">
        <v>2.74</v>
      </c>
    </row>
    <row r="138" spans="4:4" x14ac:dyDescent="0.2">
      <c r="D138" s="135">
        <v>2.75</v>
      </c>
    </row>
    <row r="139" spans="4:4" x14ac:dyDescent="0.2">
      <c r="D139" s="135">
        <v>2.76</v>
      </c>
    </row>
    <row r="140" spans="4:4" x14ac:dyDescent="0.2">
      <c r="D140" s="135">
        <v>2.77</v>
      </c>
    </row>
    <row r="141" spans="4:4" x14ac:dyDescent="0.2">
      <c r="D141" s="135">
        <v>2.78</v>
      </c>
    </row>
    <row r="142" spans="4:4" x14ac:dyDescent="0.2">
      <c r="D142" s="135">
        <v>2.79</v>
      </c>
    </row>
    <row r="143" spans="4:4" x14ac:dyDescent="0.2">
      <c r="D143" s="135">
        <v>2.8</v>
      </c>
    </row>
    <row r="144" spans="4:4" x14ac:dyDescent="0.2">
      <c r="D144" s="135">
        <v>2.81</v>
      </c>
    </row>
    <row r="145" spans="4:4" x14ac:dyDescent="0.2">
      <c r="D145" s="135">
        <v>2.82</v>
      </c>
    </row>
    <row r="146" spans="4:4" x14ac:dyDescent="0.2">
      <c r="D146" s="135">
        <v>2.83</v>
      </c>
    </row>
    <row r="147" spans="4:4" x14ac:dyDescent="0.2">
      <c r="D147" s="135">
        <v>2.84</v>
      </c>
    </row>
    <row r="148" spans="4:4" x14ac:dyDescent="0.2">
      <c r="D148" s="135">
        <v>2.85</v>
      </c>
    </row>
    <row r="149" spans="4:4" x14ac:dyDescent="0.2">
      <c r="D149" s="135">
        <v>2.86</v>
      </c>
    </row>
    <row r="150" spans="4:4" x14ac:dyDescent="0.2">
      <c r="D150" s="135">
        <v>2.87</v>
      </c>
    </row>
    <row r="151" spans="4:4" x14ac:dyDescent="0.2">
      <c r="D151" s="135">
        <v>2.88</v>
      </c>
    </row>
    <row r="152" spans="4:4" x14ac:dyDescent="0.2">
      <c r="D152" s="135">
        <v>2.89</v>
      </c>
    </row>
    <row r="153" spans="4:4" x14ac:dyDescent="0.2">
      <c r="D153" s="135">
        <v>2.9</v>
      </c>
    </row>
    <row r="154" spans="4:4" x14ac:dyDescent="0.2">
      <c r="D154" s="135">
        <v>2.91</v>
      </c>
    </row>
    <row r="155" spans="4:4" x14ac:dyDescent="0.2">
      <c r="D155" s="135">
        <v>2.92</v>
      </c>
    </row>
    <row r="156" spans="4:4" x14ac:dyDescent="0.2">
      <c r="D156" s="135">
        <v>2.93</v>
      </c>
    </row>
    <row r="157" spans="4:4" x14ac:dyDescent="0.2">
      <c r="D157" s="135">
        <v>2.94</v>
      </c>
    </row>
    <row r="158" spans="4:4" x14ac:dyDescent="0.2">
      <c r="D158" s="135">
        <v>2.95</v>
      </c>
    </row>
    <row r="159" spans="4:4" x14ac:dyDescent="0.2">
      <c r="D159" s="135">
        <v>2.96</v>
      </c>
    </row>
    <row r="160" spans="4:4" x14ac:dyDescent="0.2">
      <c r="D160" s="135">
        <v>2.97</v>
      </c>
    </row>
    <row r="161" spans="4:4" x14ac:dyDescent="0.2">
      <c r="D161" s="135">
        <v>2.98</v>
      </c>
    </row>
    <row r="162" spans="4:4" x14ac:dyDescent="0.2">
      <c r="D162" s="135">
        <v>2.99</v>
      </c>
    </row>
    <row r="163" spans="4:4" x14ac:dyDescent="0.2">
      <c r="D163" s="135">
        <v>3</v>
      </c>
    </row>
    <row r="164" spans="4:4" x14ac:dyDescent="0.2">
      <c r="D164" s="135">
        <v>3.01</v>
      </c>
    </row>
    <row r="165" spans="4:4" x14ac:dyDescent="0.2">
      <c r="D165" s="135">
        <v>3.02</v>
      </c>
    </row>
    <row r="166" spans="4:4" x14ac:dyDescent="0.2">
      <c r="D166" s="135">
        <v>3.03</v>
      </c>
    </row>
    <row r="167" spans="4:4" x14ac:dyDescent="0.2">
      <c r="D167" s="135">
        <v>3.04</v>
      </c>
    </row>
    <row r="168" spans="4:4" x14ac:dyDescent="0.2">
      <c r="D168" s="135">
        <v>3.05</v>
      </c>
    </row>
    <row r="169" spans="4:4" x14ac:dyDescent="0.2">
      <c r="D169" s="135">
        <v>3.06</v>
      </c>
    </row>
    <row r="170" spans="4:4" x14ac:dyDescent="0.2">
      <c r="D170" s="135">
        <v>3.07</v>
      </c>
    </row>
    <row r="171" spans="4:4" x14ac:dyDescent="0.2">
      <c r="D171" s="135">
        <v>3.08</v>
      </c>
    </row>
    <row r="172" spans="4:4" x14ac:dyDescent="0.2">
      <c r="D172" s="135">
        <v>3.09</v>
      </c>
    </row>
    <row r="173" spans="4:4" x14ac:dyDescent="0.2">
      <c r="D173" s="135">
        <v>3.1</v>
      </c>
    </row>
    <row r="174" spans="4:4" x14ac:dyDescent="0.2">
      <c r="D174" s="135">
        <v>3.11</v>
      </c>
    </row>
    <row r="175" spans="4:4" x14ac:dyDescent="0.2">
      <c r="D175" s="135">
        <v>3.12</v>
      </c>
    </row>
    <row r="176" spans="4:4" x14ac:dyDescent="0.2">
      <c r="D176" s="135">
        <v>3.13</v>
      </c>
    </row>
    <row r="177" spans="4:4" x14ac:dyDescent="0.2">
      <c r="D177" s="135">
        <v>3.14</v>
      </c>
    </row>
    <row r="178" spans="4:4" x14ac:dyDescent="0.2">
      <c r="D178" s="135">
        <v>3.15</v>
      </c>
    </row>
    <row r="179" spans="4:4" x14ac:dyDescent="0.2">
      <c r="D179" s="135">
        <v>3.16</v>
      </c>
    </row>
    <row r="180" spans="4:4" x14ac:dyDescent="0.2">
      <c r="D180" s="135">
        <v>3.17</v>
      </c>
    </row>
    <row r="181" spans="4:4" x14ac:dyDescent="0.2">
      <c r="D181" s="135">
        <v>3.18</v>
      </c>
    </row>
    <row r="182" spans="4:4" x14ac:dyDescent="0.2">
      <c r="D182" s="135">
        <v>3.19</v>
      </c>
    </row>
    <row r="183" spans="4:4" x14ac:dyDescent="0.2">
      <c r="D183" s="135">
        <v>3.2</v>
      </c>
    </row>
    <row r="184" spans="4:4" x14ac:dyDescent="0.2">
      <c r="D184" s="135">
        <v>3.21</v>
      </c>
    </row>
    <row r="185" spans="4:4" x14ac:dyDescent="0.2">
      <c r="D185" s="135">
        <v>3.22</v>
      </c>
    </row>
    <row r="186" spans="4:4" x14ac:dyDescent="0.2">
      <c r="D186" s="135">
        <v>3.23</v>
      </c>
    </row>
    <row r="187" spans="4:4" x14ac:dyDescent="0.2">
      <c r="D187" s="135">
        <v>3.24</v>
      </c>
    </row>
    <row r="188" spans="4:4" x14ac:dyDescent="0.2">
      <c r="D188" s="135">
        <v>3.25</v>
      </c>
    </row>
    <row r="189" spans="4:4" x14ac:dyDescent="0.2">
      <c r="D189" s="135">
        <v>3.26</v>
      </c>
    </row>
    <row r="190" spans="4:4" x14ac:dyDescent="0.2">
      <c r="D190" s="135">
        <v>3.27</v>
      </c>
    </row>
    <row r="191" spans="4:4" x14ac:dyDescent="0.2">
      <c r="D191" s="135">
        <v>3.28</v>
      </c>
    </row>
    <row r="192" spans="4:4" x14ac:dyDescent="0.2">
      <c r="D192" s="135">
        <v>3.29</v>
      </c>
    </row>
    <row r="193" spans="4:4" x14ac:dyDescent="0.2">
      <c r="D193" s="135">
        <v>3.3</v>
      </c>
    </row>
    <row r="194" spans="4:4" x14ac:dyDescent="0.2">
      <c r="D194" s="135">
        <v>3.31</v>
      </c>
    </row>
    <row r="195" spans="4:4" x14ac:dyDescent="0.2">
      <c r="D195" s="135">
        <v>3.32</v>
      </c>
    </row>
    <row r="196" spans="4:4" x14ac:dyDescent="0.2">
      <c r="D196" s="135">
        <v>3.33</v>
      </c>
    </row>
    <row r="197" spans="4:4" x14ac:dyDescent="0.2">
      <c r="D197" s="135">
        <v>3.34</v>
      </c>
    </row>
    <row r="198" spans="4:4" x14ac:dyDescent="0.2">
      <c r="D198" s="135">
        <v>3.35</v>
      </c>
    </row>
    <row r="199" spans="4:4" x14ac:dyDescent="0.2">
      <c r="D199" s="135">
        <v>3.36</v>
      </c>
    </row>
    <row r="200" spans="4:4" x14ac:dyDescent="0.2">
      <c r="D200" s="135">
        <v>3.37</v>
      </c>
    </row>
    <row r="201" spans="4:4" x14ac:dyDescent="0.2">
      <c r="D201" s="135">
        <v>3.38</v>
      </c>
    </row>
    <row r="202" spans="4:4" x14ac:dyDescent="0.2">
      <c r="D202" s="135">
        <v>3.39</v>
      </c>
    </row>
    <row r="203" spans="4:4" x14ac:dyDescent="0.2">
      <c r="D203" s="135">
        <v>3.4</v>
      </c>
    </row>
    <row r="204" spans="4:4" x14ac:dyDescent="0.2">
      <c r="D204" s="135">
        <v>3.41</v>
      </c>
    </row>
    <row r="205" spans="4:4" x14ac:dyDescent="0.2">
      <c r="D205" s="135">
        <v>3.42</v>
      </c>
    </row>
    <row r="206" spans="4:4" x14ac:dyDescent="0.2">
      <c r="D206" s="135">
        <v>3.43</v>
      </c>
    </row>
    <row r="207" spans="4:4" x14ac:dyDescent="0.2">
      <c r="D207" s="135">
        <v>3.44</v>
      </c>
    </row>
    <row r="208" spans="4:4" x14ac:dyDescent="0.2">
      <c r="D208" s="135">
        <v>3.45</v>
      </c>
    </row>
    <row r="209" spans="4:4" x14ac:dyDescent="0.2">
      <c r="D209" s="135">
        <v>3.46</v>
      </c>
    </row>
    <row r="210" spans="4:4" x14ac:dyDescent="0.2">
      <c r="D210" s="135">
        <v>3.47</v>
      </c>
    </row>
    <row r="211" spans="4:4" x14ac:dyDescent="0.2">
      <c r="D211" s="135">
        <v>3.48</v>
      </c>
    </row>
    <row r="212" spans="4:4" x14ac:dyDescent="0.2">
      <c r="D212" s="135">
        <v>3.49</v>
      </c>
    </row>
    <row r="213" spans="4:4" x14ac:dyDescent="0.2">
      <c r="D213" s="135">
        <v>3.5</v>
      </c>
    </row>
    <row r="214" spans="4:4" x14ac:dyDescent="0.2">
      <c r="D214" s="135">
        <v>3.51</v>
      </c>
    </row>
    <row r="215" spans="4:4" x14ac:dyDescent="0.2">
      <c r="D215" s="135">
        <v>3.52</v>
      </c>
    </row>
    <row r="216" spans="4:4" x14ac:dyDescent="0.2">
      <c r="D216" s="135">
        <v>3.53</v>
      </c>
    </row>
    <row r="217" spans="4:4" x14ac:dyDescent="0.2">
      <c r="D217" s="135">
        <v>3.54</v>
      </c>
    </row>
    <row r="218" spans="4:4" x14ac:dyDescent="0.2">
      <c r="D218" s="135">
        <v>3.55</v>
      </c>
    </row>
    <row r="219" spans="4:4" x14ac:dyDescent="0.2">
      <c r="D219" s="135">
        <v>3.56</v>
      </c>
    </row>
    <row r="220" spans="4:4" x14ac:dyDescent="0.2">
      <c r="D220" s="135">
        <v>3.57</v>
      </c>
    </row>
    <row r="221" spans="4:4" x14ac:dyDescent="0.2">
      <c r="D221" s="135">
        <v>3.58</v>
      </c>
    </row>
    <row r="222" spans="4:4" x14ac:dyDescent="0.2">
      <c r="D222" s="135">
        <v>3.59</v>
      </c>
    </row>
    <row r="223" spans="4:4" x14ac:dyDescent="0.2">
      <c r="D223" s="135">
        <v>3.6</v>
      </c>
    </row>
    <row r="224" spans="4:4" x14ac:dyDescent="0.2">
      <c r="D224" s="135">
        <v>3.61</v>
      </c>
    </row>
    <row r="225" spans="4:4" x14ac:dyDescent="0.2">
      <c r="D225" s="135">
        <v>3.62</v>
      </c>
    </row>
    <row r="226" spans="4:4" x14ac:dyDescent="0.2">
      <c r="D226" s="135">
        <v>3.63</v>
      </c>
    </row>
    <row r="227" spans="4:4" x14ac:dyDescent="0.2">
      <c r="D227" s="135">
        <v>3.64</v>
      </c>
    </row>
    <row r="228" spans="4:4" x14ac:dyDescent="0.2">
      <c r="D228" s="135">
        <v>3.65</v>
      </c>
    </row>
    <row r="229" spans="4:4" x14ac:dyDescent="0.2">
      <c r="D229" s="135">
        <v>3.66</v>
      </c>
    </row>
    <row r="230" spans="4:4" x14ac:dyDescent="0.2">
      <c r="D230" s="135">
        <v>3.67</v>
      </c>
    </row>
    <row r="231" spans="4:4" x14ac:dyDescent="0.2">
      <c r="D231" s="135">
        <v>3.68</v>
      </c>
    </row>
    <row r="232" spans="4:4" x14ac:dyDescent="0.2">
      <c r="D232" s="135">
        <v>3.69</v>
      </c>
    </row>
    <row r="233" spans="4:4" x14ac:dyDescent="0.2">
      <c r="D233" s="135">
        <v>3.7</v>
      </c>
    </row>
    <row r="234" spans="4:4" x14ac:dyDescent="0.2">
      <c r="D234" s="135">
        <v>3.71</v>
      </c>
    </row>
    <row r="235" spans="4:4" x14ac:dyDescent="0.2">
      <c r="D235" s="135">
        <v>3.72</v>
      </c>
    </row>
    <row r="236" spans="4:4" x14ac:dyDescent="0.2">
      <c r="D236" s="135">
        <v>3.73</v>
      </c>
    </row>
    <row r="237" spans="4:4" x14ac:dyDescent="0.2">
      <c r="D237" s="135">
        <v>3.74</v>
      </c>
    </row>
    <row r="238" spans="4:4" x14ac:dyDescent="0.2">
      <c r="D238" s="135">
        <v>3.75</v>
      </c>
    </row>
    <row r="239" spans="4:4" x14ac:dyDescent="0.2">
      <c r="D239" s="135">
        <v>3.76</v>
      </c>
    </row>
    <row r="240" spans="4:4" x14ac:dyDescent="0.2">
      <c r="D240" s="135">
        <v>3.77</v>
      </c>
    </row>
    <row r="241" spans="4:4" x14ac:dyDescent="0.2">
      <c r="D241" s="135">
        <v>3.78</v>
      </c>
    </row>
    <row r="242" spans="4:4" x14ac:dyDescent="0.2">
      <c r="D242" s="135">
        <v>3.79</v>
      </c>
    </row>
    <row r="243" spans="4:4" x14ac:dyDescent="0.2">
      <c r="D243" s="135">
        <v>3.8</v>
      </c>
    </row>
    <row r="244" spans="4:4" x14ac:dyDescent="0.2">
      <c r="D244" s="135">
        <v>3.81</v>
      </c>
    </row>
    <row r="245" spans="4:4" x14ac:dyDescent="0.2">
      <c r="D245" s="135">
        <v>3.82</v>
      </c>
    </row>
    <row r="246" spans="4:4" x14ac:dyDescent="0.2">
      <c r="D246" s="135">
        <v>3.83</v>
      </c>
    </row>
    <row r="247" spans="4:4" x14ac:dyDescent="0.2">
      <c r="D247" s="135">
        <v>3.84</v>
      </c>
    </row>
    <row r="248" spans="4:4" x14ac:dyDescent="0.2">
      <c r="D248" s="135">
        <v>3.85</v>
      </c>
    </row>
    <row r="249" spans="4:4" x14ac:dyDescent="0.2">
      <c r="D249" s="135">
        <v>3.86</v>
      </c>
    </row>
    <row r="250" spans="4:4" x14ac:dyDescent="0.2">
      <c r="D250" s="135">
        <v>3.87</v>
      </c>
    </row>
    <row r="251" spans="4:4" x14ac:dyDescent="0.2">
      <c r="D251" s="135">
        <v>3.88</v>
      </c>
    </row>
    <row r="252" spans="4:4" x14ac:dyDescent="0.2">
      <c r="D252" s="135">
        <v>3.89</v>
      </c>
    </row>
    <row r="253" spans="4:4" x14ac:dyDescent="0.2">
      <c r="D253" s="135">
        <v>3.9</v>
      </c>
    </row>
    <row r="254" spans="4:4" x14ac:dyDescent="0.2">
      <c r="D254" s="135">
        <v>3.91</v>
      </c>
    </row>
    <row r="255" spans="4:4" x14ac:dyDescent="0.2">
      <c r="D255" s="135">
        <v>3.92</v>
      </c>
    </row>
    <row r="256" spans="4:4" x14ac:dyDescent="0.2">
      <c r="D256" s="135">
        <v>3.93</v>
      </c>
    </row>
    <row r="257" spans="4:4" x14ac:dyDescent="0.2">
      <c r="D257" s="135">
        <v>3.94</v>
      </c>
    </row>
    <row r="258" spans="4:4" x14ac:dyDescent="0.2">
      <c r="D258" s="135">
        <v>3.95</v>
      </c>
    </row>
    <row r="259" spans="4:4" x14ac:dyDescent="0.2">
      <c r="D259" s="135">
        <v>3.96</v>
      </c>
    </row>
    <row r="260" spans="4:4" x14ac:dyDescent="0.2">
      <c r="D260" s="135">
        <v>3.97</v>
      </c>
    </row>
    <row r="261" spans="4:4" x14ac:dyDescent="0.2">
      <c r="D261" s="135">
        <v>3.98</v>
      </c>
    </row>
    <row r="262" spans="4:4" x14ac:dyDescent="0.2">
      <c r="D262" s="135">
        <v>3.99</v>
      </c>
    </row>
    <row r="263" spans="4:4" x14ac:dyDescent="0.2">
      <c r="D263" s="135">
        <v>4</v>
      </c>
    </row>
    <row r="264" spans="4:4" x14ac:dyDescent="0.2">
      <c r="D264" s="135">
        <v>4.01</v>
      </c>
    </row>
    <row r="265" spans="4:4" x14ac:dyDescent="0.2">
      <c r="D265" s="135">
        <v>4.0199999999999996</v>
      </c>
    </row>
    <row r="266" spans="4:4" x14ac:dyDescent="0.2">
      <c r="D266" s="135">
        <v>4.03</v>
      </c>
    </row>
    <row r="267" spans="4:4" x14ac:dyDescent="0.2">
      <c r="D267" s="135">
        <v>4.04</v>
      </c>
    </row>
    <row r="268" spans="4:4" x14ac:dyDescent="0.2">
      <c r="D268" s="135">
        <v>4.05</v>
      </c>
    </row>
    <row r="269" spans="4:4" x14ac:dyDescent="0.2">
      <c r="D269" s="135">
        <v>4.0599999999999996</v>
      </c>
    </row>
    <row r="270" spans="4:4" x14ac:dyDescent="0.2">
      <c r="D270" s="135">
        <v>4.07</v>
      </c>
    </row>
    <row r="271" spans="4:4" x14ac:dyDescent="0.2">
      <c r="D271" s="135">
        <v>4.08</v>
      </c>
    </row>
    <row r="272" spans="4:4" x14ac:dyDescent="0.2">
      <c r="D272" s="135">
        <v>4.09</v>
      </c>
    </row>
    <row r="273" spans="4:4" x14ac:dyDescent="0.2">
      <c r="D273" s="135">
        <v>4.0999999999999996</v>
      </c>
    </row>
    <row r="274" spans="4:4" x14ac:dyDescent="0.2">
      <c r="D274" s="135">
        <v>4.1100000000000003</v>
      </c>
    </row>
    <row r="275" spans="4:4" x14ac:dyDescent="0.2">
      <c r="D275" s="135">
        <v>4.12</v>
      </c>
    </row>
    <row r="276" spans="4:4" x14ac:dyDescent="0.2">
      <c r="D276" s="135">
        <v>4.13</v>
      </c>
    </row>
    <row r="277" spans="4:4" x14ac:dyDescent="0.2">
      <c r="D277" s="135">
        <v>4.1399999999999997</v>
      </c>
    </row>
    <row r="278" spans="4:4" x14ac:dyDescent="0.2">
      <c r="D278" s="135">
        <v>4.1500000000000004</v>
      </c>
    </row>
    <row r="279" spans="4:4" x14ac:dyDescent="0.2">
      <c r="D279" s="135">
        <v>4.16</v>
      </c>
    </row>
    <row r="280" spans="4:4" x14ac:dyDescent="0.2">
      <c r="D280" s="135">
        <v>4.17</v>
      </c>
    </row>
    <row r="281" spans="4:4" x14ac:dyDescent="0.2">
      <c r="D281" s="135">
        <v>4.18</v>
      </c>
    </row>
    <row r="282" spans="4:4" x14ac:dyDescent="0.2">
      <c r="D282" s="135">
        <v>4.1900000000000004</v>
      </c>
    </row>
    <row r="283" spans="4:4" x14ac:dyDescent="0.2">
      <c r="D283" s="135">
        <v>4.2</v>
      </c>
    </row>
    <row r="284" spans="4:4" x14ac:dyDescent="0.2">
      <c r="D284" s="135">
        <v>4.21</v>
      </c>
    </row>
    <row r="285" spans="4:4" x14ac:dyDescent="0.2">
      <c r="D285" s="135">
        <v>4.22</v>
      </c>
    </row>
    <row r="286" spans="4:4" x14ac:dyDescent="0.2">
      <c r="D286" s="135">
        <v>4.2300000000000004</v>
      </c>
    </row>
    <row r="287" spans="4:4" x14ac:dyDescent="0.2">
      <c r="D287" s="135">
        <v>4.24</v>
      </c>
    </row>
    <row r="288" spans="4:4" x14ac:dyDescent="0.2">
      <c r="D288" s="135">
        <v>4.25</v>
      </c>
    </row>
    <row r="289" spans="4:4" x14ac:dyDescent="0.2">
      <c r="D289" s="135">
        <v>4.26</v>
      </c>
    </row>
    <row r="290" spans="4:4" x14ac:dyDescent="0.2">
      <c r="D290" s="135">
        <v>4.2699999999999996</v>
      </c>
    </row>
    <row r="291" spans="4:4" x14ac:dyDescent="0.2">
      <c r="D291" s="135">
        <v>4.28</v>
      </c>
    </row>
    <row r="292" spans="4:4" x14ac:dyDescent="0.2">
      <c r="D292" s="135">
        <v>4.29</v>
      </c>
    </row>
    <row r="293" spans="4:4" x14ac:dyDescent="0.2">
      <c r="D293" s="135">
        <v>4.3</v>
      </c>
    </row>
    <row r="294" spans="4:4" x14ac:dyDescent="0.2">
      <c r="D294" s="135">
        <v>4.3099999999999996</v>
      </c>
    </row>
    <row r="295" spans="4:4" x14ac:dyDescent="0.2">
      <c r="D295" s="135">
        <v>4.32</v>
      </c>
    </row>
    <row r="296" spans="4:4" x14ac:dyDescent="0.2">
      <c r="D296" s="135">
        <v>4.33</v>
      </c>
    </row>
    <row r="297" spans="4:4" x14ac:dyDescent="0.2">
      <c r="D297" s="135">
        <v>4.34</v>
      </c>
    </row>
    <row r="298" spans="4:4" x14ac:dyDescent="0.2">
      <c r="D298" s="135">
        <v>4.3499999999999996</v>
      </c>
    </row>
    <row r="299" spans="4:4" x14ac:dyDescent="0.2">
      <c r="D299" s="135">
        <v>4.3600000000000003</v>
      </c>
    </row>
    <row r="300" spans="4:4" x14ac:dyDescent="0.2">
      <c r="D300" s="135">
        <v>4.37</v>
      </c>
    </row>
    <row r="301" spans="4:4" x14ac:dyDescent="0.2">
      <c r="D301" s="135">
        <v>4.38</v>
      </c>
    </row>
    <row r="302" spans="4:4" x14ac:dyDescent="0.2">
      <c r="D302" s="135">
        <v>4.3899999999999997</v>
      </c>
    </row>
    <row r="303" spans="4:4" x14ac:dyDescent="0.2">
      <c r="D303" s="135">
        <v>4.4000000000000004</v>
      </c>
    </row>
    <row r="304" spans="4:4" x14ac:dyDescent="0.2">
      <c r="D304" s="135">
        <v>4.41</v>
      </c>
    </row>
    <row r="305" spans="4:4" x14ac:dyDescent="0.2">
      <c r="D305" s="135">
        <v>4.42</v>
      </c>
    </row>
    <row r="306" spans="4:4" x14ac:dyDescent="0.2">
      <c r="D306" s="135">
        <v>4.43</v>
      </c>
    </row>
    <row r="307" spans="4:4" x14ac:dyDescent="0.2">
      <c r="D307" s="135">
        <v>4.4400000000000004</v>
      </c>
    </row>
    <row r="308" spans="4:4" x14ac:dyDescent="0.2">
      <c r="D308" s="135">
        <v>4.45</v>
      </c>
    </row>
    <row r="309" spans="4:4" x14ac:dyDescent="0.2">
      <c r="D309" s="135">
        <v>4.46</v>
      </c>
    </row>
    <row r="310" spans="4:4" x14ac:dyDescent="0.2">
      <c r="D310" s="135">
        <v>4.47</v>
      </c>
    </row>
    <row r="311" spans="4:4" x14ac:dyDescent="0.2">
      <c r="D311" s="135">
        <v>4.4800000000000004</v>
      </c>
    </row>
    <row r="312" spans="4:4" x14ac:dyDescent="0.2">
      <c r="D312" s="135">
        <v>4.49</v>
      </c>
    </row>
    <row r="313" spans="4:4" x14ac:dyDescent="0.2">
      <c r="D313" s="135">
        <v>4.5</v>
      </c>
    </row>
    <row r="314" spans="4:4" x14ac:dyDescent="0.2">
      <c r="D314" s="135">
        <v>4.51</v>
      </c>
    </row>
    <row r="315" spans="4:4" x14ac:dyDescent="0.2">
      <c r="D315" s="135">
        <v>4.5199999999999996</v>
      </c>
    </row>
    <row r="316" spans="4:4" x14ac:dyDescent="0.2">
      <c r="D316" s="135">
        <v>4.53</v>
      </c>
    </row>
    <row r="317" spans="4:4" x14ac:dyDescent="0.2">
      <c r="D317" s="135">
        <v>4.54</v>
      </c>
    </row>
    <row r="318" spans="4:4" x14ac:dyDescent="0.2">
      <c r="D318" s="135">
        <v>4.55</v>
      </c>
    </row>
    <row r="319" spans="4:4" x14ac:dyDescent="0.2">
      <c r="D319" s="135">
        <v>4.5599999999999996</v>
      </c>
    </row>
    <row r="320" spans="4:4" x14ac:dyDescent="0.2">
      <c r="D320" s="135">
        <v>4.57</v>
      </c>
    </row>
    <row r="321" spans="4:4" x14ac:dyDescent="0.2">
      <c r="D321" s="135">
        <v>4.58</v>
      </c>
    </row>
    <row r="322" spans="4:4" x14ac:dyDescent="0.2">
      <c r="D322" s="135">
        <v>4.59</v>
      </c>
    </row>
    <row r="323" spans="4:4" x14ac:dyDescent="0.2">
      <c r="D323" s="135">
        <v>4.5999999999999996</v>
      </c>
    </row>
    <row r="324" spans="4:4" x14ac:dyDescent="0.2">
      <c r="D324" s="135">
        <v>4.6100000000000003</v>
      </c>
    </row>
    <row r="325" spans="4:4" x14ac:dyDescent="0.2">
      <c r="D325" s="135">
        <v>4.62</v>
      </c>
    </row>
    <row r="326" spans="4:4" x14ac:dyDescent="0.2">
      <c r="D326" s="135">
        <v>4.63</v>
      </c>
    </row>
    <row r="327" spans="4:4" x14ac:dyDescent="0.2">
      <c r="D327" s="135">
        <v>4.6399999999999997</v>
      </c>
    </row>
    <row r="328" spans="4:4" x14ac:dyDescent="0.2">
      <c r="D328" s="135">
        <v>4.6500000000000004</v>
      </c>
    </row>
    <row r="329" spans="4:4" x14ac:dyDescent="0.2">
      <c r="D329" s="135">
        <v>4.66</v>
      </c>
    </row>
    <row r="330" spans="4:4" x14ac:dyDescent="0.2">
      <c r="D330" s="135">
        <v>4.67</v>
      </c>
    </row>
    <row r="331" spans="4:4" x14ac:dyDescent="0.2">
      <c r="D331" s="135">
        <v>4.68</v>
      </c>
    </row>
    <row r="332" spans="4:4" x14ac:dyDescent="0.2">
      <c r="D332" s="135">
        <v>4.6900000000000004</v>
      </c>
    </row>
    <row r="333" spans="4:4" x14ac:dyDescent="0.2">
      <c r="D333" s="135">
        <v>4.7</v>
      </c>
    </row>
    <row r="334" spans="4:4" x14ac:dyDescent="0.2">
      <c r="D334" s="135">
        <v>4.71</v>
      </c>
    </row>
    <row r="335" spans="4:4" x14ac:dyDescent="0.2">
      <c r="D335" s="135">
        <v>4.72</v>
      </c>
    </row>
    <row r="336" spans="4:4" x14ac:dyDescent="0.2">
      <c r="D336" s="135">
        <v>4.7300000000000004</v>
      </c>
    </row>
    <row r="337" spans="4:4" x14ac:dyDescent="0.2">
      <c r="D337" s="135">
        <v>4.74</v>
      </c>
    </row>
    <row r="338" spans="4:4" x14ac:dyDescent="0.2">
      <c r="D338" s="135">
        <v>4.75</v>
      </c>
    </row>
    <row r="339" spans="4:4" x14ac:dyDescent="0.2">
      <c r="D339" s="135">
        <v>4.76</v>
      </c>
    </row>
    <row r="340" spans="4:4" x14ac:dyDescent="0.2">
      <c r="D340" s="135">
        <v>4.7699999999999996</v>
      </c>
    </row>
    <row r="341" spans="4:4" x14ac:dyDescent="0.2">
      <c r="D341" s="135">
        <v>4.78</v>
      </c>
    </row>
    <row r="342" spans="4:4" x14ac:dyDescent="0.2">
      <c r="D342" s="135">
        <v>4.79</v>
      </c>
    </row>
    <row r="343" spans="4:4" x14ac:dyDescent="0.2">
      <c r="D343" s="135">
        <v>4.8</v>
      </c>
    </row>
    <row r="344" spans="4:4" x14ac:dyDescent="0.2">
      <c r="D344" s="135">
        <v>4.8099999999999996</v>
      </c>
    </row>
    <row r="345" spans="4:4" x14ac:dyDescent="0.2">
      <c r="D345" s="135">
        <v>4.82</v>
      </c>
    </row>
    <row r="346" spans="4:4" x14ac:dyDescent="0.2">
      <c r="D346" s="135">
        <v>4.83</v>
      </c>
    </row>
    <row r="347" spans="4:4" x14ac:dyDescent="0.2">
      <c r="D347" s="135">
        <v>4.84</v>
      </c>
    </row>
    <row r="348" spans="4:4" x14ac:dyDescent="0.2">
      <c r="D348" s="135">
        <v>4.8499999999999996</v>
      </c>
    </row>
    <row r="349" spans="4:4" x14ac:dyDescent="0.2">
      <c r="D349" s="135">
        <v>4.8600000000000003</v>
      </c>
    </row>
    <row r="350" spans="4:4" x14ac:dyDescent="0.2">
      <c r="D350" s="135">
        <v>4.87</v>
      </c>
    </row>
    <row r="351" spans="4:4" x14ac:dyDescent="0.2">
      <c r="D351" s="135">
        <v>4.88</v>
      </c>
    </row>
    <row r="352" spans="4:4" x14ac:dyDescent="0.2">
      <c r="D352" s="135">
        <v>4.8899999999999997</v>
      </c>
    </row>
    <row r="353" spans="4:4" x14ac:dyDescent="0.2">
      <c r="D353" s="135">
        <v>4.9000000000000004</v>
      </c>
    </row>
    <row r="354" spans="4:4" x14ac:dyDescent="0.2">
      <c r="D354" s="135">
        <v>4.91</v>
      </c>
    </row>
    <row r="355" spans="4:4" x14ac:dyDescent="0.2">
      <c r="D355" s="135">
        <v>4.92</v>
      </c>
    </row>
    <row r="356" spans="4:4" x14ac:dyDescent="0.2">
      <c r="D356" s="135">
        <v>4.93</v>
      </c>
    </row>
    <row r="357" spans="4:4" x14ac:dyDescent="0.2">
      <c r="D357" s="135">
        <v>4.9400000000000004</v>
      </c>
    </row>
    <row r="358" spans="4:4" x14ac:dyDescent="0.2">
      <c r="D358" s="135">
        <v>4.95</v>
      </c>
    </row>
    <row r="359" spans="4:4" x14ac:dyDescent="0.2">
      <c r="D359" s="135">
        <v>4.96</v>
      </c>
    </row>
    <row r="360" spans="4:4" x14ac:dyDescent="0.2">
      <c r="D360" s="135">
        <v>4.97</v>
      </c>
    </row>
    <row r="361" spans="4:4" x14ac:dyDescent="0.2">
      <c r="D361" s="135">
        <v>4.9800000000000004</v>
      </c>
    </row>
    <row r="362" spans="4:4" x14ac:dyDescent="0.2">
      <c r="D362" s="135">
        <v>4.99</v>
      </c>
    </row>
    <row r="363" spans="4:4" x14ac:dyDescent="0.2">
      <c r="D363" s="135">
        <v>5</v>
      </c>
    </row>
    <row r="364" spans="4:4" x14ac:dyDescent="0.2">
      <c r="D364" s="135">
        <v>5.01</v>
      </c>
    </row>
    <row r="365" spans="4:4" x14ac:dyDescent="0.2">
      <c r="D365" s="135">
        <v>5.0199999999999996</v>
      </c>
    </row>
    <row r="366" spans="4:4" x14ac:dyDescent="0.2">
      <c r="D366" s="135">
        <v>5.03</v>
      </c>
    </row>
    <row r="367" spans="4:4" x14ac:dyDescent="0.2">
      <c r="D367" s="135">
        <v>5.04</v>
      </c>
    </row>
    <row r="368" spans="4:4" x14ac:dyDescent="0.2">
      <c r="D368" s="135">
        <v>5.05</v>
      </c>
    </row>
    <row r="369" spans="4:4" x14ac:dyDescent="0.2">
      <c r="D369" s="135">
        <v>5.0599999999999996</v>
      </c>
    </row>
    <row r="370" spans="4:4" x14ac:dyDescent="0.2">
      <c r="D370" s="135">
        <v>5.07</v>
      </c>
    </row>
    <row r="371" spans="4:4" x14ac:dyDescent="0.2">
      <c r="D371" s="135">
        <v>5.08</v>
      </c>
    </row>
    <row r="372" spans="4:4" x14ac:dyDescent="0.2">
      <c r="D372" s="135">
        <v>5.09</v>
      </c>
    </row>
    <row r="373" spans="4:4" x14ac:dyDescent="0.2">
      <c r="D373" s="135">
        <v>5.0999999999999996</v>
      </c>
    </row>
    <row r="374" spans="4:4" x14ac:dyDescent="0.2">
      <c r="D374" s="135">
        <v>5.1100000000000003</v>
      </c>
    </row>
    <row r="375" spans="4:4" x14ac:dyDescent="0.2">
      <c r="D375" s="135">
        <v>5.12</v>
      </c>
    </row>
    <row r="376" spans="4:4" x14ac:dyDescent="0.2">
      <c r="D376" s="135">
        <v>5.13</v>
      </c>
    </row>
    <row r="377" spans="4:4" x14ac:dyDescent="0.2">
      <c r="D377" s="135">
        <v>5.14</v>
      </c>
    </row>
    <row r="378" spans="4:4" x14ac:dyDescent="0.2">
      <c r="D378" s="135">
        <v>5.15</v>
      </c>
    </row>
    <row r="379" spans="4:4" x14ac:dyDescent="0.2">
      <c r="D379" s="135">
        <v>5.16</v>
      </c>
    </row>
    <row r="380" spans="4:4" x14ac:dyDescent="0.2">
      <c r="D380" s="135">
        <v>5.17</v>
      </c>
    </row>
    <row r="381" spans="4:4" x14ac:dyDescent="0.2">
      <c r="D381" s="135">
        <v>5.18</v>
      </c>
    </row>
    <row r="382" spans="4:4" x14ac:dyDescent="0.2">
      <c r="D382" s="135">
        <v>5.19</v>
      </c>
    </row>
    <row r="383" spans="4:4" x14ac:dyDescent="0.2">
      <c r="D383" s="135">
        <v>5.2</v>
      </c>
    </row>
    <row r="384" spans="4:4" x14ac:dyDescent="0.2">
      <c r="D384" s="135">
        <v>5.21</v>
      </c>
    </row>
    <row r="385" spans="4:4" x14ac:dyDescent="0.2">
      <c r="D385" s="135">
        <v>5.22</v>
      </c>
    </row>
    <row r="386" spans="4:4" x14ac:dyDescent="0.2">
      <c r="D386" s="135">
        <v>5.23</v>
      </c>
    </row>
    <row r="387" spans="4:4" x14ac:dyDescent="0.2">
      <c r="D387" s="135">
        <v>5.24</v>
      </c>
    </row>
    <row r="388" spans="4:4" x14ac:dyDescent="0.2">
      <c r="D388" s="135">
        <v>5.25</v>
      </c>
    </row>
    <row r="389" spans="4:4" x14ac:dyDescent="0.2">
      <c r="D389" s="135">
        <v>5.26</v>
      </c>
    </row>
    <row r="390" spans="4:4" x14ac:dyDescent="0.2">
      <c r="D390" s="135">
        <v>5.27</v>
      </c>
    </row>
    <row r="391" spans="4:4" x14ac:dyDescent="0.2">
      <c r="D391" s="135">
        <v>5.28</v>
      </c>
    </row>
    <row r="392" spans="4:4" x14ac:dyDescent="0.2">
      <c r="D392" s="135">
        <v>5.29</v>
      </c>
    </row>
    <row r="393" spans="4:4" x14ac:dyDescent="0.2">
      <c r="D393" s="135">
        <v>5.3</v>
      </c>
    </row>
    <row r="394" spans="4:4" x14ac:dyDescent="0.2">
      <c r="D394" s="135">
        <v>5.31</v>
      </c>
    </row>
    <row r="395" spans="4:4" x14ac:dyDescent="0.2">
      <c r="D395" s="135">
        <v>5.32</v>
      </c>
    </row>
    <row r="396" spans="4:4" x14ac:dyDescent="0.2">
      <c r="D396" s="135">
        <v>5.33</v>
      </c>
    </row>
    <row r="397" spans="4:4" x14ac:dyDescent="0.2">
      <c r="D397" s="135">
        <v>5.34</v>
      </c>
    </row>
    <row r="398" spans="4:4" x14ac:dyDescent="0.2">
      <c r="D398" s="135">
        <v>5.35</v>
      </c>
    </row>
    <row r="399" spans="4:4" x14ac:dyDescent="0.2">
      <c r="D399" s="135">
        <v>5.36</v>
      </c>
    </row>
    <row r="400" spans="4:4" x14ac:dyDescent="0.2">
      <c r="D400" s="135">
        <v>5.37</v>
      </c>
    </row>
    <row r="401" spans="4:4" x14ac:dyDescent="0.2">
      <c r="D401" s="135">
        <v>5.38</v>
      </c>
    </row>
    <row r="402" spans="4:4" x14ac:dyDescent="0.2">
      <c r="D402" s="135">
        <v>5.39</v>
      </c>
    </row>
    <row r="403" spans="4:4" x14ac:dyDescent="0.2">
      <c r="D403" s="135">
        <v>5.4</v>
      </c>
    </row>
    <row r="404" spans="4:4" x14ac:dyDescent="0.2">
      <c r="D404" s="135">
        <v>5.41</v>
      </c>
    </row>
    <row r="405" spans="4:4" x14ac:dyDescent="0.2">
      <c r="D405" s="135">
        <v>5.42</v>
      </c>
    </row>
    <row r="406" spans="4:4" x14ac:dyDescent="0.2">
      <c r="D406" s="135">
        <v>5.43</v>
      </c>
    </row>
    <row r="407" spans="4:4" x14ac:dyDescent="0.2">
      <c r="D407" s="135">
        <v>5.44</v>
      </c>
    </row>
    <row r="408" spans="4:4" x14ac:dyDescent="0.2">
      <c r="D408" s="135">
        <v>5.45</v>
      </c>
    </row>
    <row r="409" spans="4:4" x14ac:dyDescent="0.2">
      <c r="D409" s="135">
        <v>5.46</v>
      </c>
    </row>
    <row r="410" spans="4:4" x14ac:dyDescent="0.2">
      <c r="D410" s="135">
        <v>5.47</v>
      </c>
    </row>
    <row r="411" spans="4:4" x14ac:dyDescent="0.2">
      <c r="D411" s="135">
        <v>5.48</v>
      </c>
    </row>
    <row r="412" spans="4:4" x14ac:dyDescent="0.2">
      <c r="D412" s="135">
        <v>5.49</v>
      </c>
    </row>
    <row r="413" spans="4:4" x14ac:dyDescent="0.2">
      <c r="D413" s="135">
        <v>5.5</v>
      </c>
    </row>
    <row r="414" spans="4:4" x14ac:dyDescent="0.2">
      <c r="D414" s="135">
        <v>5.51</v>
      </c>
    </row>
    <row r="415" spans="4:4" x14ac:dyDescent="0.2">
      <c r="D415" s="135">
        <v>5.52</v>
      </c>
    </row>
    <row r="416" spans="4:4" x14ac:dyDescent="0.2">
      <c r="D416" s="135">
        <v>5.53</v>
      </c>
    </row>
    <row r="417" spans="4:4" x14ac:dyDescent="0.2">
      <c r="D417" s="135">
        <v>5.54</v>
      </c>
    </row>
    <row r="418" spans="4:4" x14ac:dyDescent="0.2">
      <c r="D418" s="135">
        <v>5.55</v>
      </c>
    </row>
    <row r="419" spans="4:4" x14ac:dyDescent="0.2">
      <c r="D419" s="135">
        <v>5.56</v>
      </c>
    </row>
    <row r="420" spans="4:4" x14ac:dyDescent="0.2">
      <c r="D420" s="135">
        <v>5.57</v>
      </c>
    </row>
    <row r="421" spans="4:4" x14ac:dyDescent="0.2">
      <c r="D421" s="135">
        <v>5.58</v>
      </c>
    </row>
    <row r="422" spans="4:4" x14ac:dyDescent="0.2">
      <c r="D422" s="135">
        <v>5.59</v>
      </c>
    </row>
    <row r="423" spans="4:4" x14ac:dyDescent="0.2">
      <c r="D423" s="135">
        <v>5.6</v>
      </c>
    </row>
    <row r="424" spans="4:4" x14ac:dyDescent="0.2">
      <c r="D424" s="135">
        <v>5.61</v>
      </c>
    </row>
    <row r="425" spans="4:4" x14ac:dyDescent="0.2">
      <c r="D425" s="135">
        <v>5.62</v>
      </c>
    </row>
    <row r="426" spans="4:4" x14ac:dyDescent="0.2">
      <c r="D426" s="135">
        <v>5.63</v>
      </c>
    </row>
    <row r="427" spans="4:4" x14ac:dyDescent="0.2">
      <c r="D427" s="135">
        <v>5.64</v>
      </c>
    </row>
    <row r="428" spans="4:4" x14ac:dyDescent="0.2">
      <c r="D428" s="135">
        <v>5.65</v>
      </c>
    </row>
    <row r="429" spans="4:4" x14ac:dyDescent="0.2">
      <c r="D429" s="135">
        <v>5.66</v>
      </c>
    </row>
    <row r="430" spans="4:4" x14ac:dyDescent="0.2">
      <c r="D430" s="135">
        <v>5.67</v>
      </c>
    </row>
    <row r="431" spans="4:4" x14ac:dyDescent="0.2">
      <c r="D431" s="135">
        <v>5.68</v>
      </c>
    </row>
    <row r="432" spans="4:4" x14ac:dyDescent="0.2">
      <c r="D432" s="135">
        <v>5.69</v>
      </c>
    </row>
    <row r="433" spans="4:4" x14ac:dyDescent="0.2">
      <c r="D433" s="135">
        <v>5.7</v>
      </c>
    </row>
    <row r="434" spans="4:4" x14ac:dyDescent="0.2">
      <c r="D434" s="135">
        <v>5.71</v>
      </c>
    </row>
    <row r="435" spans="4:4" x14ac:dyDescent="0.2">
      <c r="D435" s="135">
        <v>5.72</v>
      </c>
    </row>
    <row r="436" spans="4:4" x14ac:dyDescent="0.2">
      <c r="D436" s="135">
        <v>5.73</v>
      </c>
    </row>
    <row r="437" spans="4:4" x14ac:dyDescent="0.2">
      <c r="D437" s="135">
        <v>5.74</v>
      </c>
    </row>
    <row r="438" spans="4:4" x14ac:dyDescent="0.2">
      <c r="D438" s="135">
        <v>5.75</v>
      </c>
    </row>
    <row r="439" spans="4:4" x14ac:dyDescent="0.2">
      <c r="D439" s="135">
        <v>5.76</v>
      </c>
    </row>
    <row r="440" spans="4:4" x14ac:dyDescent="0.2">
      <c r="D440" s="135">
        <v>5.77</v>
      </c>
    </row>
    <row r="441" spans="4:4" x14ac:dyDescent="0.2">
      <c r="D441" s="135">
        <v>5.78</v>
      </c>
    </row>
    <row r="442" spans="4:4" x14ac:dyDescent="0.2">
      <c r="D442" s="135">
        <v>5.79</v>
      </c>
    </row>
    <row r="443" spans="4:4" x14ac:dyDescent="0.2">
      <c r="D443" s="135">
        <v>5.8</v>
      </c>
    </row>
    <row r="444" spans="4:4" x14ac:dyDescent="0.2">
      <c r="D444" s="135">
        <v>5.81</v>
      </c>
    </row>
    <row r="445" spans="4:4" x14ac:dyDescent="0.2">
      <c r="D445" s="135">
        <v>5.82</v>
      </c>
    </row>
    <row r="446" spans="4:4" x14ac:dyDescent="0.2">
      <c r="D446" s="135">
        <v>5.83</v>
      </c>
    </row>
    <row r="447" spans="4:4" x14ac:dyDescent="0.2">
      <c r="D447" s="135">
        <v>5.84</v>
      </c>
    </row>
    <row r="448" spans="4:4" x14ac:dyDescent="0.2">
      <c r="D448" s="135">
        <v>5.85</v>
      </c>
    </row>
    <row r="449" spans="4:4" x14ac:dyDescent="0.2">
      <c r="D449" s="135">
        <v>5.86</v>
      </c>
    </row>
    <row r="450" spans="4:4" x14ac:dyDescent="0.2">
      <c r="D450" s="135">
        <v>5.87</v>
      </c>
    </row>
    <row r="451" spans="4:4" x14ac:dyDescent="0.2">
      <c r="D451" s="135">
        <v>5.88</v>
      </c>
    </row>
    <row r="452" spans="4:4" x14ac:dyDescent="0.2">
      <c r="D452" s="135">
        <v>5.89</v>
      </c>
    </row>
    <row r="453" spans="4:4" x14ac:dyDescent="0.2">
      <c r="D453" s="135">
        <v>5.9</v>
      </c>
    </row>
    <row r="454" spans="4:4" x14ac:dyDescent="0.2">
      <c r="D454" s="135">
        <v>5.91</v>
      </c>
    </row>
    <row r="455" spans="4:4" x14ac:dyDescent="0.2">
      <c r="D455" s="135">
        <v>5.92</v>
      </c>
    </row>
    <row r="456" spans="4:4" x14ac:dyDescent="0.2">
      <c r="D456" s="135">
        <v>5.93</v>
      </c>
    </row>
    <row r="457" spans="4:4" x14ac:dyDescent="0.2">
      <c r="D457" s="135">
        <v>5.94</v>
      </c>
    </row>
    <row r="458" spans="4:4" x14ac:dyDescent="0.2">
      <c r="D458" s="135">
        <v>5.95</v>
      </c>
    </row>
    <row r="459" spans="4:4" x14ac:dyDescent="0.2">
      <c r="D459" s="135">
        <v>5.96</v>
      </c>
    </row>
    <row r="460" spans="4:4" x14ac:dyDescent="0.2">
      <c r="D460" s="135">
        <v>5.97</v>
      </c>
    </row>
    <row r="461" spans="4:4" x14ac:dyDescent="0.2">
      <c r="D461" s="135">
        <v>5.98</v>
      </c>
    </row>
    <row r="462" spans="4:4" x14ac:dyDescent="0.2">
      <c r="D462" s="135">
        <v>5.99</v>
      </c>
    </row>
    <row r="463" spans="4:4" x14ac:dyDescent="0.2">
      <c r="D463" s="135">
        <v>6</v>
      </c>
    </row>
    <row r="464" spans="4:4" x14ac:dyDescent="0.2">
      <c r="D464" s="135">
        <v>6.01</v>
      </c>
    </row>
    <row r="465" spans="4:4" x14ac:dyDescent="0.2">
      <c r="D465" s="135">
        <v>6.02</v>
      </c>
    </row>
    <row r="466" spans="4:4" x14ac:dyDescent="0.2">
      <c r="D466" s="135">
        <v>6.03</v>
      </c>
    </row>
    <row r="467" spans="4:4" x14ac:dyDescent="0.2">
      <c r="D467" s="135">
        <v>6.04</v>
      </c>
    </row>
    <row r="468" spans="4:4" x14ac:dyDescent="0.2">
      <c r="D468" s="135">
        <v>6.05</v>
      </c>
    </row>
    <row r="469" spans="4:4" x14ac:dyDescent="0.2">
      <c r="D469" s="135">
        <v>6.06</v>
      </c>
    </row>
    <row r="470" spans="4:4" x14ac:dyDescent="0.2">
      <c r="D470" s="135">
        <v>6.07</v>
      </c>
    </row>
    <row r="471" spans="4:4" x14ac:dyDescent="0.2">
      <c r="D471" s="135">
        <v>6.08</v>
      </c>
    </row>
    <row r="472" spans="4:4" x14ac:dyDescent="0.2">
      <c r="D472" s="135">
        <v>6.09</v>
      </c>
    </row>
    <row r="473" spans="4:4" x14ac:dyDescent="0.2">
      <c r="D473" s="135">
        <v>6.1</v>
      </c>
    </row>
    <row r="474" spans="4:4" x14ac:dyDescent="0.2">
      <c r="D474" s="135">
        <v>6.11</v>
      </c>
    </row>
    <row r="475" spans="4:4" x14ac:dyDescent="0.2">
      <c r="D475" s="135">
        <v>6.12</v>
      </c>
    </row>
    <row r="476" spans="4:4" x14ac:dyDescent="0.2">
      <c r="D476" s="135">
        <v>6.13</v>
      </c>
    </row>
    <row r="477" spans="4:4" x14ac:dyDescent="0.2">
      <c r="D477" s="135">
        <v>6.14</v>
      </c>
    </row>
    <row r="478" spans="4:4" x14ac:dyDescent="0.2">
      <c r="D478" s="135">
        <v>6.15</v>
      </c>
    </row>
    <row r="479" spans="4:4" x14ac:dyDescent="0.2">
      <c r="D479" s="135">
        <v>6.16</v>
      </c>
    </row>
    <row r="480" spans="4:4" x14ac:dyDescent="0.2">
      <c r="D480" s="135">
        <v>6.17</v>
      </c>
    </row>
    <row r="481" spans="4:4" x14ac:dyDescent="0.2">
      <c r="D481" s="135">
        <v>6.18</v>
      </c>
    </row>
    <row r="482" spans="4:4" x14ac:dyDescent="0.2">
      <c r="D482" s="135">
        <v>6.19</v>
      </c>
    </row>
    <row r="483" spans="4:4" x14ac:dyDescent="0.2">
      <c r="D483" s="135">
        <v>6.2</v>
      </c>
    </row>
    <row r="484" spans="4:4" x14ac:dyDescent="0.2">
      <c r="D484" s="135">
        <v>6.21</v>
      </c>
    </row>
    <row r="485" spans="4:4" x14ac:dyDescent="0.2">
      <c r="D485" s="135">
        <v>6.22</v>
      </c>
    </row>
    <row r="486" spans="4:4" x14ac:dyDescent="0.2">
      <c r="D486" s="135">
        <v>6.23</v>
      </c>
    </row>
    <row r="487" spans="4:4" x14ac:dyDescent="0.2">
      <c r="D487" s="135">
        <v>6.24</v>
      </c>
    </row>
    <row r="488" spans="4:4" x14ac:dyDescent="0.2">
      <c r="D488" s="135">
        <v>6.25</v>
      </c>
    </row>
    <row r="489" spans="4:4" x14ac:dyDescent="0.2">
      <c r="D489" s="135">
        <v>6.26</v>
      </c>
    </row>
    <row r="490" spans="4:4" x14ac:dyDescent="0.2">
      <c r="D490" s="135">
        <v>6.27</v>
      </c>
    </row>
    <row r="491" spans="4:4" x14ac:dyDescent="0.2">
      <c r="D491" s="135">
        <v>6.28</v>
      </c>
    </row>
    <row r="492" spans="4:4" x14ac:dyDescent="0.2">
      <c r="D492" s="135">
        <v>6.29</v>
      </c>
    </row>
    <row r="493" spans="4:4" x14ac:dyDescent="0.2">
      <c r="D493" s="135">
        <v>6.3</v>
      </c>
    </row>
    <row r="494" spans="4:4" x14ac:dyDescent="0.2">
      <c r="D494" s="135">
        <v>6.31</v>
      </c>
    </row>
    <row r="495" spans="4:4" x14ac:dyDescent="0.2">
      <c r="D495" s="135">
        <v>6.32</v>
      </c>
    </row>
    <row r="496" spans="4:4" x14ac:dyDescent="0.2">
      <c r="D496" s="135">
        <v>6.33</v>
      </c>
    </row>
    <row r="497" spans="4:4" x14ac:dyDescent="0.2">
      <c r="D497" s="135">
        <v>6.34</v>
      </c>
    </row>
    <row r="498" spans="4:4" x14ac:dyDescent="0.2">
      <c r="D498" s="135">
        <v>6.35</v>
      </c>
    </row>
    <row r="499" spans="4:4" x14ac:dyDescent="0.2">
      <c r="D499" s="135">
        <v>6.36</v>
      </c>
    </row>
    <row r="500" spans="4:4" x14ac:dyDescent="0.2">
      <c r="D500" s="135">
        <v>6.37</v>
      </c>
    </row>
    <row r="501" spans="4:4" x14ac:dyDescent="0.2">
      <c r="D501" s="135">
        <v>6.38</v>
      </c>
    </row>
    <row r="502" spans="4:4" x14ac:dyDescent="0.2">
      <c r="D502" s="135">
        <v>6.39</v>
      </c>
    </row>
    <row r="503" spans="4:4" x14ac:dyDescent="0.2">
      <c r="D503" s="135">
        <v>6.4</v>
      </c>
    </row>
    <row r="504" spans="4:4" x14ac:dyDescent="0.2">
      <c r="D504" s="135">
        <v>6.41</v>
      </c>
    </row>
    <row r="505" spans="4:4" x14ac:dyDescent="0.2">
      <c r="D505" s="135">
        <v>6.42</v>
      </c>
    </row>
    <row r="506" spans="4:4" x14ac:dyDescent="0.2">
      <c r="D506" s="135">
        <v>6.43</v>
      </c>
    </row>
    <row r="507" spans="4:4" x14ac:dyDescent="0.2">
      <c r="D507" s="135">
        <v>6.44</v>
      </c>
    </row>
    <row r="508" spans="4:4" x14ac:dyDescent="0.2">
      <c r="D508" s="135">
        <v>6.45</v>
      </c>
    </row>
    <row r="509" spans="4:4" x14ac:dyDescent="0.2">
      <c r="D509" s="135">
        <v>6.46</v>
      </c>
    </row>
    <row r="510" spans="4:4" x14ac:dyDescent="0.2">
      <c r="D510" s="135">
        <v>6.47</v>
      </c>
    </row>
    <row r="511" spans="4:4" x14ac:dyDescent="0.2">
      <c r="D511" s="135">
        <v>6.48</v>
      </c>
    </row>
    <row r="512" spans="4:4" x14ac:dyDescent="0.2">
      <c r="D512" s="135">
        <v>6.49</v>
      </c>
    </row>
    <row r="513" spans="4:4" x14ac:dyDescent="0.2">
      <c r="D513" s="135">
        <v>6.5</v>
      </c>
    </row>
    <row r="514" spans="4:4" x14ac:dyDescent="0.2">
      <c r="D514" s="135">
        <v>6.51</v>
      </c>
    </row>
    <row r="515" spans="4:4" x14ac:dyDescent="0.2">
      <c r="D515" s="135">
        <v>6.52</v>
      </c>
    </row>
    <row r="516" spans="4:4" x14ac:dyDescent="0.2">
      <c r="D516" s="135">
        <v>6.53</v>
      </c>
    </row>
    <row r="517" spans="4:4" x14ac:dyDescent="0.2">
      <c r="D517" s="135">
        <v>6.54</v>
      </c>
    </row>
    <row r="518" spans="4:4" x14ac:dyDescent="0.2">
      <c r="D518" s="135">
        <v>6.55</v>
      </c>
    </row>
    <row r="519" spans="4:4" x14ac:dyDescent="0.2">
      <c r="D519" s="135">
        <v>6.56</v>
      </c>
    </row>
    <row r="520" spans="4:4" x14ac:dyDescent="0.2">
      <c r="D520" s="135">
        <v>6.57</v>
      </c>
    </row>
    <row r="521" spans="4:4" x14ac:dyDescent="0.2">
      <c r="D521" s="135">
        <v>6.58</v>
      </c>
    </row>
    <row r="522" spans="4:4" x14ac:dyDescent="0.2">
      <c r="D522" s="135">
        <v>6.5900000000000096</v>
      </c>
    </row>
    <row r="523" spans="4:4" x14ac:dyDescent="0.2">
      <c r="D523" s="135">
        <v>6.6</v>
      </c>
    </row>
    <row r="524" spans="4:4" x14ac:dyDescent="0.2">
      <c r="D524" s="135">
        <v>6.61</v>
      </c>
    </row>
    <row r="525" spans="4:4" x14ac:dyDescent="0.2">
      <c r="D525" s="135">
        <v>6.62</v>
      </c>
    </row>
    <row r="526" spans="4:4" x14ac:dyDescent="0.2">
      <c r="D526" s="135">
        <v>6.63</v>
      </c>
    </row>
    <row r="527" spans="4:4" x14ac:dyDescent="0.2">
      <c r="D527" s="135">
        <v>6.64</v>
      </c>
    </row>
    <row r="528" spans="4:4" x14ac:dyDescent="0.2">
      <c r="D528" s="135">
        <v>6.65</v>
      </c>
    </row>
    <row r="529" spans="4:4" x14ac:dyDescent="0.2">
      <c r="D529" s="135">
        <v>6.66</v>
      </c>
    </row>
    <row r="530" spans="4:4" x14ac:dyDescent="0.2">
      <c r="D530" s="135">
        <v>6.6700000000000097</v>
      </c>
    </row>
    <row r="531" spans="4:4" x14ac:dyDescent="0.2">
      <c r="D531" s="135">
        <v>6.68</v>
      </c>
    </row>
    <row r="532" spans="4:4" x14ac:dyDescent="0.2">
      <c r="D532" s="135">
        <v>6.69</v>
      </c>
    </row>
    <row r="533" spans="4:4" x14ac:dyDescent="0.2">
      <c r="D533" s="135">
        <v>6.7</v>
      </c>
    </row>
    <row r="534" spans="4:4" x14ac:dyDescent="0.2">
      <c r="D534" s="135">
        <v>6.71</v>
      </c>
    </row>
    <row r="535" spans="4:4" x14ac:dyDescent="0.2">
      <c r="D535" s="135">
        <v>6.72</v>
      </c>
    </row>
    <row r="536" spans="4:4" x14ac:dyDescent="0.2">
      <c r="D536" s="135">
        <v>6.73</v>
      </c>
    </row>
    <row r="537" spans="4:4" x14ac:dyDescent="0.2">
      <c r="D537" s="135">
        <v>6.74</v>
      </c>
    </row>
    <row r="538" spans="4:4" x14ac:dyDescent="0.2">
      <c r="D538" s="135">
        <v>6.7500000000000098</v>
      </c>
    </row>
    <row r="539" spans="4:4" x14ac:dyDescent="0.2">
      <c r="D539" s="135">
        <v>6.76</v>
      </c>
    </row>
    <row r="540" spans="4:4" x14ac:dyDescent="0.2">
      <c r="D540" s="135">
        <v>6.77</v>
      </c>
    </row>
    <row r="541" spans="4:4" x14ac:dyDescent="0.2">
      <c r="D541" s="135">
        <v>6.78</v>
      </c>
    </row>
    <row r="542" spans="4:4" x14ac:dyDescent="0.2">
      <c r="D542" s="135">
        <v>6.79</v>
      </c>
    </row>
    <row r="543" spans="4:4" x14ac:dyDescent="0.2">
      <c r="D543" s="135">
        <v>6.8000000000000096</v>
      </c>
    </row>
    <row r="544" spans="4:4" x14ac:dyDescent="0.2">
      <c r="D544" s="135">
        <v>6.81</v>
      </c>
    </row>
    <row r="545" spans="4:4" x14ac:dyDescent="0.2">
      <c r="D545" s="135">
        <v>6.82</v>
      </c>
    </row>
    <row r="546" spans="4:4" x14ac:dyDescent="0.2">
      <c r="D546" s="135">
        <v>6.8300000000000098</v>
      </c>
    </row>
    <row r="547" spans="4:4" x14ac:dyDescent="0.2">
      <c r="D547" s="135">
        <v>6.8400000000000096</v>
      </c>
    </row>
    <row r="548" spans="4:4" x14ac:dyDescent="0.2">
      <c r="D548" s="135">
        <v>6.85</v>
      </c>
    </row>
    <row r="549" spans="4:4" x14ac:dyDescent="0.2">
      <c r="D549" s="135">
        <v>6.86</v>
      </c>
    </row>
    <row r="550" spans="4:4" x14ac:dyDescent="0.2">
      <c r="D550" s="135">
        <v>6.87</v>
      </c>
    </row>
    <row r="551" spans="4:4" x14ac:dyDescent="0.2">
      <c r="D551" s="135">
        <v>6.8800000000000097</v>
      </c>
    </row>
    <row r="552" spans="4:4" x14ac:dyDescent="0.2">
      <c r="D552" s="135">
        <v>6.89</v>
      </c>
    </row>
    <row r="553" spans="4:4" x14ac:dyDescent="0.2">
      <c r="D553" s="135">
        <v>6.9</v>
      </c>
    </row>
    <row r="554" spans="4:4" x14ac:dyDescent="0.2">
      <c r="D554" s="135">
        <v>6.9100000000000099</v>
      </c>
    </row>
    <row r="555" spans="4:4" x14ac:dyDescent="0.2">
      <c r="D555" s="135">
        <v>6.9200000000000097</v>
      </c>
    </row>
    <row r="556" spans="4:4" x14ac:dyDescent="0.2">
      <c r="D556" s="135">
        <v>6.93</v>
      </c>
    </row>
    <row r="557" spans="4:4" x14ac:dyDescent="0.2">
      <c r="D557" s="135">
        <v>6.94</v>
      </c>
    </row>
    <row r="558" spans="4:4" x14ac:dyDescent="0.2">
      <c r="D558" s="135">
        <v>6.95</v>
      </c>
    </row>
    <row r="559" spans="4:4" x14ac:dyDescent="0.2">
      <c r="D559" s="135">
        <v>6.9600000000000097</v>
      </c>
    </row>
    <row r="560" spans="4:4" x14ac:dyDescent="0.2">
      <c r="D560" s="135">
        <v>6.97</v>
      </c>
    </row>
    <row r="561" spans="4:4" x14ac:dyDescent="0.2">
      <c r="D561" s="135">
        <v>6.98</v>
      </c>
    </row>
    <row r="562" spans="4:4" x14ac:dyDescent="0.2">
      <c r="D562" s="135">
        <v>6.99000000000001</v>
      </c>
    </row>
    <row r="563" spans="4:4" x14ac:dyDescent="0.2">
      <c r="D563" s="135">
        <v>7.0000000000000098</v>
      </c>
    </row>
    <row r="564" spans="4:4" x14ac:dyDescent="0.2">
      <c r="D564" s="135">
        <v>7.01</v>
      </c>
    </row>
    <row r="565" spans="4:4" x14ac:dyDescent="0.2">
      <c r="D565" s="135">
        <v>7.02</v>
      </c>
    </row>
    <row r="566" spans="4:4" x14ac:dyDescent="0.2">
      <c r="D566" s="135">
        <v>7.03</v>
      </c>
    </row>
    <row r="567" spans="4:4" x14ac:dyDescent="0.2">
      <c r="D567" s="135">
        <v>7.0400000000000098</v>
      </c>
    </row>
    <row r="568" spans="4:4" x14ac:dyDescent="0.2">
      <c r="D568" s="135">
        <v>7.0500000000000096</v>
      </c>
    </row>
    <row r="569" spans="4:4" x14ac:dyDescent="0.2">
      <c r="D569" s="135">
        <v>7.06</v>
      </c>
    </row>
    <row r="570" spans="4:4" x14ac:dyDescent="0.2">
      <c r="D570" s="135">
        <v>7.0700000000000101</v>
      </c>
    </row>
    <row r="571" spans="4:4" x14ac:dyDescent="0.2">
      <c r="D571" s="135">
        <v>7.0800000000000098</v>
      </c>
    </row>
    <row r="572" spans="4:4" x14ac:dyDescent="0.2">
      <c r="D572" s="135">
        <v>7.0900000000000096</v>
      </c>
    </row>
    <row r="573" spans="4:4" x14ac:dyDescent="0.2">
      <c r="D573" s="135">
        <v>7.1</v>
      </c>
    </row>
    <row r="574" spans="4:4" x14ac:dyDescent="0.2">
      <c r="D574" s="135">
        <v>7.11</v>
      </c>
    </row>
    <row r="575" spans="4:4" x14ac:dyDescent="0.2">
      <c r="D575" s="135">
        <v>7.1200000000000099</v>
      </c>
    </row>
    <row r="576" spans="4:4" x14ac:dyDescent="0.2">
      <c r="D576" s="135">
        <v>7.1300000000000097</v>
      </c>
    </row>
    <row r="577" spans="4:4" x14ac:dyDescent="0.2">
      <c r="D577" s="135">
        <v>7.14</v>
      </c>
    </row>
    <row r="578" spans="4:4" x14ac:dyDescent="0.2">
      <c r="D578" s="135">
        <v>7.1500000000000101</v>
      </c>
    </row>
    <row r="579" spans="4:4" x14ac:dyDescent="0.2">
      <c r="D579" s="135">
        <v>7.1600000000000099</v>
      </c>
    </row>
    <row r="580" spans="4:4" x14ac:dyDescent="0.2">
      <c r="D580" s="135">
        <v>7.1700000000000097</v>
      </c>
    </row>
    <row r="581" spans="4:4" x14ac:dyDescent="0.2">
      <c r="D581" s="135">
        <v>7.18</v>
      </c>
    </row>
    <row r="582" spans="4:4" x14ac:dyDescent="0.2">
      <c r="D582" s="135">
        <v>7.19</v>
      </c>
    </row>
    <row r="583" spans="4:4" x14ac:dyDescent="0.2">
      <c r="D583" s="135">
        <v>7.2000000000000099</v>
      </c>
    </row>
    <row r="584" spans="4:4" x14ac:dyDescent="0.2">
      <c r="D584" s="135">
        <v>7.2100000000000097</v>
      </c>
    </row>
    <row r="585" spans="4:4" x14ac:dyDescent="0.2">
      <c r="D585" s="135">
        <v>7.22</v>
      </c>
    </row>
    <row r="586" spans="4:4" x14ac:dyDescent="0.2">
      <c r="D586" s="135">
        <v>7.2300000000000102</v>
      </c>
    </row>
    <row r="587" spans="4:4" x14ac:dyDescent="0.2">
      <c r="D587" s="135">
        <v>7.24000000000001</v>
      </c>
    </row>
    <row r="588" spans="4:4" x14ac:dyDescent="0.2">
      <c r="D588" s="135">
        <v>7.2500000000000098</v>
      </c>
    </row>
    <row r="589" spans="4:4" x14ac:dyDescent="0.2">
      <c r="D589" s="135">
        <v>7.26</v>
      </c>
    </row>
    <row r="590" spans="4:4" x14ac:dyDescent="0.2">
      <c r="D590" s="135">
        <v>7.27</v>
      </c>
    </row>
    <row r="591" spans="4:4" x14ac:dyDescent="0.2">
      <c r="D591" s="135">
        <v>7.28000000000001</v>
      </c>
    </row>
    <row r="592" spans="4:4" x14ac:dyDescent="0.2">
      <c r="D592" s="135">
        <v>7.2900000000000098</v>
      </c>
    </row>
    <row r="593" spans="4:4" x14ac:dyDescent="0.2">
      <c r="D593" s="135">
        <v>7.3000000000000096</v>
      </c>
    </row>
    <row r="594" spans="4:4" x14ac:dyDescent="0.2">
      <c r="D594" s="135">
        <v>7.3100000000000103</v>
      </c>
    </row>
    <row r="595" spans="4:4" x14ac:dyDescent="0.2">
      <c r="D595" s="135">
        <v>7.3200000000000101</v>
      </c>
    </row>
    <row r="596" spans="4:4" x14ac:dyDescent="0.2">
      <c r="D596" s="135">
        <v>7.3300000000000098</v>
      </c>
    </row>
    <row r="597" spans="4:4" x14ac:dyDescent="0.2">
      <c r="D597" s="135">
        <v>7.3400000000000096</v>
      </c>
    </row>
    <row r="598" spans="4:4" x14ac:dyDescent="0.2">
      <c r="D598" s="135">
        <v>7.35</v>
      </c>
    </row>
    <row r="599" spans="4:4" x14ac:dyDescent="0.2">
      <c r="D599" s="135">
        <v>7.3600000000000101</v>
      </c>
    </row>
    <row r="600" spans="4:4" x14ac:dyDescent="0.2">
      <c r="D600" s="135">
        <v>7.3700000000000099</v>
      </c>
    </row>
    <row r="601" spans="4:4" x14ac:dyDescent="0.2">
      <c r="D601" s="135">
        <v>7.3800000000000097</v>
      </c>
    </row>
    <row r="602" spans="4:4" x14ac:dyDescent="0.2">
      <c r="D602" s="135">
        <v>7.3900000000000103</v>
      </c>
    </row>
    <row r="603" spans="4:4" x14ac:dyDescent="0.2">
      <c r="D603" s="135">
        <v>7.4000000000000101</v>
      </c>
    </row>
    <row r="604" spans="4:4" x14ac:dyDescent="0.2">
      <c r="D604" s="135">
        <v>7.4100000000000099</v>
      </c>
    </row>
    <row r="605" spans="4:4" x14ac:dyDescent="0.2">
      <c r="D605" s="135">
        <v>7.4200000000000097</v>
      </c>
    </row>
    <row r="606" spans="4:4" x14ac:dyDescent="0.2">
      <c r="D606" s="135">
        <v>7.43</v>
      </c>
    </row>
    <row r="607" spans="4:4" x14ac:dyDescent="0.2">
      <c r="D607" s="135">
        <v>7.4400000000000102</v>
      </c>
    </row>
    <row r="608" spans="4:4" x14ac:dyDescent="0.2">
      <c r="D608" s="135">
        <v>7.4500000000000099</v>
      </c>
    </row>
    <row r="609" spans="4:4" x14ac:dyDescent="0.2">
      <c r="D609" s="135">
        <v>7.4600000000000097</v>
      </c>
    </row>
    <row r="610" spans="4:4" x14ac:dyDescent="0.2">
      <c r="D610" s="135">
        <v>7.4700000000000104</v>
      </c>
    </row>
    <row r="611" spans="4:4" x14ac:dyDescent="0.2">
      <c r="D611" s="135">
        <v>7.4800000000000102</v>
      </c>
    </row>
    <row r="612" spans="4:4" x14ac:dyDescent="0.2">
      <c r="D612" s="135">
        <v>7.49000000000001</v>
      </c>
    </row>
    <row r="613" spans="4:4" x14ac:dyDescent="0.2">
      <c r="D613" s="135">
        <v>7.5000000000000098</v>
      </c>
    </row>
    <row r="614" spans="4:4" x14ac:dyDescent="0.2">
      <c r="D614" s="135">
        <v>7.51</v>
      </c>
    </row>
    <row r="615" spans="4:4" x14ac:dyDescent="0.2">
      <c r="D615" s="135">
        <v>7.5200000000000102</v>
      </c>
    </row>
    <row r="616" spans="4:4" x14ac:dyDescent="0.2">
      <c r="D616" s="135">
        <v>7.53000000000001</v>
      </c>
    </row>
    <row r="617" spans="4:4" x14ac:dyDescent="0.2">
      <c r="D617" s="135">
        <v>7.5400000000000098</v>
      </c>
    </row>
    <row r="618" spans="4:4" x14ac:dyDescent="0.2">
      <c r="D618" s="135">
        <v>7.5500000000000096</v>
      </c>
    </row>
    <row r="619" spans="4:4" x14ac:dyDescent="0.2">
      <c r="D619" s="135">
        <v>7.5600000000000103</v>
      </c>
    </row>
    <row r="620" spans="4:4" x14ac:dyDescent="0.2">
      <c r="D620" s="135">
        <v>7.5700000000000101</v>
      </c>
    </row>
    <row r="621" spans="4:4" x14ac:dyDescent="0.2">
      <c r="D621" s="135">
        <v>7.5800000000000098</v>
      </c>
    </row>
    <row r="622" spans="4:4" x14ac:dyDescent="0.2">
      <c r="D622" s="135">
        <v>7.5900000000000096</v>
      </c>
    </row>
    <row r="623" spans="4:4" x14ac:dyDescent="0.2">
      <c r="D623" s="135">
        <v>7.6000000000000103</v>
      </c>
    </row>
    <row r="624" spans="4:4" x14ac:dyDescent="0.2">
      <c r="D624" s="135">
        <v>7.6100000000000101</v>
      </c>
    </row>
    <row r="625" spans="4:4" x14ac:dyDescent="0.2">
      <c r="D625" s="135">
        <v>7.6200000000000099</v>
      </c>
    </row>
    <row r="626" spans="4:4" x14ac:dyDescent="0.2">
      <c r="D626" s="135">
        <v>7.6300000000000097</v>
      </c>
    </row>
    <row r="627" spans="4:4" x14ac:dyDescent="0.2">
      <c r="D627" s="135">
        <v>7.6400000000000103</v>
      </c>
    </row>
    <row r="628" spans="4:4" x14ac:dyDescent="0.2">
      <c r="D628" s="135">
        <v>7.6500000000000101</v>
      </c>
    </row>
    <row r="629" spans="4:4" x14ac:dyDescent="0.2">
      <c r="D629" s="135">
        <v>7.6600000000000099</v>
      </c>
    </row>
    <row r="630" spans="4:4" x14ac:dyDescent="0.2">
      <c r="D630" s="135">
        <v>7.6700000000000097</v>
      </c>
    </row>
    <row r="631" spans="4:4" x14ac:dyDescent="0.2">
      <c r="D631" s="135">
        <v>7.6800000000000104</v>
      </c>
    </row>
    <row r="632" spans="4:4" x14ac:dyDescent="0.2">
      <c r="D632" s="135">
        <v>7.6900000000000102</v>
      </c>
    </row>
    <row r="633" spans="4:4" x14ac:dyDescent="0.2">
      <c r="D633" s="135">
        <v>7.7000000000000099</v>
      </c>
    </row>
    <row r="634" spans="4:4" x14ac:dyDescent="0.2">
      <c r="D634" s="135">
        <v>7.7100000000000097</v>
      </c>
    </row>
    <row r="635" spans="4:4" x14ac:dyDescent="0.2">
      <c r="D635" s="135">
        <v>7.7200000000000104</v>
      </c>
    </row>
    <row r="636" spans="4:4" x14ac:dyDescent="0.2">
      <c r="D636" s="135">
        <v>7.7300000000000102</v>
      </c>
    </row>
    <row r="637" spans="4:4" x14ac:dyDescent="0.2">
      <c r="D637" s="135">
        <v>7.74000000000001</v>
      </c>
    </row>
    <row r="638" spans="4:4" x14ac:dyDescent="0.2">
      <c r="D638" s="135">
        <v>7.7500000000000098</v>
      </c>
    </row>
    <row r="639" spans="4:4" x14ac:dyDescent="0.2">
      <c r="D639" s="135">
        <v>7.7600000000000096</v>
      </c>
    </row>
    <row r="640" spans="4:4" x14ac:dyDescent="0.2">
      <c r="D640" s="135">
        <v>7.7700000000000102</v>
      </c>
    </row>
    <row r="641" spans="4:4" x14ac:dyDescent="0.2">
      <c r="D641" s="135">
        <v>7.78000000000001</v>
      </c>
    </row>
    <row r="642" spans="4:4" x14ac:dyDescent="0.2">
      <c r="D642" s="135">
        <v>7.7900000000000098</v>
      </c>
    </row>
    <row r="643" spans="4:4" x14ac:dyDescent="0.2">
      <c r="D643" s="135">
        <v>7.8000000000000096</v>
      </c>
    </row>
    <row r="644" spans="4:4" x14ac:dyDescent="0.2">
      <c r="D644" s="135">
        <v>7.8100000000000103</v>
      </c>
    </row>
    <row r="645" spans="4:4" x14ac:dyDescent="0.2">
      <c r="D645" s="135">
        <v>7.8200000000000101</v>
      </c>
    </row>
    <row r="646" spans="4:4" x14ac:dyDescent="0.2">
      <c r="D646" s="135">
        <v>7.8300000000000098</v>
      </c>
    </row>
    <row r="647" spans="4:4" x14ac:dyDescent="0.2">
      <c r="D647" s="135">
        <v>7.8400000000000096</v>
      </c>
    </row>
    <row r="648" spans="4:4" x14ac:dyDescent="0.2">
      <c r="D648" s="135">
        <v>7.8500000000000103</v>
      </c>
    </row>
    <row r="649" spans="4:4" x14ac:dyDescent="0.2">
      <c r="D649" s="135">
        <v>7.8600000000000101</v>
      </c>
    </row>
    <row r="650" spans="4:4" x14ac:dyDescent="0.2">
      <c r="D650" s="135">
        <v>7.8700000000000099</v>
      </c>
    </row>
    <row r="651" spans="4:4" x14ac:dyDescent="0.2">
      <c r="D651" s="135">
        <v>7.8800000000000097</v>
      </c>
    </row>
    <row r="652" spans="4:4" x14ac:dyDescent="0.2">
      <c r="D652" s="135">
        <v>7.8900000000000103</v>
      </c>
    </row>
    <row r="653" spans="4:4" x14ac:dyDescent="0.2">
      <c r="D653" s="135">
        <v>7.9000000000000101</v>
      </c>
    </row>
    <row r="654" spans="4:4" x14ac:dyDescent="0.2">
      <c r="D654" s="135">
        <v>7.9100000000000099</v>
      </c>
    </row>
    <row r="655" spans="4:4" x14ac:dyDescent="0.2">
      <c r="D655" s="135">
        <v>7.9200000000000097</v>
      </c>
    </row>
    <row r="656" spans="4:4" x14ac:dyDescent="0.2">
      <c r="D656" s="135">
        <v>7.9300000000000104</v>
      </c>
    </row>
    <row r="657" spans="4:4" x14ac:dyDescent="0.2">
      <c r="D657" s="135">
        <v>7.9400000000000102</v>
      </c>
    </row>
    <row r="658" spans="4:4" x14ac:dyDescent="0.2">
      <c r="D658" s="135">
        <v>7.9500000000000099</v>
      </c>
    </row>
    <row r="659" spans="4:4" x14ac:dyDescent="0.2">
      <c r="D659" s="135">
        <v>7.9600000000000097</v>
      </c>
    </row>
    <row r="660" spans="4:4" x14ac:dyDescent="0.2">
      <c r="D660" s="135">
        <v>7.9700000000000104</v>
      </c>
    </row>
    <row r="661" spans="4:4" x14ac:dyDescent="0.2">
      <c r="D661" s="135">
        <v>7.9800000000000102</v>
      </c>
    </row>
    <row r="662" spans="4:4" x14ac:dyDescent="0.2">
      <c r="D662" s="135">
        <v>7.99000000000001</v>
      </c>
    </row>
    <row r="663" spans="4:4" x14ac:dyDescent="0.2">
      <c r="D663" s="135">
        <v>8.0000000000000107</v>
      </c>
    </row>
    <row r="664" spans="4:4" x14ac:dyDescent="0.2">
      <c r="D664" s="135">
        <v>8.0100000000000104</v>
      </c>
    </row>
    <row r="665" spans="4:4" x14ac:dyDescent="0.2">
      <c r="D665" s="135">
        <v>8.0200000000000102</v>
      </c>
    </row>
    <row r="666" spans="4:4" x14ac:dyDescent="0.2">
      <c r="D666" s="135">
        <v>8.03000000000001</v>
      </c>
    </row>
    <row r="667" spans="4:4" x14ac:dyDescent="0.2">
      <c r="D667" s="135">
        <v>8.0400000000000098</v>
      </c>
    </row>
    <row r="668" spans="4:4" x14ac:dyDescent="0.2">
      <c r="D668" s="135">
        <v>8.0500000000000096</v>
      </c>
    </row>
    <row r="669" spans="4:4" x14ac:dyDescent="0.2">
      <c r="D669" s="135">
        <v>8.0600000000000094</v>
      </c>
    </row>
    <row r="670" spans="4:4" x14ac:dyDescent="0.2">
      <c r="D670" s="135">
        <v>8.0700000000000092</v>
      </c>
    </row>
    <row r="671" spans="4:4" x14ac:dyDescent="0.2">
      <c r="D671" s="135">
        <v>8.0800000000000107</v>
      </c>
    </row>
    <row r="672" spans="4:4" x14ac:dyDescent="0.2">
      <c r="D672" s="135">
        <v>8.0900000000000105</v>
      </c>
    </row>
    <row r="673" spans="4:4" x14ac:dyDescent="0.2">
      <c r="D673" s="135">
        <v>8.1000000000000103</v>
      </c>
    </row>
    <row r="674" spans="4:4" x14ac:dyDescent="0.2">
      <c r="D674" s="135">
        <v>8.1100000000000101</v>
      </c>
    </row>
    <row r="675" spans="4:4" x14ac:dyDescent="0.2">
      <c r="D675" s="135">
        <v>8.1200000000000099</v>
      </c>
    </row>
    <row r="676" spans="4:4" x14ac:dyDescent="0.2">
      <c r="D676" s="135">
        <v>8.1300000000000097</v>
      </c>
    </row>
    <row r="677" spans="4:4" x14ac:dyDescent="0.2">
      <c r="D677" s="135">
        <v>8.1400000000000095</v>
      </c>
    </row>
    <row r="678" spans="4:4" x14ac:dyDescent="0.2">
      <c r="D678" s="135">
        <v>8.1500000000000092</v>
      </c>
    </row>
    <row r="679" spans="4:4" x14ac:dyDescent="0.2">
      <c r="D679" s="135">
        <v>8.1600000000000108</v>
      </c>
    </row>
    <row r="680" spans="4:4" x14ac:dyDescent="0.2">
      <c r="D680" s="135">
        <v>8.1700000000000106</v>
      </c>
    </row>
    <row r="681" spans="4:4" x14ac:dyDescent="0.2">
      <c r="D681" s="135">
        <v>8.1800000000000104</v>
      </c>
    </row>
    <row r="682" spans="4:4" x14ac:dyDescent="0.2">
      <c r="D682" s="135">
        <v>8.1900000000000102</v>
      </c>
    </row>
    <row r="683" spans="4:4" x14ac:dyDescent="0.2">
      <c r="D683" s="135">
        <v>8.2000000000000099</v>
      </c>
    </row>
    <row r="684" spans="4:4" x14ac:dyDescent="0.2">
      <c r="D684" s="135">
        <v>8.2100000000000097</v>
      </c>
    </row>
    <row r="685" spans="4:4" x14ac:dyDescent="0.2">
      <c r="D685" s="135">
        <v>8.2200000000000095</v>
      </c>
    </row>
    <row r="686" spans="4:4" x14ac:dyDescent="0.2">
      <c r="D686" s="135">
        <v>8.2300000000000093</v>
      </c>
    </row>
    <row r="687" spans="4:4" x14ac:dyDescent="0.2">
      <c r="D687" s="135">
        <v>8.2400000000000109</v>
      </c>
    </row>
    <row r="688" spans="4:4" x14ac:dyDescent="0.2">
      <c r="D688" s="135">
        <v>8.2500000000000107</v>
      </c>
    </row>
    <row r="689" spans="4:4" x14ac:dyDescent="0.2">
      <c r="D689" s="135">
        <v>8.2600000000000104</v>
      </c>
    </row>
    <row r="690" spans="4:4" x14ac:dyDescent="0.2">
      <c r="D690" s="135">
        <v>8.2700000000000102</v>
      </c>
    </row>
    <row r="691" spans="4:4" x14ac:dyDescent="0.2">
      <c r="D691" s="135">
        <v>8.28000000000001</v>
      </c>
    </row>
    <row r="692" spans="4:4" x14ac:dyDescent="0.2">
      <c r="D692" s="135">
        <v>8.2900000000000098</v>
      </c>
    </row>
    <row r="693" spans="4:4" x14ac:dyDescent="0.2">
      <c r="D693" s="135">
        <v>8.3000000000000096</v>
      </c>
    </row>
    <row r="694" spans="4:4" x14ac:dyDescent="0.2">
      <c r="D694" s="135">
        <v>8.3100000000000094</v>
      </c>
    </row>
    <row r="695" spans="4:4" x14ac:dyDescent="0.2">
      <c r="D695" s="135">
        <v>8.3200000000000092</v>
      </c>
    </row>
    <row r="696" spans="4:4" x14ac:dyDescent="0.2">
      <c r="D696" s="135">
        <v>8.3300000000000107</v>
      </c>
    </row>
    <row r="697" spans="4:4" x14ac:dyDescent="0.2">
      <c r="D697" s="135">
        <v>8.3400000000000105</v>
      </c>
    </row>
    <row r="698" spans="4:4" x14ac:dyDescent="0.2">
      <c r="D698" s="135">
        <v>8.3500000000000103</v>
      </c>
    </row>
    <row r="699" spans="4:4" x14ac:dyDescent="0.2">
      <c r="D699" s="135">
        <v>8.3600000000000101</v>
      </c>
    </row>
    <row r="700" spans="4:4" x14ac:dyDescent="0.2">
      <c r="D700" s="135">
        <v>8.3700000000000099</v>
      </c>
    </row>
    <row r="701" spans="4:4" x14ac:dyDescent="0.2">
      <c r="D701" s="135">
        <v>8.3800000000000097</v>
      </c>
    </row>
    <row r="702" spans="4:4" x14ac:dyDescent="0.2">
      <c r="D702" s="135">
        <v>8.3900000000000095</v>
      </c>
    </row>
    <row r="703" spans="4:4" x14ac:dyDescent="0.2">
      <c r="D703" s="135">
        <v>8.4000000000000092</v>
      </c>
    </row>
    <row r="704" spans="4:4" x14ac:dyDescent="0.2">
      <c r="D704" s="135">
        <v>8.4100000000000108</v>
      </c>
    </row>
    <row r="705" spans="4:4" x14ac:dyDescent="0.2">
      <c r="D705" s="135">
        <v>8.4200000000000106</v>
      </c>
    </row>
    <row r="706" spans="4:4" x14ac:dyDescent="0.2">
      <c r="D706" s="135">
        <v>8.4300000000000104</v>
      </c>
    </row>
    <row r="707" spans="4:4" x14ac:dyDescent="0.2">
      <c r="D707" s="135">
        <v>8.4400000000000102</v>
      </c>
    </row>
    <row r="708" spans="4:4" x14ac:dyDescent="0.2">
      <c r="D708" s="135">
        <v>8.4500000000000099</v>
      </c>
    </row>
    <row r="709" spans="4:4" x14ac:dyDescent="0.2">
      <c r="D709" s="135">
        <v>8.4600000000000097</v>
      </c>
    </row>
    <row r="710" spans="4:4" x14ac:dyDescent="0.2">
      <c r="D710" s="135">
        <v>8.4700000000000095</v>
      </c>
    </row>
    <row r="711" spans="4:4" x14ac:dyDescent="0.2">
      <c r="D711" s="135">
        <v>8.4800000000000093</v>
      </c>
    </row>
    <row r="712" spans="4:4" x14ac:dyDescent="0.2">
      <c r="D712" s="135">
        <v>8.4900000000000109</v>
      </c>
    </row>
    <row r="713" spans="4:4" x14ac:dyDescent="0.2">
      <c r="D713" s="135">
        <v>8.5000000000000107</v>
      </c>
    </row>
    <row r="714" spans="4:4" x14ac:dyDescent="0.2">
      <c r="D714" s="135">
        <v>8.5100000000000104</v>
      </c>
    </row>
    <row r="715" spans="4:4" x14ac:dyDescent="0.2">
      <c r="D715" s="135">
        <v>8.5200000000000102</v>
      </c>
    </row>
    <row r="716" spans="4:4" x14ac:dyDescent="0.2">
      <c r="D716" s="135">
        <v>8.53000000000001</v>
      </c>
    </row>
    <row r="717" spans="4:4" x14ac:dyDescent="0.2">
      <c r="D717" s="135">
        <v>8.5400000000000098</v>
      </c>
    </row>
    <row r="718" spans="4:4" x14ac:dyDescent="0.2">
      <c r="D718" s="135">
        <v>8.5500000000000096</v>
      </c>
    </row>
    <row r="719" spans="4:4" x14ac:dyDescent="0.2">
      <c r="D719" s="135">
        <v>8.5600000000000094</v>
      </c>
    </row>
    <row r="720" spans="4:4" x14ac:dyDescent="0.2">
      <c r="D720" s="135">
        <v>8.5700000000000092</v>
      </c>
    </row>
    <row r="721" spans="4:4" x14ac:dyDescent="0.2">
      <c r="D721" s="135">
        <v>8.5800000000000107</v>
      </c>
    </row>
    <row r="722" spans="4:4" x14ac:dyDescent="0.2">
      <c r="D722" s="135">
        <v>8.5900000000000105</v>
      </c>
    </row>
    <row r="723" spans="4:4" x14ac:dyDescent="0.2">
      <c r="D723" s="135">
        <v>8.6000000000000103</v>
      </c>
    </row>
    <row r="724" spans="4:4" x14ac:dyDescent="0.2">
      <c r="D724" s="135">
        <v>8.6100000000000101</v>
      </c>
    </row>
    <row r="725" spans="4:4" x14ac:dyDescent="0.2">
      <c r="D725" s="135">
        <v>8.6200000000000099</v>
      </c>
    </row>
    <row r="726" spans="4:4" x14ac:dyDescent="0.2">
      <c r="D726" s="135">
        <v>8.6300000000000097</v>
      </c>
    </row>
    <row r="727" spans="4:4" x14ac:dyDescent="0.2">
      <c r="D727" s="135">
        <v>8.6400000000000095</v>
      </c>
    </row>
    <row r="728" spans="4:4" x14ac:dyDescent="0.2">
      <c r="D728" s="135">
        <v>8.6500000000000092</v>
      </c>
    </row>
    <row r="729" spans="4:4" x14ac:dyDescent="0.2">
      <c r="D729" s="135">
        <v>8.6600000000000108</v>
      </c>
    </row>
    <row r="730" spans="4:4" x14ac:dyDescent="0.2">
      <c r="D730" s="135">
        <v>8.6700000000000106</v>
      </c>
    </row>
    <row r="731" spans="4:4" x14ac:dyDescent="0.2">
      <c r="D731" s="135">
        <v>8.6800000000000104</v>
      </c>
    </row>
    <row r="732" spans="4:4" x14ac:dyDescent="0.2">
      <c r="D732" s="135">
        <v>8.6900000000000102</v>
      </c>
    </row>
    <row r="733" spans="4:4" x14ac:dyDescent="0.2">
      <c r="D733" s="135">
        <v>8.7000000000000099</v>
      </c>
    </row>
    <row r="734" spans="4:4" x14ac:dyDescent="0.2">
      <c r="D734" s="135">
        <v>8.7100000000000097</v>
      </c>
    </row>
    <row r="735" spans="4:4" x14ac:dyDescent="0.2">
      <c r="D735" s="135">
        <v>8.7200000000000095</v>
      </c>
    </row>
    <row r="736" spans="4:4" x14ac:dyDescent="0.2">
      <c r="D736" s="135">
        <v>8.7300000000000093</v>
      </c>
    </row>
    <row r="737" spans="4:4" x14ac:dyDescent="0.2">
      <c r="D737" s="135">
        <v>8.7400000000000109</v>
      </c>
    </row>
    <row r="738" spans="4:4" x14ac:dyDescent="0.2">
      <c r="D738" s="135">
        <v>8.7500000000000107</v>
      </c>
    </row>
    <row r="739" spans="4:4" x14ac:dyDescent="0.2">
      <c r="D739" s="135">
        <v>8.7600000000000104</v>
      </c>
    </row>
    <row r="740" spans="4:4" x14ac:dyDescent="0.2">
      <c r="D740" s="135">
        <v>8.7700000000000102</v>
      </c>
    </row>
    <row r="741" spans="4:4" x14ac:dyDescent="0.2">
      <c r="D741" s="135">
        <v>8.78000000000001</v>
      </c>
    </row>
    <row r="742" spans="4:4" x14ac:dyDescent="0.2">
      <c r="D742" s="135">
        <v>8.7900000000000098</v>
      </c>
    </row>
    <row r="743" spans="4:4" x14ac:dyDescent="0.2">
      <c r="D743" s="135">
        <v>8.8000000000000096</v>
      </c>
    </row>
    <row r="744" spans="4:4" x14ac:dyDescent="0.2">
      <c r="D744" s="135">
        <v>8.8100000000000094</v>
      </c>
    </row>
    <row r="745" spans="4:4" x14ac:dyDescent="0.2">
      <c r="D745" s="135">
        <v>8.8200000000000092</v>
      </c>
    </row>
    <row r="746" spans="4:4" x14ac:dyDescent="0.2">
      <c r="D746" s="135">
        <v>8.8300000000000107</v>
      </c>
    </row>
    <row r="747" spans="4:4" x14ac:dyDescent="0.2">
      <c r="D747" s="135">
        <v>8.8400000000000105</v>
      </c>
    </row>
    <row r="748" spans="4:4" x14ac:dyDescent="0.2">
      <c r="D748" s="135">
        <v>8.8500000000000103</v>
      </c>
    </row>
    <row r="749" spans="4:4" x14ac:dyDescent="0.2">
      <c r="D749" s="135">
        <v>8.8600000000000101</v>
      </c>
    </row>
    <row r="750" spans="4:4" x14ac:dyDescent="0.2">
      <c r="D750" s="135">
        <v>8.8700000000000099</v>
      </c>
    </row>
    <row r="751" spans="4:4" x14ac:dyDescent="0.2">
      <c r="D751" s="135">
        <v>8.8800000000000097</v>
      </c>
    </row>
    <row r="752" spans="4:4" x14ac:dyDescent="0.2">
      <c r="D752" s="135">
        <v>8.8900000000000095</v>
      </c>
    </row>
    <row r="753" spans="4:4" x14ac:dyDescent="0.2">
      <c r="D753" s="135">
        <v>8.9000000000000092</v>
      </c>
    </row>
    <row r="754" spans="4:4" x14ac:dyDescent="0.2">
      <c r="D754" s="135">
        <v>8.9100000000000108</v>
      </c>
    </row>
    <row r="755" spans="4:4" x14ac:dyDescent="0.2">
      <c r="D755" s="135">
        <v>8.9200000000000106</v>
      </c>
    </row>
    <row r="756" spans="4:4" x14ac:dyDescent="0.2">
      <c r="D756" s="135">
        <v>8.9300000000000104</v>
      </c>
    </row>
    <row r="757" spans="4:4" x14ac:dyDescent="0.2">
      <c r="D757" s="135">
        <v>8.9400000000000102</v>
      </c>
    </row>
    <row r="758" spans="4:4" x14ac:dyDescent="0.2">
      <c r="D758" s="135">
        <v>8.9500000000000099</v>
      </c>
    </row>
    <row r="759" spans="4:4" x14ac:dyDescent="0.2">
      <c r="D759" s="135">
        <v>8.9600000000000097</v>
      </c>
    </row>
    <row r="760" spans="4:4" x14ac:dyDescent="0.2">
      <c r="D760" s="135">
        <v>8.9700000000000095</v>
      </c>
    </row>
    <row r="761" spans="4:4" x14ac:dyDescent="0.2">
      <c r="D761" s="135">
        <v>8.9800000000000093</v>
      </c>
    </row>
    <row r="762" spans="4:4" x14ac:dyDescent="0.2">
      <c r="D762" s="135">
        <v>8.9900000000000109</v>
      </c>
    </row>
    <row r="763" spans="4:4" x14ac:dyDescent="0.2">
      <c r="D763" s="135">
        <v>9.0000000000000107</v>
      </c>
    </row>
    <row r="764" spans="4:4" x14ac:dyDescent="0.2">
      <c r="D764" s="135">
        <v>9.0100000000000104</v>
      </c>
    </row>
    <row r="765" spans="4:4" x14ac:dyDescent="0.2">
      <c r="D765" s="135">
        <v>9.0200000000000102</v>
      </c>
    </row>
    <row r="766" spans="4:4" x14ac:dyDescent="0.2">
      <c r="D766" s="135">
        <v>9.03000000000001</v>
      </c>
    </row>
    <row r="767" spans="4:4" x14ac:dyDescent="0.2">
      <c r="D767" s="135">
        <v>9.0400000000000098</v>
      </c>
    </row>
    <row r="768" spans="4:4" x14ac:dyDescent="0.2">
      <c r="D768" s="135">
        <v>9.0500000000000096</v>
      </c>
    </row>
    <row r="769" spans="4:4" x14ac:dyDescent="0.2">
      <c r="D769" s="135">
        <v>9.0600000000000094</v>
      </c>
    </row>
    <row r="770" spans="4:4" x14ac:dyDescent="0.2">
      <c r="D770" s="135">
        <v>9.0700000000000092</v>
      </c>
    </row>
    <row r="771" spans="4:4" x14ac:dyDescent="0.2">
      <c r="D771" s="135">
        <v>9.0800000000000107</v>
      </c>
    </row>
    <row r="772" spans="4:4" x14ac:dyDescent="0.2">
      <c r="D772" s="135">
        <v>9.0900000000000105</v>
      </c>
    </row>
    <row r="773" spans="4:4" x14ac:dyDescent="0.2">
      <c r="D773" s="135">
        <v>9.1000000000000103</v>
      </c>
    </row>
    <row r="774" spans="4:4" x14ac:dyDescent="0.2">
      <c r="D774" s="135">
        <v>9.1100000000000101</v>
      </c>
    </row>
    <row r="775" spans="4:4" x14ac:dyDescent="0.2">
      <c r="D775" s="135">
        <v>9.1200000000000099</v>
      </c>
    </row>
    <row r="776" spans="4:4" x14ac:dyDescent="0.2">
      <c r="D776" s="135">
        <v>9.1300000000000097</v>
      </c>
    </row>
    <row r="777" spans="4:4" x14ac:dyDescent="0.2">
      <c r="D777" s="135">
        <v>9.1400000000000095</v>
      </c>
    </row>
    <row r="778" spans="4:4" x14ac:dyDescent="0.2">
      <c r="D778" s="135">
        <v>9.1500000000000092</v>
      </c>
    </row>
    <row r="779" spans="4:4" x14ac:dyDescent="0.2">
      <c r="D779" s="135">
        <v>9.1600000000000108</v>
      </c>
    </row>
    <row r="780" spans="4:4" x14ac:dyDescent="0.2">
      <c r="D780" s="135">
        <v>9.1700000000000106</v>
      </c>
    </row>
    <row r="781" spans="4:4" x14ac:dyDescent="0.2">
      <c r="D781" s="135">
        <v>9.1800000000000104</v>
      </c>
    </row>
    <row r="782" spans="4:4" x14ac:dyDescent="0.2">
      <c r="D782" s="135">
        <v>9.1900000000000102</v>
      </c>
    </row>
    <row r="783" spans="4:4" x14ac:dyDescent="0.2">
      <c r="D783" s="135">
        <v>9.2000000000000099</v>
      </c>
    </row>
    <row r="784" spans="4:4" x14ac:dyDescent="0.2">
      <c r="D784" s="135">
        <v>9.2100000000000097</v>
      </c>
    </row>
    <row r="785" spans="4:4" x14ac:dyDescent="0.2">
      <c r="D785" s="135">
        <v>9.2200000000000095</v>
      </c>
    </row>
    <row r="786" spans="4:4" x14ac:dyDescent="0.2">
      <c r="D786" s="135">
        <v>9.2300000000000093</v>
      </c>
    </row>
    <row r="787" spans="4:4" x14ac:dyDescent="0.2">
      <c r="D787" s="135">
        <v>9.2400000000000109</v>
      </c>
    </row>
    <row r="788" spans="4:4" x14ac:dyDescent="0.2">
      <c r="D788" s="135">
        <v>9.2500000000000107</v>
      </c>
    </row>
    <row r="789" spans="4:4" x14ac:dyDescent="0.2">
      <c r="D789" s="135">
        <v>9.2600000000000104</v>
      </c>
    </row>
    <row r="790" spans="4:4" x14ac:dyDescent="0.2">
      <c r="D790" s="135">
        <v>9.2700000000000102</v>
      </c>
    </row>
    <row r="791" spans="4:4" x14ac:dyDescent="0.2">
      <c r="D791" s="135">
        <v>9.28000000000001</v>
      </c>
    </row>
    <row r="792" spans="4:4" x14ac:dyDescent="0.2">
      <c r="D792" s="135">
        <v>9.2900000000000098</v>
      </c>
    </row>
    <row r="793" spans="4:4" x14ac:dyDescent="0.2">
      <c r="D793" s="135">
        <v>9.3000000000000096</v>
      </c>
    </row>
    <row r="794" spans="4:4" x14ac:dyDescent="0.2">
      <c r="D794" s="135">
        <v>9.3100000000000094</v>
      </c>
    </row>
    <row r="795" spans="4:4" x14ac:dyDescent="0.2">
      <c r="D795" s="135">
        <v>9.3200000000000092</v>
      </c>
    </row>
    <row r="796" spans="4:4" x14ac:dyDescent="0.2">
      <c r="D796" s="135">
        <v>9.3300000000000107</v>
      </c>
    </row>
    <row r="797" spans="4:4" x14ac:dyDescent="0.2">
      <c r="D797" s="135">
        <v>9.3400000000000105</v>
      </c>
    </row>
    <row r="798" spans="4:4" x14ac:dyDescent="0.2">
      <c r="D798" s="135">
        <v>9.3500000000000103</v>
      </c>
    </row>
    <row r="799" spans="4:4" x14ac:dyDescent="0.2">
      <c r="D799" s="135">
        <v>9.3600000000000101</v>
      </c>
    </row>
    <row r="800" spans="4:4" x14ac:dyDescent="0.2">
      <c r="D800" s="135">
        <v>9.3700000000000099</v>
      </c>
    </row>
    <row r="801" spans="4:4" x14ac:dyDescent="0.2">
      <c r="D801" s="135">
        <v>9.3800000000000097</v>
      </c>
    </row>
    <row r="802" spans="4:4" x14ac:dyDescent="0.2">
      <c r="D802" s="135">
        <v>9.3900000000000095</v>
      </c>
    </row>
    <row r="803" spans="4:4" x14ac:dyDescent="0.2">
      <c r="D803" s="135">
        <v>9.4000000000000092</v>
      </c>
    </row>
    <row r="804" spans="4:4" x14ac:dyDescent="0.2">
      <c r="D804" s="135">
        <v>9.4100000000000108</v>
      </c>
    </row>
    <row r="805" spans="4:4" x14ac:dyDescent="0.2">
      <c r="D805" s="135">
        <v>9.4200000000000106</v>
      </c>
    </row>
    <row r="806" spans="4:4" x14ac:dyDescent="0.2">
      <c r="D806" s="135">
        <v>9.4300000000000104</v>
      </c>
    </row>
    <row r="807" spans="4:4" x14ac:dyDescent="0.2">
      <c r="D807" s="135">
        <v>9.4400000000000102</v>
      </c>
    </row>
    <row r="808" spans="4:4" x14ac:dyDescent="0.2">
      <c r="D808" s="135">
        <v>9.4500000000000099</v>
      </c>
    </row>
    <row r="809" spans="4:4" x14ac:dyDescent="0.2">
      <c r="D809" s="135">
        <v>9.4600000000000097</v>
      </c>
    </row>
    <row r="810" spans="4:4" x14ac:dyDescent="0.2">
      <c r="D810" s="135">
        <v>9.4700000000000095</v>
      </c>
    </row>
    <row r="811" spans="4:4" x14ac:dyDescent="0.2">
      <c r="D811" s="135">
        <v>9.4800000000000093</v>
      </c>
    </row>
    <row r="812" spans="4:4" x14ac:dyDescent="0.2">
      <c r="D812" s="135">
        <v>9.4900000000000109</v>
      </c>
    </row>
    <row r="813" spans="4:4" x14ac:dyDescent="0.2">
      <c r="D813" s="135">
        <v>9.5000000000000107</v>
      </c>
    </row>
    <row r="814" spans="4:4" x14ac:dyDescent="0.2">
      <c r="D814" s="135">
        <v>9.5100000000000104</v>
      </c>
    </row>
    <row r="815" spans="4:4" x14ac:dyDescent="0.2">
      <c r="D815" s="135">
        <v>9.5200000000000102</v>
      </c>
    </row>
    <row r="816" spans="4:4" x14ac:dyDescent="0.2">
      <c r="D816" s="135">
        <v>9.53000000000001</v>
      </c>
    </row>
    <row r="817" spans="4:4" x14ac:dyDescent="0.2">
      <c r="D817" s="135">
        <v>9.5400000000000098</v>
      </c>
    </row>
    <row r="818" spans="4:4" x14ac:dyDescent="0.2">
      <c r="D818" s="135">
        <v>9.5500000000000096</v>
      </c>
    </row>
    <row r="819" spans="4:4" x14ac:dyDescent="0.2">
      <c r="D819" s="135">
        <v>9.5600000000000094</v>
      </c>
    </row>
    <row r="820" spans="4:4" x14ac:dyDescent="0.2">
      <c r="D820" s="135">
        <v>9.5700000000000092</v>
      </c>
    </row>
    <row r="821" spans="4:4" x14ac:dyDescent="0.2">
      <c r="D821" s="135">
        <v>9.5800000000000107</v>
      </c>
    </row>
    <row r="822" spans="4:4" x14ac:dyDescent="0.2">
      <c r="D822" s="135">
        <v>9.5900000000000105</v>
      </c>
    </row>
    <row r="823" spans="4:4" x14ac:dyDescent="0.2">
      <c r="D823" s="135">
        <v>9.6000000000000103</v>
      </c>
    </row>
    <row r="824" spans="4:4" x14ac:dyDescent="0.2">
      <c r="D824" s="135">
        <v>9.6100000000000101</v>
      </c>
    </row>
    <row r="825" spans="4:4" x14ac:dyDescent="0.2">
      <c r="D825" s="135">
        <v>9.6200000000000099</v>
      </c>
    </row>
    <row r="826" spans="4:4" x14ac:dyDescent="0.2">
      <c r="D826" s="135">
        <v>9.6300000000000097</v>
      </c>
    </row>
    <row r="827" spans="4:4" x14ac:dyDescent="0.2">
      <c r="D827" s="135">
        <v>9.6400000000000095</v>
      </c>
    </row>
    <row r="828" spans="4:4" x14ac:dyDescent="0.2">
      <c r="D828" s="135">
        <v>9.6500000000000092</v>
      </c>
    </row>
    <row r="829" spans="4:4" x14ac:dyDescent="0.2">
      <c r="D829" s="135">
        <v>9.6600000000000108</v>
      </c>
    </row>
    <row r="830" spans="4:4" x14ac:dyDescent="0.2">
      <c r="D830" s="135">
        <v>9.6700000000000106</v>
      </c>
    </row>
    <row r="831" spans="4:4" x14ac:dyDescent="0.2">
      <c r="D831" s="135">
        <v>9.6800000000000104</v>
      </c>
    </row>
    <row r="832" spans="4:4" x14ac:dyDescent="0.2">
      <c r="D832" s="135">
        <v>9.6900000000000102</v>
      </c>
    </row>
    <row r="833" spans="4:4" x14ac:dyDescent="0.2">
      <c r="D833" s="135">
        <v>9.7000000000000099</v>
      </c>
    </row>
    <row r="834" spans="4:4" x14ac:dyDescent="0.2">
      <c r="D834" s="135">
        <v>9.7100000000000097</v>
      </c>
    </row>
    <row r="835" spans="4:4" x14ac:dyDescent="0.2">
      <c r="D835" s="135">
        <v>9.7200000000000095</v>
      </c>
    </row>
    <row r="836" spans="4:4" x14ac:dyDescent="0.2">
      <c r="D836" s="135">
        <v>9.7300000000000093</v>
      </c>
    </row>
    <row r="837" spans="4:4" x14ac:dyDescent="0.2">
      <c r="D837" s="135">
        <v>9.7400000000000109</v>
      </c>
    </row>
    <row r="838" spans="4:4" x14ac:dyDescent="0.2">
      <c r="D838" s="135">
        <v>9.7500000000000107</v>
      </c>
    </row>
    <row r="839" spans="4:4" x14ac:dyDescent="0.2">
      <c r="D839" s="135">
        <v>9.7600000000000104</v>
      </c>
    </row>
    <row r="840" spans="4:4" x14ac:dyDescent="0.2">
      <c r="D840" s="135">
        <v>9.7700000000000102</v>
      </c>
    </row>
    <row r="841" spans="4:4" x14ac:dyDescent="0.2">
      <c r="D841" s="135">
        <v>9.78000000000001</v>
      </c>
    </row>
    <row r="842" spans="4:4" x14ac:dyDescent="0.2">
      <c r="D842" s="135">
        <v>9.7900000000000098</v>
      </c>
    </row>
    <row r="843" spans="4:4" x14ac:dyDescent="0.2">
      <c r="D843" s="135">
        <v>9.8000000000000096</v>
      </c>
    </row>
    <row r="844" spans="4:4" x14ac:dyDescent="0.2">
      <c r="D844" s="135">
        <v>9.8100000000000094</v>
      </c>
    </row>
    <row r="845" spans="4:4" x14ac:dyDescent="0.2">
      <c r="D845" s="135">
        <v>9.8200000000000092</v>
      </c>
    </row>
    <row r="846" spans="4:4" x14ac:dyDescent="0.2">
      <c r="D846" s="135">
        <v>9.8300000000000107</v>
      </c>
    </row>
    <row r="847" spans="4:4" x14ac:dyDescent="0.2">
      <c r="D847" s="135">
        <v>9.8400000000000105</v>
      </c>
    </row>
    <row r="848" spans="4:4" x14ac:dyDescent="0.2">
      <c r="D848" s="135">
        <v>9.8500000000000103</v>
      </c>
    </row>
    <row r="849" spans="4:4" x14ac:dyDescent="0.2">
      <c r="D849" s="135">
        <v>9.8600000000000101</v>
      </c>
    </row>
    <row r="850" spans="4:4" x14ac:dyDescent="0.2">
      <c r="D850" s="135">
        <v>9.8700000000000099</v>
      </c>
    </row>
    <row r="851" spans="4:4" x14ac:dyDescent="0.2">
      <c r="D851" s="135">
        <v>9.8800000000000097</v>
      </c>
    </row>
    <row r="852" spans="4:4" x14ac:dyDescent="0.2">
      <c r="D852" s="135">
        <v>9.8900000000000095</v>
      </c>
    </row>
    <row r="853" spans="4:4" x14ac:dyDescent="0.2">
      <c r="D853" s="135">
        <v>9.9000000000000092</v>
      </c>
    </row>
    <row r="854" spans="4:4" x14ac:dyDescent="0.2">
      <c r="D854" s="135">
        <v>9.9100000000000108</v>
      </c>
    </row>
    <row r="855" spans="4:4" x14ac:dyDescent="0.2">
      <c r="D855" s="135">
        <v>9.9200000000000106</v>
      </c>
    </row>
    <row r="856" spans="4:4" x14ac:dyDescent="0.2">
      <c r="D856" s="135">
        <v>9.9300000000000104</v>
      </c>
    </row>
    <row r="857" spans="4:4" x14ac:dyDescent="0.2">
      <c r="D857" s="135">
        <v>9.9400000000000102</v>
      </c>
    </row>
    <row r="858" spans="4:4" x14ac:dyDescent="0.2">
      <c r="D858" s="135">
        <v>9.9500000000000099</v>
      </c>
    </row>
    <row r="859" spans="4:4" x14ac:dyDescent="0.2">
      <c r="D859" s="135">
        <v>9.9600000000000097</v>
      </c>
    </row>
    <row r="860" spans="4:4" x14ac:dyDescent="0.2">
      <c r="D860" s="135">
        <v>9.9700000000000095</v>
      </c>
    </row>
    <row r="861" spans="4:4" x14ac:dyDescent="0.2">
      <c r="D861" s="135">
        <v>9.9800000000000093</v>
      </c>
    </row>
    <row r="862" spans="4:4" x14ac:dyDescent="0.2">
      <c r="D862" s="135">
        <v>9.9900000000000109</v>
      </c>
    </row>
    <row r="863" spans="4:4" x14ac:dyDescent="0.2">
      <c r="D863" s="135">
        <v>10</v>
      </c>
    </row>
    <row r="864" spans="4:4" x14ac:dyDescent="0.2">
      <c r="D864" s="135">
        <v>10.01</v>
      </c>
    </row>
    <row r="865" spans="4:4" x14ac:dyDescent="0.2">
      <c r="D865" s="135">
        <v>10.02</v>
      </c>
    </row>
    <row r="866" spans="4:4" x14ac:dyDescent="0.2">
      <c r="D866" s="135">
        <v>10.029999999999999</v>
      </c>
    </row>
    <row r="867" spans="4:4" x14ac:dyDescent="0.2">
      <c r="D867" s="135">
        <v>10.039999999999999</v>
      </c>
    </row>
    <row r="868" spans="4:4" x14ac:dyDescent="0.2">
      <c r="D868" s="135">
        <v>10.050000000000001</v>
      </c>
    </row>
    <row r="869" spans="4:4" x14ac:dyDescent="0.2">
      <c r="D869" s="135">
        <v>10.06</v>
      </c>
    </row>
    <row r="870" spans="4:4" x14ac:dyDescent="0.2">
      <c r="D870" s="135">
        <v>10.07</v>
      </c>
    </row>
    <row r="871" spans="4:4" x14ac:dyDescent="0.2">
      <c r="D871" s="135">
        <v>10.08</v>
      </c>
    </row>
    <row r="872" spans="4:4" x14ac:dyDescent="0.2">
      <c r="D872" s="135">
        <v>10.09</v>
      </c>
    </row>
    <row r="873" spans="4:4" x14ac:dyDescent="0.2">
      <c r="D873" s="135">
        <v>10.1</v>
      </c>
    </row>
    <row r="874" spans="4:4" x14ac:dyDescent="0.2">
      <c r="D874" s="135">
        <v>10.11</v>
      </c>
    </row>
    <row r="875" spans="4:4" x14ac:dyDescent="0.2">
      <c r="D875" s="135">
        <v>10.119999999999999</v>
      </c>
    </row>
    <row r="876" spans="4:4" x14ac:dyDescent="0.2">
      <c r="D876" s="135">
        <v>10.130000000000001</v>
      </c>
    </row>
    <row r="877" spans="4:4" x14ac:dyDescent="0.2">
      <c r="D877" s="135">
        <v>10.14</v>
      </c>
    </row>
    <row r="878" spans="4:4" x14ac:dyDescent="0.2">
      <c r="D878" s="135">
        <v>10.15</v>
      </c>
    </row>
    <row r="879" spans="4:4" x14ac:dyDescent="0.2">
      <c r="D879" s="135">
        <v>10.16</v>
      </c>
    </row>
    <row r="880" spans="4:4" x14ac:dyDescent="0.2">
      <c r="D880" s="135">
        <v>10.17</v>
      </c>
    </row>
    <row r="881" spans="4:4" x14ac:dyDescent="0.2">
      <c r="D881" s="135">
        <v>10.18</v>
      </c>
    </row>
    <row r="882" spans="4:4" x14ac:dyDescent="0.2">
      <c r="D882" s="135">
        <v>10.19</v>
      </c>
    </row>
    <row r="883" spans="4:4" x14ac:dyDescent="0.2">
      <c r="D883" s="135">
        <v>10.199999999999999</v>
      </c>
    </row>
    <row r="884" spans="4:4" x14ac:dyDescent="0.2">
      <c r="D884" s="135">
        <v>10.210000000000001</v>
      </c>
    </row>
    <row r="885" spans="4:4" x14ac:dyDescent="0.2">
      <c r="D885" s="135">
        <v>10.220000000000001</v>
      </c>
    </row>
    <row r="886" spans="4:4" x14ac:dyDescent="0.2">
      <c r="D886" s="135">
        <v>10.23</v>
      </c>
    </row>
    <row r="887" spans="4:4" x14ac:dyDescent="0.2">
      <c r="D887" s="135">
        <v>10.24</v>
      </c>
    </row>
    <row r="888" spans="4:4" x14ac:dyDescent="0.2">
      <c r="D888" s="135">
        <v>10.25</v>
      </c>
    </row>
    <row r="889" spans="4:4" x14ac:dyDescent="0.2">
      <c r="D889" s="135">
        <v>10.26</v>
      </c>
    </row>
    <row r="890" spans="4:4" x14ac:dyDescent="0.2">
      <c r="D890" s="135">
        <v>10.27</v>
      </c>
    </row>
    <row r="891" spans="4:4" x14ac:dyDescent="0.2">
      <c r="D891" s="135">
        <v>10.28</v>
      </c>
    </row>
    <row r="892" spans="4:4" x14ac:dyDescent="0.2">
      <c r="D892" s="135">
        <v>10.29</v>
      </c>
    </row>
    <row r="893" spans="4:4" x14ac:dyDescent="0.2">
      <c r="D893" s="135">
        <v>10.3</v>
      </c>
    </row>
    <row r="894" spans="4:4" x14ac:dyDescent="0.2">
      <c r="D894" s="135">
        <v>10.31</v>
      </c>
    </row>
    <row r="895" spans="4:4" x14ac:dyDescent="0.2">
      <c r="D895" s="135">
        <v>10.32</v>
      </c>
    </row>
    <row r="896" spans="4:4" x14ac:dyDescent="0.2">
      <c r="D896" s="135">
        <v>10.33</v>
      </c>
    </row>
    <row r="897" spans="4:4" x14ac:dyDescent="0.2">
      <c r="D897" s="135">
        <v>10.34</v>
      </c>
    </row>
    <row r="898" spans="4:4" x14ac:dyDescent="0.2">
      <c r="D898" s="135">
        <v>10.35</v>
      </c>
    </row>
    <row r="899" spans="4:4" x14ac:dyDescent="0.2">
      <c r="D899" s="135">
        <v>10.36</v>
      </c>
    </row>
    <row r="900" spans="4:4" x14ac:dyDescent="0.2">
      <c r="D900" s="135">
        <v>10.37</v>
      </c>
    </row>
    <row r="901" spans="4:4" x14ac:dyDescent="0.2">
      <c r="D901" s="135">
        <v>10.38</v>
      </c>
    </row>
    <row r="902" spans="4:4" x14ac:dyDescent="0.2">
      <c r="D902" s="135">
        <v>10.39</v>
      </c>
    </row>
    <row r="903" spans="4:4" x14ac:dyDescent="0.2">
      <c r="D903" s="135">
        <v>10.4</v>
      </c>
    </row>
    <row r="904" spans="4:4" x14ac:dyDescent="0.2">
      <c r="D904" s="135">
        <v>10.41</v>
      </c>
    </row>
    <row r="905" spans="4:4" x14ac:dyDescent="0.2">
      <c r="D905" s="135">
        <v>10.42</v>
      </c>
    </row>
    <row r="906" spans="4:4" x14ac:dyDescent="0.2">
      <c r="D906" s="135">
        <v>10.43</v>
      </c>
    </row>
    <row r="907" spans="4:4" x14ac:dyDescent="0.2">
      <c r="D907" s="135">
        <v>10.44</v>
      </c>
    </row>
    <row r="908" spans="4:4" x14ac:dyDescent="0.2">
      <c r="D908" s="135">
        <v>10.45</v>
      </c>
    </row>
    <row r="909" spans="4:4" x14ac:dyDescent="0.2">
      <c r="D909" s="135">
        <v>10.46</v>
      </c>
    </row>
    <row r="910" spans="4:4" x14ac:dyDescent="0.2">
      <c r="D910" s="135">
        <v>10.47</v>
      </c>
    </row>
    <row r="911" spans="4:4" x14ac:dyDescent="0.2">
      <c r="D911" s="135">
        <v>10.48</v>
      </c>
    </row>
    <row r="912" spans="4:4" x14ac:dyDescent="0.2">
      <c r="D912" s="135">
        <v>10.49</v>
      </c>
    </row>
    <row r="913" spans="4:4" x14ac:dyDescent="0.2">
      <c r="D913" s="135">
        <v>10.5</v>
      </c>
    </row>
    <row r="914" spans="4:4" x14ac:dyDescent="0.2">
      <c r="D914" s="135">
        <v>10.51</v>
      </c>
    </row>
    <row r="915" spans="4:4" x14ac:dyDescent="0.2">
      <c r="D915" s="135">
        <v>10.52</v>
      </c>
    </row>
    <row r="916" spans="4:4" x14ac:dyDescent="0.2">
      <c r="D916" s="135">
        <v>10.53</v>
      </c>
    </row>
    <row r="917" spans="4:4" x14ac:dyDescent="0.2">
      <c r="D917" s="135">
        <v>10.54</v>
      </c>
    </row>
    <row r="918" spans="4:4" x14ac:dyDescent="0.2">
      <c r="D918" s="135">
        <v>10.55</v>
      </c>
    </row>
    <row r="919" spans="4:4" x14ac:dyDescent="0.2">
      <c r="D919" s="135">
        <v>10.56</v>
      </c>
    </row>
    <row r="920" spans="4:4" x14ac:dyDescent="0.2">
      <c r="D920" s="135">
        <v>10.57</v>
      </c>
    </row>
    <row r="921" spans="4:4" x14ac:dyDescent="0.2">
      <c r="D921" s="135">
        <v>10.58</v>
      </c>
    </row>
    <row r="922" spans="4:4" x14ac:dyDescent="0.2">
      <c r="D922" s="135">
        <v>10.59</v>
      </c>
    </row>
    <row r="923" spans="4:4" x14ac:dyDescent="0.2">
      <c r="D923" s="135">
        <v>10.6</v>
      </c>
    </row>
    <row r="924" spans="4:4" x14ac:dyDescent="0.2">
      <c r="D924" s="135">
        <v>10.61</v>
      </c>
    </row>
    <row r="925" spans="4:4" x14ac:dyDescent="0.2">
      <c r="D925" s="135">
        <v>10.62</v>
      </c>
    </row>
    <row r="926" spans="4:4" x14ac:dyDescent="0.2">
      <c r="D926" s="135">
        <v>10.63</v>
      </c>
    </row>
    <row r="927" spans="4:4" x14ac:dyDescent="0.2">
      <c r="D927" s="135">
        <v>10.64</v>
      </c>
    </row>
    <row r="928" spans="4:4" x14ac:dyDescent="0.2">
      <c r="D928" s="135">
        <v>10.65</v>
      </c>
    </row>
    <row r="929" spans="4:4" x14ac:dyDescent="0.2">
      <c r="D929" s="135">
        <v>10.66</v>
      </c>
    </row>
    <row r="930" spans="4:4" x14ac:dyDescent="0.2">
      <c r="D930" s="135">
        <v>10.67</v>
      </c>
    </row>
    <row r="931" spans="4:4" x14ac:dyDescent="0.2">
      <c r="D931" s="135">
        <v>10.68</v>
      </c>
    </row>
    <row r="932" spans="4:4" x14ac:dyDescent="0.2">
      <c r="D932" s="135">
        <v>10.69</v>
      </c>
    </row>
    <row r="933" spans="4:4" x14ac:dyDescent="0.2">
      <c r="D933" s="135">
        <v>10.7</v>
      </c>
    </row>
    <row r="934" spans="4:4" x14ac:dyDescent="0.2">
      <c r="D934" s="135">
        <v>10.71</v>
      </c>
    </row>
    <row r="935" spans="4:4" x14ac:dyDescent="0.2">
      <c r="D935" s="135">
        <v>10.72</v>
      </c>
    </row>
    <row r="936" spans="4:4" x14ac:dyDescent="0.2">
      <c r="D936" s="135">
        <v>10.73</v>
      </c>
    </row>
    <row r="937" spans="4:4" x14ac:dyDescent="0.2">
      <c r="D937" s="135">
        <v>10.74</v>
      </c>
    </row>
    <row r="938" spans="4:4" x14ac:dyDescent="0.2">
      <c r="D938" s="135">
        <v>10.75</v>
      </c>
    </row>
    <row r="939" spans="4:4" x14ac:dyDescent="0.2">
      <c r="D939" s="135">
        <v>10.76</v>
      </c>
    </row>
    <row r="940" spans="4:4" x14ac:dyDescent="0.2">
      <c r="D940" s="135">
        <v>10.77</v>
      </c>
    </row>
    <row r="941" spans="4:4" x14ac:dyDescent="0.2">
      <c r="D941" s="135">
        <v>10.78</v>
      </c>
    </row>
    <row r="942" spans="4:4" x14ac:dyDescent="0.2">
      <c r="D942" s="135">
        <v>10.79</v>
      </c>
    </row>
    <row r="943" spans="4:4" x14ac:dyDescent="0.2">
      <c r="D943" s="135">
        <v>10.8</v>
      </c>
    </row>
    <row r="944" spans="4:4" x14ac:dyDescent="0.2">
      <c r="D944" s="135">
        <v>10.81</v>
      </c>
    </row>
    <row r="945" spans="4:4" x14ac:dyDescent="0.2">
      <c r="D945" s="135">
        <v>10.82</v>
      </c>
    </row>
    <row r="946" spans="4:4" x14ac:dyDescent="0.2">
      <c r="D946" s="135">
        <v>10.83</v>
      </c>
    </row>
    <row r="947" spans="4:4" x14ac:dyDescent="0.2">
      <c r="D947" s="135">
        <v>10.84</v>
      </c>
    </row>
    <row r="948" spans="4:4" x14ac:dyDescent="0.2">
      <c r="D948" s="135">
        <v>10.85</v>
      </c>
    </row>
    <row r="949" spans="4:4" x14ac:dyDescent="0.2">
      <c r="D949" s="135">
        <v>10.86</v>
      </c>
    </row>
    <row r="950" spans="4:4" x14ac:dyDescent="0.2">
      <c r="D950" s="135">
        <v>10.87</v>
      </c>
    </row>
    <row r="951" spans="4:4" x14ac:dyDescent="0.2">
      <c r="D951" s="135">
        <v>10.88</v>
      </c>
    </row>
    <row r="952" spans="4:4" x14ac:dyDescent="0.2">
      <c r="D952" s="135">
        <v>10.89</v>
      </c>
    </row>
    <row r="953" spans="4:4" x14ac:dyDescent="0.2">
      <c r="D953" s="135">
        <v>10.9</v>
      </c>
    </row>
    <row r="954" spans="4:4" x14ac:dyDescent="0.2">
      <c r="D954" s="135">
        <v>10.91</v>
      </c>
    </row>
    <row r="955" spans="4:4" x14ac:dyDescent="0.2">
      <c r="D955" s="135">
        <v>10.92</v>
      </c>
    </row>
    <row r="956" spans="4:4" x14ac:dyDescent="0.2">
      <c r="D956" s="135">
        <v>10.93</v>
      </c>
    </row>
    <row r="957" spans="4:4" x14ac:dyDescent="0.2">
      <c r="D957" s="135">
        <v>10.94</v>
      </c>
    </row>
    <row r="958" spans="4:4" x14ac:dyDescent="0.2">
      <c r="D958" s="135">
        <v>10.95</v>
      </c>
    </row>
    <row r="959" spans="4:4" x14ac:dyDescent="0.2">
      <c r="D959" s="135">
        <v>10.96</v>
      </c>
    </row>
    <row r="960" spans="4:4" x14ac:dyDescent="0.2">
      <c r="D960" s="135">
        <v>10.97</v>
      </c>
    </row>
    <row r="961" spans="4:4" x14ac:dyDescent="0.2">
      <c r="D961" s="135">
        <v>10.98</v>
      </c>
    </row>
    <row r="962" spans="4:4" x14ac:dyDescent="0.2">
      <c r="D962" s="135">
        <v>10.99</v>
      </c>
    </row>
    <row r="963" spans="4:4" x14ac:dyDescent="0.2">
      <c r="D963" s="135">
        <v>11</v>
      </c>
    </row>
    <row r="964" spans="4:4" x14ac:dyDescent="0.2">
      <c r="D964" s="135">
        <v>11.01</v>
      </c>
    </row>
    <row r="965" spans="4:4" x14ac:dyDescent="0.2">
      <c r="D965" s="135">
        <v>11.02</v>
      </c>
    </row>
    <row r="966" spans="4:4" x14ac:dyDescent="0.2">
      <c r="D966" s="135">
        <v>11.03</v>
      </c>
    </row>
    <row r="967" spans="4:4" x14ac:dyDescent="0.2">
      <c r="D967" s="135">
        <v>11.04</v>
      </c>
    </row>
    <row r="968" spans="4:4" x14ac:dyDescent="0.2">
      <c r="D968" s="135">
        <v>11.05</v>
      </c>
    </row>
    <row r="969" spans="4:4" x14ac:dyDescent="0.2">
      <c r="D969" s="135">
        <v>11.06</v>
      </c>
    </row>
    <row r="970" spans="4:4" x14ac:dyDescent="0.2">
      <c r="D970" s="135">
        <v>11.07</v>
      </c>
    </row>
    <row r="971" spans="4:4" x14ac:dyDescent="0.2">
      <c r="D971" s="135">
        <v>11.08</v>
      </c>
    </row>
    <row r="972" spans="4:4" x14ac:dyDescent="0.2">
      <c r="D972" s="135">
        <v>11.09</v>
      </c>
    </row>
    <row r="973" spans="4:4" x14ac:dyDescent="0.2">
      <c r="D973" s="135">
        <v>11.1</v>
      </c>
    </row>
    <row r="974" spans="4:4" x14ac:dyDescent="0.2">
      <c r="D974" s="135">
        <v>11.11</v>
      </c>
    </row>
    <row r="975" spans="4:4" x14ac:dyDescent="0.2">
      <c r="D975" s="135">
        <v>11.12</v>
      </c>
    </row>
    <row r="976" spans="4:4" x14ac:dyDescent="0.2">
      <c r="D976" s="135">
        <v>11.13</v>
      </c>
    </row>
    <row r="977" spans="4:4" x14ac:dyDescent="0.2">
      <c r="D977" s="135">
        <v>11.14</v>
      </c>
    </row>
    <row r="978" spans="4:4" x14ac:dyDescent="0.2">
      <c r="D978" s="135">
        <v>11.15</v>
      </c>
    </row>
    <row r="979" spans="4:4" x14ac:dyDescent="0.2">
      <c r="D979" s="135">
        <v>11.16</v>
      </c>
    </row>
    <row r="980" spans="4:4" x14ac:dyDescent="0.2">
      <c r="D980" s="135">
        <v>11.17</v>
      </c>
    </row>
    <row r="981" spans="4:4" x14ac:dyDescent="0.2">
      <c r="D981" s="135">
        <v>11.18</v>
      </c>
    </row>
    <row r="982" spans="4:4" x14ac:dyDescent="0.2">
      <c r="D982" s="135">
        <v>11.19</v>
      </c>
    </row>
    <row r="983" spans="4:4" x14ac:dyDescent="0.2">
      <c r="D983" s="135">
        <v>11.2</v>
      </c>
    </row>
    <row r="984" spans="4:4" x14ac:dyDescent="0.2">
      <c r="D984" s="135">
        <v>11.21</v>
      </c>
    </row>
    <row r="985" spans="4:4" x14ac:dyDescent="0.2">
      <c r="D985" s="135">
        <v>11.22</v>
      </c>
    </row>
    <row r="986" spans="4:4" x14ac:dyDescent="0.2">
      <c r="D986" s="135">
        <v>11.23</v>
      </c>
    </row>
    <row r="987" spans="4:4" x14ac:dyDescent="0.2">
      <c r="D987" s="135">
        <v>11.24</v>
      </c>
    </row>
    <row r="988" spans="4:4" x14ac:dyDescent="0.2">
      <c r="D988" s="135">
        <v>11.25</v>
      </c>
    </row>
    <row r="989" spans="4:4" x14ac:dyDescent="0.2">
      <c r="D989" s="135">
        <v>11.26</v>
      </c>
    </row>
    <row r="990" spans="4:4" x14ac:dyDescent="0.2">
      <c r="D990" s="135">
        <v>11.27</v>
      </c>
    </row>
    <row r="991" spans="4:4" x14ac:dyDescent="0.2">
      <c r="D991" s="135">
        <v>11.28</v>
      </c>
    </row>
    <row r="992" spans="4:4" x14ac:dyDescent="0.2">
      <c r="D992" s="135">
        <v>11.29</v>
      </c>
    </row>
    <row r="993" spans="4:4" x14ac:dyDescent="0.2">
      <c r="D993" s="135">
        <v>11.3</v>
      </c>
    </row>
    <row r="994" spans="4:4" x14ac:dyDescent="0.2">
      <c r="D994" s="135">
        <v>11.31</v>
      </c>
    </row>
    <row r="995" spans="4:4" x14ac:dyDescent="0.2">
      <c r="D995" s="135">
        <v>11.32</v>
      </c>
    </row>
    <row r="996" spans="4:4" x14ac:dyDescent="0.2">
      <c r="D996" s="135">
        <v>11.33</v>
      </c>
    </row>
    <row r="997" spans="4:4" x14ac:dyDescent="0.2">
      <c r="D997" s="135">
        <v>11.34</v>
      </c>
    </row>
    <row r="998" spans="4:4" x14ac:dyDescent="0.2">
      <c r="D998" s="135">
        <v>11.35</v>
      </c>
    </row>
    <row r="999" spans="4:4" x14ac:dyDescent="0.2">
      <c r="D999" s="135">
        <v>11.36</v>
      </c>
    </row>
    <row r="1000" spans="4:4" x14ac:dyDescent="0.2">
      <c r="D1000" s="135">
        <v>11.37</v>
      </c>
    </row>
    <row r="1001" spans="4:4" x14ac:dyDescent="0.2">
      <c r="D1001" s="135">
        <v>11.38</v>
      </c>
    </row>
    <row r="1002" spans="4:4" x14ac:dyDescent="0.2">
      <c r="D1002" s="135">
        <v>11.39</v>
      </c>
    </row>
    <row r="1003" spans="4:4" x14ac:dyDescent="0.2">
      <c r="D1003" s="135">
        <v>11.4</v>
      </c>
    </row>
    <row r="1004" spans="4:4" x14ac:dyDescent="0.2">
      <c r="D1004" s="135">
        <v>11.41</v>
      </c>
    </row>
    <row r="1005" spans="4:4" x14ac:dyDescent="0.2">
      <c r="D1005" s="135">
        <v>11.42</v>
      </c>
    </row>
    <row r="1006" spans="4:4" x14ac:dyDescent="0.2">
      <c r="D1006" s="135">
        <v>11.43</v>
      </c>
    </row>
    <row r="1007" spans="4:4" x14ac:dyDescent="0.2">
      <c r="D1007" s="135">
        <v>11.44</v>
      </c>
    </row>
    <row r="1008" spans="4:4" x14ac:dyDescent="0.2">
      <c r="D1008" s="135">
        <v>11.45</v>
      </c>
    </row>
    <row r="1009" spans="4:4" x14ac:dyDescent="0.2">
      <c r="D1009" s="135">
        <v>11.46</v>
      </c>
    </row>
    <row r="1010" spans="4:4" x14ac:dyDescent="0.2">
      <c r="D1010" s="135">
        <v>11.47</v>
      </c>
    </row>
    <row r="1011" spans="4:4" x14ac:dyDescent="0.2">
      <c r="D1011" s="135">
        <v>11.48</v>
      </c>
    </row>
    <row r="1012" spans="4:4" x14ac:dyDescent="0.2">
      <c r="D1012" s="135">
        <v>11.49</v>
      </c>
    </row>
    <row r="1013" spans="4:4" x14ac:dyDescent="0.2">
      <c r="D1013" s="135">
        <v>11.5</v>
      </c>
    </row>
    <row r="1014" spans="4:4" x14ac:dyDescent="0.2">
      <c r="D1014" s="135">
        <v>11.51</v>
      </c>
    </row>
    <row r="1015" spans="4:4" x14ac:dyDescent="0.2">
      <c r="D1015" s="135">
        <v>11.52</v>
      </c>
    </row>
    <row r="1016" spans="4:4" x14ac:dyDescent="0.2">
      <c r="D1016" s="135">
        <v>11.53</v>
      </c>
    </row>
    <row r="1017" spans="4:4" x14ac:dyDescent="0.2">
      <c r="D1017" s="135">
        <v>11.54</v>
      </c>
    </row>
    <row r="1018" spans="4:4" x14ac:dyDescent="0.2">
      <c r="D1018" s="135">
        <v>11.55</v>
      </c>
    </row>
    <row r="1019" spans="4:4" x14ac:dyDescent="0.2">
      <c r="D1019" s="135">
        <v>11.56</v>
      </c>
    </row>
    <row r="1020" spans="4:4" x14ac:dyDescent="0.2">
      <c r="D1020" s="135">
        <v>11.57</v>
      </c>
    </row>
    <row r="1021" spans="4:4" x14ac:dyDescent="0.2">
      <c r="D1021" s="135">
        <v>11.58</v>
      </c>
    </row>
    <row r="1022" spans="4:4" x14ac:dyDescent="0.2">
      <c r="D1022" s="135">
        <v>11.59</v>
      </c>
    </row>
    <row r="1023" spans="4:4" x14ac:dyDescent="0.2">
      <c r="D1023" s="135">
        <v>11.6</v>
      </c>
    </row>
    <row r="1024" spans="4:4" x14ac:dyDescent="0.2">
      <c r="D1024" s="135">
        <v>11.61</v>
      </c>
    </row>
    <row r="1025" spans="4:4" x14ac:dyDescent="0.2">
      <c r="D1025" s="135">
        <v>11.62</v>
      </c>
    </row>
    <row r="1026" spans="4:4" x14ac:dyDescent="0.2">
      <c r="D1026" s="135">
        <v>11.63</v>
      </c>
    </row>
    <row r="1027" spans="4:4" x14ac:dyDescent="0.2">
      <c r="D1027" s="135">
        <v>11.64</v>
      </c>
    </row>
    <row r="1028" spans="4:4" x14ac:dyDescent="0.2">
      <c r="D1028" s="135">
        <v>11.65</v>
      </c>
    </row>
    <row r="1029" spans="4:4" x14ac:dyDescent="0.2">
      <c r="D1029" s="135">
        <v>11.66</v>
      </c>
    </row>
    <row r="1030" spans="4:4" x14ac:dyDescent="0.2">
      <c r="D1030" s="135">
        <v>11.67</v>
      </c>
    </row>
    <row r="1031" spans="4:4" x14ac:dyDescent="0.2">
      <c r="D1031" s="135">
        <v>11.68</v>
      </c>
    </row>
    <row r="1032" spans="4:4" x14ac:dyDescent="0.2">
      <c r="D1032" s="135">
        <v>11.69</v>
      </c>
    </row>
    <row r="1033" spans="4:4" x14ac:dyDescent="0.2">
      <c r="D1033" s="135">
        <v>11.7</v>
      </c>
    </row>
    <row r="1034" spans="4:4" x14ac:dyDescent="0.2">
      <c r="D1034" s="135">
        <v>11.71</v>
      </c>
    </row>
    <row r="1035" spans="4:4" x14ac:dyDescent="0.2">
      <c r="D1035" s="135">
        <v>11.72</v>
      </c>
    </row>
    <row r="1036" spans="4:4" x14ac:dyDescent="0.2">
      <c r="D1036" s="135">
        <v>11.73</v>
      </c>
    </row>
    <row r="1037" spans="4:4" x14ac:dyDescent="0.2">
      <c r="D1037" s="135">
        <v>11.74</v>
      </c>
    </row>
    <row r="1038" spans="4:4" x14ac:dyDescent="0.2">
      <c r="D1038" s="135">
        <v>11.75</v>
      </c>
    </row>
    <row r="1039" spans="4:4" x14ac:dyDescent="0.2">
      <c r="D1039" s="135">
        <v>11.76</v>
      </c>
    </row>
    <row r="1040" spans="4:4" x14ac:dyDescent="0.2">
      <c r="D1040" s="135">
        <v>11.77</v>
      </c>
    </row>
    <row r="1041" spans="4:4" x14ac:dyDescent="0.2">
      <c r="D1041" s="135">
        <v>11.78</v>
      </c>
    </row>
    <row r="1042" spans="4:4" x14ac:dyDescent="0.2">
      <c r="D1042" s="135">
        <v>11.79</v>
      </c>
    </row>
    <row r="1043" spans="4:4" x14ac:dyDescent="0.2">
      <c r="D1043" s="135">
        <v>11.8</v>
      </c>
    </row>
    <row r="1044" spans="4:4" x14ac:dyDescent="0.2">
      <c r="D1044" s="135">
        <v>11.81</v>
      </c>
    </row>
    <row r="1045" spans="4:4" x14ac:dyDescent="0.2">
      <c r="D1045" s="135">
        <v>11.82</v>
      </c>
    </row>
    <row r="1046" spans="4:4" x14ac:dyDescent="0.2">
      <c r="D1046" s="135">
        <v>11.83</v>
      </c>
    </row>
    <row r="1047" spans="4:4" x14ac:dyDescent="0.2">
      <c r="D1047" s="135">
        <v>11.84</v>
      </c>
    </row>
    <row r="1048" spans="4:4" x14ac:dyDescent="0.2">
      <c r="D1048" s="135">
        <v>11.85</v>
      </c>
    </row>
    <row r="1049" spans="4:4" x14ac:dyDescent="0.2">
      <c r="D1049" s="135">
        <v>11.86</v>
      </c>
    </row>
    <row r="1050" spans="4:4" x14ac:dyDescent="0.2">
      <c r="D1050" s="135">
        <v>11.87</v>
      </c>
    </row>
    <row r="1051" spans="4:4" x14ac:dyDescent="0.2">
      <c r="D1051" s="135">
        <v>11.88</v>
      </c>
    </row>
    <row r="1052" spans="4:4" x14ac:dyDescent="0.2">
      <c r="D1052" s="135">
        <v>11.89</v>
      </c>
    </row>
    <row r="1053" spans="4:4" x14ac:dyDescent="0.2">
      <c r="D1053" s="135">
        <v>11.9</v>
      </c>
    </row>
    <row r="1054" spans="4:4" x14ac:dyDescent="0.2">
      <c r="D1054" s="135">
        <v>11.91</v>
      </c>
    </row>
    <row r="1055" spans="4:4" x14ac:dyDescent="0.2">
      <c r="D1055" s="135">
        <v>11.92</v>
      </c>
    </row>
    <row r="1056" spans="4:4" x14ac:dyDescent="0.2">
      <c r="D1056" s="135">
        <v>11.93</v>
      </c>
    </row>
    <row r="1057" spans="4:4" x14ac:dyDescent="0.2">
      <c r="D1057" s="135">
        <v>11.94</v>
      </c>
    </row>
    <row r="1058" spans="4:4" x14ac:dyDescent="0.2">
      <c r="D1058" s="135">
        <v>11.95</v>
      </c>
    </row>
    <row r="1059" spans="4:4" x14ac:dyDescent="0.2">
      <c r="D1059" s="135">
        <v>11.96</v>
      </c>
    </row>
    <row r="1060" spans="4:4" x14ac:dyDescent="0.2">
      <c r="D1060" s="135">
        <v>11.97</v>
      </c>
    </row>
    <row r="1061" spans="4:4" x14ac:dyDescent="0.2">
      <c r="D1061" s="135">
        <v>11.98</v>
      </c>
    </row>
    <row r="1062" spans="4:4" x14ac:dyDescent="0.2">
      <c r="D1062" s="135">
        <v>11.99</v>
      </c>
    </row>
    <row r="1063" spans="4:4" x14ac:dyDescent="0.2">
      <c r="D1063" s="135">
        <v>12</v>
      </c>
    </row>
    <row r="1064" spans="4:4" x14ac:dyDescent="0.2">
      <c r="D1064" s="135">
        <v>12.01</v>
      </c>
    </row>
    <row r="1065" spans="4:4" x14ac:dyDescent="0.2">
      <c r="D1065" s="135">
        <v>12.02</v>
      </c>
    </row>
    <row r="1066" spans="4:4" x14ac:dyDescent="0.2">
      <c r="D1066" s="135">
        <v>12.03</v>
      </c>
    </row>
    <row r="1067" spans="4:4" x14ac:dyDescent="0.2">
      <c r="D1067" s="135">
        <v>12.04</v>
      </c>
    </row>
    <row r="1068" spans="4:4" x14ac:dyDescent="0.2">
      <c r="D1068" s="135">
        <v>12.05</v>
      </c>
    </row>
    <row r="1069" spans="4:4" x14ac:dyDescent="0.2">
      <c r="D1069" s="135">
        <v>12.06</v>
      </c>
    </row>
    <row r="1070" spans="4:4" x14ac:dyDescent="0.2">
      <c r="D1070" s="135">
        <v>12.07</v>
      </c>
    </row>
    <row r="1071" spans="4:4" x14ac:dyDescent="0.2">
      <c r="D1071" s="135">
        <v>12.08</v>
      </c>
    </row>
    <row r="1072" spans="4:4" x14ac:dyDescent="0.2">
      <c r="D1072" s="135">
        <v>12.09</v>
      </c>
    </row>
    <row r="1073" spans="4:4" x14ac:dyDescent="0.2">
      <c r="D1073" s="135">
        <v>12.1</v>
      </c>
    </row>
    <row r="1074" spans="4:4" x14ac:dyDescent="0.2">
      <c r="D1074" s="135">
        <v>12.11</v>
      </c>
    </row>
    <row r="1075" spans="4:4" x14ac:dyDescent="0.2">
      <c r="D1075" s="135">
        <v>12.12</v>
      </c>
    </row>
    <row r="1076" spans="4:4" x14ac:dyDescent="0.2">
      <c r="D1076" s="135">
        <v>12.13</v>
      </c>
    </row>
    <row r="1077" spans="4:4" x14ac:dyDescent="0.2">
      <c r="D1077" s="135">
        <v>12.14</v>
      </c>
    </row>
    <row r="1078" spans="4:4" x14ac:dyDescent="0.2">
      <c r="D1078" s="135">
        <v>12.15</v>
      </c>
    </row>
    <row r="1079" spans="4:4" x14ac:dyDescent="0.2">
      <c r="D1079" s="135">
        <v>12.16</v>
      </c>
    </row>
    <row r="1080" spans="4:4" x14ac:dyDescent="0.2">
      <c r="D1080" s="135">
        <v>12.17</v>
      </c>
    </row>
    <row r="1081" spans="4:4" x14ac:dyDescent="0.2">
      <c r="D1081" s="135">
        <v>12.18</v>
      </c>
    </row>
    <row r="1082" spans="4:4" x14ac:dyDescent="0.2">
      <c r="D1082" s="135">
        <v>12.19</v>
      </c>
    </row>
    <row r="1083" spans="4:4" x14ac:dyDescent="0.2">
      <c r="D1083" s="135">
        <v>12.2</v>
      </c>
    </row>
    <row r="1084" spans="4:4" x14ac:dyDescent="0.2">
      <c r="D1084" s="135">
        <v>12.21</v>
      </c>
    </row>
    <row r="1085" spans="4:4" x14ac:dyDescent="0.2">
      <c r="D1085" s="135">
        <v>12.22</v>
      </c>
    </row>
    <row r="1086" spans="4:4" x14ac:dyDescent="0.2">
      <c r="D1086" s="135">
        <v>12.23</v>
      </c>
    </row>
    <row r="1087" spans="4:4" x14ac:dyDescent="0.2">
      <c r="D1087" s="135">
        <v>12.24</v>
      </c>
    </row>
    <row r="1088" spans="4:4" x14ac:dyDescent="0.2">
      <c r="D1088" s="135">
        <v>12.25</v>
      </c>
    </row>
    <row r="1089" spans="4:4" x14ac:dyDescent="0.2">
      <c r="D1089" s="135">
        <v>12.26</v>
      </c>
    </row>
    <row r="1090" spans="4:4" x14ac:dyDescent="0.2">
      <c r="D1090" s="135">
        <v>12.27</v>
      </c>
    </row>
    <row r="1091" spans="4:4" x14ac:dyDescent="0.2">
      <c r="D1091" s="135">
        <v>12.28</v>
      </c>
    </row>
    <row r="1092" spans="4:4" x14ac:dyDescent="0.2">
      <c r="D1092" s="135">
        <v>12.29</v>
      </c>
    </row>
    <row r="1093" spans="4:4" x14ac:dyDescent="0.2">
      <c r="D1093" s="135">
        <v>12.3</v>
      </c>
    </row>
    <row r="1094" spans="4:4" x14ac:dyDescent="0.2">
      <c r="D1094" s="135">
        <v>12.31</v>
      </c>
    </row>
    <row r="1095" spans="4:4" x14ac:dyDescent="0.2">
      <c r="D1095" s="135">
        <v>12.32</v>
      </c>
    </row>
    <row r="1096" spans="4:4" x14ac:dyDescent="0.2">
      <c r="D1096" s="135">
        <v>12.33</v>
      </c>
    </row>
    <row r="1097" spans="4:4" x14ac:dyDescent="0.2">
      <c r="D1097" s="135">
        <v>12.34</v>
      </c>
    </row>
    <row r="1098" spans="4:4" x14ac:dyDescent="0.2">
      <c r="D1098" s="135">
        <v>12.35</v>
      </c>
    </row>
    <row r="1099" spans="4:4" x14ac:dyDescent="0.2">
      <c r="D1099" s="135">
        <v>12.36</v>
      </c>
    </row>
    <row r="1100" spans="4:4" x14ac:dyDescent="0.2">
      <c r="D1100" s="135">
        <v>12.37</v>
      </c>
    </row>
    <row r="1101" spans="4:4" x14ac:dyDescent="0.2">
      <c r="D1101" s="135">
        <v>12.38</v>
      </c>
    </row>
    <row r="1102" spans="4:4" x14ac:dyDescent="0.2">
      <c r="D1102" s="135">
        <v>12.39</v>
      </c>
    </row>
    <row r="1103" spans="4:4" x14ac:dyDescent="0.2">
      <c r="D1103" s="135">
        <v>12.4</v>
      </c>
    </row>
    <row r="1104" spans="4:4" x14ac:dyDescent="0.2">
      <c r="D1104" s="135">
        <v>12.41</v>
      </c>
    </row>
    <row r="1105" spans="4:4" x14ac:dyDescent="0.2">
      <c r="D1105" s="135">
        <v>12.42</v>
      </c>
    </row>
    <row r="1106" spans="4:4" x14ac:dyDescent="0.2">
      <c r="D1106" s="135">
        <v>12.43</v>
      </c>
    </row>
    <row r="1107" spans="4:4" x14ac:dyDescent="0.2">
      <c r="D1107" s="135">
        <v>12.44</v>
      </c>
    </row>
    <row r="1108" spans="4:4" x14ac:dyDescent="0.2">
      <c r="D1108" s="135">
        <v>12.45</v>
      </c>
    </row>
    <row r="1109" spans="4:4" x14ac:dyDescent="0.2">
      <c r="D1109" s="135">
        <v>12.46</v>
      </c>
    </row>
    <row r="1110" spans="4:4" x14ac:dyDescent="0.2">
      <c r="D1110" s="135">
        <v>12.47</v>
      </c>
    </row>
    <row r="1111" spans="4:4" x14ac:dyDescent="0.2">
      <c r="D1111" s="135">
        <v>12.48</v>
      </c>
    </row>
    <row r="1112" spans="4:4" x14ac:dyDescent="0.2">
      <c r="D1112" s="135">
        <v>12.49</v>
      </c>
    </row>
    <row r="1113" spans="4:4" x14ac:dyDescent="0.2">
      <c r="D1113" s="135">
        <v>12.5</v>
      </c>
    </row>
    <row r="1114" spans="4:4" x14ac:dyDescent="0.2">
      <c r="D1114" s="135">
        <v>12.51</v>
      </c>
    </row>
    <row r="1115" spans="4:4" x14ac:dyDescent="0.2">
      <c r="D1115" s="135">
        <v>12.52</v>
      </c>
    </row>
    <row r="1116" spans="4:4" x14ac:dyDescent="0.2">
      <c r="D1116" s="135">
        <v>12.53</v>
      </c>
    </row>
    <row r="1117" spans="4:4" x14ac:dyDescent="0.2">
      <c r="D1117" s="135">
        <v>12.54</v>
      </c>
    </row>
    <row r="1118" spans="4:4" x14ac:dyDescent="0.2">
      <c r="D1118" s="135">
        <v>12.55</v>
      </c>
    </row>
    <row r="1119" spans="4:4" x14ac:dyDescent="0.2">
      <c r="D1119" s="135">
        <v>12.56</v>
      </c>
    </row>
    <row r="1120" spans="4:4" x14ac:dyDescent="0.2">
      <c r="D1120" s="135">
        <v>12.57</v>
      </c>
    </row>
    <row r="1121" spans="4:4" x14ac:dyDescent="0.2">
      <c r="D1121" s="135">
        <v>12.58</v>
      </c>
    </row>
    <row r="1122" spans="4:4" x14ac:dyDescent="0.2">
      <c r="D1122" s="135">
        <v>12.59</v>
      </c>
    </row>
    <row r="1123" spans="4:4" x14ac:dyDescent="0.2">
      <c r="D1123" s="135">
        <v>12.6</v>
      </c>
    </row>
    <row r="1124" spans="4:4" x14ac:dyDescent="0.2">
      <c r="D1124" s="135">
        <v>12.61</v>
      </c>
    </row>
    <row r="1125" spans="4:4" x14ac:dyDescent="0.2">
      <c r="D1125" s="135">
        <v>12.62</v>
      </c>
    </row>
    <row r="1126" spans="4:4" x14ac:dyDescent="0.2">
      <c r="D1126" s="135">
        <v>12.63</v>
      </c>
    </row>
    <row r="1127" spans="4:4" x14ac:dyDescent="0.2">
      <c r="D1127" s="135">
        <v>12.64</v>
      </c>
    </row>
    <row r="1128" spans="4:4" x14ac:dyDescent="0.2">
      <c r="D1128" s="135">
        <v>12.65</v>
      </c>
    </row>
    <row r="1129" spans="4:4" x14ac:dyDescent="0.2">
      <c r="D1129" s="135">
        <v>12.66</v>
      </c>
    </row>
    <row r="1130" spans="4:4" x14ac:dyDescent="0.2">
      <c r="D1130" s="135">
        <v>12.67</v>
      </c>
    </row>
    <row r="1131" spans="4:4" x14ac:dyDescent="0.2">
      <c r="D1131" s="135">
        <v>12.68</v>
      </c>
    </row>
    <row r="1132" spans="4:4" x14ac:dyDescent="0.2">
      <c r="D1132" s="135">
        <v>12.69</v>
      </c>
    </row>
    <row r="1133" spans="4:4" x14ac:dyDescent="0.2">
      <c r="D1133" s="135">
        <v>12.7</v>
      </c>
    </row>
    <row r="1134" spans="4:4" x14ac:dyDescent="0.2">
      <c r="D1134" s="135">
        <v>12.71</v>
      </c>
    </row>
    <row r="1135" spans="4:4" x14ac:dyDescent="0.2">
      <c r="D1135" s="135">
        <v>12.72</v>
      </c>
    </row>
    <row r="1136" spans="4:4" x14ac:dyDescent="0.2">
      <c r="D1136" s="135">
        <v>12.73</v>
      </c>
    </row>
    <row r="1137" spans="4:4" x14ac:dyDescent="0.2">
      <c r="D1137" s="135">
        <v>12.74</v>
      </c>
    </row>
    <row r="1138" spans="4:4" x14ac:dyDescent="0.2">
      <c r="D1138" s="135">
        <v>12.75</v>
      </c>
    </row>
    <row r="1139" spans="4:4" x14ac:dyDescent="0.2">
      <c r="D1139" s="135">
        <v>12.76</v>
      </c>
    </row>
    <row r="1140" spans="4:4" x14ac:dyDescent="0.2">
      <c r="D1140" s="135">
        <v>12.77</v>
      </c>
    </row>
    <row r="1141" spans="4:4" x14ac:dyDescent="0.2">
      <c r="D1141" s="135">
        <v>12.78</v>
      </c>
    </row>
    <row r="1142" spans="4:4" x14ac:dyDescent="0.2">
      <c r="D1142" s="135">
        <v>12.79</v>
      </c>
    </row>
    <row r="1143" spans="4:4" x14ac:dyDescent="0.2">
      <c r="D1143" s="135">
        <v>12.8</v>
      </c>
    </row>
    <row r="1144" spans="4:4" x14ac:dyDescent="0.2">
      <c r="D1144" s="135">
        <v>12.81</v>
      </c>
    </row>
    <row r="1145" spans="4:4" x14ac:dyDescent="0.2">
      <c r="D1145" s="135">
        <v>12.82</v>
      </c>
    </row>
    <row r="1146" spans="4:4" x14ac:dyDescent="0.2">
      <c r="D1146" s="135">
        <v>12.83</v>
      </c>
    </row>
    <row r="1147" spans="4:4" x14ac:dyDescent="0.2">
      <c r="D1147" s="135">
        <v>12.84</v>
      </c>
    </row>
    <row r="1148" spans="4:4" x14ac:dyDescent="0.2">
      <c r="D1148" s="135">
        <v>12.85</v>
      </c>
    </row>
    <row r="1149" spans="4:4" x14ac:dyDescent="0.2">
      <c r="D1149" s="135">
        <v>12.86</v>
      </c>
    </row>
    <row r="1150" spans="4:4" x14ac:dyDescent="0.2">
      <c r="D1150" s="135">
        <v>12.87</v>
      </c>
    </row>
    <row r="1151" spans="4:4" x14ac:dyDescent="0.2">
      <c r="D1151" s="135">
        <v>12.88</v>
      </c>
    </row>
    <row r="1152" spans="4:4" x14ac:dyDescent="0.2">
      <c r="D1152" s="135">
        <v>12.89</v>
      </c>
    </row>
    <row r="1153" spans="4:4" x14ac:dyDescent="0.2">
      <c r="D1153" s="135">
        <v>12.9</v>
      </c>
    </row>
    <row r="1154" spans="4:4" x14ac:dyDescent="0.2">
      <c r="D1154" s="135">
        <v>12.91</v>
      </c>
    </row>
    <row r="1155" spans="4:4" x14ac:dyDescent="0.2">
      <c r="D1155" s="135">
        <v>12.92</v>
      </c>
    </row>
    <row r="1156" spans="4:4" x14ac:dyDescent="0.2">
      <c r="D1156" s="135">
        <v>12.93</v>
      </c>
    </row>
    <row r="1157" spans="4:4" x14ac:dyDescent="0.2">
      <c r="D1157" s="135">
        <v>12.94</v>
      </c>
    </row>
    <row r="1158" spans="4:4" x14ac:dyDescent="0.2">
      <c r="D1158" s="135">
        <v>12.95</v>
      </c>
    </row>
    <row r="1159" spans="4:4" x14ac:dyDescent="0.2">
      <c r="D1159" s="135">
        <v>12.96</v>
      </c>
    </row>
    <row r="1160" spans="4:4" x14ac:dyDescent="0.2">
      <c r="D1160" s="135">
        <v>12.97</v>
      </c>
    </row>
    <row r="1161" spans="4:4" x14ac:dyDescent="0.2">
      <c r="D1161" s="135">
        <v>12.98</v>
      </c>
    </row>
    <row r="1162" spans="4:4" x14ac:dyDescent="0.2">
      <c r="D1162" s="135">
        <v>12.99</v>
      </c>
    </row>
    <row r="1163" spans="4:4" x14ac:dyDescent="0.2">
      <c r="D1163" s="135">
        <v>13</v>
      </c>
    </row>
    <row r="1164" spans="4:4" x14ac:dyDescent="0.2">
      <c r="D1164" s="135">
        <v>13.01</v>
      </c>
    </row>
    <row r="1165" spans="4:4" x14ac:dyDescent="0.2">
      <c r="D1165" s="135">
        <v>13.02</v>
      </c>
    </row>
    <row r="1166" spans="4:4" x14ac:dyDescent="0.2">
      <c r="D1166" s="135">
        <v>13.03</v>
      </c>
    </row>
    <row r="1167" spans="4:4" x14ac:dyDescent="0.2">
      <c r="D1167" s="135">
        <v>13.04</v>
      </c>
    </row>
    <row r="1168" spans="4:4" x14ac:dyDescent="0.2">
      <c r="D1168" s="135">
        <v>13.05</v>
      </c>
    </row>
    <row r="1169" spans="4:4" x14ac:dyDescent="0.2">
      <c r="D1169" s="135">
        <v>13.06</v>
      </c>
    </row>
    <row r="1170" spans="4:4" x14ac:dyDescent="0.2">
      <c r="D1170" s="135">
        <v>13.07</v>
      </c>
    </row>
    <row r="1171" spans="4:4" x14ac:dyDescent="0.2">
      <c r="D1171" s="135">
        <v>13.08</v>
      </c>
    </row>
    <row r="1172" spans="4:4" x14ac:dyDescent="0.2">
      <c r="D1172" s="135">
        <v>13.09</v>
      </c>
    </row>
    <row r="1173" spans="4:4" x14ac:dyDescent="0.2">
      <c r="D1173" s="135">
        <v>13.1</v>
      </c>
    </row>
    <row r="1174" spans="4:4" x14ac:dyDescent="0.2">
      <c r="D1174" s="135">
        <v>13.11</v>
      </c>
    </row>
    <row r="1175" spans="4:4" x14ac:dyDescent="0.2">
      <c r="D1175" s="135">
        <v>13.12</v>
      </c>
    </row>
    <row r="1176" spans="4:4" x14ac:dyDescent="0.2">
      <c r="D1176" s="135">
        <v>13.13</v>
      </c>
    </row>
    <row r="1177" spans="4:4" x14ac:dyDescent="0.2">
      <c r="D1177" s="135">
        <v>13.14</v>
      </c>
    </row>
    <row r="1178" spans="4:4" x14ac:dyDescent="0.2">
      <c r="D1178" s="135">
        <v>13.15</v>
      </c>
    </row>
    <row r="1179" spans="4:4" x14ac:dyDescent="0.2">
      <c r="D1179" s="135">
        <v>13.16</v>
      </c>
    </row>
    <row r="1180" spans="4:4" x14ac:dyDescent="0.2">
      <c r="D1180" s="135">
        <v>13.17</v>
      </c>
    </row>
    <row r="1181" spans="4:4" x14ac:dyDescent="0.2">
      <c r="D1181" s="135">
        <v>13.18</v>
      </c>
    </row>
    <row r="1182" spans="4:4" x14ac:dyDescent="0.2">
      <c r="D1182" s="135">
        <v>13.19</v>
      </c>
    </row>
    <row r="1183" spans="4:4" x14ac:dyDescent="0.2">
      <c r="D1183" s="135">
        <v>13.2</v>
      </c>
    </row>
    <row r="1184" spans="4:4" x14ac:dyDescent="0.2">
      <c r="D1184" s="135">
        <v>13.21</v>
      </c>
    </row>
    <row r="1185" spans="4:4" x14ac:dyDescent="0.2">
      <c r="D1185" s="135">
        <v>13.22</v>
      </c>
    </row>
    <row r="1186" spans="4:4" x14ac:dyDescent="0.2">
      <c r="D1186" s="135">
        <v>13.23</v>
      </c>
    </row>
    <row r="1187" spans="4:4" x14ac:dyDescent="0.2">
      <c r="D1187" s="135">
        <v>13.24</v>
      </c>
    </row>
    <row r="1188" spans="4:4" x14ac:dyDescent="0.2">
      <c r="D1188" s="135">
        <v>13.25</v>
      </c>
    </row>
    <row r="1189" spans="4:4" x14ac:dyDescent="0.2">
      <c r="D1189" s="135">
        <v>13.26</v>
      </c>
    </row>
    <row r="1190" spans="4:4" x14ac:dyDescent="0.2">
      <c r="D1190" s="135">
        <v>13.27</v>
      </c>
    </row>
    <row r="1191" spans="4:4" x14ac:dyDescent="0.2">
      <c r="D1191" s="135">
        <v>13.28</v>
      </c>
    </row>
    <row r="1192" spans="4:4" x14ac:dyDescent="0.2">
      <c r="D1192" s="135">
        <v>13.29</v>
      </c>
    </row>
    <row r="1193" spans="4:4" x14ac:dyDescent="0.2">
      <c r="D1193" s="135">
        <v>13.3</v>
      </c>
    </row>
    <row r="1194" spans="4:4" x14ac:dyDescent="0.2">
      <c r="D1194" s="135">
        <v>13.31</v>
      </c>
    </row>
    <row r="1195" spans="4:4" x14ac:dyDescent="0.2">
      <c r="D1195" s="135">
        <v>13.32</v>
      </c>
    </row>
    <row r="1196" spans="4:4" x14ac:dyDescent="0.2">
      <c r="D1196" s="135">
        <v>13.33</v>
      </c>
    </row>
    <row r="1197" spans="4:4" x14ac:dyDescent="0.2">
      <c r="D1197" s="135">
        <v>13.34</v>
      </c>
    </row>
    <row r="1198" spans="4:4" x14ac:dyDescent="0.2">
      <c r="D1198" s="135">
        <v>13.35</v>
      </c>
    </row>
    <row r="1199" spans="4:4" x14ac:dyDescent="0.2">
      <c r="D1199" s="135">
        <v>13.36</v>
      </c>
    </row>
    <row r="1200" spans="4:4" x14ac:dyDescent="0.2">
      <c r="D1200" s="135">
        <v>13.37</v>
      </c>
    </row>
    <row r="1201" spans="4:4" x14ac:dyDescent="0.2">
      <c r="D1201" s="135">
        <v>13.38</v>
      </c>
    </row>
    <row r="1202" spans="4:4" x14ac:dyDescent="0.2">
      <c r="D1202" s="135">
        <v>13.39</v>
      </c>
    </row>
    <row r="1203" spans="4:4" x14ac:dyDescent="0.2">
      <c r="D1203" s="135">
        <v>13.4</v>
      </c>
    </row>
    <row r="1204" spans="4:4" x14ac:dyDescent="0.2">
      <c r="D1204" s="135">
        <v>13.41</v>
      </c>
    </row>
    <row r="1205" spans="4:4" x14ac:dyDescent="0.2">
      <c r="D1205" s="135">
        <v>13.42</v>
      </c>
    </row>
    <row r="1206" spans="4:4" x14ac:dyDescent="0.2">
      <c r="D1206" s="135">
        <v>13.43</v>
      </c>
    </row>
    <row r="1207" spans="4:4" x14ac:dyDescent="0.2">
      <c r="D1207" s="135">
        <v>13.44</v>
      </c>
    </row>
    <row r="1208" spans="4:4" x14ac:dyDescent="0.2">
      <c r="D1208" s="135">
        <v>13.45</v>
      </c>
    </row>
    <row r="1209" spans="4:4" x14ac:dyDescent="0.2">
      <c r="D1209" s="135">
        <v>13.46</v>
      </c>
    </row>
    <row r="1210" spans="4:4" x14ac:dyDescent="0.2">
      <c r="D1210" s="135">
        <v>13.47</v>
      </c>
    </row>
    <row r="1211" spans="4:4" x14ac:dyDescent="0.2">
      <c r="D1211" s="135">
        <v>13.48</v>
      </c>
    </row>
    <row r="1212" spans="4:4" x14ac:dyDescent="0.2">
      <c r="D1212" s="135">
        <v>13.49</v>
      </c>
    </row>
    <row r="1213" spans="4:4" x14ac:dyDescent="0.2">
      <c r="D1213" s="135">
        <v>13.5</v>
      </c>
    </row>
    <row r="1214" spans="4:4" x14ac:dyDescent="0.2">
      <c r="D1214" s="135">
        <v>13.51</v>
      </c>
    </row>
    <row r="1215" spans="4:4" x14ac:dyDescent="0.2">
      <c r="D1215" s="135">
        <v>13.52</v>
      </c>
    </row>
    <row r="1216" spans="4:4" x14ac:dyDescent="0.2">
      <c r="D1216" s="135">
        <v>13.53</v>
      </c>
    </row>
    <row r="1217" spans="4:4" x14ac:dyDescent="0.2">
      <c r="D1217" s="135">
        <v>13.54</v>
      </c>
    </row>
    <row r="1218" spans="4:4" x14ac:dyDescent="0.2">
      <c r="D1218" s="135">
        <v>13.55</v>
      </c>
    </row>
    <row r="1219" spans="4:4" x14ac:dyDescent="0.2">
      <c r="D1219" s="135">
        <v>13.56</v>
      </c>
    </row>
    <row r="1220" spans="4:4" x14ac:dyDescent="0.2">
      <c r="D1220" s="135">
        <v>13.57</v>
      </c>
    </row>
    <row r="1221" spans="4:4" x14ac:dyDescent="0.2">
      <c r="D1221" s="135">
        <v>13.58</v>
      </c>
    </row>
    <row r="1222" spans="4:4" x14ac:dyDescent="0.2">
      <c r="D1222" s="135">
        <v>13.59</v>
      </c>
    </row>
    <row r="1223" spans="4:4" x14ac:dyDescent="0.2">
      <c r="D1223" s="135">
        <v>13.6</v>
      </c>
    </row>
    <row r="1224" spans="4:4" x14ac:dyDescent="0.2">
      <c r="D1224" s="135">
        <v>13.61</v>
      </c>
    </row>
    <row r="1225" spans="4:4" x14ac:dyDescent="0.2">
      <c r="D1225" s="135">
        <v>13.62</v>
      </c>
    </row>
    <row r="1226" spans="4:4" x14ac:dyDescent="0.2">
      <c r="D1226" s="135">
        <v>13.63</v>
      </c>
    </row>
    <row r="1227" spans="4:4" x14ac:dyDescent="0.2">
      <c r="D1227" s="135">
        <v>13.64</v>
      </c>
    </row>
    <row r="1228" spans="4:4" x14ac:dyDescent="0.2">
      <c r="D1228" s="135">
        <v>13.65</v>
      </c>
    </row>
    <row r="1229" spans="4:4" x14ac:dyDescent="0.2">
      <c r="D1229" s="135">
        <v>13.66</v>
      </c>
    </row>
    <row r="1230" spans="4:4" x14ac:dyDescent="0.2">
      <c r="D1230" s="135">
        <v>13.67</v>
      </c>
    </row>
    <row r="1231" spans="4:4" x14ac:dyDescent="0.2">
      <c r="D1231" s="135">
        <v>13.68</v>
      </c>
    </row>
    <row r="1232" spans="4:4" x14ac:dyDescent="0.2">
      <c r="D1232" s="135">
        <v>13.69</v>
      </c>
    </row>
    <row r="1233" spans="4:4" x14ac:dyDescent="0.2">
      <c r="D1233" s="135">
        <v>13.7</v>
      </c>
    </row>
    <row r="1234" spans="4:4" x14ac:dyDescent="0.2">
      <c r="D1234" s="135">
        <v>13.71</v>
      </c>
    </row>
    <row r="1235" spans="4:4" x14ac:dyDescent="0.2">
      <c r="D1235" s="135">
        <v>13.72</v>
      </c>
    </row>
    <row r="1236" spans="4:4" x14ac:dyDescent="0.2">
      <c r="D1236" s="135">
        <v>13.73</v>
      </c>
    </row>
    <row r="1237" spans="4:4" x14ac:dyDescent="0.2">
      <c r="D1237" s="135">
        <v>13.74</v>
      </c>
    </row>
    <row r="1238" spans="4:4" x14ac:dyDescent="0.2">
      <c r="D1238" s="135">
        <v>13.75</v>
      </c>
    </row>
    <row r="1239" spans="4:4" x14ac:dyDescent="0.2">
      <c r="D1239" s="135">
        <v>13.76</v>
      </c>
    </row>
    <row r="1240" spans="4:4" x14ac:dyDescent="0.2">
      <c r="D1240" s="135">
        <v>13.77</v>
      </c>
    </row>
    <row r="1241" spans="4:4" x14ac:dyDescent="0.2">
      <c r="D1241" s="135">
        <v>13.78</v>
      </c>
    </row>
    <row r="1242" spans="4:4" x14ac:dyDescent="0.2">
      <c r="D1242" s="135">
        <v>13.79</v>
      </c>
    </row>
    <row r="1243" spans="4:4" x14ac:dyDescent="0.2">
      <c r="D1243" s="135">
        <v>13.8</v>
      </c>
    </row>
    <row r="1244" spans="4:4" x14ac:dyDescent="0.2">
      <c r="D1244" s="135">
        <v>13.81</v>
      </c>
    </row>
    <row r="1245" spans="4:4" x14ac:dyDescent="0.2">
      <c r="D1245" s="135">
        <v>13.82</v>
      </c>
    </row>
    <row r="1246" spans="4:4" x14ac:dyDescent="0.2">
      <c r="D1246" s="135">
        <v>13.83</v>
      </c>
    </row>
    <row r="1247" spans="4:4" x14ac:dyDescent="0.2">
      <c r="D1247" s="135">
        <v>13.84</v>
      </c>
    </row>
    <row r="1248" spans="4:4" x14ac:dyDescent="0.2">
      <c r="D1248" s="135">
        <v>13.85</v>
      </c>
    </row>
    <row r="1249" spans="4:4" x14ac:dyDescent="0.2">
      <c r="D1249" s="135">
        <v>13.86</v>
      </c>
    </row>
    <row r="1250" spans="4:4" x14ac:dyDescent="0.2">
      <c r="D1250" s="135">
        <v>13.87</v>
      </c>
    </row>
    <row r="1251" spans="4:4" x14ac:dyDescent="0.2">
      <c r="D1251" s="135">
        <v>13.88</v>
      </c>
    </row>
    <row r="1252" spans="4:4" x14ac:dyDescent="0.2">
      <c r="D1252" s="135">
        <v>13.89</v>
      </c>
    </row>
    <row r="1253" spans="4:4" x14ac:dyDescent="0.2">
      <c r="D1253" s="135">
        <v>13.9</v>
      </c>
    </row>
    <row r="1254" spans="4:4" x14ac:dyDescent="0.2">
      <c r="D1254" s="135">
        <v>13.91</v>
      </c>
    </row>
    <row r="1255" spans="4:4" x14ac:dyDescent="0.2">
      <c r="D1255" s="135">
        <v>13.92</v>
      </c>
    </row>
    <row r="1256" spans="4:4" x14ac:dyDescent="0.2">
      <c r="D1256" s="135">
        <v>13.93</v>
      </c>
    </row>
    <row r="1257" spans="4:4" x14ac:dyDescent="0.2">
      <c r="D1257" s="135">
        <v>13.94</v>
      </c>
    </row>
    <row r="1258" spans="4:4" x14ac:dyDescent="0.2">
      <c r="D1258" s="135">
        <v>13.95</v>
      </c>
    </row>
    <row r="1259" spans="4:4" x14ac:dyDescent="0.2">
      <c r="D1259" s="135">
        <v>13.96</v>
      </c>
    </row>
    <row r="1260" spans="4:4" x14ac:dyDescent="0.2">
      <c r="D1260" s="135">
        <v>13.97</v>
      </c>
    </row>
    <row r="1261" spans="4:4" x14ac:dyDescent="0.2">
      <c r="D1261" s="135">
        <v>13.98</v>
      </c>
    </row>
    <row r="1262" spans="4:4" x14ac:dyDescent="0.2">
      <c r="D1262" s="135">
        <v>13.99</v>
      </c>
    </row>
    <row r="1263" spans="4:4" x14ac:dyDescent="0.2">
      <c r="D1263" s="135">
        <v>14</v>
      </c>
    </row>
    <row r="1264" spans="4:4" x14ac:dyDescent="0.2">
      <c r="D1264" s="135">
        <v>14.01</v>
      </c>
    </row>
    <row r="1265" spans="4:4" x14ac:dyDescent="0.2">
      <c r="D1265" s="135">
        <v>14.02</v>
      </c>
    </row>
    <row r="1266" spans="4:4" x14ac:dyDescent="0.2">
      <c r="D1266" s="135">
        <v>14.03</v>
      </c>
    </row>
    <row r="1267" spans="4:4" x14ac:dyDescent="0.2">
      <c r="D1267" s="135">
        <v>14.04</v>
      </c>
    </row>
    <row r="1268" spans="4:4" x14ac:dyDescent="0.2">
      <c r="D1268" s="135">
        <v>14.05</v>
      </c>
    </row>
    <row r="1269" spans="4:4" x14ac:dyDescent="0.2">
      <c r="D1269" s="135">
        <v>14.06</v>
      </c>
    </row>
    <row r="1270" spans="4:4" x14ac:dyDescent="0.2">
      <c r="D1270" s="135">
        <v>14.07</v>
      </c>
    </row>
    <row r="1271" spans="4:4" x14ac:dyDescent="0.2">
      <c r="D1271" s="135">
        <v>14.08</v>
      </c>
    </row>
    <row r="1272" spans="4:4" x14ac:dyDescent="0.2">
      <c r="D1272" s="135">
        <v>14.09</v>
      </c>
    </row>
    <row r="1273" spans="4:4" x14ac:dyDescent="0.2">
      <c r="D1273" s="135">
        <v>14.1</v>
      </c>
    </row>
    <row r="1274" spans="4:4" x14ac:dyDescent="0.2">
      <c r="D1274" s="135">
        <v>14.11</v>
      </c>
    </row>
    <row r="1275" spans="4:4" x14ac:dyDescent="0.2">
      <c r="D1275" s="135">
        <v>14.12</v>
      </c>
    </row>
    <row r="1276" spans="4:4" x14ac:dyDescent="0.2">
      <c r="D1276" s="135">
        <v>14.13</v>
      </c>
    </row>
    <row r="1277" spans="4:4" x14ac:dyDescent="0.2">
      <c r="D1277" s="135">
        <v>14.14</v>
      </c>
    </row>
    <row r="1278" spans="4:4" x14ac:dyDescent="0.2">
      <c r="D1278" s="135">
        <v>14.15</v>
      </c>
    </row>
    <row r="1279" spans="4:4" x14ac:dyDescent="0.2">
      <c r="D1279" s="135">
        <v>14.16</v>
      </c>
    </row>
    <row r="1280" spans="4:4" x14ac:dyDescent="0.2">
      <c r="D1280" s="135">
        <v>14.17</v>
      </c>
    </row>
    <row r="1281" spans="4:4" x14ac:dyDescent="0.2">
      <c r="D1281" s="135">
        <v>14.18</v>
      </c>
    </row>
    <row r="1282" spans="4:4" x14ac:dyDescent="0.2">
      <c r="D1282" s="135">
        <v>14.19</v>
      </c>
    </row>
    <row r="1283" spans="4:4" x14ac:dyDescent="0.2">
      <c r="D1283" s="135">
        <v>14.2</v>
      </c>
    </row>
    <row r="1284" spans="4:4" x14ac:dyDescent="0.2">
      <c r="D1284" s="135">
        <v>14.21</v>
      </c>
    </row>
    <row r="1285" spans="4:4" x14ac:dyDescent="0.2">
      <c r="D1285" s="135">
        <v>14.22</v>
      </c>
    </row>
    <row r="1286" spans="4:4" x14ac:dyDescent="0.2">
      <c r="D1286" s="135">
        <v>14.23</v>
      </c>
    </row>
    <row r="1287" spans="4:4" x14ac:dyDescent="0.2">
      <c r="D1287" s="135">
        <v>14.24</v>
      </c>
    </row>
    <row r="1288" spans="4:4" x14ac:dyDescent="0.2">
      <c r="D1288" s="135">
        <v>14.25</v>
      </c>
    </row>
    <row r="1289" spans="4:4" x14ac:dyDescent="0.2">
      <c r="D1289" s="135">
        <v>14.26</v>
      </c>
    </row>
    <row r="1290" spans="4:4" x14ac:dyDescent="0.2">
      <c r="D1290" s="135">
        <v>14.27</v>
      </c>
    </row>
    <row r="1291" spans="4:4" x14ac:dyDescent="0.2">
      <c r="D1291" s="135">
        <v>14.28</v>
      </c>
    </row>
    <row r="1292" spans="4:4" x14ac:dyDescent="0.2">
      <c r="D1292" s="135">
        <v>14.29</v>
      </c>
    </row>
    <row r="1293" spans="4:4" x14ac:dyDescent="0.2">
      <c r="D1293" s="135">
        <v>14.3</v>
      </c>
    </row>
    <row r="1294" spans="4:4" x14ac:dyDescent="0.2">
      <c r="D1294" s="135">
        <v>14.31</v>
      </c>
    </row>
    <row r="1295" spans="4:4" x14ac:dyDescent="0.2">
      <c r="D1295" s="135">
        <v>14.32</v>
      </c>
    </row>
    <row r="1296" spans="4:4" x14ac:dyDescent="0.2">
      <c r="D1296" s="135">
        <v>14.33</v>
      </c>
    </row>
    <row r="1297" spans="4:4" x14ac:dyDescent="0.2">
      <c r="D1297" s="135">
        <v>14.34</v>
      </c>
    </row>
    <row r="1298" spans="4:4" x14ac:dyDescent="0.2">
      <c r="D1298" s="135">
        <v>14.35</v>
      </c>
    </row>
    <row r="1299" spans="4:4" x14ac:dyDescent="0.2">
      <c r="D1299" s="135">
        <v>14.36</v>
      </c>
    </row>
    <row r="1300" spans="4:4" x14ac:dyDescent="0.2">
      <c r="D1300" s="135">
        <v>14.37</v>
      </c>
    </row>
    <row r="1301" spans="4:4" x14ac:dyDescent="0.2">
      <c r="D1301" s="135">
        <v>14.38</v>
      </c>
    </row>
    <row r="1302" spans="4:4" x14ac:dyDescent="0.2">
      <c r="D1302" s="135">
        <v>14.39</v>
      </c>
    </row>
    <row r="1303" spans="4:4" x14ac:dyDescent="0.2">
      <c r="D1303" s="135">
        <v>14.4</v>
      </c>
    </row>
    <row r="1304" spans="4:4" x14ac:dyDescent="0.2">
      <c r="D1304" s="135">
        <v>14.41</v>
      </c>
    </row>
    <row r="1305" spans="4:4" x14ac:dyDescent="0.2">
      <c r="D1305" s="135">
        <v>14.42</v>
      </c>
    </row>
    <row r="1306" spans="4:4" x14ac:dyDescent="0.2">
      <c r="D1306" s="135">
        <v>14.43</v>
      </c>
    </row>
    <row r="1307" spans="4:4" x14ac:dyDescent="0.2">
      <c r="D1307" s="135">
        <v>14.44</v>
      </c>
    </row>
    <row r="1308" spans="4:4" x14ac:dyDescent="0.2">
      <c r="D1308" s="135">
        <v>14.45</v>
      </c>
    </row>
    <row r="1309" spans="4:4" x14ac:dyDescent="0.2">
      <c r="D1309" s="135">
        <v>14.46</v>
      </c>
    </row>
    <row r="1310" spans="4:4" x14ac:dyDescent="0.2">
      <c r="D1310" s="135">
        <v>14.47</v>
      </c>
    </row>
    <row r="1311" spans="4:4" x14ac:dyDescent="0.2">
      <c r="D1311" s="135">
        <v>14.48</v>
      </c>
    </row>
    <row r="1312" spans="4:4" x14ac:dyDescent="0.2">
      <c r="D1312" s="135">
        <v>14.49</v>
      </c>
    </row>
    <row r="1313" spans="4:4" x14ac:dyDescent="0.2">
      <c r="D1313" s="135">
        <v>14.5</v>
      </c>
    </row>
    <row r="1314" spans="4:4" x14ac:dyDescent="0.2">
      <c r="D1314" s="135">
        <v>14.51</v>
      </c>
    </row>
    <row r="1315" spans="4:4" x14ac:dyDescent="0.2">
      <c r="D1315" s="135">
        <v>14.52</v>
      </c>
    </row>
    <row r="1316" spans="4:4" x14ac:dyDescent="0.2">
      <c r="D1316" s="135">
        <v>14.53</v>
      </c>
    </row>
    <row r="1317" spans="4:4" x14ac:dyDescent="0.2">
      <c r="D1317" s="135">
        <v>14.54</v>
      </c>
    </row>
    <row r="1318" spans="4:4" x14ac:dyDescent="0.2">
      <c r="D1318" s="135">
        <v>14.55</v>
      </c>
    </row>
    <row r="1319" spans="4:4" x14ac:dyDescent="0.2">
      <c r="D1319" s="135">
        <v>14.56</v>
      </c>
    </row>
    <row r="1320" spans="4:4" x14ac:dyDescent="0.2">
      <c r="D1320" s="135">
        <v>14.57</v>
      </c>
    </row>
    <row r="1321" spans="4:4" x14ac:dyDescent="0.2">
      <c r="D1321" s="135">
        <v>14.58</v>
      </c>
    </row>
    <row r="1322" spans="4:4" x14ac:dyDescent="0.2">
      <c r="D1322" s="135">
        <v>14.59</v>
      </c>
    </row>
    <row r="1323" spans="4:4" x14ac:dyDescent="0.2">
      <c r="D1323" s="135">
        <v>14.6</v>
      </c>
    </row>
    <row r="1324" spans="4:4" x14ac:dyDescent="0.2">
      <c r="D1324" s="135">
        <v>14.61</v>
      </c>
    </row>
    <row r="1325" spans="4:4" x14ac:dyDescent="0.2">
      <c r="D1325" s="135">
        <v>14.62</v>
      </c>
    </row>
    <row r="1326" spans="4:4" x14ac:dyDescent="0.2">
      <c r="D1326" s="135">
        <v>14.63</v>
      </c>
    </row>
    <row r="1327" spans="4:4" x14ac:dyDescent="0.2">
      <c r="D1327" s="135">
        <v>14.64</v>
      </c>
    </row>
    <row r="1328" spans="4:4" x14ac:dyDescent="0.2">
      <c r="D1328" s="135">
        <v>14.65</v>
      </c>
    </row>
    <row r="1329" spans="4:4" x14ac:dyDescent="0.2">
      <c r="D1329" s="135">
        <v>14.66</v>
      </c>
    </row>
    <row r="1330" spans="4:4" x14ac:dyDescent="0.2">
      <c r="D1330" s="135">
        <v>14.67</v>
      </c>
    </row>
    <row r="1331" spans="4:4" x14ac:dyDescent="0.2">
      <c r="D1331" s="135">
        <v>14.68</v>
      </c>
    </row>
    <row r="1332" spans="4:4" x14ac:dyDescent="0.2">
      <c r="D1332" s="135">
        <v>14.69</v>
      </c>
    </row>
    <row r="1333" spans="4:4" x14ac:dyDescent="0.2">
      <c r="D1333" s="135">
        <v>14.7</v>
      </c>
    </row>
    <row r="1334" spans="4:4" x14ac:dyDescent="0.2">
      <c r="D1334" s="135">
        <v>14.71</v>
      </c>
    </row>
    <row r="1335" spans="4:4" x14ac:dyDescent="0.2">
      <c r="D1335" s="135">
        <v>14.72</v>
      </c>
    </row>
    <row r="1336" spans="4:4" x14ac:dyDescent="0.2">
      <c r="D1336" s="135">
        <v>14.73</v>
      </c>
    </row>
    <row r="1337" spans="4:4" x14ac:dyDescent="0.2">
      <c r="D1337" s="135">
        <v>14.74</v>
      </c>
    </row>
    <row r="1338" spans="4:4" x14ac:dyDescent="0.2">
      <c r="D1338" s="135">
        <v>14.75</v>
      </c>
    </row>
    <row r="1339" spans="4:4" x14ac:dyDescent="0.2">
      <c r="D1339" s="135">
        <v>14.76</v>
      </c>
    </row>
    <row r="1340" spans="4:4" x14ac:dyDescent="0.2">
      <c r="D1340" s="135">
        <v>14.77</v>
      </c>
    </row>
    <row r="1341" spans="4:4" x14ac:dyDescent="0.2">
      <c r="D1341" s="135">
        <v>14.78</v>
      </c>
    </row>
    <row r="1342" spans="4:4" x14ac:dyDescent="0.2">
      <c r="D1342" s="135">
        <v>14.79</v>
      </c>
    </row>
    <row r="1343" spans="4:4" x14ac:dyDescent="0.2">
      <c r="D1343" s="135">
        <v>14.8</v>
      </c>
    </row>
    <row r="1344" spans="4:4" x14ac:dyDescent="0.2">
      <c r="D1344" s="135">
        <v>14.81</v>
      </c>
    </row>
    <row r="1345" spans="4:4" x14ac:dyDescent="0.2">
      <c r="D1345" s="135">
        <v>14.82</v>
      </c>
    </row>
    <row r="1346" spans="4:4" x14ac:dyDescent="0.2">
      <c r="D1346" s="135">
        <v>14.83</v>
      </c>
    </row>
    <row r="1347" spans="4:4" x14ac:dyDescent="0.2">
      <c r="D1347" s="135">
        <v>14.84</v>
      </c>
    </row>
    <row r="1348" spans="4:4" x14ac:dyDescent="0.2">
      <c r="D1348" s="135">
        <v>14.85</v>
      </c>
    </row>
    <row r="1349" spans="4:4" x14ac:dyDescent="0.2">
      <c r="D1349" s="135">
        <v>14.86</v>
      </c>
    </row>
    <row r="1350" spans="4:4" x14ac:dyDescent="0.2">
      <c r="D1350" s="135">
        <v>14.87</v>
      </c>
    </row>
    <row r="1351" spans="4:4" x14ac:dyDescent="0.2">
      <c r="D1351" s="135">
        <v>14.88</v>
      </c>
    </row>
    <row r="1352" spans="4:4" x14ac:dyDescent="0.2">
      <c r="D1352" s="135">
        <v>14.89</v>
      </c>
    </row>
    <row r="1353" spans="4:4" x14ac:dyDescent="0.2">
      <c r="D1353" s="135">
        <v>14.9</v>
      </c>
    </row>
    <row r="1354" spans="4:4" x14ac:dyDescent="0.2">
      <c r="D1354" s="135">
        <v>14.91</v>
      </c>
    </row>
    <row r="1355" spans="4:4" x14ac:dyDescent="0.2">
      <c r="D1355" s="135">
        <v>14.92</v>
      </c>
    </row>
    <row r="1356" spans="4:4" x14ac:dyDescent="0.2">
      <c r="D1356" s="135">
        <v>14.93</v>
      </c>
    </row>
    <row r="1357" spans="4:4" x14ac:dyDescent="0.2">
      <c r="D1357" s="135">
        <v>14.94</v>
      </c>
    </row>
    <row r="1358" spans="4:4" x14ac:dyDescent="0.2">
      <c r="D1358" s="135">
        <v>14.95</v>
      </c>
    </row>
    <row r="1359" spans="4:4" x14ac:dyDescent="0.2">
      <c r="D1359" s="135">
        <v>14.96</v>
      </c>
    </row>
    <row r="1360" spans="4:4" x14ac:dyDescent="0.2">
      <c r="D1360" s="135">
        <v>14.97</v>
      </c>
    </row>
    <row r="1361" spans="4:4" x14ac:dyDescent="0.2">
      <c r="D1361" s="135">
        <v>14.98</v>
      </c>
    </row>
    <row r="1362" spans="4:4" x14ac:dyDescent="0.2">
      <c r="D1362" s="135">
        <v>14.99</v>
      </c>
    </row>
    <row r="1363" spans="4:4" x14ac:dyDescent="0.2">
      <c r="D1363" s="135">
        <v>15</v>
      </c>
    </row>
    <row r="1364" spans="4:4" x14ac:dyDescent="0.2">
      <c r="D1364" s="135">
        <v>15.01</v>
      </c>
    </row>
    <row r="1365" spans="4:4" x14ac:dyDescent="0.2">
      <c r="D1365" s="135">
        <v>15.02</v>
      </c>
    </row>
    <row r="1366" spans="4:4" x14ac:dyDescent="0.2">
      <c r="D1366" s="135">
        <v>15.03</v>
      </c>
    </row>
    <row r="1367" spans="4:4" x14ac:dyDescent="0.2">
      <c r="D1367" s="135">
        <v>15.04</v>
      </c>
    </row>
    <row r="1368" spans="4:4" x14ac:dyDescent="0.2">
      <c r="D1368" s="135">
        <v>15.05</v>
      </c>
    </row>
    <row r="1369" spans="4:4" x14ac:dyDescent="0.2">
      <c r="D1369" s="135">
        <v>15.06</v>
      </c>
    </row>
    <row r="1370" spans="4:4" x14ac:dyDescent="0.2">
      <c r="D1370" s="135">
        <v>15.07</v>
      </c>
    </row>
    <row r="1371" spans="4:4" x14ac:dyDescent="0.2">
      <c r="D1371" s="135">
        <v>15.08</v>
      </c>
    </row>
    <row r="1372" spans="4:4" x14ac:dyDescent="0.2">
      <c r="D1372" s="135">
        <v>15.09</v>
      </c>
    </row>
    <row r="1373" spans="4:4" x14ac:dyDescent="0.2">
      <c r="D1373" s="135">
        <v>15.1</v>
      </c>
    </row>
    <row r="1374" spans="4:4" x14ac:dyDescent="0.2">
      <c r="D1374" s="135">
        <v>15.11</v>
      </c>
    </row>
    <row r="1375" spans="4:4" x14ac:dyDescent="0.2">
      <c r="D1375" s="135">
        <v>15.12</v>
      </c>
    </row>
    <row r="1376" spans="4:4" x14ac:dyDescent="0.2">
      <c r="D1376" s="135">
        <v>15.13</v>
      </c>
    </row>
    <row r="1377" spans="4:4" x14ac:dyDescent="0.2">
      <c r="D1377" s="135">
        <v>15.14</v>
      </c>
    </row>
    <row r="1378" spans="4:4" x14ac:dyDescent="0.2">
      <c r="D1378" s="135">
        <v>15.15</v>
      </c>
    </row>
    <row r="1379" spans="4:4" x14ac:dyDescent="0.2">
      <c r="D1379" s="135">
        <v>15.16</v>
      </c>
    </row>
    <row r="1380" spans="4:4" x14ac:dyDescent="0.2">
      <c r="D1380" s="135">
        <v>15.17</v>
      </c>
    </row>
    <row r="1381" spans="4:4" x14ac:dyDescent="0.2">
      <c r="D1381" s="135">
        <v>15.18</v>
      </c>
    </row>
    <row r="1382" spans="4:4" x14ac:dyDescent="0.2">
      <c r="D1382" s="135">
        <v>15.19</v>
      </c>
    </row>
    <row r="1383" spans="4:4" x14ac:dyDescent="0.2">
      <c r="D1383" s="135">
        <v>15.2</v>
      </c>
    </row>
    <row r="1384" spans="4:4" x14ac:dyDescent="0.2">
      <c r="D1384" s="135">
        <v>15.21</v>
      </c>
    </row>
    <row r="1385" spans="4:4" x14ac:dyDescent="0.2">
      <c r="D1385" s="135">
        <v>15.22</v>
      </c>
    </row>
    <row r="1386" spans="4:4" x14ac:dyDescent="0.2">
      <c r="D1386" s="135">
        <v>15.23</v>
      </c>
    </row>
    <row r="1387" spans="4:4" x14ac:dyDescent="0.2">
      <c r="D1387" s="135">
        <v>15.24</v>
      </c>
    </row>
    <row r="1388" spans="4:4" x14ac:dyDescent="0.2">
      <c r="D1388" s="135">
        <v>15.25</v>
      </c>
    </row>
    <row r="1389" spans="4:4" x14ac:dyDescent="0.2">
      <c r="D1389" s="135">
        <v>15.26</v>
      </c>
    </row>
    <row r="1390" spans="4:4" x14ac:dyDescent="0.2">
      <c r="D1390" s="135">
        <v>15.27</v>
      </c>
    </row>
    <row r="1391" spans="4:4" x14ac:dyDescent="0.2">
      <c r="D1391" s="135">
        <v>15.28</v>
      </c>
    </row>
    <row r="1392" spans="4:4" x14ac:dyDescent="0.2">
      <c r="D1392" s="135">
        <v>15.29</v>
      </c>
    </row>
    <row r="1393" spans="4:4" x14ac:dyDescent="0.2">
      <c r="D1393" s="135">
        <v>15.3</v>
      </c>
    </row>
    <row r="1394" spans="4:4" x14ac:dyDescent="0.2">
      <c r="D1394" s="135">
        <v>15.31</v>
      </c>
    </row>
    <row r="1395" spans="4:4" x14ac:dyDescent="0.2">
      <c r="D1395" s="135">
        <v>15.32</v>
      </c>
    </row>
    <row r="1396" spans="4:4" x14ac:dyDescent="0.2">
      <c r="D1396" s="135">
        <v>15.33</v>
      </c>
    </row>
    <row r="1397" spans="4:4" x14ac:dyDescent="0.2">
      <c r="D1397" s="135">
        <v>15.34</v>
      </c>
    </row>
    <row r="1398" spans="4:4" x14ac:dyDescent="0.2">
      <c r="D1398" s="135">
        <v>15.35</v>
      </c>
    </row>
    <row r="1399" spans="4:4" x14ac:dyDescent="0.2">
      <c r="D1399" s="135">
        <v>15.36</v>
      </c>
    </row>
    <row r="1400" spans="4:4" x14ac:dyDescent="0.2">
      <c r="D1400" s="135">
        <v>15.37</v>
      </c>
    </row>
    <row r="1401" spans="4:4" x14ac:dyDescent="0.2">
      <c r="D1401" s="135">
        <v>15.38</v>
      </c>
    </row>
    <row r="1402" spans="4:4" x14ac:dyDescent="0.2">
      <c r="D1402" s="135">
        <v>15.39</v>
      </c>
    </row>
    <row r="1403" spans="4:4" x14ac:dyDescent="0.2">
      <c r="D1403" s="135">
        <v>15.4</v>
      </c>
    </row>
    <row r="1404" spans="4:4" x14ac:dyDescent="0.2">
      <c r="D1404" s="135">
        <v>15.41</v>
      </c>
    </row>
    <row r="1405" spans="4:4" x14ac:dyDescent="0.2">
      <c r="D1405" s="135">
        <v>15.42</v>
      </c>
    </row>
    <row r="1406" spans="4:4" x14ac:dyDescent="0.2">
      <c r="D1406" s="135">
        <v>15.43</v>
      </c>
    </row>
    <row r="1407" spans="4:4" x14ac:dyDescent="0.2">
      <c r="D1407" s="135">
        <v>15.44</v>
      </c>
    </row>
    <row r="1408" spans="4:4" x14ac:dyDescent="0.2">
      <c r="D1408" s="135">
        <v>15.45</v>
      </c>
    </row>
    <row r="1409" spans="4:4" x14ac:dyDescent="0.2">
      <c r="D1409" s="135">
        <v>15.46</v>
      </c>
    </row>
    <row r="1410" spans="4:4" x14ac:dyDescent="0.2">
      <c r="D1410" s="135">
        <v>15.47</v>
      </c>
    </row>
    <row r="1411" spans="4:4" x14ac:dyDescent="0.2">
      <c r="D1411" s="135">
        <v>15.48</v>
      </c>
    </row>
    <row r="1412" spans="4:4" x14ac:dyDescent="0.2">
      <c r="D1412" s="135">
        <v>15.49</v>
      </c>
    </row>
    <row r="1413" spans="4:4" x14ac:dyDescent="0.2">
      <c r="D1413" s="135">
        <v>15.5</v>
      </c>
    </row>
    <row r="1414" spans="4:4" x14ac:dyDescent="0.2">
      <c r="D1414" s="135">
        <v>15.51</v>
      </c>
    </row>
    <row r="1415" spans="4:4" x14ac:dyDescent="0.2">
      <c r="D1415" s="135">
        <v>15.52</v>
      </c>
    </row>
    <row r="1416" spans="4:4" x14ac:dyDescent="0.2">
      <c r="D1416" s="135">
        <v>15.53</v>
      </c>
    </row>
    <row r="1417" spans="4:4" x14ac:dyDescent="0.2">
      <c r="D1417" s="135">
        <v>15.54</v>
      </c>
    </row>
    <row r="1418" spans="4:4" x14ac:dyDescent="0.2">
      <c r="D1418" s="135">
        <v>15.55</v>
      </c>
    </row>
    <row r="1419" spans="4:4" x14ac:dyDescent="0.2">
      <c r="D1419" s="135">
        <v>15.56</v>
      </c>
    </row>
    <row r="1420" spans="4:4" x14ac:dyDescent="0.2">
      <c r="D1420" s="135">
        <v>15.57</v>
      </c>
    </row>
    <row r="1421" spans="4:4" x14ac:dyDescent="0.2">
      <c r="D1421" s="135">
        <v>15.58</v>
      </c>
    </row>
    <row r="1422" spans="4:4" x14ac:dyDescent="0.2">
      <c r="D1422" s="135">
        <v>15.59</v>
      </c>
    </row>
    <row r="1423" spans="4:4" x14ac:dyDescent="0.2">
      <c r="D1423" s="135">
        <v>15.6</v>
      </c>
    </row>
    <row r="1424" spans="4:4" x14ac:dyDescent="0.2">
      <c r="D1424" s="135">
        <v>15.61</v>
      </c>
    </row>
    <row r="1425" spans="4:4" x14ac:dyDescent="0.2">
      <c r="D1425" s="135">
        <v>15.62</v>
      </c>
    </row>
    <row r="1426" spans="4:4" x14ac:dyDescent="0.2">
      <c r="D1426" s="135">
        <v>15.63</v>
      </c>
    </row>
    <row r="1427" spans="4:4" x14ac:dyDescent="0.2">
      <c r="D1427" s="135">
        <v>15.64</v>
      </c>
    </row>
    <row r="1428" spans="4:4" x14ac:dyDescent="0.2">
      <c r="D1428" s="135">
        <v>15.65</v>
      </c>
    </row>
    <row r="1429" spans="4:4" x14ac:dyDescent="0.2">
      <c r="D1429" s="135">
        <v>15.66</v>
      </c>
    </row>
    <row r="1430" spans="4:4" x14ac:dyDescent="0.2">
      <c r="D1430" s="135">
        <v>15.67</v>
      </c>
    </row>
    <row r="1431" spans="4:4" x14ac:dyDescent="0.2">
      <c r="D1431" s="135">
        <v>15.68</v>
      </c>
    </row>
    <row r="1432" spans="4:4" x14ac:dyDescent="0.2">
      <c r="D1432" s="135">
        <v>15.69</v>
      </c>
    </row>
    <row r="1433" spans="4:4" x14ac:dyDescent="0.2">
      <c r="D1433" s="135">
        <v>15.7</v>
      </c>
    </row>
    <row r="1434" spans="4:4" x14ac:dyDescent="0.2">
      <c r="D1434" s="135">
        <v>15.71</v>
      </c>
    </row>
    <row r="1435" spans="4:4" x14ac:dyDescent="0.2">
      <c r="D1435" s="135">
        <v>15.72</v>
      </c>
    </row>
    <row r="1436" spans="4:4" x14ac:dyDescent="0.2">
      <c r="D1436" s="135">
        <v>15.73</v>
      </c>
    </row>
    <row r="1437" spans="4:4" x14ac:dyDescent="0.2">
      <c r="D1437" s="135">
        <v>15.74</v>
      </c>
    </row>
    <row r="1438" spans="4:4" x14ac:dyDescent="0.2">
      <c r="D1438" s="135">
        <v>15.75</v>
      </c>
    </row>
    <row r="1439" spans="4:4" x14ac:dyDescent="0.2">
      <c r="D1439" s="135">
        <v>15.76</v>
      </c>
    </row>
    <row r="1440" spans="4:4" x14ac:dyDescent="0.2">
      <c r="D1440" s="135">
        <v>15.77</v>
      </c>
    </row>
    <row r="1441" spans="4:4" x14ac:dyDescent="0.2">
      <c r="D1441" s="135">
        <v>15.78</v>
      </c>
    </row>
    <row r="1442" spans="4:4" x14ac:dyDescent="0.2">
      <c r="D1442" s="135">
        <v>15.79</v>
      </c>
    </row>
    <row r="1443" spans="4:4" x14ac:dyDescent="0.2">
      <c r="D1443" s="135">
        <v>15.8</v>
      </c>
    </row>
    <row r="1444" spans="4:4" x14ac:dyDescent="0.2">
      <c r="D1444" s="135">
        <v>15.81</v>
      </c>
    </row>
    <row r="1445" spans="4:4" x14ac:dyDescent="0.2">
      <c r="D1445" s="135">
        <v>15.82</v>
      </c>
    </row>
    <row r="1446" spans="4:4" x14ac:dyDescent="0.2">
      <c r="D1446" s="135">
        <v>15.83</v>
      </c>
    </row>
    <row r="1447" spans="4:4" x14ac:dyDescent="0.2">
      <c r="D1447" s="135">
        <v>15.84</v>
      </c>
    </row>
    <row r="1448" spans="4:4" x14ac:dyDescent="0.2">
      <c r="D1448" s="135">
        <v>15.85</v>
      </c>
    </row>
    <row r="1449" spans="4:4" x14ac:dyDescent="0.2">
      <c r="D1449" s="135">
        <v>15.86</v>
      </c>
    </row>
    <row r="1450" spans="4:4" x14ac:dyDescent="0.2">
      <c r="D1450" s="135">
        <v>15.87</v>
      </c>
    </row>
    <row r="1451" spans="4:4" x14ac:dyDescent="0.2">
      <c r="D1451" s="135">
        <v>15.88</v>
      </c>
    </row>
    <row r="1452" spans="4:4" x14ac:dyDescent="0.2">
      <c r="D1452" s="135">
        <v>15.89</v>
      </c>
    </row>
    <row r="1453" spans="4:4" x14ac:dyDescent="0.2">
      <c r="D1453" s="135">
        <v>15.9</v>
      </c>
    </row>
    <row r="1454" spans="4:4" x14ac:dyDescent="0.2">
      <c r="D1454" s="135">
        <v>15.91</v>
      </c>
    </row>
    <row r="1455" spans="4:4" x14ac:dyDescent="0.2">
      <c r="D1455" s="135">
        <v>15.92</v>
      </c>
    </row>
    <row r="1456" spans="4:4" x14ac:dyDescent="0.2">
      <c r="D1456" s="135">
        <v>15.93</v>
      </c>
    </row>
    <row r="1457" spans="4:4" x14ac:dyDescent="0.2">
      <c r="D1457" s="135">
        <v>15.94</v>
      </c>
    </row>
    <row r="1458" spans="4:4" x14ac:dyDescent="0.2">
      <c r="D1458" s="135">
        <v>15.95</v>
      </c>
    </row>
    <row r="1459" spans="4:4" x14ac:dyDescent="0.2">
      <c r="D1459" s="135">
        <v>15.96</v>
      </c>
    </row>
    <row r="1460" spans="4:4" x14ac:dyDescent="0.2">
      <c r="D1460" s="135">
        <v>15.97</v>
      </c>
    </row>
    <row r="1461" spans="4:4" x14ac:dyDescent="0.2">
      <c r="D1461" s="135">
        <v>15.98</v>
      </c>
    </row>
    <row r="1462" spans="4:4" x14ac:dyDescent="0.2">
      <c r="D1462" s="135">
        <v>15.99</v>
      </c>
    </row>
    <row r="1463" spans="4:4" x14ac:dyDescent="0.2">
      <c r="D1463" s="135">
        <v>16</v>
      </c>
    </row>
    <row r="1464" spans="4:4" x14ac:dyDescent="0.2">
      <c r="D1464" s="135">
        <v>16.010000000000002</v>
      </c>
    </row>
    <row r="1465" spans="4:4" x14ac:dyDescent="0.2">
      <c r="D1465" s="135">
        <v>16.02</v>
      </c>
    </row>
    <row r="1466" spans="4:4" x14ac:dyDescent="0.2">
      <c r="D1466" s="135">
        <v>16.03</v>
      </c>
    </row>
    <row r="1467" spans="4:4" x14ac:dyDescent="0.2">
      <c r="D1467" s="135">
        <v>16.04</v>
      </c>
    </row>
    <row r="1468" spans="4:4" x14ac:dyDescent="0.2">
      <c r="D1468" s="135">
        <v>16.05</v>
      </c>
    </row>
    <row r="1469" spans="4:4" x14ac:dyDescent="0.2">
      <c r="D1469" s="135">
        <v>16.059999999999999</v>
      </c>
    </row>
    <row r="1470" spans="4:4" x14ac:dyDescent="0.2">
      <c r="D1470" s="135">
        <v>16.07</v>
      </c>
    </row>
    <row r="1471" spans="4:4" x14ac:dyDescent="0.2">
      <c r="D1471" s="135">
        <v>16.079999999999998</v>
      </c>
    </row>
    <row r="1472" spans="4:4" x14ac:dyDescent="0.2">
      <c r="D1472" s="135">
        <v>16.09</v>
      </c>
    </row>
    <row r="1473" spans="4:4" x14ac:dyDescent="0.2">
      <c r="D1473" s="135">
        <v>16.100000000000001</v>
      </c>
    </row>
    <row r="1474" spans="4:4" x14ac:dyDescent="0.2">
      <c r="D1474" s="135">
        <v>16.11</v>
      </c>
    </row>
    <row r="1475" spans="4:4" x14ac:dyDescent="0.2">
      <c r="D1475" s="135">
        <v>16.12</v>
      </c>
    </row>
    <row r="1476" spans="4:4" x14ac:dyDescent="0.2">
      <c r="D1476" s="135">
        <v>16.13</v>
      </c>
    </row>
    <row r="1477" spans="4:4" x14ac:dyDescent="0.2">
      <c r="D1477" s="135">
        <v>16.14</v>
      </c>
    </row>
    <row r="1478" spans="4:4" x14ac:dyDescent="0.2">
      <c r="D1478" s="135">
        <v>16.149999999999999</v>
      </c>
    </row>
    <row r="1479" spans="4:4" x14ac:dyDescent="0.2">
      <c r="D1479" s="135">
        <v>16.16</v>
      </c>
    </row>
    <row r="1480" spans="4:4" x14ac:dyDescent="0.2">
      <c r="D1480" s="135">
        <v>16.170000000000002</v>
      </c>
    </row>
    <row r="1481" spans="4:4" x14ac:dyDescent="0.2">
      <c r="D1481" s="135">
        <v>16.18</v>
      </c>
    </row>
    <row r="1482" spans="4:4" x14ac:dyDescent="0.2">
      <c r="D1482" s="135">
        <v>16.190000000000001</v>
      </c>
    </row>
    <row r="1483" spans="4:4" x14ac:dyDescent="0.2">
      <c r="D1483" s="135">
        <v>16.2</v>
      </c>
    </row>
    <row r="1484" spans="4:4" x14ac:dyDescent="0.2">
      <c r="D1484" s="135">
        <v>16.21</v>
      </c>
    </row>
    <row r="1485" spans="4:4" x14ac:dyDescent="0.2">
      <c r="D1485" s="135">
        <v>16.22</v>
      </c>
    </row>
    <row r="1486" spans="4:4" x14ac:dyDescent="0.2">
      <c r="D1486" s="135">
        <v>16.23</v>
      </c>
    </row>
    <row r="1487" spans="4:4" x14ac:dyDescent="0.2">
      <c r="D1487" s="135">
        <v>16.239999999999998</v>
      </c>
    </row>
    <row r="1488" spans="4:4" x14ac:dyDescent="0.2">
      <c r="D1488" s="135">
        <v>16.25</v>
      </c>
    </row>
    <row r="1489" spans="4:4" x14ac:dyDescent="0.2">
      <c r="D1489" s="135">
        <v>16.260000000000002</v>
      </c>
    </row>
    <row r="1490" spans="4:4" x14ac:dyDescent="0.2">
      <c r="D1490" s="135">
        <v>16.27</v>
      </c>
    </row>
    <row r="1491" spans="4:4" x14ac:dyDescent="0.2">
      <c r="D1491" s="135">
        <v>16.28</v>
      </c>
    </row>
    <row r="1492" spans="4:4" x14ac:dyDescent="0.2">
      <c r="D1492" s="135">
        <v>16.29</v>
      </c>
    </row>
    <row r="1493" spans="4:4" x14ac:dyDescent="0.2">
      <c r="D1493" s="135">
        <v>16.3</v>
      </c>
    </row>
    <row r="1494" spans="4:4" x14ac:dyDescent="0.2">
      <c r="D1494" s="135">
        <v>16.309999999999999</v>
      </c>
    </row>
    <row r="1495" spans="4:4" x14ac:dyDescent="0.2">
      <c r="D1495" s="135">
        <v>16.32</v>
      </c>
    </row>
    <row r="1496" spans="4:4" x14ac:dyDescent="0.2">
      <c r="D1496" s="135">
        <v>16.329999999999998</v>
      </c>
    </row>
    <row r="1497" spans="4:4" x14ac:dyDescent="0.2">
      <c r="D1497" s="135">
        <v>16.34</v>
      </c>
    </row>
    <row r="1498" spans="4:4" x14ac:dyDescent="0.2">
      <c r="D1498" s="135">
        <v>16.350000000000001</v>
      </c>
    </row>
    <row r="1499" spans="4:4" x14ac:dyDescent="0.2">
      <c r="D1499" s="135">
        <v>16.36</v>
      </c>
    </row>
    <row r="1500" spans="4:4" x14ac:dyDescent="0.2">
      <c r="D1500" s="135">
        <v>16.37</v>
      </c>
    </row>
    <row r="1501" spans="4:4" x14ac:dyDescent="0.2">
      <c r="D1501" s="135">
        <v>16.38</v>
      </c>
    </row>
    <row r="1502" spans="4:4" x14ac:dyDescent="0.2">
      <c r="D1502" s="135">
        <v>16.39</v>
      </c>
    </row>
    <row r="1503" spans="4:4" x14ac:dyDescent="0.2">
      <c r="D1503" s="135">
        <v>16.399999999999999</v>
      </c>
    </row>
    <row r="1504" spans="4:4" x14ac:dyDescent="0.2">
      <c r="D1504" s="135">
        <v>16.41</v>
      </c>
    </row>
    <row r="1505" spans="4:4" x14ac:dyDescent="0.2">
      <c r="D1505" s="135">
        <v>16.420000000000002</v>
      </c>
    </row>
    <row r="1506" spans="4:4" x14ac:dyDescent="0.2">
      <c r="D1506" s="135">
        <v>16.43</v>
      </c>
    </row>
    <row r="1507" spans="4:4" x14ac:dyDescent="0.2">
      <c r="D1507" s="135">
        <v>16.440000000000001</v>
      </c>
    </row>
    <row r="1508" spans="4:4" x14ac:dyDescent="0.2">
      <c r="D1508" s="135">
        <v>16.45</v>
      </c>
    </row>
    <row r="1509" spans="4:4" x14ac:dyDescent="0.2">
      <c r="D1509" s="135">
        <v>16.46</v>
      </c>
    </row>
    <row r="1510" spans="4:4" x14ac:dyDescent="0.2">
      <c r="D1510" s="135">
        <v>16.47</v>
      </c>
    </row>
    <row r="1511" spans="4:4" x14ac:dyDescent="0.2">
      <c r="D1511" s="135">
        <v>16.48</v>
      </c>
    </row>
    <row r="1512" spans="4:4" x14ac:dyDescent="0.2">
      <c r="D1512" s="135">
        <v>16.489999999999998</v>
      </c>
    </row>
    <row r="1513" spans="4:4" x14ac:dyDescent="0.2">
      <c r="D1513" s="135">
        <v>16.5</v>
      </c>
    </row>
    <row r="1514" spans="4:4" x14ac:dyDescent="0.2">
      <c r="D1514" s="135">
        <v>16.510000000000002</v>
      </c>
    </row>
    <row r="1515" spans="4:4" x14ac:dyDescent="0.2">
      <c r="D1515" s="135">
        <v>16.52</v>
      </c>
    </row>
    <row r="1516" spans="4:4" x14ac:dyDescent="0.2">
      <c r="D1516" s="135">
        <v>16.53</v>
      </c>
    </row>
    <row r="1517" spans="4:4" x14ac:dyDescent="0.2">
      <c r="D1517" s="135">
        <v>16.54</v>
      </c>
    </row>
    <row r="1518" spans="4:4" x14ac:dyDescent="0.2">
      <c r="D1518" s="135">
        <v>16.55</v>
      </c>
    </row>
    <row r="1519" spans="4:4" x14ac:dyDescent="0.2">
      <c r="D1519" s="135">
        <v>16.559999999999999</v>
      </c>
    </row>
    <row r="1520" spans="4:4" x14ac:dyDescent="0.2">
      <c r="D1520" s="135">
        <v>16.57</v>
      </c>
    </row>
    <row r="1521" spans="4:4" x14ac:dyDescent="0.2">
      <c r="D1521" s="135">
        <v>16.579999999999998</v>
      </c>
    </row>
    <row r="1522" spans="4:4" x14ac:dyDescent="0.2">
      <c r="D1522" s="135">
        <v>16.59</v>
      </c>
    </row>
    <row r="1523" spans="4:4" x14ac:dyDescent="0.2">
      <c r="D1523" s="135">
        <v>16.600000000000001</v>
      </c>
    </row>
    <row r="1524" spans="4:4" x14ac:dyDescent="0.2">
      <c r="D1524" s="135">
        <v>16.61</v>
      </c>
    </row>
    <row r="1525" spans="4:4" x14ac:dyDescent="0.2">
      <c r="D1525" s="135">
        <v>16.62</v>
      </c>
    </row>
    <row r="1526" spans="4:4" x14ac:dyDescent="0.2">
      <c r="D1526" s="135">
        <v>16.63</v>
      </c>
    </row>
    <row r="1527" spans="4:4" x14ac:dyDescent="0.2">
      <c r="D1527" s="135">
        <v>16.64</v>
      </c>
    </row>
    <row r="1528" spans="4:4" x14ac:dyDescent="0.2">
      <c r="D1528" s="135">
        <v>16.649999999999999</v>
      </c>
    </row>
    <row r="1529" spans="4:4" x14ac:dyDescent="0.2">
      <c r="D1529" s="135">
        <v>16.66</v>
      </c>
    </row>
    <row r="1530" spans="4:4" x14ac:dyDescent="0.2">
      <c r="D1530" s="135">
        <v>16.670000000000002</v>
      </c>
    </row>
    <row r="1531" spans="4:4" x14ac:dyDescent="0.2">
      <c r="D1531" s="135">
        <v>16.68</v>
      </c>
    </row>
    <row r="1532" spans="4:4" x14ac:dyDescent="0.2">
      <c r="D1532" s="135">
        <v>16.690000000000001</v>
      </c>
    </row>
    <row r="1533" spans="4:4" x14ac:dyDescent="0.2">
      <c r="D1533" s="135">
        <v>16.7</v>
      </c>
    </row>
    <row r="1534" spans="4:4" x14ac:dyDescent="0.2">
      <c r="D1534" s="135">
        <v>16.71</v>
      </c>
    </row>
    <row r="1535" spans="4:4" x14ac:dyDescent="0.2">
      <c r="D1535" s="135">
        <v>16.72</v>
      </c>
    </row>
    <row r="1536" spans="4:4" x14ac:dyDescent="0.2">
      <c r="D1536" s="135">
        <v>16.73</v>
      </c>
    </row>
    <row r="1537" spans="4:4" x14ac:dyDescent="0.2">
      <c r="D1537" s="135">
        <v>16.739999999999998</v>
      </c>
    </row>
    <row r="1538" spans="4:4" x14ac:dyDescent="0.2">
      <c r="D1538" s="135">
        <v>16.75</v>
      </c>
    </row>
    <row r="1539" spans="4:4" x14ac:dyDescent="0.2">
      <c r="D1539" s="135">
        <v>16.760000000000002</v>
      </c>
    </row>
    <row r="1540" spans="4:4" x14ac:dyDescent="0.2">
      <c r="D1540" s="135">
        <v>16.77</v>
      </c>
    </row>
    <row r="1541" spans="4:4" x14ac:dyDescent="0.2">
      <c r="D1541" s="135">
        <v>16.78</v>
      </c>
    </row>
    <row r="1542" spans="4:4" x14ac:dyDescent="0.2">
      <c r="D1542" s="135">
        <v>16.79</v>
      </c>
    </row>
    <row r="1543" spans="4:4" x14ac:dyDescent="0.2">
      <c r="D1543" s="135">
        <v>16.8</v>
      </c>
    </row>
    <row r="1544" spans="4:4" x14ac:dyDescent="0.2">
      <c r="D1544" s="135">
        <v>16.809999999999999</v>
      </c>
    </row>
    <row r="1545" spans="4:4" x14ac:dyDescent="0.2">
      <c r="D1545" s="135">
        <v>16.82</v>
      </c>
    </row>
    <row r="1546" spans="4:4" x14ac:dyDescent="0.2">
      <c r="D1546" s="135">
        <v>16.829999999999998</v>
      </c>
    </row>
    <row r="1547" spans="4:4" x14ac:dyDescent="0.2">
      <c r="D1547" s="135">
        <v>16.84</v>
      </c>
    </row>
    <row r="1548" spans="4:4" x14ac:dyDescent="0.2">
      <c r="D1548" s="135">
        <v>16.850000000000001</v>
      </c>
    </row>
    <row r="1549" spans="4:4" x14ac:dyDescent="0.2">
      <c r="D1549" s="135">
        <v>16.86</v>
      </c>
    </row>
    <row r="1550" spans="4:4" x14ac:dyDescent="0.2">
      <c r="D1550" s="135">
        <v>16.87</v>
      </c>
    </row>
    <row r="1551" spans="4:4" x14ac:dyDescent="0.2">
      <c r="D1551" s="135">
        <v>16.88</v>
      </c>
    </row>
    <row r="1552" spans="4:4" x14ac:dyDescent="0.2">
      <c r="D1552" s="135">
        <v>16.89</v>
      </c>
    </row>
    <row r="1553" spans="4:4" x14ac:dyDescent="0.2">
      <c r="D1553" s="135">
        <v>16.899999999999999</v>
      </c>
    </row>
    <row r="1554" spans="4:4" x14ac:dyDescent="0.2">
      <c r="D1554" s="135">
        <v>16.91</v>
      </c>
    </row>
    <row r="1555" spans="4:4" x14ac:dyDescent="0.2">
      <c r="D1555" s="135">
        <v>16.920000000000002</v>
      </c>
    </row>
    <row r="1556" spans="4:4" x14ac:dyDescent="0.2">
      <c r="D1556" s="135">
        <v>16.93</v>
      </c>
    </row>
    <row r="1557" spans="4:4" x14ac:dyDescent="0.2">
      <c r="D1557" s="135">
        <v>16.940000000000001</v>
      </c>
    </row>
    <row r="1558" spans="4:4" x14ac:dyDescent="0.2">
      <c r="D1558" s="135">
        <v>16.95</v>
      </c>
    </row>
    <row r="1559" spans="4:4" x14ac:dyDescent="0.2">
      <c r="D1559" s="135">
        <v>16.96</v>
      </c>
    </row>
    <row r="1560" spans="4:4" x14ac:dyDescent="0.2">
      <c r="D1560" s="135">
        <v>16.97</v>
      </c>
    </row>
    <row r="1561" spans="4:4" x14ac:dyDescent="0.2">
      <c r="D1561" s="135">
        <v>16.98</v>
      </c>
    </row>
    <row r="1562" spans="4:4" x14ac:dyDescent="0.2">
      <c r="D1562" s="135">
        <v>16.989999999999998</v>
      </c>
    </row>
    <row r="1563" spans="4:4" x14ac:dyDescent="0.2">
      <c r="D1563" s="135">
        <v>17</v>
      </c>
    </row>
    <row r="1564" spans="4:4" x14ac:dyDescent="0.2">
      <c r="D1564" s="135">
        <v>17.010000000000002</v>
      </c>
    </row>
    <row r="1565" spans="4:4" x14ac:dyDescent="0.2">
      <c r="D1565" s="135">
        <v>17.02</v>
      </c>
    </row>
    <row r="1566" spans="4:4" x14ac:dyDescent="0.2">
      <c r="D1566" s="135">
        <v>17.03</v>
      </c>
    </row>
    <row r="1567" spans="4:4" x14ac:dyDescent="0.2">
      <c r="D1567" s="135">
        <v>17.04</v>
      </c>
    </row>
    <row r="1568" spans="4:4" x14ac:dyDescent="0.2">
      <c r="D1568" s="135">
        <v>17.05</v>
      </c>
    </row>
    <row r="1569" spans="4:4" x14ac:dyDescent="0.2">
      <c r="D1569" s="135">
        <v>17.059999999999999</v>
      </c>
    </row>
    <row r="1570" spans="4:4" x14ac:dyDescent="0.2">
      <c r="D1570" s="135">
        <v>17.07</v>
      </c>
    </row>
    <row r="1571" spans="4:4" x14ac:dyDescent="0.2">
      <c r="D1571" s="135">
        <v>17.079999999999998</v>
      </c>
    </row>
    <row r="1572" spans="4:4" x14ac:dyDescent="0.2">
      <c r="D1572" s="135">
        <v>17.09</v>
      </c>
    </row>
    <row r="1573" spans="4:4" x14ac:dyDescent="0.2">
      <c r="D1573" s="135">
        <v>17.100000000000001</v>
      </c>
    </row>
    <row r="1574" spans="4:4" x14ac:dyDescent="0.2">
      <c r="D1574" s="135">
        <v>17.11</v>
      </c>
    </row>
    <row r="1575" spans="4:4" x14ac:dyDescent="0.2">
      <c r="D1575" s="135">
        <v>17.12</v>
      </c>
    </row>
    <row r="1576" spans="4:4" x14ac:dyDescent="0.2">
      <c r="D1576" s="135">
        <v>17.13</v>
      </c>
    </row>
    <row r="1577" spans="4:4" x14ac:dyDescent="0.2">
      <c r="D1577" s="135">
        <v>17.14</v>
      </c>
    </row>
    <row r="1578" spans="4:4" x14ac:dyDescent="0.2">
      <c r="D1578" s="135">
        <v>17.149999999999999</v>
      </c>
    </row>
    <row r="1579" spans="4:4" x14ac:dyDescent="0.2">
      <c r="D1579" s="135">
        <v>17.16</v>
      </c>
    </row>
    <row r="1580" spans="4:4" x14ac:dyDescent="0.2">
      <c r="D1580" s="135">
        <v>17.170000000000002</v>
      </c>
    </row>
    <row r="1581" spans="4:4" x14ac:dyDescent="0.2">
      <c r="D1581" s="135">
        <v>17.18</v>
      </c>
    </row>
    <row r="1582" spans="4:4" x14ac:dyDescent="0.2">
      <c r="D1582" s="135">
        <v>17.190000000000001</v>
      </c>
    </row>
    <row r="1583" spans="4:4" x14ac:dyDescent="0.2">
      <c r="D1583" s="135">
        <v>17.2</v>
      </c>
    </row>
    <row r="1584" spans="4:4" x14ac:dyDescent="0.2">
      <c r="D1584" s="135">
        <v>17.21</v>
      </c>
    </row>
    <row r="1585" spans="4:4" x14ac:dyDescent="0.2">
      <c r="D1585" s="135">
        <v>17.22</v>
      </c>
    </row>
    <row r="1586" spans="4:4" x14ac:dyDescent="0.2">
      <c r="D1586" s="135">
        <v>17.23</v>
      </c>
    </row>
    <row r="1587" spans="4:4" x14ac:dyDescent="0.2">
      <c r="D1587" s="135">
        <v>17.239999999999998</v>
      </c>
    </row>
    <row r="1588" spans="4:4" x14ac:dyDescent="0.2">
      <c r="D1588" s="135">
        <v>17.25</v>
      </c>
    </row>
    <row r="1589" spans="4:4" x14ac:dyDescent="0.2">
      <c r="D1589" s="135">
        <v>17.260000000000002</v>
      </c>
    </row>
    <row r="1590" spans="4:4" x14ac:dyDescent="0.2">
      <c r="D1590" s="135">
        <v>17.27</v>
      </c>
    </row>
    <row r="1591" spans="4:4" x14ac:dyDescent="0.2">
      <c r="D1591" s="135">
        <v>17.28</v>
      </c>
    </row>
    <row r="1592" spans="4:4" x14ac:dyDescent="0.2">
      <c r="D1592" s="135">
        <v>17.29</v>
      </c>
    </row>
    <row r="1593" spans="4:4" x14ac:dyDescent="0.2">
      <c r="D1593" s="135">
        <v>17.3</v>
      </c>
    </row>
    <row r="1594" spans="4:4" x14ac:dyDescent="0.2">
      <c r="D1594" s="135">
        <v>17.309999999999999</v>
      </c>
    </row>
    <row r="1595" spans="4:4" x14ac:dyDescent="0.2">
      <c r="D1595" s="135">
        <v>17.32</v>
      </c>
    </row>
    <row r="1596" spans="4:4" x14ac:dyDescent="0.2">
      <c r="D1596" s="135">
        <v>17.329999999999998</v>
      </c>
    </row>
    <row r="1597" spans="4:4" x14ac:dyDescent="0.2">
      <c r="D1597" s="135">
        <v>17.34</v>
      </c>
    </row>
    <row r="1598" spans="4:4" x14ac:dyDescent="0.2">
      <c r="D1598" s="135">
        <v>17.350000000000001</v>
      </c>
    </row>
    <row r="1599" spans="4:4" x14ac:dyDescent="0.2">
      <c r="D1599" s="135">
        <v>17.36</v>
      </c>
    </row>
    <row r="1600" spans="4:4" x14ac:dyDescent="0.2">
      <c r="D1600" s="135">
        <v>17.37</v>
      </c>
    </row>
    <row r="1601" spans="4:4" x14ac:dyDescent="0.2">
      <c r="D1601" s="135">
        <v>17.38</v>
      </c>
    </row>
    <row r="1602" spans="4:4" x14ac:dyDescent="0.2">
      <c r="D1602" s="135">
        <v>17.39</v>
      </c>
    </row>
    <row r="1603" spans="4:4" x14ac:dyDescent="0.2">
      <c r="D1603" s="135">
        <v>17.399999999999999</v>
      </c>
    </row>
    <row r="1604" spans="4:4" x14ac:dyDescent="0.2">
      <c r="D1604" s="135">
        <v>17.41</v>
      </c>
    </row>
    <row r="1605" spans="4:4" x14ac:dyDescent="0.2">
      <c r="D1605" s="135">
        <v>17.420000000000002</v>
      </c>
    </row>
    <row r="1606" spans="4:4" x14ac:dyDescent="0.2">
      <c r="D1606" s="135">
        <v>17.43</v>
      </c>
    </row>
    <row r="1607" spans="4:4" x14ac:dyDescent="0.2">
      <c r="D1607" s="135">
        <v>17.440000000000001</v>
      </c>
    </row>
    <row r="1608" spans="4:4" x14ac:dyDescent="0.2">
      <c r="D1608" s="135">
        <v>17.45</v>
      </c>
    </row>
    <row r="1609" spans="4:4" x14ac:dyDescent="0.2">
      <c r="D1609" s="135">
        <v>17.46</v>
      </c>
    </row>
    <row r="1610" spans="4:4" x14ac:dyDescent="0.2">
      <c r="D1610" s="135">
        <v>17.47</v>
      </c>
    </row>
    <row r="1611" spans="4:4" x14ac:dyDescent="0.2">
      <c r="D1611" s="135">
        <v>17.48</v>
      </c>
    </row>
    <row r="1612" spans="4:4" x14ac:dyDescent="0.2">
      <c r="D1612" s="135">
        <v>17.489999999999998</v>
      </c>
    </row>
    <row r="1613" spans="4:4" x14ac:dyDescent="0.2">
      <c r="D1613" s="135">
        <v>17.5</v>
      </c>
    </row>
    <row r="1614" spans="4:4" x14ac:dyDescent="0.2">
      <c r="D1614" s="135">
        <v>17.510000000000002</v>
      </c>
    </row>
    <row r="1615" spans="4:4" x14ac:dyDescent="0.2">
      <c r="D1615" s="135">
        <v>17.52</v>
      </c>
    </row>
    <row r="1616" spans="4:4" x14ac:dyDescent="0.2">
      <c r="D1616" s="135">
        <v>17.53</v>
      </c>
    </row>
    <row r="1617" spans="4:4" x14ac:dyDescent="0.2">
      <c r="D1617" s="135">
        <v>17.54</v>
      </c>
    </row>
    <row r="1618" spans="4:4" x14ac:dyDescent="0.2">
      <c r="D1618" s="135">
        <v>17.55</v>
      </c>
    </row>
    <row r="1619" spans="4:4" x14ac:dyDescent="0.2">
      <c r="D1619" s="135">
        <v>17.559999999999999</v>
      </c>
    </row>
    <row r="1620" spans="4:4" x14ac:dyDescent="0.2">
      <c r="D1620" s="135">
        <v>17.57</v>
      </c>
    </row>
    <row r="1621" spans="4:4" x14ac:dyDescent="0.2">
      <c r="D1621" s="135">
        <v>17.579999999999998</v>
      </c>
    </row>
    <row r="1622" spans="4:4" x14ac:dyDescent="0.2">
      <c r="D1622" s="135">
        <v>17.59</v>
      </c>
    </row>
    <row r="1623" spans="4:4" x14ac:dyDescent="0.2">
      <c r="D1623" s="135">
        <v>17.600000000000001</v>
      </c>
    </row>
    <row r="1624" spans="4:4" x14ac:dyDescent="0.2">
      <c r="D1624" s="135">
        <v>17.61</v>
      </c>
    </row>
    <row r="1625" spans="4:4" x14ac:dyDescent="0.2">
      <c r="D1625" s="135">
        <v>17.62</v>
      </c>
    </row>
    <row r="1626" spans="4:4" x14ac:dyDescent="0.2">
      <c r="D1626" s="135">
        <v>17.63</v>
      </c>
    </row>
    <row r="1627" spans="4:4" x14ac:dyDescent="0.2">
      <c r="D1627" s="135">
        <v>17.64</v>
      </c>
    </row>
    <row r="1628" spans="4:4" x14ac:dyDescent="0.2">
      <c r="D1628" s="135">
        <v>17.649999999999999</v>
      </c>
    </row>
    <row r="1629" spans="4:4" x14ac:dyDescent="0.2">
      <c r="D1629" s="135">
        <v>17.66</v>
      </c>
    </row>
    <row r="1630" spans="4:4" x14ac:dyDescent="0.2">
      <c r="D1630" s="135">
        <v>17.670000000000002</v>
      </c>
    </row>
    <row r="1631" spans="4:4" x14ac:dyDescent="0.2">
      <c r="D1631" s="135">
        <v>17.68</v>
      </c>
    </row>
    <row r="1632" spans="4:4" x14ac:dyDescent="0.2">
      <c r="D1632" s="135">
        <v>17.690000000000001</v>
      </c>
    </row>
    <row r="1633" spans="4:4" x14ac:dyDescent="0.2">
      <c r="D1633" s="135">
        <v>17.7</v>
      </c>
    </row>
    <row r="1634" spans="4:4" x14ac:dyDescent="0.2">
      <c r="D1634" s="135">
        <v>17.71</v>
      </c>
    </row>
    <row r="1635" spans="4:4" x14ac:dyDescent="0.2">
      <c r="D1635" s="135">
        <v>17.72</v>
      </c>
    </row>
    <row r="1636" spans="4:4" x14ac:dyDescent="0.2">
      <c r="D1636" s="135">
        <v>17.73</v>
      </c>
    </row>
    <row r="1637" spans="4:4" x14ac:dyDescent="0.2">
      <c r="D1637" s="135">
        <v>17.739999999999998</v>
      </c>
    </row>
    <row r="1638" spans="4:4" x14ac:dyDescent="0.2">
      <c r="D1638" s="135">
        <v>17.75</v>
      </c>
    </row>
    <row r="1639" spans="4:4" x14ac:dyDescent="0.2">
      <c r="D1639" s="135">
        <v>17.760000000000002</v>
      </c>
    </row>
    <row r="1640" spans="4:4" x14ac:dyDescent="0.2">
      <c r="D1640" s="135">
        <v>17.77</v>
      </c>
    </row>
    <row r="1641" spans="4:4" x14ac:dyDescent="0.2">
      <c r="D1641" s="135">
        <v>17.78</v>
      </c>
    </row>
    <row r="1642" spans="4:4" x14ac:dyDescent="0.2">
      <c r="D1642" s="135">
        <v>17.79</v>
      </c>
    </row>
    <row r="1643" spans="4:4" x14ac:dyDescent="0.2">
      <c r="D1643" s="135">
        <v>17.8</v>
      </c>
    </row>
    <row r="1644" spans="4:4" x14ac:dyDescent="0.2">
      <c r="D1644" s="135">
        <v>17.809999999999999</v>
      </c>
    </row>
    <row r="1645" spans="4:4" x14ac:dyDescent="0.2">
      <c r="D1645" s="135">
        <v>17.82</v>
      </c>
    </row>
    <row r="1646" spans="4:4" x14ac:dyDescent="0.2">
      <c r="D1646" s="135">
        <v>17.829999999999998</v>
      </c>
    </row>
    <row r="1647" spans="4:4" x14ac:dyDescent="0.2">
      <c r="D1647" s="135">
        <v>17.84</v>
      </c>
    </row>
    <row r="1648" spans="4:4" x14ac:dyDescent="0.2">
      <c r="D1648" s="135">
        <v>17.850000000000001</v>
      </c>
    </row>
    <row r="1649" spans="4:4" x14ac:dyDescent="0.2">
      <c r="D1649" s="135">
        <v>17.86</v>
      </c>
    </row>
    <row r="1650" spans="4:4" x14ac:dyDescent="0.2">
      <c r="D1650" s="135">
        <v>17.87</v>
      </c>
    </row>
    <row r="1651" spans="4:4" x14ac:dyDescent="0.2">
      <c r="D1651" s="135">
        <v>17.88</v>
      </c>
    </row>
    <row r="1652" spans="4:4" x14ac:dyDescent="0.2">
      <c r="D1652" s="135">
        <v>17.89</v>
      </c>
    </row>
    <row r="1653" spans="4:4" x14ac:dyDescent="0.2">
      <c r="D1653" s="135">
        <v>17.899999999999999</v>
      </c>
    </row>
    <row r="1654" spans="4:4" x14ac:dyDescent="0.2">
      <c r="D1654" s="135">
        <v>17.91</v>
      </c>
    </row>
    <row r="1655" spans="4:4" x14ac:dyDescent="0.2">
      <c r="D1655" s="135">
        <v>17.920000000000002</v>
      </c>
    </row>
    <row r="1656" spans="4:4" x14ac:dyDescent="0.2">
      <c r="D1656" s="135">
        <v>17.93</v>
      </c>
    </row>
    <row r="1657" spans="4:4" x14ac:dyDescent="0.2">
      <c r="D1657" s="135">
        <v>17.940000000000001</v>
      </c>
    </row>
    <row r="1658" spans="4:4" x14ac:dyDescent="0.2">
      <c r="D1658" s="135">
        <v>17.95</v>
      </c>
    </row>
    <row r="1659" spans="4:4" x14ac:dyDescent="0.2">
      <c r="D1659" s="135">
        <v>17.96</v>
      </c>
    </row>
    <row r="1660" spans="4:4" x14ac:dyDescent="0.2">
      <c r="D1660" s="135">
        <v>17.97</v>
      </c>
    </row>
    <row r="1661" spans="4:4" x14ac:dyDescent="0.2">
      <c r="D1661" s="135">
        <v>17.98</v>
      </c>
    </row>
    <row r="1662" spans="4:4" x14ac:dyDescent="0.2">
      <c r="D1662" s="135">
        <v>17.989999999999998</v>
      </c>
    </row>
    <row r="1663" spans="4:4" x14ac:dyDescent="0.2">
      <c r="D1663" s="135">
        <v>18</v>
      </c>
    </row>
    <row r="1664" spans="4:4" x14ac:dyDescent="0.2">
      <c r="D1664" s="135">
        <v>18.010000000000002</v>
      </c>
    </row>
    <row r="1665" spans="4:4" x14ac:dyDescent="0.2">
      <c r="D1665" s="135">
        <v>18.02</v>
      </c>
    </row>
    <row r="1666" spans="4:4" x14ac:dyDescent="0.2">
      <c r="D1666" s="135">
        <v>18.03</v>
      </c>
    </row>
    <row r="1667" spans="4:4" x14ac:dyDescent="0.2">
      <c r="D1667" s="135">
        <v>18.04</v>
      </c>
    </row>
    <row r="1668" spans="4:4" x14ac:dyDescent="0.2">
      <c r="D1668" s="135">
        <v>18.05</v>
      </c>
    </row>
    <row r="1669" spans="4:4" x14ac:dyDescent="0.2">
      <c r="D1669" s="135">
        <v>18.059999999999999</v>
      </c>
    </row>
    <row r="1670" spans="4:4" x14ac:dyDescent="0.2">
      <c r="D1670" s="135">
        <v>18.07</v>
      </c>
    </row>
    <row r="1671" spans="4:4" x14ac:dyDescent="0.2">
      <c r="D1671" s="135">
        <v>18.079999999999998</v>
      </c>
    </row>
    <row r="1672" spans="4:4" x14ac:dyDescent="0.2">
      <c r="D1672" s="135">
        <v>18.09</v>
      </c>
    </row>
    <row r="1673" spans="4:4" x14ac:dyDescent="0.2">
      <c r="D1673" s="135">
        <v>18.100000000000001</v>
      </c>
    </row>
    <row r="1674" spans="4:4" x14ac:dyDescent="0.2">
      <c r="D1674" s="135">
        <v>18.11</v>
      </c>
    </row>
    <row r="1675" spans="4:4" x14ac:dyDescent="0.2">
      <c r="D1675" s="135">
        <v>18.12</v>
      </c>
    </row>
    <row r="1676" spans="4:4" x14ac:dyDescent="0.2">
      <c r="D1676" s="135">
        <v>18.13</v>
      </c>
    </row>
    <row r="1677" spans="4:4" x14ac:dyDescent="0.2">
      <c r="D1677" s="135">
        <v>18.14</v>
      </c>
    </row>
    <row r="1678" spans="4:4" x14ac:dyDescent="0.2">
      <c r="D1678" s="135">
        <v>18.149999999999999</v>
      </c>
    </row>
    <row r="1679" spans="4:4" x14ac:dyDescent="0.2">
      <c r="D1679" s="135">
        <v>18.16</v>
      </c>
    </row>
    <row r="1680" spans="4:4" x14ac:dyDescent="0.2">
      <c r="D1680" s="135">
        <v>18.170000000000002</v>
      </c>
    </row>
    <row r="1681" spans="4:4" x14ac:dyDescent="0.2">
      <c r="D1681" s="135">
        <v>18.18</v>
      </c>
    </row>
    <row r="1682" spans="4:4" x14ac:dyDescent="0.2">
      <c r="D1682" s="135">
        <v>18.190000000000001</v>
      </c>
    </row>
    <row r="1683" spans="4:4" x14ac:dyDescent="0.2">
      <c r="D1683" s="135">
        <v>18.2</v>
      </c>
    </row>
    <row r="1684" spans="4:4" x14ac:dyDescent="0.2">
      <c r="D1684" s="135">
        <v>18.21</v>
      </c>
    </row>
    <row r="1685" spans="4:4" x14ac:dyDescent="0.2">
      <c r="D1685" s="135">
        <v>18.22</v>
      </c>
    </row>
    <row r="1686" spans="4:4" x14ac:dyDescent="0.2">
      <c r="D1686" s="135">
        <v>18.23</v>
      </c>
    </row>
    <row r="1687" spans="4:4" x14ac:dyDescent="0.2">
      <c r="D1687" s="135">
        <v>18.239999999999998</v>
      </c>
    </row>
    <row r="1688" spans="4:4" x14ac:dyDescent="0.2">
      <c r="D1688" s="135">
        <v>18.25</v>
      </c>
    </row>
    <row r="1689" spans="4:4" x14ac:dyDescent="0.2">
      <c r="D1689" s="135">
        <v>18.260000000000002</v>
      </c>
    </row>
    <row r="1690" spans="4:4" x14ac:dyDescent="0.2">
      <c r="D1690" s="135">
        <v>18.27</v>
      </c>
    </row>
    <row r="1691" spans="4:4" x14ac:dyDescent="0.2">
      <c r="D1691" s="135">
        <v>18.28</v>
      </c>
    </row>
    <row r="1692" spans="4:4" x14ac:dyDescent="0.2">
      <c r="D1692" s="135">
        <v>18.29</v>
      </c>
    </row>
    <row r="1693" spans="4:4" x14ac:dyDescent="0.2">
      <c r="D1693" s="135">
        <v>18.3</v>
      </c>
    </row>
    <row r="1694" spans="4:4" x14ac:dyDescent="0.2">
      <c r="D1694" s="135">
        <v>18.309999999999999</v>
      </c>
    </row>
    <row r="1695" spans="4:4" x14ac:dyDescent="0.2">
      <c r="D1695" s="135">
        <v>18.32</v>
      </c>
    </row>
    <row r="1696" spans="4:4" x14ac:dyDescent="0.2">
      <c r="D1696" s="135">
        <v>18.329999999999998</v>
      </c>
    </row>
    <row r="1697" spans="4:4" x14ac:dyDescent="0.2">
      <c r="D1697" s="135">
        <v>18.34</v>
      </c>
    </row>
    <row r="1698" spans="4:4" x14ac:dyDescent="0.2">
      <c r="D1698" s="135">
        <v>18.350000000000001</v>
      </c>
    </row>
    <row r="1699" spans="4:4" x14ac:dyDescent="0.2">
      <c r="D1699" s="135">
        <v>18.36</v>
      </c>
    </row>
    <row r="1700" spans="4:4" x14ac:dyDescent="0.2">
      <c r="D1700" s="135">
        <v>18.37</v>
      </c>
    </row>
    <row r="1701" spans="4:4" x14ac:dyDescent="0.2">
      <c r="D1701" s="135">
        <v>18.38</v>
      </c>
    </row>
    <row r="1702" spans="4:4" x14ac:dyDescent="0.2">
      <c r="D1702" s="135">
        <v>18.39</v>
      </c>
    </row>
    <row r="1703" spans="4:4" x14ac:dyDescent="0.2">
      <c r="D1703" s="135">
        <v>18.399999999999999</v>
      </c>
    </row>
    <row r="1704" spans="4:4" x14ac:dyDescent="0.2">
      <c r="D1704" s="135">
        <v>18.41</v>
      </c>
    </row>
    <row r="1705" spans="4:4" x14ac:dyDescent="0.2">
      <c r="D1705" s="135">
        <v>18.420000000000002</v>
      </c>
    </row>
    <row r="1706" spans="4:4" x14ac:dyDescent="0.2">
      <c r="D1706" s="135">
        <v>18.43</v>
      </c>
    </row>
    <row r="1707" spans="4:4" x14ac:dyDescent="0.2">
      <c r="D1707" s="135">
        <v>18.440000000000001</v>
      </c>
    </row>
    <row r="1708" spans="4:4" x14ac:dyDescent="0.2">
      <c r="D1708" s="135">
        <v>18.45</v>
      </c>
    </row>
    <row r="1709" spans="4:4" x14ac:dyDescent="0.2">
      <c r="D1709" s="135">
        <v>18.46</v>
      </c>
    </row>
    <row r="1710" spans="4:4" x14ac:dyDescent="0.2">
      <c r="D1710" s="135">
        <v>18.47</v>
      </c>
    </row>
    <row r="1711" spans="4:4" x14ac:dyDescent="0.2">
      <c r="D1711" s="135">
        <v>18.48</v>
      </c>
    </row>
    <row r="1712" spans="4:4" x14ac:dyDescent="0.2">
      <c r="D1712" s="135">
        <v>18.489999999999998</v>
      </c>
    </row>
    <row r="1713" spans="4:4" x14ac:dyDescent="0.2">
      <c r="D1713" s="135">
        <v>18.5</v>
      </c>
    </row>
    <row r="1714" spans="4:4" x14ac:dyDescent="0.2">
      <c r="D1714" s="135">
        <v>18.510000000000002</v>
      </c>
    </row>
    <row r="1715" spans="4:4" x14ac:dyDescent="0.2">
      <c r="D1715" s="135">
        <v>18.52</v>
      </c>
    </row>
    <row r="1716" spans="4:4" x14ac:dyDescent="0.2">
      <c r="D1716" s="135">
        <v>18.53</v>
      </c>
    </row>
    <row r="1717" spans="4:4" x14ac:dyDescent="0.2">
      <c r="D1717" s="135">
        <v>18.54</v>
      </c>
    </row>
    <row r="1718" spans="4:4" x14ac:dyDescent="0.2">
      <c r="D1718" s="135">
        <v>18.55</v>
      </c>
    </row>
    <row r="1719" spans="4:4" x14ac:dyDescent="0.2">
      <c r="D1719" s="135">
        <v>18.559999999999999</v>
      </c>
    </row>
    <row r="1720" spans="4:4" x14ac:dyDescent="0.2">
      <c r="D1720" s="135">
        <v>18.57</v>
      </c>
    </row>
    <row r="1721" spans="4:4" x14ac:dyDescent="0.2">
      <c r="D1721" s="135">
        <v>18.579999999999998</v>
      </c>
    </row>
    <row r="1722" spans="4:4" x14ac:dyDescent="0.2">
      <c r="D1722" s="135">
        <v>18.59</v>
      </c>
    </row>
    <row r="1723" spans="4:4" x14ac:dyDescent="0.2">
      <c r="D1723" s="135">
        <v>18.600000000000001</v>
      </c>
    </row>
    <row r="1724" spans="4:4" x14ac:dyDescent="0.2">
      <c r="D1724" s="135">
        <v>18.61</v>
      </c>
    </row>
    <row r="1725" spans="4:4" x14ac:dyDescent="0.2">
      <c r="D1725" s="135">
        <v>18.62</v>
      </c>
    </row>
    <row r="1726" spans="4:4" x14ac:dyDescent="0.2">
      <c r="D1726" s="135">
        <v>18.63</v>
      </c>
    </row>
    <row r="1727" spans="4:4" x14ac:dyDescent="0.2">
      <c r="D1727" s="135">
        <v>18.64</v>
      </c>
    </row>
    <row r="1728" spans="4:4" x14ac:dyDescent="0.2">
      <c r="D1728" s="135">
        <v>18.649999999999999</v>
      </c>
    </row>
    <row r="1729" spans="4:4" x14ac:dyDescent="0.2">
      <c r="D1729" s="135">
        <v>18.66</v>
      </c>
    </row>
    <row r="1730" spans="4:4" x14ac:dyDescent="0.2">
      <c r="D1730" s="135">
        <v>18.670000000000002</v>
      </c>
    </row>
    <row r="1731" spans="4:4" x14ac:dyDescent="0.2">
      <c r="D1731" s="135">
        <v>18.68</v>
      </c>
    </row>
    <row r="1732" spans="4:4" x14ac:dyDescent="0.2">
      <c r="D1732" s="135">
        <v>18.690000000000001</v>
      </c>
    </row>
    <row r="1733" spans="4:4" x14ac:dyDescent="0.2">
      <c r="D1733" s="135">
        <v>18.7</v>
      </c>
    </row>
    <row r="1734" spans="4:4" x14ac:dyDescent="0.2">
      <c r="D1734" s="135">
        <v>18.71</v>
      </c>
    </row>
    <row r="1735" spans="4:4" x14ac:dyDescent="0.2">
      <c r="D1735" s="135">
        <v>18.72</v>
      </c>
    </row>
    <row r="1736" spans="4:4" x14ac:dyDescent="0.2">
      <c r="D1736" s="135">
        <v>18.73</v>
      </c>
    </row>
    <row r="1737" spans="4:4" x14ac:dyDescent="0.2">
      <c r="D1737" s="135">
        <v>18.739999999999998</v>
      </c>
    </row>
    <row r="1738" spans="4:4" x14ac:dyDescent="0.2">
      <c r="D1738" s="135">
        <v>18.75</v>
      </c>
    </row>
    <row r="1739" spans="4:4" x14ac:dyDescent="0.2">
      <c r="D1739" s="135">
        <v>18.760000000000002</v>
      </c>
    </row>
    <row r="1740" spans="4:4" x14ac:dyDescent="0.2">
      <c r="D1740" s="135">
        <v>18.77</v>
      </c>
    </row>
    <row r="1741" spans="4:4" x14ac:dyDescent="0.2">
      <c r="D1741" s="135">
        <v>18.78</v>
      </c>
    </row>
    <row r="1742" spans="4:4" x14ac:dyDescent="0.2">
      <c r="D1742" s="135">
        <v>18.79</v>
      </c>
    </row>
    <row r="1743" spans="4:4" x14ac:dyDescent="0.2">
      <c r="D1743" s="135">
        <v>18.8</v>
      </c>
    </row>
    <row r="1744" spans="4:4" x14ac:dyDescent="0.2">
      <c r="D1744" s="135">
        <v>18.809999999999999</v>
      </c>
    </row>
    <row r="1745" spans="4:4" x14ac:dyDescent="0.2">
      <c r="D1745" s="135">
        <v>18.82</v>
      </c>
    </row>
    <row r="1746" spans="4:4" x14ac:dyDescent="0.2">
      <c r="D1746" s="135">
        <v>18.829999999999998</v>
      </c>
    </row>
    <row r="1747" spans="4:4" x14ac:dyDescent="0.2">
      <c r="D1747" s="135">
        <v>18.84</v>
      </c>
    </row>
    <row r="1748" spans="4:4" x14ac:dyDescent="0.2">
      <c r="D1748" s="135">
        <v>18.850000000000001</v>
      </c>
    </row>
    <row r="1749" spans="4:4" x14ac:dyDescent="0.2">
      <c r="D1749" s="135">
        <v>18.86</v>
      </c>
    </row>
    <row r="1750" spans="4:4" x14ac:dyDescent="0.2">
      <c r="D1750" s="135">
        <v>18.87</v>
      </c>
    </row>
    <row r="1751" spans="4:4" x14ac:dyDescent="0.2">
      <c r="D1751" s="135">
        <v>18.88</v>
      </c>
    </row>
    <row r="1752" spans="4:4" x14ac:dyDescent="0.2">
      <c r="D1752" s="135">
        <v>18.89</v>
      </c>
    </row>
    <row r="1753" spans="4:4" x14ac:dyDescent="0.2">
      <c r="D1753" s="135">
        <v>18.899999999999999</v>
      </c>
    </row>
    <row r="1754" spans="4:4" x14ac:dyDescent="0.2">
      <c r="D1754" s="135">
        <v>18.91</v>
      </c>
    </row>
    <row r="1755" spans="4:4" x14ac:dyDescent="0.2">
      <c r="D1755" s="135">
        <v>18.920000000000002</v>
      </c>
    </row>
    <row r="1756" spans="4:4" x14ac:dyDescent="0.2">
      <c r="D1756" s="135">
        <v>18.93</v>
      </c>
    </row>
    <row r="1757" spans="4:4" x14ac:dyDescent="0.2">
      <c r="D1757" s="135">
        <v>18.940000000000001</v>
      </c>
    </row>
    <row r="1758" spans="4:4" x14ac:dyDescent="0.2">
      <c r="D1758" s="135">
        <v>18.95</v>
      </c>
    </row>
    <row r="1759" spans="4:4" x14ac:dyDescent="0.2">
      <c r="D1759" s="135">
        <v>18.96</v>
      </c>
    </row>
    <row r="1760" spans="4:4" x14ac:dyDescent="0.2">
      <c r="D1760" s="135">
        <v>18.97</v>
      </c>
    </row>
    <row r="1761" spans="4:4" x14ac:dyDescent="0.2">
      <c r="D1761" s="135">
        <v>18.98</v>
      </c>
    </row>
    <row r="1762" spans="4:4" x14ac:dyDescent="0.2">
      <c r="D1762" s="135">
        <v>18.989999999999998</v>
      </c>
    </row>
    <row r="1763" spans="4:4" x14ac:dyDescent="0.2">
      <c r="D1763" s="135">
        <v>19</v>
      </c>
    </row>
    <row r="1764" spans="4:4" x14ac:dyDescent="0.2">
      <c r="D1764" s="135">
        <v>19.010000000000002</v>
      </c>
    </row>
    <row r="1765" spans="4:4" x14ac:dyDescent="0.2">
      <c r="D1765" s="135">
        <v>19.02</v>
      </c>
    </row>
    <row r="1766" spans="4:4" x14ac:dyDescent="0.2">
      <c r="D1766" s="135">
        <v>19.03</v>
      </c>
    </row>
    <row r="1767" spans="4:4" x14ac:dyDescent="0.2">
      <c r="D1767" s="135">
        <v>19.04</v>
      </c>
    </row>
    <row r="1768" spans="4:4" x14ac:dyDescent="0.2">
      <c r="D1768" s="135">
        <v>19.05</v>
      </c>
    </row>
    <row r="1769" spans="4:4" x14ac:dyDescent="0.2">
      <c r="D1769" s="135">
        <v>19.059999999999999</v>
      </c>
    </row>
    <row r="1770" spans="4:4" x14ac:dyDescent="0.2">
      <c r="D1770" s="135">
        <v>19.07</v>
      </c>
    </row>
    <row r="1771" spans="4:4" x14ac:dyDescent="0.2">
      <c r="D1771" s="135">
        <v>19.079999999999998</v>
      </c>
    </row>
    <row r="1772" spans="4:4" x14ac:dyDescent="0.2">
      <c r="D1772" s="135">
        <v>19.09</v>
      </c>
    </row>
    <row r="1773" spans="4:4" x14ac:dyDescent="0.2">
      <c r="D1773" s="135">
        <v>19.100000000000001</v>
      </c>
    </row>
    <row r="1774" spans="4:4" x14ac:dyDescent="0.2">
      <c r="D1774" s="135">
        <v>19.11</v>
      </c>
    </row>
    <row r="1775" spans="4:4" x14ac:dyDescent="0.2">
      <c r="D1775" s="135">
        <v>19.12</v>
      </c>
    </row>
    <row r="1776" spans="4:4" x14ac:dyDescent="0.2">
      <c r="D1776" s="135">
        <v>19.13</v>
      </c>
    </row>
    <row r="1777" spans="4:4" x14ac:dyDescent="0.2">
      <c r="D1777" s="135">
        <v>19.14</v>
      </c>
    </row>
    <row r="1778" spans="4:4" x14ac:dyDescent="0.2">
      <c r="D1778" s="135">
        <v>19.149999999999999</v>
      </c>
    </row>
    <row r="1779" spans="4:4" x14ac:dyDescent="0.2">
      <c r="D1779" s="135">
        <v>19.16</v>
      </c>
    </row>
    <row r="1780" spans="4:4" x14ac:dyDescent="0.2">
      <c r="D1780" s="135">
        <v>19.170000000000002</v>
      </c>
    </row>
    <row r="1781" spans="4:4" x14ac:dyDescent="0.2">
      <c r="D1781" s="135">
        <v>19.18</v>
      </c>
    </row>
    <row r="1782" spans="4:4" x14ac:dyDescent="0.2">
      <c r="D1782" s="135">
        <v>19.190000000000001</v>
      </c>
    </row>
    <row r="1783" spans="4:4" x14ac:dyDescent="0.2">
      <c r="D1783" s="135">
        <v>19.2</v>
      </c>
    </row>
    <row r="1784" spans="4:4" x14ac:dyDescent="0.2">
      <c r="D1784" s="135">
        <v>19.21</v>
      </c>
    </row>
    <row r="1785" spans="4:4" x14ac:dyDescent="0.2">
      <c r="D1785" s="135">
        <v>19.22</v>
      </c>
    </row>
    <row r="1786" spans="4:4" x14ac:dyDescent="0.2">
      <c r="D1786" s="135">
        <v>19.23</v>
      </c>
    </row>
    <row r="1787" spans="4:4" x14ac:dyDescent="0.2">
      <c r="D1787" s="135">
        <v>19.239999999999998</v>
      </c>
    </row>
    <row r="1788" spans="4:4" x14ac:dyDescent="0.2">
      <c r="D1788" s="135">
        <v>19.25</v>
      </c>
    </row>
    <row r="1789" spans="4:4" x14ac:dyDescent="0.2">
      <c r="D1789" s="135">
        <v>19.260000000000002</v>
      </c>
    </row>
    <row r="1790" spans="4:4" x14ac:dyDescent="0.2">
      <c r="D1790" s="135">
        <v>19.27</v>
      </c>
    </row>
    <row r="1791" spans="4:4" x14ac:dyDescent="0.2">
      <c r="D1791" s="135">
        <v>19.28</v>
      </c>
    </row>
    <row r="1792" spans="4:4" x14ac:dyDescent="0.2">
      <c r="D1792" s="135">
        <v>19.29</v>
      </c>
    </row>
    <row r="1793" spans="4:4" x14ac:dyDescent="0.2">
      <c r="D1793" s="135">
        <v>19.3</v>
      </c>
    </row>
    <row r="1794" spans="4:4" x14ac:dyDescent="0.2">
      <c r="D1794" s="135">
        <v>19.309999999999999</v>
      </c>
    </row>
    <row r="1795" spans="4:4" x14ac:dyDescent="0.2">
      <c r="D1795" s="135">
        <v>19.32</v>
      </c>
    </row>
    <row r="1796" spans="4:4" x14ac:dyDescent="0.2">
      <c r="D1796" s="135">
        <v>19.329999999999998</v>
      </c>
    </row>
    <row r="1797" spans="4:4" x14ac:dyDescent="0.2">
      <c r="D1797" s="135">
        <v>19.34</v>
      </c>
    </row>
    <row r="1798" spans="4:4" x14ac:dyDescent="0.2">
      <c r="D1798" s="135">
        <v>19.350000000000001</v>
      </c>
    </row>
    <row r="1799" spans="4:4" x14ac:dyDescent="0.2">
      <c r="D1799" s="135">
        <v>19.36</v>
      </c>
    </row>
    <row r="1800" spans="4:4" x14ac:dyDescent="0.2">
      <c r="D1800" s="135">
        <v>19.37</v>
      </c>
    </row>
    <row r="1801" spans="4:4" x14ac:dyDescent="0.2">
      <c r="D1801" s="135">
        <v>19.38</v>
      </c>
    </row>
    <row r="1802" spans="4:4" x14ac:dyDescent="0.2">
      <c r="D1802" s="135">
        <v>19.39</v>
      </c>
    </row>
    <row r="1803" spans="4:4" x14ac:dyDescent="0.2">
      <c r="D1803" s="135">
        <v>19.399999999999999</v>
      </c>
    </row>
    <row r="1804" spans="4:4" x14ac:dyDescent="0.2">
      <c r="D1804" s="135">
        <v>19.41</v>
      </c>
    </row>
    <row r="1805" spans="4:4" x14ac:dyDescent="0.2">
      <c r="D1805" s="135">
        <v>19.420000000000002</v>
      </c>
    </row>
    <row r="1806" spans="4:4" x14ac:dyDescent="0.2">
      <c r="D1806" s="135">
        <v>19.43</v>
      </c>
    </row>
    <row r="1807" spans="4:4" x14ac:dyDescent="0.2">
      <c r="D1807" s="135">
        <v>19.440000000000001</v>
      </c>
    </row>
    <row r="1808" spans="4:4" x14ac:dyDescent="0.2">
      <c r="D1808" s="135">
        <v>19.45</v>
      </c>
    </row>
    <row r="1809" spans="4:4" x14ac:dyDescent="0.2">
      <c r="D1809" s="135">
        <v>19.46</v>
      </c>
    </row>
    <row r="1810" spans="4:4" x14ac:dyDescent="0.2">
      <c r="D1810" s="135">
        <v>19.47</v>
      </c>
    </row>
    <row r="1811" spans="4:4" x14ac:dyDescent="0.2">
      <c r="D1811" s="135">
        <v>19.48</v>
      </c>
    </row>
    <row r="1812" spans="4:4" x14ac:dyDescent="0.2">
      <c r="D1812" s="135">
        <v>19.489999999999998</v>
      </c>
    </row>
    <row r="1813" spans="4:4" x14ac:dyDescent="0.2">
      <c r="D1813" s="135">
        <v>19.5</v>
      </c>
    </row>
    <row r="1814" spans="4:4" x14ac:dyDescent="0.2">
      <c r="D1814" s="135">
        <v>19.510000000000002</v>
      </c>
    </row>
    <row r="1815" spans="4:4" x14ac:dyDescent="0.2">
      <c r="D1815" s="135">
        <v>19.52</v>
      </c>
    </row>
    <row r="1816" spans="4:4" x14ac:dyDescent="0.2">
      <c r="D1816" s="135">
        <v>19.53</v>
      </c>
    </row>
    <row r="1817" spans="4:4" x14ac:dyDescent="0.2">
      <c r="D1817" s="135">
        <v>19.54</v>
      </c>
    </row>
    <row r="1818" spans="4:4" x14ac:dyDescent="0.2">
      <c r="D1818" s="135">
        <v>19.55</v>
      </c>
    </row>
    <row r="1819" spans="4:4" x14ac:dyDescent="0.2">
      <c r="D1819" s="135">
        <v>19.559999999999999</v>
      </c>
    </row>
    <row r="1820" spans="4:4" x14ac:dyDescent="0.2">
      <c r="D1820" s="135">
        <v>19.57</v>
      </c>
    </row>
    <row r="1821" spans="4:4" x14ac:dyDescent="0.2">
      <c r="D1821" s="135">
        <v>19.579999999999998</v>
      </c>
    </row>
    <row r="1822" spans="4:4" x14ac:dyDescent="0.2">
      <c r="D1822" s="135">
        <v>19.59</v>
      </c>
    </row>
    <row r="1823" spans="4:4" x14ac:dyDescent="0.2">
      <c r="D1823" s="135">
        <v>19.600000000000001</v>
      </c>
    </row>
    <row r="1824" spans="4:4" x14ac:dyDescent="0.2">
      <c r="D1824" s="135">
        <v>19.61</v>
      </c>
    </row>
    <row r="1825" spans="4:4" x14ac:dyDescent="0.2">
      <c r="D1825" s="135">
        <v>19.62</v>
      </c>
    </row>
    <row r="1826" spans="4:4" x14ac:dyDescent="0.2">
      <c r="D1826" s="135">
        <v>19.63</v>
      </c>
    </row>
    <row r="1827" spans="4:4" x14ac:dyDescent="0.2">
      <c r="D1827" s="135">
        <v>19.64</v>
      </c>
    </row>
    <row r="1828" spans="4:4" x14ac:dyDescent="0.2">
      <c r="D1828" s="135">
        <v>19.649999999999999</v>
      </c>
    </row>
    <row r="1829" spans="4:4" x14ac:dyDescent="0.2">
      <c r="D1829" s="135">
        <v>19.66</v>
      </c>
    </row>
    <row r="1830" spans="4:4" x14ac:dyDescent="0.2">
      <c r="D1830" s="135">
        <v>19.670000000000002</v>
      </c>
    </row>
    <row r="1831" spans="4:4" x14ac:dyDescent="0.2">
      <c r="D1831" s="135">
        <v>19.68</v>
      </c>
    </row>
    <row r="1832" spans="4:4" x14ac:dyDescent="0.2">
      <c r="D1832" s="135">
        <v>19.690000000000001</v>
      </c>
    </row>
    <row r="1833" spans="4:4" x14ac:dyDescent="0.2">
      <c r="D1833" s="135">
        <v>19.7</v>
      </c>
    </row>
    <row r="1834" spans="4:4" x14ac:dyDescent="0.2">
      <c r="D1834" s="135">
        <v>19.71</v>
      </c>
    </row>
    <row r="1835" spans="4:4" x14ac:dyDescent="0.2">
      <c r="D1835" s="135">
        <v>19.72</v>
      </c>
    </row>
    <row r="1836" spans="4:4" x14ac:dyDescent="0.2">
      <c r="D1836" s="135">
        <v>19.73</v>
      </c>
    </row>
    <row r="1837" spans="4:4" x14ac:dyDescent="0.2">
      <c r="D1837" s="135">
        <v>19.739999999999998</v>
      </c>
    </row>
    <row r="1838" spans="4:4" x14ac:dyDescent="0.2">
      <c r="D1838" s="135">
        <v>19.75</v>
      </c>
    </row>
    <row r="1839" spans="4:4" x14ac:dyDescent="0.2">
      <c r="D1839" s="135">
        <v>19.760000000000002</v>
      </c>
    </row>
    <row r="1840" spans="4:4" x14ac:dyDescent="0.2">
      <c r="D1840" s="135">
        <v>19.77</v>
      </c>
    </row>
    <row r="1841" spans="4:4" x14ac:dyDescent="0.2">
      <c r="D1841" s="135">
        <v>19.78</v>
      </c>
    </row>
    <row r="1842" spans="4:4" x14ac:dyDescent="0.2">
      <c r="D1842" s="135">
        <v>19.79</v>
      </c>
    </row>
    <row r="1843" spans="4:4" x14ac:dyDescent="0.2">
      <c r="D1843" s="135">
        <v>19.8</v>
      </c>
    </row>
    <row r="1844" spans="4:4" x14ac:dyDescent="0.2">
      <c r="D1844" s="135">
        <v>19.809999999999999</v>
      </c>
    </row>
    <row r="1845" spans="4:4" x14ac:dyDescent="0.2">
      <c r="D1845" s="135">
        <v>19.82</v>
      </c>
    </row>
    <row r="1846" spans="4:4" x14ac:dyDescent="0.2">
      <c r="D1846" s="135">
        <v>19.829999999999998</v>
      </c>
    </row>
    <row r="1847" spans="4:4" x14ac:dyDescent="0.2">
      <c r="D1847" s="135">
        <v>19.84</v>
      </c>
    </row>
    <row r="1848" spans="4:4" x14ac:dyDescent="0.2">
      <c r="D1848" s="135">
        <v>19.850000000000001</v>
      </c>
    </row>
    <row r="1849" spans="4:4" x14ac:dyDescent="0.2">
      <c r="D1849" s="135">
        <v>19.86</v>
      </c>
    </row>
    <row r="1850" spans="4:4" x14ac:dyDescent="0.2">
      <c r="D1850" s="135">
        <v>19.87</v>
      </c>
    </row>
    <row r="1851" spans="4:4" x14ac:dyDescent="0.2">
      <c r="D1851" s="135">
        <v>19.88</v>
      </c>
    </row>
    <row r="1852" spans="4:4" x14ac:dyDescent="0.2">
      <c r="D1852" s="135">
        <v>19.89</v>
      </c>
    </row>
    <row r="1853" spans="4:4" x14ac:dyDescent="0.2">
      <c r="D1853" s="135">
        <v>19.899999999999999</v>
      </c>
    </row>
    <row r="1854" spans="4:4" x14ac:dyDescent="0.2">
      <c r="D1854" s="135">
        <v>19.91</v>
      </c>
    </row>
    <row r="1855" spans="4:4" x14ac:dyDescent="0.2">
      <c r="D1855" s="135">
        <v>19.920000000000002</v>
      </c>
    </row>
    <row r="1856" spans="4:4" x14ac:dyDescent="0.2">
      <c r="D1856" s="135">
        <v>19.93</v>
      </c>
    </row>
    <row r="1857" spans="4:4" x14ac:dyDescent="0.2">
      <c r="D1857" s="135">
        <v>19.940000000000001</v>
      </c>
    </row>
    <row r="1858" spans="4:4" x14ac:dyDescent="0.2">
      <c r="D1858" s="135">
        <v>19.95</v>
      </c>
    </row>
    <row r="1859" spans="4:4" x14ac:dyDescent="0.2">
      <c r="D1859" s="135">
        <v>19.96</v>
      </c>
    </row>
    <row r="1860" spans="4:4" x14ac:dyDescent="0.2">
      <c r="D1860" s="135">
        <v>19.97</v>
      </c>
    </row>
    <row r="1861" spans="4:4" x14ac:dyDescent="0.2">
      <c r="D1861" s="135">
        <v>19.98</v>
      </c>
    </row>
    <row r="1862" spans="4:4" x14ac:dyDescent="0.2">
      <c r="D1862" s="135">
        <v>19.989999999999998</v>
      </c>
    </row>
    <row r="1863" spans="4:4" x14ac:dyDescent="0.2">
      <c r="D1863" s="135">
        <v>20</v>
      </c>
    </row>
    <row r="1864" spans="4:4" x14ac:dyDescent="0.2">
      <c r="D1864" s="135">
        <v>20.010000000000002</v>
      </c>
    </row>
    <row r="1865" spans="4:4" x14ac:dyDescent="0.2">
      <c r="D1865" s="135">
        <v>20.02</v>
      </c>
    </row>
    <row r="1866" spans="4:4" x14ac:dyDescent="0.2">
      <c r="D1866" s="135">
        <v>20.03</v>
      </c>
    </row>
    <row r="1867" spans="4:4" x14ac:dyDescent="0.2">
      <c r="D1867" s="135">
        <v>20.04</v>
      </c>
    </row>
    <row r="1868" spans="4:4" x14ac:dyDescent="0.2">
      <c r="D1868" s="135">
        <v>20.05</v>
      </c>
    </row>
    <row r="1869" spans="4:4" x14ac:dyDescent="0.2">
      <c r="D1869" s="135">
        <v>20.059999999999999</v>
      </c>
    </row>
    <row r="1870" spans="4:4" x14ac:dyDescent="0.2">
      <c r="D1870" s="135">
        <v>20.07</v>
      </c>
    </row>
    <row r="1871" spans="4:4" x14ac:dyDescent="0.2">
      <c r="D1871" s="135">
        <v>20.079999999999998</v>
      </c>
    </row>
    <row r="1872" spans="4:4" x14ac:dyDescent="0.2">
      <c r="D1872" s="135">
        <v>20.09</v>
      </c>
    </row>
    <row r="1873" spans="4:4" x14ac:dyDescent="0.2">
      <c r="D1873" s="135">
        <v>20.100000000000001</v>
      </c>
    </row>
    <row r="1874" spans="4:4" x14ac:dyDescent="0.2">
      <c r="D1874" s="135">
        <v>20.11</v>
      </c>
    </row>
    <row r="1875" spans="4:4" x14ac:dyDescent="0.2">
      <c r="D1875" s="135">
        <v>20.12</v>
      </c>
    </row>
    <row r="1876" spans="4:4" x14ac:dyDescent="0.2">
      <c r="D1876" s="135">
        <v>20.13</v>
      </c>
    </row>
    <row r="1877" spans="4:4" x14ac:dyDescent="0.2">
      <c r="D1877" s="135">
        <v>20.14</v>
      </c>
    </row>
    <row r="1878" spans="4:4" x14ac:dyDescent="0.2">
      <c r="D1878" s="135">
        <v>20.149999999999999</v>
      </c>
    </row>
    <row r="1879" spans="4:4" x14ac:dyDescent="0.2">
      <c r="D1879" s="135">
        <v>20.16</v>
      </c>
    </row>
    <row r="1880" spans="4:4" x14ac:dyDescent="0.2">
      <c r="D1880" s="135">
        <v>20.170000000000002</v>
      </c>
    </row>
    <row r="1881" spans="4:4" x14ac:dyDescent="0.2">
      <c r="D1881" s="135">
        <v>20.18</v>
      </c>
    </row>
    <row r="1882" spans="4:4" x14ac:dyDescent="0.2">
      <c r="D1882" s="135">
        <v>20.190000000000001</v>
      </c>
    </row>
    <row r="1883" spans="4:4" x14ac:dyDescent="0.2">
      <c r="D1883" s="135">
        <v>20.2</v>
      </c>
    </row>
    <row r="1884" spans="4:4" x14ac:dyDescent="0.2">
      <c r="D1884" s="135">
        <v>20.21</v>
      </c>
    </row>
    <row r="1885" spans="4:4" x14ac:dyDescent="0.2">
      <c r="D1885" s="135">
        <v>20.22</v>
      </c>
    </row>
    <row r="1886" spans="4:4" x14ac:dyDescent="0.2">
      <c r="D1886" s="135">
        <v>20.23</v>
      </c>
    </row>
    <row r="1887" spans="4:4" x14ac:dyDescent="0.2">
      <c r="D1887" s="135">
        <v>20.239999999999998</v>
      </c>
    </row>
    <row r="1888" spans="4:4" x14ac:dyDescent="0.2">
      <c r="D1888" s="135">
        <v>20.25</v>
      </c>
    </row>
    <row r="1889" spans="4:4" x14ac:dyDescent="0.2">
      <c r="D1889" s="135">
        <v>20.260000000000002</v>
      </c>
    </row>
    <row r="1890" spans="4:4" x14ac:dyDescent="0.2">
      <c r="D1890" s="135">
        <v>20.27</v>
      </c>
    </row>
    <row r="1891" spans="4:4" x14ac:dyDescent="0.2">
      <c r="D1891" s="135">
        <v>20.28</v>
      </c>
    </row>
    <row r="1892" spans="4:4" x14ac:dyDescent="0.2">
      <c r="D1892" s="135">
        <v>20.29</v>
      </c>
    </row>
    <row r="1893" spans="4:4" x14ac:dyDescent="0.2">
      <c r="D1893" s="135">
        <v>20.3</v>
      </c>
    </row>
    <row r="1894" spans="4:4" x14ac:dyDescent="0.2">
      <c r="D1894" s="135">
        <v>20.309999999999999</v>
      </c>
    </row>
    <row r="1895" spans="4:4" x14ac:dyDescent="0.2">
      <c r="D1895" s="135">
        <v>20.32</v>
      </c>
    </row>
    <row r="1896" spans="4:4" x14ac:dyDescent="0.2">
      <c r="D1896" s="135">
        <v>20.329999999999998</v>
      </c>
    </row>
    <row r="1897" spans="4:4" x14ac:dyDescent="0.2">
      <c r="D1897" s="135">
        <v>20.34</v>
      </c>
    </row>
    <row r="1898" spans="4:4" x14ac:dyDescent="0.2">
      <c r="D1898" s="135">
        <v>20.350000000000001</v>
      </c>
    </row>
    <row r="1899" spans="4:4" x14ac:dyDescent="0.2">
      <c r="D1899" s="135">
        <v>20.36</v>
      </c>
    </row>
    <row r="1900" spans="4:4" x14ac:dyDescent="0.2">
      <c r="D1900" s="135">
        <v>20.37</v>
      </c>
    </row>
    <row r="1901" spans="4:4" x14ac:dyDescent="0.2">
      <c r="D1901" s="135">
        <v>20.38</v>
      </c>
    </row>
    <row r="1902" spans="4:4" x14ac:dyDescent="0.2">
      <c r="D1902" s="135">
        <v>20.39</v>
      </c>
    </row>
    <row r="1903" spans="4:4" x14ac:dyDescent="0.2">
      <c r="D1903" s="135">
        <v>20.399999999999999</v>
      </c>
    </row>
    <row r="1904" spans="4:4" x14ac:dyDescent="0.2">
      <c r="D1904" s="135">
        <v>20.41</v>
      </c>
    </row>
    <row r="1905" spans="4:4" x14ac:dyDescent="0.2">
      <c r="D1905" s="135">
        <v>20.420000000000002</v>
      </c>
    </row>
    <row r="1906" spans="4:4" x14ac:dyDescent="0.2">
      <c r="D1906" s="135">
        <v>20.43</v>
      </c>
    </row>
    <row r="1907" spans="4:4" x14ac:dyDescent="0.2">
      <c r="D1907" s="135">
        <v>20.440000000000001</v>
      </c>
    </row>
    <row r="1908" spans="4:4" x14ac:dyDescent="0.2">
      <c r="D1908" s="135">
        <v>20.45</v>
      </c>
    </row>
    <row r="1909" spans="4:4" x14ac:dyDescent="0.2">
      <c r="D1909" s="135">
        <v>20.46</v>
      </c>
    </row>
    <row r="1910" spans="4:4" x14ac:dyDescent="0.2">
      <c r="D1910" s="135">
        <v>20.47</v>
      </c>
    </row>
    <row r="1911" spans="4:4" x14ac:dyDescent="0.2">
      <c r="D1911" s="135">
        <v>20.48</v>
      </c>
    </row>
    <row r="1912" spans="4:4" x14ac:dyDescent="0.2">
      <c r="D1912" s="135">
        <v>20.49</v>
      </c>
    </row>
    <row r="1913" spans="4:4" x14ac:dyDescent="0.2">
      <c r="D1913" s="135">
        <v>20.5</v>
      </c>
    </row>
    <row r="1914" spans="4:4" x14ac:dyDescent="0.2">
      <c r="D1914" s="135">
        <v>20.51</v>
      </c>
    </row>
    <row r="1915" spans="4:4" x14ac:dyDescent="0.2">
      <c r="D1915" s="135">
        <v>20.52</v>
      </c>
    </row>
    <row r="1916" spans="4:4" x14ac:dyDescent="0.2">
      <c r="D1916" s="135">
        <v>20.53</v>
      </c>
    </row>
    <row r="1917" spans="4:4" x14ac:dyDescent="0.2">
      <c r="D1917" s="135">
        <v>20.54</v>
      </c>
    </row>
    <row r="1918" spans="4:4" x14ac:dyDescent="0.2">
      <c r="D1918" s="135">
        <v>20.55</v>
      </c>
    </row>
    <row r="1919" spans="4:4" x14ac:dyDescent="0.2">
      <c r="D1919" s="135">
        <v>20.56</v>
      </c>
    </row>
    <row r="1920" spans="4:4" x14ac:dyDescent="0.2">
      <c r="D1920" s="135">
        <v>20.57</v>
      </c>
    </row>
    <row r="1921" spans="4:4" x14ac:dyDescent="0.2">
      <c r="D1921" s="135">
        <v>20.58</v>
      </c>
    </row>
    <row r="1922" spans="4:4" x14ac:dyDescent="0.2">
      <c r="D1922" s="135">
        <v>20.59</v>
      </c>
    </row>
    <row r="1923" spans="4:4" x14ac:dyDescent="0.2">
      <c r="D1923" s="135">
        <v>20.6</v>
      </c>
    </row>
    <row r="1924" spans="4:4" x14ac:dyDescent="0.2">
      <c r="D1924" s="135">
        <v>20.61</v>
      </c>
    </row>
    <row r="1925" spans="4:4" x14ac:dyDescent="0.2">
      <c r="D1925" s="135">
        <v>20.62</v>
      </c>
    </row>
    <row r="1926" spans="4:4" x14ac:dyDescent="0.2">
      <c r="D1926" s="135">
        <v>20.63</v>
      </c>
    </row>
    <row r="1927" spans="4:4" x14ac:dyDescent="0.2">
      <c r="D1927" s="135">
        <v>20.64</v>
      </c>
    </row>
    <row r="1928" spans="4:4" x14ac:dyDescent="0.2">
      <c r="D1928" s="135">
        <v>20.65</v>
      </c>
    </row>
    <row r="1929" spans="4:4" x14ac:dyDescent="0.2">
      <c r="D1929" s="135">
        <v>20.66</v>
      </c>
    </row>
    <row r="1930" spans="4:4" x14ac:dyDescent="0.2">
      <c r="D1930" s="135">
        <v>20.67</v>
      </c>
    </row>
    <row r="1931" spans="4:4" x14ac:dyDescent="0.2">
      <c r="D1931" s="135">
        <v>20.68</v>
      </c>
    </row>
    <row r="1932" spans="4:4" x14ac:dyDescent="0.2">
      <c r="D1932" s="135">
        <v>20.69</v>
      </c>
    </row>
    <row r="1933" spans="4:4" x14ac:dyDescent="0.2">
      <c r="D1933" s="135">
        <v>20.7</v>
      </c>
    </row>
    <row r="1934" spans="4:4" x14ac:dyDescent="0.2">
      <c r="D1934" s="135">
        <v>20.71</v>
      </c>
    </row>
    <row r="1935" spans="4:4" x14ac:dyDescent="0.2">
      <c r="D1935" s="135">
        <v>20.72</v>
      </c>
    </row>
    <row r="1936" spans="4:4" x14ac:dyDescent="0.2">
      <c r="D1936" s="135">
        <v>20.73</v>
      </c>
    </row>
    <row r="1937" spans="4:4" x14ac:dyDescent="0.2">
      <c r="D1937" s="135">
        <v>20.74</v>
      </c>
    </row>
    <row r="1938" spans="4:4" x14ac:dyDescent="0.2">
      <c r="D1938" s="135">
        <v>20.75</v>
      </c>
    </row>
    <row r="1939" spans="4:4" x14ac:dyDescent="0.2">
      <c r="D1939" s="135">
        <v>20.76</v>
      </c>
    </row>
    <row r="1940" spans="4:4" x14ac:dyDescent="0.2">
      <c r="D1940" s="135">
        <v>20.77</v>
      </c>
    </row>
    <row r="1941" spans="4:4" x14ac:dyDescent="0.2">
      <c r="D1941" s="135">
        <v>20.78</v>
      </c>
    </row>
    <row r="1942" spans="4:4" x14ac:dyDescent="0.2">
      <c r="D1942" s="135">
        <v>20.79</v>
      </c>
    </row>
    <row r="1943" spans="4:4" x14ac:dyDescent="0.2">
      <c r="D1943" s="135">
        <v>20.8</v>
      </c>
    </row>
    <row r="1944" spans="4:4" x14ac:dyDescent="0.2">
      <c r="D1944" s="135">
        <v>20.81</v>
      </c>
    </row>
    <row r="1945" spans="4:4" x14ac:dyDescent="0.2">
      <c r="D1945" s="135">
        <v>20.82</v>
      </c>
    </row>
    <row r="1946" spans="4:4" x14ac:dyDescent="0.2">
      <c r="D1946" s="135">
        <v>20.83</v>
      </c>
    </row>
    <row r="1947" spans="4:4" x14ac:dyDescent="0.2">
      <c r="D1947" s="135">
        <v>20.84</v>
      </c>
    </row>
    <row r="1948" spans="4:4" x14ac:dyDescent="0.2">
      <c r="D1948" s="135">
        <v>20.85</v>
      </c>
    </row>
    <row r="1949" spans="4:4" x14ac:dyDescent="0.2">
      <c r="D1949" s="135">
        <v>20.86</v>
      </c>
    </row>
    <row r="1950" spans="4:4" x14ac:dyDescent="0.2">
      <c r="D1950" s="135">
        <v>20.87</v>
      </c>
    </row>
    <row r="1951" spans="4:4" x14ac:dyDescent="0.2">
      <c r="D1951" s="135">
        <v>20.88</v>
      </c>
    </row>
    <row r="1952" spans="4:4" x14ac:dyDescent="0.2">
      <c r="D1952" s="135">
        <v>20.89</v>
      </c>
    </row>
    <row r="1953" spans="4:4" x14ac:dyDescent="0.2">
      <c r="D1953" s="135">
        <v>20.9</v>
      </c>
    </row>
    <row r="1954" spans="4:4" x14ac:dyDescent="0.2">
      <c r="D1954" s="135">
        <v>20.91</v>
      </c>
    </row>
    <row r="1955" spans="4:4" x14ac:dyDescent="0.2">
      <c r="D1955" s="135">
        <v>20.92</v>
      </c>
    </row>
    <row r="1956" spans="4:4" x14ac:dyDescent="0.2">
      <c r="D1956" s="135">
        <v>20.93</v>
      </c>
    </row>
    <row r="1957" spans="4:4" x14ac:dyDescent="0.2">
      <c r="D1957" s="135">
        <v>20.94</v>
      </c>
    </row>
    <row r="1958" spans="4:4" x14ac:dyDescent="0.2">
      <c r="D1958" s="135">
        <v>20.95</v>
      </c>
    </row>
    <row r="1959" spans="4:4" x14ac:dyDescent="0.2">
      <c r="D1959" s="135">
        <v>20.96</v>
      </c>
    </row>
    <row r="1960" spans="4:4" x14ac:dyDescent="0.2">
      <c r="D1960" s="135">
        <v>20.97</v>
      </c>
    </row>
    <row r="1961" spans="4:4" x14ac:dyDescent="0.2">
      <c r="D1961" s="135">
        <v>20.98</v>
      </c>
    </row>
    <row r="1962" spans="4:4" x14ac:dyDescent="0.2">
      <c r="D1962" s="135">
        <v>20.99</v>
      </c>
    </row>
    <row r="1963" spans="4:4" x14ac:dyDescent="0.2">
      <c r="D1963" s="135">
        <v>21</v>
      </c>
    </row>
    <row r="1964" spans="4:4" x14ac:dyDescent="0.2">
      <c r="D1964" s="135">
        <v>21.01</v>
      </c>
    </row>
    <row r="1965" spans="4:4" x14ac:dyDescent="0.2">
      <c r="D1965" s="135">
        <v>21.02</v>
      </c>
    </row>
    <row r="1966" spans="4:4" x14ac:dyDescent="0.2">
      <c r="D1966" s="135">
        <v>21.03</v>
      </c>
    </row>
    <row r="1967" spans="4:4" x14ac:dyDescent="0.2">
      <c r="D1967" s="135">
        <v>21.04</v>
      </c>
    </row>
    <row r="1968" spans="4:4" x14ac:dyDescent="0.2">
      <c r="D1968" s="135">
        <v>21.05</v>
      </c>
    </row>
    <row r="1969" spans="4:4" x14ac:dyDescent="0.2">
      <c r="D1969" s="135">
        <v>21.06</v>
      </c>
    </row>
    <row r="1970" spans="4:4" x14ac:dyDescent="0.2">
      <c r="D1970" s="135">
        <v>21.07</v>
      </c>
    </row>
    <row r="1971" spans="4:4" x14ac:dyDescent="0.2">
      <c r="D1971" s="135">
        <v>21.08</v>
      </c>
    </row>
    <row r="1972" spans="4:4" x14ac:dyDescent="0.2">
      <c r="D1972" s="135">
        <v>21.09</v>
      </c>
    </row>
    <row r="1973" spans="4:4" x14ac:dyDescent="0.2">
      <c r="D1973" s="135">
        <v>21.1</v>
      </c>
    </row>
    <row r="1974" spans="4:4" x14ac:dyDescent="0.2">
      <c r="D1974" s="135">
        <v>21.11</v>
      </c>
    </row>
    <row r="1975" spans="4:4" x14ac:dyDescent="0.2">
      <c r="D1975" s="135">
        <v>21.12</v>
      </c>
    </row>
    <row r="1976" spans="4:4" x14ac:dyDescent="0.2">
      <c r="D1976" s="135">
        <v>21.13</v>
      </c>
    </row>
    <row r="1977" spans="4:4" x14ac:dyDescent="0.2">
      <c r="D1977" s="135">
        <v>21.14</v>
      </c>
    </row>
    <row r="1978" spans="4:4" x14ac:dyDescent="0.2">
      <c r="D1978" s="135">
        <v>21.15</v>
      </c>
    </row>
    <row r="1979" spans="4:4" x14ac:dyDescent="0.2">
      <c r="D1979" s="135">
        <v>21.16</v>
      </c>
    </row>
    <row r="1980" spans="4:4" x14ac:dyDescent="0.2">
      <c r="D1980" s="135">
        <v>21.17</v>
      </c>
    </row>
    <row r="1981" spans="4:4" x14ac:dyDescent="0.2">
      <c r="D1981" s="135">
        <v>21.18</v>
      </c>
    </row>
    <row r="1982" spans="4:4" x14ac:dyDescent="0.2">
      <c r="D1982" s="135">
        <v>21.19</v>
      </c>
    </row>
    <row r="1983" spans="4:4" x14ac:dyDescent="0.2">
      <c r="D1983" s="135">
        <v>21.2</v>
      </c>
    </row>
    <row r="1984" spans="4:4" x14ac:dyDescent="0.2">
      <c r="D1984" s="135">
        <v>21.21</v>
      </c>
    </row>
    <row r="1985" spans="4:4" x14ac:dyDescent="0.2">
      <c r="D1985" s="135">
        <v>21.22</v>
      </c>
    </row>
    <row r="1986" spans="4:4" x14ac:dyDescent="0.2">
      <c r="D1986" s="135">
        <v>21.23</v>
      </c>
    </row>
    <row r="1987" spans="4:4" x14ac:dyDescent="0.2">
      <c r="D1987" s="135">
        <v>21.24</v>
      </c>
    </row>
    <row r="1988" spans="4:4" x14ac:dyDescent="0.2">
      <c r="D1988" s="135">
        <v>21.25</v>
      </c>
    </row>
    <row r="1989" spans="4:4" x14ac:dyDescent="0.2">
      <c r="D1989" s="135">
        <v>21.26</v>
      </c>
    </row>
    <row r="1990" spans="4:4" x14ac:dyDescent="0.2">
      <c r="D1990" s="135">
        <v>21.27</v>
      </c>
    </row>
    <row r="1991" spans="4:4" x14ac:dyDescent="0.2">
      <c r="D1991" s="135">
        <v>21.28</v>
      </c>
    </row>
    <row r="1992" spans="4:4" x14ac:dyDescent="0.2">
      <c r="D1992" s="135">
        <v>21.29</v>
      </c>
    </row>
    <row r="1993" spans="4:4" x14ac:dyDescent="0.2">
      <c r="D1993" s="135">
        <v>21.3</v>
      </c>
    </row>
    <row r="1994" spans="4:4" x14ac:dyDescent="0.2">
      <c r="D1994" s="135">
        <v>21.31</v>
      </c>
    </row>
    <row r="1995" spans="4:4" x14ac:dyDescent="0.2">
      <c r="D1995" s="135">
        <v>21.32</v>
      </c>
    </row>
    <row r="1996" spans="4:4" x14ac:dyDescent="0.2">
      <c r="D1996" s="135">
        <v>21.33</v>
      </c>
    </row>
    <row r="1997" spans="4:4" x14ac:dyDescent="0.2">
      <c r="D1997" s="135">
        <v>21.34</v>
      </c>
    </row>
    <row r="1998" spans="4:4" x14ac:dyDescent="0.2">
      <c r="D1998" s="135">
        <v>21.35</v>
      </c>
    </row>
    <row r="1999" spans="4:4" x14ac:dyDescent="0.2">
      <c r="D1999" s="135">
        <v>21.36</v>
      </c>
    </row>
    <row r="2000" spans="4:4" x14ac:dyDescent="0.2">
      <c r="D2000" s="135">
        <v>21.37</v>
      </c>
    </row>
    <row r="2001" spans="4:4" x14ac:dyDescent="0.2">
      <c r="D2001" s="135">
        <v>21.38</v>
      </c>
    </row>
    <row r="2002" spans="4:4" x14ac:dyDescent="0.2">
      <c r="D2002" s="135">
        <v>21.39</v>
      </c>
    </row>
    <row r="2003" spans="4:4" x14ac:dyDescent="0.2">
      <c r="D2003" s="135">
        <v>21.4</v>
      </c>
    </row>
    <row r="2004" spans="4:4" x14ac:dyDescent="0.2">
      <c r="D2004" s="135">
        <v>21.41</v>
      </c>
    </row>
    <row r="2005" spans="4:4" x14ac:dyDescent="0.2">
      <c r="D2005" s="135">
        <v>21.42</v>
      </c>
    </row>
    <row r="2006" spans="4:4" x14ac:dyDescent="0.2">
      <c r="D2006" s="135">
        <v>21.43</v>
      </c>
    </row>
    <row r="2007" spans="4:4" x14ac:dyDescent="0.2">
      <c r="D2007" s="135">
        <v>21.44</v>
      </c>
    </row>
    <row r="2008" spans="4:4" x14ac:dyDescent="0.2">
      <c r="D2008" s="135">
        <v>21.45</v>
      </c>
    </row>
    <row r="2009" spans="4:4" x14ac:dyDescent="0.2">
      <c r="D2009" s="135">
        <v>21.46</v>
      </c>
    </row>
    <row r="2010" spans="4:4" x14ac:dyDescent="0.2">
      <c r="D2010" s="135">
        <v>21.47</v>
      </c>
    </row>
    <row r="2011" spans="4:4" x14ac:dyDescent="0.2">
      <c r="D2011" s="135">
        <v>21.48</v>
      </c>
    </row>
    <row r="2012" spans="4:4" x14ac:dyDescent="0.2">
      <c r="D2012" s="135">
        <v>21.49</v>
      </c>
    </row>
    <row r="2013" spans="4:4" x14ac:dyDescent="0.2">
      <c r="D2013" s="135">
        <v>21.5</v>
      </c>
    </row>
    <row r="2014" spans="4:4" x14ac:dyDescent="0.2">
      <c r="D2014" s="135">
        <v>21.51</v>
      </c>
    </row>
    <row r="2015" spans="4:4" x14ac:dyDescent="0.2">
      <c r="D2015" s="135">
        <v>21.52</v>
      </c>
    </row>
    <row r="2016" spans="4:4" x14ac:dyDescent="0.2">
      <c r="D2016" s="135">
        <v>21.53</v>
      </c>
    </row>
    <row r="2017" spans="4:4" x14ac:dyDescent="0.2">
      <c r="D2017" s="135">
        <v>21.54</v>
      </c>
    </row>
    <row r="2018" spans="4:4" x14ac:dyDescent="0.2">
      <c r="D2018" s="135">
        <v>21.55</v>
      </c>
    </row>
    <row r="2019" spans="4:4" x14ac:dyDescent="0.2">
      <c r="D2019" s="135">
        <v>21.56</v>
      </c>
    </row>
    <row r="2020" spans="4:4" x14ac:dyDescent="0.2">
      <c r="D2020" s="135">
        <v>21.57</v>
      </c>
    </row>
    <row r="2021" spans="4:4" x14ac:dyDescent="0.2">
      <c r="D2021" s="135">
        <v>21.58</v>
      </c>
    </row>
    <row r="2022" spans="4:4" x14ac:dyDescent="0.2">
      <c r="D2022" s="135">
        <v>21.59</v>
      </c>
    </row>
    <row r="2023" spans="4:4" x14ac:dyDescent="0.2">
      <c r="D2023" s="135">
        <v>21.6</v>
      </c>
    </row>
    <row r="2024" spans="4:4" x14ac:dyDescent="0.2">
      <c r="D2024" s="135">
        <v>21.61</v>
      </c>
    </row>
    <row r="2025" spans="4:4" x14ac:dyDescent="0.2">
      <c r="D2025" s="135">
        <v>21.62</v>
      </c>
    </row>
    <row r="2026" spans="4:4" x14ac:dyDescent="0.2">
      <c r="D2026" s="135">
        <v>21.63</v>
      </c>
    </row>
    <row r="2027" spans="4:4" x14ac:dyDescent="0.2">
      <c r="D2027" s="135">
        <v>21.64</v>
      </c>
    </row>
    <row r="2028" spans="4:4" x14ac:dyDescent="0.2">
      <c r="D2028" s="135">
        <v>21.65</v>
      </c>
    </row>
    <row r="2029" spans="4:4" x14ac:dyDescent="0.2">
      <c r="D2029" s="135">
        <v>21.66</v>
      </c>
    </row>
    <row r="2030" spans="4:4" x14ac:dyDescent="0.2">
      <c r="D2030" s="135">
        <v>21.67</v>
      </c>
    </row>
    <row r="2031" spans="4:4" x14ac:dyDescent="0.2">
      <c r="D2031" s="135">
        <v>21.68</v>
      </c>
    </row>
    <row r="2032" spans="4:4" x14ac:dyDescent="0.2">
      <c r="D2032" s="135">
        <v>21.69</v>
      </c>
    </row>
    <row r="2033" spans="4:4" x14ac:dyDescent="0.2">
      <c r="D2033" s="135">
        <v>21.7</v>
      </c>
    </row>
    <row r="2034" spans="4:4" x14ac:dyDescent="0.2">
      <c r="D2034" s="135">
        <v>21.71</v>
      </c>
    </row>
    <row r="2035" spans="4:4" x14ac:dyDescent="0.2">
      <c r="D2035" s="135">
        <v>21.72</v>
      </c>
    </row>
    <row r="2036" spans="4:4" x14ac:dyDescent="0.2">
      <c r="D2036" s="135">
        <v>21.73</v>
      </c>
    </row>
    <row r="2037" spans="4:4" x14ac:dyDescent="0.2">
      <c r="D2037" s="135">
        <v>21.74</v>
      </c>
    </row>
    <row r="2038" spans="4:4" x14ac:dyDescent="0.2">
      <c r="D2038" s="135">
        <v>21.75</v>
      </c>
    </row>
    <row r="2039" spans="4:4" x14ac:dyDescent="0.2">
      <c r="D2039" s="135">
        <v>21.76</v>
      </c>
    </row>
    <row r="2040" spans="4:4" x14ac:dyDescent="0.2">
      <c r="D2040" s="135">
        <v>21.77</v>
      </c>
    </row>
    <row r="2041" spans="4:4" x14ac:dyDescent="0.2">
      <c r="D2041" s="135">
        <v>21.78</v>
      </c>
    </row>
    <row r="2042" spans="4:4" x14ac:dyDescent="0.2">
      <c r="D2042" s="135">
        <v>21.79</v>
      </c>
    </row>
    <row r="2043" spans="4:4" x14ac:dyDescent="0.2">
      <c r="D2043" s="135">
        <v>21.8</v>
      </c>
    </row>
    <row r="2044" spans="4:4" x14ac:dyDescent="0.2">
      <c r="D2044" s="135">
        <v>21.81</v>
      </c>
    </row>
    <row r="2045" spans="4:4" x14ac:dyDescent="0.2">
      <c r="D2045" s="135">
        <v>21.82</v>
      </c>
    </row>
    <row r="2046" spans="4:4" x14ac:dyDescent="0.2">
      <c r="D2046" s="135">
        <v>21.83</v>
      </c>
    </row>
    <row r="2047" spans="4:4" x14ac:dyDescent="0.2">
      <c r="D2047" s="135">
        <v>21.84</v>
      </c>
    </row>
    <row r="2048" spans="4:4" x14ac:dyDescent="0.2">
      <c r="D2048" s="135">
        <v>21.85</v>
      </c>
    </row>
    <row r="2049" spans="4:4" x14ac:dyDescent="0.2">
      <c r="D2049" s="135">
        <v>21.86</v>
      </c>
    </row>
    <row r="2050" spans="4:4" x14ac:dyDescent="0.2">
      <c r="D2050" s="135">
        <v>21.87</v>
      </c>
    </row>
    <row r="2051" spans="4:4" x14ac:dyDescent="0.2">
      <c r="D2051" s="135">
        <v>21.88</v>
      </c>
    </row>
    <row r="2052" spans="4:4" x14ac:dyDescent="0.2">
      <c r="D2052" s="135">
        <v>21.89</v>
      </c>
    </row>
    <row r="2053" spans="4:4" x14ac:dyDescent="0.2">
      <c r="D2053" s="135">
        <v>21.9</v>
      </c>
    </row>
    <row r="2054" spans="4:4" x14ac:dyDescent="0.2">
      <c r="D2054" s="135">
        <v>21.91</v>
      </c>
    </row>
    <row r="2055" spans="4:4" x14ac:dyDescent="0.2">
      <c r="D2055" s="135">
        <v>21.92</v>
      </c>
    </row>
    <row r="2056" spans="4:4" x14ac:dyDescent="0.2">
      <c r="D2056" s="135">
        <v>21.93</v>
      </c>
    </row>
    <row r="2057" spans="4:4" x14ac:dyDescent="0.2">
      <c r="D2057" s="135">
        <v>21.94</v>
      </c>
    </row>
    <row r="2058" spans="4:4" x14ac:dyDescent="0.2">
      <c r="D2058" s="135">
        <v>21.95</v>
      </c>
    </row>
    <row r="2059" spans="4:4" x14ac:dyDescent="0.2">
      <c r="D2059" s="135">
        <v>21.96</v>
      </c>
    </row>
    <row r="2060" spans="4:4" x14ac:dyDescent="0.2">
      <c r="D2060" s="135">
        <v>21.97</v>
      </c>
    </row>
    <row r="2061" spans="4:4" x14ac:dyDescent="0.2">
      <c r="D2061" s="135">
        <v>21.98</v>
      </c>
    </row>
    <row r="2062" spans="4:4" x14ac:dyDescent="0.2">
      <c r="D2062" s="135">
        <v>21.99</v>
      </c>
    </row>
    <row r="2063" spans="4:4" x14ac:dyDescent="0.2">
      <c r="D2063" s="135">
        <v>22</v>
      </c>
    </row>
    <row r="2064" spans="4:4" x14ac:dyDescent="0.2">
      <c r="D2064" s="135">
        <v>22.01</v>
      </c>
    </row>
    <row r="2065" spans="4:4" x14ac:dyDescent="0.2">
      <c r="D2065" s="135">
        <v>22.02</v>
      </c>
    </row>
    <row r="2066" spans="4:4" x14ac:dyDescent="0.2">
      <c r="D2066" s="135">
        <v>22.03</v>
      </c>
    </row>
    <row r="2067" spans="4:4" x14ac:dyDescent="0.2">
      <c r="D2067" s="135">
        <v>22.04</v>
      </c>
    </row>
    <row r="2068" spans="4:4" x14ac:dyDescent="0.2">
      <c r="D2068" s="135">
        <v>22.05</v>
      </c>
    </row>
    <row r="2069" spans="4:4" x14ac:dyDescent="0.2">
      <c r="D2069" s="135">
        <v>22.06</v>
      </c>
    </row>
    <row r="2070" spans="4:4" x14ac:dyDescent="0.2">
      <c r="D2070" s="135">
        <v>22.07</v>
      </c>
    </row>
    <row r="2071" spans="4:4" x14ac:dyDescent="0.2">
      <c r="D2071" s="135">
        <v>22.08</v>
      </c>
    </row>
    <row r="2072" spans="4:4" x14ac:dyDescent="0.2">
      <c r="D2072" s="135">
        <v>22.09</v>
      </c>
    </row>
    <row r="2073" spans="4:4" x14ac:dyDescent="0.2">
      <c r="D2073" s="135">
        <v>22.1</v>
      </c>
    </row>
    <row r="2074" spans="4:4" x14ac:dyDescent="0.2">
      <c r="D2074" s="135">
        <v>22.11</v>
      </c>
    </row>
    <row r="2075" spans="4:4" x14ac:dyDescent="0.2">
      <c r="D2075" s="135">
        <v>22.12</v>
      </c>
    </row>
    <row r="2076" spans="4:4" x14ac:dyDescent="0.2">
      <c r="D2076" s="135">
        <v>22.13</v>
      </c>
    </row>
    <row r="2077" spans="4:4" x14ac:dyDescent="0.2">
      <c r="D2077" s="135">
        <v>22.14</v>
      </c>
    </row>
    <row r="2078" spans="4:4" x14ac:dyDescent="0.2">
      <c r="D2078" s="135">
        <v>22.15</v>
      </c>
    </row>
    <row r="2079" spans="4:4" x14ac:dyDescent="0.2">
      <c r="D2079" s="135">
        <v>22.16</v>
      </c>
    </row>
    <row r="2080" spans="4:4" x14ac:dyDescent="0.2">
      <c r="D2080" s="135">
        <v>22.17</v>
      </c>
    </row>
    <row r="2081" spans="4:4" x14ac:dyDescent="0.2">
      <c r="D2081" s="135">
        <v>22.18</v>
      </c>
    </row>
    <row r="2082" spans="4:4" x14ac:dyDescent="0.2">
      <c r="D2082" s="135">
        <v>22.19</v>
      </c>
    </row>
    <row r="2083" spans="4:4" x14ac:dyDescent="0.2">
      <c r="D2083" s="135">
        <v>22.2</v>
      </c>
    </row>
    <row r="2084" spans="4:4" x14ac:dyDescent="0.2">
      <c r="D2084" s="135">
        <v>22.21</v>
      </c>
    </row>
    <row r="2085" spans="4:4" x14ac:dyDescent="0.2">
      <c r="D2085" s="135">
        <v>22.22</v>
      </c>
    </row>
    <row r="2086" spans="4:4" x14ac:dyDescent="0.2">
      <c r="D2086" s="135">
        <v>22.23</v>
      </c>
    </row>
    <row r="2087" spans="4:4" x14ac:dyDescent="0.2">
      <c r="D2087" s="135">
        <v>22.24</v>
      </c>
    </row>
    <row r="2088" spans="4:4" x14ac:dyDescent="0.2">
      <c r="D2088" s="135">
        <v>22.25</v>
      </c>
    </row>
    <row r="2089" spans="4:4" x14ac:dyDescent="0.2">
      <c r="D2089" s="135">
        <v>22.26</v>
      </c>
    </row>
    <row r="2090" spans="4:4" x14ac:dyDescent="0.2">
      <c r="D2090" s="135">
        <v>22.27</v>
      </c>
    </row>
    <row r="2091" spans="4:4" x14ac:dyDescent="0.2">
      <c r="D2091" s="135">
        <v>22.28</v>
      </c>
    </row>
    <row r="2092" spans="4:4" x14ac:dyDescent="0.2">
      <c r="D2092" s="135">
        <v>22.29</v>
      </c>
    </row>
    <row r="2093" spans="4:4" x14ac:dyDescent="0.2">
      <c r="D2093" s="135">
        <v>22.3</v>
      </c>
    </row>
    <row r="2094" spans="4:4" x14ac:dyDescent="0.2">
      <c r="D2094" s="135">
        <v>22.31</v>
      </c>
    </row>
    <row r="2095" spans="4:4" x14ac:dyDescent="0.2">
      <c r="D2095" s="135">
        <v>22.32</v>
      </c>
    </row>
    <row r="2096" spans="4:4" x14ac:dyDescent="0.2">
      <c r="D2096" s="135">
        <v>22.33</v>
      </c>
    </row>
    <row r="2097" spans="4:4" x14ac:dyDescent="0.2">
      <c r="D2097" s="135">
        <v>22.34</v>
      </c>
    </row>
    <row r="2098" spans="4:4" x14ac:dyDescent="0.2">
      <c r="D2098" s="135">
        <v>22.35</v>
      </c>
    </row>
    <row r="2099" spans="4:4" x14ac:dyDescent="0.2">
      <c r="D2099" s="135">
        <v>22.36</v>
      </c>
    </row>
    <row r="2100" spans="4:4" x14ac:dyDescent="0.2">
      <c r="D2100" s="135">
        <v>22.37</v>
      </c>
    </row>
    <row r="2101" spans="4:4" x14ac:dyDescent="0.2">
      <c r="D2101" s="135">
        <v>22.38</v>
      </c>
    </row>
    <row r="2102" spans="4:4" x14ac:dyDescent="0.2">
      <c r="D2102" s="135">
        <v>22.39</v>
      </c>
    </row>
    <row r="2103" spans="4:4" x14ac:dyDescent="0.2">
      <c r="D2103" s="135">
        <v>22.4</v>
      </c>
    </row>
    <row r="2104" spans="4:4" x14ac:dyDescent="0.2">
      <c r="D2104" s="135">
        <v>22.41</v>
      </c>
    </row>
    <row r="2105" spans="4:4" x14ac:dyDescent="0.2">
      <c r="D2105" s="135">
        <v>22.42</v>
      </c>
    </row>
    <row r="2106" spans="4:4" x14ac:dyDescent="0.2">
      <c r="D2106" s="135">
        <v>22.43</v>
      </c>
    </row>
    <row r="2107" spans="4:4" x14ac:dyDescent="0.2">
      <c r="D2107" s="135">
        <v>22.44</v>
      </c>
    </row>
    <row r="2108" spans="4:4" x14ac:dyDescent="0.2">
      <c r="D2108" s="135">
        <v>22.45</v>
      </c>
    </row>
    <row r="2109" spans="4:4" x14ac:dyDescent="0.2">
      <c r="D2109" s="135">
        <v>22.46</v>
      </c>
    </row>
    <row r="2110" spans="4:4" x14ac:dyDescent="0.2">
      <c r="D2110" s="135">
        <v>22.47</v>
      </c>
    </row>
    <row r="2111" spans="4:4" x14ac:dyDescent="0.2">
      <c r="D2111" s="135">
        <v>22.48</v>
      </c>
    </row>
    <row r="2112" spans="4:4" x14ac:dyDescent="0.2">
      <c r="D2112" s="135">
        <v>22.49</v>
      </c>
    </row>
    <row r="2113" spans="4:4" x14ac:dyDescent="0.2">
      <c r="D2113" s="135">
        <v>22.5</v>
      </c>
    </row>
    <row r="2114" spans="4:4" x14ac:dyDescent="0.2">
      <c r="D2114" s="135">
        <v>22.51</v>
      </c>
    </row>
    <row r="2115" spans="4:4" x14ac:dyDescent="0.2">
      <c r="D2115" s="135">
        <v>22.52</v>
      </c>
    </row>
    <row r="2116" spans="4:4" x14ac:dyDescent="0.2">
      <c r="D2116" s="135">
        <v>22.53</v>
      </c>
    </row>
    <row r="2117" spans="4:4" x14ac:dyDescent="0.2">
      <c r="D2117" s="135">
        <v>22.54</v>
      </c>
    </row>
    <row r="2118" spans="4:4" x14ac:dyDescent="0.2">
      <c r="D2118" s="135">
        <v>22.55</v>
      </c>
    </row>
    <row r="2119" spans="4:4" x14ac:dyDescent="0.2">
      <c r="D2119" s="135">
        <v>22.56</v>
      </c>
    </row>
    <row r="2120" spans="4:4" x14ac:dyDescent="0.2">
      <c r="D2120" s="135">
        <v>22.57</v>
      </c>
    </row>
    <row r="2121" spans="4:4" x14ac:dyDescent="0.2">
      <c r="D2121" s="135">
        <v>22.58</v>
      </c>
    </row>
    <row r="2122" spans="4:4" x14ac:dyDescent="0.2">
      <c r="D2122" s="135">
        <v>22.59</v>
      </c>
    </row>
    <row r="2123" spans="4:4" x14ac:dyDescent="0.2">
      <c r="D2123" s="135">
        <v>22.6</v>
      </c>
    </row>
    <row r="2124" spans="4:4" x14ac:dyDescent="0.2">
      <c r="D2124" s="135">
        <v>22.61</v>
      </c>
    </row>
    <row r="2125" spans="4:4" x14ac:dyDescent="0.2">
      <c r="D2125" s="135">
        <v>22.62</v>
      </c>
    </row>
    <row r="2126" spans="4:4" x14ac:dyDescent="0.2">
      <c r="D2126" s="135">
        <v>22.63</v>
      </c>
    </row>
    <row r="2127" spans="4:4" x14ac:dyDescent="0.2">
      <c r="D2127" s="135">
        <v>22.64</v>
      </c>
    </row>
    <row r="2128" spans="4:4" x14ac:dyDescent="0.2">
      <c r="D2128" s="135">
        <v>22.65</v>
      </c>
    </row>
    <row r="2129" spans="4:4" x14ac:dyDescent="0.2">
      <c r="D2129" s="135">
        <v>22.66</v>
      </c>
    </row>
    <row r="2130" spans="4:4" x14ac:dyDescent="0.2">
      <c r="D2130" s="135">
        <v>22.67</v>
      </c>
    </row>
    <row r="2131" spans="4:4" x14ac:dyDescent="0.2">
      <c r="D2131" s="135">
        <v>22.68</v>
      </c>
    </row>
    <row r="2132" spans="4:4" x14ac:dyDescent="0.2">
      <c r="D2132" s="135">
        <v>22.69</v>
      </c>
    </row>
    <row r="2133" spans="4:4" x14ac:dyDescent="0.2">
      <c r="D2133" s="135">
        <v>22.7</v>
      </c>
    </row>
    <row r="2134" spans="4:4" x14ac:dyDescent="0.2">
      <c r="D2134" s="135">
        <v>22.71</v>
      </c>
    </row>
    <row r="2135" spans="4:4" x14ac:dyDescent="0.2">
      <c r="D2135" s="135">
        <v>22.72</v>
      </c>
    </row>
    <row r="2136" spans="4:4" x14ac:dyDescent="0.2">
      <c r="D2136" s="135">
        <v>22.73</v>
      </c>
    </row>
    <row r="2137" spans="4:4" x14ac:dyDescent="0.2">
      <c r="D2137" s="135">
        <v>22.74</v>
      </c>
    </row>
    <row r="2138" spans="4:4" x14ac:dyDescent="0.2">
      <c r="D2138" s="135">
        <v>22.75</v>
      </c>
    </row>
    <row r="2139" spans="4:4" x14ac:dyDescent="0.2">
      <c r="D2139" s="135">
        <v>22.76</v>
      </c>
    </row>
    <row r="2140" spans="4:4" x14ac:dyDescent="0.2">
      <c r="D2140" s="135">
        <v>22.77</v>
      </c>
    </row>
    <row r="2141" spans="4:4" x14ac:dyDescent="0.2">
      <c r="D2141" s="135">
        <v>22.78</v>
      </c>
    </row>
    <row r="2142" spans="4:4" x14ac:dyDescent="0.2">
      <c r="D2142" s="135">
        <v>22.79</v>
      </c>
    </row>
    <row r="2143" spans="4:4" x14ac:dyDescent="0.2">
      <c r="D2143" s="135">
        <v>22.8</v>
      </c>
    </row>
    <row r="2144" spans="4:4" x14ac:dyDescent="0.2">
      <c r="D2144" s="135">
        <v>22.81</v>
      </c>
    </row>
    <row r="2145" spans="4:4" x14ac:dyDescent="0.2">
      <c r="D2145" s="135">
        <v>22.82</v>
      </c>
    </row>
    <row r="2146" spans="4:4" x14ac:dyDescent="0.2">
      <c r="D2146" s="135">
        <v>22.83</v>
      </c>
    </row>
    <row r="2147" spans="4:4" x14ac:dyDescent="0.2">
      <c r="D2147" s="135">
        <v>22.84</v>
      </c>
    </row>
    <row r="2148" spans="4:4" x14ac:dyDescent="0.2">
      <c r="D2148" s="135">
        <v>22.85</v>
      </c>
    </row>
    <row r="2149" spans="4:4" x14ac:dyDescent="0.2">
      <c r="D2149" s="135">
        <v>22.86</v>
      </c>
    </row>
    <row r="2150" spans="4:4" x14ac:dyDescent="0.2">
      <c r="D2150" s="135">
        <v>22.87</v>
      </c>
    </row>
    <row r="2151" spans="4:4" x14ac:dyDescent="0.2">
      <c r="D2151" s="135">
        <v>22.88</v>
      </c>
    </row>
    <row r="2152" spans="4:4" x14ac:dyDescent="0.2">
      <c r="D2152" s="135">
        <v>22.89</v>
      </c>
    </row>
    <row r="2153" spans="4:4" x14ac:dyDescent="0.2">
      <c r="D2153" s="135">
        <v>22.9</v>
      </c>
    </row>
    <row r="2154" spans="4:4" x14ac:dyDescent="0.2">
      <c r="D2154" s="135">
        <v>22.91</v>
      </c>
    </row>
    <row r="2155" spans="4:4" x14ac:dyDescent="0.2">
      <c r="D2155" s="135">
        <v>22.92</v>
      </c>
    </row>
    <row r="2156" spans="4:4" x14ac:dyDescent="0.2">
      <c r="D2156" s="135">
        <v>22.93</v>
      </c>
    </row>
    <row r="2157" spans="4:4" x14ac:dyDescent="0.2">
      <c r="D2157" s="135">
        <v>22.94</v>
      </c>
    </row>
    <row r="2158" spans="4:4" x14ac:dyDescent="0.2">
      <c r="D2158" s="135">
        <v>22.95</v>
      </c>
    </row>
    <row r="2159" spans="4:4" x14ac:dyDescent="0.2">
      <c r="D2159" s="135">
        <v>22.96</v>
      </c>
    </row>
    <row r="2160" spans="4:4" x14ac:dyDescent="0.2">
      <c r="D2160" s="135">
        <v>22.97</v>
      </c>
    </row>
    <row r="2161" spans="4:4" x14ac:dyDescent="0.2">
      <c r="D2161" s="135">
        <v>22.98</v>
      </c>
    </row>
    <row r="2162" spans="4:4" x14ac:dyDescent="0.2">
      <c r="D2162" s="135">
        <v>22.99</v>
      </c>
    </row>
    <row r="2163" spans="4:4" x14ac:dyDescent="0.2">
      <c r="D2163" s="135">
        <v>23</v>
      </c>
    </row>
    <row r="2164" spans="4:4" x14ac:dyDescent="0.2">
      <c r="D2164" s="135">
        <v>23.01</v>
      </c>
    </row>
    <row r="2165" spans="4:4" x14ac:dyDescent="0.2">
      <c r="D2165" s="135">
        <v>23.02</v>
      </c>
    </row>
    <row r="2166" spans="4:4" x14ac:dyDescent="0.2">
      <c r="D2166" s="135">
        <v>23.03</v>
      </c>
    </row>
    <row r="2167" spans="4:4" x14ac:dyDescent="0.2">
      <c r="D2167" s="135">
        <v>23.04</v>
      </c>
    </row>
    <row r="2168" spans="4:4" x14ac:dyDescent="0.2">
      <c r="D2168" s="135">
        <v>23.05</v>
      </c>
    </row>
    <row r="2169" spans="4:4" x14ac:dyDescent="0.2">
      <c r="D2169" s="135">
        <v>23.06</v>
      </c>
    </row>
    <row r="2170" spans="4:4" x14ac:dyDescent="0.2">
      <c r="D2170" s="135">
        <v>23.07</v>
      </c>
    </row>
    <row r="2171" spans="4:4" x14ac:dyDescent="0.2">
      <c r="D2171" s="135">
        <v>23.08</v>
      </c>
    </row>
    <row r="2172" spans="4:4" x14ac:dyDescent="0.2">
      <c r="D2172" s="135">
        <v>23.09</v>
      </c>
    </row>
    <row r="2173" spans="4:4" x14ac:dyDescent="0.2">
      <c r="D2173" s="135">
        <v>23.1</v>
      </c>
    </row>
    <row r="2174" spans="4:4" x14ac:dyDescent="0.2">
      <c r="D2174" s="135">
        <v>23.11</v>
      </c>
    </row>
    <row r="2175" spans="4:4" x14ac:dyDescent="0.2">
      <c r="D2175" s="135">
        <v>23.12</v>
      </c>
    </row>
    <row r="2176" spans="4:4" x14ac:dyDescent="0.2">
      <c r="D2176" s="135">
        <v>23.13</v>
      </c>
    </row>
    <row r="2177" spans="4:4" x14ac:dyDescent="0.2">
      <c r="D2177" s="135">
        <v>23.14</v>
      </c>
    </row>
    <row r="2178" spans="4:4" x14ac:dyDescent="0.2">
      <c r="D2178" s="135">
        <v>23.15</v>
      </c>
    </row>
    <row r="2179" spans="4:4" x14ac:dyDescent="0.2">
      <c r="D2179" s="135">
        <v>23.16</v>
      </c>
    </row>
    <row r="2180" spans="4:4" x14ac:dyDescent="0.2">
      <c r="D2180" s="135">
        <v>23.17</v>
      </c>
    </row>
    <row r="2181" spans="4:4" x14ac:dyDescent="0.2">
      <c r="D2181" s="135">
        <v>23.18</v>
      </c>
    </row>
    <row r="2182" spans="4:4" x14ac:dyDescent="0.2">
      <c r="D2182" s="135">
        <v>23.19</v>
      </c>
    </row>
    <row r="2183" spans="4:4" x14ac:dyDescent="0.2">
      <c r="D2183" s="135">
        <v>23.2</v>
      </c>
    </row>
    <row r="2184" spans="4:4" x14ac:dyDescent="0.2">
      <c r="D2184" s="135">
        <v>23.21</v>
      </c>
    </row>
    <row r="2185" spans="4:4" x14ac:dyDescent="0.2">
      <c r="D2185" s="135">
        <v>23.22</v>
      </c>
    </row>
    <row r="2186" spans="4:4" x14ac:dyDescent="0.2">
      <c r="D2186" s="135">
        <v>23.23</v>
      </c>
    </row>
    <row r="2187" spans="4:4" x14ac:dyDescent="0.2">
      <c r="D2187" s="135">
        <v>23.24</v>
      </c>
    </row>
    <row r="2188" spans="4:4" x14ac:dyDescent="0.2">
      <c r="D2188" s="135">
        <v>23.25</v>
      </c>
    </row>
    <row r="2189" spans="4:4" x14ac:dyDescent="0.2">
      <c r="D2189" s="135">
        <v>23.26</v>
      </c>
    </row>
    <row r="2190" spans="4:4" x14ac:dyDescent="0.2">
      <c r="D2190" s="135">
        <v>23.27</v>
      </c>
    </row>
    <row r="2191" spans="4:4" x14ac:dyDescent="0.2">
      <c r="D2191" s="135">
        <v>23.28</v>
      </c>
    </row>
    <row r="2192" spans="4:4" x14ac:dyDescent="0.2">
      <c r="D2192" s="135">
        <v>23.29</v>
      </c>
    </row>
    <row r="2193" spans="4:4" x14ac:dyDescent="0.2">
      <c r="D2193" s="135">
        <v>23.3</v>
      </c>
    </row>
    <row r="2194" spans="4:4" x14ac:dyDescent="0.2">
      <c r="D2194" s="135">
        <v>23.31</v>
      </c>
    </row>
    <row r="2195" spans="4:4" x14ac:dyDescent="0.2">
      <c r="D2195" s="135">
        <v>23.32</v>
      </c>
    </row>
    <row r="2196" spans="4:4" x14ac:dyDescent="0.2">
      <c r="D2196" s="135">
        <v>23.33</v>
      </c>
    </row>
    <row r="2197" spans="4:4" x14ac:dyDescent="0.2">
      <c r="D2197" s="135">
        <v>23.34</v>
      </c>
    </row>
    <row r="2198" spans="4:4" x14ac:dyDescent="0.2">
      <c r="D2198" s="135">
        <v>23.35</v>
      </c>
    </row>
    <row r="2199" spans="4:4" x14ac:dyDescent="0.2">
      <c r="D2199" s="135">
        <v>23.36</v>
      </c>
    </row>
    <row r="2200" spans="4:4" x14ac:dyDescent="0.2">
      <c r="D2200" s="135">
        <v>23.37</v>
      </c>
    </row>
    <row r="2201" spans="4:4" x14ac:dyDescent="0.2">
      <c r="D2201" s="135">
        <v>23.38</v>
      </c>
    </row>
    <row r="2202" spans="4:4" x14ac:dyDescent="0.2">
      <c r="D2202" s="135">
        <v>23.39</v>
      </c>
    </row>
    <row r="2203" spans="4:4" x14ac:dyDescent="0.2">
      <c r="D2203" s="135">
        <v>23.4</v>
      </c>
    </row>
    <row r="2204" spans="4:4" x14ac:dyDescent="0.2">
      <c r="D2204" s="135">
        <v>23.41</v>
      </c>
    </row>
    <row r="2205" spans="4:4" x14ac:dyDescent="0.2">
      <c r="D2205" s="135">
        <v>23.42</v>
      </c>
    </row>
    <row r="2206" spans="4:4" x14ac:dyDescent="0.2">
      <c r="D2206" s="135">
        <v>23.43</v>
      </c>
    </row>
    <row r="2207" spans="4:4" x14ac:dyDescent="0.2">
      <c r="D2207" s="135">
        <v>23.44</v>
      </c>
    </row>
    <row r="2208" spans="4:4" x14ac:dyDescent="0.2">
      <c r="D2208" s="135">
        <v>23.45</v>
      </c>
    </row>
    <row r="2209" spans="4:4" x14ac:dyDescent="0.2">
      <c r="D2209" s="135">
        <v>23.46</v>
      </c>
    </row>
    <row r="2210" spans="4:4" x14ac:dyDescent="0.2">
      <c r="D2210" s="135">
        <v>23.47</v>
      </c>
    </row>
    <row r="2211" spans="4:4" x14ac:dyDescent="0.2">
      <c r="D2211" s="135">
        <v>23.48</v>
      </c>
    </row>
    <row r="2212" spans="4:4" x14ac:dyDescent="0.2">
      <c r="D2212" s="135">
        <v>23.49</v>
      </c>
    </row>
    <row r="2213" spans="4:4" x14ac:dyDescent="0.2">
      <c r="D2213" s="135">
        <v>23.5</v>
      </c>
    </row>
    <row r="2214" spans="4:4" x14ac:dyDescent="0.2">
      <c r="D2214" s="135">
        <v>23.51</v>
      </c>
    </row>
    <row r="2215" spans="4:4" x14ac:dyDescent="0.2">
      <c r="D2215" s="135">
        <v>23.52</v>
      </c>
    </row>
    <row r="2216" spans="4:4" x14ac:dyDescent="0.2">
      <c r="D2216" s="135">
        <v>23.53</v>
      </c>
    </row>
    <row r="2217" spans="4:4" x14ac:dyDescent="0.2">
      <c r="D2217" s="135">
        <v>23.54</v>
      </c>
    </row>
    <row r="2218" spans="4:4" x14ac:dyDescent="0.2">
      <c r="D2218" s="135">
        <v>23.55</v>
      </c>
    </row>
    <row r="2219" spans="4:4" x14ac:dyDescent="0.2">
      <c r="D2219" s="135">
        <v>23.56</v>
      </c>
    </row>
    <row r="2220" spans="4:4" x14ac:dyDescent="0.2">
      <c r="D2220" s="135">
        <v>23.57</v>
      </c>
    </row>
    <row r="2221" spans="4:4" x14ac:dyDescent="0.2">
      <c r="D2221" s="135">
        <v>23.58</v>
      </c>
    </row>
    <row r="2222" spans="4:4" x14ac:dyDescent="0.2">
      <c r="D2222" s="135">
        <v>23.59</v>
      </c>
    </row>
    <row r="2223" spans="4:4" x14ac:dyDescent="0.2">
      <c r="D2223" s="135">
        <v>23.6</v>
      </c>
    </row>
    <row r="2224" spans="4:4" x14ac:dyDescent="0.2">
      <c r="D2224" s="135">
        <v>23.61</v>
      </c>
    </row>
    <row r="2225" spans="4:4" x14ac:dyDescent="0.2">
      <c r="D2225" s="135">
        <v>23.62</v>
      </c>
    </row>
    <row r="2226" spans="4:4" x14ac:dyDescent="0.2">
      <c r="D2226" s="135">
        <v>23.63</v>
      </c>
    </row>
    <row r="2227" spans="4:4" x14ac:dyDescent="0.2">
      <c r="D2227" s="135">
        <v>23.64</v>
      </c>
    </row>
    <row r="2228" spans="4:4" x14ac:dyDescent="0.2">
      <c r="D2228" s="135">
        <v>23.65</v>
      </c>
    </row>
    <row r="2229" spans="4:4" x14ac:dyDescent="0.2">
      <c r="D2229" s="135">
        <v>23.66</v>
      </c>
    </row>
    <row r="2230" spans="4:4" x14ac:dyDescent="0.2">
      <c r="D2230" s="135">
        <v>23.67</v>
      </c>
    </row>
    <row r="2231" spans="4:4" x14ac:dyDescent="0.2">
      <c r="D2231" s="135">
        <v>23.68</v>
      </c>
    </row>
    <row r="2232" spans="4:4" x14ac:dyDescent="0.2">
      <c r="D2232" s="135">
        <v>23.69</v>
      </c>
    </row>
    <row r="2233" spans="4:4" x14ac:dyDescent="0.2">
      <c r="D2233" s="135">
        <v>23.7</v>
      </c>
    </row>
    <row r="2234" spans="4:4" x14ac:dyDescent="0.2">
      <c r="D2234" s="135">
        <v>23.71</v>
      </c>
    </row>
    <row r="2235" spans="4:4" x14ac:dyDescent="0.2">
      <c r="D2235" s="135">
        <v>23.72</v>
      </c>
    </row>
    <row r="2236" spans="4:4" x14ac:dyDescent="0.2">
      <c r="D2236" s="135">
        <v>23.73</v>
      </c>
    </row>
    <row r="2237" spans="4:4" x14ac:dyDescent="0.2">
      <c r="D2237" s="135">
        <v>23.74</v>
      </c>
    </row>
    <row r="2238" spans="4:4" x14ac:dyDescent="0.2">
      <c r="D2238" s="135">
        <v>23.75</v>
      </c>
    </row>
    <row r="2239" spans="4:4" x14ac:dyDescent="0.2">
      <c r="D2239" s="135">
        <v>23.76</v>
      </c>
    </row>
    <row r="2240" spans="4:4" x14ac:dyDescent="0.2">
      <c r="D2240" s="135">
        <v>23.77</v>
      </c>
    </row>
    <row r="2241" spans="4:4" x14ac:dyDescent="0.2">
      <c r="D2241" s="135">
        <v>23.78</v>
      </c>
    </row>
    <row r="2242" spans="4:4" x14ac:dyDescent="0.2">
      <c r="D2242" s="135">
        <v>23.79</v>
      </c>
    </row>
    <row r="2243" spans="4:4" x14ac:dyDescent="0.2">
      <c r="D2243" s="135">
        <v>23.8</v>
      </c>
    </row>
    <row r="2244" spans="4:4" x14ac:dyDescent="0.2">
      <c r="D2244" s="135">
        <v>23.81</v>
      </c>
    </row>
    <row r="2245" spans="4:4" x14ac:dyDescent="0.2">
      <c r="D2245" s="135">
        <v>23.82</v>
      </c>
    </row>
    <row r="2246" spans="4:4" x14ac:dyDescent="0.2">
      <c r="D2246" s="135">
        <v>23.83</v>
      </c>
    </row>
    <row r="2247" spans="4:4" x14ac:dyDescent="0.2">
      <c r="D2247" s="135">
        <v>23.84</v>
      </c>
    </row>
    <row r="2248" spans="4:4" x14ac:dyDescent="0.2">
      <c r="D2248" s="135">
        <v>23.85</v>
      </c>
    </row>
    <row r="2249" spans="4:4" x14ac:dyDescent="0.2">
      <c r="D2249" s="135">
        <v>23.86</v>
      </c>
    </row>
    <row r="2250" spans="4:4" x14ac:dyDescent="0.2">
      <c r="D2250" s="135">
        <v>23.87</v>
      </c>
    </row>
    <row r="2251" spans="4:4" x14ac:dyDescent="0.2">
      <c r="D2251" s="135">
        <v>23.88</v>
      </c>
    </row>
    <row r="2252" spans="4:4" x14ac:dyDescent="0.2">
      <c r="D2252" s="135">
        <v>23.89</v>
      </c>
    </row>
    <row r="2253" spans="4:4" x14ac:dyDescent="0.2">
      <c r="D2253" s="135">
        <v>23.9</v>
      </c>
    </row>
    <row r="2254" spans="4:4" x14ac:dyDescent="0.2">
      <c r="D2254" s="135">
        <v>23.91</v>
      </c>
    </row>
    <row r="2255" spans="4:4" x14ac:dyDescent="0.2">
      <c r="D2255" s="135">
        <v>23.92</v>
      </c>
    </row>
    <row r="2256" spans="4:4" x14ac:dyDescent="0.2">
      <c r="D2256" s="135">
        <v>23.93</v>
      </c>
    </row>
    <row r="2257" spans="4:4" x14ac:dyDescent="0.2">
      <c r="D2257" s="135">
        <v>23.94</v>
      </c>
    </row>
    <row r="2258" spans="4:4" x14ac:dyDescent="0.2">
      <c r="D2258" s="135">
        <v>23.95</v>
      </c>
    </row>
    <row r="2259" spans="4:4" x14ac:dyDescent="0.2">
      <c r="D2259" s="135">
        <v>23.96</v>
      </c>
    </row>
    <row r="2260" spans="4:4" x14ac:dyDescent="0.2">
      <c r="D2260" s="135">
        <v>23.97</v>
      </c>
    </row>
    <row r="2261" spans="4:4" x14ac:dyDescent="0.2">
      <c r="D2261" s="135">
        <v>23.98</v>
      </c>
    </row>
    <row r="2262" spans="4:4" x14ac:dyDescent="0.2">
      <c r="D2262" s="135">
        <v>23.99</v>
      </c>
    </row>
    <row r="2263" spans="4:4" x14ac:dyDescent="0.2">
      <c r="D2263" s="135">
        <v>24</v>
      </c>
    </row>
    <row r="2264" spans="4:4" x14ac:dyDescent="0.2">
      <c r="D2264" s="135">
        <v>24.01</v>
      </c>
    </row>
    <row r="2265" spans="4:4" x14ac:dyDescent="0.2">
      <c r="D2265" s="135">
        <v>24.02</v>
      </c>
    </row>
    <row r="2266" spans="4:4" x14ac:dyDescent="0.2">
      <c r="D2266" s="135">
        <v>24.03</v>
      </c>
    </row>
    <row r="2267" spans="4:4" x14ac:dyDescent="0.2">
      <c r="D2267" s="135">
        <v>24.04</v>
      </c>
    </row>
    <row r="2268" spans="4:4" x14ac:dyDescent="0.2">
      <c r="D2268" s="135">
        <v>24.05</v>
      </c>
    </row>
    <row r="2269" spans="4:4" x14ac:dyDescent="0.2">
      <c r="D2269" s="135">
        <v>24.06</v>
      </c>
    </row>
    <row r="2270" spans="4:4" x14ac:dyDescent="0.2">
      <c r="D2270" s="135">
        <v>24.07</v>
      </c>
    </row>
    <row r="2271" spans="4:4" x14ac:dyDescent="0.2">
      <c r="D2271" s="135">
        <v>24.08</v>
      </c>
    </row>
    <row r="2272" spans="4:4" x14ac:dyDescent="0.2">
      <c r="D2272" s="135">
        <v>24.09</v>
      </c>
    </row>
    <row r="2273" spans="4:4" x14ac:dyDescent="0.2">
      <c r="D2273" s="135">
        <v>24.1</v>
      </c>
    </row>
    <row r="2274" spans="4:4" x14ac:dyDescent="0.2">
      <c r="D2274" s="135">
        <v>24.11</v>
      </c>
    </row>
    <row r="2275" spans="4:4" x14ac:dyDescent="0.2">
      <c r="D2275" s="135">
        <v>24.12</v>
      </c>
    </row>
    <row r="2276" spans="4:4" x14ac:dyDescent="0.2">
      <c r="D2276" s="135">
        <v>24.13</v>
      </c>
    </row>
    <row r="2277" spans="4:4" x14ac:dyDescent="0.2">
      <c r="D2277" s="135">
        <v>24.14</v>
      </c>
    </row>
    <row r="2278" spans="4:4" x14ac:dyDescent="0.2">
      <c r="D2278" s="135">
        <v>24.15</v>
      </c>
    </row>
    <row r="2279" spans="4:4" x14ac:dyDescent="0.2">
      <c r="D2279" s="135">
        <v>24.16</v>
      </c>
    </row>
    <row r="2280" spans="4:4" x14ac:dyDescent="0.2">
      <c r="D2280" s="135">
        <v>24.17</v>
      </c>
    </row>
    <row r="2281" spans="4:4" x14ac:dyDescent="0.2">
      <c r="D2281" s="135">
        <v>24.18</v>
      </c>
    </row>
    <row r="2282" spans="4:4" x14ac:dyDescent="0.2">
      <c r="D2282" s="135">
        <v>24.19</v>
      </c>
    </row>
    <row r="2283" spans="4:4" x14ac:dyDescent="0.2">
      <c r="D2283" s="135">
        <v>24.2</v>
      </c>
    </row>
    <row r="2284" spans="4:4" x14ac:dyDescent="0.2">
      <c r="D2284" s="135">
        <v>24.21</v>
      </c>
    </row>
    <row r="2285" spans="4:4" x14ac:dyDescent="0.2">
      <c r="D2285" s="135">
        <v>24.22</v>
      </c>
    </row>
    <row r="2286" spans="4:4" x14ac:dyDescent="0.2">
      <c r="D2286" s="135">
        <v>24.23</v>
      </c>
    </row>
    <row r="2287" spans="4:4" x14ac:dyDescent="0.2">
      <c r="D2287" s="135">
        <v>24.24</v>
      </c>
    </row>
    <row r="2288" spans="4:4" x14ac:dyDescent="0.2">
      <c r="D2288" s="135">
        <v>24.25</v>
      </c>
    </row>
    <row r="2289" spans="4:4" x14ac:dyDescent="0.2">
      <c r="D2289" s="135">
        <v>24.26</v>
      </c>
    </row>
    <row r="2290" spans="4:4" x14ac:dyDescent="0.2">
      <c r="D2290" s="135">
        <v>24.27</v>
      </c>
    </row>
    <row r="2291" spans="4:4" x14ac:dyDescent="0.2">
      <c r="D2291" s="135">
        <v>24.28</v>
      </c>
    </row>
    <row r="2292" spans="4:4" x14ac:dyDescent="0.2">
      <c r="D2292" s="135">
        <v>24.29</v>
      </c>
    </row>
    <row r="2293" spans="4:4" x14ac:dyDescent="0.2">
      <c r="D2293" s="135">
        <v>24.3</v>
      </c>
    </row>
    <row r="2294" spans="4:4" x14ac:dyDescent="0.2">
      <c r="D2294" s="135">
        <v>24.31</v>
      </c>
    </row>
    <row r="2295" spans="4:4" x14ac:dyDescent="0.2">
      <c r="D2295" s="135">
        <v>24.32</v>
      </c>
    </row>
    <row r="2296" spans="4:4" x14ac:dyDescent="0.2">
      <c r="D2296" s="135">
        <v>24.33</v>
      </c>
    </row>
    <row r="2297" spans="4:4" x14ac:dyDescent="0.2">
      <c r="D2297" s="135">
        <v>24.34</v>
      </c>
    </row>
    <row r="2298" spans="4:4" x14ac:dyDescent="0.2">
      <c r="D2298" s="135">
        <v>24.35</v>
      </c>
    </row>
    <row r="2299" spans="4:4" x14ac:dyDescent="0.2">
      <c r="D2299" s="135">
        <v>24.36</v>
      </c>
    </row>
    <row r="2300" spans="4:4" x14ac:dyDescent="0.2">
      <c r="D2300" s="135">
        <v>24.37</v>
      </c>
    </row>
    <row r="2301" spans="4:4" x14ac:dyDescent="0.2">
      <c r="D2301" s="135">
        <v>24.38</v>
      </c>
    </row>
    <row r="2302" spans="4:4" x14ac:dyDescent="0.2">
      <c r="D2302" s="135">
        <v>24.39</v>
      </c>
    </row>
    <row r="2303" spans="4:4" x14ac:dyDescent="0.2">
      <c r="D2303" s="135">
        <v>24.4</v>
      </c>
    </row>
    <row r="2304" spans="4:4" x14ac:dyDescent="0.2">
      <c r="D2304" s="135">
        <v>24.41</v>
      </c>
    </row>
    <row r="2305" spans="4:4" x14ac:dyDescent="0.2">
      <c r="D2305" s="135">
        <v>24.42</v>
      </c>
    </row>
    <row r="2306" spans="4:4" x14ac:dyDescent="0.2">
      <c r="D2306" s="135">
        <v>24.43</v>
      </c>
    </row>
    <row r="2307" spans="4:4" x14ac:dyDescent="0.2">
      <c r="D2307" s="135">
        <v>24.44</v>
      </c>
    </row>
    <row r="2308" spans="4:4" x14ac:dyDescent="0.2">
      <c r="D2308" s="135">
        <v>24.45</v>
      </c>
    </row>
    <row r="2309" spans="4:4" x14ac:dyDescent="0.2">
      <c r="D2309" s="135">
        <v>24.46</v>
      </c>
    </row>
    <row r="2310" spans="4:4" x14ac:dyDescent="0.2">
      <c r="D2310" s="135">
        <v>24.47</v>
      </c>
    </row>
    <row r="2311" spans="4:4" x14ac:dyDescent="0.2">
      <c r="D2311" s="135">
        <v>24.48</v>
      </c>
    </row>
    <row r="2312" spans="4:4" x14ac:dyDescent="0.2">
      <c r="D2312" s="135">
        <v>24.49</v>
      </c>
    </row>
    <row r="2313" spans="4:4" x14ac:dyDescent="0.2">
      <c r="D2313" s="135">
        <v>24.5</v>
      </c>
    </row>
    <row r="2314" spans="4:4" x14ac:dyDescent="0.2">
      <c r="D2314" s="135">
        <v>24.51</v>
      </c>
    </row>
    <row r="2315" spans="4:4" x14ac:dyDescent="0.2">
      <c r="D2315" s="135">
        <v>24.52</v>
      </c>
    </row>
    <row r="2316" spans="4:4" x14ac:dyDescent="0.2">
      <c r="D2316" s="135">
        <v>24.53</v>
      </c>
    </row>
    <row r="2317" spans="4:4" x14ac:dyDescent="0.2">
      <c r="D2317" s="135">
        <v>24.54</v>
      </c>
    </row>
    <row r="2318" spans="4:4" x14ac:dyDescent="0.2">
      <c r="D2318" s="135">
        <v>24.55</v>
      </c>
    </row>
    <row r="2319" spans="4:4" x14ac:dyDescent="0.2">
      <c r="D2319" s="135">
        <v>24.56</v>
      </c>
    </row>
    <row r="2320" spans="4:4" x14ac:dyDescent="0.2">
      <c r="D2320" s="135">
        <v>24.57</v>
      </c>
    </row>
    <row r="2321" spans="4:4" x14ac:dyDescent="0.2">
      <c r="D2321" s="135">
        <v>24.58</v>
      </c>
    </row>
    <row r="2322" spans="4:4" x14ac:dyDescent="0.2">
      <c r="D2322" s="135">
        <v>24.59</v>
      </c>
    </row>
    <row r="2323" spans="4:4" x14ac:dyDescent="0.2">
      <c r="D2323" s="135">
        <v>24.6</v>
      </c>
    </row>
    <row r="2324" spans="4:4" x14ac:dyDescent="0.2">
      <c r="D2324" s="135">
        <v>24.61</v>
      </c>
    </row>
    <row r="2325" spans="4:4" x14ac:dyDescent="0.2">
      <c r="D2325" s="135">
        <v>24.62</v>
      </c>
    </row>
    <row r="2326" spans="4:4" x14ac:dyDescent="0.2">
      <c r="D2326" s="135">
        <v>24.63</v>
      </c>
    </row>
    <row r="2327" spans="4:4" x14ac:dyDescent="0.2">
      <c r="D2327" s="135">
        <v>24.64</v>
      </c>
    </row>
    <row r="2328" spans="4:4" x14ac:dyDescent="0.2">
      <c r="D2328" s="135">
        <v>24.65</v>
      </c>
    </row>
    <row r="2329" spans="4:4" x14ac:dyDescent="0.2">
      <c r="D2329" s="135">
        <v>24.66</v>
      </c>
    </row>
    <row r="2330" spans="4:4" x14ac:dyDescent="0.2">
      <c r="D2330" s="135">
        <v>24.67</v>
      </c>
    </row>
    <row r="2331" spans="4:4" x14ac:dyDescent="0.2">
      <c r="D2331" s="135">
        <v>24.68</v>
      </c>
    </row>
    <row r="2332" spans="4:4" x14ac:dyDescent="0.2">
      <c r="D2332" s="135">
        <v>24.69</v>
      </c>
    </row>
    <row r="2333" spans="4:4" x14ac:dyDescent="0.2">
      <c r="D2333" s="135">
        <v>24.7</v>
      </c>
    </row>
    <row r="2334" spans="4:4" x14ac:dyDescent="0.2">
      <c r="D2334" s="135">
        <v>24.71</v>
      </c>
    </row>
    <row r="2335" spans="4:4" x14ac:dyDescent="0.2">
      <c r="D2335" s="135">
        <v>24.72</v>
      </c>
    </row>
    <row r="2336" spans="4:4" x14ac:dyDescent="0.2">
      <c r="D2336" s="135">
        <v>24.73</v>
      </c>
    </row>
    <row r="2337" spans="4:4" x14ac:dyDescent="0.2">
      <c r="D2337" s="135">
        <v>24.74</v>
      </c>
    </row>
    <row r="2338" spans="4:4" x14ac:dyDescent="0.2">
      <c r="D2338" s="135">
        <v>24.75</v>
      </c>
    </row>
    <row r="2339" spans="4:4" x14ac:dyDescent="0.2">
      <c r="D2339" s="135">
        <v>24.76</v>
      </c>
    </row>
    <row r="2340" spans="4:4" x14ac:dyDescent="0.2">
      <c r="D2340" s="135">
        <v>24.77</v>
      </c>
    </row>
    <row r="2341" spans="4:4" x14ac:dyDescent="0.2">
      <c r="D2341" s="135">
        <v>24.78</v>
      </c>
    </row>
    <row r="2342" spans="4:4" x14ac:dyDescent="0.2">
      <c r="D2342" s="135">
        <v>24.79</v>
      </c>
    </row>
    <row r="2343" spans="4:4" x14ac:dyDescent="0.2">
      <c r="D2343" s="135">
        <v>24.8</v>
      </c>
    </row>
    <row r="2344" spans="4:4" x14ac:dyDescent="0.2">
      <c r="D2344" s="135">
        <v>24.81</v>
      </c>
    </row>
    <row r="2345" spans="4:4" x14ac:dyDescent="0.2">
      <c r="D2345" s="135">
        <v>24.82</v>
      </c>
    </row>
    <row r="2346" spans="4:4" x14ac:dyDescent="0.2">
      <c r="D2346" s="135">
        <v>24.83</v>
      </c>
    </row>
    <row r="2347" spans="4:4" x14ac:dyDescent="0.2">
      <c r="D2347" s="135">
        <v>24.84</v>
      </c>
    </row>
    <row r="2348" spans="4:4" x14ac:dyDescent="0.2">
      <c r="D2348" s="135">
        <v>24.85</v>
      </c>
    </row>
    <row r="2349" spans="4:4" x14ac:dyDescent="0.2">
      <c r="D2349" s="135">
        <v>24.86</v>
      </c>
    </row>
    <row r="2350" spans="4:4" x14ac:dyDescent="0.2">
      <c r="D2350" s="135">
        <v>24.87</v>
      </c>
    </row>
    <row r="2351" spans="4:4" x14ac:dyDescent="0.2">
      <c r="D2351" s="135">
        <v>24.88</v>
      </c>
    </row>
    <row r="2352" spans="4:4" x14ac:dyDescent="0.2">
      <c r="D2352" s="135">
        <v>24.89</v>
      </c>
    </row>
    <row r="2353" spans="4:4" x14ac:dyDescent="0.2">
      <c r="D2353" s="135">
        <v>24.9</v>
      </c>
    </row>
    <row r="2354" spans="4:4" x14ac:dyDescent="0.2">
      <c r="D2354" s="135">
        <v>24.91</v>
      </c>
    </row>
    <row r="2355" spans="4:4" x14ac:dyDescent="0.2">
      <c r="D2355" s="135">
        <v>24.92</v>
      </c>
    </row>
    <row r="2356" spans="4:4" x14ac:dyDescent="0.2">
      <c r="D2356" s="135">
        <v>24.93</v>
      </c>
    </row>
    <row r="2357" spans="4:4" x14ac:dyDescent="0.2">
      <c r="D2357" s="135">
        <v>24.94</v>
      </c>
    </row>
    <row r="2358" spans="4:4" x14ac:dyDescent="0.2">
      <c r="D2358" s="135">
        <v>24.95</v>
      </c>
    </row>
    <row r="2359" spans="4:4" x14ac:dyDescent="0.2">
      <c r="D2359" s="135">
        <v>24.96</v>
      </c>
    </row>
    <row r="2360" spans="4:4" x14ac:dyDescent="0.2">
      <c r="D2360" s="135">
        <v>24.97</v>
      </c>
    </row>
    <row r="2361" spans="4:4" x14ac:dyDescent="0.2">
      <c r="D2361" s="135">
        <v>24.98</v>
      </c>
    </row>
    <row r="2362" spans="4:4" x14ac:dyDescent="0.2">
      <c r="D2362" s="135">
        <v>24.99</v>
      </c>
    </row>
    <row r="2363" spans="4:4" x14ac:dyDescent="0.2">
      <c r="D2363" s="135">
        <v>25</v>
      </c>
    </row>
    <row r="2364" spans="4:4" x14ac:dyDescent="0.2">
      <c r="D2364" s="135">
        <v>25.01</v>
      </c>
    </row>
    <row r="2365" spans="4:4" x14ac:dyDescent="0.2">
      <c r="D2365" s="135">
        <v>25.02</v>
      </c>
    </row>
    <row r="2366" spans="4:4" x14ac:dyDescent="0.2">
      <c r="D2366" s="135">
        <v>25.03</v>
      </c>
    </row>
    <row r="2367" spans="4:4" x14ac:dyDescent="0.2">
      <c r="D2367" s="135">
        <v>25.04</v>
      </c>
    </row>
    <row r="2368" spans="4:4" x14ac:dyDescent="0.2">
      <c r="D2368" s="135">
        <v>25.05</v>
      </c>
    </row>
    <row r="2369" spans="4:4" x14ac:dyDescent="0.2">
      <c r="D2369" s="135">
        <v>25.06</v>
      </c>
    </row>
    <row r="2370" spans="4:4" x14ac:dyDescent="0.2">
      <c r="D2370" s="135">
        <v>25.07</v>
      </c>
    </row>
    <row r="2371" spans="4:4" x14ac:dyDescent="0.2">
      <c r="D2371" s="135">
        <v>25.08</v>
      </c>
    </row>
    <row r="2372" spans="4:4" x14ac:dyDescent="0.2">
      <c r="D2372" s="135">
        <v>25.09</v>
      </c>
    </row>
    <row r="2373" spans="4:4" x14ac:dyDescent="0.2">
      <c r="D2373" s="135">
        <v>25.1</v>
      </c>
    </row>
    <row r="2374" spans="4:4" x14ac:dyDescent="0.2">
      <c r="D2374" s="135">
        <v>25.11</v>
      </c>
    </row>
    <row r="2375" spans="4:4" x14ac:dyDescent="0.2">
      <c r="D2375" s="135">
        <v>25.12</v>
      </c>
    </row>
    <row r="2376" spans="4:4" x14ac:dyDescent="0.2">
      <c r="D2376" s="135">
        <v>25.13</v>
      </c>
    </row>
    <row r="2377" spans="4:4" x14ac:dyDescent="0.2">
      <c r="D2377" s="135">
        <v>25.14</v>
      </c>
    </row>
    <row r="2378" spans="4:4" x14ac:dyDescent="0.2">
      <c r="D2378" s="135">
        <v>25.15</v>
      </c>
    </row>
    <row r="2379" spans="4:4" x14ac:dyDescent="0.2">
      <c r="D2379" s="135">
        <v>25.16</v>
      </c>
    </row>
    <row r="2380" spans="4:4" x14ac:dyDescent="0.2">
      <c r="D2380" s="135">
        <v>25.17</v>
      </c>
    </row>
    <row r="2381" spans="4:4" x14ac:dyDescent="0.2">
      <c r="D2381" s="135">
        <v>25.18</v>
      </c>
    </row>
    <row r="2382" spans="4:4" x14ac:dyDescent="0.2">
      <c r="D2382" s="135">
        <v>25.19</v>
      </c>
    </row>
    <row r="2383" spans="4:4" x14ac:dyDescent="0.2">
      <c r="D2383" s="135">
        <v>25.2</v>
      </c>
    </row>
    <row r="2384" spans="4:4" x14ac:dyDescent="0.2">
      <c r="D2384" s="135">
        <v>25.21</v>
      </c>
    </row>
    <row r="2385" spans="4:4" x14ac:dyDescent="0.2">
      <c r="D2385" s="135">
        <v>25.22</v>
      </c>
    </row>
    <row r="2386" spans="4:4" x14ac:dyDescent="0.2">
      <c r="D2386" s="135">
        <v>25.23</v>
      </c>
    </row>
    <row r="2387" spans="4:4" x14ac:dyDescent="0.2">
      <c r="D2387" s="135">
        <v>25.24</v>
      </c>
    </row>
    <row r="2388" spans="4:4" x14ac:dyDescent="0.2">
      <c r="D2388" s="135">
        <v>25.25</v>
      </c>
    </row>
    <row r="2389" spans="4:4" x14ac:dyDescent="0.2">
      <c r="D2389" s="135">
        <v>25.26</v>
      </c>
    </row>
    <row r="2390" spans="4:4" x14ac:dyDescent="0.2">
      <c r="D2390" s="135">
        <v>25.27</v>
      </c>
    </row>
    <row r="2391" spans="4:4" x14ac:dyDescent="0.2">
      <c r="D2391" s="135">
        <v>25.28</v>
      </c>
    </row>
    <row r="2392" spans="4:4" x14ac:dyDescent="0.2">
      <c r="D2392" s="135">
        <v>25.29</v>
      </c>
    </row>
    <row r="2393" spans="4:4" x14ac:dyDescent="0.2">
      <c r="D2393" s="135">
        <v>25.3</v>
      </c>
    </row>
    <row r="2394" spans="4:4" x14ac:dyDescent="0.2">
      <c r="D2394" s="135">
        <v>25.31</v>
      </c>
    </row>
    <row r="2395" spans="4:4" x14ac:dyDescent="0.2">
      <c r="D2395" s="135">
        <v>25.32</v>
      </c>
    </row>
    <row r="2396" spans="4:4" x14ac:dyDescent="0.2">
      <c r="D2396" s="135">
        <v>25.33</v>
      </c>
    </row>
    <row r="2397" spans="4:4" x14ac:dyDescent="0.2">
      <c r="D2397" s="135">
        <v>25.34</v>
      </c>
    </row>
    <row r="2398" spans="4:4" x14ac:dyDescent="0.2">
      <c r="D2398" s="135">
        <v>25.35</v>
      </c>
    </row>
    <row r="2399" spans="4:4" x14ac:dyDescent="0.2">
      <c r="D2399" s="135">
        <v>25.36</v>
      </c>
    </row>
    <row r="2400" spans="4:4" x14ac:dyDescent="0.2">
      <c r="D2400" s="135">
        <v>25.37</v>
      </c>
    </row>
    <row r="2401" spans="4:4" x14ac:dyDescent="0.2">
      <c r="D2401" s="135">
        <v>25.38</v>
      </c>
    </row>
    <row r="2402" spans="4:4" x14ac:dyDescent="0.2">
      <c r="D2402" s="135">
        <v>25.39</v>
      </c>
    </row>
    <row r="2403" spans="4:4" x14ac:dyDescent="0.2">
      <c r="D2403" s="135">
        <v>25.4</v>
      </c>
    </row>
    <row r="2404" spans="4:4" x14ac:dyDescent="0.2">
      <c r="D2404" s="135">
        <v>25.41</v>
      </c>
    </row>
    <row r="2405" spans="4:4" x14ac:dyDescent="0.2">
      <c r="D2405" s="135">
        <v>25.42</v>
      </c>
    </row>
    <row r="2406" spans="4:4" x14ac:dyDescent="0.2">
      <c r="D2406" s="135">
        <v>25.43</v>
      </c>
    </row>
    <row r="2407" spans="4:4" x14ac:dyDescent="0.2">
      <c r="D2407" s="135">
        <v>25.44</v>
      </c>
    </row>
    <row r="2408" spans="4:4" x14ac:dyDescent="0.2">
      <c r="D2408" s="135">
        <v>25.45</v>
      </c>
    </row>
    <row r="2409" spans="4:4" x14ac:dyDescent="0.2">
      <c r="D2409" s="135">
        <v>25.46</v>
      </c>
    </row>
    <row r="2410" spans="4:4" x14ac:dyDescent="0.2">
      <c r="D2410" s="135">
        <v>25.47</v>
      </c>
    </row>
    <row r="2411" spans="4:4" x14ac:dyDescent="0.2">
      <c r="D2411" s="135">
        <v>25.48</v>
      </c>
    </row>
    <row r="2412" spans="4:4" x14ac:dyDescent="0.2">
      <c r="D2412" s="135">
        <v>25.49</v>
      </c>
    </row>
    <row r="2413" spans="4:4" x14ac:dyDescent="0.2">
      <c r="D2413" s="135">
        <v>25.5</v>
      </c>
    </row>
    <row r="2414" spans="4:4" x14ac:dyDescent="0.2">
      <c r="D2414" s="135">
        <v>25.51</v>
      </c>
    </row>
    <row r="2415" spans="4:4" x14ac:dyDescent="0.2">
      <c r="D2415" s="135">
        <v>25.52</v>
      </c>
    </row>
    <row r="2416" spans="4:4" x14ac:dyDescent="0.2">
      <c r="D2416" s="135">
        <v>25.53</v>
      </c>
    </row>
    <row r="2417" spans="4:4" x14ac:dyDescent="0.2">
      <c r="D2417" s="135">
        <v>25.54</v>
      </c>
    </row>
    <row r="2418" spans="4:4" x14ac:dyDescent="0.2">
      <c r="D2418" s="135">
        <v>25.55</v>
      </c>
    </row>
    <row r="2419" spans="4:4" x14ac:dyDescent="0.2">
      <c r="D2419" s="135">
        <v>25.56</v>
      </c>
    </row>
    <row r="2420" spans="4:4" x14ac:dyDescent="0.2">
      <c r="D2420" s="135">
        <v>25.57</v>
      </c>
    </row>
    <row r="2421" spans="4:4" x14ac:dyDescent="0.2">
      <c r="D2421" s="135">
        <v>25.58</v>
      </c>
    </row>
    <row r="2422" spans="4:4" x14ac:dyDescent="0.2">
      <c r="D2422" s="135">
        <v>25.59</v>
      </c>
    </row>
    <row r="2423" spans="4:4" x14ac:dyDescent="0.2">
      <c r="D2423" s="135">
        <v>25.6</v>
      </c>
    </row>
    <row r="2424" spans="4:4" x14ac:dyDescent="0.2">
      <c r="D2424" s="135">
        <v>25.61</v>
      </c>
    </row>
    <row r="2425" spans="4:4" x14ac:dyDescent="0.2">
      <c r="D2425" s="135">
        <v>25.62</v>
      </c>
    </row>
    <row r="2426" spans="4:4" x14ac:dyDescent="0.2">
      <c r="D2426" s="135">
        <v>25.63</v>
      </c>
    </row>
    <row r="2427" spans="4:4" x14ac:dyDescent="0.2">
      <c r="D2427" s="135">
        <v>25.64</v>
      </c>
    </row>
    <row r="2428" spans="4:4" x14ac:dyDescent="0.2">
      <c r="D2428" s="135">
        <v>25.65</v>
      </c>
    </row>
    <row r="2429" spans="4:4" x14ac:dyDescent="0.2">
      <c r="D2429" s="135">
        <v>25.66</v>
      </c>
    </row>
    <row r="2430" spans="4:4" x14ac:dyDescent="0.2">
      <c r="D2430" s="135">
        <v>25.67</v>
      </c>
    </row>
    <row r="2431" spans="4:4" x14ac:dyDescent="0.2">
      <c r="D2431" s="135">
        <v>25.68</v>
      </c>
    </row>
    <row r="2432" spans="4:4" x14ac:dyDescent="0.2">
      <c r="D2432" s="135">
        <v>25.69</v>
      </c>
    </row>
    <row r="2433" spans="4:4" x14ac:dyDescent="0.2">
      <c r="D2433" s="135">
        <v>25.7</v>
      </c>
    </row>
    <row r="2434" spans="4:4" x14ac:dyDescent="0.2">
      <c r="D2434" s="135">
        <v>25.71</v>
      </c>
    </row>
    <row r="2435" spans="4:4" x14ac:dyDescent="0.2">
      <c r="D2435" s="135">
        <v>25.72</v>
      </c>
    </row>
    <row r="2436" spans="4:4" x14ac:dyDescent="0.2">
      <c r="D2436" s="135">
        <v>25.73</v>
      </c>
    </row>
    <row r="2437" spans="4:4" x14ac:dyDescent="0.2">
      <c r="D2437" s="135">
        <v>25.74</v>
      </c>
    </row>
    <row r="2438" spans="4:4" x14ac:dyDescent="0.2">
      <c r="D2438" s="135">
        <v>25.75</v>
      </c>
    </row>
    <row r="2439" spans="4:4" x14ac:dyDescent="0.2">
      <c r="D2439" s="135">
        <v>25.76</v>
      </c>
    </row>
    <row r="2440" spans="4:4" x14ac:dyDescent="0.2">
      <c r="D2440" s="135">
        <v>25.77</v>
      </c>
    </row>
    <row r="2441" spans="4:4" x14ac:dyDescent="0.2">
      <c r="D2441" s="135">
        <v>25.78</v>
      </c>
    </row>
    <row r="2442" spans="4:4" x14ac:dyDescent="0.2">
      <c r="D2442" s="135">
        <v>25.79</v>
      </c>
    </row>
    <row r="2443" spans="4:4" x14ac:dyDescent="0.2">
      <c r="D2443" s="135">
        <v>25.8</v>
      </c>
    </row>
    <row r="2444" spans="4:4" x14ac:dyDescent="0.2">
      <c r="D2444" s="135">
        <v>25.81</v>
      </c>
    </row>
    <row r="2445" spans="4:4" x14ac:dyDescent="0.2">
      <c r="D2445" s="135">
        <v>25.82</v>
      </c>
    </row>
    <row r="2446" spans="4:4" x14ac:dyDescent="0.2">
      <c r="D2446" s="135">
        <v>25.83</v>
      </c>
    </row>
    <row r="2447" spans="4:4" x14ac:dyDescent="0.2">
      <c r="D2447" s="135">
        <v>25.84</v>
      </c>
    </row>
    <row r="2448" spans="4:4" x14ac:dyDescent="0.2">
      <c r="D2448" s="135">
        <v>25.85</v>
      </c>
    </row>
    <row r="2449" spans="4:4" x14ac:dyDescent="0.2">
      <c r="D2449" s="135">
        <v>25.86</v>
      </c>
    </row>
    <row r="2450" spans="4:4" x14ac:dyDescent="0.2">
      <c r="D2450" s="135">
        <v>25.87</v>
      </c>
    </row>
    <row r="2451" spans="4:4" x14ac:dyDescent="0.2">
      <c r="D2451" s="135">
        <v>25.88</v>
      </c>
    </row>
    <row r="2452" spans="4:4" x14ac:dyDescent="0.2">
      <c r="D2452" s="135">
        <v>25.89</v>
      </c>
    </row>
    <row r="2453" spans="4:4" x14ac:dyDescent="0.2">
      <c r="D2453" s="135">
        <v>25.9</v>
      </c>
    </row>
    <row r="2454" spans="4:4" x14ac:dyDescent="0.2">
      <c r="D2454" s="135">
        <v>25.91</v>
      </c>
    </row>
    <row r="2455" spans="4:4" x14ac:dyDescent="0.2">
      <c r="D2455" s="135">
        <v>25.92</v>
      </c>
    </row>
    <row r="2456" spans="4:4" x14ac:dyDescent="0.2">
      <c r="D2456" s="135">
        <v>25.93</v>
      </c>
    </row>
    <row r="2457" spans="4:4" x14ac:dyDescent="0.2">
      <c r="D2457" s="135">
        <v>25.94</v>
      </c>
    </row>
    <row r="2458" spans="4:4" x14ac:dyDescent="0.2">
      <c r="D2458" s="135">
        <v>25.95</v>
      </c>
    </row>
    <row r="2459" spans="4:4" x14ac:dyDescent="0.2">
      <c r="D2459" s="135">
        <v>25.96</v>
      </c>
    </row>
    <row r="2460" spans="4:4" x14ac:dyDescent="0.2">
      <c r="D2460" s="135">
        <v>25.97</v>
      </c>
    </row>
    <row r="2461" spans="4:4" x14ac:dyDescent="0.2">
      <c r="D2461" s="135">
        <v>25.98</v>
      </c>
    </row>
    <row r="2462" spans="4:4" x14ac:dyDescent="0.2">
      <c r="D2462" s="135">
        <v>25.99</v>
      </c>
    </row>
    <row r="2463" spans="4:4" x14ac:dyDescent="0.2">
      <c r="D2463" s="135">
        <v>26</v>
      </c>
    </row>
    <row r="2464" spans="4:4" x14ac:dyDescent="0.2">
      <c r="D2464" s="135">
        <v>26.01</v>
      </c>
    </row>
    <row r="2465" spans="4:4" x14ac:dyDescent="0.2">
      <c r="D2465" s="135">
        <v>26.02</v>
      </c>
    </row>
    <row r="2466" spans="4:4" x14ac:dyDescent="0.2">
      <c r="D2466" s="135">
        <v>26.03</v>
      </c>
    </row>
    <row r="2467" spans="4:4" x14ac:dyDescent="0.2">
      <c r="D2467" s="135">
        <v>26.04</v>
      </c>
    </row>
    <row r="2468" spans="4:4" x14ac:dyDescent="0.2">
      <c r="D2468" s="135">
        <v>26.05</v>
      </c>
    </row>
    <row r="2469" spans="4:4" x14ac:dyDescent="0.2">
      <c r="D2469" s="135">
        <v>26.06</v>
      </c>
    </row>
    <row r="2470" spans="4:4" x14ac:dyDescent="0.2">
      <c r="D2470" s="135">
        <v>26.07</v>
      </c>
    </row>
    <row r="2471" spans="4:4" x14ac:dyDescent="0.2">
      <c r="D2471" s="135">
        <v>26.08</v>
      </c>
    </row>
    <row r="2472" spans="4:4" x14ac:dyDescent="0.2">
      <c r="D2472" s="135">
        <v>26.09</v>
      </c>
    </row>
    <row r="2473" spans="4:4" x14ac:dyDescent="0.2">
      <c r="D2473" s="135">
        <v>26.1</v>
      </c>
    </row>
    <row r="2474" spans="4:4" x14ac:dyDescent="0.2">
      <c r="D2474" s="135">
        <v>26.11</v>
      </c>
    </row>
    <row r="2475" spans="4:4" x14ac:dyDescent="0.2">
      <c r="D2475" s="135">
        <v>26.12</v>
      </c>
    </row>
    <row r="2476" spans="4:4" x14ac:dyDescent="0.2">
      <c r="D2476" s="135">
        <v>26.13</v>
      </c>
    </row>
    <row r="2477" spans="4:4" x14ac:dyDescent="0.2">
      <c r="D2477" s="135">
        <v>26.14</v>
      </c>
    </row>
    <row r="2478" spans="4:4" x14ac:dyDescent="0.2">
      <c r="D2478" s="135">
        <v>26.15</v>
      </c>
    </row>
    <row r="2479" spans="4:4" x14ac:dyDescent="0.2">
      <c r="D2479" s="135">
        <v>26.16</v>
      </c>
    </row>
    <row r="2480" spans="4:4" x14ac:dyDescent="0.2">
      <c r="D2480" s="135">
        <v>26.17</v>
      </c>
    </row>
    <row r="2481" spans="4:4" x14ac:dyDescent="0.2">
      <c r="D2481" s="135">
        <v>26.18</v>
      </c>
    </row>
    <row r="2482" spans="4:4" x14ac:dyDescent="0.2">
      <c r="D2482" s="135">
        <v>26.19</v>
      </c>
    </row>
    <row r="2483" spans="4:4" x14ac:dyDescent="0.2">
      <c r="D2483" s="135">
        <v>26.2</v>
      </c>
    </row>
    <row r="2484" spans="4:4" x14ac:dyDescent="0.2">
      <c r="D2484" s="135">
        <v>26.21</v>
      </c>
    </row>
    <row r="2485" spans="4:4" x14ac:dyDescent="0.2">
      <c r="D2485" s="135">
        <v>26.22</v>
      </c>
    </row>
    <row r="2486" spans="4:4" x14ac:dyDescent="0.2">
      <c r="D2486" s="135">
        <v>26.23</v>
      </c>
    </row>
    <row r="2487" spans="4:4" x14ac:dyDescent="0.2">
      <c r="D2487" s="135">
        <v>26.24</v>
      </c>
    </row>
    <row r="2488" spans="4:4" x14ac:dyDescent="0.2">
      <c r="D2488" s="135">
        <v>26.25</v>
      </c>
    </row>
    <row r="2489" spans="4:4" x14ac:dyDescent="0.2">
      <c r="D2489" s="135">
        <v>26.26</v>
      </c>
    </row>
    <row r="2490" spans="4:4" x14ac:dyDescent="0.2">
      <c r="D2490" s="135">
        <v>26.27</v>
      </c>
    </row>
    <row r="2491" spans="4:4" x14ac:dyDescent="0.2">
      <c r="D2491" s="135">
        <v>26.28</v>
      </c>
    </row>
    <row r="2492" spans="4:4" x14ac:dyDescent="0.2">
      <c r="D2492" s="135">
        <v>26.29</v>
      </c>
    </row>
    <row r="2493" spans="4:4" x14ac:dyDescent="0.2">
      <c r="D2493" s="135">
        <v>26.3</v>
      </c>
    </row>
    <row r="2494" spans="4:4" x14ac:dyDescent="0.2">
      <c r="D2494" s="135">
        <v>26.31</v>
      </c>
    </row>
    <row r="2495" spans="4:4" x14ac:dyDescent="0.2">
      <c r="D2495" s="135">
        <v>26.32</v>
      </c>
    </row>
    <row r="2496" spans="4:4" x14ac:dyDescent="0.2">
      <c r="D2496" s="135">
        <v>26.33</v>
      </c>
    </row>
    <row r="2497" spans="4:4" x14ac:dyDescent="0.2">
      <c r="D2497" s="135">
        <v>26.34</v>
      </c>
    </row>
    <row r="2498" spans="4:4" x14ac:dyDescent="0.2">
      <c r="D2498" s="135">
        <v>26.35</v>
      </c>
    </row>
    <row r="2499" spans="4:4" x14ac:dyDescent="0.2">
      <c r="D2499" s="135">
        <v>26.36</v>
      </c>
    </row>
    <row r="2500" spans="4:4" x14ac:dyDescent="0.2">
      <c r="D2500" s="135">
        <v>26.37</v>
      </c>
    </row>
    <row r="2501" spans="4:4" x14ac:dyDescent="0.2">
      <c r="D2501" s="135">
        <v>26.38</v>
      </c>
    </row>
    <row r="2502" spans="4:4" x14ac:dyDescent="0.2">
      <c r="D2502" s="135">
        <v>26.39</v>
      </c>
    </row>
    <row r="2503" spans="4:4" x14ac:dyDescent="0.2">
      <c r="D2503" s="135">
        <v>26.4</v>
      </c>
    </row>
    <row r="2504" spans="4:4" x14ac:dyDescent="0.2">
      <c r="D2504" s="135">
        <v>26.41</v>
      </c>
    </row>
    <row r="2505" spans="4:4" x14ac:dyDescent="0.2">
      <c r="D2505" s="135">
        <v>26.42</v>
      </c>
    </row>
    <row r="2506" spans="4:4" x14ac:dyDescent="0.2">
      <c r="D2506" s="135">
        <v>26.43</v>
      </c>
    </row>
    <row r="2507" spans="4:4" x14ac:dyDescent="0.2">
      <c r="D2507" s="135">
        <v>26.44</v>
      </c>
    </row>
    <row r="2508" spans="4:4" x14ac:dyDescent="0.2">
      <c r="D2508" s="135">
        <v>26.45</v>
      </c>
    </row>
    <row r="2509" spans="4:4" x14ac:dyDescent="0.2">
      <c r="D2509" s="135">
        <v>26.46</v>
      </c>
    </row>
    <row r="2510" spans="4:4" x14ac:dyDescent="0.2">
      <c r="D2510" s="135">
        <v>26.47</v>
      </c>
    </row>
    <row r="2511" spans="4:4" x14ac:dyDescent="0.2">
      <c r="D2511" s="135">
        <v>26.48</v>
      </c>
    </row>
    <row r="2512" spans="4:4" x14ac:dyDescent="0.2">
      <c r="D2512" s="135">
        <v>26.49</v>
      </c>
    </row>
    <row r="2513" spans="4:4" x14ac:dyDescent="0.2">
      <c r="D2513" s="135">
        <v>26.5</v>
      </c>
    </row>
    <row r="2514" spans="4:4" x14ac:dyDescent="0.2">
      <c r="D2514" s="135">
        <v>26.51</v>
      </c>
    </row>
    <row r="2515" spans="4:4" x14ac:dyDescent="0.2">
      <c r="D2515" s="135">
        <v>26.52</v>
      </c>
    </row>
    <row r="2516" spans="4:4" x14ac:dyDescent="0.2">
      <c r="D2516" s="135">
        <v>26.53</v>
      </c>
    </row>
    <row r="2517" spans="4:4" x14ac:dyDescent="0.2">
      <c r="D2517" s="135">
        <v>26.54</v>
      </c>
    </row>
    <row r="2518" spans="4:4" x14ac:dyDescent="0.2">
      <c r="D2518" s="135">
        <v>26.55</v>
      </c>
    </row>
    <row r="2519" spans="4:4" x14ac:dyDescent="0.2">
      <c r="D2519" s="135">
        <v>26.56</v>
      </c>
    </row>
    <row r="2520" spans="4:4" x14ac:dyDescent="0.2">
      <c r="D2520" s="135">
        <v>26.57</v>
      </c>
    </row>
    <row r="2521" spans="4:4" x14ac:dyDescent="0.2">
      <c r="D2521" s="135">
        <v>26.58</v>
      </c>
    </row>
    <row r="2522" spans="4:4" x14ac:dyDescent="0.2">
      <c r="D2522" s="135">
        <v>26.59</v>
      </c>
    </row>
    <row r="2523" spans="4:4" x14ac:dyDescent="0.2">
      <c r="D2523" s="135">
        <v>26.6</v>
      </c>
    </row>
    <row r="2524" spans="4:4" x14ac:dyDescent="0.2">
      <c r="D2524" s="135">
        <v>26.61</v>
      </c>
    </row>
    <row r="2525" spans="4:4" x14ac:dyDescent="0.2">
      <c r="D2525" s="135">
        <v>26.62</v>
      </c>
    </row>
    <row r="2526" spans="4:4" x14ac:dyDescent="0.2">
      <c r="D2526" s="135">
        <v>26.63</v>
      </c>
    </row>
    <row r="2527" spans="4:4" x14ac:dyDescent="0.2">
      <c r="D2527" s="135">
        <v>26.64</v>
      </c>
    </row>
    <row r="2528" spans="4:4" x14ac:dyDescent="0.2">
      <c r="D2528" s="135">
        <v>26.65</v>
      </c>
    </row>
    <row r="2529" spans="4:4" x14ac:dyDescent="0.2">
      <c r="D2529" s="135">
        <v>26.66</v>
      </c>
    </row>
    <row r="2530" spans="4:4" x14ac:dyDescent="0.2">
      <c r="D2530" s="135">
        <v>26.67</v>
      </c>
    </row>
    <row r="2531" spans="4:4" x14ac:dyDescent="0.2">
      <c r="D2531" s="135">
        <v>26.68</v>
      </c>
    </row>
    <row r="2532" spans="4:4" x14ac:dyDescent="0.2">
      <c r="D2532" s="135">
        <v>26.69</v>
      </c>
    </row>
    <row r="2533" spans="4:4" x14ac:dyDescent="0.2">
      <c r="D2533" s="135">
        <v>26.7</v>
      </c>
    </row>
    <row r="2534" spans="4:4" x14ac:dyDescent="0.2">
      <c r="D2534" s="135">
        <v>26.71</v>
      </c>
    </row>
    <row r="2535" spans="4:4" x14ac:dyDescent="0.2">
      <c r="D2535" s="135">
        <v>26.72</v>
      </c>
    </row>
    <row r="2536" spans="4:4" x14ac:dyDescent="0.2">
      <c r="D2536" s="135">
        <v>26.73</v>
      </c>
    </row>
    <row r="2537" spans="4:4" x14ac:dyDescent="0.2">
      <c r="D2537" s="135">
        <v>26.74</v>
      </c>
    </row>
    <row r="2538" spans="4:4" x14ac:dyDescent="0.2">
      <c r="D2538" s="135">
        <v>26.75</v>
      </c>
    </row>
    <row r="2539" spans="4:4" x14ac:dyDescent="0.2">
      <c r="D2539" s="135">
        <v>26.76</v>
      </c>
    </row>
    <row r="2540" spans="4:4" x14ac:dyDescent="0.2">
      <c r="D2540" s="135">
        <v>26.77</v>
      </c>
    </row>
    <row r="2541" spans="4:4" x14ac:dyDescent="0.2">
      <c r="D2541" s="135">
        <v>26.78</v>
      </c>
    </row>
    <row r="2542" spans="4:4" x14ac:dyDescent="0.2">
      <c r="D2542" s="135">
        <v>26.79</v>
      </c>
    </row>
    <row r="2543" spans="4:4" x14ac:dyDescent="0.2">
      <c r="D2543" s="135">
        <v>26.8</v>
      </c>
    </row>
    <row r="2544" spans="4:4" x14ac:dyDescent="0.2">
      <c r="D2544" s="135">
        <v>26.81</v>
      </c>
    </row>
    <row r="2545" spans="4:4" x14ac:dyDescent="0.2">
      <c r="D2545" s="135">
        <v>26.82</v>
      </c>
    </row>
    <row r="2546" spans="4:4" x14ac:dyDescent="0.2">
      <c r="D2546" s="135">
        <v>26.83</v>
      </c>
    </row>
    <row r="2547" spans="4:4" x14ac:dyDescent="0.2">
      <c r="D2547" s="135">
        <v>26.84</v>
      </c>
    </row>
    <row r="2548" spans="4:4" x14ac:dyDescent="0.2">
      <c r="D2548" s="135">
        <v>26.85</v>
      </c>
    </row>
    <row r="2549" spans="4:4" x14ac:dyDescent="0.2">
      <c r="D2549" s="135">
        <v>26.86</v>
      </c>
    </row>
    <row r="2550" spans="4:4" x14ac:dyDescent="0.2">
      <c r="D2550" s="135">
        <v>26.87</v>
      </c>
    </row>
    <row r="2551" spans="4:4" x14ac:dyDescent="0.2">
      <c r="D2551" s="135">
        <v>26.88</v>
      </c>
    </row>
    <row r="2552" spans="4:4" x14ac:dyDescent="0.2">
      <c r="D2552" s="135">
        <v>26.89</v>
      </c>
    </row>
    <row r="2553" spans="4:4" x14ac:dyDescent="0.2">
      <c r="D2553" s="135">
        <v>26.9</v>
      </c>
    </row>
    <row r="2554" spans="4:4" x14ac:dyDescent="0.2">
      <c r="D2554" s="135">
        <v>26.91</v>
      </c>
    </row>
    <row r="2555" spans="4:4" x14ac:dyDescent="0.2">
      <c r="D2555" s="135">
        <v>26.92</v>
      </c>
    </row>
    <row r="2556" spans="4:4" x14ac:dyDescent="0.2">
      <c r="D2556" s="135">
        <v>26.93</v>
      </c>
    </row>
    <row r="2557" spans="4:4" x14ac:dyDescent="0.2">
      <c r="D2557" s="135">
        <v>26.94</v>
      </c>
    </row>
    <row r="2558" spans="4:4" x14ac:dyDescent="0.2">
      <c r="D2558" s="135">
        <v>26.95</v>
      </c>
    </row>
    <row r="2559" spans="4:4" x14ac:dyDescent="0.2">
      <c r="D2559" s="135">
        <v>26.96</v>
      </c>
    </row>
    <row r="2560" spans="4:4" x14ac:dyDescent="0.2">
      <c r="D2560" s="135">
        <v>26.97</v>
      </c>
    </row>
    <row r="2561" spans="4:4" x14ac:dyDescent="0.2">
      <c r="D2561" s="135">
        <v>26.98</v>
      </c>
    </row>
    <row r="2562" spans="4:4" x14ac:dyDescent="0.2">
      <c r="D2562" s="135">
        <v>26.99</v>
      </c>
    </row>
    <row r="2563" spans="4:4" x14ac:dyDescent="0.2">
      <c r="D2563" s="135">
        <v>27</v>
      </c>
    </row>
    <row r="2564" spans="4:4" x14ac:dyDescent="0.2">
      <c r="D2564" s="135">
        <v>27.01</v>
      </c>
    </row>
    <row r="2565" spans="4:4" x14ac:dyDescent="0.2">
      <c r="D2565" s="135">
        <v>27.02</v>
      </c>
    </row>
    <row r="2566" spans="4:4" x14ac:dyDescent="0.2">
      <c r="D2566" s="135">
        <v>27.03</v>
      </c>
    </row>
    <row r="2567" spans="4:4" x14ac:dyDescent="0.2">
      <c r="D2567" s="135">
        <v>27.04</v>
      </c>
    </row>
    <row r="2568" spans="4:4" x14ac:dyDescent="0.2">
      <c r="D2568" s="135">
        <v>27.05</v>
      </c>
    </row>
    <row r="2569" spans="4:4" x14ac:dyDescent="0.2">
      <c r="D2569" s="135">
        <v>27.06</v>
      </c>
    </row>
    <row r="2570" spans="4:4" x14ac:dyDescent="0.2">
      <c r="D2570" s="135">
        <v>27.07</v>
      </c>
    </row>
    <row r="2571" spans="4:4" x14ac:dyDescent="0.2">
      <c r="D2571" s="135">
        <v>27.08</v>
      </c>
    </row>
    <row r="2572" spans="4:4" x14ac:dyDescent="0.2">
      <c r="D2572" s="135">
        <v>27.09</v>
      </c>
    </row>
    <row r="2573" spans="4:4" x14ac:dyDescent="0.2">
      <c r="D2573" s="135">
        <v>27.1</v>
      </c>
    </row>
    <row r="2574" spans="4:4" x14ac:dyDescent="0.2">
      <c r="D2574" s="135">
        <v>27.11</v>
      </c>
    </row>
    <row r="2575" spans="4:4" x14ac:dyDescent="0.2">
      <c r="D2575" s="135">
        <v>27.12</v>
      </c>
    </row>
    <row r="2576" spans="4:4" x14ac:dyDescent="0.2">
      <c r="D2576" s="135">
        <v>27.13</v>
      </c>
    </row>
    <row r="2577" spans="4:4" x14ac:dyDescent="0.2">
      <c r="D2577" s="135">
        <v>27.14</v>
      </c>
    </row>
    <row r="2578" spans="4:4" x14ac:dyDescent="0.2">
      <c r="D2578" s="135">
        <v>27.15</v>
      </c>
    </row>
    <row r="2579" spans="4:4" x14ac:dyDescent="0.2">
      <c r="D2579" s="135">
        <v>27.16</v>
      </c>
    </row>
    <row r="2580" spans="4:4" x14ac:dyDescent="0.2">
      <c r="D2580" s="135">
        <v>27.17</v>
      </c>
    </row>
    <row r="2581" spans="4:4" x14ac:dyDescent="0.2">
      <c r="D2581" s="135">
        <v>27.18</v>
      </c>
    </row>
    <row r="2582" spans="4:4" x14ac:dyDescent="0.2">
      <c r="D2582" s="135">
        <v>27.19</v>
      </c>
    </row>
    <row r="2583" spans="4:4" x14ac:dyDescent="0.2">
      <c r="D2583" s="135">
        <v>27.2</v>
      </c>
    </row>
    <row r="2584" spans="4:4" x14ac:dyDescent="0.2">
      <c r="D2584" s="135">
        <v>27.21</v>
      </c>
    </row>
    <row r="2585" spans="4:4" x14ac:dyDescent="0.2">
      <c r="D2585" s="135">
        <v>27.22</v>
      </c>
    </row>
    <row r="2586" spans="4:4" x14ac:dyDescent="0.2">
      <c r="D2586" s="135">
        <v>27.23</v>
      </c>
    </row>
    <row r="2587" spans="4:4" x14ac:dyDescent="0.2">
      <c r="D2587" s="135">
        <v>27.24</v>
      </c>
    </row>
    <row r="2588" spans="4:4" x14ac:dyDescent="0.2">
      <c r="D2588" s="135">
        <v>27.25</v>
      </c>
    </row>
    <row r="2589" spans="4:4" x14ac:dyDescent="0.2">
      <c r="D2589" s="135">
        <v>27.26</v>
      </c>
    </row>
    <row r="2590" spans="4:4" x14ac:dyDescent="0.2">
      <c r="D2590" s="135">
        <v>27.27</v>
      </c>
    </row>
    <row r="2591" spans="4:4" x14ac:dyDescent="0.2">
      <c r="D2591" s="135">
        <v>27.28</v>
      </c>
    </row>
    <row r="2592" spans="4:4" x14ac:dyDescent="0.2">
      <c r="D2592" s="135">
        <v>27.29</v>
      </c>
    </row>
    <row r="2593" spans="4:4" x14ac:dyDescent="0.2">
      <c r="D2593" s="135">
        <v>27.3</v>
      </c>
    </row>
    <row r="2594" spans="4:4" x14ac:dyDescent="0.2">
      <c r="D2594" s="135">
        <v>27.31</v>
      </c>
    </row>
    <row r="2595" spans="4:4" x14ac:dyDescent="0.2">
      <c r="D2595" s="135">
        <v>27.32</v>
      </c>
    </row>
    <row r="2596" spans="4:4" x14ac:dyDescent="0.2">
      <c r="D2596" s="135">
        <v>27.33</v>
      </c>
    </row>
    <row r="2597" spans="4:4" x14ac:dyDescent="0.2">
      <c r="D2597" s="135">
        <v>27.34</v>
      </c>
    </row>
    <row r="2598" spans="4:4" x14ac:dyDescent="0.2">
      <c r="D2598" s="135">
        <v>27.35</v>
      </c>
    </row>
    <row r="2599" spans="4:4" x14ac:dyDescent="0.2">
      <c r="D2599" s="135">
        <v>27.36</v>
      </c>
    </row>
    <row r="2600" spans="4:4" x14ac:dyDescent="0.2">
      <c r="D2600" s="135">
        <v>27.37</v>
      </c>
    </row>
    <row r="2601" spans="4:4" x14ac:dyDescent="0.2">
      <c r="D2601" s="135">
        <v>27.38</v>
      </c>
    </row>
    <row r="2602" spans="4:4" x14ac:dyDescent="0.2">
      <c r="D2602" s="135">
        <v>27.39</v>
      </c>
    </row>
    <row r="2603" spans="4:4" x14ac:dyDescent="0.2">
      <c r="D2603" s="135">
        <v>27.4</v>
      </c>
    </row>
    <row r="2604" spans="4:4" x14ac:dyDescent="0.2">
      <c r="D2604" s="135">
        <v>27.41</v>
      </c>
    </row>
    <row r="2605" spans="4:4" x14ac:dyDescent="0.2">
      <c r="D2605" s="135">
        <v>27.42</v>
      </c>
    </row>
    <row r="2606" spans="4:4" x14ac:dyDescent="0.2">
      <c r="D2606" s="135">
        <v>27.43</v>
      </c>
    </row>
    <row r="2607" spans="4:4" x14ac:dyDescent="0.2">
      <c r="D2607" s="135">
        <v>27.44</v>
      </c>
    </row>
    <row r="2608" spans="4:4" x14ac:dyDescent="0.2">
      <c r="D2608" s="135">
        <v>27.45</v>
      </c>
    </row>
    <row r="2609" spans="4:4" x14ac:dyDescent="0.2">
      <c r="D2609" s="135">
        <v>27.46</v>
      </c>
    </row>
    <row r="2610" spans="4:4" x14ac:dyDescent="0.2">
      <c r="D2610" s="135">
        <v>27.47</v>
      </c>
    </row>
    <row r="2611" spans="4:4" x14ac:dyDescent="0.2">
      <c r="D2611" s="135">
        <v>27.48</v>
      </c>
    </row>
    <row r="2612" spans="4:4" x14ac:dyDescent="0.2">
      <c r="D2612" s="135">
        <v>27.49</v>
      </c>
    </row>
    <row r="2613" spans="4:4" x14ac:dyDescent="0.2">
      <c r="D2613" s="135">
        <v>27.5</v>
      </c>
    </row>
    <row r="2614" spans="4:4" x14ac:dyDescent="0.2">
      <c r="D2614" s="135">
        <v>27.51</v>
      </c>
    </row>
    <row r="2615" spans="4:4" x14ac:dyDescent="0.2">
      <c r="D2615" s="135">
        <v>27.52</v>
      </c>
    </row>
    <row r="2616" spans="4:4" x14ac:dyDescent="0.2">
      <c r="D2616" s="135">
        <v>27.53</v>
      </c>
    </row>
    <row r="2617" spans="4:4" x14ac:dyDescent="0.2">
      <c r="D2617" s="135">
        <v>27.54</v>
      </c>
    </row>
    <row r="2618" spans="4:4" x14ac:dyDescent="0.2">
      <c r="D2618" s="135">
        <v>27.55</v>
      </c>
    </row>
    <row r="2619" spans="4:4" x14ac:dyDescent="0.2">
      <c r="D2619" s="135">
        <v>27.56</v>
      </c>
    </row>
    <row r="2620" spans="4:4" x14ac:dyDescent="0.2">
      <c r="D2620" s="135">
        <v>27.57</v>
      </c>
    </row>
    <row r="2621" spans="4:4" x14ac:dyDescent="0.2">
      <c r="D2621" s="135">
        <v>27.58</v>
      </c>
    </row>
    <row r="2622" spans="4:4" x14ac:dyDescent="0.2">
      <c r="D2622" s="135">
        <v>27.59</v>
      </c>
    </row>
    <row r="2623" spans="4:4" x14ac:dyDescent="0.2">
      <c r="D2623" s="135">
        <v>27.6</v>
      </c>
    </row>
    <row r="2624" spans="4:4" x14ac:dyDescent="0.2">
      <c r="D2624" s="135">
        <v>27.61</v>
      </c>
    </row>
    <row r="2625" spans="4:4" x14ac:dyDescent="0.2">
      <c r="D2625" s="135">
        <v>27.62</v>
      </c>
    </row>
    <row r="2626" spans="4:4" x14ac:dyDescent="0.2">
      <c r="D2626" s="135">
        <v>27.63</v>
      </c>
    </row>
    <row r="2627" spans="4:4" x14ac:dyDescent="0.2">
      <c r="D2627" s="135">
        <v>27.64</v>
      </c>
    </row>
    <row r="2628" spans="4:4" x14ac:dyDescent="0.2">
      <c r="D2628" s="135">
        <v>27.65</v>
      </c>
    </row>
    <row r="2629" spans="4:4" x14ac:dyDescent="0.2">
      <c r="D2629" s="135">
        <v>27.66</v>
      </c>
    </row>
    <row r="2630" spans="4:4" x14ac:dyDescent="0.2">
      <c r="D2630" s="135">
        <v>27.67</v>
      </c>
    </row>
    <row r="2631" spans="4:4" x14ac:dyDescent="0.2">
      <c r="D2631" s="135">
        <v>27.68</v>
      </c>
    </row>
    <row r="2632" spans="4:4" x14ac:dyDescent="0.2">
      <c r="D2632" s="135">
        <v>27.69</v>
      </c>
    </row>
    <row r="2633" spans="4:4" x14ac:dyDescent="0.2">
      <c r="D2633" s="135">
        <v>27.7</v>
      </c>
    </row>
    <row r="2634" spans="4:4" x14ac:dyDescent="0.2">
      <c r="D2634" s="135">
        <v>27.71</v>
      </c>
    </row>
    <row r="2635" spans="4:4" x14ac:dyDescent="0.2">
      <c r="D2635" s="135">
        <v>27.72</v>
      </c>
    </row>
    <row r="2636" spans="4:4" x14ac:dyDescent="0.2">
      <c r="D2636" s="135">
        <v>27.73</v>
      </c>
    </row>
    <row r="2637" spans="4:4" x14ac:dyDescent="0.2">
      <c r="D2637" s="135">
        <v>27.74</v>
      </c>
    </row>
    <row r="2638" spans="4:4" x14ac:dyDescent="0.2">
      <c r="D2638" s="135">
        <v>27.75</v>
      </c>
    </row>
    <row r="2639" spans="4:4" x14ac:dyDescent="0.2">
      <c r="D2639" s="135">
        <v>27.76</v>
      </c>
    </row>
    <row r="2640" spans="4:4" x14ac:dyDescent="0.2">
      <c r="D2640" s="135">
        <v>27.77</v>
      </c>
    </row>
    <row r="2641" spans="4:4" x14ac:dyDescent="0.2">
      <c r="D2641" s="135">
        <v>27.78</v>
      </c>
    </row>
    <row r="2642" spans="4:4" x14ac:dyDescent="0.2">
      <c r="D2642" s="135">
        <v>27.79</v>
      </c>
    </row>
    <row r="2643" spans="4:4" x14ac:dyDescent="0.2">
      <c r="D2643" s="135">
        <v>27.8</v>
      </c>
    </row>
    <row r="2644" spans="4:4" x14ac:dyDescent="0.2">
      <c r="D2644" s="135">
        <v>27.81</v>
      </c>
    </row>
    <row r="2645" spans="4:4" x14ac:dyDescent="0.2">
      <c r="D2645" s="135">
        <v>27.82</v>
      </c>
    </row>
    <row r="2646" spans="4:4" x14ac:dyDescent="0.2">
      <c r="D2646" s="135">
        <v>27.83</v>
      </c>
    </row>
    <row r="2647" spans="4:4" x14ac:dyDescent="0.2">
      <c r="D2647" s="135">
        <v>27.84</v>
      </c>
    </row>
    <row r="2648" spans="4:4" x14ac:dyDescent="0.2">
      <c r="D2648" s="135">
        <v>27.85</v>
      </c>
    </row>
    <row r="2649" spans="4:4" x14ac:dyDescent="0.2">
      <c r="D2649" s="135">
        <v>27.86</v>
      </c>
    </row>
    <row r="2650" spans="4:4" x14ac:dyDescent="0.2">
      <c r="D2650" s="135">
        <v>27.87</v>
      </c>
    </row>
    <row r="2651" spans="4:4" x14ac:dyDescent="0.2">
      <c r="D2651" s="135">
        <v>27.88</v>
      </c>
    </row>
    <row r="2652" spans="4:4" x14ac:dyDescent="0.2">
      <c r="D2652" s="135">
        <v>27.89</v>
      </c>
    </row>
    <row r="2653" spans="4:4" x14ac:dyDescent="0.2">
      <c r="D2653" s="135">
        <v>27.9</v>
      </c>
    </row>
    <row r="2654" spans="4:4" x14ac:dyDescent="0.2">
      <c r="D2654" s="135">
        <v>27.91</v>
      </c>
    </row>
    <row r="2655" spans="4:4" x14ac:dyDescent="0.2">
      <c r="D2655" s="135">
        <v>27.92</v>
      </c>
    </row>
    <row r="2656" spans="4:4" x14ac:dyDescent="0.2">
      <c r="D2656" s="135">
        <v>27.93</v>
      </c>
    </row>
    <row r="2657" spans="4:4" x14ac:dyDescent="0.2">
      <c r="D2657" s="135">
        <v>27.94</v>
      </c>
    </row>
    <row r="2658" spans="4:4" x14ac:dyDescent="0.2">
      <c r="D2658" s="135">
        <v>27.95</v>
      </c>
    </row>
    <row r="2659" spans="4:4" x14ac:dyDescent="0.2">
      <c r="D2659" s="135">
        <v>27.96</v>
      </c>
    </row>
    <row r="2660" spans="4:4" x14ac:dyDescent="0.2">
      <c r="D2660" s="135">
        <v>27.97</v>
      </c>
    </row>
    <row r="2661" spans="4:4" x14ac:dyDescent="0.2">
      <c r="D2661" s="135">
        <v>27.98</v>
      </c>
    </row>
    <row r="2662" spans="4:4" x14ac:dyDescent="0.2">
      <c r="D2662" s="135">
        <v>27.99</v>
      </c>
    </row>
    <row r="2663" spans="4:4" x14ac:dyDescent="0.2">
      <c r="D2663" s="135">
        <v>28</v>
      </c>
    </row>
    <row r="2664" spans="4:4" x14ac:dyDescent="0.2">
      <c r="D2664" s="135">
        <v>28.01</v>
      </c>
    </row>
    <row r="2665" spans="4:4" x14ac:dyDescent="0.2">
      <c r="D2665" s="135">
        <v>28.02</v>
      </c>
    </row>
    <row r="2666" spans="4:4" x14ac:dyDescent="0.2">
      <c r="D2666" s="135">
        <v>28.03</v>
      </c>
    </row>
    <row r="2667" spans="4:4" x14ac:dyDescent="0.2">
      <c r="D2667" s="135">
        <v>28.04</v>
      </c>
    </row>
    <row r="2668" spans="4:4" x14ac:dyDescent="0.2">
      <c r="D2668" s="135">
        <v>28.05</v>
      </c>
    </row>
    <row r="2669" spans="4:4" x14ac:dyDescent="0.2">
      <c r="D2669" s="135">
        <v>28.06</v>
      </c>
    </row>
    <row r="2670" spans="4:4" x14ac:dyDescent="0.2">
      <c r="D2670" s="135">
        <v>28.07</v>
      </c>
    </row>
    <row r="2671" spans="4:4" x14ac:dyDescent="0.2">
      <c r="D2671" s="135">
        <v>28.08</v>
      </c>
    </row>
    <row r="2672" spans="4:4" x14ac:dyDescent="0.2">
      <c r="D2672" s="135">
        <v>28.09</v>
      </c>
    </row>
    <row r="2673" spans="4:4" x14ac:dyDescent="0.2">
      <c r="D2673" s="135">
        <v>28.1</v>
      </c>
    </row>
    <row r="2674" spans="4:4" x14ac:dyDescent="0.2">
      <c r="D2674" s="135">
        <v>28.11</v>
      </c>
    </row>
    <row r="2675" spans="4:4" x14ac:dyDescent="0.2">
      <c r="D2675" s="135">
        <v>28.12</v>
      </c>
    </row>
    <row r="2676" spans="4:4" x14ac:dyDescent="0.2">
      <c r="D2676" s="135">
        <v>28.13</v>
      </c>
    </row>
    <row r="2677" spans="4:4" x14ac:dyDescent="0.2">
      <c r="D2677" s="135">
        <v>28.14</v>
      </c>
    </row>
    <row r="2678" spans="4:4" x14ac:dyDescent="0.2">
      <c r="D2678" s="135">
        <v>28.15</v>
      </c>
    </row>
    <row r="2679" spans="4:4" x14ac:dyDescent="0.2">
      <c r="D2679" s="135">
        <v>28.16</v>
      </c>
    </row>
    <row r="2680" spans="4:4" x14ac:dyDescent="0.2">
      <c r="D2680" s="135">
        <v>28.17</v>
      </c>
    </row>
    <row r="2681" spans="4:4" x14ac:dyDescent="0.2">
      <c r="D2681" s="135">
        <v>28.18</v>
      </c>
    </row>
    <row r="2682" spans="4:4" x14ac:dyDescent="0.2">
      <c r="D2682" s="135">
        <v>28.19</v>
      </c>
    </row>
    <row r="2683" spans="4:4" x14ac:dyDescent="0.2">
      <c r="D2683" s="135">
        <v>28.2</v>
      </c>
    </row>
    <row r="2684" spans="4:4" x14ac:dyDescent="0.2">
      <c r="D2684" s="135">
        <v>28.21</v>
      </c>
    </row>
    <row r="2685" spans="4:4" x14ac:dyDescent="0.2">
      <c r="D2685" s="135">
        <v>28.22</v>
      </c>
    </row>
    <row r="2686" spans="4:4" x14ac:dyDescent="0.2">
      <c r="D2686" s="135">
        <v>28.23</v>
      </c>
    </row>
    <row r="2687" spans="4:4" x14ac:dyDescent="0.2">
      <c r="D2687" s="135">
        <v>28.24</v>
      </c>
    </row>
    <row r="2688" spans="4:4" x14ac:dyDescent="0.2">
      <c r="D2688" s="135">
        <v>28.25</v>
      </c>
    </row>
    <row r="2689" spans="4:4" x14ac:dyDescent="0.2">
      <c r="D2689" s="135">
        <v>28.26</v>
      </c>
    </row>
    <row r="2690" spans="4:4" x14ac:dyDescent="0.2">
      <c r="D2690" s="135">
        <v>28.27</v>
      </c>
    </row>
    <row r="2691" spans="4:4" x14ac:dyDescent="0.2">
      <c r="D2691" s="135">
        <v>28.28</v>
      </c>
    </row>
    <row r="2692" spans="4:4" x14ac:dyDescent="0.2">
      <c r="D2692" s="135">
        <v>28.29</v>
      </c>
    </row>
    <row r="2693" spans="4:4" x14ac:dyDescent="0.2">
      <c r="D2693" s="135">
        <v>28.3</v>
      </c>
    </row>
    <row r="2694" spans="4:4" x14ac:dyDescent="0.2">
      <c r="D2694" s="135">
        <v>28.31</v>
      </c>
    </row>
    <row r="2695" spans="4:4" x14ac:dyDescent="0.2">
      <c r="D2695" s="135">
        <v>28.32</v>
      </c>
    </row>
    <row r="2696" spans="4:4" x14ac:dyDescent="0.2">
      <c r="D2696" s="135">
        <v>28.33</v>
      </c>
    </row>
    <row r="2697" spans="4:4" x14ac:dyDescent="0.2">
      <c r="D2697" s="135">
        <v>28.34</v>
      </c>
    </row>
    <row r="2698" spans="4:4" x14ac:dyDescent="0.2">
      <c r="D2698" s="135">
        <v>28.35</v>
      </c>
    </row>
    <row r="2699" spans="4:4" x14ac:dyDescent="0.2">
      <c r="D2699" s="135">
        <v>28.36</v>
      </c>
    </row>
    <row r="2700" spans="4:4" x14ac:dyDescent="0.2">
      <c r="D2700" s="135">
        <v>28.37</v>
      </c>
    </row>
    <row r="2701" spans="4:4" x14ac:dyDescent="0.2">
      <c r="D2701" s="135">
        <v>28.38</v>
      </c>
    </row>
    <row r="2702" spans="4:4" x14ac:dyDescent="0.2">
      <c r="D2702" s="135">
        <v>28.39</v>
      </c>
    </row>
    <row r="2703" spans="4:4" x14ac:dyDescent="0.2">
      <c r="D2703" s="135">
        <v>28.4</v>
      </c>
    </row>
    <row r="2704" spans="4:4" x14ac:dyDescent="0.2">
      <c r="D2704" s="135">
        <v>28.41</v>
      </c>
    </row>
    <row r="2705" spans="4:4" x14ac:dyDescent="0.2">
      <c r="D2705" s="135">
        <v>28.42</v>
      </c>
    </row>
    <row r="2706" spans="4:4" x14ac:dyDescent="0.2">
      <c r="D2706" s="135">
        <v>28.43</v>
      </c>
    </row>
    <row r="2707" spans="4:4" x14ac:dyDescent="0.2">
      <c r="D2707" s="135">
        <v>28.44</v>
      </c>
    </row>
    <row r="2708" spans="4:4" x14ac:dyDescent="0.2">
      <c r="D2708" s="135">
        <v>28.45</v>
      </c>
    </row>
    <row r="2709" spans="4:4" x14ac:dyDescent="0.2">
      <c r="D2709" s="135">
        <v>28.46</v>
      </c>
    </row>
    <row r="2710" spans="4:4" x14ac:dyDescent="0.2">
      <c r="D2710" s="135">
        <v>28.47</v>
      </c>
    </row>
    <row r="2711" spans="4:4" x14ac:dyDescent="0.2">
      <c r="D2711" s="135">
        <v>28.48</v>
      </c>
    </row>
    <row r="2712" spans="4:4" x14ac:dyDescent="0.2">
      <c r="D2712" s="135">
        <v>28.49</v>
      </c>
    </row>
    <row r="2713" spans="4:4" x14ac:dyDescent="0.2">
      <c r="D2713" s="135">
        <v>28.5</v>
      </c>
    </row>
    <row r="2714" spans="4:4" x14ac:dyDescent="0.2">
      <c r="D2714" s="135">
        <v>28.51</v>
      </c>
    </row>
    <row r="2715" spans="4:4" x14ac:dyDescent="0.2">
      <c r="D2715" s="135">
        <v>28.52</v>
      </c>
    </row>
    <row r="2716" spans="4:4" x14ac:dyDescent="0.2">
      <c r="D2716" s="135">
        <v>28.53</v>
      </c>
    </row>
    <row r="2717" spans="4:4" x14ac:dyDescent="0.2">
      <c r="D2717" s="135">
        <v>28.54</v>
      </c>
    </row>
    <row r="2718" spans="4:4" x14ac:dyDescent="0.2">
      <c r="D2718" s="135">
        <v>28.55</v>
      </c>
    </row>
    <row r="2719" spans="4:4" x14ac:dyDescent="0.2">
      <c r="D2719" s="135">
        <v>28.56</v>
      </c>
    </row>
    <row r="2720" spans="4:4" x14ac:dyDescent="0.2">
      <c r="D2720" s="135">
        <v>28.57</v>
      </c>
    </row>
    <row r="2721" spans="4:4" x14ac:dyDescent="0.2">
      <c r="D2721" s="135">
        <v>28.58</v>
      </c>
    </row>
    <row r="2722" spans="4:4" x14ac:dyDescent="0.2">
      <c r="D2722" s="135">
        <v>28.59</v>
      </c>
    </row>
    <row r="2723" spans="4:4" x14ac:dyDescent="0.2">
      <c r="D2723" s="135">
        <v>28.6</v>
      </c>
    </row>
    <row r="2724" spans="4:4" x14ac:dyDescent="0.2">
      <c r="D2724" s="135">
        <v>28.61</v>
      </c>
    </row>
    <row r="2725" spans="4:4" x14ac:dyDescent="0.2">
      <c r="D2725" s="135">
        <v>28.62</v>
      </c>
    </row>
    <row r="2726" spans="4:4" x14ac:dyDescent="0.2">
      <c r="D2726" s="135">
        <v>28.63</v>
      </c>
    </row>
    <row r="2727" spans="4:4" x14ac:dyDescent="0.2">
      <c r="D2727" s="135">
        <v>28.64</v>
      </c>
    </row>
    <row r="2728" spans="4:4" x14ac:dyDescent="0.2">
      <c r="D2728" s="135">
        <v>28.65</v>
      </c>
    </row>
    <row r="2729" spans="4:4" x14ac:dyDescent="0.2">
      <c r="D2729" s="135">
        <v>28.66</v>
      </c>
    </row>
    <row r="2730" spans="4:4" x14ac:dyDescent="0.2">
      <c r="D2730" s="135">
        <v>28.67</v>
      </c>
    </row>
    <row r="2731" spans="4:4" x14ac:dyDescent="0.2">
      <c r="D2731" s="135">
        <v>28.68</v>
      </c>
    </row>
    <row r="2732" spans="4:4" x14ac:dyDescent="0.2">
      <c r="D2732" s="135">
        <v>28.69</v>
      </c>
    </row>
    <row r="2733" spans="4:4" x14ac:dyDescent="0.2">
      <c r="D2733" s="135">
        <v>28.7</v>
      </c>
    </row>
    <row r="2734" spans="4:4" x14ac:dyDescent="0.2">
      <c r="D2734" s="135">
        <v>28.71</v>
      </c>
    </row>
    <row r="2735" spans="4:4" x14ac:dyDescent="0.2">
      <c r="D2735" s="135">
        <v>28.72</v>
      </c>
    </row>
    <row r="2736" spans="4:4" x14ac:dyDescent="0.2">
      <c r="D2736" s="135">
        <v>28.73</v>
      </c>
    </row>
    <row r="2737" spans="4:4" x14ac:dyDescent="0.2">
      <c r="D2737" s="135">
        <v>28.74</v>
      </c>
    </row>
    <row r="2738" spans="4:4" x14ac:dyDescent="0.2">
      <c r="D2738" s="135">
        <v>28.75</v>
      </c>
    </row>
    <row r="2739" spans="4:4" x14ac:dyDescent="0.2">
      <c r="D2739" s="135">
        <v>28.76</v>
      </c>
    </row>
    <row r="2740" spans="4:4" x14ac:dyDescent="0.2">
      <c r="D2740" s="135">
        <v>28.77</v>
      </c>
    </row>
    <row r="2741" spans="4:4" x14ac:dyDescent="0.2">
      <c r="D2741" s="135">
        <v>28.78</v>
      </c>
    </row>
    <row r="2742" spans="4:4" x14ac:dyDescent="0.2">
      <c r="D2742" s="135">
        <v>28.79</v>
      </c>
    </row>
    <row r="2743" spans="4:4" x14ac:dyDescent="0.2">
      <c r="D2743" s="135">
        <v>28.8</v>
      </c>
    </row>
    <row r="2744" spans="4:4" x14ac:dyDescent="0.2">
      <c r="D2744" s="135">
        <v>28.81</v>
      </c>
    </row>
    <row r="2745" spans="4:4" x14ac:dyDescent="0.2">
      <c r="D2745" s="135">
        <v>28.82</v>
      </c>
    </row>
    <row r="2746" spans="4:4" x14ac:dyDescent="0.2">
      <c r="D2746" s="135">
        <v>28.83</v>
      </c>
    </row>
    <row r="2747" spans="4:4" x14ac:dyDescent="0.2">
      <c r="D2747" s="135">
        <v>28.84</v>
      </c>
    </row>
    <row r="2748" spans="4:4" x14ac:dyDescent="0.2">
      <c r="D2748" s="135">
        <v>28.85</v>
      </c>
    </row>
    <row r="2749" spans="4:4" x14ac:dyDescent="0.2">
      <c r="D2749" s="135">
        <v>28.86</v>
      </c>
    </row>
    <row r="2750" spans="4:4" x14ac:dyDescent="0.2">
      <c r="D2750" s="135">
        <v>28.87</v>
      </c>
    </row>
    <row r="2751" spans="4:4" x14ac:dyDescent="0.2">
      <c r="D2751" s="135">
        <v>28.88</v>
      </c>
    </row>
    <row r="2752" spans="4:4" x14ac:dyDescent="0.2">
      <c r="D2752" s="135">
        <v>28.89</v>
      </c>
    </row>
    <row r="2753" spans="4:4" x14ac:dyDescent="0.2">
      <c r="D2753" s="135">
        <v>28.9</v>
      </c>
    </row>
    <row r="2754" spans="4:4" x14ac:dyDescent="0.2">
      <c r="D2754" s="135">
        <v>28.91</v>
      </c>
    </row>
    <row r="2755" spans="4:4" x14ac:dyDescent="0.2">
      <c r="D2755" s="135">
        <v>28.92</v>
      </c>
    </row>
    <row r="2756" spans="4:4" x14ac:dyDescent="0.2">
      <c r="D2756" s="135">
        <v>28.93</v>
      </c>
    </row>
    <row r="2757" spans="4:4" x14ac:dyDescent="0.2">
      <c r="D2757" s="135">
        <v>28.94</v>
      </c>
    </row>
    <row r="2758" spans="4:4" x14ac:dyDescent="0.2">
      <c r="D2758" s="135">
        <v>28.95</v>
      </c>
    </row>
    <row r="2759" spans="4:4" x14ac:dyDescent="0.2">
      <c r="D2759" s="135">
        <v>28.96</v>
      </c>
    </row>
    <row r="2760" spans="4:4" x14ac:dyDescent="0.2">
      <c r="D2760" s="135">
        <v>28.97</v>
      </c>
    </row>
    <row r="2761" spans="4:4" x14ac:dyDescent="0.2">
      <c r="D2761" s="135">
        <v>28.98</v>
      </c>
    </row>
    <row r="2762" spans="4:4" x14ac:dyDescent="0.2">
      <c r="D2762" s="135">
        <v>28.99</v>
      </c>
    </row>
    <row r="2763" spans="4:4" x14ac:dyDescent="0.2">
      <c r="D2763" s="135">
        <v>29</v>
      </c>
    </row>
    <row r="2764" spans="4:4" x14ac:dyDescent="0.2">
      <c r="D2764" s="135">
        <v>29.01</v>
      </c>
    </row>
    <row r="2765" spans="4:4" x14ac:dyDescent="0.2">
      <c r="D2765" s="135">
        <v>29.02</v>
      </c>
    </row>
    <row r="2766" spans="4:4" x14ac:dyDescent="0.2">
      <c r="D2766" s="135">
        <v>29.03</v>
      </c>
    </row>
    <row r="2767" spans="4:4" x14ac:dyDescent="0.2">
      <c r="D2767" s="135">
        <v>29.04</v>
      </c>
    </row>
    <row r="2768" spans="4:4" x14ac:dyDescent="0.2">
      <c r="D2768" s="135">
        <v>29.05</v>
      </c>
    </row>
    <row r="2769" spans="4:4" x14ac:dyDescent="0.2">
      <c r="D2769" s="135">
        <v>29.06</v>
      </c>
    </row>
    <row r="2770" spans="4:4" x14ac:dyDescent="0.2">
      <c r="D2770" s="135">
        <v>29.07</v>
      </c>
    </row>
    <row r="2771" spans="4:4" x14ac:dyDescent="0.2">
      <c r="D2771" s="135">
        <v>29.08</v>
      </c>
    </row>
    <row r="2772" spans="4:4" x14ac:dyDescent="0.2">
      <c r="D2772" s="135">
        <v>29.09</v>
      </c>
    </row>
    <row r="2773" spans="4:4" x14ac:dyDescent="0.2">
      <c r="D2773" s="135">
        <v>29.1</v>
      </c>
    </row>
    <row r="2774" spans="4:4" x14ac:dyDescent="0.2">
      <c r="D2774" s="135">
        <v>29.11</v>
      </c>
    </row>
    <row r="2775" spans="4:4" x14ac:dyDescent="0.2">
      <c r="D2775" s="135">
        <v>29.12</v>
      </c>
    </row>
    <row r="2776" spans="4:4" x14ac:dyDescent="0.2">
      <c r="D2776" s="135">
        <v>29.13</v>
      </c>
    </row>
    <row r="2777" spans="4:4" x14ac:dyDescent="0.2">
      <c r="D2777" s="135">
        <v>29.14</v>
      </c>
    </row>
    <row r="2778" spans="4:4" x14ac:dyDescent="0.2">
      <c r="D2778" s="135">
        <v>29.15</v>
      </c>
    </row>
    <row r="2779" spans="4:4" x14ac:dyDescent="0.2">
      <c r="D2779" s="135">
        <v>29.16</v>
      </c>
    </row>
    <row r="2780" spans="4:4" x14ac:dyDescent="0.2">
      <c r="D2780" s="135">
        <v>29.17</v>
      </c>
    </row>
    <row r="2781" spans="4:4" x14ac:dyDescent="0.2">
      <c r="D2781" s="135">
        <v>29.18</v>
      </c>
    </row>
    <row r="2782" spans="4:4" x14ac:dyDescent="0.2">
      <c r="D2782" s="135">
        <v>29.19</v>
      </c>
    </row>
    <row r="2783" spans="4:4" x14ac:dyDescent="0.2">
      <c r="D2783" s="135">
        <v>29.2</v>
      </c>
    </row>
    <row r="2784" spans="4:4" x14ac:dyDescent="0.2">
      <c r="D2784" s="135">
        <v>29.21</v>
      </c>
    </row>
    <row r="2785" spans="4:4" x14ac:dyDescent="0.2">
      <c r="D2785" s="135">
        <v>29.22</v>
      </c>
    </row>
    <row r="2786" spans="4:4" x14ac:dyDescent="0.2">
      <c r="D2786" s="135">
        <v>29.23</v>
      </c>
    </row>
    <row r="2787" spans="4:4" x14ac:dyDescent="0.2">
      <c r="D2787" s="135">
        <v>29.24</v>
      </c>
    </row>
    <row r="2788" spans="4:4" x14ac:dyDescent="0.2">
      <c r="D2788" s="135">
        <v>29.25</v>
      </c>
    </row>
    <row r="2789" spans="4:4" x14ac:dyDescent="0.2">
      <c r="D2789" s="135">
        <v>29.26</v>
      </c>
    </row>
    <row r="2790" spans="4:4" x14ac:dyDescent="0.2">
      <c r="D2790" s="135">
        <v>29.27</v>
      </c>
    </row>
    <row r="2791" spans="4:4" x14ac:dyDescent="0.2">
      <c r="D2791" s="135">
        <v>29.28</v>
      </c>
    </row>
    <row r="2792" spans="4:4" x14ac:dyDescent="0.2">
      <c r="D2792" s="135">
        <v>29.29</v>
      </c>
    </row>
    <row r="2793" spans="4:4" x14ac:dyDescent="0.2">
      <c r="D2793" s="135">
        <v>29.3</v>
      </c>
    </row>
    <row r="2794" spans="4:4" x14ac:dyDescent="0.2">
      <c r="D2794" s="135">
        <v>29.31</v>
      </c>
    </row>
    <row r="2795" spans="4:4" x14ac:dyDescent="0.2">
      <c r="D2795" s="135">
        <v>29.32</v>
      </c>
    </row>
    <row r="2796" spans="4:4" x14ac:dyDescent="0.2">
      <c r="D2796" s="135">
        <v>29.33</v>
      </c>
    </row>
    <row r="2797" spans="4:4" x14ac:dyDescent="0.2">
      <c r="D2797" s="135">
        <v>29.34</v>
      </c>
    </row>
    <row r="2798" spans="4:4" x14ac:dyDescent="0.2">
      <c r="D2798" s="135">
        <v>29.35</v>
      </c>
    </row>
    <row r="2799" spans="4:4" x14ac:dyDescent="0.2">
      <c r="D2799" s="135">
        <v>29.36</v>
      </c>
    </row>
    <row r="2800" spans="4:4" x14ac:dyDescent="0.2">
      <c r="D2800" s="135">
        <v>29.37</v>
      </c>
    </row>
    <row r="2801" spans="4:4" x14ac:dyDescent="0.2">
      <c r="D2801" s="135">
        <v>29.38</v>
      </c>
    </row>
    <row r="2802" spans="4:4" x14ac:dyDescent="0.2">
      <c r="D2802" s="135">
        <v>29.39</v>
      </c>
    </row>
    <row r="2803" spans="4:4" x14ac:dyDescent="0.2">
      <c r="D2803" s="135">
        <v>29.4</v>
      </c>
    </row>
    <row r="2804" spans="4:4" x14ac:dyDescent="0.2">
      <c r="D2804" s="135">
        <v>29.41</v>
      </c>
    </row>
    <row r="2805" spans="4:4" x14ac:dyDescent="0.2">
      <c r="D2805" s="135">
        <v>29.42</v>
      </c>
    </row>
    <row r="2806" spans="4:4" x14ac:dyDescent="0.2">
      <c r="D2806" s="135">
        <v>29.43</v>
      </c>
    </row>
    <row r="2807" spans="4:4" x14ac:dyDescent="0.2">
      <c r="D2807" s="135">
        <v>29.44</v>
      </c>
    </row>
    <row r="2808" spans="4:4" x14ac:dyDescent="0.2">
      <c r="D2808" s="135">
        <v>29.45</v>
      </c>
    </row>
    <row r="2809" spans="4:4" x14ac:dyDescent="0.2">
      <c r="D2809" s="135">
        <v>29.46</v>
      </c>
    </row>
    <row r="2810" spans="4:4" x14ac:dyDescent="0.2">
      <c r="D2810" s="135">
        <v>29.47</v>
      </c>
    </row>
    <row r="2811" spans="4:4" x14ac:dyDescent="0.2">
      <c r="D2811" s="135">
        <v>29.48</v>
      </c>
    </row>
    <row r="2812" spans="4:4" x14ac:dyDescent="0.2">
      <c r="D2812" s="135">
        <v>29.49</v>
      </c>
    </row>
    <row r="2813" spans="4:4" x14ac:dyDescent="0.2">
      <c r="D2813" s="135">
        <v>29.5</v>
      </c>
    </row>
    <row r="2814" spans="4:4" x14ac:dyDescent="0.2">
      <c r="D2814" s="135">
        <v>29.51</v>
      </c>
    </row>
    <row r="2815" spans="4:4" x14ac:dyDescent="0.2">
      <c r="D2815" s="135">
        <v>29.52</v>
      </c>
    </row>
    <row r="2816" spans="4:4" x14ac:dyDescent="0.2">
      <c r="D2816" s="135">
        <v>29.53</v>
      </c>
    </row>
    <row r="2817" spans="4:4" x14ac:dyDescent="0.2">
      <c r="D2817" s="135">
        <v>29.54</v>
      </c>
    </row>
    <row r="2818" spans="4:4" x14ac:dyDescent="0.2">
      <c r="D2818" s="135">
        <v>29.55</v>
      </c>
    </row>
    <row r="2819" spans="4:4" x14ac:dyDescent="0.2">
      <c r="D2819" s="135">
        <v>29.56</v>
      </c>
    </row>
    <row r="2820" spans="4:4" x14ac:dyDescent="0.2">
      <c r="D2820" s="135">
        <v>29.57</v>
      </c>
    </row>
    <row r="2821" spans="4:4" x14ac:dyDescent="0.2">
      <c r="D2821" s="135">
        <v>29.58</v>
      </c>
    </row>
    <row r="2822" spans="4:4" x14ac:dyDescent="0.2">
      <c r="D2822" s="135">
        <v>29.59</v>
      </c>
    </row>
    <row r="2823" spans="4:4" x14ac:dyDescent="0.2">
      <c r="D2823" s="135">
        <v>29.6</v>
      </c>
    </row>
    <row r="2824" spans="4:4" x14ac:dyDescent="0.2">
      <c r="D2824" s="135">
        <v>29.61</v>
      </c>
    </row>
    <row r="2825" spans="4:4" x14ac:dyDescent="0.2">
      <c r="D2825" s="135">
        <v>29.62</v>
      </c>
    </row>
    <row r="2826" spans="4:4" x14ac:dyDescent="0.2">
      <c r="D2826" s="135">
        <v>29.63</v>
      </c>
    </row>
    <row r="2827" spans="4:4" x14ac:dyDescent="0.2">
      <c r="D2827" s="135">
        <v>29.64</v>
      </c>
    </row>
    <row r="2828" spans="4:4" x14ac:dyDescent="0.2">
      <c r="D2828" s="135">
        <v>29.65</v>
      </c>
    </row>
    <row r="2829" spans="4:4" x14ac:dyDescent="0.2">
      <c r="D2829" s="135">
        <v>29.66</v>
      </c>
    </row>
    <row r="2830" spans="4:4" x14ac:dyDescent="0.2">
      <c r="D2830" s="135">
        <v>29.67</v>
      </c>
    </row>
    <row r="2831" spans="4:4" x14ac:dyDescent="0.2">
      <c r="D2831" s="135">
        <v>29.68</v>
      </c>
    </row>
    <row r="2832" spans="4:4" x14ac:dyDescent="0.2">
      <c r="D2832" s="135">
        <v>29.69</v>
      </c>
    </row>
    <row r="2833" spans="4:4" x14ac:dyDescent="0.2">
      <c r="D2833" s="135">
        <v>29.7</v>
      </c>
    </row>
    <row r="2834" spans="4:4" x14ac:dyDescent="0.2">
      <c r="D2834" s="135">
        <v>29.71</v>
      </c>
    </row>
    <row r="2835" spans="4:4" x14ac:dyDescent="0.2">
      <c r="D2835" s="135">
        <v>29.72</v>
      </c>
    </row>
    <row r="2836" spans="4:4" x14ac:dyDescent="0.2">
      <c r="D2836" s="135">
        <v>29.73</v>
      </c>
    </row>
    <row r="2837" spans="4:4" x14ac:dyDescent="0.2">
      <c r="D2837" s="135">
        <v>29.74</v>
      </c>
    </row>
    <row r="2838" spans="4:4" x14ac:dyDescent="0.2">
      <c r="D2838" s="135">
        <v>29.75</v>
      </c>
    </row>
    <row r="2839" spans="4:4" x14ac:dyDescent="0.2">
      <c r="D2839" s="135">
        <v>29.76</v>
      </c>
    </row>
    <row r="2840" spans="4:4" x14ac:dyDescent="0.2">
      <c r="D2840" s="135">
        <v>29.77</v>
      </c>
    </row>
    <row r="2841" spans="4:4" x14ac:dyDescent="0.2">
      <c r="D2841" s="135">
        <v>29.78</v>
      </c>
    </row>
    <row r="2842" spans="4:4" x14ac:dyDescent="0.2">
      <c r="D2842" s="135">
        <v>29.79</v>
      </c>
    </row>
    <row r="2843" spans="4:4" x14ac:dyDescent="0.2">
      <c r="D2843" s="135">
        <v>29.8</v>
      </c>
    </row>
    <row r="2844" spans="4:4" x14ac:dyDescent="0.2">
      <c r="D2844" s="135">
        <v>29.81</v>
      </c>
    </row>
    <row r="2845" spans="4:4" x14ac:dyDescent="0.2">
      <c r="D2845" s="135">
        <v>29.82</v>
      </c>
    </row>
    <row r="2846" spans="4:4" x14ac:dyDescent="0.2">
      <c r="D2846" s="135">
        <v>29.83</v>
      </c>
    </row>
    <row r="2847" spans="4:4" x14ac:dyDescent="0.2">
      <c r="D2847" s="135">
        <v>29.84</v>
      </c>
    </row>
    <row r="2848" spans="4:4" x14ac:dyDescent="0.2">
      <c r="D2848" s="135">
        <v>29.85</v>
      </c>
    </row>
    <row r="2849" spans="4:4" x14ac:dyDescent="0.2">
      <c r="D2849" s="135">
        <v>29.86</v>
      </c>
    </row>
    <row r="2850" spans="4:4" x14ac:dyDescent="0.2">
      <c r="D2850" s="135">
        <v>29.87</v>
      </c>
    </row>
    <row r="2851" spans="4:4" x14ac:dyDescent="0.2">
      <c r="D2851" s="135">
        <v>29.88</v>
      </c>
    </row>
    <row r="2852" spans="4:4" x14ac:dyDescent="0.2">
      <c r="D2852" s="135">
        <v>29.89</v>
      </c>
    </row>
    <row r="2853" spans="4:4" x14ac:dyDescent="0.2">
      <c r="D2853" s="135">
        <v>29.9</v>
      </c>
    </row>
    <row r="2854" spans="4:4" x14ac:dyDescent="0.2">
      <c r="D2854" s="135">
        <v>29.91</v>
      </c>
    </row>
    <row r="2855" spans="4:4" x14ac:dyDescent="0.2">
      <c r="D2855" s="135">
        <v>29.92</v>
      </c>
    </row>
    <row r="2856" spans="4:4" x14ac:dyDescent="0.2">
      <c r="D2856" s="135">
        <v>29.93</v>
      </c>
    </row>
    <row r="2857" spans="4:4" x14ac:dyDescent="0.2">
      <c r="D2857" s="135">
        <v>29.94</v>
      </c>
    </row>
    <row r="2858" spans="4:4" x14ac:dyDescent="0.2">
      <c r="D2858" s="135">
        <v>29.95</v>
      </c>
    </row>
    <row r="2859" spans="4:4" x14ac:dyDescent="0.2">
      <c r="D2859" s="135">
        <v>29.96</v>
      </c>
    </row>
    <row r="2860" spans="4:4" x14ac:dyDescent="0.2">
      <c r="D2860" s="135">
        <v>29.97</v>
      </c>
    </row>
    <row r="2861" spans="4:4" x14ac:dyDescent="0.2">
      <c r="D2861" s="135">
        <v>29.98</v>
      </c>
    </row>
    <row r="2862" spans="4:4" x14ac:dyDescent="0.2">
      <c r="D2862" s="135">
        <v>29.99</v>
      </c>
    </row>
    <row r="2863" spans="4:4" x14ac:dyDescent="0.2">
      <c r="D2863" s="135">
        <v>30</v>
      </c>
    </row>
    <row r="2864" spans="4:4" x14ac:dyDescent="0.2">
      <c r="D2864" s="135">
        <v>30.01</v>
      </c>
    </row>
    <row r="2865" spans="4:4" x14ac:dyDescent="0.2">
      <c r="D2865" s="135">
        <v>30.02</v>
      </c>
    </row>
    <row r="2866" spans="4:4" x14ac:dyDescent="0.2">
      <c r="D2866" s="135">
        <v>30.03</v>
      </c>
    </row>
    <row r="2867" spans="4:4" x14ac:dyDescent="0.2">
      <c r="D2867" s="135">
        <v>30.04</v>
      </c>
    </row>
    <row r="2868" spans="4:4" x14ac:dyDescent="0.2">
      <c r="D2868" s="135">
        <v>30.05</v>
      </c>
    </row>
    <row r="2869" spans="4:4" x14ac:dyDescent="0.2">
      <c r="D2869" s="135">
        <v>30.06</v>
      </c>
    </row>
    <row r="2870" spans="4:4" x14ac:dyDescent="0.2">
      <c r="D2870" s="135">
        <v>30.07</v>
      </c>
    </row>
    <row r="2871" spans="4:4" x14ac:dyDescent="0.2">
      <c r="D2871" s="135">
        <v>30.08</v>
      </c>
    </row>
    <row r="2872" spans="4:4" x14ac:dyDescent="0.2">
      <c r="D2872" s="135">
        <v>30.09</v>
      </c>
    </row>
    <row r="2873" spans="4:4" x14ac:dyDescent="0.2">
      <c r="D2873" s="135">
        <v>30.1</v>
      </c>
    </row>
    <row r="2874" spans="4:4" x14ac:dyDescent="0.2">
      <c r="D2874" s="135">
        <v>30.11</v>
      </c>
    </row>
    <row r="2875" spans="4:4" x14ac:dyDescent="0.2">
      <c r="D2875" s="135">
        <v>30.12</v>
      </c>
    </row>
    <row r="2876" spans="4:4" x14ac:dyDescent="0.2">
      <c r="D2876" s="135">
        <v>30.13</v>
      </c>
    </row>
    <row r="2877" spans="4:4" x14ac:dyDescent="0.2">
      <c r="D2877" s="135">
        <v>30.14</v>
      </c>
    </row>
    <row r="2878" spans="4:4" x14ac:dyDescent="0.2">
      <c r="D2878" s="135">
        <v>30.15</v>
      </c>
    </row>
    <row r="2879" spans="4:4" x14ac:dyDescent="0.2">
      <c r="D2879" s="135">
        <v>30.16</v>
      </c>
    </row>
    <row r="2880" spans="4:4" x14ac:dyDescent="0.2">
      <c r="D2880" s="135">
        <v>30.17</v>
      </c>
    </row>
    <row r="2881" spans="4:4" x14ac:dyDescent="0.2">
      <c r="D2881" s="135">
        <v>30.18</v>
      </c>
    </row>
    <row r="2882" spans="4:4" x14ac:dyDescent="0.2">
      <c r="D2882" s="135">
        <v>30.19</v>
      </c>
    </row>
    <row r="2883" spans="4:4" x14ac:dyDescent="0.2">
      <c r="D2883" s="135">
        <v>30.2</v>
      </c>
    </row>
    <row r="2884" spans="4:4" x14ac:dyDescent="0.2">
      <c r="D2884" s="135">
        <v>30.21</v>
      </c>
    </row>
    <row r="2885" spans="4:4" x14ac:dyDescent="0.2">
      <c r="D2885" s="135">
        <v>30.22</v>
      </c>
    </row>
    <row r="2886" spans="4:4" x14ac:dyDescent="0.2">
      <c r="D2886" s="135">
        <v>30.23</v>
      </c>
    </row>
    <row r="2887" spans="4:4" x14ac:dyDescent="0.2">
      <c r="D2887" s="135">
        <v>30.24</v>
      </c>
    </row>
    <row r="2888" spans="4:4" x14ac:dyDescent="0.2">
      <c r="D2888" s="135">
        <v>30.25</v>
      </c>
    </row>
    <row r="2889" spans="4:4" x14ac:dyDescent="0.2">
      <c r="D2889" s="135">
        <v>30.26</v>
      </c>
    </row>
    <row r="2890" spans="4:4" x14ac:dyDescent="0.2">
      <c r="D2890" s="135">
        <v>30.27</v>
      </c>
    </row>
    <row r="2891" spans="4:4" x14ac:dyDescent="0.2">
      <c r="D2891" s="135">
        <v>30.28</v>
      </c>
    </row>
    <row r="2892" spans="4:4" x14ac:dyDescent="0.2">
      <c r="D2892" s="135">
        <v>30.29</v>
      </c>
    </row>
    <row r="2893" spans="4:4" x14ac:dyDescent="0.2">
      <c r="D2893" s="135">
        <v>30.3</v>
      </c>
    </row>
    <row r="2894" spans="4:4" x14ac:dyDescent="0.2">
      <c r="D2894" s="135">
        <v>30.31</v>
      </c>
    </row>
    <row r="2895" spans="4:4" x14ac:dyDescent="0.2">
      <c r="D2895" s="135">
        <v>30.32</v>
      </c>
    </row>
    <row r="2896" spans="4:4" x14ac:dyDescent="0.2">
      <c r="D2896" s="135">
        <v>30.33</v>
      </c>
    </row>
    <row r="2897" spans="4:4" x14ac:dyDescent="0.2">
      <c r="D2897" s="135">
        <v>30.34</v>
      </c>
    </row>
    <row r="2898" spans="4:4" x14ac:dyDescent="0.2">
      <c r="D2898" s="135">
        <v>30.35</v>
      </c>
    </row>
    <row r="2899" spans="4:4" x14ac:dyDescent="0.2">
      <c r="D2899" s="135">
        <v>30.36</v>
      </c>
    </row>
    <row r="2900" spans="4:4" x14ac:dyDescent="0.2">
      <c r="D2900" s="135">
        <v>30.37</v>
      </c>
    </row>
    <row r="2901" spans="4:4" x14ac:dyDescent="0.2">
      <c r="D2901" s="135">
        <v>30.38</v>
      </c>
    </row>
    <row r="2902" spans="4:4" x14ac:dyDescent="0.2">
      <c r="D2902" s="135">
        <v>30.39</v>
      </c>
    </row>
    <row r="2903" spans="4:4" x14ac:dyDescent="0.2">
      <c r="D2903" s="135">
        <v>30.4</v>
      </c>
    </row>
    <row r="2904" spans="4:4" x14ac:dyDescent="0.2">
      <c r="D2904" s="135">
        <v>30.41</v>
      </c>
    </row>
    <row r="2905" spans="4:4" x14ac:dyDescent="0.2">
      <c r="D2905" s="135">
        <v>30.42</v>
      </c>
    </row>
    <row r="2906" spans="4:4" x14ac:dyDescent="0.2">
      <c r="D2906" s="135">
        <v>30.43</v>
      </c>
    </row>
    <row r="2907" spans="4:4" x14ac:dyDescent="0.2">
      <c r="D2907" s="135">
        <v>30.44</v>
      </c>
    </row>
    <row r="2908" spans="4:4" x14ac:dyDescent="0.2">
      <c r="D2908" s="135">
        <v>30.45</v>
      </c>
    </row>
    <row r="2909" spans="4:4" x14ac:dyDescent="0.2">
      <c r="D2909" s="135">
        <v>30.46</v>
      </c>
    </row>
    <row r="2910" spans="4:4" x14ac:dyDescent="0.2">
      <c r="D2910" s="135">
        <v>30.47</v>
      </c>
    </row>
    <row r="2911" spans="4:4" x14ac:dyDescent="0.2">
      <c r="D2911" s="135">
        <v>30.48</v>
      </c>
    </row>
    <row r="2912" spans="4:4" x14ac:dyDescent="0.2">
      <c r="D2912" s="135">
        <v>30.49</v>
      </c>
    </row>
    <row r="2913" spans="4:4" x14ac:dyDescent="0.2">
      <c r="D2913" s="135">
        <v>30.5</v>
      </c>
    </row>
    <row r="2914" spans="4:4" x14ac:dyDescent="0.2">
      <c r="D2914" s="135">
        <v>30.51</v>
      </c>
    </row>
    <row r="2915" spans="4:4" x14ac:dyDescent="0.2">
      <c r="D2915" s="135">
        <v>30.52</v>
      </c>
    </row>
    <row r="2916" spans="4:4" x14ac:dyDescent="0.2">
      <c r="D2916" s="135">
        <v>30.53</v>
      </c>
    </row>
    <row r="2917" spans="4:4" x14ac:dyDescent="0.2">
      <c r="D2917" s="135">
        <v>30.54</v>
      </c>
    </row>
    <row r="2918" spans="4:4" x14ac:dyDescent="0.2">
      <c r="D2918" s="135">
        <v>30.55</v>
      </c>
    </row>
    <row r="2919" spans="4:4" x14ac:dyDescent="0.2">
      <c r="D2919" s="135">
        <v>30.56</v>
      </c>
    </row>
    <row r="2920" spans="4:4" x14ac:dyDescent="0.2">
      <c r="D2920" s="135">
        <v>30.57</v>
      </c>
    </row>
    <row r="2921" spans="4:4" x14ac:dyDescent="0.2">
      <c r="D2921" s="135">
        <v>30.58</v>
      </c>
    </row>
    <row r="2922" spans="4:4" x14ac:dyDescent="0.2">
      <c r="D2922" s="135">
        <v>30.59</v>
      </c>
    </row>
    <row r="2923" spans="4:4" x14ac:dyDescent="0.2">
      <c r="D2923" s="135">
        <v>30.6</v>
      </c>
    </row>
    <row r="2924" spans="4:4" x14ac:dyDescent="0.2">
      <c r="D2924" s="135">
        <v>30.61</v>
      </c>
    </row>
    <row r="2925" spans="4:4" x14ac:dyDescent="0.2">
      <c r="D2925" s="135">
        <v>30.62</v>
      </c>
    </row>
    <row r="2926" spans="4:4" x14ac:dyDescent="0.2">
      <c r="D2926" s="135">
        <v>30.63</v>
      </c>
    </row>
    <row r="2927" spans="4:4" x14ac:dyDescent="0.2">
      <c r="D2927" s="135">
        <v>30.64</v>
      </c>
    </row>
    <row r="2928" spans="4:4" x14ac:dyDescent="0.2">
      <c r="D2928" s="135">
        <v>30.65</v>
      </c>
    </row>
    <row r="2929" spans="4:4" x14ac:dyDescent="0.2">
      <c r="D2929" s="135">
        <v>30.66</v>
      </c>
    </row>
    <row r="2930" spans="4:4" x14ac:dyDescent="0.2">
      <c r="D2930" s="135">
        <v>30.67</v>
      </c>
    </row>
    <row r="2931" spans="4:4" x14ac:dyDescent="0.2">
      <c r="D2931" s="135">
        <v>30.68</v>
      </c>
    </row>
    <row r="2932" spans="4:4" x14ac:dyDescent="0.2">
      <c r="D2932" s="135">
        <v>30.69</v>
      </c>
    </row>
    <row r="2933" spans="4:4" x14ac:dyDescent="0.2">
      <c r="D2933" s="135">
        <v>30.7</v>
      </c>
    </row>
    <row r="2934" spans="4:4" x14ac:dyDescent="0.2">
      <c r="D2934" s="135">
        <v>30.71</v>
      </c>
    </row>
    <row r="2935" spans="4:4" x14ac:dyDescent="0.2">
      <c r="D2935" s="135">
        <v>30.72</v>
      </c>
    </row>
    <row r="2936" spans="4:4" x14ac:dyDescent="0.2">
      <c r="D2936" s="135">
        <v>30.73</v>
      </c>
    </row>
    <row r="2937" spans="4:4" x14ac:dyDescent="0.2">
      <c r="D2937" s="135">
        <v>30.74</v>
      </c>
    </row>
    <row r="2938" spans="4:4" x14ac:dyDescent="0.2">
      <c r="D2938" s="135">
        <v>30.75</v>
      </c>
    </row>
    <row r="2939" spans="4:4" x14ac:dyDescent="0.2">
      <c r="D2939" s="135">
        <v>30.76</v>
      </c>
    </row>
    <row r="2940" spans="4:4" x14ac:dyDescent="0.2">
      <c r="D2940" s="135">
        <v>30.77</v>
      </c>
    </row>
    <row r="2941" spans="4:4" x14ac:dyDescent="0.2">
      <c r="D2941" s="135">
        <v>30.78</v>
      </c>
    </row>
    <row r="2942" spans="4:4" x14ac:dyDescent="0.2">
      <c r="D2942" s="135">
        <v>30.79</v>
      </c>
    </row>
    <row r="2943" spans="4:4" x14ac:dyDescent="0.2">
      <c r="D2943" s="135">
        <v>30.8</v>
      </c>
    </row>
    <row r="2944" spans="4:4" x14ac:dyDescent="0.2">
      <c r="D2944" s="135">
        <v>30.81</v>
      </c>
    </row>
    <row r="2945" spans="4:4" x14ac:dyDescent="0.2">
      <c r="D2945" s="135">
        <v>30.82</v>
      </c>
    </row>
    <row r="2946" spans="4:4" x14ac:dyDescent="0.2">
      <c r="D2946" s="135">
        <v>30.83</v>
      </c>
    </row>
    <row r="2947" spans="4:4" x14ac:dyDescent="0.2">
      <c r="D2947" s="135">
        <v>30.84</v>
      </c>
    </row>
    <row r="2948" spans="4:4" x14ac:dyDescent="0.2">
      <c r="D2948" s="135">
        <v>30.85</v>
      </c>
    </row>
    <row r="2949" spans="4:4" x14ac:dyDescent="0.2">
      <c r="D2949" s="135">
        <v>30.86</v>
      </c>
    </row>
    <row r="2950" spans="4:4" x14ac:dyDescent="0.2">
      <c r="D2950" s="135">
        <v>30.87</v>
      </c>
    </row>
    <row r="2951" spans="4:4" x14ac:dyDescent="0.2">
      <c r="D2951" s="135">
        <v>30.88</v>
      </c>
    </row>
    <row r="2952" spans="4:4" x14ac:dyDescent="0.2">
      <c r="D2952" s="135">
        <v>30.89</v>
      </c>
    </row>
    <row r="2953" spans="4:4" x14ac:dyDescent="0.2">
      <c r="D2953" s="135">
        <v>30.9</v>
      </c>
    </row>
    <row r="2954" spans="4:4" x14ac:dyDescent="0.2">
      <c r="D2954" s="135">
        <v>30.91</v>
      </c>
    </row>
    <row r="2955" spans="4:4" x14ac:dyDescent="0.2">
      <c r="D2955" s="135">
        <v>30.92</v>
      </c>
    </row>
    <row r="2956" spans="4:4" x14ac:dyDescent="0.2">
      <c r="D2956" s="135">
        <v>30.93</v>
      </c>
    </row>
    <row r="2957" spans="4:4" x14ac:dyDescent="0.2">
      <c r="D2957" s="135">
        <v>30.94</v>
      </c>
    </row>
    <row r="2958" spans="4:4" x14ac:dyDescent="0.2">
      <c r="D2958" s="135">
        <v>30.95</v>
      </c>
    </row>
    <row r="2959" spans="4:4" x14ac:dyDescent="0.2">
      <c r="D2959" s="135">
        <v>30.96</v>
      </c>
    </row>
    <row r="2960" spans="4:4" x14ac:dyDescent="0.2">
      <c r="D2960" s="135">
        <v>30.97</v>
      </c>
    </row>
    <row r="2961" spans="4:4" x14ac:dyDescent="0.2">
      <c r="D2961" s="135">
        <v>30.98</v>
      </c>
    </row>
    <row r="2962" spans="4:4" x14ac:dyDescent="0.2">
      <c r="D2962" s="135">
        <v>30.99</v>
      </c>
    </row>
    <row r="2963" spans="4:4" x14ac:dyDescent="0.2">
      <c r="D2963" s="135">
        <v>31</v>
      </c>
    </row>
    <row r="2964" spans="4:4" x14ac:dyDescent="0.2">
      <c r="D2964" s="135">
        <v>31.01</v>
      </c>
    </row>
    <row r="2965" spans="4:4" x14ac:dyDescent="0.2">
      <c r="D2965" s="135">
        <v>31.02</v>
      </c>
    </row>
    <row r="2966" spans="4:4" x14ac:dyDescent="0.2">
      <c r="D2966" s="135">
        <v>31.03</v>
      </c>
    </row>
    <row r="2967" spans="4:4" x14ac:dyDescent="0.2">
      <c r="D2967" s="135">
        <v>31.04</v>
      </c>
    </row>
    <row r="2968" spans="4:4" x14ac:dyDescent="0.2">
      <c r="D2968" s="135">
        <v>31.05</v>
      </c>
    </row>
    <row r="2969" spans="4:4" x14ac:dyDescent="0.2">
      <c r="D2969" s="135">
        <v>31.06</v>
      </c>
    </row>
    <row r="2970" spans="4:4" x14ac:dyDescent="0.2">
      <c r="D2970" s="135">
        <v>31.07</v>
      </c>
    </row>
    <row r="2971" spans="4:4" x14ac:dyDescent="0.2">
      <c r="D2971" s="135">
        <v>31.08</v>
      </c>
    </row>
    <row r="2972" spans="4:4" x14ac:dyDescent="0.2">
      <c r="D2972" s="135">
        <v>31.09</v>
      </c>
    </row>
    <row r="2973" spans="4:4" x14ac:dyDescent="0.2">
      <c r="D2973" s="135">
        <v>31.1</v>
      </c>
    </row>
    <row r="2974" spans="4:4" x14ac:dyDescent="0.2">
      <c r="D2974" s="135">
        <v>31.11</v>
      </c>
    </row>
    <row r="2975" spans="4:4" x14ac:dyDescent="0.2">
      <c r="D2975" s="135">
        <v>31.12</v>
      </c>
    </row>
    <row r="2976" spans="4:4" x14ac:dyDescent="0.2">
      <c r="D2976" s="135">
        <v>31.13</v>
      </c>
    </row>
    <row r="2977" spans="4:4" x14ac:dyDescent="0.2">
      <c r="D2977" s="135">
        <v>31.14</v>
      </c>
    </row>
    <row r="2978" spans="4:4" x14ac:dyDescent="0.2">
      <c r="D2978" s="135">
        <v>31.15</v>
      </c>
    </row>
    <row r="2979" spans="4:4" x14ac:dyDescent="0.2">
      <c r="D2979" s="135">
        <v>31.16</v>
      </c>
    </row>
    <row r="2980" spans="4:4" x14ac:dyDescent="0.2">
      <c r="D2980" s="135">
        <v>31.17</v>
      </c>
    </row>
    <row r="2981" spans="4:4" x14ac:dyDescent="0.2">
      <c r="D2981" s="135">
        <v>31.18</v>
      </c>
    </row>
    <row r="2982" spans="4:4" x14ac:dyDescent="0.2">
      <c r="D2982" s="135">
        <v>31.19</v>
      </c>
    </row>
    <row r="2983" spans="4:4" x14ac:dyDescent="0.2">
      <c r="D2983" s="135">
        <v>31.2</v>
      </c>
    </row>
    <row r="2984" spans="4:4" x14ac:dyDescent="0.2">
      <c r="D2984" s="135">
        <v>31.21</v>
      </c>
    </row>
    <row r="2985" spans="4:4" x14ac:dyDescent="0.2">
      <c r="D2985" s="135">
        <v>31.22</v>
      </c>
    </row>
    <row r="2986" spans="4:4" x14ac:dyDescent="0.2">
      <c r="D2986" s="135">
        <v>31.23</v>
      </c>
    </row>
    <row r="2987" spans="4:4" x14ac:dyDescent="0.2">
      <c r="D2987" s="135">
        <v>31.24</v>
      </c>
    </row>
    <row r="2988" spans="4:4" x14ac:dyDescent="0.2">
      <c r="D2988" s="135">
        <v>31.25</v>
      </c>
    </row>
    <row r="2989" spans="4:4" x14ac:dyDescent="0.2">
      <c r="D2989" s="135">
        <v>31.26</v>
      </c>
    </row>
    <row r="2990" spans="4:4" x14ac:dyDescent="0.2">
      <c r="D2990" s="135">
        <v>31.27</v>
      </c>
    </row>
    <row r="2991" spans="4:4" x14ac:dyDescent="0.2">
      <c r="D2991" s="135">
        <v>31.28</v>
      </c>
    </row>
    <row r="2992" spans="4:4" x14ac:dyDescent="0.2">
      <c r="D2992" s="135">
        <v>31.29</v>
      </c>
    </row>
    <row r="2993" spans="4:4" x14ac:dyDescent="0.2">
      <c r="D2993" s="135">
        <v>31.3</v>
      </c>
    </row>
    <row r="2994" spans="4:4" x14ac:dyDescent="0.2">
      <c r="D2994" s="135">
        <v>31.31</v>
      </c>
    </row>
    <row r="2995" spans="4:4" x14ac:dyDescent="0.2">
      <c r="D2995" s="135">
        <v>31.32</v>
      </c>
    </row>
    <row r="2996" spans="4:4" x14ac:dyDescent="0.2">
      <c r="D2996" s="135">
        <v>31.33</v>
      </c>
    </row>
    <row r="2997" spans="4:4" x14ac:dyDescent="0.2">
      <c r="D2997" s="135">
        <v>31.34</v>
      </c>
    </row>
    <row r="2998" spans="4:4" x14ac:dyDescent="0.2">
      <c r="D2998" s="135">
        <v>31.35</v>
      </c>
    </row>
    <row r="2999" spans="4:4" x14ac:dyDescent="0.2">
      <c r="D2999" s="135">
        <v>31.36</v>
      </c>
    </row>
    <row r="3000" spans="4:4" x14ac:dyDescent="0.2">
      <c r="D3000" s="135">
        <v>31.37</v>
      </c>
    </row>
    <row r="3001" spans="4:4" x14ac:dyDescent="0.2">
      <c r="D3001" s="135">
        <v>31.38</v>
      </c>
    </row>
    <row r="3002" spans="4:4" x14ac:dyDescent="0.2">
      <c r="D3002" s="135">
        <v>31.39</v>
      </c>
    </row>
    <row r="3003" spans="4:4" x14ac:dyDescent="0.2">
      <c r="D3003" s="135">
        <v>31.4</v>
      </c>
    </row>
    <row r="3004" spans="4:4" x14ac:dyDescent="0.2">
      <c r="D3004" s="135">
        <v>31.41</v>
      </c>
    </row>
    <row r="3005" spans="4:4" x14ac:dyDescent="0.2">
      <c r="D3005" s="135">
        <v>31.42</v>
      </c>
    </row>
    <row r="3006" spans="4:4" x14ac:dyDescent="0.2">
      <c r="D3006" s="135">
        <v>31.43</v>
      </c>
    </row>
    <row r="3007" spans="4:4" x14ac:dyDescent="0.2">
      <c r="D3007" s="135">
        <v>31.44</v>
      </c>
    </row>
    <row r="3008" spans="4:4" x14ac:dyDescent="0.2">
      <c r="D3008" s="135">
        <v>31.45</v>
      </c>
    </row>
    <row r="3009" spans="4:4" x14ac:dyDescent="0.2">
      <c r="D3009" s="135">
        <v>31.46</v>
      </c>
    </row>
    <row r="3010" spans="4:4" x14ac:dyDescent="0.2">
      <c r="D3010" s="135">
        <v>31.47</v>
      </c>
    </row>
    <row r="3011" spans="4:4" x14ac:dyDescent="0.2">
      <c r="D3011" s="135">
        <v>31.48</v>
      </c>
    </row>
    <row r="3012" spans="4:4" x14ac:dyDescent="0.2">
      <c r="D3012" s="135">
        <v>31.49</v>
      </c>
    </row>
    <row r="3013" spans="4:4" x14ac:dyDescent="0.2">
      <c r="D3013" s="135">
        <v>31.5</v>
      </c>
    </row>
    <row r="3014" spans="4:4" x14ac:dyDescent="0.2">
      <c r="D3014" s="135">
        <v>31.51</v>
      </c>
    </row>
    <row r="3015" spans="4:4" x14ac:dyDescent="0.2">
      <c r="D3015" s="135">
        <v>31.52</v>
      </c>
    </row>
    <row r="3016" spans="4:4" x14ac:dyDescent="0.2">
      <c r="D3016" s="135">
        <v>31.53</v>
      </c>
    </row>
    <row r="3017" spans="4:4" x14ac:dyDescent="0.2">
      <c r="D3017" s="135">
        <v>31.54</v>
      </c>
    </row>
    <row r="3018" spans="4:4" x14ac:dyDescent="0.2">
      <c r="D3018" s="135">
        <v>31.55</v>
      </c>
    </row>
    <row r="3019" spans="4:4" x14ac:dyDescent="0.2">
      <c r="D3019" s="135">
        <v>31.56</v>
      </c>
    </row>
    <row r="3020" spans="4:4" x14ac:dyDescent="0.2">
      <c r="D3020" s="135">
        <v>31.57</v>
      </c>
    </row>
    <row r="3021" spans="4:4" x14ac:dyDescent="0.2">
      <c r="D3021" s="135">
        <v>31.58</v>
      </c>
    </row>
    <row r="3022" spans="4:4" x14ac:dyDescent="0.2">
      <c r="D3022" s="135">
        <v>31.59</v>
      </c>
    </row>
    <row r="3023" spans="4:4" x14ac:dyDescent="0.2">
      <c r="D3023" s="135">
        <v>31.6</v>
      </c>
    </row>
    <row r="3024" spans="4:4" x14ac:dyDescent="0.2">
      <c r="D3024" s="135">
        <v>31.61</v>
      </c>
    </row>
    <row r="3025" spans="4:4" x14ac:dyDescent="0.2">
      <c r="D3025" s="135">
        <v>31.62</v>
      </c>
    </row>
    <row r="3026" spans="4:4" x14ac:dyDescent="0.2">
      <c r="D3026" s="135">
        <v>31.63</v>
      </c>
    </row>
    <row r="3027" spans="4:4" x14ac:dyDescent="0.2">
      <c r="D3027" s="135">
        <v>31.64</v>
      </c>
    </row>
    <row r="3028" spans="4:4" x14ac:dyDescent="0.2">
      <c r="D3028" s="135">
        <v>31.65</v>
      </c>
    </row>
    <row r="3029" spans="4:4" x14ac:dyDescent="0.2">
      <c r="D3029" s="135">
        <v>31.66</v>
      </c>
    </row>
    <row r="3030" spans="4:4" x14ac:dyDescent="0.2">
      <c r="D3030" s="135">
        <v>31.67</v>
      </c>
    </row>
    <row r="3031" spans="4:4" x14ac:dyDescent="0.2">
      <c r="D3031" s="135">
        <v>31.68</v>
      </c>
    </row>
    <row r="3032" spans="4:4" x14ac:dyDescent="0.2">
      <c r="D3032" s="135">
        <v>31.69</v>
      </c>
    </row>
    <row r="3033" spans="4:4" x14ac:dyDescent="0.2">
      <c r="D3033" s="135">
        <v>31.7</v>
      </c>
    </row>
    <row r="3034" spans="4:4" x14ac:dyDescent="0.2">
      <c r="D3034" s="135">
        <v>31.71</v>
      </c>
    </row>
    <row r="3035" spans="4:4" x14ac:dyDescent="0.2">
      <c r="D3035" s="135">
        <v>31.72</v>
      </c>
    </row>
    <row r="3036" spans="4:4" x14ac:dyDescent="0.2">
      <c r="D3036" s="135">
        <v>31.73</v>
      </c>
    </row>
    <row r="3037" spans="4:4" x14ac:dyDescent="0.2">
      <c r="D3037" s="135">
        <v>31.74</v>
      </c>
    </row>
    <row r="3038" spans="4:4" x14ac:dyDescent="0.2">
      <c r="D3038" s="135">
        <v>31.75</v>
      </c>
    </row>
    <row r="3039" spans="4:4" x14ac:dyDescent="0.2">
      <c r="D3039" s="135">
        <v>31.76</v>
      </c>
    </row>
    <row r="3040" spans="4:4" x14ac:dyDescent="0.2">
      <c r="D3040" s="135">
        <v>31.77</v>
      </c>
    </row>
    <row r="3041" spans="4:4" x14ac:dyDescent="0.2">
      <c r="D3041" s="135">
        <v>31.78</v>
      </c>
    </row>
    <row r="3042" spans="4:4" x14ac:dyDescent="0.2">
      <c r="D3042" s="135">
        <v>31.79</v>
      </c>
    </row>
    <row r="3043" spans="4:4" x14ac:dyDescent="0.2">
      <c r="D3043" s="135">
        <v>31.8</v>
      </c>
    </row>
    <row r="3044" spans="4:4" x14ac:dyDescent="0.2">
      <c r="D3044" s="135">
        <v>31.81</v>
      </c>
    </row>
    <row r="3045" spans="4:4" x14ac:dyDescent="0.2">
      <c r="D3045" s="135">
        <v>31.82</v>
      </c>
    </row>
    <row r="3046" spans="4:4" x14ac:dyDescent="0.2">
      <c r="D3046" s="135">
        <v>31.83</v>
      </c>
    </row>
    <row r="3047" spans="4:4" x14ac:dyDescent="0.2">
      <c r="D3047" s="135">
        <v>31.84</v>
      </c>
    </row>
    <row r="3048" spans="4:4" x14ac:dyDescent="0.2">
      <c r="D3048" s="135">
        <v>31.85</v>
      </c>
    </row>
    <row r="3049" spans="4:4" x14ac:dyDescent="0.2">
      <c r="D3049" s="135">
        <v>31.86</v>
      </c>
    </row>
    <row r="3050" spans="4:4" x14ac:dyDescent="0.2">
      <c r="D3050" s="135">
        <v>31.87</v>
      </c>
    </row>
    <row r="3051" spans="4:4" x14ac:dyDescent="0.2">
      <c r="D3051" s="135">
        <v>31.88</v>
      </c>
    </row>
    <row r="3052" spans="4:4" x14ac:dyDescent="0.2">
      <c r="D3052" s="135">
        <v>31.89</v>
      </c>
    </row>
    <row r="3053" spans="4:4" x14ac:dyDescent="0.2">
      <c r="D3053" s="135">
        <v>31.9</v>
      </c>
    </row>
    <row r="3054" spans="4:4" x14ac:dyDescent="0.2">
      <c r="D3054" s="135">
        <v>31.91</v>
      </c>
    </row>
    <row r="3055" spans="4:4" x14ac:dyDescent="0.2">
      <c r="D3055" s="135">
        <v>31.92</v>
      </c>
    </row>
    <row r="3056" spans="4:4" x14ac:dyDescent="0.2">
      <c r="D3056" s="135">
        <v>31.93</v>
      </c>
    </row>
    <row r="3057" spans="4:4" x14ac:dyDescent="0.2">
      <c r="D3057" s="135">
        <v>31.94</v>
      </c>
    </row>
    <row r="3058" spans="4:4" x14ac:dyDescent="0.2">
      <c r="D3058" s="135">
        <v>31.95</v>
      </c>
    </row>
    <row r="3059" spans="4:4" x14ac:dyDescent="0.2">
      <c r="D3059" s="135">
        <v>31.96</v>
      </c>
    </row>
    <row r="3060" spans="4:4" x14ac:dyDescent="0.2">
      <c r="D3060" s="135">
        <v>31.97</v>
      </c>
    </row>
    <row r="3061" spans="4:4" x14ac:dyDescent="0.2">
      <c r="D3061" s="135">
        <v>31.98</v>
      </c>
    </row>
    <row r="3062" spans="4:4" x14ac:dyDescent="0.2">
      <c r="D3062" s="135">
        <v>31.99</v>
      </c>
    </row>
    <row r="3063" spans="4:4" x14ac:dyDescent="0.2">
      <c r="D3063" s="135">
        <v>32</v>
      </c>
    </row>
    <row r="3064" spans="4:4" x14ac:dyDescent="0.2">
      <c r="D3064" s="135">
        <v>32.01</v>
      </c>
    </row>
    <row r="3065" spans="4:4" x14ac:dyDescent="0.2">
      <c r="D3065" s="135">
        <v>32.020000000000003</v>
      </c>
    </row>
    <row r="3066" spans="4:4" x14ac:dyDescent="0.2">
      <c r="D3066" s="135">
        <v>32.03</v>
      </c>
    </row>
    <row r="3067" spans="4:4" x14ac:dyDescent="0.2">
      <c r="D3067" s="135">
        <v>32.04</v>
      </c>
    </row>
    <row r="3068" spans="4:4" x14ac:dyDescent="0.2">
      <c r="D3068" s="135">
        <v>32.049999999999997</v>
      </c>
    </row>
    <row r="3069" spans="4:4" x14ac:dyDescent="0.2">
      <c r="D3069" s="135">
        <v>32.06</v>
      </c>
    </row>
    <row r="3070" spans="4:4" x14ac:dyDescent="0.2">
      <c r="D3070" s="135">
        <v>32.07</v>
      </c>
    </row>
    <row r="3071" spans="4:4" x14ac:dyDescent="0.2">
      <c r="D3071" s="135">
        <v>32.08</v>
      </c>
    </row>
    <row r="3072" spans="4:4" x14ac:dyDescent="0.2">
      <c r="D3072" s="135">
        <v>32.090000000000003</v>
      </c>
    </row>
    <row r="3073" spans="4:4" x14ac:dyDescent="0.2">
      <c r="D3073" s="135">
        <v>32.1</v>
      </c>
    </row>
    <row r="3074" spans="4:4" x14ac:dyDescent="0.2">
      <c r="D3074" s="135">
        <v>32.11</v>
      </c>
    </row>
    <row r="3075" spans="4:4" x14ac:dyDescent="0.2">
      <c r="D3075" s="135">
        <v>32.119999999999997</v>
      </c>
    </row>
    <row r="3076" spans="4:4" x14ac:dyDescent="0.2">
      <c r="D3076" s="135">
        <v>32.130000000000003</v>
      </c>
    </row>
    <row r="3077" spans="4:4" x14ac:dyDescent="0.2">
      <c r="D3077" s="135">
        <v>32.14</v>
      </c>
    </row>
    <row r="3078" spans="4:4" x14ac:dyDescent="0.2">
      <c r="D3078" s="135">
        <v>32.15</v>
      </c>
    </row>
    <row r="3079" spans="4:4" x14ac:dyDescent="0.2">
      <c r="D3079" s="135">
        <v>32.159999999999997</v>
      </c>
    </row>
    <row r="3080" spans="4:4" x14ac:dyDescent="0.2">
      <c r="D3080" s="135">
        <v>32.17</v>
      </c>
    </row>
    <row r="3081" spans="4:4" x14ac:dyDescent="0.2">
      <c r="D3081" s="135">
        <v>32.18</v>
      </c>
    </row>
    <row r="3082" spans="4:4" x14ac:dyDescent="0.2">
      <c r="D3082" s="135">
        <v>32.19</v>
      </c>
    </row>
    <row r="3083" spans="4:4" x14ac:dyDescent="0.2">
      <c r="D3083" s="135">
        <v>32.200000000000003</v>
      </c>
    </row>
    <row r="3084" spans="4:4" x14ac:dyDescent="0.2">
      <c r="D3084" s="135">
        <v>32.21</v>
      </c>
    </row>
    <row r="3085" spans="4:4" x14ac:dyDescent="0.2">
      <c r="D3085" s="135">
        <v>32.22</v>
      </c>
    </row>
    <row r="3086" spans="4:4" x14ac:dyDescent="0.2">
      <c r="D3086" s="135">
        <v>32.229999999999997</v>
      </c>
    </row>
    <row r="3087" spans="4:4" x14ac:dyDescent="0.2">
      <c r="D3087" s="135">
        <v>32.24</v>
      </c>
    </row>
    <row r="3088" spans="4:4" x14ac:dyDescent="0.2">
      <c r="D3088" s="135">
        <v>32.25</v>
      </c>
    </row>
    <row r="3089" spans="4:4" x14ac:dyDescent="0.2">
      <c r="D3089" s="135">
        <v>32.26</v>
      </c>
    </row>
    <row r="3090" spans="4:4" x14ac:dyDescent="0.2">
      <c r="D3090" s="135">
        <v>32.270000000000003</v>
      </c>
    </row>
    <row r="3091" spans="4:4" x14ac:dyDescent="0.2">
      <c r="D3091" s="135">
        <v>32.28</v>
      </c>
    </row>
    <row r="3092" spans="4:4" x14ac:dyDescent="0.2">
      <c r="D3092" s="135">
        <v>32.29</v>
      </c>
    </row>
    <row r="3093" spans="4:4" x14ac:dyDescent="0.2">
      <c r="D3093" s="135">
        <v>32.299999999999997</v>
      </c>
    </row>
    <row r="3094" spans="4:4" x14ac:dyDescent="0.2">
      <c r="D3094" s="135">
        <v>32.31</v>
      </c>
    </row>
    <row r="3095" spans="4:4" x14ac:dyDescent="0.2">
      <c r="D3095" s="135">
        <v>32.32</v>
      </c>
    </row>
    <row r="3096" spans="4:4" x14ac:dyDescent="0.2">
      <c r="D3096" s="135">
        <v>32.33</v>
      </c>
    </row>
    <row r="3097" spans="4:4" x14ac:dyDescent="0.2">
      <c r="D3097" s="135">
        <v>32.340000000000003</v>
      </c>
    </row>
    <row r="3098" spans="4:4" x14ac:dyDescent="0.2">
      <c r="D3098" s="135">
        <v>32.35</v>
      </c>
    </row>
    <row r="3099" spans="4:4" x14ac:dyDescent="0.2">
      <c r="D3099" s="135">
        <v>32.36</v>
      </c>
    </row>
    <row r="3100" spans="4:4" x14ac:dyDescent="0.2">
      <c r="D3100" s="135">
        <v>32.369999999999997</v>
      </c>
    </row>
    <row r="3101" spans="4:4" x14ac:dyDescent="0.2">
      <c r="D3101" s="135">
        <v>32.380000000000003</v>
      </c>
    </row>
    <row r="3102" spans="4:4" x14ac:dyDescent="0.2">
      <c r="D3102" s="135">
        <v>32.39</v>
      </c>
    </row>
    <row r="3103" spans="4:4" x14ac:dyDescent="0.2">
      <c r="D3103" s="135">
        <v>32.4</v>
      </c>
    </row>
    <row r="3104" spans="4:4" x14ac:dyDescent="0.2">
      <c r="D3104" s="135">
        <v>32.409999999999997</v>
      </c>
    </row>
    <row r="3105" spans="4:4" x14ac:dyDescent="0.2">
      <c r="D3105" s="135">
        <v>32.42</v>
      </c>
    </row>
    <row r="3106" spans="4:4" x14ac:dyDescent="0.2">
      <c r="D3106" s="135">
        <v>32.43</v>
      </c>
    </row>
    <row r="3107" spans="4:4" x14ac:dyDescent="0.2">
      <c r="D3107" s="135">
        <v>32.44</v>
      </c>
    </row>
    <row r="3108" spans="4:4" x14ac:dyDescent="0.2">
      <c r="D3108" s="135">
        <v>32.450000000000003</v>
      </c>
    </row>
    <row r="3109" spans="4:4" x14ac:dyDescent="0.2">
      <c r="D3109" s="135">
        <v>32.46</v>
      </c>
    </row>
    <row r="3110" spans="4:4" x14ac:dyDescent="0.2">
      <c r="D3110" s="135">
        <v>32.47</v>
      </c>
    </row>
    <row r="3111" spans="4:4" x14ac:dyDescent="0.2">
      <c r="D3111" s="135">
        <v>32.479999999999997</v>
      </c>
    </row>
    <row r="3112" spans="4:4" x14ac:dyDescent="0.2">
      <c r="D3112" s="135">
        <v>32.49</v>
      </c>
    </row>
    <row r="3113" spans="4:4" x14ac:dyDescent="0.2">
      <c r="D3113" s="135">
        <v>32.5</v>
      </c>
    </row>
    <row r="3114" spans="4:4" x14ac:dyDescent="0.2">
      <c r="D3114" s="135">
        <v>32.51</v>
      </c>
    </row>
    <row r="3115" spans="4:4" x14ac:dyDescent="0.2">
      <c r="D3115" s="135">
        <v>32.520000000000003</v>
      </c>
    </row>
    <row r="3116" spans="4:4" x14ac:dyDescent="0.2">
      <c r="D3116" s="135">
        <v>32.53</v>
      </c>
    </row>
    <row r="3117" spans="4:4" x14ac:dyDescent="0.2">
      <c r="D3117" s="135">
        <v>32.54</v>
      </c>
    </row>
    <row r="3118" spans="4:4" x14ac:dyDescent="0.2">
      <c r="D3118" s="135">
        <v>32.549999999999997</v>
      </c>
    </row>
    <row r="3119" spans="4:4" x14ac:dyDescent="0.2">
      <c r="D3119" s="135">
        <v>32.56</v>
      </c>
    </row>
    <row r="3120" spans="4:4" x14ac:dyDescent="0.2">
      <c r="D3120" s="135">
        <v>32.57</v>
      </c>
    </row>
    <row r="3121" spans="4:4" x14ac:dyDescent="0.2">
      <c r="D3121" s="135">
        <v>32.58</v>
      </c>
    </row>
    <row r="3122" spans="4:4" x14ac:dyDescent="0.2">
      <c r="D3122" s="135">
        <v>32.590000000000003</v>
      </c>
    </row>
    <row r="3123" spans="4:4" x14ac:dyDescent="0.2">
      <c r="D3123" s="135">
        <v>32.6</v>
      </c>
    </row>
    <row r="3124" spans="4:4" x14ac:dyDescent="0.2">
      <c r="D3124" s="135">
        <v>32.61</v>
      </c>
    </row>
    <row r="3125" spans="4:4" x14ac:dyDescent="0.2">
      <c r="D3125" s="135">
        <v>32.619999999999997</v>
      </c>
    </row>
    <row r="3126" spans="4:4" x14ac:dyDescent="0.2">
      <c r="D3126" s="135">
        <v>32.630000000000003</v>
      </c>
    </row>
    <row r="3127" spans="4:4" x14ac:dyDescent="0.2">
      <c r="D3127" s="135">
        <v>32.64</v>
      </c>
    </row>
    <row r="3128" spans="4:4" x14ac:dyDescent="0.2">
      <c r="D3128" s="135">
        <v>32.65</v>
      </c>
    </row>
    <row r="3129" spans="4:4" x14ac:dyDescent="0.2">
      <c r="D3129" s="135">
        <v>32.659999999999997</v>
      </c>
    </row>
    <row r="3130" spans="4:4" x14ac:dyDescent="0.2">
      <c r="D3130" s="135">
        <v>32.67</v>
      </c>
    </row>
    <row r="3131" spans="4:4" x14ac:dyDescent="0.2">
      <c r="D3131" s="135">
        <v>32.68</v>
      </c>
    </row>
    <row r="3132" spans="4:4" x14ac:dyDescent="0.2">
      <c r="D3132" s="135">
        <v>32.69</v>
      </c>
    </row>
    <row r="3133" spans="4:4" x14ac:dyDescent="0.2">
      <c r="D3133" s="135">
        <v>32.700000000000003</v>
      </c>
    </row>
    <row r="3134" spans="4:4" x14ac:dyDescent="0.2">
      <c r="D3134" s="135">
        <v>32.71</v>
      </c>
    </row>
    <row r="3135" spans="4:4" x14ac:dyDescent="0.2">
      <c r="D3135" s="135">
        <v>32.72</v>
      </c>
    </row>
    <row r="3136" spans="4:4" x14ac:dyDescent="0.2">
      <c r="D3136" s="135">
        <v>32.729999999999997</v>
      </c>
    </row>
    <row r="3137" spans="4:4" x14ac:dyDescent="0.2">
      <c r="D3137" s="135">
        <v>32.74</v>
      </c>
    </row>
    <row r="3138" spans="4:4" x14ac:dyDescent="0.2">
      <c r="D3138" s="135">
        <v>32.75</v>
      </c>
    </row>
    <row r="3139" spans="4:4" x14ac:dyDescent="0.2">
      <c r="D3139" s="135">
        <v>32.76</v>
      </c>
    </row>
    <row r="3140" spans="4:4" x14ac:dyDescent="0.2">
      <c r="D3140" s="135">
        <v>32.770000000000003</v>
      </c>
    </row>
    <row r="3141" spans="4:4" x14ac:dyDescent="0.2">
      <c r="D3141" s="135">
        <v>32.78</v>
      </c>
    </row>
    <row r="3142" spans="4:4" x14ac:dyDescent="0.2">
      <c r="D3142" s="135">
        <v>32.79</v>
      </c>
    </row>
    <row r="3143" spans="4:4" x14ac:dyDescent="0.2">
      <c r="D3143" s="135">
        <v>32.799999999999997</v>
      </c>
    </row>
    <row r="3144" spans="4:4" x14ac:dyDescent="0.2">
      <c r="D3144" s="135">
        <v>32.81</v>
      </c>
    </row>
    <row r="3145" spans="4:4" x14ac:dyDescent="0.2">
      <c r="D3145" s="135">
        <v>32.82</v>
      </c>
    </row>
    <row r="3146" spans="4:4" x14ac:dyDescent="0.2">
      <c r="D3146" s="135">
        <v>32.83</v>
      </c>
    </row>
    <row r="3147" spans="4:4" x14ac:dyDescent="0.2">
      <c r="D3147" s="135">
        <v>32.840000000000003</v>
      </c>
    </row>
    <row r="3148" spans="4:4" x14ac:dyDescent="0.2">
      <c r="D3148" s="135">
        <v>32.85</v>
      </c>
    </row>
    <row r="3149" spans="4:4" x14ac:dyDescent="0.2">
      <c r="D3149" s="135">
        <v>32.86</v>
      </c>
    </row>
    <row r="3150" spans="4:4" x14ac:dyDescent="0.2">
      <c r="D3150" s="135">
        <v>32.869999999999997</v>
      </c>
    </row>
    <row r="3151" spans="4:4" x14ac:dyDescent="0.2">
      <c r="D3151" s="135">
        <v>32.880000000000003</v>
      </c>
    </row>
    <row r="3152" spans="4:4" x14ac:dyDescent="0.2">
      <c r="D3152" s="135">
        <v>32.89</v>
      </c>
    </row>
    <row r="3153" spans="4:4" x14ac:dyDescent="0.2">
      <c r="D3153" s="135">
        <v>32.9</v>
      </c>
    </row>
    <row r="3154" spans="4:4" x14ac:dyDescent="0.2">
      <c r="D3154" s="135">
        <v>32.909999999999997</v>
      </c>
    </row>
    <row r="3155" spans="4:4" x14ac:dyDescent="0.2">
      <c r="D3155" s="135">
        <v>32.92</v>
      </c>
    </row>
    <row r="3156" spans="4:4" x14ac:dyDescent="0.2">
      <c r="D3156" s="135">
        <v>32.93</v>
      </c>
    </row>
    <row r="3157" spans="4:4" x14ac:dyDescent="0.2">
      <c r="D3157" s="135">
        <v>32.94</v>
      </c>
    </row>
    <row r="3158" spans="4:4" x14ac:dyDescent="0.2">
      <c r="D3158" s="135">
        <v>32.950000000000003</v>
      </c>
    </row>
    <row r="3159" spans="4:4" x14ac:dyDescent="0.2">
      <c r="D3159" s="135">
        <v>32.96</v>
      </c>
    </row>
    <row r="3160" spans="4:4" x14ac:dyDescent="0.2">
      <c r="D3160" s="135">
        <v>32.97</v>
      </c>
    </row>
    <row r="3161" spans="4:4" x14ac:dyDescent="0.2">
      <c r="D3161" s="135">
        <v>32.979999999999997</v>
      </c>
    </row>
    <row r="3162" spans="4:4" x14ac:dyDescent="0.2">
      <c r="D3162" s="135">
        <v>32.99</v>
      </c>
    </row>
    <row r="3163" spans="4:4" x14ac:dyDescent="0.2">
      <c r="D3163" s="135">
        <v>33</v>
      </c>
    </row>
    <row r="3164" spans="4:4" x14ac:dyDescent="0.2">
      <c r="D3164" s="135">
        <v>33.01</v>
      </c>
    </row>
    <row r="3165" spans="4:4" x14ac:dyDescent="0.2">
      <c r="D3165" s="135">
        <v>33.020000000000003</v>
      </c>
    </row>
    <row r="3166" spans="4:4" x14ac:dyDescent="0.2">
      <c r="D3166" s="135">
        <v>33.03</v>
      </c>
    </row>
    <row r="3167" spans="4:4" x14ac:dyDescent="0.2">
      <c r="D3167" s="135">
        <v>33.04</v>
      </c>
    </row>
    <row r="3168" spans="4:4" x14ac:dyDescent="0.2">
      <c r="D3168" s="135">
        <v>33.049999999999997</v>
      </c>
    </row>
    <row r="3169" spans="4:4" x14ac:dyDescent="0.2">
      <c r="D3169" s="135">
        <v>33.06</v>
      </c>
    </row>
    <row r="3170" spans="4:4" x14ac:dyDescent="0.2">
      <c r="D3170" s="135">
        <v>33.07</v>
      </c>
    </row>
    <row r="3171" spans="4:4" x14ac:dyDescent="0.2">
      <c r="D3171" s="135">
        <v>33.08</v>
      </c>
    </row>
    <row r="3172" spans="4:4" x14ac:dyDescent="0.2">
      <c r="D3172" s="135">
        <v>33.090000000000003</v>
      </c>
    </row>
    <row r="3173" spans="4:4" x14ac:dyDescent="0.2">
      <c r="D3173" s="135">
        <v>33.1</v>
      </c>
    </row>
    <row r="3174" spans="4:4" x14ac:dyDescent="0.2">
      <c r="D3174" s="135">
        <v>33.11</v>
      </c>
    </row>
    <row r="3175" spans="4:4" x14ac:dyDescent="0.2">
      <c r="D3175" s="135">
        <v>33.119999999999997</v>
      </c>
    </row>
    <row r="3176" spans="4:4" x14ac:dyDescent="0.2">
      <c r="D3176" s="135">
        <v>33.130000000000003</v>
      </c>
    </row>
    <row r="3177" spans="4:4" x14ac:dyDescent="0.2">
      <c r="D3177" s="135">
        <v>33.14</v>
      </c>
    </row>
    <row r="3178" spans="4:4" x14ac:dyDescent="0.2">
      <c r="D3178" s="135">
        <v>33.15</v>
      </c>
    </row>
    <row r="3179" spans="4:4" x14ac:dyDescent="0.2">
      <c r="D3179" s="135">
        <v>33.159999999999997</v>
      </c>
    </row>
    <row r="3180" spans="4:4" x14ac:dyDescent="0.2">
      <c r="D3180" s="135">
        <v>33.17</v>
      </c>
    </row>
    <row r="3181" spans="4:4" x14ac:dyDescent="0.2">
      <c r="D3181" s="135">
        <v>33.18</v>
      </c>
    </row>
    <row r="3182" spans="4:4" x14ac:dyDescent="0.2">
      <c r="D3182" s="135">
        <v>33.19</v>
      </c>
    </row>
    <row r="3183" spans="4:4" x14ac:dyDescent="0.2">
      <c r="D3183" s="135">
        <v>33.200000000000003</v>
      </c>
    </row>
    <row r="3184" spans="4:4" x14ac:dyDescent="0.2">
      <c r="D3184" s="135">
        <v>33.21</v>
      </c>
    </row>
    <row r="3185" spans="4:4" x14ac:dyDescent="0.2">
      <c r="D3185" s="135">
        <v>33.22</v>
      </c>
    </row>
    <row r="3186" spans="4:4" x14ac:dyDescent="0.2">
      <c r="D3186" s="135">
        <v>33.229999999999997</v>
      </c>
    </row>
    <row r="3187" spans="4:4" x14ac:dyDescent="0.2">
      <c r="D3187" s="135">
        <v>33.24</v>
      </c>
    </row>
    <row r="3188" spans="4:4" x14ac:dyDescent="0.2">
      <c r="D3188" s="135">
        <v>33.25</v>
      </c>
    </row>
    <row r="3189" spans="4:4" x14ac:dyDescent="0.2">
      <c r="D3189" s="135">
        <v>33.26</v>
      </c>
    </row>
    <row r="3190" spans="4:4" x14ac:dyDescent="0.2">
      <c r="D3190" s="135">
        <v>33.270000000000003</v>
      </c>
    </row>
    <row r="3191" spans="4:4" x14ac:dyDescent="0.2">
      <c r="D3191" s="135">
        <v>33.28</v>
      </c>
    </row>
    <row r="3192" spans="4:4" x14ac:dyDescent="0.2">
      <c r="D3192" s="135">
        <v>33.29</v>
      </c>
    </row>
    <row r="3193" spans="4:4" x14ac:dyDescent="0.2">
      <c r="D3193" s="135">
        <v>33.299999999999997</v>
      </c>
    </row>
    <row r="3194" spans="4:4" x14ac:dyDescent="0.2">
      <c r="D3194" s="135">
        <v>33.31</v>
      </c>
    </row>
    <row r="3195" spans="4:4" x14ac:dyDescent="0.2">
      <c r="D3195" s="135">
        <v>33.32</v>
      </c>
    </row>
    <row r="3196" spans="4:4" x14ac:dyDescent="0.2">
      <c r="D3196" s="135">
        <v>33.33</v>
      </c>
    </row>
    <row r="3197" spans="4:4" x14ac:dyDescent="0.2">
      <c r="D3197" s="135">
        <v>33.340000000000003</v>
      </c>
    </row>
    <row r="3198" spans="4:4" x14ac:dyDescent="0.2">
      <c r="D3198" s="135">
        <v>33.35</v>
      </c>
    </row>
    <row r="3199" spans="4:4" x14ac:dyDescent="0.2">
      <c r="D3199" s="135">
        <v>33.36</v>
      </c>
    </row>
    <row r="3200" spans="4:4" x14ac:dyDescent="0.2">
      <c r="D3200" s="135">
        <v>33.369999999999997</v>
      </c>
    </row>
    <row r="3201" spans="4:4" x14ac:dyDescent="0.2">
      <c r="D3201" s="135">
        <v>33.380000000000003</v>
      </c>
    </row>
    <row r="3202" spans="4:4" x14ac:dyDescent="0.2">
      <c r="D3202" s="135">
        <v>33.39</v>
      </c>
    </row>
    <row r="3203" spans="4:4" x14ac:dyDescent="0.2">
      <c r="D3203" s="135">
        <v>33.4</v>
      </c>
    </row>
    <row r="3204" spans="4:4" x14ac:dyDescent="0.2">
      <c r="D3204" s="135">
        <v>33.409999999999997</v>
      </c>
    </row>
    <row r="3205" spans="4:4" x14ac:dyDescent="0.2">
      <c r="D3205" s="135">
        <v>33.42</v>
      </c>
    </row>
    <row r="3206" spans="4:4" x14ac:dyDescent="0.2">
      <c r="D3206" s="135">
        <v>33.43</v>
      </c>
    </row>
    <row r="3207" spans="4:4" x14ac:dyDescent="0.2">
      <c r="D3207" s="135">
        <v>33.44</v>
      </c>
    </row>
    <row r="3208" spans="4:4" x14ac:dyDescent="0.2">
      <c r="D3208" s="135">
        <v>33.450000000000003</v>
      </c>
    </row>
    <row r="3209" spans="4:4" x14ac:dyDescent="0.2">
      <c r="D3209" s="135">
        <v>33.46</v>
      </c>
    </row>
    <row r="3210" spans="4:4" x14ac:dyDescent="0.2">
      <c r="D3210" s="135">
        <v>33.47</v>
      </c>
    </row>
    <row r="3211" spans="4:4" x14ac:dyDescent="0.2">
      <c r="D3211" s="135">
        <v>33.479999999999997</v>
      </c>
    </row>
    <row r="3212" spans="4:4" x14ac:dyDescent="0.2">
      <c r="D3212" s="135">
        <v>33.49</v>
      </c>
    </row>
    <row r="3213" spans="4:4" x14ac:dyDescent="0.2">
      <c r="D3213" s="135">
        <v>33.5</v>
      </c>
    </row>
    <row r="3214" spans="4:4" x14ac:dyDescent="0.2">
      <c r="D3214" s="135">
        <v>33.51</v>
      </c>
    </row>
    <row r="3215" spans="4:4" x14ac:dyDescent="0.2">
      <c r="D3215" s="135">
        <v>33.520000000000003</v>
      </c>
    </row>
    <row r="3216" spans="4:4" x14ac:dyDescent="0.2">
      <c r="D3216" s="135">
        <v>33.53</v>
      </c>
    </row>
    <row r="3217" spans="4:4" x14ac:dyDescent="0.2">
      <c r="D3217" s="135">
        <v>33.54</v>
      </c>
    </row>
    <row r="3218" spans="4:4" x14ac:dyDescent="0.2">
      <c r="D3218" s="135">
        <v>33.549999999999997</v>
      </c>
    </row>
    <row r="3219" spans="4:4" x14ac:dyDescent="0.2">
      <c r="D3219" s="135">
        <v>33.56</v>
      </c>
    </row>
    <row r="3220" spans="4:4" x14ac:dyDescent="0.2">
      <c r="D3220" s="135">
        <v>33.57</v>
      </c>
    </row>
    <row r="3221" spans="4:4" x14ac:dyDescent="0.2">
      <c r="D3221" s="135">
        <v>33.58</v>
      </c>
    </row>
    <row r="3222" spans="4:4" x14ac:dyDescent="0.2">
      <c r="D3222" s="135">
        <v>33.590000000000003</v>
      </c>
    </row>
    <row r="3223" spans="4:4" x14ac:dyDescent="0.2">
      <c r="D3223" s="135">
        <v>33.6</v>
      </c>
    </row>
    <row r="3224" spans="4:4" x14ac:dyDescent="0.2">
      <c r="D3224" s="135">
        <v>33.61</v>
      </c>
    </row>
    <row r="3225" spans="4:4" x14ac:dyDescent="0.2">
      <c r="D3225" s="135">
        <v>33.619999999999997</v>
      </c>
    </row>
    <row r="3226" spans="4:4" x14ac:dyDescent="0.2">
      <c r="D3226" s="135">
        <v>33.630000000000003</v>
      </c>
    </row>
    <row r="3227" spans="4:4" x14ac:dyDescent="0.2">
      <c r="D3227" s="135">
        <v>33.64</v>
      </c>
    </row>
    <row r="3228" spans="4:4" x14ac:dyDescent="0.2">
      <c r="D3228" s="135">
        <v>33.65</v>
      </c>
    </row>
    <row r="3229" spans="4:4" x14ac:dyDescent="0.2">
      <c r="D3229" s="135">
        <v>33.659999999999997</v>
      </c>
    </row>
    <row r="3230" spans="4:4" x14ac:dyDescent="0.2">
      <c r="D3230" s="135">
        <v>33.67</v>
      </c>
    </row>
    <row r="3231" spans="4:4" x14ac:dyDescent="0.2">
      <c r="D3231" s="135">
        <v>33.68</v>
      </c>
    </row>
    <row r="3232" spans="4:4" x14ac:dyDescent="0.2">
      <c r="D3232" s="135">
        <v>33.69</v>
      </c>
    </row>
    <row r="3233" spans="4:4" x14ac:dyDescent="0.2">
      <c r="D3233" s="135">
        <v>33.700000000000003</v>
      </c>
    </row>
    <row r="3234" spans="4:4" x14ac:dyDescent="0.2">
      <c r="D3234" s="135">
        <v>33.71</v>
      </c>
    </row>
    <row r="3235" spans="4:4" x14ac:dyDescent="0.2">
      <c r="D3235" s="135">
        <v>33.72</v>
      </c>
    </row>
    <row r="3236" spans="4:4" x14ac:dyDescent="0.2">
      <c r="D3236" s="135">
        <v>33.729999999999997</v>
      </c>
    </row>
    <row r="3237" spans="4:4" x14ac:dyDescent="0.2">
      <c r="D3237" s="135">
        <v>33.74</v>
      </c>
    </row>
    <row r="3238" spans="4:4" x14ac:dyDescent="0.2">
      <c r="D3238" s="135">
        <v>33.75</v>
      </c>
    </row>
    <row r="3239" spans="4:4" x14ac:dyDescent="0.2">
      <c r="D3239" s="135">
        <v>33.76</v>
      </c>
    </row>
    <row r="3240" spans="4:4" x14ac:dyDescent="0.2">
      <c r="D3240" s="135">
        <v>33.770000000000003</v>
      </c>
    </row>
    <row r="3241" spans="4:4" x14ac:dyDescent="0.2">
      <c r="D3241" s="135">
        <v>33.78</v>
      </c>
    </row>
    <row r="3242" spans="4:4" x14ac:dyDescent="0.2">
      <c r="D3242" s="135">
        <v>33.79</v>
      </c>
    </row>
    <row r="3243" spans="4:4" x14ac:dyDescent="0.2">
      <c r="D3243" s="135">
        <v>33.799999999999997</v>
      </c>
    </row>
    <row r="3244" spans="4:4" x14ac:dyDescent="0.2">
      <c r="D3244" s="135">
        <v>33.81</v>
      </c>
    </row>
    <row r="3245" spans="4:4" x14ac:dyDescent="0.2">
      <c r="D3245" s="135">
        <v>33.82</v>
      </c>
    </row>
    <row r="3246" spans="4:4" x14ac:dyDescent="0.2">
      <c r="D3246" s="135">
        <v>33.83</v>
      </c>
    </row>
    <row r="3247" spans="4:4" x14ac:dyDescent="0.2">
      <c r="D3247" s="135">
        <v>33.840000000000003</v>
      </c>
    </row>
    <row r="3248" spans="4:4" x14ac:dyDescent="0.2">
      <c r="D3248" s="135">
        <v>33.85</v>
      </c>
    </row>
    <row r="3249" spans="4:4" x14ac:dyDescent="0.2">
      <c r="D3249" s="135">
        <v>33.86</v>
      </c>
    </row>
    <row r="3250" spans="4:4" x14ac:dyDescent="0.2">
      <c r="D3250" s="135">
        <v>33.869999999999997</v>
      </c>
    </row>
    <row r="3251" spans="4:4" x14ac:dyDescent="0.2">
      <c r="D3251" s="135">
        <v>33.880000000000003</v>
      </c>
    </row>
    <row r="3252" spans="4:4" x14ac:dyDescent="0.2">
      <c r="D3252" s="135">
        <v>33.89</v>
      </c>
    </row>
    <row r="3253" spans="4:4" x14ac:dyDescent="0.2">
      <c r="D3253" s="135">
        <v>33.9</v>
      </c>
    </row>
    <row r="3254" spans="4:4" x14ac:dyDescent="0.2">
      <c r="D3254" s="135">
        <v>33.909999999999997</v>
      </c>
    </row>
    <row r="3255" spans="4:4" x14ac:dyDescent="0.2">
      <c r="D3255" s="135">
        <v>33.92</v>
      </c>
    </row>
    <row r="3256" spans="4:4" x14ac:dyDescent="0.2">
      <c r="D3256" s="135">
        <v>33.93</v>
      </c>
    </row>
    <row r="3257" spans="4:4" x14ac:dyDescent="0.2">
      <c r="D3257" s="135">
        <v>33.94</v>
      </c>
    </row>
    <row r="3258" spans="4:4" x14ac:dyDescent="0.2">
      <c r="D3258" s="135">
        <v>33.950000000000003</v>
      </c>
    </row>
    <row r="3259" spans="4:4" x14ac:dyDescent="0.2">
      <c r="D3259" s="135">
        <v>33.96</v>
      </c>
    </row>
    <row r="3260" spans="4:4" x14ac:dyDescent="0.2">
      <c r="D3260" s="135">
        <v>33.97</v>
      </c>
    </row>
    <row r="3261" spans="4:4" x14ac:dyDescent="0.2">
      <c r="D3261" s="135">
        <v>33.979999999999997</v>
      </c>
    </row>
    <row r="3262" spans="4:4" x14ac:dyDescent="0.2">
      <c r="D3262" s="135">
        <v>33.99</v>
      </c>
    </row>
    <row r="3263" spans="4:4" x14ac:dyDescent="0.2">
      <c r="D3263" s="135">
        <v>34</v>
      </c>
    </row>
    <row r="3264" spans="4:4" x14ac:dyDescent="0.2">
      <c r="D3264" s="135">
        <v>34.01</v>
      </c>
    </row>
    <row r="3265" spans="4:4" x14ac:dyDescent="0.2">
      <c r="D3265" s="135">
        <v>34.020000000000003</v>
      </c>
    </row>
    <row r="3266" spans="4:4" x14ac:dyDescent="0.2">
      <c r="D3266" s="135">
        <v>34.03</v>
      </c>
    </row>
    <row r="3267" spans="4:4" x14ac:dyDescent="0.2">
      <c r="D3267" s="135">
        <v>34.04</v>
      </c>
    </row>
    <row r="3268" spans="4:4" x14ac:dyDescent="0.2">
      <c r="D3268" s="135">
        <v>34.049999999999997</v>
      </c>
    </row>
    <row r="3269" spans="4:4" x14ac:dyDescent="0.2">
      <c r="D3269" s="135">
        <v>34.06</v>
      </c>
    </row>
    <row r="3270" spans="4:4" x14ac:dyDescent="0.2">
      <c r="D3270" s="135">
        <v>34.07</v>
      </c>
    </row>
    <row r="3271" spans="4:4" x14ac:dyDescent="0.2">
      <c r="D3271" s="135">
        <v>34.08</v>
      </c>
    </row>
    <row r="3272" spans="4:4" x14ac:dyDescent="0.2">
      <c r="D3272" s="135">
        <v>34.090000000000003</v>
      </c>
    </row>
    <row r="3273" spans="4:4" x14ac:dyDescent="0.2">
      <c r="D3273" s="135">
        <v>34.1</v>
      </c>
    </row>
    <row r="3274" spans="4:4" x14ac:dyDescent="0.2">
      <c r="D3274" s="135">
        <v>34.11</v>
      </c>
    </row>
    <row r="3275" spans="4:4" x14ac:dyDescent="0.2">
      <c r="D3275" s="135">
        <v>34.119999999999997</v>
      </c>
    </row>
    <row r="3276" spans="4:4" x14ac:dyDescent="0.2">
      <c r="D3276" s="135">
        <v>34.130000000000003</v>
      </c>
    </row>
    <row r="3277" spans="4:4" x14ac:dyDescent="0.2">
      <c r="D3277" s="135">
        <v>34.14</v>
      </c>
    </row>
    <row r="3278" spans="4:4" x14ac:dyDescent="0.2">
      <c r="D3278" s="135">
        <v>34.15</v>
      </c>
    </row>
    <row r="3279" spans="4:4" x14ac:dyDescent="0.2">
      <c r="D3279" s="135">
        <v>34.159999999999997</v>
      </c>
    </row>
    <row r="3280" spans="4:4" x14ac:dyDescent="0.2">
      <c r="D3280" s="135">
        <v>34.17</v>
      </c>
    </row>
    <row r="3281" spans="4:4" x14ac:dyDescent="0.2">
      <c r="D3281" s="135">
        <v>34.18</v>
      </c>
    </row>
    <row r="3282" spans="4:4" x14ac:dyDescent="0.2">
      <c r="D3282" s="135">
        <v>34.19</v>
      </c>
    </row>
    <row r="3283" spans="4:4" x14ac:dyDescent="0.2">
      <c r="D3283" s="135">
        <v>34.200000000000003</v>
      </c>
    </row>
    <row r="3284" spans="4:4" x14ac:dyDescent="0.2">
      <c r="D3284" s="135">
        <v>34.21</v>
      </c>
    </row>
    <row r="3285" spans="4:4" x14ac:dyDescent="0.2">
      <c r="D3285" s="135">
        <v>34.22</v>
      </c>
    </row>
    <row r="3286" spans="4:4" x14ac:dyDescent="0.2">
      <c r="D3286" s="135">
        <v>34.229999999999997</v>
      </c>
    </row>
    <row r="3287" spans="4:4" x14ac:dyDescent="0.2">
      <c r="D3287" s="135">
        <v>34.24</v>
      </c>
    </row>
    <row r="3288" spans="4:4" x14ac:dyDescent="0.2">
      <c r="D3288" s="135">
        <v>34.25</v>
      </c>
    </row>
    <row r="3289" spans="4:4" x14ac:dyDescent="0.2">
      <c r="D3289" s="135">
        <v>34.26</v>
      </c>
    </row>
    <row r="3290" spans="4:4" x14ac:dyDescent="0.2">
      <c r="D3290" s="135">
        <v>34.270000000000003</v>
      </c>
    </row>
    <row r="3291" spans="4:4" x14ac:dyDescent="0.2">
      <c r="D3291" s="135">
        <v>34.28</v>
      </c>
    </row>
    <row r="3292" spans="4:4" x14ac:dyDescent="0.2">
      <c r="D3292" s="135">
        <v>34.29</v>
      </c>
    </row>
    <row r="3293" spans="4:4" x14ac:dyDescent="0.2">
      <c r="D3293" s="135">
        <v>34.299999999999997</v>
      </c>
    </row>
    <row r="3294" spans="4:4" x14ac:dyDescent="0.2">
      <c r="D3294" s="135">
        <v>34.31</v>
      </c>
    </row>
    <row r="3295" spans="4:4" x14ac:dyDescent="0.2">
      <c r="D3295" s="135">
        <v>34.32</v>
      </c>
    </row>
    <row r="3296" spans="4:4" x14ac:dyDescent="0.2">
      <c r="D3296" s="135">
        <v>34.33</v>
      </c>
    </row>
    <row r="3297" spans="4:4" x14ac:dyDescent="0.2">
      <c r="D3297" s="135">
        <v>34.340000000000003</v>
      </c>
    </row>
    <row r="3298" spans="4:4" x14ac:dyDescent="0.2">
      <c r="D3298" s="135">
        <v>34.35</v>
      </c>
    </row>
    <row r="3299" spans="4:4" x14ac:dyDescent="0.2">
      <c r="D3299" s="135">
        <v>34.36</v>
      </c>
    </row>
    <row r="3300" spans="4:4" x14ac:dyDescent="0.2">
      <c r="D3300" s="135">
        <v>34.369999999999997</v>
      </c>
    </row>
    <row r="3301" spans="4:4" x14ac:dyDescent="0.2">
      <c r="D3301" s="135">
        <v>34.380000000000003</v>
      </c>
    </row>
    <row r="3302" spans="4:4" x14ac:dyDescent="0.2">
      <c r="D3302" s="135">
        <v>34.39</v>
      </c>
    </row>
    <row r="3303" spans="4:4" x14ac:dyDescent="0.2">
      <c r="D3303" s="135">
        <v>34.4</v>
      </c>
    </row>
    <row r="3304" spans="4:4" x14ac:dyDescent="0.2">
      <c r="D3304" s="135">
        <v>34.409999999999997</v>
      </c>
    </row>
    <row r="3305" spans="4:4" x14ac:dyDescent="0.2">
      <c r="D3305" s="135">
        <v>34.42</v>
      </c>
    </row>
    <row r="3306" spans="4:4" x14ac:dyDescent="0.2">
      <c r="D3306" s="135">
        <v>34.43</v>
      </c>
    </row>
    <row r="3307" spans="4:4" x14ac:dyDescent="0.2">
      <c r="D3307" s="135">
        <v>34.44</v>
      </c>
    </row>
    <row r="3308" spans="4:4" x14ac:dyDescent="0.2">
      <c r="D3308" s="135">
        <v>34.450000000000003</v>
      </c>
    </row>
    <row r="3309" spans="4:4" x14ac:dyDescent="0.2">
      <c r="D3309" s="135">
        <v>34.46</v>
      </c>
    </row>
    <row r="3310" spans="4:4" x14ac:dyDescent="0.2">
      <c r="D3310" s="135">
        <v>34.47</v>
      </c>
    </row>
    <row r="3311" spans="4:4" x14ac:dyDescent="0.2">
      <c r="D3311" s="135">
        <v>34.479999999999997</v>
      </c>
    </row>
    <row r="3312" spans="4:4" x14ac:dyDescent="0.2">
      <c r="D3312" s="135">
        <v>34.49</v>
      </c>
    </row>
    <row r="3313" spans="4:4" x14ac:dyDescent="0.2">
      <c r="D3313" s="135">
        <v>34.5</v>
      </c>
    </row>
    <row r="3314" spans="4:4" x14ac:dyDescent="0.2">
      <c r="D3314" s="135">
        <v>34.51</v>
      </c>
    </row>
    <row r="3315" spans="4:4" x14ac:dyDescent="0.2">
      <c r="D3315" s="135">
        <v>34.520000000000003</v>
      </c>
    </row>
    <row r="3316" spans="4:4" x14ac:dyDescent="0.2">
      <c r="D3316" s="135">
        <v>34.53</v>
      </c>
    </row>
    <row r="3317" spans="4:4" x14ac:dyDescent="0.2">
      <c r="D3317" s="135">
        <v>34.54</v>
      </c>
    </row>
    <row r="3318" spans="4:4" x14ac:dyDescent="0.2">
      <c r="D3318" s="135">
        <v>34.549999999999997</v>
      </c>
    </row>
    <row r="3319" spans="4:4" x14ac:dyDescent="0.2">
      <c r="D3319" s="135">
        <v>34.56</v>
      </c>
    </row>
    <row r="3320" spans="4:4" x14ac:dyDescent="0.2">
      <c r="D3320" s="135">
        <v>34.57</v>
      </c>
    </row>
    <row r="3321" spans="4:4" x14ac:dyDescent="0.2">
      <c r="D3321" s="135">
        <v>34.58</v>
      </c>
    </row>
    <row r="3322" spans="4:4" x14ac:dyDescent="0.2">
      <c r="D3322" s="135">
        <v>34.590000000000003</v>
      </c>
    </row>
    <row r="3323" spans="4:4" x14ac:dyDescent="0.2">
      <c r="D3323" s="135">
        <v>34.6</v>
      </c>
    </row>
    <row r="3324" spans="4:4" x14ac:dyDescent="0.2">
      <c r="D3324" s="135">
        <v>34.61</v>
      </c>
    </row>
    <row r="3325" spans="4:4" x14ac:dyDescent="0.2">
      <c r="D3325" s="135">
        <v>34.619999999999997</v>
      </c>
    </row>
    <row r="3326" spans="4:4" x14ac:dyDescent="0.2">
      <c r="D3326" s="135">
        <v>34.630000000000003</v>
      </c>
    </row>
    <row r="3327" spans="4:4" x14ac:dyDescent="0.2">
      <c r="D3327" s="135">
        <v>34.64</v>
      </c>
    </row>
    <row r="3328" spans="4:4" x14ac:dyDescent="0.2">
      <c r="D3328" s="135">
        <v>34.65</v>
      </c>
    </row>
    <row r="3329" spans="4:4" x14ac:dyDescent="0.2">
      <c r="D3329" s="135">
        <v>34.659999999999997</v>
      </c>
    </row>
    <row r="3330" spans="4:4" x14ac:dyDescent="0.2">
      <c r="D3330" s="135">
        <v>34.67</v>
      </c>
    </row>
    <row r="3331" spans="4:4" x14ac:dyDescent="0.2">
      <c r="D3331" s="135">
        <v>34.68</v>
      </c>
    </row>
    <row r="3332" spans="4:4" x14ac:dyDescent="0.2">
      <c r="D3332" s="135">
        <v>34.69</v>
      </c>
    </row>
    <row r="3333" spans="4:4" x14ac:dyDescent="0.2">
      <c r="D3333" s="135">
        <v>34.700000000000003</v>
      </c>
    </row>
    <row r="3334" spans="4:4" x14ac:dyDescent="0.2">
      <c r="D3334" s="135">
        <v>34.71</v>
      </c>
    </row>
    <row r="3335" spans="4:4" x14ac:dyDescent="0.2">
      <c r="D3335" s="135">
        <v>34.72</v>
      </c>
    </row>
    <row r="3336" spans="4:4" x14ac:dyDescent="0.2">
      <c r="D3336" s="135">
        <v>34.729999999999997</v>
      </c>
    </row>
    <row r="3337" spans="4:4" x14ac:dyDescent="0.2">
      <c r="D3337" s="135">
        <v>34.74</v>
      </c>
    </row>
    <row r="3338" spans="4:4" x14ac:dyDescent="0.2">
      <c r="D3338" s="135">
        <v>34.75</v>
      </c>
    </row>
    <row r="3339" spans="4:4" x14ac:dyDescent="0.2">
      <c r="D3339" s="135">
        <v>34.76</v>
      </c>
    </row>
    <row r="3340" spans="4:4" x14ac:dyDescent="0.2">
      <c r="D3340" s="135">
        <v>34.770000000000003</v>
      </c>
    </row>
    <row r="3341" spans="4:4" x14ac:dyDescent="0.2">
      <c r="D3341" s="135">
        <v>34.78</v>
      </c>
    </row>
    <row r="3342" spans="4:4" x14ac:dyDescent="0.2">
      <c r="D3342" s="135">
        <v>34.79</v>
      </c>
    </row>
    <row r="3343" spans="4:4" x14ac:dyDescent="0.2">
      <c r="D3343" s="135">
        <v>34.799999999999997</v>
      </c>
    </row>
    <row r="3344" spans="4:4" x14ac:dyDescent="0.2">
      <c r="D3344" s="135">
        <v>34.81</v>
      </c>
    </row>
    <row r="3345" spans="4:4" x14ac:dyDescent="0.2">
      <c r="D3345" s="135">
        <v>34.82</v>
      </c>
    </row>
    <row r="3346" spans="4:4" x14ac:dyDescent="0.2">
      <c r="D3346" s="135">
        <v>34.83</v>
      </c>
    </row>
    <row r="3347" spans="4:4" x14ac:dyDescent="0.2">
      <c r="D3347" s="135">
        <v>34.840000000000003</v>
      </c>
    </row>
    <row r="3348" spans="4:4" x14ac:dyDescent="0.2">
      <c r="D3348" s="135">
        <v>34.85</v>
      </c>
    </row>
    <row r="3349" spans="4:4" x14ac:dyDescent="0.2">
      <c r="D3349" s="135">
        <v>34.86</v>
      </c>
    </row>
    <row r="3350" spans="4:4" x14ac:dyDescent="0.2">
      <c r="D3350" s="135">
        <v>34.869999999999997</v>
      </c>
    </row>
    <row r="3351" spans="4:4" x14ac:dyDescent="0.2">
      <c r="D3351" s="135">
        <v>34.880000000000003</v>
      </c>
    </row>
    <row r="3352" spans="4:4" x14ac:dyDescent="0.2">
      <c r="D3352" s="135">
        <v>34.89</v>
      </c>
    </row>
    <row r="3353" spans="4:4" x14ac:dyDescent="0.2">
      <c r="D3353" s="135">
        <v>34.9</v>
      </c>
    </row>
    <row r="3354" spans="4:4" x14ac:dyDescent="0.2">
      <c r="D3354" s="135">
        <v>34.909999999999997</v>
      </c>
    </row>
    <row r="3355" spans="4:4" x14ac:dyDescent="0.2">
      <c r="D3355" s="135">
        <v>34.92</v>
      </c>
    </row>
    <row r="3356" spans="4:4" x14ac:dyDescent="0.2">
      <c r="D3356" s="135">
        <v>34.93</v>
      </c>
    </row>
    <row r="3357" spans="4:4" x14ac:dyDescent="0.2">
      <c r="D3357" s="135">
        <v>34.94</v>
      </c>
    </row>
    <row r="3358" spans="4:4" x14ac:dyDescent="0.2">
      <c r="D3358" s="135">
        <v>34.950000000000003</v>
      </c>
    </row>
    <row r="3359" spans="4:4" x14ac:dyDescent="0.2">
      <c r="D3359" s="135">
        <v>34.96</v>
      </c>
    </row>
    <row r="3360" spans="4:4" x14ac:dyDescent="0.2">
      <c r="D3360" s="135">
        <v>34.97</v>
      </c>
    </row>
    <row r="3361" spans="4:4" x14ac:dyDescent="0.2">
      <c r="D3361" s="135">
        <v>34.979999999999997</v>
      </c>
    </row>
    <row r="3362" spans="4:4" x14ac:dyDescent="0.2">
      <c r="D3362" s="135">
        <v>34.99</v>
      </c>
    </row>
    <row r="3363" spans="4:4" x14ac:dyDescent="0.2">
      <c r="D3363" s="135">
        <v>35</v>
      </c>
    </row>
    <row r="3364" spans="4:4" x14ac:dyDescent="0.2">
      <c r="D3364" s="135">
        <v>35.01</v>
      </c>
    </row>
    <row r="3365" spans="4:4" x14ac:dyDescent="0.2">
      <c r="D3365" s="135">
        <v>35.020000000000003</v>
      </c>
    </row>
    <row r="3366" spans="4:4" x14ac:dyDescent="0.2">
      <c r="D3366" s="135">
        <v>35.03</v>
      </c>
    </row>
    <row r="3367" spans="4:4" x14ac:dyDescent="0.2">
      <c r="D3367" s="135">
        <v>35.04</v>
      </c>
    </row>
    <row r="3368" spans="4:4" x14ac:dyDescent="0.2">
      <c r="D3368" s="135">
        <v>35.049999999999997</v>
      </c>
    </row>
    <row r="3369" spans="4:4" x14ac:dyDescent="0.2">
      <c r="D3369" s="135">
        <v>35.06</v>
      </c>
    </row>
    <row r="3370" spans="4:4" x14ac:dyDescent="0.2">
      <c r="D3370" s="135">
        <v>35.07</v>
      </c>
    </row>
    <row r="3371" spans="4:4" x14ac:dyDescent="0.2">
      <c r="D3371" s="135">
        <v>35.08</v>
      </c>
    </row>
    <row r="3372" spans="4:4" x14ac:dyDescent="0.2">
      <c r="D3372" s="135">
        <v>35.090000000000003</v>
      </c>
    </row>
    <row r="3373" spans="4:4" x14ac:dyDescent="0.2">
      <c r="D3373" s="135">
        <v>35.1</v>
      </c>
    </row>
    <row r="3374" spans="4:4" x14ac:dyDescent="0.2">
      <c r="D3374" s="135">
        <v>35.11</v>
      </c>
    </row>
    <row r="3375" spans="4:4" x14ac:dyDescent="0.2">
      <c r="D3375" s="135">
        <v>35.119999999999997</v>
      </c>
    </row>
    <row r="3376" spans="4:4" x14ac:dyDescent="0.2">
      <c r="D3376" s="135">
        <v>35.130000000000003</v>
      </c>
    </row>
    <row r="3377" spans="4:4" x14ac:dyDescent="0.2">
      <c r="D3377" s="135">
        <v>35.14</v>
      </c>
    </row>
    <row r="3378" spans="4:4" x14ac:dyDescent="0.2">
      <c r="D3378" s="135">
        <v>35.15</v>
      </c>
    </row>
    <row r="3379" spans="4:4" x14ac:dyDescent="0.2">
      <c r="D3379" s="135">
        <v>35.159999999999997</v>
      </c>
    </row>
    <row r="3380" spans="4:4" x14ac:dyDescent="0.2">
      <c r="D3380" s="135">
        <v>35.17</v>
      </c>
    </row>
    <row r="3381" spans="4:4" x14ac:dyDescent="0.2">
      <c r="D3381" s="135">
        <v>35.18</v>
      </c>
    </row>
    <row r="3382" spans="4:4" x14ac:dyDescent="0.2">
      <c r="D3382" s="135">
        <v>35.19</v>
      </c>
    </row>
    <row r="3383" spans="4:4" x14ac:dyDescent="0.2">
      <c r="D3383" s="135">
        <v>35.200000000000003</v>
      </c>
    </row>
    <row r="3384" spans="4:4" x14ac:dyDescent="0.2">
      <c r="D3384" s="135">
        <v>35.21</v>
      </c>
    </row>
    <row r="3385" spans="4:4" x14ac:dyDescent="0.2">
      <c r="D3385" s="135">
        <v>35.22</v>
      </c>
    </row>
    <row r="3386" spans="4:4" x14ac:dyDescent="0.2">
      <c r="D3386" s="135">
        <v>35.229999999999997</v>
      </c>
    </row>
    <row r="3387" spans="4:4" x14ac:dyDescent="0.2">
      <c r="D3387" s="135">
        <v>35.24</v>
      </c>
    </row>
    <row r="3388" spans="4:4" x14ac:dyDescent="0.2">
      <c r="D3388" s="135">
        <v>35.25</v>
      </c>
    </row>
    <row r="3389" spans="4:4" x14ac:dyDescent="0.2">
      <c r="D3389" s="135">
        <v>35.26</v>
      </c>
    </row>
    <row r="3390" spans="4:4" x14ac:dyDescent="0.2">
      <c r="D3390" s="135">
        <v>35.270000000000003</v>
      </c>
    </row>
    <row r="3391" spans="4:4" x14ac:dyDescent="0.2">
      <c r="D3391" s="135">
        <v>35.28</v>
      </c>
    </row>
    <row r="3392" spans="4:4" x14ac:dyDescent="0.2">
      <c r="D3392" s="135">
        <v>35.29</v>
      </c>
    </row>
    <row r="3393" spans="4:4" x14ac:dyDescent="0.2">
      <c r="D3393" s="135">
        <v>35.299999999999997</v>
      </c>
    </row>
    <row r="3394" spans="4:4" x14ac:dyDescent="0.2">
      <c r="D3394" s="135">
        <v>35.31</v>
      </c>
    </row>
    <row r="3395" spans="4:4" x14ac:dyDescent="0.2">
      <c r="D3395" s="135">
        <v>35.32</v>
      </c>
    </row>
    <row r="3396" spans="4:4" x14ac:dyDescent="0.2">
      <c r="D3396" s="135">
        <v>35.33</v>
      </c>
    </row>
    <row r="3397" spans="4:4" x14ac:dyDescent="0.2">
      <c r="D3397" s="135">
        <v>35.340000000000003</v>
      </c>
    </row>
    <row r="3398" spans="4:4" x14ac:dyDescent="0.2">
      <c r="D3398" s="135">
        <v>35.35</v>
      </c>
    </row>
    <row r="3399" spans="4:4" x14ac:dyDescent="0.2">
      <c r="D3399" s="135">
        <v>35.36</v>
      </c>
    </row>
    <row r="3400" spans="4:4" x14ac:dyDescent="0.2">
      <c r="D3400" s="135">
        <v>35.369999999999997</v>
      </c>
    </row>
    <row r="3401" spans="4:4" x14ac:dyDescent="0.2">
      <c r="D3401" s="135">
        <v>35.380000000000003</v>
      </c>
    </row>
    <row r="3402" spans="4:4" x14ac:dyDescent="0.2">
      <c r="D3402" s="135">
        <v>35.39</v>
      </c>
    </row>
    <row r="3403" spans="4:4" x14ac:dyDescent="0.2">
      <c r="D3403" s="135">
        <v>35.4</v>
      </c>
    </row>
    <row r="3404" spans="4:4" x14ac:dyDescent="0.2">
      <c r="D3404" s="135">
        <v>35.409999999999997</v>
      </c>
    </row>
    <row r="3405" spans="4:4" x14ac:dyDescent="0.2">
      <c r="D3405" s="135">
        <v>35.42</v>
      </c>
    </row>
    <row r="3406" spans="4:4" x14ac:dyDescent="0.2">
      <c r="D3406" s="135">
        <v>35.43</v>
      </c>
    </row>
    <row r="3407" spans="4:4" x14ac:dyDescent="0.2">
      <c r="D3407" s="135">
        <v>35.44</v>
      </c>
    </row>
    <row r="3408" spans="4:4" x14ac:dyDescent="0.2">
      <c r="D3408" s="135">
        <v>35.450000000000003</v>
      </c>
    </row>
    <row r="3409" spans="4:4" x14ac:dyDescent="0.2">
      <c r="D3409" s="135">
        <v>35.46</v>
      </c>
    </row>
    <row r="3410" spans="4:4" x14ac:dyDescent="0.2">
      <c r="D3410" s="135">
        <v>35.47</v>
      </c>
    </row>
    <row r="3411" spans="4:4" x14ac:dyDescent="0.2">
      <c r="D3411" s="135">
        <v>35.479999999999997</v>
      </c>
    </row>
    <row r="3412" spans="4:4" x14ac:dyDescent="0.2">
      <c r="D3412" s="135">
        <v>35.49</v>
      </c>
    </row>
    <row r="3413" spans="4:4" x14ac:dyDescent="0.2">
      <c r="D3413" s="135">
        <v>35.5</v>
      </c>
    </row>
    <row r="3414" spans="4:4" x14ac:dyDescent="0.2">
      <c r="D3414" s="135">
        <v>35.51</v>
      </c>
    </row>
    <row r="3415" spans="4:4" x14ac:dyDescent="0.2">
      <c r="D3415" s="135">
        <v>35.520000000000003</v>
      </c>
    </row>
    <row r="3416" spans="4:4" x14ac:dyDescent="0.2">
      <c r="D3416" s="135">
        <v>35.53</v>
      </c>
    </row>
    <row r="3417" spans="4:4" x14ac:dyDescent="0.2">
      <c r="D3417" s="135">
        <v>35.54</v>
      </c>
    </row>
    <row r="3418" spans="4:4" x14ac:dyDescent="0.2">
      <c r="D3418" s="135">
        <v>35.549999999999997</v>
      </c>
    </row>
    <row r="3419" spans="4:4" x14ac:dyDescent="0.2">
      <c r="D3419" s="135">
        <v>35.56</v>
      </c>
    </row>
    <row r="3420" spans="4:4" x14ac:dyDescent="0.2">
      <c r="D3420" s="135">
        <v>35.57</v>
      </c>
    </row>
    <row r="3421" spans="4:4" x14ac:dyDescent="0.2">
      <c r="D3421" s="135">
        <v>35.58</v>
      </c>
    </row>
    <row r="3422" spans="4:4" x14ac:dyDescent="0.2">
      <c r="D3422" s="135">
        <v>35.590000000000003</v>
      </c>
    </row>
    <row r="3423" spans="4:4" x14ac:dyDescent="0.2">
      <c r="D3423" s="135">
        <v>35.6</v>
      </c>
    </row>
    <row r="3424" spans="4:4" x14ac:dyDescent="0.2">
      <c r="D3424" s="135">
        <v>35.61</v>
      </c>
    </row>
    <row r="3425" spans="4:4" x14ac:dyDescent="0.2">
      <c r="D3425" s="135">
        <v>35.619999999999997</v>
      </c>
    </row>
    <row r="3426" spans="4:4" x14ac:dyDescent="0.2">
      <c r="D3426" s="135">
        <v>35.630000000000003</v>
      </c>
    </row>
    <row r="3427" spans="4:4" x14ac:dyDescent="0.2">
      <c r="D3427" s="135">
        <v>35.64</v>
      </c>
    </row>
    <row r="3428" spans="4:4" x14ac:dyDescent="0.2">
      <c r="D3428" s="135">
        <v>35.65</v>
      </c>
    </row>
    <row r="3429" spans="4:4" x14ac:dyDescent="0.2">
      <c r="D3429" s="135">
        <v>35.659999999999997</v>
      </c>
    </row>
    <row r="3430" spans="4:4" x14ac:dyDescent="0.2">
      <c r="D3430" s="135">
        <v>35.67</v>
      </c>
    </row>
    <row r="3431" spans="4:4" x14ac:dyDescent="0.2">
      <c r="D3431" s="135">
        <v>35.68</v>
      </c>
    </row>
    <row r="3432" spans="4:4" x14ac:dyDescent="0.2">
      <c r="D3432" s="135">
        <v>35.69</v>
      </c>
    </row>
    <row r="3433" spans="4:4" x14ac:dyDescent="0.2">
      <c r="D3433" s="135">
        <v>35.700000000000003</v>
      </c>
    </row>
    <row r="3434" spans="4:4" x14ac:dyDescent="0.2">
      <c r="D3434" s="135">
        <v>35.71</v>
      </c>
    </row>
    <row r="3435" spans="4:4" x14ac:dyDescent="0.2">
      <c r="D3435" s="135">
        <v>35.72</v>
      </c>
    </row>
    <row r="3436" spans="4:4" x14ac:dyDescent="0.2">
      <c r="D3436" s="135">
        <v>35.729999999999997</v>
      </c>
    </row>
    <row r="3437" spans="4:4" x14ac:dyDescent="0.2">
      <c r="D3437" s="135">
        <v>35.74</v>
      </c>
    </row>
    <row r="3438" spans="4:4" x14ac:dyDescent="0.2">
      <c r="D3438" s="135">
        <v>35.75</v>
      </c>
    </row>
    <row r="3439" spans="4:4" x14ac:dyDescent="0.2">
      <c r="D3439" s="135">
        <v>35.76</v>
      </c>
    </row>
    <row r="3440" spans="4:4" x14ac:dyDescent="0.2">
      <c r="D3440" s="135">
        <v>35.770000000000003</v>
      </c>
    </row>
    <row r="3441" spans="4:4" x14ac:dyDescent="0.2">
      <c r="D3441" s="135">
        <v>35.78</v>
      </c>
    </row>
    <row r="3442" spans="4:4" x14ac:dyDescent="0.2">
      <c r="D3442" s="135">
        <v>35.79</v>
      </c>
    </row>
    <row r="3443" spans="4:4" x14ac:dyDescent="0.2">
      <c r="D3443" s="135">
        <v>35.799999999999997</v>
      </c>
    </row>
    <row r="3444" spans="4:4" x14ac:dyDescent="0.2">
      <c r="D3444" s="135">
        <v>35.81</v>
      </c>
    </row>
    <row r="3445" spans="4:4" x14ac:dyDescent="0.2">
      <c r="D3445" s="135">
        <v>35.82</v>
      </c>
    </row>
    <row r="3446" spans="4:4" x14ac:dyDescent="0.2">
      <c r="D3446" s="135">
        <v>35.83</v>
      </c>
    </row>
    <row r="3447" spans="4:4" x14ac:dyDescent="0.2">
      <c r="D3447" s="135">
        <v>35.840000000000003</v>
      </c>
    </row>
    <row r="3448" spans="4:4" x14ac:dyDescent="0.2">
      <c r="D3448" s="135">
        <v>35.85</v>
      </c>
    </row>
    <row r="3449" spans="4:4" x14ac:dyDescent="0.2">
      <c r="D3449" s="135">
        <v>35.86</v>
      </c>
    </row>
    <row r="3450" spans="4:4" x14ac:dyDescent="0.2">
      <c r="D3450" s="135">
        <v>35.869999999999997</v>
      </c>
    </row>
    <row r="3451" spans="4:4" x14ac:dyDescent="0.2">
      <c r="D3451" s="135">
        <v>35.880000000000003</v>
      </c>
    </row>
    <row r="3452" spans="4:4" x14ac:dyDescent="0.2">
      <c r="D3452" s="135">
        <v>35.89</v>
      </c>
    </row>
    <row r="3453" spans="4:4" x14ac:dyDescent="0.2">
      <c r="D3453" s="135">
        <v>35.9</v>
      </c>
    </row>
    <row r="3454" spans="4:4" x14ac:dyDescent="0.2">
      <c r="D3454" s="135">
        <v>35.909999999999997</v>
      </c>
    </row>
    <row r="3455" spans="4:4" x14ac:dyDescent="0.2">
      <c r="D3455" s="135">
        <v>35.92</v>
      </c>
    </row>
    <row r="3456" spans="4:4" x14ac:dyDescent="0.2">
      <c r="D3456" s="135">
        <v>35.93</v>
      </c>
    </row>
    <row r="3457" spans="4:4" x14ac:dyDescent="0.2">
      <c r="D3457" s="135">
        <v>35.94</v>
      </c>
    </row>
    <row r="3458" spans="4:4" x14ac:dyDescent="0.2">
      <c r="D3458" s="135">
        <v>35.950000000000003</v>
      </c>
    </row>
    <row r="3459" spans="4:4" x14ac:dyDescent="0.2">
      <c r="D3459" s="135">
        <v>35.96</v>
      </c>
    </row>
    <row r="3460" spans="4:4" x14ac:dyDescent="0.2">
      <c r="D3460" s="135">
        <v>35.97</v>
      </c>
    </row>
    <row r="3461" spans="4:4" x14ac:dyDescent="0.2">
      <c r="D3461" s="135">
        <v>35.979999999999997</v>
      </c>
    </row>
    <row r="3462" spans="4:4" x14ac:dyDescent="0.2">
      <c r="D3462" s="135">
        <v>35.99</v>
      </c>
    </row>
    <row r="3463" spans="4:4" x14ac:dyDescent="0.2">
      <c r="D3463" s="135">
        <v>36</v>
      </c>
    </row>
    <row r="3464" spans="4:4" x14ac:dyDescent="0.2">
      <c r="D3464" s="135">
        <v>36.01</v>
      </c>
    </row>
    <row r="3465" spans="4:4" x14ac:dyDescent="0.2">
      <c r="D3465" s="135">
        <v>36.020000000000003</v>
      </c>
    </row>
    <row r="3466" spans="4:4" x14ac:dyDescent="0.2">
      <c r="D3466" s="135">
        <v>36.03</v>
      </c>
    </row>
    <row r="3467" spans="4:4" x14ac:dyDescent="0.2">
      <c r="D3467" s="135">
        <v>36.04</v>
      </c>
    </row>
    <row r="3468" spans="4:4" x14ac:dyDescent="0.2">
      <c r="D3468" s="135">
        <v>36.049999999999997</v>
      </c>
    </row>
    <row r="3469" spans="4:4" x14ac:dyDescent="0.2">
      <c r="D3469" s="135">
        <v>36.06</v>
      </c>
    </row>
    <row r="3470" spans="4:4" x14ac:dyDescent="0.2">
      <c r="D3470" s="135">
        <v>36.07</v>
      </c>
    </row>
    <row r="3471" spans="4:4" x14ac:dyDescent="0.2">
      <c r="D3471" s="135">
        <v>36.08</v>
      </c>
    </row>
    <row r="3472" spans="4:4" x14ac:dyDescent="0.2">
      <c r="D3472" s="135">
        <v>36.090000000000003</v>
      </c>
    </row>
    <row r="3473" spans="4:4" x14ac:dyDescent="0.2">
      <c r="D3473" s="135">
        <v>36.1</v>
      </c>
    </row>
    <row r="3474" spans="4:4" x14ac:dyDescent="0.2">
      <c r="D3474" s="135">
        <v>36.11</v>
      </c>
    </row>
    <row r="3475" spans="4:4" x14ac:dyDescent="0.2">
      <c r="D3475" s="135">
        <v>36.119999999999997</v>
      </c>
    </row>
    <row r="3476" spans="4:4" x14ac:dyDescent="0.2">
      <c r="D3476" s="135">
        <v>36.130000000000003</v>
      </c>
    </row>
    <row r="3477" spans="4:4" x14ac:dyDescent="0.2">
      <c r="D3477" s="135">
        <v>36.14</v>
      </c>
    </row>
    <row r="3478" spans="4:4" x14ac:dyDescent="0.2">
      <c r="D3478" s="135">
        <v>36.15</v>
      </c>
    </row>
    <row r="3479" spans="4:4" x14ac:dyDescent="0.2">
      <c r="D3479" s="135">
        <v>36.159999999999997</v>
      </c>
    </row>
    <row r="3480" spans="4:4" x14ac:dyDescent="0.2">
      <c r="D3480" s="135">
        <v>36.17</v>
      </c>
    </row>
    <row r="3481" spans="4:4" x14ac:dyDescent="0.2">
      <c r="D3481" s="135">
        <v>36.18</v>
      </c>
    </row>
    <row r="3482" spans="4:4" x14ac:dyDescent="0.2">
      <c r="D3482" s="135">
        <v>36.19</v>
      </c>
    </row>
    <row r="3483" spans="4:4" x14ac:dyDescent="0.2">
      <c r="D3483" s="135">
        <v>36.200000000000003</v>
      </c>
    </row>
    <row r="3484" spans="4:4" x14ac:dyDescent="0.2">
      <c r="D3484" s="135">
        <v>36.21</v>
      </c>
    </row>
    <row r="3485" spans="4:4" x14ac:dyDescent="0.2">
      <c r="D3485" s="135">
        <v>36.22</v>
      </c>
    </row>
    <row r="3486" spans="4:4" x14ac:dyDescent="0.2">
      <c r="D3486" s="135">
        <v>36.229999999999997</v>
      </c>
    </row>
    <row r="3487" spans="4:4" x14ac:dyDescent="0.2">
      <c r="D3487" s="135">
        <v>36.24</v>
      </c>
    </row>
    <row r="3488" spans="4:4" x14ac:dyDescent="0.2">
      <c r="D3488" s="135">
        <v>36.25</v>
      </c>
    </row>
    <row r="3489" spans="4:4" x14ac:dyDescent="0.2">
      <c r="D3489" s="135">
        <v>36.26</v>
      </c>
    </row>
    <row r="3490" spans="4:4" x14ac:dyDescent="0.2">
      <c r="D3490" s="135">
        <v>36.270000000000003</v>
      </c>
    </row>
    <row r="3491" spans="4:4" x14ac:dyDescent="0.2">
      <c r="D3491" s="135">
        <v>36.28</v>
      </c>
    </row>
    <row r="3492" spans="4:4" x14ac:dyDescent="0.2">
      <c r="D3492" s="135">
        <v>36.29</v>
      </c>
    </row>
    <row r="3493" spans="4:4" x14ac:dyDescent="0.2">
      <c r="D3493" s="135">
        <v>36.299999999999997</v>
      </c>
    </row>
    <row r="3494" spans="4:4" x14ac:dyDescent="0.2">
      <c r="D3494" s="135">
        <v>36.31</v>
      </c>
    </row>
    <row r="3495" spans="4:4" x14ac:dyDescent="0.2">
      <c r="D3495" s="135">
        <v>36.32</v>
      </c>
    </row>
    <row r="3496" spans="4:4" x14ac:dyDescent="0.2">
      <c r="D3496" s="135">
        <v>36.33</v>
      </c>
    </row>
    <row r="3497" spans="4:4" x14ac:dyDescent="0.2">
      <c r="D3497" s="135">
        <v>36.340000000000003</v>
      </c>
    </row>
    <row r="3498" spans="4:4" x14ac:dyDescent="0.2">
      <c r="D3498" s="135">
        <v>36.35</v>
      </c>
    </row>
    <row r="3499" spans="4:4" x14ac:dyDescent="0.2">
      <c r="D3499" s="135">
        <v>36.36</v>
      </c>
    </row>
    <row r="3500" spans="4:4" x14ac:dyDescent="0.2">
      <c r="D3500" s="135">
        <v>36.369999999999997</v>
      </c>
    </row>
    <row r="3501" spans="4:4" x14ac:dyDescent="0.2">
      <c r="D3501" s="135">
        <v>36.380000000000003</v>
      </c>
    </row>
    <row r="3502" spans="4:4" x14ac:dyDescent="0.2">
      <c r="D3502" s="135">
        <v>36.39</v>
      </c>
    </row>
    <row r="3503" spans="4:4" x14ac:dyDescent="0.2">
      <c r="D3503" s="135">
        <v>36.4</v>
      </c>
    </row>
    <row r="3504" spans="4:4" x14ac:dyDescent="0.2">
      <c r="D3504" s="135">
        <v>36.409999999999997</v>
      </c>
    </row>
    <row r="3505" spans="4:4" x14ac:dyDescent="0.2">
      <c r="D3505" s="135">
        <v>36.42</v>
      </c>
    </row>
    <row r="3506" spans="4:4" x14ac:dyDescent="0.2">
      <c r="D3506" s="135">
        <v>36.43</v>
      </c>
    </row>
    <row r="3507" spans="4:4" x14ac:dyDescent="0.2">
      <c r="D3507" s="135">
        <v>36.44</v>
      </c>
    </row>
    <row r="3508" spans="4:4" x14ac:dyDescent="0.2">
      <c r="D3508" s="135">
        <v>36.450000000000003</v>
      </c>
    </row>
    <row r="3509" spans="4:4" x14ac:dyDescent="0.2">
      <c r="D3509" s="135">
        <v>36.46</v>
      </c>
    </row>
    <row r="3510" spans="4:4" x14ac:dyDescent="0.2">
      <c r="D3510" s="135">
        <v>36.47</v>
      </c>
    </row>
    <row r="3511" spans="4:4" x14ac:dyDescent="0.2">
      <c r="D3511" s="135">
        <v>36.479999999999997</v>
      </c>
    </row>
    <row r="3512" spans="4:4" x14ac:dyDescent="0.2">
      <c r="D3512" s="135">
        <v>36.49</v>
      </c>
    </row>
    <row r="3513" spans="4:4" x14ac:dyDescent="0.2">
      <c r="D3513" s="135">
        <v>36.5</v>
      </c>
    </row>
    <row r="3514" spans="4:4" x14ac:dyDescent="0.2">
      <c r="D3514" s="135">
        <v>36.51</v>
      </c>
    </row>
    <row r="3515" spans="4:4" x14ac:dyDescent="0.2">
      <c r="D3515" s="135">
        <v>36.520000000000003</v>
      </c>
    </row>
    <row r="3516" spans="4:4" x14ac:dyDescent="0.2">
      <c r="D3516" s="135">
        <v>36.53</v>
      </c>
    </row>
    <row r="3517" spans="4:4" x14ac:dyDescent="0.2">
      <c r="D3517" s="135">
        <v>36.54</v>
      </c>
    </row>
    <row r="3518" spans="4:4" x14ac:dyDescent="0.2">
      <c r="D3518" s="135">
        <v>36.549999999999997</v>
      </c>
    </row>
    <row r="3519" spans="4:4" x14ac:dyDescent="0.2">
      <c r="D3519" s="135">
        <v>36.56</v>
      </c>
    </row>
    <row r="3520" spans="4:4" x14ac:dyDescent="0.2">
      <c r="D3520" s="135">
        <v>36.57</v>
      </c>
    </row>
    <row r="3521" spans="4:4" x14ac:dyDescent="0.2">
      <c r="D3521" s="135">
        <v>36.58</v>
      </c>
    </row>
    <row r="3522" spans="4:4" x14ac:dyDescent="0.2">
      <c r="D3522" s="135">
        <v>36.590000000000003</v>
      </c>
    </row>
    <row r="3523" spans="4:4" x14ac:dyDescent="0.2">
      <c r="D3523" s="135">
        <v>36.6</v>
      </c>
    </row>
    <row r="3524" spans="4:4" x14ac:dyDescent="0.2">
      <c r="D3524" s="135">
        <v>36.61</v>
      </c>
    </row>
    <row r="3525" spans="4:4" x14ac:dyDescent="0.2">
      <c r="D3525" s="135">
        <v>36.619999999999997</v>
      </c>
    </row>
    <row r="3526" spans="4:4" x14ac:dyDescent="0.2">
      <c r="D3526" s="135">
        <v>36.630000000000003</v>
      </c>
    </row>
    <row r="3527" spans="4:4" x14ac:dyDescent="0.2">
      <c r="D3527" s="135">
        <v>36.64</v>
      </c>
    </row>
    <row r="3528" spans="4:4" x14ac:dyDescent="0.2">
      <c r="D3528" s="135">
        <v>36.65</v>
      </c>
    </row>
    <row r="3529" spans="4:4" x14ac:dyDescent="0.2">
      <c r="D3529" s="135">
        <v>36.659999999999997</v>
      </c>
    </row>
    <row r="3530" spans="4:4" x14ac:dyDescent="0.2">
      <c r="D3530" s="135">
        <v>36.67</v>
      </c>
    </row>
    <row r="3531" spans="4:4" x14ac:dyDescent="0.2">
      <c r="D3531" s="135">
        <v>36.68</v>
      </c>
    </row>
    <row r="3532" spans="4:4" x14ac:dyDescent="0.2">
      <c r="D3532" s="135">
        <v>36.69</v>
      </c>
    </row>
    <row r="3533" spans="4:4" x14ac:dyDescent="0.2">
      <c r="D3533" s="135">
        <v>36.700000000000003</v>
      </c>
    </row>
    <row r="3534" spans="4:4" x14ac:dyDescent="0.2">
      <c r="D3534" s="135">
        <v>36.71</v>
      </c>
    </row>
    <row r="3535" spans="4:4" x14ac:dyDescent="0.2">
      <c r="D3535" s="135">
        <v>36.72</v>
      </c>
    </row>
    <row r="3536" spans="4:4" x14ac:dyDescent="0.2">
      <c r="D3536" s="135">
        <v>36.729999999999997</v>
      </c>
    </row>
    <row r="3537" spans="4:4" x14ac:dyDescent="0.2">
      <c r="D3537" s="135">
        <v>36.74</v>
      </c>
    </row>
    <row r="3538" spans="4:4" x14ac:dyDescent="0.2">
      <c r="D3538" s="135">
        <v>36.75</v>
      </c>
    </row>
    <row r="3539" spans="4:4" x14ac:dyDescent="0.2">
      <c r="D3539" s="135">
        <v>36.76</v>
      </c>
    </row>
    <row r="3540" spans="4:4" x14ac:dyDescent="0.2">
      <c r="D3540" s="135">
        <v>36.770000000000003</v>
      </c>
    </row>
    <row r="3541" spans="4:4" x14ac:dyDescent="0.2">
      <c r="D3541" s="135">
        <v>36.78</v>
      </c>
    </row>
    <row r="3542" spans="4:4" x14ac:dyDescent="0.2">
      <c r="D3542" s="135">
        <v>36.79</v>
      </c>
    </row>
    <row r="3543" spans="4:4" x14ac:dyDescent="0.2">
      <c r="D3543" s="135">
        <v>36.799999999999997</v>
      </c>
    </row>
    <row r="3544" spans="4:4" x14ac:dyDescent="0.2">
      <c r="D3544" s="135">
        <v>36.81</v>
      </c>
    </row>
    <row r="3545" spans="4:4" x14ac:dyDescent="0.2">
      <c r="D3545" s="135">
        <v>36.82</v>
      </c>
    </row>
    <row r="3546" spans="4:4" x14ac:dyDescent="0.2">
      <c r="D3546" s="135">
        <v>36.83</v>
      </c>
    </row>
    <row r="3547" spans="4:4" x14ac:dyDescent="0.2">
      <c r="D3547" s="135">
        <v>36.840000000000003</v>
      </c>
    </row>
    <row r="3548" spans="4:4" x14ac:dyDescent="0.2">
      <c r="D3548" s="135">
        <v>36.85</v>
      </c>
    </row>
    <row r="3549" spans="4:4" x14ac:dyDescent="0.2">
      <c r="D3549" s="135">
        <v>36.86</v>
      </c>
    </row>
    <row r="3550" spans="4:4" x14ac:dyDescent="0.2">
      <c r="D3550" s="135">
        <v>36.869999999999997</v>
      </c>
    </row>
    <row r="3551" spans="4:4" x14ac:dyDescent="0.2">
      <c r="D3551" s="135">
        <v>36.880000000000003</v>
      </c>
    </row>
    <row r="3552" spans="4:4" x14ac:dyDescent="0.2">
      <c r="D3552" s="135">
        <v>36.89</v>
      </c>
    </row>
    <row r="3553" spans="4:4" x14ac:dyDescent="0.2">
      <c r="D3553" s="135">
        <v>36.9</v>
      </c>
    </row>
    <row r="3554" spans="4:4" x14ac:dyDescent="0.2">
      <c r="D3554" s="135">
        <v>36.909999999999997</v>
      </c>
    </row>
    <row r="3555" spans="4:4" x14ac:dyDescent="0.2">
      <c r="D3555" s="135">
        <v>36.92</v>
      </c>
    </row>
    <row r="3556" spans="4:4" x14ac:dyDescent="0.2">
      <c r="D3556" s="135">
        <v>36.93</v>
      </c>
    </row>
    <row r="3557" spans="4:4" x14ac:dyDescent="0.2">
      <c r="D3557" s="135">
        <v>36.94</v>
      </c>
    </row>
    <row r="3558" spans="4:4" x14ac:dyDescent="0.2">
      <c r="D3558" s="135">
        <v>36.950000000000003</v>
      </c>
    </row>
    <row r="3559" spans="4:4" x14ac:dyDescent="0.2">
      <c r="D3559" s="135">
        <v>36.96</v>
      </c>
    </row>
    <row r="3560" spans="4:4" x14ac:dyDescent="0.2">
      <c r="D3560" s="135">
        <v>36.97</v>
      </c>
    </row>
    <row r="3561" spans="4:4" x14ac:dyDescent="0.2">
      <c r="D3561" s="135">
        <v>36.979999999999997</v>
      </c>
    </row>
    <row r="3562" spans="4:4" x14ac:dyDescent="0.2">
      <c r="D3562" s="135">
        <v>36.99</v>
      </c>
    </row>
    <row r="3563" spans="4:4" x14ac:dyDescent="0.2">
      <c r="D3563" s="135">
        <v>37</v>
      </c>
    </row>
    <row r="3564" spans="4:4" x14ac:dyDescent="0.2">
      <c r="D3564" s="135">
        <v>37.01</v>
      </c>
    </row>
    <row r="3565" spans="4:4" x14ac:dyDescent="0.2">
      <c r="D3565" s="135">
        <v>37.020000000000003</v>
      </c>
    </row>
    <row r="3566" spans="4:4" x14ac:dyDescent="0.2">
      <c r="D3566" s="135">
        <v>37.03</v>
      </c>
    </row>
    <row r="3567" spans="4:4" x14ac:dyDescent="0.2">
      <c r="D3567" s="135">
        <v>37.04</v>
      </c>
    </row>
    <row r="3568" spans="4:4" x14ac:dyDescent="0.2">
      <c r="D3568" s="135">
        <v>37.049999999999997</v>
      </c>
    </row>
    <row r="3569" spans="4:4" x14ac:dyDescent="0.2">
      <c r="D3569" s="135">
        <v>37.06</v>
      </c>
    </row>
    <row r="3570" spans="4:4" x14ac:dyDescent="0.2">
      <c r="D3570" s="135">
        <v>37.07</v>
      </c>
    </row>
    <row r="3571" spans="4:4" x14ac:dyDescent="0.2">
      <c r="D3571" s="135">
        <v>37.08</v>
      </c>
    </row>
    <row r="3572" spans="4:4" x14ac:dyDescent="0.2">
      <c r="D3572" s="135">
        <v>37.090000000000003</v>
      </c>
    </row>
    <row r="3573" spans="4:4" x14ac:dyDescent="0.2">
      <c r="D3573" s="135">
        <v>37.1</v>
      </c>
    </row>
    <row r="3574" spans="4:4" x14ac:dyDescent="0.2">
      <c r="D3574" s="135">
        <v>37.11</v>
      </c>
    </row>
    <row r="3575" spans="4:4" x14ac:dyDescent="0.2">
      <c r="D3575" s="135">
        <v>37.119999999999997</v>
      </c>
    </row>
    <row r="3576" spans="4:4" x14ac:dyDescent="0.2">
      <c r="D3576" s="135">
        <v>37.130000000000003</v>
      </c>
    </row>
    <row r="3577" spans="4:4" x14ac:dyDescent="0.2">
      <c r="D3577" s="135">
        <v>37.14</v>
      </c>
    </row>
    <row r="3578" spans="4:4" x14ac:dyDescent="0.2">
      <c r="D3578" s="135">
        <v>37.15</v>
      </c>
    </row>
    <row r="3579" spans="4:4" x14ac:dyDescent="0.2">
      <c r="D3579" s="135">
        <v>37.159999999999997</v>
      </c>
    </row>
    <row r="3580" spans="4:4" x14ac:dyDescent="0.2">
      <c r="D3580" s="135">
        <v>37.17</v>
      </c>
    </row>
    <row r="3581" spans="4:4" x14ac:dyDescent="0.2">
      <c r="D3581" s="135">
        <v>37.18</v>
      </c>
    </row>
    <row r="3582" spans="4:4" x14ac:dyDescent="0.2">
      <c r="D3582" s="135">
        <v>37.19</v>
      </c>
    </row>
    <row r="3583" spans="4:4" x14ac:dyDescent="0.2">
      <c r="D3583" s="135">
        <v>37.200000000000003</v>
      </c>
    </row>
    <row r="3584" spans="4:4" x14ac:dyDescent="0.2">
      <c r="D3584" s="135">
        <v>37.21</v>
      </c>
    </row>
    <row r="3585" spans="4:4" x14ac:dyDescent="0.2">
      <c r="D3585" s="135">
        <v>37.22</v>
      </c>
    </row>
    <row r="3586" spans="4:4" x14ac:dyDescent="0.2">
      <c r="D3586" s="135">
        <v>37.229999999999997</v>
      </c>
    </row>
    <row r="3587" spans="4:4" x14ac:dyDescent="0.2">
      <c r="D3587" s="135">
        <v>37.24</v>
      </c>
    </row>
    <row r="3588" spans="4:4" x14ac:dyDescent="0.2">
      <c r="D3588" s="135">
        <v>37.25</v>
      </c>
    </row>
    <row r="3589" spans="4:4" x14ac:dyDescent="0.2">
      <c r="D3589" s="135">
        <v>37.26</v>
      </c>
    </row>
    <row r="3590" spans="4:4" x14ac:dyDescent="0.2">
      <c r="D3590" s="135">
        <v>37.270000000000003</v>
      </c>
    </row>
    <row r="3591" spans="4:4" x14ac:dyDescent="0.2">
      <c r="D3591" s="135">
        <v>37.28</v>
      </c>
    </row>
    <row r="3592" spans="4:4" x14ac:dyDescent="0.2">
      <c r="D3592" s="135">
        <v>37.29</v>
      </c>
    </row>
    <row r="3593" spans="4:4" x14ac:dyDescent="0.2">
      <c r="D3593" s="135">
        <v>37.299999999999997</v>
      </c>
    </row>
    <row r="3594" spans="4:4" x14ac:dyDescent="0.2">
      <c r="D3594" s="135">
        <v>37.31</v>
      </c>
    </row>
    <row r="3595" spans="4:4" x14ac:dyDescent="0.2">
      <c r="D3595" s="135">
        <v>37.32</v>
      </c>
    </row>
    <row r="3596" spans="4:4" x14ac:dyDescent="0.2">
      <c r="D3596" s="135">
        <v>37.33</v>
      </c>
    </row>
    <row r="3597" spans="4:4" x14ac:dyDescent="0.2">
      <c r="D3597" s="135">
        <v>37.340000000000003</v>
      </c>
    </row>
    <row r="3598" spans="4:4" x14ac:dyDescent="0.2">
      <c r="D3598" s="135">
        <v>37.35</v>
      </c>
    </row>
    <row r="3599" spans="4:4" x14ac:dyDescent="0.2">
      <c r="D3599" s="135">
        <v>37.36</v>
      </c>
    </row>
    <row r="3600" spans="4:4" x14ac:dyDescent="0.2">
      <c r="D3600" s="135">
        <v>37.369999999999997</v>
      </c>
    </row>
    <row r="3601" spans="4:4" x14ac:dyDescent="0.2">
      <c r="D3601" s="135">
        <v>37.380000000000003</v>
      </c>
    </row>
    <row r="3602" spans="4:4" x14ac:dyDescent="0.2">
      <c r="D3602" s="135">
        <v>37.39</v>
      </c>
    </row>
    <row r="3603" spans="4:4" x14ac:dyDescent="0.2">
      <c r="D3603" s="135">
        <v>37.4</v>
      </c>
    </row>
    <row r="3604" spans="4:4" x14ac:dyDescent="0.2">
      <c r="D3604" s="135">
        <v>37.409999999999997</v>
      </c>
    </row>
    <row r="3605" spans="4:4" x14ac:dyDescent="0.2">
      <c r="D3605" s="135">
        <v>37.42</v>
      </c>
    </row>
    <row r="3606" spans="4:4" x14ac:dyDescent="0.2">
      <c r="D3606" s="135">
        <v>37.43</v>
      </c>
    </row>
    <row r="3607" spans="4:4" x14ac:dyDescent="0.2">
      <c r="D3607" s="135">
        <v>37.44</v>
      </c>
    </row>
    <row r="3608" spans="4:4" x14ac:dyDescent="0.2">
      <c r="D3608" s="135">
        <v>37.450000000000003</v>
      </c>
    </row>
    <row r="3609" spans="4:4" x14ac:dyDescent="0.2">
      <c r="D3609" s="135">
        <v>37.46</v>
      </c>
    </row>
    <row r="3610" spans="4:4" x14ac:dyDescent="0.2">
      <c r="D3610" s="135">
        <v>37.47</v>
      </c>
    </row>
    <row r="3611" spans="4:4" x14ac:dyDescent="0.2">
      <c r="D3611" s="135">
        <v>37.479999999999997</v>
      </c>
    </row>
    <row r="3612" spans="4:4" x14ac:dyDescent="0.2">
      <c r="D3612" s="135">
        <v>37.49</v>
      </c>
    </row>
    <row r="3613" spans="4:4" x14ac:dyDescent="0.2">
      <c r="D3613" s="135">
        <v>37.5</v>
      </c>
    </row>
    <row r="3614" spans="4:4" x14ac:dyDescent="0.2">
      <c r="D3614" s="135">
        <v>37.51</v>
      </c>
    </row>
    <row r="3615" spans="4:4" x14ac:dyDescent="0.2">
      <c r="D3615" s="135">
        <v>37.520000000000003</v>
      </c>
    </row>
    <row r="3616" spans="4:4" x14ac:dyDescent="0.2">
      <c r="D3616" s="135">
        <v>37.53</v>
      </c>
    </row>
    <row r="3617" spans="4:4" x14ac:dyDescent="0.2">
      <c r="D3617" s="135">
        <v>37.54</v>
      </c>
    </row>
    <row r="3618" spans="4:4" x14ac:dyDescent="0.2">
      <c r="D3618" s="135">
        <v>37.549999999999997</v>
      </c>
    </row>
    <row r="3619" spans="4:4" x14ac:dyDescent="0.2">
      <c r="D3619" s="135">
        <v>37.56</v>
      </c>
    </row>
    <row r="3620" spans="4:4" x14ac:dyDescent="0.2">
      <c r="D3620" s="135">
        <v>37.57</v>
      </c>
    </row>
    <row r="3621" spans="4:4" x14ac:dyDescent="0.2">
      <c r="D3621" s="135">
        <v>37.58</v>
      </c>
    </row>
    <row r="3622" spans="4:4" x14ac:dyDescent="0.2">
      <c r="D3622" s="135">
        <v>37.590000000000003</v>
      </c>
    </row>
    <row r="3623" spans="4:4" x14ac:dyDescent="0.2">
      <c r="D3623" s="135">
        <v>37.6</v>
      </c>
    </row>
    <row r="3624" spans="4:4" x14ac:dyDescent="0.2">
      <c r="D3624" s="135">
        <v>37.61</v>
      </c>
    </row>
    <row r="3625" spans="4:4" x14ac:dyDescent="0.2">
      <c r="D3625" s="135">
        <v>37.619999999999997</v>
      </c>
    </row>
    <row r="3626" spans="4:4" x14ac:dyDescent="0.2">
      <c r="D3626" s="135">
        <v>37.630000000000003</v>
      </c>
    </row>
    <row r="3627" spans="4:4" x14ac:dyDescent="0.2">
      <c r="D3627" s="135">
        <v>37.64</v>
      </c>
    </row>
    <row r="3628" spans="4:4" x14ac:dyDescent="0.2">
      <c r="D3628" s="135">
        <v>37.65</v>
      </c>
    </row>
    <row r="3629" spans="4:4" x14ac:dyDescent="0.2">
      <c r="D3629" s="135">
        <v>37.659999999999997</v>
      </c>
    </row>
    <row r="3630" spans="4:4" x14ac:dyDescent="0.2">
      <c r="D3630" s="135">
        <v>37.67</v>
      </c>
    </row>
    <row r="3631" spans="4:4" x14ac:dyDescent="0.2">
      <c r="D3631" s="135">
        <v>37.68</v>
      </c>
    </row>
    <row r="3632" spans="4:4" x14ac:dyDescent="0.2">
      <c r="D3632" s="135">
        <v>37.69</v>
      </c>
    </row>
    <row r="3633" spans="4:4" x14ac:dyDescent="0.2">
      <c r="D3633" s="135">
        <v>37.700000000000003</v>
      </c>
    </row>
    <row r="3634" spans="4:4" x14ac:dyDescent="0.2">
      <c r="D3634" s="135">
        <v>37.71</v>
      </c>
    </row>
    <row r="3635" spans="4:4" x14ac:dyDescent="0.2">
      <c r="D3635" s="135">
        <v>37.72</v>
      </c>
    </row>
    <row r="3636" spans="4:4" x14ac:dyDescent="0.2">
      <c r="D3636" s="135">
        <v>37.729999999999997</v>
      </c>
    </row>
    <row r="3637" spans="4:4" x14ac:dyDescent="0.2">
      <c r="D3637" s="135">
        <v>37.74</v>
      </c>
    </row>
    <row r="3638" spans="4:4" x14ac:dyDescent="0.2">
      <c r="D3638" s="135">
        <v>37.75</v>
      </c>
    </row>
    <row r="3639" spans="4:4" x14ac:dyDescent="0.2">
      <c r="D3639" s="135">
        <v>37.76</v>
      </c>
    </row>
    <row r="3640" spans="4:4" x14ac:dyDescent="0.2">
      <c r="D3640" s="135">
        <v>37.770000000000003</v>
      </c>
    </row>
    <row r="3641" spans="4:4" x14ac:dyDescent="0.2">
      <c r="D3641" s="135">
        <v>37.78</v>
      </c>
    </row>
    <row r="3642" spans="4:4" x14ac:dyDescent="0.2">
      <c r="D3642" s="135">
        <v>37.79</v>
      </c>
    </row>
    <row r="3643" spans="4:4" x14ac:dyDescent="0.2">
      <c r="D3643" s="135">
        <v>37.799999999999997</v>
      </c>
    </row>
    <row r="3644" spans="4:4" x14ac:dyDescent="0.2">
      <c r="D3644" s="135">
        <v>37.81</v>
      </c>
    </row>
    <row r="3645" spans="4:4" x14ac:dyDescent="0.2">
      <c r="D3645" s="135">
        <v>37.82</v>
      </c>
    </row>
    <row r="3646" spans="4:4" x14ac:dyDescent="0.2">
      <c r="D3646" s="135">
        <v>37.83</v>
      </c>
    </row>
    <row r="3647" spans="4:4" x14ac:dyDescent="0.2">
      <c r="D3647" s="135">
        <v>37.840000000000003</v>
      </c>
    </row>
    <row r="3648" spans="4:4" x14ac:dyDescent="0.2">
      <c r="D3648" s="135">
        <v>37.85</v>
      </c>
    </row>
    <row r="3649" spans="4:4" x14ac:dyDescent="0.2">
      <c r="D3649" s="135">
        <v>37.86</v>
      </c>
    </row>
    <row r="3650" spans="4:4" x14ac:dyDescent="0.2">
      <c r="D3650" s="135">
        <v>37.869999999999997</v>
      </c>
    </row>
    <row r="3651" spans="4:4" x14ac:dyDescent="0.2">
      <c r="D3651" s="135">
        <v>37.880000000000003</v>
      </c>
    </row>
    <row r="3652" spans="4:4" x14ac:dyDescent="0.2">
      <c r="D3652" s="135">
        <v>37.89</v>
      </c>
    </row>
    <row r="3653" spans="4:4" x14ac:dyDescent="0.2">
      <c r="D3653" s="135">
        <v>37.9</v>
      </c>
    </row>
    <row r="3654" spans="4:4" x14ac:dyDescent="0.2">
      <c r="D3654" s="135">
        <v>37.909999999999997</v>
      </c>
    </row>
    <row r="3655" spans="4:4" x14ac:dyDescent="0.2">
      <c r="D3655" s="135">
        <v>37.92</v>
      </c>
    </row>
    <row r="3656" spans="4:4" x14ac:dyDescent="0.2">
      <c r="D3656" s="135">
        <v>37.93</v>
      </c>
    </row>
    <row r="3657" spans="4:4" x14ac:dyDescent="0.2">
      <c r="D3657" s="135">
        <v>37.94</v>
      </c>
    </row>
    <row r="3658" spans="4:4" x14ac:dyDescent="0.2">
      <c r="D3658" s="135">
        <v>37.950000000000003</v>
      </c>
    </row>
    <row r="3659" spans="4:4" x14ac:dyDescent="0.2">
      <c r="D3659" s="135">
        <v>37.96</v>
      </c>
    </row>
    <row r="3660" spans="4:4" x14ac:dyDescent="0.2">
      <c r="D3660" s="135">
        <v>37.97</v>
      </c>
    </row>
    <row r="3661" spans="4:4" x14ac:dyDescent="0.2">
      <c r="D3661" s="135">
        <v>37.979999999999997</v>
      </c>
    </row>
    <row r="3662" spans="4:4" x14ac:dyDescent="0.2">
      <c r="D3662" s="135">
        <v>37.99</v>
      </c>
    </row>
    <row r="3663" spans="4:4" x14ac:dyDescent="0.2">
      <c r="D3663" s="135">
        <v>38</v>
      </c>
    </row>
    <row r="3664" spans="4:4" x14ac:dyDescent="0.2">
      <c r="D3664" s="135">
        <v>38.01</v>
      </c>
    </row>
    <row r="3665" spans="4:4" x14ac:dyDescent="0.2">
      <c r="D3665" s="135">
        <v>38.020000000000003</v>
      </c>
    </row>
    <row r="3666" spans="4:4" x14ac:dyDescent="0.2">
      <c r="D3666" s="135">
        <v>38.03</v>
      </c>
    </row>
    <row r="3667" spans="4:4" x14ac:dyDescent="0.2">
      <c r="D3667" s="135">
        <v>38.04</v>
      </c>
    </row>
    <row r="3668" spans="4:4" x14ac:dyDescent="0.2">
      <c r="D3668" s="135">
        <v>38.049999999999997</v>
      </c>
    </row>
    <row r="3669" spans="4:4" x14ac:dyDescent="0.2">
      <c r="D3669" s="135">
        <v>38.06</v>
      </c>
    </row>
    <row r="3670" spans="4:4" x14ac:dyDescent="0.2">
      <c r="D3670" s="135">
        <v>38.07</v>
      </c>
    </row>
    <row r="3671" spans="4:4" x14ac:dyDescent="0.2">
      <c r="D3671" s="135">
        <v>38.08</v>
      </c>
    </row>
    <row r="3672" spans="4:4" x14ac:dyDescent="0.2">
      <c r="D3672" s="135">
        <v>38.090000000000003</v>
      </c>
    </row>
    <row r="3673" spans="4:4" x14ac:dyDescent="0.2">
      <c r="D3673" s="135">
        <v>38.1</v>
      </c>
    </row>
    <row r="3674" spans="4:4" x14ac:dyDescent="0.2">
      <c r="D3674" s="135">
        <v>38.11</v>
      </c>
    </row>
    <row r="3675" spans="4:4" x14ac:dyDescent="0.2">
      <c r="D3675" s="135">
        <v>38.119999999999997</v>
      </c>
    </row>
    <row r="3676" spans="4:4" x14ac:dyDescent="0.2">
      <c r="D3676" s="135">
        <v>38.130000000000003</v>
      </c>
    </row>
    <row r="3677" spans="4:4" x14ac:dyDescent="0.2">
      <c r="D3677" s="135">
        <v>38.14</v>
      </c>
    </row>
    <row r="3678" spans="4:4" x14ac:dyDescent="0.2">
      <c r="D3678" s="135">
        <v>38.15</v>
      </c>
    </row>
    <row r="3679" spans="4:4" x14ac:dyDescent="0.2">
      <c r="D3679" s="135">
        <v>38.159999999999997</v>
      </c>
    </row>
    <row r="3680" spans="4:4" x14ac:dyDescent="0.2">
      <c r="D3680" s="135">
        <v>38.17</v>
      </c>
    </row>
    <row r="3681" spans="4:4" x14ac:dyDescent="0.2">
      <c r="D3681" s="135">
        <v>38.18</v>
      </c>
    </row>
    <row r="3682" spans="4:4" x14ac:dyDescent="0.2">
      <c r="D3682" s="135">
        <v>38.19</v>
      </c>
    </row>
    <row r="3683" spans="4:4" x14ac:dyDescent="0.2">
      <c r="D3683" s="135">
        <v>38.200000000000003</v>
      </c>
    </row>
    <row r="3684" spans="4:4" x14ac:dyDescent="0.2">
      <c r="D3684" s="135">
        <v>38.21</v>
      </c>
    </row>
    <row r="3685" spans="4:4" x14ac:dyDescent="0.2">
      <c r="D3685" s="135">
        <v>38.22</v>
      </c>
    </row>
    <row r="3686" spans="4:4" x14ac:dyDescent="0.2">
      <c r="D3686" s="135">
        <v>38.229999999999997</v>
      </c>
    </row>
    <row r="3687" spans="4:4" x14ac:dyDescent="0.2">
      <c r="D3687" s="135">
        <v>38.24</v>
      </c>
    </row>
    <row r="3688" spans="4:4" x14ac:dyDescent="0.2">
      <c r="D3688" s="135">
        <v>38.25</v>
      </c>
    </row>
    <row r="3689" spans="4:4" x14ac:dyDescent="0.2">
      <c r="D3689" s="135">
        <v>38.26</v>
      </c>
    </row>
    <row r="3690" spans="4:4" x14ac:dyDescent="0.2">
      <c r="D3690" s="135">
        <v>38.270000000000003</v>
      </c>
    </row>
    <row r="3691" spans="4:4" x14ac:dyDescent="0.2">
      <c r="D3691" s="135">
        <v>38.28</v>
      </c>
    </row>
    <row r="3692" spans="4:4" x14ac:dyDescent="0.2">
      <c r="D3692" s="135">
        <v>38.29</v>
      </c>
    </row>
    <row r="3693" spans="4:4" x14ac:dyDescent="0.2">
      <c r="D3693" s="135">
        <v>38.299999999999997</v>
      </c>
    </row>
    <row r="3694" spans="4:4" x14ac:dyDescent="0.2">
      <c r="D3694" s="135">
        <v>38.31</v>
      </c>
    </row>
    <row r="3695" spans="4:4" x14ac:dyDescent="0.2">
      <c r="D3695" s="135">
        <v>38.32</v>
      </c>
    </row>
    <row r="3696" spans="4:4" x14ac:dyDescent="0.2">
      <c r="D3696" s="135">
        <v>38.33</v>
      </c>
    </row>
    <row r="3697" spans="4:4" x14ac:dyDescent="0.2">
      <c r="D3697" s="135">
        <v>38.340000000000003</v>
      </c>
    </row>
    <row r="3698" spans="4:4" x14ac:dyDescent="0.2">
      <c r="D3698" s="135">
        <v>38.35</v>
      </c>
    </row>
    <row r="3699" spans="4:4" x14ac:dyDescent="0.2">
      <c r="D3699" s="135">
        <v>38.36</v>
      </c>
    </row>
    <row r="3700" spans="4:4" x14ac:dyDescent="0.2">
      <c r="D3700" s="135">
        <v>38.369999999999997</v>
      </c>
    </row>
    <row r="3701" spans="4:4" x14ac:dyDescent="0.2">
      <c r="D3701" s="135">
        <v>38.380000000000003</v>
      </c>
    </row>
    <row r="3702" spans="4:4" x14ac:dyDescent="0.2">
      <c r="D3702" s="135">
        <v>38.39</v>
      </c>
    </row>
    <row r="3703" spans="4:4" x14ac:dyDescent="0.2">
      <c r="D3703" s="135">
        <v>38.4</v>
      </c>
    </row>
    <row r="3704" spans="4:4" x14ac:dyDescent="0.2">
      <c r="D3704" s="135">
        <v>38.409999999999997</v>
      </c>
    </row>
    <row r="3705" spans="4:4" x14ac:dyDescent="0.2">
      <c r="D3705" s="135">
        <v>38.42</v>
      </c>
    </row>
    <row r="3706" spans="4:4" x14ac:dyDescent="0.2">
      <c r="D3706" s="135">
        <v>38.43</v>
      </c>
    </row>
    <row r="3707" spans="4:4" x14ac:dyDescent="0.2">
      <c r="D3707" s="135">
        <v>38.44</v>
      </c>
    </row>
    <row r="3708" spans="4:4" x14ac:dyDescent="0.2">
      <c r="D3708" s="135">
        <v>38.450000000000003</v>
      </c>
    </row>
    <row r="3709" spans="4:4" x14ac:dyDescent="0.2">
      <c r="D3709" s="135">
        <v>38.46</v>
      </c>
    </row>
    <row r="3710" spans="4:4" x14ac:dyDescent="0.2">
      <c r="D3710" s="135">
        <v>38.47</v>
      </c>
    </row>
    <row r="3711" spans="4:4" x14ac:dyDescent="0.2">
      <c r="D3711" s="135">
        <v>38.479999999999997</v>
      </c>
    </row>
    <row r="3712" spans="4:4" x14ac:dyDescent="0.2">
      <c r="D3712" s="135">
        <v>38.49</v>
      </c>
    </row>
    <row r="3713" spans="4:4" x14ac:dyDescent="0.2">
      <c r="D3713" s="135">
        <v>38.5</v>
      </c>
    </row>
    <row r="3714" spans="4:4" x14ac:dyDescent="0.2">
      <c r="D3714" s="135">
        <v>38.51</v>
      </c>
    </row>
    <row r="3715" spans="4:4" x14ac:dyDescent="0.2">
      <c r="D3715" s="135">
        <v>38.520000000000003</v>
      </c>
    </row>
    <row r="3716" spans="4:4" x14ac:dyDescent="0.2">
      <c r="D3716" s="135">
        <v>38.53</v>
      </c>
    </row>
    <row r="3717" spans="4:4" x14ac:dyDescent="0.2">
      <c r="D3717" s="135">
        <v>38.54</v>
      </c>
    </row>
    <row r="3718" spans="4:4" x14ac:dyDescent="0.2">
      <c r="D3718" s="135">
        <v>38.549999999999997</v>
      </c>
    </row>
    <row r="3719" spans="4:4" x14ac:dyDescent="0.2">
      <c r="D3719" s="135">
        <v>38.56</v>
      </c>
    </row>
    <row r="3720" spans="4:4" x14ac:dyDescent="0.2">
      <c r="D3720" s="135">
        <v>38.57</v>
      </c>
    </row>
    <row r="3721" spans="4:4" x14ac:dyDescent="0.2">
      <c r="D3721" s="135">
        <v>38.58</v>
      </c>
    </row>
    <row r="3722" spans="4:4" x14ac:dyDescent="0.2">
      <c r="D3722" s="135">
        <v>38.590000000000003</v>
      </c>
    </row>
    <row r="3723" spans="4:4" x14ac:dyDescent="0.2">
      <c r="D3723" s="135">
        <v>38.6</v>
      </c>
    </row>
    <row r="3724" spans="4:4" x14ac:dyDescent="0.2">
      <c r="D3724" s="135">
        <v>38.61</v>
      </c>
    </row>
    <row r="3725" spans="4:4" x14ac:dyDescent="0.2">
      <c r="D3725" s="135">
        <v>38.619999999999997</v>
      </c>
    </row>
    <row r="3726" spans="4:4" x14ac:dyDescent="0.2">
      <c r="D3726" s="135">
        <v>38.630000000000003</v>
      </c>
    </row>
    <row r="3727" spans="4:4" x14ac:dyDescent="0.2">
      <c r="D3727" s="135">
        <v>38.64</v>
      </c>
    </row>
    <row r="3728" spans="4:4" x14ac:dyDescent="0.2">
      <c r="D3728" s="135">
        <v>38.65</v>
      </c>
    </row>
    <row r="3729" spans="4:4" x14ac:dyDescent="0.2">
      <c r="D3729" s="135">
        <v>38.659999999999997</v>
      </c>
    </row>
    <row r="3730" spans="4:4" x14ac:dyDescent="0.2">
      <c r="D3730" s="135">
        <v>38.67</v>
      </c>
    </row>
    <row r="3731" spans="4:4" x14ac:dyDescent="0.2">
      <c r="D3731" s="135">
        <v>38.68</v>
      </c>
    </row>
    <row r="3732" spans="4:4" x14ac:dyDescent="0.2">
      <c r="D3732" s="135">
        <v>38.69</v>
      </c>
    </row>
    <row r="3733" spans="4:4" x14ac:dyDescent="0.2">
      <c r="D3733" s="135">
        <v>38.700000000000003</v>
      </c>
    </row>
    <row r="3734" spans="4:4" x14ac:dyDescent="0.2">
      <c r="D3734" s="135">
        <v>38.71</v>
      </c>
    </row>
    <row r="3735" spans="4:4" x14ac:dyDescent="0.2">
      <c r="D3735" s="135">
        <v>38.72</v>
      </c>
    </row>
    <row r="3736" spans="4:4" x14ac:dyDescent="0.2">
      <c r="D3736" s="135">
        <v>38.729999999999997</v>
      </c>
    </row>
    <row r="3737" spans="4:4" x14ac:dyDescent="0.2">
      <c r="D3737" s="135">
        <v>38.74</v>
      </c>
    </row>
    <row r="3738" spans="4:4" x14ac:dyDescent="0.2">
      <c r="D3738" s="135">
        <v>38.75</v>
      </c>
    </row>
    <row r="3739" spans="4:4" x14ac:dyDescent="0.2">
      <c r="D3739" s="135">
        <v>38.76</v>
      </c>
    </row>
    <row r="3740" spans="4:4" x14ac:dyDescent="0.2">
      <c r="D3740" s="135">
        <v>38.770000000000003</v>
      </c>
    </row>
    <row r="3741" spans="4:4" x14ac:dyDescent="0.2">
      <c r="D3741" s="135">
        <v>38.78</v>
      </c>
    </row>
    <row r="3742" spans="4:4" x14ac:dyDescent="0.2">
      <c r="D3742" s="135">
        <v>38.79</v>
      </c>
    </row>
    <row r="3743" spans="4:4" x14ac:dyDescent="0.2">
      <c r="D3743" s="135">
        <v>38.799999999999997</v>
      </c>
    </row>
    <row r="3744" spans="4:4" x14ac:dyDescent="0.2">
      <c r="D3744" s="135">
        <v>38.81</v>
      </c>
    </row>
    <row r="3745" spans="4:4" x14ac:dyDescent="0.2">
      <c r="D3745" s="135">
        <v>38.82</v>
      </c>
    </row>
    <row r="3746" spans="4:4" x14ac:dyDescent="0.2">
      <c r="D3746" s="135">
        <v>38.83</v>
      </c>
    </row>
    <row r="3747" spans="4:4" x14ac:dyDescent="0.2">
      <c r="D3747" s="135">
        <v>38.840000000000003</v>
      </c>
    </row>
    <row r="3748" spans="4:4" x14ac:dyDescent="0.2">
      <c r="D3748" s="135">
        <v>38.85</v>
      </c>
    </row>
    <row r="3749" spans="4:4" x14ac:dyDescent="0.2">
      <c r="D3749" s="135">
        <v>38.86</v>
      </c>
    </row>
    <row r="3750" spans="4:4" x14ac:dyDescent="0.2">
      <c r="D3750" s="135">
        <v>38.869999999999997</v>
      </c>
    </row>
    <row r="3751" spans="4:4" x14ac:dyDescent="0.2">
      <c r="D3751" s="135">
        <v>38.880000000000003</v>
      </c>
    </row>
    <row r="3752" spans="4:4" x14ac:dyDescent="0.2">
      <c r="D3752" s="135">
        <v>38.89</v>
      </c>
    </row>
    <row r="3753" spans="4:4" x14ac:dyDescent="0.2">
      <c r="D3753" s="135">
        <v>38.9</v>
      </c>
    </row>
    <row r="3754" spans="4:4" x14ac:dyDescent="0.2">
      <c r="D3754" s="135">
        <v>38.909999999999997</v>
      </c>
    </row>
    <row r="3755" spans="4:4" x14ac:dyDescent="0.2">
      <c r="D3755" s="135">
        <v>38.92</v>
      </c>
    </row>
    <row r="3756" spans="4:4" x14ac:dyDescent="0.2">
      <c r="D3756" s="135">
        <v>38.93</v>
      </c>
    </row>
    <row r="3757" spans="4:4" x14ac:dyDescent="0.2">
      <c r="D3757" s="135">
        <v>38.94</v>
      </c>
    </row>
    <row r="3758" spans="4:4" x14ac:dyDescent="0.2">
      <c r="D3758" s="135">
        <v>38.950000000000003</v>
      </c>
    </row>
    <row r="3759" spans="4:4" x14ac:dyDescent="0.2">
      <c r="D3759" s="135">
        <v>38.96</v>
      </c>
    </row>
    <row r="3760" spans="4:4" x14ac:dyDescent="0.2">
      <c r="D3760" s="135">
        <v>38.97</v>
      </c>
    </row>
    <row r="3761" spans="4:4" x14ac:dyDescent="0.2">
      <c r="D3761" s="135">
        <v>38.979999999999997</v>
      </c>
    </row>
    <row r="3762" spans="4:4" x14ac:dyDescent="0.2">
      <c r="D3762" s="135">
        <v>38.99</v>
      </c>
    </row>
    <row r="3763" spans="4:4" x14ac:dyDescent="0.2">
      <c r="D3763" s="135">
        <v>39</v>
      </c>
    </row>
    <row r="3764" spans="4:4" x14ac:dyDescent="0.2">
      <c r="D3764" s="135">
        <v>39.01</v>
      </c>
    </row>
    <row r="3765" spans="4:4" x14ac:dyDescent="0.2">
      <c r="D3765" s="135">
        <v>39.020000000000003</v>
      </c>
    </row>
    <row r="3766" spans="4:4" x14ac:dyDescent="0.2">
      <c r="D3766" s="135">
        <v>39.03</v>
      </c>
    </row>
    <row r="3767" spans="4:4" x14ac:dyDescent="0.2">
      <c r="D3767" s="135">
        <v>39.04</v>
      </c>
    </row>
    <row r="3768" spans="4:4" x14ac:dyDescent="0.2">
      <c r="D3768" s="135">
        <v>39.049999999999997</v>
      </c>
    </row>
    <row r="3769" spans="4:4" x14ac:dyDescent="0.2">
      <c r="D3769" s="135">
        <v>39.06</v>
      </c>
    </row>
    <row r="3770" spans="4:4" x14ac:dyDescent="0.2">
      <c r="D3770" s="135">
        <v>39.07</v>
      </c>
    </row>
    <row r="3771" spans="4:4" x14ac:dyDescent="0.2">
      <c r="D3771" s="135">
        <v>39.08</v>
      </c>
    </row>
    <row r="3772" spans="4:4" x14ac:dyDescent="0.2">
      <c r="D3772" s="135">
        <v>39.090000000000003</v>
      </c>
    </row>
    <row r="3773" spans="4:4" x14ac:dyDescent="0.2">
      <c r="D3773" s="135">
        <v>39.1</v>
      </c>
    </row>
    <row r="3774" spans="4:4" x14ac:dyDescent="0.2">
      <c r="D3774" s="135">
        <v>39.11</v>
      </c>
    </row>
    <row r="3775" spans="4:4" x14ac:dyDescent="0.2">
      <c r="D3775" s="135">
        <v>39.119999999999997</v>
      </c>
    </row>
    <row r="3776" spans="4:4" x14ac:dyDescent="0.2">
      <c r="D3776" s="135">
        <v>39.130000000000003</v>
      </c>
    </row>
    <row r="3777" spans="4:4" x14ac:dyDescent="0.2">
      <c r="D3777" s="135">
        <v>39.14</v>
      </c>
    </row>
    <row r="3778" spans="4:4" x14ac:dyDescent="0.2">
      <c r="D3778" s="135">
        <v>39.15</v>
      </c>
    </row>
    <row r="3779" spans="4:4" x14ac:dyDescent="0.2">
      <c r="D3779" s="135">
        <v>39.159999999999997</v>
      </c>
    </row>
    <row r="3780" spans="4:4" x14ac:dyDescent="0.2">
      <c r="D3780" s="135">
        <v>39.17</v>
      </c>
    </row>
    <row r="3781" spans="4:4" x14ac:dyDescent="0.2">
      <c r="D3781" s="135">
        <v>39.18</v>
      </c>
    </row>
    <row r="3782" spans="4:4" x14ac:dyDescent="0.2">
      <c r="D3782" s="135">
        <v>39.19</v>
      </c>
    </row>
    <row r="3783" spans="4:4" x14ac:dyDescent="0.2">
      <c r="D3783" s="135">
        <v>39.200000000000003</v>
      </c>
    </row>
    <row r="3784" spans="4:4" x14ac:dyDescent="0.2">
      <c r="D3784" s="135">
        <v>39.21</v>
      </c>
    </row>
    <row r="3785" spans="4:4" x14ac:dyDescent="0.2">
      <c r="D3785" s="135">
        <v>39.22</v>
      </c>
    </row>
    <row r="3786" spans="4:4" x14ac:dyDescent="0.2">
      <c r="D3786" s="135">
        <v>39.229999999999997</v>
      </c>
    </row>
    <row r="3787" spans="4:4" x14ac:dyDescent="0.2">
      <c r="D3787" s="135">
        <v>39.24</v>
      </c>
    </row>
    <row r="3788" spans="4:4" x14ac:dyDescent="0.2">
      <c r="D3788" s="135">
        <v>39.25</v>
      </c>
    </row>
    <row r="3789" spans="4:4" x14ac:dyDescent="0.2">
      <c r="D3789" s="135">
        <v>39.26</v>
      </c>
    </row>
    <row r="3790" spans="4:4" x14ac:dyDescent="0.2">
      <c r="D3790" s="135">
        <v>39.270000000000003</v>
      </c>
    </row>
    <row r="3791" spans="4:4" x14ac:dyDescent="0.2">
      <c r="D3791" s="135">
        <v>39.28</v>
      </c>
    </row>
    <row r="3792" spans="4:4" x14ac:dyDescent="0.2">
      <c r="D3792" s="135">
        <v>39.29</v>
      </c>
    </row>
    <row r="3793" spans="4:4" x14ac:dyDescent="0.2">
      <c r="D3793" s="135">
        <v>39.299999999999997</v>
      </c>
    </row>
    <row r="3794" spans="4:4" x14ac:dyDescent="0.2">
      <c r="D3794" s="135">
        <v>39.31</v>
      </c>
    </row>
    <row r="3795" spans="4:4" x14ac:dyDescent="0.2">
      <c r="D3795" s="135">
        <v>39.32</v>
      </c>
    </row>
    <row r="3796" spans="4:4" x14ac:dyDescent="0.2">
      <c r="D3796" s="135">
        <v>39.33</v>
      </c>
    </row>
    <row r="3797" spans="4:4" x14ac:dyDescent="0.2">
      <c r="D3797" s="135">
        <v>39.340000000000003</v>
      </c>
    </row>
    <row r="3798" spans="4:4" x14ac:dyDescent="0.2">
      <c r="D3798" s="135">
        <v>39.35</v>
      </c>
    </row>
    <row r="3799" spans="4:4" x14ac:dyDescent="0.2">
      <c r="D3799" s="135">
        <v>39.36</v>
      </c>
    </row>
    <row r="3800" spans="4:4" x14ac:dyDescent="0.2">
      <c r="D3800" s="135">
        <v>39.369999999999997</v>
      </c>
    </row>
    <row r="3801" spans="4:4" x14ac:dyDescent="0.2">
      <c r="D3801" s="135">
        <v>39.380000000000003</v>
      </c>
    </row>
    <row r="3802" spans="4:4" x14ac:dyDescent="0.2">
      <c r="D3802" s="135">
        <v>39.39</v>
      </c>
    </row>
    <row r="3803" spans="4:4" x14ac:dyDescent="0.2">
      <c r="D3803" s="135">
        <v>39.4</v>
      </c>
    </row>
    <row r="3804" spans="4:4" x14ac:dyDescent="0.2">
      <c r="D3804" s="135">
        <v>39.409999999999997</v>
      </c>
    </row>
    <row r="3805" spans="4:4" x14ac:dyDescent="0.2">
      <c r="D3805" s="135">
        <v>39.42</v>
      </c>
    </row>
    <row r="3806" spans="4:4" x14ac:dyDescent="0.2">
      <c r="D3806" s="135">
        <v>39.43</v>
      </c>
    </row>
    <row r="3807" spans="4:4" x14ac:dyDescent="0.2">
      <c r="D3807" s="135">
        <v>39.44</v>
      </c>
    </row>
    <row r="3808" spans="4:4" x14ac:dyDescent="0.2">
      <c r="D3808" s="135">
        <v>39.450000000000003</v>
      </c>
    </row>
    <row r="3809" spans="4:4" x14ac:dyDescent="0.2">
      <c r="D3809" s="135">
        <v>39.46</v>
      </c>
    </row>
    <row r="3810" spans="4:4" x14ac:dyDescent="0.2">
      <c r="D3810" s="135">
        <v>39.47</v>
      </c>
    </row>
    <row r="3811" spans="4:4" x14ac:dyDescent="0.2">
      <c r="D3811" s="135">
        <v>39.479999999999997</v>
      </c>
    </row>
    <row r="3812" spans="4:4" x14ac:dyDescent="0.2">
      <c r="D3812" s="135">
        <v>39.49</v>
      </c>
    </row>
    <row r="3813" spans="4:4" x14ac:dyDescent="0.2">
      <c r="D3813" s="135">
        <v>39.5</v>
      </c>
    </row>
    <row r="3814" spans="4:4" x14ac:dyDescent="0.2">
      <c r="D3814" s="135">
        <v>39.51</v>
      </c>
    </row>
    <row r="3815" spans="4:4" x14ac:dyDescent="0.2">
      <c r="D3815" s="135">
        <v>39.520000000000003</v>
      </c>
    </row>
    <row r="3816" spans="4:4" x14ac:dyDescent="0.2">
      <c r="D3816" s="135">
        <v>39.53</v>
      </c>
    </row>
    <row r="3817" spans="4:4" x14ac:dyDescent="0.2">
      <c r="D3817" s="135">
        <v>39.54</v>
      </c>
    </row>
    <row r="3818" spans="4:4" x14ac:dyDescent="0.2">
      <c r="D3818" s="135">
        <v>39.549999999999997</v>
      </c>
    </row>
    <row r="3819" spans="4:4" x14ac:dyDescent="0.2">
      <c r="D3819" s="135">
        <v>39.56</v>
      </c>
    </row>
    <row r="3820" spans="4:4" x14ac:dyDescent="0.2">
      <c r="D3820" s="135">
        <v>39.57</v>
      </c>
    </row>
    <row r="3821" spans="4:4" x14ac:dyDescent="0.2">
      <c r="D3821" s="135">
        <v>39.58</v>
      </c>
    </row>
    <row r="3822" spans="4:4" x14ac:dyDescent="0.2">
      <c r="D3822" s="135">
        <v>39.590000000000003</v>
      </c>
    </row>
    <row r="3823" spans="4:4" x14ac:dyDescent="0.2">
      <c r="D3823" s="135">
        <v>39.6</v>
      </c>
    </row>
    <row r="3824" spans="4:4" x14ac:dyDescent="0.2">
      <c r="D3824" s="135">
        <v>39.61</v>
      </c>
    </row>
    <row r="3825" spans="4:4" x14ac:dyDescent="0.2">
      <c r="D3825" s="135">
        <v>39.619999999999997</v>
      </c>
    </row>
    <row r="3826" spans="4:4" x14ac:dyDescent="0.2">
      <c r="D3826" s="135">
        <v>39.630000000000003</v>
      </c>
    </row>
    <row r="3827" spans="4:4" x14ac:dyDescent="0.2">
      <c r="D3827" s="135">
        <v>39.64</v>
      </c>
    </row>
    <row r="3828" spans="4:4" x14ac:dyDescent="0.2">
      <c r="D3828" s="135">
        <v>39.65</v>
      </c>
    </row>
    <row r="3829" spans="4:4" x14ac:dyDescent="0.2">
      <c r="D3829" s="135">
        <v>39.659999999999997</v>
      </c>
    </row>
    <row r="3830" spans="4:4" x14ac:dyDescent="0.2">
      <c r="D3830" s="135">
        <v>39.67</v>
      </c>
    </row>
    <row r="3831" spans="4:4" x14ac:dyDescent="0.2">
      <c r="D3831" s="135">
        <v>39.68</v>
      </c>
    </row>
    <row r="3832" spans="4:4" x14ac:dyDescent="0.2">
      <c r="D3832" s="135">
        <v>39.69</v>
      </c>
    </row>
    <row r="3833" spans="4:4" x14ac:dyDescent="0.2">
      <c r="D3833" s="135">
        <v>39.700000000000003</v>
      </c>
    </row>
    <row r="3834" spans="4:4" x14ac:dyDescent="0.2">
      <c r="D3834" s="135">
        <v>39.71</v>
      </c>
    </row>
    <row r="3835" spans="4:4" x14ac:dyDescent="0.2">
      <c r="D3835" s="135">
        <v>39.72</v>
      </c>
    </row>
    <row r="3836" spans="4:4" x14ac:dyDescent="0.2">
      <c r="D3836" s="135">
        <v>39.729999999999997</v>
      </c>
    </row>
    <row r="3837" spans="4:4" x14ac:dyDescent="0.2">
      <c r="D3837" s="135">
        <v>39.74</v>
      </c>
    </row>
    <row r="3838" spans="4:4" x14ac:dyDescent="0.2">
      <c r="D3838" s="135">
        <v>39.75</v>
      </c>
    </row>
    <row r="3839" spans="4:4" x14ac:dyDescent="0.2">
      <c r="D3839" s="135">
        <v>39.76</v>
      </c>
    </row>
    <row r="3840" spans="4:4" x14ac:dyDescent="0.2">
      <c r="D3840" s="135">
        <v>39.770000000000003</v>
      </c>
    </row>
    <row r="3841" spans="4:4" x14ac:dyDescent="0.2">
      <c r="D3841" s="135">
        <v>39.78</v>
      </c>
    </row>
    <row r="3842" spans="4:4" x14ac:dyDescent="0.2">
      <c r="D3842" s="135">
        <v>39.79</v>
      </c>
    </row>
    <row r="3843" spans="4:4" x14ac:dyDescent="0.2">
      <c r="D3843" s="135">
        <v>39.799999999999997</v>
      </c>
    </row>
    <row r="3844" spans="4:4" x14ac:dyDescent="0.2">
      <c r="D3844" s="135">
        <v>39.81</v>
      </c>
    </row>
    <row r="3845" spans="4:4" x14ac:dyDescent="0.2">
      <c r="D3845" s="135">
        <v>39.82</v>
      </c>
    </row>
    <row r="3846" spans="4:4" x14ac:dyDescent="0.2">
      <c r="D3846" s="135">
        <v>39.83</v>
      </c>
    </row>
    <row r="3847" spans="4:4" x14ac:dyDescent="0.2">
      <c r="D3847" s="135">
        <v>39.840000000000003</v>
      </c>
    </row>
    <row r="3848" spans="4:4" x14ac:dyDescent="0.2">
      <c r="D3848" s="135">
        <v>39.85</v>
      </c>
    </row>
    <row r="3849" spans="4:4" x14ac:dyDescent="0.2">
      <c r="D3849" s="135">
        <v>39.86</v>
      </c>
    </row>
    <row r="3850" spans="4:4" x14ac:dyDescent="0.2">
      <c r="D3850" s="135">
        <v>39.869999999999997</v>
      </c>
    </row>
    <row r="3851" spans="4:4" x14ac:dyDescent="0.2">
      <c r="D3851" s="135">
        <v>39.880000000000003</v>
      </c>
    </row>
    <row r="3852" spans="4:4" x14ac:dyDescent="0.2">
      <c r="D3852" s="135">
        <v>39.89</v>
      </c>
    </row>
    <row r="3853" spans="4:4" x14ac:dyDescent="0.2">
      <c r="D3853" s="135">
        <v>39.9</v>
      </c>
    </row>
    <row r="3854" spans="4:4" x14ac:dyDescent="0.2">
      <c r="D3854" s="135">
        <v>39.909999999999997</v>
      </c>
    </row>
    <row r="3855" spans="4:4" x14ac:dyDescent="0.2">
      <c r="D3855" s="135">
        <v>39.92</v>
      </c>
    </row>
    <row r="3856" spans="4:4" x14ac:dyDescent="0.2">
      <c r="D3856" s="135">
        <v>39.93</v>
      </c>
    </row>
    <row r="3857" spans="4:4" x14ac:dyDescent="0.2">
      <c r="D3857" s="135">
        <v>39.94</v>
      </c>
    </row>
    <row r="3858" spans="4:4" x14ac:dyDescent="0.2">
      <c r="D3858" s="135">
        <v>39.950000000000003</v>
      </c>
    </row>
    <row r="3859" spans="4:4" x14ac:dyDescent="0.2">
      <c r="D3859" s="135">
        <v>39.96</v>
      </c>
    </row>
    <row r="3860" spans="4:4" x14ac:dyDescent="0.2">
      <c r="D3860" s="135">
        <v>39.97</v>
      </c>
    </row>
    <row r="3861" spans="4:4" x14ac:dyDescent="0.2">
      <c r="D3861" s="135">
        <v>39.979999999999997</v>
      </c>
    </row>
    <row r="3862" spans="4:4" x14ac:dyDescent="0.2">
      <c r="D3862" s="135">
        <v>39.99</v>
      </c>
    </row>
    <row r="3863" spans="4:4" x14ac:dyDescent="0.2">
      <c r="D3863" s="135">
        <v>40</v>
      </c>
    </row>
    <row r="3864" spans="4:4" x14ac:dyDescent="0.2">
      <c r="D3864" s="135">
        <v>40.01</v>
      </c>
    </row>
    <row r="3865" spans="4:4" x14ac:dyDescent="0.2">
      <c r="D3865" s="135">
        <v>40.020000000000003</v>
      </c>
    </row>
    <row r="3866" spans="4:4" x14ac:dyDescent="0.2">
      <c r="D3866" s="135">
        <v>40.03</v>
      </c>
    </row>
    <row r="3867" spans="4:4" x14ac:dyDescent="0.2">
      <c r="D3867" s="135">
        <v>40.04</v>
      </c>
    </row>
    <row r="3868" spans="4:4" x14ac:dyDescent="0.2">
      <c r="D3868" s="135">
        <v>40.049999999999997</v>
      </c>
    </row>
    <row r="3869" spans="4:4" x14ac:dyDescent="0.2">
      <c r="D3869" s="135">
        <v>40.06</v>
      </c>
    </row>
    <row r="3870" spans="4:4" x14ac:dyDescent="0.2">
      <c r="D3870" s="135">
        <v>40.07</v>
      </c>
    </row>
    <row r="3871" spans="4:4" x14ac:dyDescent="0.2">
      <c r="D3871" s="135">
        <v>40.08</v>
      </c>
    </row>
    <row r="3872" spans="4:4" x14ac:dyDescent="0.2">
      <c r="D3872" s="135">
        <v>40.090000000000003</v>
      </c>
    </row>
    <row r="3873" spans="4:4" x14ac:dyDescent="0.2">
      <c r="D3873" s="135">
        <v>40.1</v>
      </c>
    </row>
    <row r="3874" spans="4:4" x14ac:dyDescent="0.2">
      <c r="D3874" s="135">
        <v>40.11</v>
      </c>
    </row>
    <row r="3875" spans="4:4" x14ac:dyDescent="0.2">
      <c r="D3875" s="135">
        <v>40.119999999999997</v>
      </c>
    </row>
    <row r="3876" spans="4:4" x14ac:dyDescent="0.2">
      <c r="D3876" s="135">
        <v>40.130000000000003</v>
      </c>
    </row>
    <row r="3877" spans="4:4" x14ac:dyDescent="0.2">
      <c r="D3877" s="135">
        <v>40.14</v>
      </c>
    </row>
    <row r="3878" spans="4:4" x14ac:dyDescent="0.2">
      <c r="D3878" s="135">
        <v>40.15</v>
      </c>
    </row>
    <row r="3879" spans="4:4" x14ac:dyDescent="0.2">
      <c r="D3879" s="135">
        <v>40.159999999999997</v>
      </c>
    </row>
    <row r="3880" spans="4:4" x14ac:dyDescent="0.2">
      <c r="D3880" s="135">
        <v>40.17</v>
      </c>
    </row>
    <row r="3881" spans="4:4" x14ac:dyDescent="0.2">
      <c r="D3881" s="135">
        <v>40.18</v>
      </c>
    </row>
    <row r="3882" spans="4:4" x14ac:dyDescent="0.2">
      <c r="D3882" s="135">
        <v>40.19</v>
      </c>
    </row>
    <row r="3883" spans="4:4" x14ac:dyDescent="0.2">
      <c r="D3883" s="135">
        <v>40.200000000000003</v>
      </c>
    </row>
    <row r="3884" spans="4:4" x14ac:dyDescent="0.2">
      <c r="D3884" s="135">
        <v>40.21</v>
      </c>
    </row>
    <row r="3885" spans="4:4" x14ac:dyDescent="0.2">
      <c r="D3885" s="135">
        <v>40.22</v>
      </c>
    </row>
    <row r="3886" spans="4:4" x14ac:dyDescent="0.2">
      <c r="D3886" s="135">
        <v>40.229999999999997</v>
      </c>
    </row>
    <row r="3887" spans="4:4" x14ac:dyDescent="0.2">
      <c r="D3887" s="135">
        <v>40.24</v>
      </c>
    </row>
    <row r="3888" spans="4:4" x14ac:dyDescent="0.2">
      <c r="D3888" s="135">
        <v>40.25</v>
      </c>
    </row>
    <row r="3889" spans="4:4" x14ac:dyDescent="0.2">
      <c r="D3889" s="135">
        <v>40.26</v>
      </c>
    </row>
    <row r="3890" spans="4:4" x14ac:dyDescent="0.2">
      <c r="D3890" s="135">
        <v>40.270000000000003</v>
      </c>
    </row>
    <row r="3891" spans="4:4" x14ac:dyDescent="0.2">
      <c r="D3891" s="135">
        <v>40.28</v>
      </c>
    </row>
    <row r="3892" spans="4:4" x14ac:dyDescent="0.2">
      <c r="D3892" s="135">
        <v>40.29</v>
      </c>
    </row>
    <row r="3893" spans="4:4" x14ac:dyDescent="0.2">
      <c r="D3893" s="135">
        <v>40.299999999999997</v>
      </c>
    </row>
    <row r="3894" spans="4:4" x14ac:dyDescent="0.2">
      <c r="D3894" s="135">
        <v>40.31</v>
      </c>
    </row>
    <row r="3895" spans="4:4" x14ac:dyDescent="0.2">
      <c r="D3895" s="135">
        <v>40.32</v>
      </c>
    </row>
    <row r="3896" spans="4:4" x14ac:dyDescent="0.2">
      <c r="D3896" s="135">
        <v>40.33</v>
      </c>
    </row>
    <row r="3897" spans="4:4" x14ac:dyDescent="0.2">
      <c r="D3897" s="135">
        <v>40.340000000000003</v>
      </c>
    </row>
    <row r="3898" spans="4:4" x14ac:dyDescent="0.2">
      <c r="D3898" s="135">
        <v>40.35</v>
      </c>
    </row>
    <row r="3899" spans="4:4" x14ac:dyDescent="0.2">
      <c r="D3899" s="135">
        <v>40.36</v>
      </c>
    </row>
    <row r="3900" spans="4:4" x14ac:dyDescent="0.2">
      <c r="D3900" s="135">
        <v>40.369999999999997</v>
      </c>
    </row>
    <row r="3901" spans="4:4" x14ac:dyDescent="0.2">
      <c r="D3901" s="135">
        <v>40.380000000000003</v>
      </c>
    </row>
    <row r="3902" spans="4:4" x14ac:dyDescent="0.2">
      <c r="D3902" s="135">
        <v>40.39</v>
      </c>
    </row>
    <row r="3903" spans="4:4" x14ac:dyDescent="0.2">
      <c r="D3903" s="135">
        <v>40.4</v>
      </c>
    </row>
    <row r="3904" spans="4:4" x14ac:dyDescent="0.2">
      <c r="D3904" s="135">
        <v>40.409999999999997</v>
      </c>
    </row>
    <row r="3905" spans="4:4" x14ac:dyDescent="0.2">
      <c r="D3905" s="135">
        <v>40.42</v>
      </c>
    </row>
    <row r="3906" spans="4:4" x14ac:dyDescent="0.2">
      <c r="D3906" s="135">
        <v>40.43</v>
      </c>
    </row>
    <row r="3907" spans="4:4" x14ac:dyDescent="0.2">
      <c r="D3907" s="135">
        <v>40.44</v>
      </c>
    </row>
    <row r="3908" spans="4:4" x14ac:dyDescent="0.2">
      <c r="D3908" s="135">
        <v>40.450000000000003</v>
      </c>
    </row>
    <row r="3909" spans="4:4" x14ac:dyDescent="0.2">
      <c r="D3909" s="135">
        <v>40.46</v>
      </c>
    </row>
    <row r="3910" spans="4:4" x14ac:dyDescent="0.2">
      <c r="D3910" s="135">
        <v>40.47</v>
      </c>
    </row>
    <row r="3911" spans="4:4" x14ac:dyDescent="0.2">
      <c r="D3911" s="135">
        <v>40.479999999999997</v>
      </c>
    </row>
    <row r="3912" spans="4:4" x14ac:dyDescent="0.2">
      <c r="D3912" s="135">
        <v>40.49</v>
      </c>
    </row>
    <row r="3913" spans="4:4" x14ac:dyDescent="0.2">
      <c r="D3913" s="135">
        <v>40.5</v>
      </c>
    </row>
    <row r="3914" spans="4:4" x14ac:dyDescent="0.2">
      <c r="D3914" s="135">
        <v>40.51</v>
      </c>
    </row>
    <row r="3915" spans="4:4" x14ac:dyDescent="0.2">
      <c r="D3915" s="135">
        <v>40.520000000000003</v>
      </c>
    </row>
    <row r="3916" spans="4:4" x14ac:dyDescent="0.2">
      <c r="D3916" s="135">
        <v>40.53</v>
      </c>
    </row>
    <row r="3917" spans="4:4" x14ac:dyDescent="0.2">
      <c r="D3917" s="135">
        <v>40.54</v>
      </c>
    </row>
    <row r="3918" spans="4:4" x14ac:dyDescent="0.2">
      <c r="D3918" s="135">
        <v>40.549999999999997</v>
      </c>
    </row>
    <row r="3919" spans="4:4" x14ac:dyDescent="0.2">
      <c r="D3919" s="135">
        <v>40.56</v>
      </c>
    </row>
    <row r="3920" spans="4:4" x14ac:dyDescent="0.2">
      <c r="D3920" s="135">
        <v>40.57</v>
      </c>
    </row>
    <row r="3921" spans="4:4" x14ac:dyDescent="0.2">
      <c r="D3921" s="135">
        <v>40.58</v>
      </c>
    </row>
    <row r="3922" spans="4:4" x14ac:dyDescent="0.2">
      <c r="D3922" s="135">
        <v>40.590000000000003</v>
      </c>
    </row>
    <row r="3923" spans="4:4" x14ac:dyDescent="0.2">
      <c r="D3923" s="135">
        <v>40.6</v>
      </c>
    </row>
    <row r="3924" spans="4:4" x14ac:dyDescent="0.2">
      <c r="D3924" s="135">
        <v>40.61</v>
      </c>
    </row>
    <row r="3925" spans="4:4" x14ac:dyDescent="0.2">
      <c r="D3925" s="135">
        <v>40.619999999999997</v>
      </c>
    </row>
    <row r="3926" spans="4:4" x14ac:dyDescent="0.2">
      <c r="D3926" s="135">
        <v>40.630000000000003</v>
      </c>
    </row>
    <row r="3927" spans="4:4" x14ac:dyDescent="0.2">
      <c r="D3927" s="135">
        <v>40.64</v>
      </c>
    </row>
    <row r="3928" spans="4:4" x14ac:dyDescent="0.2">
      <c r="D3928" s="135">
        <v>40.65</v>
      </c>
    </row>
    <row r="3929" spans="4:4" x14ac:dyDescent="0.2">
      <c r="D3929" s="135">
        <v>40.659999999999997</v>
      </c>
    </row>
    <row r="3930" spans="4:4" x14ac:dyDescent="0.2">
      <c r="D3930" s="135">
        <v>40.67</v>
      </c>
    </row>
    <row r="3931" spans="4:4" x14ac:dyDescent="0.2">
      <c r="D3931" s="135">
        <v>40.68</v>
      </c>
    </row>
    <row r="3932" spans="4:4" x14ac:dyDescent="0.2">
      <c r="D3932" s="135">
        <v>40.69</v>
      </c>
    </row>
    <row r="3933" spans="4:4" x14ac:dyDescent="0.2">
      <c r="D3933" s="135">
        <v>40.700000000000003</v>
      </c>
    </row>
    <row r="3934" spans="4:4" x14ac:dyDescent="0.2">
      <c r="D3934" s="135">
        <v>40.71</v>
      </c>
    </row>
    <row r="3935" spans="4:4" x14ac:dyDescent="0.2">
      <c r="D3935" s="135">
        <v>40.72</v>
      </c>
    </row>
    <row r="3936" spans="4:4" x14ac:dyDescent="0.2">
      <c r="D3936" s="135">
        <v>40.729999999999997</v>
      </c>
    </row>
    <row r="3937" spans="4:4" x14ac:dyDescent="0.2">
      <c r="D3937" s="135">
        <v>40.74</v>
      </c>
    </row>
    <row r="3938" spans="4:4" x14ac:dyDescent="0.2">
      <c r="D3938" s="135">
        <v>40.75</v>
      </c>
    </row>
    <row r="3939" spans="4:4" x14ac:dyDescent="0.2">
      <c r="D3939" s="135">
        <v>40.76</v>
      </c>
    </row>
    <row r="3940" spans="4:4" x14ac:dyDescent="0.2">
      <c r="D3940" s="135">
        <v>40.770000000000003</v>
      </c>
    </row>
    <row r="3941" spans="4:4" x14ac:dyDescent="0.2">
      <c r="D3941" s="135">
        <v>40.78</v>
      </c>
    </row>
    <row r="3942" spans="4:4" x14ac:dyDescent="0.2">
      <c r="D3942" s="135">
        <v>40.79</v>
      </c>
    </row>
    <row r="3943" spans="4:4" x14ac:dyDescent="0.2">
      <c r="D3943" s="135">
        <v>40.799999999999997</v>
      </c>
    </row>
    <row r="3944" spans="4:4" x14ac:dyDescent="0.2">
      <c r="D3944" s="135">
        <v>40.81</v>
      </c>
    </row>
    <row r="3945" spans="4:4" x14ac:dyDescent="0.2">
      <c r="D3945" s="135">
        <v>40.82</v>
      </c>
    </row>
    <row r="3946" spans="4:4" x14ac:dyDescent="0.2">
      <c r="D3946" s="135">
        <v>40.83</v>
      </c>
    </row>
    <row r="3947" spans="4:4" x14ac:dyDescent="0.2">
      <c r="D3947" s="135">
        <v>40.840000000000003</v>
      </c>
    </row>
    <row r="3948" spans="4:4" x14ac:dyDescent="0.2">
      <c r="D3948" s="135">
        <v>40.85</v>
      </c>
    </row>
    <row r="3949" spans="4:4" x14ac:dyDescent="0.2">
      <c r="D3949" s="135">
        <v>40.86</v>
      </c>
    </row>
    <row r="3950" spans="4:4" x14ac:dyDescent="0.2">
      <c r="D3950" s="135">
        <v>40.869999999999997</v>
      </c>
    </row>
    <row r="3951" spans="4:4" x14ac:dyDescent="0.2">
      <c r="D3951" s="135">
        <v>40.880000000000003</v>
      </c>
    </row>
    <row r="3952" spans="4:4" x14ac:dyDescent="0.2">
      <c r="D3952" s="135">
        <v>40.89</v>
      </c>
    </row>
    <row r="3953" spans="4:4" x14ac:dyDescent="0.2">
      <c r="D3953" s="135">
        <v>40.9</v>
      </c>
    </row>
    <row r="3954" spans="4:4" x14ac:dyDescent="0.2">
      <c r="D3954" s="135">
        <v>40.909999999999997</v>
      </c>
    </row>
    <row r="3955" spans="4:4" x14ac:dyDescent="0.2">
      <c r="D3955" s="135">
        <v>40.92</v>
      </c>
    </row>
    <row r="3956" spans="4:4" x14ac:dyDescent="0.2">
      <c r="D3956" s="135">
        <v>40.93</v>
      </c>
    </row>
    <row r="3957" spans="4:4" x14ac:dyDescent="0.2">
      <c r="D3957" s="135">
        <v>40.94</v>
      </c>
    </row>
    <row r="3958" spans="4:4" x14ac:dyDescent="0.2">
      <c r="D3958" s="135">
        <v>40.950000000000003</v>
      </c>
    </row>
    <row r="3959" spans="4:4" x14ac:dyDescent="0.2">
      <c r="D3959" s="135">
        <v>40.96</v>
      </c>
    </row>
    <row r="3960" spans="4:4" x14ac:dyDescent="0.2">
      <c r="D3960" s="135">
        <v>40.97</v>
      </c>
    </row>
    <row r="3961" spans="4:4" x14ac:dyDescent="0.2">
      <c r="D3961" s="135">
        <v>40.98</v>
      </c>
    </row>
    <row r="3962" spans="4:4" x14ac:dyDescent="0.2">
      <c r="D3962" s="135">
        <v>40.99</v>
      </c>
    </row>
    <row r="3963" spans="4:4" x14ac:dyDescent="0.2">
      <c r="D3963" s="135">
        <v>41</v>
      </c>
    </row>
    <row r="3964" spans="4:4" x14ac:dyDescent="0.2">
      <c r="D3964" s="135">
        <v>41.01</v>
      </c>
    </row>
    <row r="3965" spans="4:4" x14ac:dyDescent="0.2">
      <c r="D3965" s="135">
        <v>41.02</v>
      </c>
    </row>
    <row r="3966" spans="4:4" x14ac:dyDescent="0.2">
      <c r="D3966" s="135">
        <v>41.03</v>
      </c>
    </row>
    <row r="3967" spans="4:4" x14ac:dyDescent="0.2">
      <c r="D3967" s="135">
        <v>41.04</v>
      </c>
    </row>
    <row r="3968" spans="4:4" x14ac:dyDescent="0.2">
      <c r="D3968" s="135">
        <v>41.05</v>
      </c>
    </row>
    <row r="3969" spans="4:4" x14ac:dyDescent="0.2">
      <c r="D3969" s="135">
        <v>41.06</v>
      </c>
    </row>
    <row r="3970" spans="4:4" x14ac:dyDescent="0.2">
      <c r="D3970" s="135">
        <v>41.07</v>
      </c>
    </row>
    <row r="3971" spans="4:4" x14ac:dyDescent="0.2">
      <c r="D3971" s="135">
        <v>41.08</v>
      </c>
    </row>
    <row r="3972" spans="4:4" x14ac:dyDescent="0.2">
      <c r="D3972" s="135">
        <v>41.09</v>
      </c>
    </row>
    <row r="3973" spans="4:4" x14ac:dyDescent="0.2">
      <c r="D3973" s="135">
        <v>41.1</v>
      </c>
    </row>
    <row r="3974" spans="4:4" x14ac:dyDescent="0.2">
      <c r="D3974" s="135">
        <v>41.11</v>
      </c>
    </row>
    <row r="3975" spans="4:4" x14ac:dyDescent="0.2">
      <c r="D3975" s="135">
        <v>41.12</v>
      </c>
    </row>
    <row r="3976" spans="4:4" x14ac:dyDescent="0.2">
      <c r="D3976" s="135">
        <v>41.13</v>
      </c>
    </row>
    <row r="3977" spans="4:4" x14ac:dyDescent="0.2">
      <c r="D3977" s="135">
        <v>41.14</v>
      </c>
    </row>
    <row r="3978" spans="4:4" x14ac:dyDescent="0.2">
      <c r="D3978" s="135">
        <v>41.15</v>
      </c>
    </row>
    <row r="3979" spans="4:4" x14ac:dyDescent="0.2">
      <c r="D3979" s="135">
        <v>41.16</v>
      </c>
    </row>
    <row r="3980" spans="4:4" x14ac:dyDescent="0.2">
      <c r="D3980" s="135">
        <v>41.17</v>
      </c>
    </row>
    <row r="3981" spans="4:4" x14ac:dyDescent="0.2">
      <c r="D3981" s="135">
        <v>41.18</v>
      </c>
    </row>
    <row r="3982" spans="4:4" x14ac:dyDescent="0.2">
      <c r="D3982" s="135">
        <v>41.19</v>
      </c>
    </row>
    <row r="3983" spans="4:4" x14ac:dyDescent="0.2">
      <c r="D3983" s="135">
        <v>41.2</v>
      </c>
    </row>
    <row r="3984" spans="4:4" x14ac:dyDescent="0.2">
      <c r="D3984" s="135">
        <v>41.21</v>
      </c>
    </row>
    <row r="3985" spans="4:4" x14ac:dyDescent="0.2">
      <c r="D3985" s="135">
        <v>41.22</v>
      </c>
    </row>
    <row r="3986" spans="4:4" x14ac:dyDescent="0.2">
      <c r="D3986" s="135">
        <v>41.23</v>
      </c>
    </row>
    <row r="3987" spans="4:4" x14ac:dyDescent="0.2">
      <c r="D3987" s="135">
        <v>41.24</v>
      </c>
    </row>
    <row r="3988" spans="4:4" x14ac:dyDescent="0.2">
      <c r="D3988" s="135">
        <v>41.25</v>
      </c>
    </row>
    <row r="3989" spans="4:4" x14ac:dyDescent="0.2">
      <c r="D3989" s="135">
        <v>41.26</v>
      </c>
    </row>
    <row r="3990" spans="4:4" x14ac:dyDescent="0.2">
      <c r="D3990" s="135">
        <v>41.27</v>
      </c>
    </row>
    <row r="3991" spans="4:4" x14ac:dyDescent="0.2">
      <c r="D3991" s="135">
        <v>41.28</v>
      </c>
    </row>
    <row r="3992" spans="4:4" x14ac:dyDescent="0.2">
      <c r="D3992" s="135">
        <v>41.29</v>
      </c>
    </row>
    <row r="3993" spans="4:4" x14ac:dyDescent="0.2">
      <c r="D3993" s="135">
        <v>41.3</v>
      </c>
    </row>
    <row r="3994" spans="4:4" x14ac:dyDescent="0.2">
      <c r="D3994" s="135">
        <v>41.31</v>
      </c>
    </row>
    <row r="3995" spans="4:4" x14ac:dyDescent="0.2">
      <c r="D3995" s="135">
        <v>41.32</v>
      </c>
    </row>
    <row r="3996" spans="4:4" x14ac:dyDescent="0.2">
      <c r="D3996" s="135">
        <v>41.33</v>
      </c>
    </row>
    <row r="3997" spans="4:4" x14ac:dyDescent="0.2">
      <c r="D3997" s="135">
        <v>41.34</v>
      </c>
    </row>
    <row r="3998" spans="4:4" x14ac:dyDescent="0.2">
      <c r="D3998" s="135">
        <v>41.35</v>
      </c>
    </row>
    <row r="3999" spans="4:4" x14ac:dyDescent="0.2">
      <c r="D3999" s="135">
        <v>41.36</v>
      </c>
    </row>
    <row r="4000" spans="4:4" x14ac:dyDescent="0.2">
      <c r="D4000" s="135">
        <v>41.37</v>
      </c>
    </row>
    <row r="4001" spans="4:4" x14ac:dyDescent="0.2">
      <c r="D4001" s="135">
        <v>41.38</v>
      </c>
    </row>
    <row r="4002" spans="4:4" x14ac:dyDescent="0.2">
      <c r="D4002" s="135">
        <v>41.39</v>
      </c>
    </row>
    <row r="4003" spans="4:4" x14ac:dyDescent="0.2">
      <c r="D4003" s="135">
        <v>41.4</v>
      </c>
    </row>
    <row r="4004" spans="4:4" x14ac:dyDescent="0.2">
      <c r="D4004" s="135">
        <v>41.41</v>
      </c>
    </row>
    <row r="4005" spans="4:4" x14ac:dyDescent="0.2">
      <c r="D4005" s="135">
        <v>41.42</v>
      </c>
    </row>
    <row r="4006" spans="4:4" x14ac:dyDescent="0.2">
      <c r="D4006" s="135">
        <v>41.43</v>
      </c>
    </row>
    <row r="4007" spans="4:4" x14ac:dyDescent="0.2">
      <c r="D4007" s="135">
        <v>41.44</v>
      </c>
    </row>
    <row r="4008" spans="4:4" x14ac:dyDescent="0.2">
      <c r="D4008" s="135">
        <v>41.45</v>
      </c>
    </row>
    <row r="4009" spans="4:4" x14ac:dyDescent="0.2">
      <c r="D4009" s="135">
        <v>41.46</v>
      </c>
    </row>
    <row r="4010" spans="4:4" x14ac:dyDescent="0.2">
      <c r="D4010" s="135">
        <v>41.47</v>
      </c>
    </row>
    <row r="4011" spans="4:4" x14ac:dyDescent="0.2">
      <c r="D4011" s="135">
        <v>41.48</v>
      </c>
    </row>
    <row r="4012" spans="4:4" x14ac:dyDescent="0.2">
      <c r="D4012" s="135">
        <v>41.49</v>
      </c>
    </row>
    <row r="4013" spans="4:4" x14ac:dyDescent="0.2">
      <c r="D4013" s="135">
        <v>41.5</v>
      </c>
    </row>
    <row r="4014" spans="4:4" x14ac:dyDescent="0.2">
      <c r="D4014" s="135">
        <v>41.51</v>
      </c>
    </row>
    <row r="4015" spans="4:4" x14ac:dyDescent="0.2">
      <c r="D4015" s="135">
        <v>41.52</v>
      </c>
    </row>
    <row r="4016" spans="4:4" x14ac:dyDescent="0.2">
      <c r="D4016" s="135">
        <v>41.53</v>
      </c>
    </row>
    <row r="4017" spans="4:4" x14ac:dyDescent="0.2">
      <c r="D4017" s="135">
        <v>41.54</v>
      </c>
    </row>
    <row r="4018" spans="4:4" x14ac:dyDescent="0.2">
      <c r="D4018" s="135">
        <v>41.55</v>
      </c>
    </row>
    <row r="4019" spans="4:4" x14ac:dyDescent="0.2">
      <c r="D4019" s="135">
        <v>41.56</v>
      </c>
    </row>
    <row r="4020" spans="4:4" x14ac:dyDescent="0.2">
      <c r="D4020" s="135">
        <v>41.57</v>
      </c>
    </row>
    <row r="4021" spans="4:4" x14ac:dyDescent="0.2">
      <c r="D4021" s="135">
        <v>41.58</v>
      </c>
    </row>
    <row r="4022" spans="4:4" x14ac:dyDescent="0.2">
      <c r="D4022" s="135">
        <v>41.59</v>
      </c>
    </row>
    <row r="4023" spans="4:4" x14ac:dyDescent="0.2">
      <c r="D4023" s="135">
        <v>41.6</v>
      </c>
    </row>
    <row r="4024" spans="4:4" x14ac:dyDescent="0.2">
      <c r="D4024" s="135">
        <v>41.61</v>
      </c>
    </row>
    <row r="4025" spans="4:4" x14ac:dyDescent="0.2">
      <c r="D4025" s="135">
        <v>41.62</v>
      </c>
    </row>
    <row r="4026" spans="4:4" x14ac:dyDescent="0.2">
      <c r="D4026" s="135">
        <v>41.63</v>
      </c>
    </row>
    <row r="4027" spans="4:4" x14ac:dyDescent="0.2">
      <c r="D4027" s="135">
        <v>41.64</v>
      </c>
    </row>
    <row r="4028" spans="4:4" x14ac:dyDescent="0.2">
      <c r="D4028" s="135">
        <v>41.65</v>
      </c>
    </row>
    <row r="4029" spans="4:4" x14ac:dyDescent="0.2">
      <c r="D4029" s="135">
        <v>41.66</v>
      </c>
    </row>
    <row r="4030" spans="4:4" x14ac:dyDescent="0.2">
      <c r="D4030" s="135">
        <v>41.67</v>
      </c>
    </row>
    <row r="4031" spans="4:4" x14ac:dyDescent="0.2">
      <c r="D4031" s="135">
        <v>41.68</v>
      </c>
    </row>
    <row r="4032" spans="4:4" x14ac:dyDescent="0.2">
      <c r="D4032" s="135">
        <v>41.69</v>
      </c>
    </row>
    <row r="4033" spans="4:4" x14ac:dyDescent="0.2">
      <c r="D4033" s="135">
        <v>41.7</v>
      </c>
    </row>
    <row r="4034" spans="4:4" x14ac:dyDescent="0.2">
      <c r="D4034" s="135">
        <v>41.71</v>
      </c>
    </row>
    <row r="4035" spans="4:4" x14ac:dyDescent="0.2">
      <c r="D4035" s="135">
        <v>41.72</v>
      </c>
    </row>
    <row r="4036" spans="4:4" x14ac:dyDescent="0.2">
      <c r="D4036" s="135">
        <v>41.73</v>
      </c>
    </row>
    <row r="4037" spans="4:4" x14ac:dyDescent="0.2">
      <c r="D4037" s="135">
        <v>41.74</v>
      </c>
    </row>
    <row r="4038" spans="4:4" x14ac:dyDescent="0.2">
      <c r="D4038" s="135">
        <v>41.75</v>
      </c>
    </row>
    <row r="4039" spans="4:4" x14ac:dyDescent="0.2">
      <c r="D4039" s="135">
        <v>41.76</v>
      </c>
    </row>
    <row r="4040" spans="4:4" x14ac:dyDescent="0.2">
      <c r="D4040" s="135">
        <v>41.77</v>
      </c>
    </row>
    <row r="4041" spans="4:4" x14ac:dyDescent="0.2">
      <c r="D4041" s="135">
        <v>41.78</v>
      </c>
    </row>
    <row r="4042" spans="4:4" x14ac:dyDescent="0.2">
      <c r="D4042" s="135">
        <v>41.79</v>
      </c>
    </row>
    <row r="4043" spans="4:4" x14ac:dyDescent="0.2">
      <c r="D4043" s="135">
        <v>41.8</v>
      </c>
    </row>
    <row r="4044" spans="4:4" x14ac:dyDescent="0.2">
      <c r="D4044" s="135">
        <v>41.81</v>
      </c>
    </row>
    <row r="4045" spans="4:4" x14ac:dyDescent="0.2">
      <c r="D4045" s="135">
        <v>41.82</v>
      </c>
    </row>
    <row r="4046" spans="4:4" x14ac:dyDescent="0.2">
      <c r="D4046" s="135">
        <v>41.83</v>
      </c>
    </row>
    <row r="4047" spans="4:4" x14ac:dyDescent="0.2">
      <c r="D4047" s="135">
        <v>41.84</v>
      </c>
    </row>
    <row r="4048" spans="4:4" x14ac:dyDescent="0.2">
      <c r="D4048" s="135">
        <v>41.85</v>
      </c>
    </row>
    <row r="4049" spans="4:4" x14ac:dyDescent="0.2">
      <c r="D4049" s="135">
        <v>41.86</v>
      </c>
    </row>
    <row r="4050" spans="4:4" x14ac:dyDescent="0.2">
      <c r="D4050" s="135">
        <v>41.87</v>
      </c>
    </row>
    <row r="4051" spans="4:4" x14ac:dyDescent="0.2">
      <c r="D4051" s="135">
        <v>41.88</v>
      </c>
    </row>
    <row r="4052" spans="4:4" x14ac:dyDescent="0.2">
      <c r="D4052" s="135">
        <v>41.89</v>
      </c>
    </row>
    <row r="4053" spans="4:4" x14ac:dyDescent="0.2">
      <c r="D4053" s="135">
        <v>41.9</v>
      </c>
    </row>
    <row r="4054" spans="4:4" x14ac:dyDescent="0.2">
      <c r="D4054" s="135">
        <v>41.91</v>
      </c>
    </row>
    <row r="4055" spans="4:4" x14ac:dyDescent="0.2">
      <c r="D4055" s="135">
        <v>41.92</v>
      </c>
    </row>
    <row r="4056" spans="4:4" x14ac:dyDescent="0.2">
      <c r="D4056" s="135">
        <v>41.93</v>
      </c>
    </row>
    <row r="4057" spans="4:4" x14ac:dyDescent="0.2">
      <c r="D4057" s="135">
        <v>41.94</v>
      </c>
    </row>
    <row r="4058" spans="4:4" x14ac:dyDescent="0.2">
      <c r="D4058" s="135">
        <v>41.95</v>
      </c>
    </row>
    <row r="4059" spans="4:4" x14ac:dyDescent="0.2">
      <c r="D4059" s="135">
        <v>41.96</v>
      </c>
    </row>
    <row r="4060" spans="4:4" x14ac:dyDescent="0.2">
      <c r="D4060" s="135">
        <v>41.97</v>
      </c>
    </row>
    <row r="4061" spans="4:4" x14ac:dyDescent="0.2">
      <c r="D4061" s="135">
        <v>41.98</v>
      </c>
    </row>
    <row r="4062" spans="4:4" x14ac:dyDescent="0.2">
      <c r="D4062" s="135">
        <v>41.99</v>
      </c>
    </row>
    <row r="4063" spans="4:4" x14ac:dyDescent="0.2">
      <c r="D4063" s="135">
        <v>42</v>
      </c>
    </row>
    <row r="4064" spans="4:4" x14ac:dyDescent="0.2">
      <c r="D4064" s="135">
        <v>42.01</v>
      </c>
    </row>
    <row r="4065" spans="4:4" x14ac:dyDescent="0.2">
      <c r="D4065" s="135">
        <v>42.02</v>
      </c>
    </row>
    <row r="4066" spans="4:4" x14ac:dyDescent="0.2">
      <c r="D4066" s="135">
        <v>42.03</v>
      </c>
    </row>
    <row r="4067" spans="4:4" x14ac:dyDescent="0.2">
      <c r="D4067" s="135">
        <v>42.04</v>
      </c>
    </row>
    <row r="4068" spans="4:4" x14ac:dyDescent="0.2">
      <c r="D4068" s="135">
        <v>42.05</v>
      </c>
    </row>
    <row r="4069" spans="4:4" x14ac:dyDescent="0.2">
      <c r="D4069" s="135">
        <v>42.06</v>
      </c>
    </row>
    <row r="4070" spans="4:4" x14ac:dyDescent="0.2">
      <c r="D4070" s="135">
        <v>42.07</v>
      </c>
    </row>
    <row r="4071" spans="4:4" x14ac:dyDescent="0.2">
      <c r="D4071" s="135">
        <v>42.08</v>
      </c>
    </row>
    <row r="4072" spans="4:4" x14ac:dyDescent="0.2">
      <c r="D4072" s="135">
        <v>42.09</v>
      </c>
    </row>
    <row r="4073" spans="4:4" x14ac:dyDescent="0.2">
      <c r="D4073" s="135">
        <v>42.1</v>
      </c>
    </row>
    <row r="4074" spans="4:4" x14ac:dyDescent="0.2">
      <c r="D4074" s="135">
        <v>42.11</v>
      </c>
    </row>
    <row r="4075" spans="4:4" x14ac:dyDescent="0.2">
      <c r="D4075" s="135">
        <v>42.12</v>
      </c>
    </row>
    <row r="4076" spans="4:4" x14ac:dyDescent="0.2">
      <c r="D4076" s="135">
        <v>42.13</v>
      </c>
    </row>
    <row r="4077" spans="4:4" x14ac:dyDescent="0.2">
      <c r="D4077" s="135">
        <v>42.14</v>
      </c>
    </row>
    <row r="4078" spans="4:4" x14ac:dyDescent="0.2">
      <c r="D4078" s="135">
        <v>42.15</v>
      </c>
    </row>
    <row r="4079" spans="4:4" x14ac:dyDescent="0.2">
      <c r="D4079" s="135">
        <v>42.16</v>
      </c>
    </row>
    <row r="4080" spans="4:4" x14ac:dyDescent="0.2">
      <c r="D4080" s="135">
        <v>42.17</v>
      </c>
    </row>
    <row r="4081" spans="4:4" x14ac:dyDescent="0.2">
      <c r="D4081" s="135">
        <v>42.18</v>
      </c>
    </row>
    <row r="4082" spans="4:4" x14ac:dyDescent="0.2">
      <c r="D4082" s="135">
        <v>42.19</v>
      </c>
    </row>
    <row r="4083" spans="4:4" x14ac:dyDescent="0.2">
      <c r="D4083" s="135">
        <v>42.2</v>
      </c>
    </row>
    <row r="4084" spans="4:4" x14ac:dyDescent="0.2">
      <c r="D4084" s="135">
        <v>42.21</v>
      </c>
    </row>
    <row r="4085" spans="4:4" x14ac:dyDescent="0.2">
      <c r="D4085" s="135">
        <v>42.22</v>
      </c>
    </row>
    <row r="4086" spans="4:4" x14ac:dyDescent="0.2">
      <c r="D4086" s="135">
        <v>42.23</v>
      </c>
    </row>
    <row r="4087" spans="4:4" x14ac:dyDescent="0.2">
      <c r="D4087" s="135">
        <v>42.24</v>
      </c>
    </row>
    <row r="4088" spans="4:4" x14ac:dyDescent="0.2">
      <c r="D4088" s="135">
        <v>42.25</v>
      </c>
    </row>
    <row r="4089" spans="4:4" x14ac:dyDescent="0.2">
      <c r="D4089" s="135">
        <v>42.26</v>
      </c>
    </row>
    <row r="4090" spans="4:4" x14ac:dyDescent="0.2">
      <c r="D4090" s="135">
        <v>42.27</v>
      </c>
    </row>
    <row r="4091" spans="4:4" x14ac:dyDescent="0.2">
      <c r="D4091" s="135">
        <v>42.28</v>
      </c>
    </row>
    <row r="4092" spans="4:4" x14ac:dyDescent="0.2">
      <c r="D4092" s="135">
        <v>42.29</v>
      </c>
    </row>
    <row r="4093" spans="4:4" x14ac:dyDescent="0.2">
      <c r="D4093" s="135">
        <v>42.3</v>
      </c>
    </row>
    <row r="4094" spans="4:4" x14ac:dyDescent="0.2">
      <c r="D4094" s="135">
        <v>42.31</v>
      </c>
    </row>
    <row r="4095" spans="4:4" x14ac:dyDescent="0.2">
      <c r="D4095" s="135">
        <v>42.32</v>
      </c>
    </row>
    <row r="4096" spans="4:4" x14ac:dyDescent="0.2">
      <c r="D4096" s="135">
        <v>42.33</v>
      </c>
    </row>
    <row r="4097" spans="4:4" x14ac:dyDescent="0.2">
      <c r="D4097" s="135">
        <v>42.34</v>
      </c>
    </row>
    <row r="4098" spans="4:4" x14ac:dyDescent="0.2">
      <c r="D4098" s="135">
        <v>42.35</v>
      </c>
    </row>
    <row r="4099" spans="4:4" x14ac:dyDescent="0.2">
      <c r="D4099" s="135">
        <v>42.36</v>
      </c>
    </row>
    <row r="4100" spans="4:4" x14ac:dyDescent="0.2">
      <c r="D4100" s="135">
        <v>42.37</v>
      </c>
    </row>
    <row r="4101" spans="4:4" x14ac:dyDescent="0.2">
      <c r="D4101" s="135">
        <v>42.38</v>
      </c>
    </row>
    <row r="4102" spans="4:4" x14ac:dyDescent="0.2">
      <c r="D4102" s="135">
        <v>42.39</v>
      </c>
    </row>
    <row r="4103" spans="4:4" x14ac:dyDescent="0.2">
      <c r="D4103" s="135">
        <v>42.4</v>
      </c>
    </row>
    <row r="4104" spans="4:4" x14ac:dyDescent="0.2">
      <c r="D4104" s="135">
        <v>42.41</v>
      </c>
    </row>
    <row r="4105" spans="4:4" x14ac:dyDescent="0.2">
      <c r="D4105" s="135">
        <v>42.42</v>
      </c>
    </row>
    <row r="4106" spans="4:4" x14ac:dyDescent="0.2">
      <c r="D4106" s="135">
        <v>42.43</v>
      </c>
    </row>
    <row r="4107" spans="4:4" x14ac:dyDescent="0.2">
      <c r="D4107" s="135">
        <v>42.44</v>
      </c>
    </row>
    <row r="4108" spans="4:4" x14ac:dyDescent="0.2">
      <c r="D4108" s="135">
        <v>42.45</v>
      </c>
    </row>
    <row r="4109" spans="4:4" x14ac:dyDescent="0.2">
      <c r="D4109" s="135">
        <v>42.46</v>
      </c>
    </row>
    <row r="4110" spans="4:4" x14ac:dyDescent="0.2">
      <c r="D4110" s="135">
        <v>42.47</v>
      </c>
    </row>
    <row r="4111" spans="4:4" x14ac:dyDescent="0.2">
      <c r="D4111" s="135">
        <v>42.48</v>
      </c>
    </row>
    <row r="4112" spans="4:4" x14ac:dyDescent="0.2">
      <c r="D4112" s="135">
        <v>42.49</v>
      </c>
    </row>
    <row r="4113" spans="4:4" x14ac:dyDescent="0.2">
      <c r="D4113" s="135">
        <v>42.5</v>
      </c>
    </row>
    <row r="4114" spans="4:4" x14ac:dyDescent="0.2">
      <c r="D4114" s="135">
        <v>42.51</v>
      </c>
    </row>
    <row r="4115" spans="4:4" x14ac:dyDescent="0.2">
      <c r="D4115" s="135">
        <v>42.52</v>
      </c>
    </row>
    <row r="4116" spans="4:4" x14ac:dyDescent="0.2">
      <c r="D4116" s="135">
        <v>42.53</v>
      </c>
    </row>
    <row r="4117" spans="4:4" x14ac:dyDescent="0.2">
      <c r="D4117" s="135">
        <v>42.54</v>
      </c>
    </row>
    <row r="4118" spans="4:4" x14ac:dyDescent="0.2">
      <c r="D4118" s="135">
        <v>42.55</v>
      </c>
    </row>
    <row r="4119" spans="4:4" x14ac:dyDescent="0.2">
      <c r="D4119" s="135">
        <v>42.56</v>
      </c>
    </row>
    <row r="4120" spans="4:4" x14ac:dyDescent="0.2">
      <c r="D4120" s="135">
        <v>42.57</v>
      </c>
    </row>
    <row r="4121" spans="4:4" x14ac:dyDescent="0.2">
      <c r="D4121" s="135">
        <v>42.58</v>
      </c>
    </row>
    <row r="4122" spans="4:4" x14ac:dyDescent="0.2">
      <c r="D4122" s="135">
        <v>42.59</v>
      </c>
    </row>
    <row r="4123" spans="4:4" x14ac:dyDescent="0.2">
      <c r="D4123" s="135">
        <v>42.6</v>
      </c>
    </row>
    <row r="4124" spans="4:4" x14ac:dyDescent="0.2">
      <c r="D4124" s="135">
        <v>42.61</v>
      </c>
    </row>
    <row r="4125" spans="4:4" x14ac:dyDescent="0.2">
      <c r="D4125" s="135">
        <v>42.62</v>
      </c>
    </row>
    <row r="4126" spans="4:4" x14ac:dyDescent="0.2">
      <c r="D4126" s="135">
        <v>42.63</v>
      </c>
    </row>
    <row r="4127" spans="4:4" x14ac:dyDescent="0.2">
      <c r="D4127" s="135">
        <v>42.64</v>
      </c>
    </row>
    <row r="4128" spans="4:4" x14ac:dyDescent="0.2">
      <c r="D4128" s="135">
        <v>42.65</v>
      </c>
    </row>
    <row r="4129" spans="4:4" x14ac:dyDescent="0.2">
      <c r="D4129" s="135">
        <v>42.66</v>
      </c>
    </row>
    <row r="4130" spans="4:4" x14ac:dyDescent="0.2">
      <c r="D4130" s="135">
        <v>42.67</v>
      </c>
    </row>
    <row r="4131" spans="4:4" x14ac:dyDescent="0.2">
      <c r="D4131" s="135">
        <v>42.68</v>
      </c>
    </row>
    <row r="4132" spans="4:4" x14ac:dyDescent="0.2">
      <c r="D4132" s="135">
        <v>42.69</v>
      </c>
    </row>
    <row r="4133" spans="4:4" x14ac:dyDescent="0.2">
      <c r="D4133" s="135">
        <v>42.7</v>
      </c>
    </row>
    <row r="4134" spans="4:4" x14ac:dyDescent="0.2">
      <c r="D4134" s="135">
        <v>42.71</v>
      </c>
    </row>
    <row r="4135" spans="4:4" x14ac:dyDescent="0.2">
      <c r="D4135" s="135">
        <v>42.72</v>
      </c>
    </row>
    <row r="4136" spans="4:4" x14ac:dyDescent="0.2">
      <c r="D4136" s="135">
        <v>42.73</v>
      </c>
    </row>
    <row r="4137" spans="4:4" x14ac:dyDescent="0.2">
      <c r="D4137" s="135">
        <v>42.74</v>
      </c>
    </row>
    <row r="4138" spans="4:4" x14ac:dyDescent="0.2">
      <c r="D4138" s="135">
        <v>42.75</v>
      </c>
    </row>
    <row r="4139" spans="4:4" x14ac:dyDescent="0.2">
      <c r="D4139" s="135">
        <v>42.76</v>
      </c>
    </row>
    <row r="4140" spans="4:4" x14ac:dyDescent="0.2">
      <c r="D4140" s="135">
        <v>42.77</v>
      </c>
    </row>
    <row r="4141" spans="4:4" x14ac:dyDescent="0.2">
      <c r="D4141" s="135">
        <v>42.78</v>
      </c>
    </row>
    <row r="4142" spans="4:4" x14ac:dyDescent="0.2">
      <c r="D4142" s="135">
        <v>42.79</v>
      </c>
    </row>
    <row r="4143" spans="4:4" x14ac:dyDescent="0.2">
      <c r="D4143" s="135">
        <v>42.8</v>
      </c>
    </row>
    <row r="4144" spans="4:4" x14ac:dyDescent="0.2">
      <c r="D4144" s="135">
        <v>42.81</v>
      </c>
    </row>
    <row r="4145" spans="4:4" x14ac:dyDescent="0.2">
      <c r="D4145" s="135">
        <v>42.82</v>
      </c>
    </row>
    <row r="4146" spans="4:4" x14ac:dyDescent="0.2">
      <c r="D4146" s="135">
        <v>42.83</v>
      </c>
    </row>
    <row r="4147" spans="4:4" x14ac:dyDescent="0.2">
      <c r="D4147" s="135">
        <v>42.84</v>
      </c>
    </row>
    <row r="4148" spans="4:4" x14ac:dyDescent="0.2">
      <c r="D4148" s="135">
        <v>42.85</v>
      </c>
    </row>
    <row r="4149" spans="4:4" x14ac:dyDescent="0.2">
      <c r="D4149" s="135">
        <v>42.86</v>
      </c>
    </row>
    <row r="4150" spans="4:4" x14ac:dyDescent="0.2">
      <c r="D4150" s="135">
        <v>42.87</v>
      </c>
    </row>
    <row r="4151" spans="4:4" x14ac:dyDescent="0.2">
      <c r="D4151" s="135">
        <v>42.88</v>
      </c>
    </row>
    <row r="4152" spans="4:4" x14ac:dyDescent="0.2">
      <c r="D4152" s="135">
        <v>42.89</v>
      </c>
    </row>
    <row r="4153" spans="4:4" x14ac:dyDescent="0.2">
      <c r="D4153" s="135">
        <v>42.9</v>
      </c>
    </row>
    <row r="4154" spans="4:4" x14ac:dyDescent="0.2">
      <c r="D4154" s="135">
        <v>42.91</v>
      </c>
    </row>
    <row r="4155" spans="4:4" x14ac:dyDescent="0.2">
      <c r="D4155" s="135">
        <v>42.92</v>
      </c>
    </row>
    <row r="4156" spans="4:4" x14ac:dyDescent="0.2">
      <c r="D4156" s="135">
        <v>42.93</v>
      </c>
    </row>
    <row r="4157" spans="4:4" x14ac:dyDescent="0.2">
      <c r="D4157" s="135">
        <v>42.94</v>
      </c>
    </row>
    <row r="4158" spans="4:4" x14ac:dyDescent="0.2">
      <c r="D4158" s="135">
        <v>42.95</v>
      </c>
    </row>
    <row r="4159" spans="4:4" x14ac:dyDescent="0.2">
      <c r="D4159" s="135">
        <v>42.96</v>
      </c>
    </row>
    <row r="4160" spans="4:4" x14ac:dyDescent="0.2">
      <c r="D4160" s="135">
        <v>42.97</v>
      </c>
    </row>
    <row r="4161" spans="4:4" x14ac:dyDescent="0.2">
      <c r="D4161" s="135">
        <v>42.98</v>
      </c>
    </row>
    <row r="4162" spans="4:4" x14ac:dyDescent="0.2">
      <c r="D4162" s="135">
        <v>42.99</v>
      </c>
    </row>
    <row r="4163" spans="4:4" x14ac:dyDescent="0.2">
      <c r="D4163" s="135">
        <v>43</v>
      </c>
    </row>
    <row r="4164" spans="4:4" x14ac:dyDescent="0.2">
      <c r="D4164" s="135">
        <v>43.01</v>
      </c>
    </row>
    <row r="4165" spans="4:4" x14ac:dyDescent="0.2">
      <c r="D4165" s="135">
        <v>43.02</v>
      </c>
    </row>
    <row r="4166" spans="4:4" x14ac:dyDescent="0.2">
      <c r="D4166" s="135">
        <v>43.03</v>
      </c>
    </row>
    <row r="4167" spans="4:4" x14ac:dyDescent="0.2">
      <c r="D4167" s="135">
        <v>43.04</v>
      </c>
    </row>
    <row r="4168" spans="4:4" x14ac:dyDescent="0.2">
      <c r="D4168" s="135">
        <v>43.05</v>
      </c>
    </row>
    <row r="4169" spans="4:4" x14ac:dyDescent="0.2">
      <c r="D4169" s="135">
        <v>43.06</v>
      </c>
    </row>
    <row r="4170" spans="4:4" x14ac:dyDescent="0.2">
      <c r="D4170" s="135">
        <v>43.07</v>
      </c>
    </row>
    <row r="4171" spans="4:4" x14ac:dyDescent="0.2">
      <c r="D4171" s="135">
        <v>43.08</v>
      </c>
    </row>
    <row r="4172" spans="4:4" x14ac:dyDescent="0.2">
      <c r="D4172" s="135">
        <v>43.09</v>
      </c>
    </row>
    <row r="4173" spans="4:4" x14ac:dyDescent="0.2">
      <c r="D4173" s="135">
        <v>43.1</v>
      </c>
    </row>
    <row r="4174" spans="4:4" x14ac:dyDescent="0.2">
      <c r="D4174" s="135">
        <v>43.11</v>
      </c>
    </row>
    <row r="4175" spans="4:4" x14ac:dyDescent="0.2">
      <c r="D4175" s="135">
        <v>43.12</v>
      </c>
    </row>
    <row r="4176" spans="4:4" x14ac:dyDescent="0.2">
      <c r="D4176" s="135">
        <v>43.13</v>
      </c>
    </row>
    <row r="4177" spans="4:4" x14ac:dyDescent="0.2">
      <c r="D4177" s="135">
        <v>43.14</v>
      </c>
    </row>
    <row r="4178" spans="4:4" x14ac:dyDescent="0.2">
      <c r="D4178" s="135">
        <v>43.15</v>
      </c>
    </row>
    <row r="4179" spans="4:4" x14ac:dyDescent="0.2">
      <c r="D4179" s="135">
        <v>43.16</v>
      </c>
    </row>
    <row r="4180" spans="4:4" x14ac:dyDescent="0.2">
      <c r="D4180" s="135">
        <v>43.17</v>
      </c>
    </row>
    <row r="4181" spans="4:4" x14ac:dyDescent="0.2">
      <c r="D4181" s="135">
        <v>43.18</v>
      </c>
    </row>
    <row r="4182" spans="4:4" x14ac:dyDescent="0.2">
      <c r="D4182" s="135">
        <v>43.19</v>
      </c>
    </row>
    <row r="4183" spans="4:4" x14ac:dyDescent="0.2">
      <c r="D4183" s="135">
        <v>43.2</v>
      </c>
    </row>
    <row r="4184" spans="4:4" x14ac:dyDescent="0.2">
      <c r="D4184" s="135">
        <v>43.21</v>
      </c>
    </row>
    <row r="4185" spans="4:4" x14ac:dyDescent="0.2">
      <c r="D4185" s="135">
        <v>43.22</v>
      </c>
    </row>
    <row r="4186" spans="4:4" x14ac:dyDescent="0.2">
      <c r="D4186" s="135">
        <v>43.23</v>
      </c>
    </row>
    <row r="4187" spans="4:4" x14ac:dyDescent="0.2">
      <c r="D4187" s="135">
        <v>43.24</v>
      </c>
    </row>
    <row r="4188" spans="4:4" x14ac:dyDescent="0.2">
      <c r="D4188" s="135">
        <v>43.25</v>
      </c>
    </row>
    <row r="4189" spans="4:4" x14ac:dyDescent="0.2">
      <c r="D4189" s="135">
        <v>43.26</v>
      </c>
    </row>
    <row r="4190" spans="4:4" x14ac:dyDescent="0.2">
      <c r="D4190" s="135">
        <v>43.27</v>
      </c>
    </row>
    <row r="4191" spans="4:4" x14ac:dyDescent="0.2">
      <c r="D4191" s="135">
        <v>43.28</v>
      </c>
    </row>
    <row r="4192" spans="4:4" x14ac:dyDescent="0.2">
      <c r="D4192" s="135">
        <v>43.29</v>
      </c>
    </row>
    <row r="4193" spans="4:4" x14ac:dyDescent="0.2">
      <c r="D4193" s="135">
        <v>43.3</v>
      </c>
    </row>
    <row r="4194" spans="4:4" x14ac:dyDescent="0.2">
      <c r="D4194" s="135">
        <v>43.31</v>
      </c>
    </row>
    <row r="4195" spans="4:4" x14ac:dyDescent="0.2">
      <c r="D4195" s="135">
        <v>43.32</v>
      </c>
    </row>
    <row r="4196" spans="4:4" x14ac:dyDescent="0.2">
      <c r="D4196" s="135">
        <v>43.33</v>
      </c>
    </row>
    <row r="4197" spans="4:4" x14ac:dyDescent="0.2">
      <c r="D4197" s="135">
        <v>43.34</v>
      </c>
    </row>
    <row r="4198" spans="4:4" x14ac:dyDescent="0.2">
      <c r="D4198" s="135">
        <v>43.35</v>
      </c>
    </row>
    <row r="4199" spans="4:4" x14ac:dyDescent="0.2">
      <c r="D4199" s="135">
        <v>43.36</v>
      </c>
    </row>
    <row r="4200" spans="4:4" x14ac:dyDescent="0.2">
      <c r="D4200" s="135">
        <v>43.37</v>
      </c>
    </row>
    <row r="4201" spans="4:4" x14ac:dyDescent="0.2">
      <c r="D4201" s="135">
        <v>43.38</v>
      </c>
    </row>
    <row r="4202" spans="4:4" x14ac:dyDescent="0.2">
      <c r="D4202" s="135">
        <v>43.39</v>
      </c>
    </row>
    <row r="4203" spans="4:4" x14ac:dyDescent="0.2">
      <c r="D4203" s="135">
        <v>43.4</v>
      </c>
    </row>
    <row r="4204" spans="4:4" x14ac:dyDescent="0.2">
      <c r="D4204" s="135">
        <v>43.41</v>
      </c>
    </row>
    <row r="4205" spans="4:4" x14ac:dyDescent="0.2">
      <c r="D4205" s="135">
        <v>43.42</v>
      </c>
    </row>
    <row r="4206" spans="4:4" x14ac:dyDescent="0.2">
      <c r="D4206" s="135">
        <v>43.43</v>
      </c>
    </row>
    <row r="4207" spans="4:4" x14ac:dyDescent="0.2">
      <c r="D4207" s="135">
        <v>43.44</v>
      </c>
    </row>
    <row r="4208" spans="4:4" x14ac:dyDescent="0.2">
      <c r="D4208" s="135">
        <v>43.45</v>
      </c>
    </row>
    <row r="4209" spans="4:4" x14ac:dyDescent="0.2">
      <c r="D4209" s="135">
        <v>43.46</v>
      </c>
    </row>
    <row r="4210" spans="4:4" x14ac:dyDescent="0.2">
      <c r="D4210" s="135">
        <v>43.47</v>
      </c>
    </row>
    <row r="4211" spans="4:4" x14ac:dyDescent="0.2">
      <c r="D4211" s="135">
        <v>43.48</v>
      </c>
    </row>
    <row r="4212" spans="4:4" x14ac:dyDescent="0.2">
      <c r="D4212" s="135">
        <v>43.49</v>
      </c>
    </row>
    <row r="4213" spans="4:4" x14ac:dyDescent="0.2">
      <c r="D4213" s="135">
        <v>43.5</v>
      </c>
    </row>
    <row r="4214" spans="4:4" x14ac:dyDescent="0.2">
      <c r="D4214" s="135">
        <v>43.51</v>
      </c>
    </row>
    <row r="4215" spans="4:4" x14ac:dyDescent="0.2">
      <c r="D4215" s="135">
        <v>43.52</v>
      </c>
    </row>
    <row r="4216" spans="4:4" x14ac:dyDescent="0.2">
      <c r="D4216" s="135">
        <v>43.53</v>
      </c>
    </row>
    <row r="4217" spans="4:4" x14ac:dyDescent="0.2">
      <c r="D4217" s="135">
        <v>43.54</v>
      </c>
    </row>
    <row r="4218" spans="4:4" x14ac:dyDescent="0.2">
      <c r="D4218" s="135">
        <v>43.55</v>
      </c>
    </row>
    <row r="4219" spans="4:4" x14ac:dyDescent="0.2">
      <c r="D4219" s="135">
        <v>43.56</v>
      </c>
    </row>
    <row r="4220" spans="4:4" x14ac:dyDescent="0.2">
      <c r="D4220" s="135">
        <v>43.57</v>
      </c>
    </row>
    <row r="4221" spans="4:4" x14ac:dyDescent="0.2">
      <c r="D4221" s="135">
        <v>43.58</v>
      </c>
    </row>
    <row r="4222" spans="4:4" x14ac:dyDescent="0.2">
      <c r="D4222" s="135">
        <v>43.59</v>
      </c>
    </row>
    <row r="4223" spans="4:4" x14ac:dyDescent="0.2">
      <c r="D4223" s="135">
        <v>43.6</v>
      </c>
    </row>
    <row r="4224" spans="4:4" x14ac:dyDescent="0.2">
      <c r="D4224" s="135">
        <v>43.61</v>
      </c>
    </row>
    <row r="4225" spans="4:4" x14ac:dyDescent="0.2">
      <c r="D4225" s="135">
        <v>43.62</v>
      </c>
    </row>
    <row r="4226" spans="4:4" x14ac:dyDescent="0.2">
      <c r="D4226" s="135">
        <v>43.63</v>
      </c>
    </row>
    <row r="4227" spans="4:4" x14ac:dyDescent="0.2">
      <c r="D4227" s="135">
        <v>43.64</v>
      </c>
    </row>
    <row r="4228" spans="4:4" x14ac:dyDescent="0.2">
      <c r="D4228" s="135">
        <v>43.65</v>
      </c>
    </row>
    <row r="4229" spans="4:4" x14ac:dyDescent="0.2">
      <c r="D4229" s="135">
        <v>43.66</v>
      </c>
    </row>
    <row r="4230" spans="4:4" x14ac:dyDescent="0.2">
      <c r="D4230" s="135">
        <v>43.67</v>
      </c>
    </row>
    <row r="4231" spans="4:4" x14ac:dyDescent="0.2">
      <c r="D4231" s="135">
        <v>43.68</v>
      </c>
    </row>
    <row r="4232" spans="4:4" x14ac:dyDescent="0.2">
      <c r="D4232" s="135">
        <v>43.69</v>
      </c>
    </row>
    <row r="4233" spans="4:4" x14ac:dyDescent="0.2">
      <c r="D4233" s="135">
        <v>43.7</v>
      </c>
    </row>
    <row r="4234" spans="4:4" x14ac:dyDescent="0.2">
      <c r="D4234" s="135">
        <v>43.71</v>
      </c>
    </row>
    <row r="4235" spans="4:4" x14ac:dyDescent="0.2">
      <c r="D4235" s="135">
        <v>43.72</v>
      </c>
    </row>
    <row r="4236" spans="4:4" x14ac:dyDescent="0.2">
      <c r="D4236" s="135">
        <v>43.73</v>
      </c>
    </row>
    <row r="4237" spans="4:4" x14ac:dyDescent="0.2">
      <c r="D4237" s="135">
        <v>43.74</v>
      </c>
    </row>
    <row r="4238" spans="4:4" x14ac:dyDescent="0.2">
      <c r="D4238" s="135">
        <v>43.75</v>
      </c>
    </row>
    <row r="4239" spans="4:4" x14ac:dyDescent="0.2">
      <c r="D4239" s="135">
        <v>43.76</v>
      </c>
    </row>
    <row r="4240" spans="4:4" x14ac:dyDescent="0.2">
      <c r="D4240" s="135">
        <v>43.77</v>
      </c>
    </row>
    <row r="4241" spans="4:4" x14ac:dyDescent="0.2">
      <c r="D4241" s="135">
        <v>43.78</v>
      </c>
    </row>
    <row r="4242" spans="4:4" x14ac:dyDescent="0.2">
      <c r="D4242" s="135">
        <v>43.79</v>
      </c>
    </row>
    <row r="4243" spans="4:4" x14ac:dyDescent="0.2">
      <c r="D4243" s="135">
        <v>43.8</v>
      </c>
    </row>
    <row r="4244" spans="4:4" x14ac:dyDescent="0.2">
      <c r="D4244" s="135">
        <v>43.81</v>
      </c>
    </row>
    <row r="4245" spans="4:4" x14ac:dyDescent="0.2">
      <c r="D4245" s="135">
        <v>43.82</v>
      </c>
    </row>
    <row r="4246" spans="4:4" x14ac:dyDescent="0.2">
      <c r="D4246" s="135">
        <v>43.83</v>
      </c>
    </row>
    <row r="4247" spans="4:4" x14ac:dyDescent="0.2">
      <c r="D4247" s="135">
        <v>43.84</v>
      </c>
    </row>
    <row r="4248" spans="4:4" x14ac:dyDescent="0.2">
      <c r="D4248" s="135">
        <v>43.85</v>
      </c>
    </row>
    <row r="4249" spans="4:4" x14ac:dyDescent="0.2">
      <c r="D4249" s="135">
        <v>43.86</v>
      </c>
    </row>
    <row r="4250" spans="4:4" x14ac:dyDescent="0.2">
      <c r="D4250" s="135">
        <v>43.87</v>
      </c>
    </row>
    <row r="4251" spans="4:4" x14ac:dyDescent="0.2">
      <c r="D4251" s="135">
        <v>43.88</v>
      </c>
    </row>
    <row r="4252" spans="4:4" x14ac:dyDescent="0.2">
      <c r="D4252" s="135">
        <v>43.89</v>
      </c>
    </row>
    <row r="4253" spans="4:4" x14ac:dyDescent="0.2">
      <c r="D4253" s="135">
        <v>43.9</v>
      </c>
    </row>
    <row r="4254" spans="4:4" x14ac:dyDescent="0.2">
      <c r="D4254" s="135">
        <v>43.91</v>
      </c>
    </row>
    <row r="4255" spans="4:4" x14ac:dyDescent="0.2">
      <c r="D4255" s="135">
        <v>43.92</v>
      </c>
    </row>
    <row r="4256" spans="4:4" x14ac:dyDescent="0.2">
      <c r="D4256" s="135">
        <v>43.93</v>
      </c>
    </row>
    <row r="4257" spans="4:4" x14ac:dyDescent="0.2">
      <c r="D4257" s="135">
        <v>43.94</v>
      </c>
    </row>
    <row r="4258" spans="4:4" x14ac:dyDescent="0.2">
      <c r="D4258" s="135">
        <v>43.95</v>
      </c>
    </row>
    <row r="4259" spans="4:4" x14ac:dyDescent="0.2">
      <c r="D4259" s="135">
        <v>43.96</v>
      </c>
    </row>
    <row r="4260" spans="4:4" x14ac:dyDescent="0.2">
      <c r="D4260" s="135">
        <v>43.97</v>
      </c>
    </row>
    <row r="4261" spans="4:4" x14ac:dyDescent="0.2">
      <c r="D4261" s="135">
        <v>43.98</v>
      </c>
    </row>
    <row r="4262" spans="4:4" x14ac:dyDescent="0.2">
      <c r="D4262" s="135">
        <v>43.99</v>
      </c>
    </row>
    <row r="4263" spans="4:4" x14ac:dyDescent="0.2">
      <c r="D4263" s="135">
        <v>44</v>
      </c>
    </row>
    <row r="4264" spans="4:4" x14ac:dyDescent="0.2">
      <c r="D4264" s="135">
        <v>44.01</v>
      </c>
    </row>
    <row r="4265" spans="4:4" x14ac:dyDescent="0.2">
      <c r="D4265" s="135">
        <v>44.02</v>
      </c>
    </row>
    <row r="4266" spans="4:4" x14ac:dyDescent="0.2">
      <c r="D4266" s="135">
        <v>44.03</v>
      </c>
    </row>
    <row r="4267" spans="4:4" x14ac:dyDescent="0.2">
      <c r="D4267" s="135">
        <v>44.04</v>
      </c>
    </row>
    <row r="4268" spans="4:4" x14ac:dyDescent="0.2">
      <c r="D4268" s="135">
        <v>44.05</v>
      </c>
    </row>
    <row r="4269" spans="4:4" x14ac:dyDescent="0.2">
      <c r="D4269" s="135">
        <v>44.06</v>
      </c>
    </row>
    <row r="4270" spans="4:4" x14ac:dyDescent="0.2">
      <c r="D4270" s="135">
        <v>44.07</v>
      </c>
    </row>
    <row r="4271" spans="4:4" x14ac:dyDescent="0.2">
      <c r="D4271" s="135">
        <v>44.08</v>
      </c>
    </row>
    <row r="4272" spans="4:4" x14ac:dyDescent="0.2">
      <c r="D4272" s="135">
        <v>44.09</v>
      </c>
    </row>
    <row r="4273" spans="4:4" x14ac:dyDescent="0.2">
      <c r="D4273" s="135">
        <v>44.1</v>
      </c>
    </row>
    <row r="4274" spans="4:4" x14ac:dyDescent="0.2">
      <c r="D4274" s="135">
        <v>44.11</v>
      </c>
    </row>
    <row r="4275" spans="4:4" x14ac:dyDescent="0.2">
      <c r="D4275" s="135">
        <v>44.12</v>
      </c>
    </row>
    <row r="4276" spans="4:4" x14ac:dyDescent="0.2">
      <c r="D4276" s="135">
        <v>44.13</v>
      </c>
    </row>
    <row r="4277" spans="4:4" x14ac:dyDescent="0.2">
      <c r="D4277" s="135">
        <v>44.14</v>
      </c>
    </row>
    <row r="4278" spans="4:4" x14ac:dyDescent="0.2">
      <c r="D4278" s="135">
        <v>44.15</v>
      </c>
    </row>
    <row r="4279" spans="4:4" x14ac:dyDescent="0.2">
      <c r="D4279" s="135">
        <v>44.16</v>
      </c>
    </row>
    <row r="4280" spans="4:4" x14ac:dyDescent="0.2">
      <c r="D4280" s="135">
        <v>44.17</v>
      </c>
    </row>
    <row r="4281" spans="4:4" x14ac:dyDescent="0.2">
      <c r="D4281" s="135">
        <v>44.18</v>
      </c>
    </row>
    <row r="4282" spans="4:4" x14ac:dyDescent="0.2">
      <c r="D4282" s="135">
        <v>44.19</v>
      </c>
    </row>
    <row r="4283" spans="4:4" x14ac:dyDescent="0.2">
      <c r="D4283" s="135">
        <v>44.2</v>
      </c>
    </row>
    <row r="4284" spans="4:4" x14ac:dyDescent="0.2">
      <c r="D4284" s="135">
        <v>44.21</v>
      </c>
    </row>
    <row r="4285" spans="4:4" x14ac:dyDescent="0.2">
      <c r="D4285" s="135">
        <v>44.22</v>
      </c>
    </row>
    <row r="4286" spans="4:4" x14ac:dyDescent="0.2">
      <c r="D4286" s="135">
        <v>44.23</v>
      </c>
    </row>
    <row r="4287" spans="4:4" x14ac:dyDescent="0.2">
      <c r="D4287" s="135">
        <v>44.24</v>
      </c>
    </row>
    <row r="4288" spans="4:4" x14ac:dyDescent="0.2">
      <c r="D4288" s="135">
        <v>44.25</v>
      </c>
    </row>
    <row r="4289" spans="4:4" x14ac:dyDescent="0.2">
      <c r="D4289" s="135">
        <v>44.26</v>
      </c>
    </row>
    <row r="4290" spans="4:4" x14ac:dyDescent="0.2">
      <c r="D4290" s="135">
        <v>44.27</v>
      </c>
    </row>
    <row r="4291" spans="4:4" x14ac:dyDescent="0.2">
      <c r="D4291" s="135">
        <v>44.28</v>
      </c>
    </row>
    <row r="4292" spans="4:4" x14ac:dyDescent="0.2">
      <c r="D4292" s="135">
        <v>44.29</v>
      </c>
    </row>
    <row r="4293" spans="4:4" x14ac:dyDescent="0.2">
      <c r="D4293" s="135">
        <v>44.3</v>
      </c>
    </row>
    <row r="4294" spans="4:4" x14ac:dyDescent="0.2">
      <c r="D4294" s="135">
        <v>44.31</v>
      </c>
    </row>
    <row r="4295" spans="4:4" x14ac:dyDescent="0.2">
      <c r="D4295" s="135">
        <v>44.32</v>
      </c>
    </row>
    <row r="4296" spans="4:4" x14ac:dyDescent="0.2">
      <c r="D4296" s="135">
        <v>44.33</v>
      </c>
    </row>
    <row r="4297" spans="4:4" x14ac:dyDescent="0.2">
      <c r="D4297" s="135">
        <v>44.34</v>
      </c>
    </row>
    <row r="4298" spans="4:4" x14ac:dyDescent="0.2">
      <c r="D4298" s="135">
        <v>44.35</v>
      </c>
    </row>
    <row r="4299" spans="4:4" x14ac:dyDescent="0.2">
      <c r="D4299" s="135">
        <v>44.36</v>
      </c>
    </row>
    <row r="4300" spans="4:4" x14ac:dyDescent="0.2">
      <c r="D4300" s="135">
        <v>44.37</v>
      </c>
    </row>
    <row r="4301" spans="4:4" x14ac:dyDescent="0.2">
      <c r="D4301" s="135">
        <v>44.38</v>
      </c>
    </row>
    <row r="4302" spans="4:4" x14ac:dyDescent="0.2">
      <c r="D4302" s="135">
        <v>44.39</v>
      </c>
    </row>
    <row r="4303" spans="4:4" x14ac:dyDescent="0.2">
      <c r="D4303" s="135">
        <v>44.4</v>
      </c>
    </row>
    <row r="4304" spans="4:4" x14ac:dyDescent="0.2">
      <c r="D4304" s="135">
        <v>44.41</v>
      </c>
    </row>
    <row r="4305" spans="4:4" x14ac:dyDescent="0.2">
      <c r="D4305" s="135">
        <v>44.42</v>
      </c>
    </row>
    <row r="4306" spans="4:4" x14ac:dyDescent="0.2">
      <c r="D4306" s="135">
        <v>44.43</v>
      </c>
    </row>
    <row r="4307" spans="4:4" x14ac:dyDescent="0.2">
      <c r="D4307" s="135">
        <v>44.44</v>
      </c>
    </row>
    <row r="4308" spans="4:4" x14ac:dyDescent="0.2">
      <c r="D4308" s="135">
        <v>44.45</v>
      </c>
    </row>
    <row r="4309" spans="4:4" x14ac:dyDescent="0.2">
      <c r="D4309" s="135">
        <v>44.46</v>
      </c>
    </row>
    <row r="4310" spans="4:4" x14ac:dyDescent="0.2">
      <c r="D4310" s="135">
        <v>44.47</v>
      </c>
    </row>
    <row r="4311" spans="4:4" x14ac:dyDescent="0.2">
      <c r="D4311" s="135">
        <v>44.48</v>
      </c>
    </row>
    <row r="4312" spans="4:4" x14ac:dyDescent="0.2">
      <c r="D4312" s="135">
        <v>44.49</v>
      </c>
    </row>
    <row r="4313" spans="4:4" x14ac:dyDescent="0.2">
      <c r="D4313" s="135">
        <v>44.5</v>
      </c>
    </row>
    <row r="4314" spans="4:4" x14ac:dyDescent="0.2">
      <c r="D4314" s="135">
        <v>44.51</v>
      </c>
    </row>
    <row r="4315" spans="4:4" x14ac:dyDescent="0.2">
      <c r="D4315" s="135">
        <v>44.52</v>
      </c>
    </row>
    <row r="4316" spans="4:4" x14ac:dyDescent="0.2">
      <c r="D4316" s="135">
        <v>44.53</v>
      </c>
    </row>
    <row r="4317" spans="4:4" x14ac:dyDescent="0.2">
      <c r="D4317" s="135">
        <v>44.54</v>
      </c>
    </row>
    <row r="4318" spans="4:4" x14ac:dyDescent="0.2">
      <c r="D4318" s="135">
        <v>44.55</v>
      </c>
    </row>
    <row r="4319" spans="4:4" x14ac:dyDescent="0.2">
      <c r="D4319" s="135">
        <v>44.56</v>
      </c>
    </row>
    <row r="4320" spans="4:4" x14ac:dyDescent="0.2">
      <c r="D4320" s="135">
        <v>44.57</v>
      </c>
    </row>
    <row r="4321" spans="4:4" x14ac:dyDescent="0.2">
      <c r="D4321" s="135">
        <v>44.58</v>
      </c>
    </row>
    <row r="4322" spans="4:4" x14ac:dyDescent="0.2">
      <c r="D4322" s="135">
        <v>44.59</v>
      </c>
    </row>
    <row r="4323" spans="4:4" x14ac:dyDescent="0.2">
      <c r="D4323" s="135">
        <v>44.6</v>
      </c>
    </row>
    <row r="4324" spans="4:4" x14ac:dyDescent="0.2">
      <c r="D4324" s="135">
        <v>44.61</v>
      </c>
    </row>
    <row r="4325" spans="4:4" x14ac:dyDescent="0.2">
      <c r="D4325" s="135">
        <v>44.62</v>
      </c>
    </row>
    <row r="4326" spans="4:4" x14ac:dyDescent="0.2">
      <c r="D4326" s="135">
        <v>44.63</v>
      </c>
    </row>
    <row r="4327" spans="4:4" x14ac:dyDescent="0.2">
      <c r="D4327" s="135">
        <v>44.64</v>
      </c>
    </row>
    <row r="4328" spans="4:4" x14ac:dyDescent="0.2">
      <c r="D4328" s="135">
        <v>44.65</v>
      </c>
    </row>
    <row r="4329" spans="4:4" x14ac:dyDescent="0.2">
      <c r="D4329" s="135">
        <v>44.66</v>
      </c>
    </row>
    <row r="4330" spans="4:4" x14ac:dyDescent="0.2">
      <c r="D4330" s="135">
        <v>44.67</v>
      </c>
    </row>
    <row r="4331" spans="4:4" x14ac:dyDescent="0.2">
      <c r="D4331" s="135">
        <v>44.68</v>
      </c>
    </row>
    <row r="4332" spans="4:4" x14ac:dyDescent="0.2">
      <c r="D4332" s="135">
        <v>44.69</v>
      </c>
    </row>
    <row r="4333" spans="4:4" x14ac:dyDescent="0.2">
      <c r="D4333" s="135">
        <v>44.7</v>
      </c>
    </row>
    <row r="4334" spans="4:4" x14ac:dyDescent="0.2">
      <c r="D4334" s="135">
        <v>44.71</v>
      </c>
    </row>
    <row r="4335" spans="4:4" x14ac:dyDescent="0.2">
      <c r="D4335" s="135">
        <v>44.72</v>
      </c>
    </row>
    <row r="4336" spans="4:4" x14ac:dyDescent="0.2">
      <c r="D4336" s="135">
        <v>44.73</v>
      </c>
    </row>
    <row r="4337" spans="4:4" x14ac:dyDescent="0.2">
      <c r="D4337" s="135">
        <v>44.74</v>
      </c>
    </row>
    <row r="4338" spans="4:4" x14ac:dyDescent="0.2">
      <c r="D4338" s="135">
        <v>44.75</v>
      </c>
    </row>
    <row r="4339" spans="4:4" x14ac:dyDescent="0.2">
      <c r="D4339" s="135">
        <v>44.76</v>
      </c>
    </row>
    <row r="4340" spans="4:4" x14ac:dyDescent="0.2">
      <c r="D4340" s="135">
        <v>44.77</v>
      </c>
    </row>
    <row r="4341" spans="4:4" x14ac:dyDescent="0.2">
      <c r="D4341" s="135">
        <v>44.78</v>
      </c>
    </row>
    <row r="4342" spans="4:4" x14ac:dyDescent="0.2">
      <c r="D4342" s="135">
        <v>44.79</v>
      </c>
    </row>
    <row r="4343" spans="4:4" x14ac:dyDescent="0.2">
      <c r="D4343" s="135">
        <v>44.8</v>
      </c>
    </row>
    <row r="4344" spans="4:4" x14ac:dyDescent="0.2">
      <c r="D4344" s="135">
        <v>44.81</v>
      </c>
    </row>
    <row r="4345" spans="4:4" x14ac:dyDescent="0.2">
      <c r="D4345" s="135">
        <v>44.82</v>
      </c>
    </row>
    <row r="4346" spans="4:4" x14ac:dyDescent="0.2">
      <c r="D4346" s="135">
        <v>44.83</v>
      </c>
    </row>
    <row r="4347" spans="4:4" x14ac:dyDescent="0.2">
      <c r="D4347" s="135">
        <v>44.84</v>
      </c>
    </row>
    <row r="4348" spans="4:4" x14ac:dyDescent="0.2">
      <c r="D4348" s="135">
        <v>44.85</v>
      </c>
    </row>
    <row r="4349" spans="4:4" x14ac:dyDescent="0.2">
      <c r="D4349" s="135">
        <v>44.86</v>
      </c>
    </row>
    <row r="4350" spans="4:4" x14ac:dyDescent="0.2">
      <c r="D4350" s="135">
        <v>44.87</v>
      </c>
    </row>
    <row r="4351" spans="4:4" x14ac:dyDescent="0.2">
      <c r="D4351" s="135">
        <v>44.88</v>
      </c>
    </row>
    <row r="4352" spans="4:4" x14ac:dyDescent="0.2">
      <c r="D4352" s="135">
        <v>44.89</v>
      </c>
    </row>
    <row r="4353" spans="4:4" x14ac:dyDescent="0.2">
      <c r="D4353" s="135">
        <v>44.9</v>
      </c>
    </row>
    <row r="4354" spans="4:4" x14ac:dyDescent="0.2">
      <c r="D4354" s="135">
        <v>44.91</v>
      </c>
    </row>
    <row r="4355" spans="4:4" x14ac:dyDescent="0.2">
      <c r="D4355" s="135">
        <v>44.92</v>
      </c>
    </row>
    <row r="4356" spans="4:4" x14ac:dyDescent="0.2">
      <c r="D4356" s="135">
        <v>44.93</v>
      </c>
    </row>
    <row r="4357" spans="4:4" x14ac:dyDescent="0.2">
      <c r="D4357" s="135">
        <v>44.94</v>
      </c>
    </row>
    <row r="4358" spans="4:4" x14ac:dyDescent="0.2">
      <c r="D4358" s="135">
        <v>44.95</v>
      </c>
    </row>
    <row r="4359" spans="4:4" x14ac:dyDescent="0.2">
      <c r="D4359" s="135">
        <v>44.96</v>
      </c>
    </row>
    <row r="4360" spans="4:4" x14ac:dyDescent="0.2">
      <c r="D4360" s="135">
        <v>44.97</v>
      </c>
    </row>
    <row r="4361" spans="4:4" x14ac:dyDescent="0.2">
      <c r="D4361" s="135">
        <v>44.98</v>
      </c>
    </row>
    <row r="4362" spans="4:4" x14ac:dyDescent="0.2">
      <c r="D4362" s="135">
        <v>44.99</v>
      </c>
    </row>
    <row r="4363" spans="4:4" x14ac:dyDescent="0.2">
      <c r="D4363" s="135">
        <v>45</v>
      </c>
    </row>
    <row r="4364" spans="4:4" x14ac:dyDescent="0.2">
      <c r="D4364" s="135">
        <v>45.01</v>
      </c>
    </row>
    <row r="4365" spans="4:4" x14ac:dyDescent="0.2">
      <c r="D4365" s="135">
        <v>45.02</v>
      </c>
    </row>
    <row r="4366" spans="4:4" x14ac:dyDescent="0.2">
      <c r="D4366" s="135">
        <v>45.03</v>
      </c>
    </row>
    <row r="4367" spans="4:4" x14ac:dyDescent="0.2">
      <c r="D4367" s="135">
        <v>45.04</v>
      </c>
    </row>
    <row r="4368" spans="4:4" x14ac:dyDescent="0.2">
      <c r="D4368" s="135">
        <v>45.05</v>
      </c>
    </row>
    <row r="4369" spans="4:4" x14ac:dyDescent="0.2">
      <c r="D4369" s="135">
        <v>45.06</v>
      </c>
    </row>
    <row r="4370" spans="4:4" x14ac:dyDescent="0.2">
      <c r="D4370" s="135">
        <v>45.07</v>
      </c>
    </row>
    <row r="4371" spans="4:4" x14ac:dyDescent="0.2">
      <c r="D4371" s="135">
        <v>45.08</v>
      </c>
    </row>
    <row r="4372" spans="4:4" x14ac:dyDescent="0.2">
      <c r="D4372" s="135">
        <v>45.09</v>
      </c>
    </row>
    <row r="4373" spans="4:4" x14ac:dyDescent="0.2">
      <c r="D4373" s="135">
        <v>45.1</v>
      </c>
    </row>
    <row r="4374" spans="4:4" x14ac:dyDescent="0.2">
      <c r="D4374" s="135">
        <v>45.11</v>
      </c>
    </row>
    <row r="4375" spans="4:4" x14ac:dyDescent="0.2">
      <c r="D4375" s="135">
        <v>45.12</v>
      </c>
    </row>
    <row r="4376" spans="4:4" x14ac:dyDescent="0.2">
      <c r="D4376" s="135">
        <v>45.13</v>
      </c>
    </row>
    <row r="4377" spans="4:4" x14ac:dyDescent="0.2">
      <c r="D4377" s="135">
        <v>45.14</v>
      </c>
    </row>
    <row r="4378" spans="4:4" x14ac:dyDescent="0.2">
      <c r="D4378" s="135">
        <v>45.15</v>
      </c>
    </row>
    <row r="4379" spans="4:4" x14ac:dyDescent="0.2">
      <c r="D4379" s="135">
        <v>45.16</v>
      </c>
    </row>
    <row r="4380" spans="4:4" x14ac:dyDescent="0.2">
      <c r="D4380" s="135">
        <v>45.17</v>
      </c>
    </row>
    <row r="4381" spans="4:4" x14ac:dyDescent="0.2">
      <c r="D4381" s="135">
        <v>45.18</v>
      </c>
    </row>
    <row r="4382" spans="4:4" x14ac:dyDescent="0.2">
      <c r="D4382" s="135">
        <v>45.19</v>
      </c>
    </row>
    <row r="4383" spans="4:4" x14ac:dyDescent="0.2">
      <c r="D4383" s="135">
        <v>45.2</v>
      </c>
    </row>
    <row r="4384" spans="4:4" x14ac:dyDescent="0.2">
      <c r="D4384" s="135">
        <v>45.21</v>
      </c>
    </row>
    <row r="4385" spans="4:4" x14ac:dyDescent="0.2">
      <c r="D4385" s="135">
        <v>45.22</v>
      </c>
    </row>
    <row r="4386" spans="4:4" x14ac:dyDescent="0.2">
      <c r="D4386" s="135">
        <v>45.23</v>
      </c>
    </row>
    <row r="4387" spans="4:4" x14ac:dyDescent="0.2">
      <c r="D4387" s="135">
        <v>45.24</v>
      </c>
    </row>
    <row r="4388" spans="4:4" x14ac:dyDescent="0.2">
      <c r="D4388" s="135">
        <v>45.25</v>
      </c>
    </row>
    <row r="4389" spans="4:4" x14ac:dyDescent="0.2">
      <c r="D4389" s="135">
        <v>45.26</v>
      </c>
    </row>
    <row r="4390" spans="4:4" x14ac:dyDescent="0.2">
      <c r="D4390" s="135">
        <v>45.27</v>
      </c>
    </row>
    <row r="4391" spans="4:4" x14ac:dyDescent="0.2">
      <c r="D4391" s="135">
        <v>45.28</v>
      </c>
    </row>
    <row r="4392" spans="4:4" x14ac:dyDescent="0.2">
      <c r="D4392" s="135">
        <v>45.29</v>
      </c>
    </row>
    <row r="4393" spans="4:4" x14ac:dyDescent="0.2">
      <c r="D4393" s="135">
        <v>45.3</v>
      </c>
    </row>
    <row r="4394" spans="4:4" x14ac:dyDescent="0.2">
      <c r="D4394" s="135">
        <v>45.31</v>
      </c>
    </row>
    <row r="4395" spans="4:4" x14ac:dyDescent="0.2">
      <c r="D4395" s="135">
        <v>45.32</v>
      </c>
    </row>
    <row r="4396" spans="4:4" x14ac:dyDescent="0.2">
      <c r="D4396" s="135">
        <v>45.33</v>
      </c>
    </row>
    <row r="4397" spans="4:4" x14ac:dyDescent="0.2">
      <c r="D4397" s="135">
        <v>45.34</v>
      </c>
    </row>
    <row r="4398" spans="4:4" x14ac:dyDescent="0.2">
      <c r="D4398" s="135">
        <v>45.35</v>
      </c>
    </row>
    <row r="4399" spans="4:4" x14ac:dyDescent="0.2">
      <c r="D4399" s="135">
        <v>45.36</v>
      </c>
    </row>
    <row r="4400" spans="4:4" x14ac:dyDescent="0.2">
      <c r="D4400" s="135">
        <v>45.37</v>
      </c>
    </row>
    <row r="4401" spans="4:4" x14ac:dyDescent="0.2">
      <c r="D4401" s="135">
        <v>45.38</v>
      </c>
    </row>
    <row r="4402" spans="4:4" x14ac:dyDescent="0.2">
      <c r="D4402" s="135">
        <v>45.39</v>
      </c>
    </row>
    <row r="4403" spans="4:4" x14ac:dyDescent="0.2">
      <c r="D4403" s="135">
        <v>45.4</v>
      </c>
    </row>
    <row r="4404" spans="4:4" x14ac:dyDescent="0.2">
      <c r="D4404" s="135">
        <v>45.41</v>
      </c>
    </row>
    <row r="4405" spans="4:4" x14ac:dyDescent="0.2">
      <c r="D4405" s="135">
        <v>45.42</v>
      </c>
    </row>
    <row r="4406" spans="4:4" x14ac:dyDescent="0.2">
      <c r="D4406" s="135">
        <v>45.43</v>
      </c>
    </row>
    <row r="4407" spans="4:4" x14ac:dyDescent="0.2">
      <c r="D4407" s="135">
        <v>45.44</v>
      </c>
    </row>
    <row r="4408" spans="4:4" x14ac:dyDescent="0.2">
      <c r="D4408" s="135">
        <v>45.45</v>
      </c>
    </row>
    <row r="4409" spans="4:4" x14ac:dyDescent="0.2">
      <c r="D4409" s="135">
        <v>45.46</v>
      </c>
    </row>
    <row r="4410" spans="4:4" x14ac:dyDescent="0.2">
      <c r="D4410" s="135">
        <v>45.47</v>
      </c>
    </row>
    <row r="4411" spans="4:4" x14ac:dyDescent="0.2">
      <c r="D4411" s="135">
        <v>45.48</v>
      </c>
    </row>
    <row r="4412" spans="4:4" x14ac:dyDescent="0.2">
      <c r="D4412" s="135">
        <v>45.49</v>
      </c>
    </row>
    <row r="4413" spans="4:4" x14ac:dyDescent="0.2">
      <c r="D4413" s="135">
        <v>45.5</v>
      </c>
    </row>
    <row r="4414" spans="4:4" x14ac:dyDescent="0.2">
      <c r="D4414" s="135">
        <v>45.51</v>
      </c>
    </row>
    <row r="4415" spans="4:4" x14ac:dyDescent="0.2">
      <c r="D4415" s="135">
        <v>45.52</v>
      </c>
    </row>
    <row r="4416" spans="4:4" x14ac:dyDescent="0.2">
      <c r="D4416" s="135">
        <v>45.53</v>
      </c>
    </row>
    <row r="4417" spans="4:4" x14ac:dyDescent="0.2">
      <c r="D4417" s="135">
        <v>45.54</v>
      </c>
    </row>
    <row r="4418" spans="4:4" x14ac:dyDescent="0.2">
      <c r="D4418" s="135">
        <v>45.55</v>
      </c>
    </row>
    <row r="4419" spans="4:4" x14ac:dyDescent="0.2">
      <c r="D4419" s="135">
        <v>45.56</v>
      </c>
    </row>
    <row r="4420" spans="4:4" x14ac:dyDescent="0.2">
      <c r="D4420" s="135">
        <v>45.57</v>
      </c>
    </row>
    <row r="4421" spans="4:4" x14ac:dyDescent="0.2">
      <c r="D4421" s="135">
        <v>45.58</v>
      </c>
    </row>
    <row r="4422" spans="4:4" x14ac:dyDescent="0.2">
      <c r="D4422" s="135">
        <v>45.59</v>
      </c>
    </row>
    <row r="4423" spans="4:4" x14ac:dyDescent="0.2">
      <c r="D4423" s="135">
        <v>45.6</v>
      </c>
    </row>
    <row r="4424" spans="4:4" x14ac:dyDescent="0.2">
      <c r="D4424" s="135">
        <v>45.61</v>
      </c>
    </row>
    <row r="4425" spans="4:4" x14ac:dyDescent="0.2">
      <c r="D4425" s="135">
        <v>45.62</v>
      </c>
    </row>
    <row r="4426" spans="4:4" x14ac:dyDescent="0.2">
      <c r="D4426" s="135">
        <v>45.63</v>
      </c>
    </row>
    <row r="4427" spans="4:4" x14ac:dyDescent="0.2">
      <c r="D4427" s="135">
        <v>45.64</v>
      </c>
    </row>
    <row r="4428" spans="4:4" x14ac:dyDescent="0.2">
      <c r="D4428" s="135">
        <v>45.65</v>
      </c>
    </row>
    <row r="4429" spans="4:4" x14ac:dyDescent="0.2">
      <c r="D4429" s="135">
        <v>45.66</v>
      </c>
    </row>
    <row r="4430" spans="4:4" x14ac:dyDescent="0.2">
      <c r="D4430" s="135">
        <v>45.67</v>
      </c>
    </row>
    <row r="4431" spans="4:4" x14ac:dyDescent="0.2">
      <c r="D4431" s="135">
        <v>45.68</v>
      </c>
    </row>
    <row r="4432" spans="4:4" x14ac:dyDescent="0.2">
      <c r="D4432" s="135">
        <v>45.69</v>
      </c>
    </row>
    <row r="4433" spans="4:4" x14ac:dyDescent="0.2">
      <c r="D4433" s="135">
        <v>45.7</v>
      </c>
    </row>
    <row r="4434" spans="4:4" x14ac:dyDescent="0.2">
      <c r="D4434" s="135">
        <v>45.71</v>
      </c>
    </row>
    <row r="4435" spans="4:4" x14ac:dyDescent="0.2">
      <c r="D4435" s="135">
        <v>45.72</v>
      </c>
    </row>
    <row r="4436" spans="4:4" x14ac:dyDescent="0.2">
      <c r="D4436" s="135">
        <v>45.73</v>
      </c>
    </row>
    <row r="4437" spans="4:4" x14ac:dyDescent="0.2">
      <c r="D4437" s="135">
        <v>45.74</v>
      </c>
    </row>
    <row r="4438" spans="4:4" x14ac:dyDescent="0.2">
      <c r="D4438" s="135">
        <v>45.75</v>
      </c>
    </row>
    <row r="4439" spans="4:4" x14ac:dyDescent="0.2">
      <c r="D4439" s="135">
        <v>45.76</v>
      </c>
    </row>
    <row r="4440" spans="4:4" x14ac:dyDescent="0.2">
      <c r="D4440" s="135">
        <v>45.77</v>
      </c>
    </row>
    <row r="4441" spans="4:4" x14ac:dyDescent="0.2">
      <c r="D4441" s="135">
        <v>45.78</v>
      </c>
    </row>
    <row r="4442" spans="4:4" x14ac:dyDescent="0.2">
      <c r="D4442" s="135">
        <v>45.79</v>
      </c>
    </row>
    <row r="4443" spans="4:4" x14ac:dyDescent="0.2">
      <c r="D4443" s="135">
        <v>45.8</v>
      </c>
    </row>
    <row r="4444" spans="4:4" x14ac:dyDescent="0.2">
      <c r="D4444" s="135">
        <v>45.81</v>
      </c>
    </row>
    <row r="4445" spans="4:4" x14ac:dyDescent="0.2">
      <c r="D4445" s="135">
        <v>45.82</v>
      </c>
    </row>
    <row r="4446" spans="4:4" x14ac:dyDescent="0.2">
      <c r="D4446" s="135">
        <v>45.83</v>
      </c>
    </row>
    <row r="4447" spans="4:4" x14ac:dyDescent="0.2">
      <c r="D4447" s="135">
        <v>45.84</v>
      </c>
    </row>
    <row r="4448" spans="4:4" x14ac:dyDescent="0.2">
      <c r="D4448" s="135">
        <v>45.85</v>
      </c>
    </row>
    <row r="4449" spans="4:4" x14ac:dyDescent="0.2">
      <c r="D4449" s="135">
        <v>45.86</v>
      </c>
    </row>
    <row r="4450" spans="4:4" x14ac:dyDescent="0.2">
      <c r="D4450" s="135">
        <v>45.87</v>
      </c>
    </row>
    <row r="4451" spans="4:4" x14ac:dyDescent="0.2">
      <c r="D4451" s="135">
        <v>45.88</v>
      </c>
    </row>
    <row r="4452" spans="4:4" x14ac:dyDescent="0.2">
      <c r="D4452" s="135">
        <v>45.89</v>
      </c>
    </row>
    <row r="4453" spans="4:4" x14ac:dyDescent="0.2">
      <c r="D4453" s="135">
        <v>45.9</v>
      </c>
    </row>
    <row r="4454" spans="4:4" x14ac:dyDescent="0.2">
      <c r="D4454" s="135">
        <v>45.91</v>
      </c>
    </row>
    <row r="4455" spans="4:4" x14ac:dyDescent="0.2">
      <c r="D4455" s="135">
        <v>45.92</v>
      </c>
    </row>
    <row r="4456" spans="4:4" x14ac:dyDescent="0.2">
      <c r="D4456" s="135">
        <v>45.93</v>
      </c>
    </row>
    <row r="4457" spans="4:4" x14ac:dyDescent="0.2">
      <c r="D4457" s="135">
        <v>45.94</v>
      </c>
    </row>
    <row r="4458" spans="4:4" x14ac:dyDescent="0.2">
      <c r="D4458" s="135">
        <v>45.95</v>
      </c>
    </row>
    <row r="4459" spans="4:4" x14ac:dyDescent="0.2">
      <c r="D4459" s="135">
        <v>45.96</v>
      </c>
    </row>
    <row r="4460" spans="4:4" x14ac:dyDescent="0.2">
      <c r="D4460" s="135">
        <v>45.97</v>
      </c>
    </row>
    <row r="4461" spans="4:4" x14ac:dyDescent="0.2">
      <c r="D4461" s="135">
        <v>45.98</v>
      </c>
    </row>
    <row r="4462" spans="4:4" x14ac:dyDescent="0.2">
      <c r="D4462" s="135">
        <v>45.99</v>
      </c>
    </row>
    <row r="4463" spans="4:4" x14ac:dyDescent="0.2">
      <c r="D4463" s="135">
        <v>46</v>
      </c>
    </row>
    <row r="4464" spans="4:4" x14ac:dyDescent="0.2">
      <c r="D4464" s="135">
        <v>46.01</v>
      </c>
    </row>
    <row r="4465" spans="4:4" x14ac:dyDescent="0.2">
      <c r="D4465" s="135">
        <v>46.02</v>
      </c>
    </row>
    <row r="4466" spans="4:4" x14ac:dyDescent="0.2">
      <c r="D4466" s="135">
        <v>46.03</v>
      </c>
    </row>
    <row r="4467" spans="4:4" x14ac:dyDescent="0.2">
      <c r="D4467" s="135">
        <v>46.04</v>
      </c>
    </row>
    <row r="4468" spans="4:4" x14ac:dyDescent="0.2">
      <c r="D4468" s="135">
        <v>46.05</v>
      </c>
    </row>
    <row r="4469" spans="4:4" x14ac:dyDescent="0.2">
      <c r="D4469" s="135">
        <v>46.06</v>
      </c>
    </row>
    <row r="4470" spans="4:4" x14ac:dyDescent="0.2">
      <c r="D4470" s="135">
        <v>46.07</v>
      </c>
    </row>
    <row r="4471" spans="4:4" x14ac:dyDescent="0.2">
      <c r="D4471" s="135">
        <v>46.08</v>
      </c>
    </row>
    <row r="4472" spans="4:4" x14ac:dyDescent="0.2">
      <c r="D4472" s="135">
        <v>46.09</v>
      </c>
    </row>
    <row r="4473" spans="4:4" x14ac:dyDescent="0.2">
      <c r="D4473" s="135">
        <v>46.1</v>
      </c>
    </row>
    <row r="4474" spans="4:4" x14ac:dyDescent="0.2">
      <c r="D4474" s="135">
        <v>46.11</v>
      </c>
    </row>
    <row r="4475" spans="4:4" x14ac:dyDescent="0.2">
      <c r="D4475" s="135">
        <v>46.12</v>
      </c>
    </row>
    <row r="4476" spans="4:4" x14ac:dyDescent="0.2">
      <c r="D4476" s="135">
        <v>46.13</v>
      </c>
    </row>
    <row r="4477" spans="4:4" x14ac:dyDescent="0.2">
      <c r="D4477" s="135">
        <v>46.14</v>
      </c>
    </row>
    <row r="4478" spans="4:4" x14ac:dyDescent="0.2">
      <c r="D4478" s="135">
        <v>46.15</v>
      </c>
    </row>
    <row r="4479" spans="4:4" x14ac:dyDescent="0.2">
      <c r="D4479" s="135">
        <v>46.16</v>
      </c>
    </row>
    <row r="4480" spans="4:4" x14ac:dyDescent="0.2">
      <c r="D4480" s="135">
        <v>46.17</v>
      </c>
    </row>
    <row r="4481" spans="4:4" x14ac:dyDescent="0.2">
      <c r="D4481" s="135">
        <v>46.18</v>
      </c>
    </row>
    <row r="4482" spans="4:4" x14ac:dyDescent="0.2">
      <c r="D4482" s="135">
        <v>46.19</v>
      </c>
    </row>
    <row r="4483" spans="4:4" x14ac:dyDescent="0.2">
      <c r="D4483" s="135">
        <v>46.2</v>
      </c>
    </row>
    <row r="4484" spans="4:4" x14ac:dyDescent="0.2">
      <c r="D4484" s="135">
        <v>46.21</v>
      </c>
    </row>
    <row r="4485" spans="4:4" x14ac:dyDescent="0.2">
      <c r="D4485" s="135">
        <v>46.22</v>
      </c>
    </row>
    <row r="4486" spans="4:4" x14ac:dyDescent="0.2">
      <c r="D4486" s="135">
        <v>46.23</v>
      </c>
    </row>
    <row r="4487" spans="4:4" x14ac:dyDescent="0.2">
      <c r="D4487" s="135">
        <v>46.24</v>
      </c>
    </row>
    <row r="4488" spans="4:4" x14ac:dyDescent="0.2">
      <c r="D4488" s="135">
        <v>46.25</v>
      </c>
    </row>
    <row r="4489" spans="4:4" x14ac:dyDescent="0.2">
      <c r="D4489" s="135">
        <v>46.26</v>
      </c>
    </row>
    <row r="4490" spans="4:4" x14ac:dyDescent="0.2">
      <c r="D4490" s="135">
        <v>46.27</v>
      </c>
    </row>
    <row r="4491" spans="4:4" x14ac:dyDescent="0.2">
      <c r="D4491" s="135">
        <v>46.28</v>
      </c>
    </row>
    <row r="4492" spans="4:4" x14ac:dyDescent="0.2">
      <c r="D4492" s="135">
        <v>46.29</v>
      </c>
    </row>
    <row r="4493" spans="4:4" x14ac:dyDescent="0.2">
      <c r="D4493" s="135">
        <v>46.3</v>
      </c>
    </row>
    <row r="4494" spans="4:4" x14ac:dyDescent="0.2">
      <c r="D4494" s="135">
        <v>46.31</v>
      </c>
    </row>
    <row r="4495" spans="4:4" x14ac:dyDescent="0.2">
      <c r="D4495" s="135">
        <v>46.32</v>
      </c>
    </row>
    <row r="4496" spans="4:4" x14ac:dyDescent="0.2">
      <c r="D4496" s="135">
        <v>46.33</v>
      </c>
    </row>
    <row r="4497" spans="4:4" x14ac:dyDescent="0.2">
      <c r="D4497" s="135">
        <v>46.34</v>
      </c>
    </row>
    <row r="4498" spans="4:4" x14ac:dyDescent="0.2">
      <c r="D4498" s="135">
        <v>46.35</v>
      </c>
    </row>
    <row r="4499" spans="4:4" x14ac:dyDescent="0.2">
      <c r="D4499" s="135">
        <v>46.36</v>
      </c>
    </row>
    <row r="4500" spans="4:4" x14ac:dyDescent="0.2">
      <c r="D4500" s="135">
        <v>46.37</v>
      </c>
    </row>
    <row r="4501" spans="4:4" x14ac:dyDescent="0.2">
      <c r="D4501" s="135">
        <v>46.38</v>
      </c>
    </row>
    <row r="4502" spans="4:4" x14ac:dyDescent="0.2">
      <c r="D4502" s="135">
        <v>46.39</v>
      </c>
    </row>
    <row r="4503" spans="4:4" x14ac:dyDescent="0.2">
      <c r="D4503" s="135">
        <v>46.4</v>
      </c>
    </row>
    <row r="4504" spans="4:4" x14ac:dyDescent="0.2">
      <c r="D4504" s="135">
        <v>46.41</v>
      </c>
    </row>
    <row r="4505" spans="4:4" x14ac:dyDescent="0.2">
      <c r="D4505" s="135">
        <v>46.42</v>
      </c>
    </row>
    <row r="4506" spans="4:4" x14ac:dyDescent="0.2">
      <c r="D4506" s="135">
        <v>46.43</v>
      </c>
    </row>
    <row r="4507" spans="4:4" x14ac:dyDescent="0.2">
      <c r="D4507" s="135">
        <v>46.44</v>
      </c>
    </row>
    <row r="4508" spans="4:4" x14ac:dyDescent="0.2">
      <c r="D4508" s="135">
        <v>46.45</v>
      </c>
    </row>
    <row r="4509" spans="4:4" x14ac:dyDescent="0.2">
      <c r="D4509" s="135">
        <v>46.46</v>
      </c>
    </row>
    <row r="4510" spans="4:4" x14ac:dyDescent="0.2">
      <c r="D4510" s="135">
        <v>46.47</v>
      </c>
    </row>
    <row r="4511" spans="4:4" x14ac:dyDescent="0.2">
      <c r="D4511" s="135">
        <v>46.48</v>
      </c>
    </row>
    <row r="4512" spans="4:4" x14ac:dyDescent="0.2">
      <c r="D4512" s="135">
        <v>46.49</v>
      </c>
    </row>
    <row r="4513" spans="4:4" x14ac:dyDescent="0.2">
      <c r="D4513" s="135">
        <v>46.5</v>
      </c>
    </row>
    <row r="4514" spans="4:4" x14ac:dyDescent="0.2">
      <c r="D4514" s="135">
        <v>46.51</v>
      </c>
    </row>
    <row r="4515" spans="4:4" x14ac:dyDescent="0.2">
      <c r="D4515" s="135">
        <v>46.52</v>
      </c>
    </row>
    <row r="4516" spans="4:4" x14ac:dyDescent="0.2">
      <c r="D4516" s="135">
        <v>46.53</v>
      </c>
    </row>
    <row r="4517" spans="4:4" x14ac:dyDescent="0.2">
      <c r="D4517" s="135">
        <v>46.54</v>
      </c>
    </row>
    <row r="4518" spans="4:4" x14ac:dyDescent="0.2">
      <c r="D4518" s="135">
        <v>46.55</v>
      </c>
    </row>
    <row r="4519" spans="4:4" x14ac:dyDescent="0.2">
      <c r="D4519" s="135">
        <v>46.56</v>
      </c>
    </row>
    <row r="4520" spans="4:4" x14ac:dyDescent="0.2">
      <c r="D4520" s="135">
        <v>46.57</v>
      </c>
    </row>
    <row r="4521" spans="4:4" x14ac:dyDescent="0.2">
      <c r="D4521" s="135">
        <v>46.58</v>
      </c>
    </row>
    <row r="4522" spans="4:4" x14ac:dyDescent="0.2">
      <c r="D4522" s="135">
        <v>46.59</v>
      </c>
    </row>
    <row r="4523" spans="4:4" x14ac:dyDescent="0.2">
      <c r="D4523" s="135">
        <v>46.6</v>
      </c>
    </row>
    <row r="4524" spans="4:4" x14ac:dyDescent="0.2">
      <c r="D4524" s="135">
        <v>46.61</v>
      </c>
    </row>
    <row r="4525" spans="4:4" x14ac:dyDescent="0.2">
      <c r="D4525" s="135">
        <v>46.62</v>
      </c>
    </row>
    <row r="4526" spans="4:4" x14ac:dyDescent="0.2">
      <c r="D4526" s="135">
        <v>46.63</v>
      </c>
    </row>
    <row r="4527" spans="4:4" x14ac:dyDescent="0.2">
      <c r="D4527" s="135">
        <v>46.64</v>
      </c>
    </row>
    <row r="4528" spans="4:4" x14ac:dyDescent="0.2">
      <c r="D4528" s="135">
        <v>46.65</v>
      </c>
    </row>
    <row r="4529" spans="4:4" x14ac:dyDescent="0.2">
      <c r="D4529" s="135">
        <v>46.66</v>
      </c>
    </row>
    <row r="4530" spans="4:4" x14ac:dyDescent="0.2">
      <c r="D4530" s="135">
        <v>46.67</v>
      </c>
    </row>
    <row r="4531" spans="4:4" x14ac:dyDescent="0.2">
      <c r="D4531" s="135">
        <v>46.68</v>
      </c>
    </row>
    <row r="4532" spans="4:4" x14ac:dyDescent="0.2">
      <c r="D4532" s="135">
        <v>46.69</v>
      </c>
    </row>
    <row r="4533" spans="4:4" x14ac:dyDescent="0.2">
      <c r="D4533" s="135">
        <v>46.7</v>
      </c>
    </row>
    <row r="4534" spans="4:4" x14ac:dyDescent="0.2">
      <c r="D4534" s="135">
        <v>46.71</v>
      </c>
    </row>
    <row r="4535" spans="4:4" x14ac:dyDescent="0.2">
      <c r="D4535" s="135">
        <v>46.72</v>
      </c>
    </row>
    <row r="4536" spans="4:4" x14ac:dyDescent="0.2">
      <c r="D4536" s="135">
        <v>46.73</v>
      </c>
    </row>
    <row r="4537" spans="4:4" x14ac:dyDescent="0.2">
      <c r="D4537" s="135">
        <v>46.74</v>
      </c>
    </row>
    <row r="4538" spans="4:4" x14ac:dyDescent="0.2">
      <c r="D4538" s="135">
        <v>46.75</v>
      </c>
    </row>
    <row r="4539" spans="4:4" x14ac:dyDescent="0.2">
      <c r="D4539" s="135">
        <v>46.76</v>
      </c>
    </row>
    <row r="4540" spans="4:4" x14ac:dyDescent="0.2">
      <c r="D4540" s="135">
        <v>46.77</v>
      </c>
    </row>
    <row r="4541" spans="4:4" x14ac:dyDescent="0.2">
      <c r="D4541" s="135">
        <v>46.78</v>
      </c>
    </row>
    <row r="4542" spans="4:4" x14ac:dyDescent="0.2">
      <c r="D4542" s="135">
        <v>46.79</v>
      </c>
    </row>
    <row r="4543" spans="4:4" x14ac:dyDescent="0.2">
      <c r="D4543" s="135">
        <v>46.8</v>
      </c>
    </row>
    <row r="4544" spans="4:4" x14ac:dyDescent="0.2">
      <c r="D4544" s="135">
        <v>46.81</v>
      </c>
    </row>
    <row r="4545" spans="4:4" x14ac:dyDescent="0.2">
      <c r="D4545" s="135">
        <v>46.82</v>
      </c>
    </row>
    <row r="4546" spans="4:4" x14ac:dyDescent="0.2">
      <c r="D4546" s="135">
        <v>46.83</v>
      </c>
    </row>
    <row r="4547" spans="4:4" x14ac:dyDescent="0.2">
      <c r="D4547" s="135">
        <v>46.84</v>
      </c>
    </row>
    <row r="4548" spans="4:4" x14ac:dyDescent="0.2">
      <c r="D4548" s="135">
        <v>46.85</v>
      </c>
    </row>
    <row r="4549" spans="4:4" x14ac:dyDescent="0.2">
      <c r="D4549" s="135">
        <v>46.86</v>
      </c>
    </row>
    <row r="4550" spans="4:4" x14ac:dyDescent="0.2">
      <c r="D4550" s="135">
        <v>46.87</v>
      </c>
    </row>
    <row r="4551" spans="4:4" x14ac:dyDescent="0.2">
      <c r="D4551" s="135">
        <v>46.88</v>
      </c>
    </row>
    <row r="4552" spans="4:4" x14ac:dyDescent="0.2">
      <c r="D4552" s="135">
        <v>46.89</v>
      </c>
    </row>
    <row r="4553" spans="4:4" x14ac:dyDescent="0.2">
      <c r="D4553" s="135">
        <v>46.9</v>
      </c>
    </row>
    <row r="4554" spans="4:4" x14ac:dyDescent="0.2">
      <c r="D4554" s="135">
        <v>46.91</v>
      </c>
    </row>
    <row r="4555" spans="4:4" x14ac:dyDescent="0.2">
      <c r="D4555" s="135">
        <v>46.92</v>
      </c>
    </row>
    <row r="4556" spans="4:4" x14ac:dyDescent="0.2">
      <c r="D4556" s="135">
        <v>46.93</v>
      </c>
    </row>
    <row r="4557" spans="4:4" x14ac:dyDescent="0.2">
      <c r="D4557" s="135">
        <v>46.94</v>
      </c>
    </row>
    <row r="4558" spans="4:4" x14ac:dyDescent="0.2">
      <c r="D4558" s="135">
        <v>46.95</v>
      </c>
    </row>
    <row r="4559" spans="4:4" x14ac:dyDescent="0.2">
      <c r="D4559" s="135">
        <v>46.96</v>
      </c>
    </row>
    <row r="4560" spans="4:4" x14ac:dyDescent="0.2">
      <c r="D4560" s="135">
        <v>46.97</v>
      </c>
    </row>
    <row r="4561" spans="4:4" x14ac:dyDescent="0.2">
      <c r="D4561" s="135">
        <v>46.98</v>
      </c>
    </row>
    <row r="4562" spans="4:4" x14ac:dyDescent="0.2">
      <c r="D4562" s="135">
        <v>46.99</v>
      </c>
    </row>
    <row r="4563" spans="4:4" x14ac:dyDescent="0.2">
      <c r="D4563" s="135">
        <v>47</v>
      </c>
    </row>
    <row r="4564" spans="4:4" x14ac:dyDescent="0.2">
      <c r="D4564" s="135">
        <v>47.01</v>
      </c>
    </row>
    <row r="4565" spans="4:4" x14ac:dyDescent="0.2">
      <c r="D4565" s="135">
        <v>47.02</v>
      </c>
    </row>
    <row r="4566" spans="4:4" x14ac:dyDescent="0.2">
      <c r="D4566" s="135">
        <v>47.03</v>
      </c>
    </row>
    <row r="4567" spans="4:4" x14ac:dyDescent="0.2">
      <c r="D4567" s="135">
        <v>47.04</v>
      </c>
    </row>
    <row r="4568" spans="4:4" x14ac:dyDescent="0.2">
      <c r="D4568" s="135">
        <v>47.05</v>
      </c>
    </row>
    <row r="4569" spans="4:4" x14ac:dyDescent="0.2">
      <c r="D4569" s="135">
        <v>47.06</v>
      </c>
    </row>
    <row r="4570" spans="4:4" x14ac:dyDescent="0.2">
      <c r="D4570" s="135">
        <v>47.07</v>
      </c>
    </row>
    <row r="4571" spans="4:4" x14ac:dyDescent="0.2">
      <c r="D4571" s="135">
        <v>47.08</v>
      </c>
    </row>
    <row r="4572" spans="4:4" x14ac:dyDescent="0.2">
      <c r="D4572" s="135">
        <v>47.09</v>
      </c>
    </row>
    <row r="4573" spans="4:4" x14ac:dyDescent="0.2">
      <c r="D4573" s="135">
        <v>47.1</v>
      </c>
    </row>
    <row r="4574" spans="4:4" x14ac:dyDescent="0.2">
      <c r="D4574" s="135">
        <v>47.11</v>
      </c>
    </row>
    <row r="4575" spans="4:4" x14ac:dyDescent="0.2">
      <c r="D4575" s="135">
        <v>47.12</v>
      </c>
    </row>
    <row r="4576" spans="4:4" x14ac:dyDescent="0.2">
      <c r="D4576" s="135">
        <v>47.13</v>
      </c>
    </row>
    <row r="4577" spans="4:4" x14ac:dyDescent="0.2">
      <c r="D4577" s="135">
        <v>47.14</v>
      </c>
    </row>
    <row r="4578" spans="4:4" x14ac:dyDescent="0.2">
      <c r="D4578" s="135">
        <v>47.15</v>
      </c>
    </row>
    <row r="4579" spans="4:4" x14ac:dyDescent="0.2">
      <c r="D4579" s="135">
        <v>47.16</v>
      </c>
    </row>
    <row r="4580" spans="4:4" x14ac:dyDescent="0.2">
      <c r="D4580" s="135">
        <v>47.17</v>
      </c>
    </row>
    <row r="4581" spans="4:4" x14ac:dyDescent="0.2">
      <c r="D4581" s="135">
        <v>47.18</v>
      </c>
    </row>
    <row r="4582" spans="4:4" x14ac:dyDescent="0.2">
      <c r="D4582" s="135">
        <v>47.19</v>
      </c>
    </row>
    <row r="4583" spans="4:4" x14ac:dyDescent="0.2">
      <c r="D4583" s="135">
        <v>47.2</v>
      </c>
    </row>
    <row r="4584" spans="4:4" x14ac:dyDescent="0.2">
      <c r="D4584" s="135">
        <v>47.21</v>
      </c>
    </row>
    <row r="4585" spans="4:4" x14ac:dyDescent="0.2">
      <c r="D4585" s="135">
        <v>47.22</v>
      </c>
    </row>
    <row r="4586" spans="4:4" x14ac:dyDescent="0.2">
      <c r="D4586" s="135">
        <v>47.23</v>
      </c>
    </row>
    <row r="4587" spans="4:4" x14ac:dyDescent="0.2">
      <c r="D4587" s="135">
        <v>47.24</v>
      </c>
    </row>
    <row r="4588" spans="4:4" x14ac:dyDescent="0.2">
      <c r="D4588" s="135">
        <v>47.25</v>
      </c>
    </row>
    <row r="4589" spans="4:4" x14ac:dyDescent="0.2">
      <c r="D4589" s="135">
        <v>47.26</v>
      </c>
    </row>
    <row r="4590" spans="4:4" x14ac:dyDescent="0.2">
      <c r="D4590" s="135">
        <v>47.27</v>
      </c>
    </row>
    <row r="4591" spans="4:4" x14ac:dyDescent="0.2">
      <c r="D4591" s="135">
        <v>47.28</v>
      </c>
    </row>
    <row r="4592" spans="4:4" x14ac:dyDescent="0.2">
      <c r="D4592" s="135">
        <v>47.29</v>
      </c>
    </row>
    <row r="4593" spans="4:4" x14ac:dyDescent="0.2">
      <c r="D4593" s="135">
        <v>47.3</v>
      </c>
    </row>
    <row r="4594" spans="4:4" x14ac:dyDescent="0.2">
      <c r="D4594" s="135">
        <v>47.31</v>
      </c>
    </row>
    <row r="4595" spans="4:4" x14ac:dyDescent="0.2">
      <c r="D4595" s="135">
        <v>47.32</v>
      </c>
    </row>
    <row r="4596" spans="4:4" x14ac:dyDescent="0.2">
      <c r="D4596" s="135">
        <v>47.33</v>
      </c>
    </row>
    <row r="4597" spans="4:4" x14ac:dyDescent="0.2">
      <c r="D4597" s="135">
        <v>47.34</v>
      </c>
    </row>
    <row r="4598" spans="4:4" x14ac:dyDescent="0.2">
      <c r="D4598" s="135">
        <v>47.35</v>
      </c>
    </row>
    <row r="4599" spans="4:4" x14ac:dyDescent="0.2">
      <c r="D4599" s="135">
        <v>47.36</v>
      </c>
    </row>
    <row r="4600" spans="4:4" x14ac:dyDescent="0.2">
      <c r="D4600" s="135">
        <v>47.37</v>
      </c>
    </row>
    <row r="4601" spans="4:4" x14ac:dyDescent="0.2">
      <c r="D4601" s="135">
        <v>47.38</v>
      </c>
    </row>
    <row r="4602" spans="4:4" x14ac:dyDescent="0.2">
      <c r="D4602" s="135">
        <v>47.39</v>
      </c>
    </row>
    <row r="4603" spans="4:4" x14ac:dyDescent="0.2">
      <c r="D4603" s="135">
        <v>47.4</v>
      </c>
    </row>
    <row r="4604" spans="4:4" x14ac:dyDescent="0.2">
      <c r="D4604" s="135">
        <v>47.41</v>
      </c>
    </row>
    <row r="4605" spans="4:4" x14ac:dyDescent="0.2">
      <c r="D4605" s="135">
        <v>47.42</v>
      </c>
    </row>
    <row r="4606" spans="4:4" x14ac:dyDescent="0.2">
      <c r="D4606" s="135">
        <v>47.43</v>
      </c>
    </row>
    <row r="4607" spans="4:4" x14ac:dyDescent="0.2">
      <c r="D4607" s="135">
        <v>47.44</v>
      </c>
    </row>
    <row r="4608" spans="4:4" x14ac:dyDescent="0.2">
      <c r="D4608" s="135">
        <v>47.45</v>
      </c>
    </row>
    <row r="4609" spans="4:4" x14ac:dyDescent="0.2">
      <c r="D4609" s="135">
        <v>47.46</v>
      </c>
    </row>
    <row r="4610" spans="4:4" x14ac:dyDescent="0.2">
      <c r="D4610" s="135">
        <v>47.47</v>
      </c>
    </row>
    <row r="4611" spans="4:4" x14ac:dyDescent="0.2">
      <c r="D4611" s="135">
        <v>47.48</v>
      </c>
    </row>
    <row r="4612" spans="4:4" x14ac:dyDescent="0.2">
      <c r="D4612" s="135">
        <v>47.49</v>
      </c>
    </row>
    <row r="4613" spans="4:4" x14ac:dyDescent="0.2">
      <c r="D4613" s="135">
        <v>47.5</v>
      </c>
    </row>
    <row r="4614" spans="4:4" x14ac:dyDescent="0.2">
      <c r="D4614" s="135">
        <v>47.51</v>
      </c>
    </row>
    <row r="4615" spans="4:4" x14ac:dyDescent="0.2">
      <c r="D4615" s="135">
        <v>47.52</v>
      </c>
    </row>
    <row r="4616" spans="4:4" x14ac:dyDescent="0.2">
      <c r="D4616" s="135">
        <v>47.53</v>
      </c>
    </row>
    <row r="4617" spans="4:4" x14ac:dyDescent="0.2">
      <c r="D4617" s="135">
        <v>47.54</v>
      </c>
    </row>
    <row r="4618" spans="4:4" x14ac:dyDescent="0.2">
      <c r="D4618" s="135">
        <v>47.55</v>
      </c>
    </row>
    <row r="4619" spans="4:4" x14ac:dyDescent="0.2">
      <c r="D4619" s="135">
        <v>47.56</v>
      </c>
    </row>
    <row r="4620" spans="4:4" x14ac:dyDescent="0.2">
      <c r="D4620" s="135">
        <v>47.57</v>
      </c>
    </row>
    <row r="4621" spans="4:4" x14ac:dyDescent="0.2">
      <c r="D4621" s="135">
        <v>47.58</v>
      </c>
    </row>
    <row r="4622" spans="4:4" x14ac:dyDescent="0.2">
      <c r="D4622" s="135">
        <v>47.59</v>
      </c>
    </row>
    <row r="4623" spans="4:4" x14ac:dyDescent="0.2">
      <c r="D4623" s="135">
        <v>47.6</v>
      </c>
    </row>
    <row r="4624" spans="4:4" x14ac:dyDescent="0.2">
      <c r="D4624" s="135">
        <v>47.61</v>
      </c>
    </row>
    <row r="4625" spans="4:4" x14ac:dyDescent="0.2">
      <c r="D4625" s="135">
        <v>47.62</v>
      </c>
    </row>
    <row r="4626" spans="4:4" x14ac:dyDescent="0.2">
      <c r="D4626" s="135">
        <v>47.63</v>
      </c>
    </row>
    <row r="4627" spans="4:4" x14ac:dyDescent="0.2">
      <c r="D4627" s="135">
        <v>47.64</v>
      </c>
    </row>
    <row r="4628" spans="4:4" x14ac:dyDescent="0.2">
      <c r="D4628" s="135">
        <v>47.65</v>
      </c>
    </row>
    <row r="4629" spans="4:4" x14ac:dyDescent="0.2">
      <c r="D4629" s="135">
        <v>47.66</v>
      </c>
    </row>
    <row r="4630" spans="4:4" x14ac:dyDescent="0.2">
      <c r="D4630" s="135">
        <v>47.67</v>
      </c>
    </row>
    <row r="4631" spans="4:4" x14ac:dyDescent="0.2">
      <c r="D4631" s="135">
        <v>47.68</v>
      </c>
    </row>
    <row r="4632" spans="4:4" x14ac:dyDescent="0.2">
      <c r="D4632" s="135">
        <v>47.69</v>
      </c>
    </row>
    <row r="4633" spans="4:4" x14ac:dyDescent="0.2">
      <c r="D4633" s="135">
        <v>47.7</v>
      </c>
    </row>
    <row r="4634" spans="4:4" x14ac:dyDescent="0.2">
      <c r="D4634" s="135">
        <v>47.71</v>
      </c>
    </row>
    <row r="4635" spans="4:4" x14ac:dyDescent="0.2">
      <c r="D4635" s="135">
        <v>47.72</v>
      </c>
    </row>
    <row r="4636" spans="4:4" x14ac:dyDescent="0.2">
      <c r="D4636" s="135">
        <v>47.73</v>
      </c>
    </row>
    <row r="4637" spans="4:4" x14ac:dyDescent="0.2">
      <c r="D4637" s="135">
        <v>47.74</v>
      </c>
    </row>
    <row r="4638" spans="4:4" x14ac:dyDescent="0.2">
      <c r="D4638" s="135">
        <v>47.75</v>
      </c>
    </row>
    <row r="4639" spans="4:4" x14ac:dyDescent="0.2">
      <c r="D4639" s="135">
        <v>47.76</v>
      </c>
    </row>
    <row r="4640" spans="4:4" x14ac:dyDescent="0.2">
      <c r="D4640" s="135">
        <v>47.77</v>
      </c>
    </row>
    <row r="4641" spans="4:4" x14ac:dyDescent="0.2">
      <c r="D4641" s="135">
        <v>47.78</v>
      </c>
    </row>
    <row r="4642" spans="4:4" x14ac:dyDescent="0.2">
      <c r="D4642" s="135">
        <v>47.79</v>
      </c>
    </row>
    <row r="4643" spans="4:4" x14ac:dyDescent="0.2">
      <c r="D4643" s="135">
        <v>47.8</v>
      </c>
    </row>
    <row r="4644" spans="4:4" x14ac:dyDescent="0.2">
      <c r="D4644" s="135">
        <v>47.81</v>
      </c>
    </row>
    <row r="4645" spans="4:4" x14ac:dyDescent="0.2">
      <c r="D4645" s="135">
        <v>47.82</v>
      </c>
    </row>
    <row r="4646" spans="4:4" x14ac:dyDescent="0.2">
      <c r="D4646" s="135">
        <v>47.83</v>
      </c>
    </row>
    <row r="4647" spans="4:4" x14ac:dyDescent="0.2">
      <c r="D4647" s="135">
        <v>47.84</v>
      </c>
    </row>
    <row r="4648" spans="4:4" x14ac:dyDescent="0.2">
      <c r="D4648" s="135">
        <v>47.85</v>
      </c>
    </row>
    <row r="4649" spans="4:4" x14ac:dyDescent="0.2">
      <c r="D4649" s="135">
        <v>47.86</v>
      </c>
    </row>
    <row r="4650" spans="4:4" x14ac:dyDescent="0.2">
      <c r="D4650" s="135">
        <v>47.87</v>
      </c>
    </row>
    <row r="4651" spans="4:4" x14ac:dyDescent="0.2">
      <c r="D4651" s="135">
        <v>47.88</v>
      </c>
    </row>
    <row r="4652" spans="4:4" x14ac:dyDescent="0.2">
      <c r="D4652" s="135">
        <v>47.89</v>
      </c>
    </row>
    <row r="4653" spans="4:4" x14ac:dyDescent="0.2">
      <c r="D4653" s="135">
        <v>47.9</v>
      </c>
    </row>
    <row r="4654" spans="4:4" x14ac:dyDescent="0.2">
      <c r="D4654" s="135">
        <v>47.91</v>
      </c>
    </row>
    <row r="4655" spans="4:4" x14ac:dyDescent="0.2">
      <c r="D4655" s="135">
        <v>47.92</v>
      </c>
    </row>
    <row r="4656" spans="4:4" x14ac:dyDescent="0.2">
      <c r="D4656" s="135">
        <v>47.93</v>
      </c>
    </row>
    <row r="4657" spans="4:4" x14ac:dyDescent="0.2">
      <c r="D4657" s="135">
        <v>47.94</v>
      </c>
    </row>
    <row r="4658" spans="4:4" x14ac:dyDescent="0.2">
      <c r="D4658" s="135">
        <v>47.95</v>
      </c>
    </row>
    <row r="4659" spans="4:4" x14ac:dyDescent="0.2">
      <c r="D4659" s="135">
        <v>47.96</v>
      </c>
    </row>
    <row r="4660" spans="4:4" x14ac:dyDescent="0.2">
      <c r="D4660" s="135">
        <v>47.97</v>
      </c>
    </row>
    <row r="4661" spans="4:4" x14ac:dyDescent="0.2">
      <c r="D4661" s="135">
        <v>47.98</v>
      </c>
    </row>
    <row r="4662" spans="4:4" x14ac:dyDescent="0.2">
      <c r="D4662" s="135">
        <v>47.99</v>
      </c>
    </row>
    <row r="4663" spans="4:4" x14ac:dyDescent="0.2">
      <c r="D4663" s="135">
        <v>48</v>
      </c>
    </row>
    <row r="4664" spans="4:4" x14ac:dyDescent="0.2">
      <c r="D4664" s="135">
        <v>48.01</v>
      </c>
    </row>
    <row r="4665" spans="4:4" x14ac:dyDescent="0.2">
      <c r="D4665" s="135">
        <v>48.02</v>
      </c>
    </row>
    <row r="4666" spans="4:4" x14ac:dyDescent="0.2">
      <c r="D4666" s="135">
        <v>48.03</v>
      </c>
    </row>
    <row r="4667" spans="4:4" x14ac:dyDescent="0.2">
      <c r="D4667" s="135">
        <v>48.04</v>
      </c>
    </row>
    <row r="4668" spans="4:4" x14ac:dyDescent="0.2">
      <c r="D4668" s="135">
        <v>48.05</v>
      </c>
    </row>
    <row r="4669" spans="4:4" x14ac:dyDescent="0.2">
      <c r="D4669" s="135">
        <v>48.06</v>
      </c>
    </row>
    <row r="4670" spans="4:4" x14ac:dyDescent="0.2">
      <c r="D4670" s="135">
        <v>48.07</v>
      </c>
    </row>
    <row r="4671" spans="4:4" x14ac:dyDescent="0.2">
      <c r="D4671" s="135">
        <v>48.08</v>
      </c>
    </row>
    <row r="4672" spans="4:4" x14ac:dyDescent="0.2">
      <c r="D4672" s="135">
        <v>48.09</v>
      </c>
    </row>
    <row r="4673" spans="4:4" x14ac:dyDescent="0.2">
      <c r="D4673" s="135">
        <v>48.1</v>
      </c>
    </row>
    <row r="4674" spans="4:4" x14ac:dyDescent="0.2">
      <c r="D4674" s="135">
        <v>48.11</v>
      </c>
    </row>
    <row r="4675" spans="4:4" x14ac:dyDescent="0.2">
      <c r="D4675" s="135">
        <v>48.12</v>
      </c>
    </row>
    <row r="4676" spans="4:4" x14ac:dyDescent="0.2">
      <c r="D4676" s="135">
        <v>48.13</v>
      </c>
    </row>
    <row r="4677" spans="4:4" x14ac:dyDescent="0.2">
      <c r="D4677" s="135">
        <v>48.14</v>
      </c>
    </row>
    <row r="4678" spans="4:4" x14ac:dyDescent="0.2">
      <c r="D4678" s="135">
        <v>48.15</v>
      </c>
    </row>
    <row r="4679" spans="4:4" x14ac:dyDescent="0.2">
      <c r="D4679" s="135">
        <v>48.16</v>
      </c>
    </row>
    <row r="4680" spans="4:4" x14ac:dyDescent="0.2">
      <c r="D4680" s="135">
        <v>48.17</v>
      </c>
    </row>
    <row r="4681" spans="4:4" x14ac:dyDescent="0.2">
      <c r="D4681" s="135">
        <v>48.18</v>
      </c>
    </row>
    <row r="4682" spans="4:4" x14ac:dyDescent="0.2">
      <c r="D4682" s="135">
        <v>48.19</v>
      </c>
    </row>
    <row r="4683" spans="4:4" x14ac:dyDescent="0.2">
      <c r="D4683" s="135">
        <v>48.2</v>
      </c>
    </row>
    <row r="4684" spans="4:4" x14ac:dyDescent="0.2">
      <c r="D4684" s="135">
        <v>48.21</v>
      </c>
    </row>
    <row r="4685" spans="4:4" x14ac:dyDescent="0.2">
      <c r="D4685" s="135">
        <v>48.22</v>
      </c>
    </row>
    <row r="4686" spans="4:4" x14ac:dyDescent="0.2">
      <c r="D4686" s="135">
        <v>48.23</v>
      </c>
    </row>
    <row r="4687" spans="4:4" x14ac:dyDescent="0.2">
      <c r="D4687" s="135">
        <v>48.24</v>
      </c>
    </row>
    <row r="4688" spans="4:4" x14ac:dyDescent="0.2">
      <c r="D4688" s="135">
        <v>48.25</v>
      </c>
    </row>
    <row r="4689" spans="4:4" x14ac:dyDescent="0.2">
      <c r="D4689" s="135">
        <v>48.26</v>
      </c>
    </row>
    <row r="4690" spans="4:4" x14ac:dyDescent="0.2">
      <c r="D4690" s="135">
        <v>48.27</v>
      </c>
    </row>
    <row r="4691" spans="4:4" x14ac:dyDescent="0.2">
      <c r="D4691" s="135">
        <v>48.28</v>
      </c>
    </row>
    <row r="4692" spans="4:4" x14ac:dyDescent="0.2">
      <c r="D4692" s="135">
        <v>48.29</v>
      </c>
    </row>
    <row r="4693" spans="4:4" x14ac:dyDescent="0.2">
      <c r="D4693" s="135">
        <v>48.3</v>
      </c>
    </row>
    <row r="4694" spans="4:4" x14ac:dyDescent="0.2">
      <c r="D4694" s="135">
        <v>48.31</v>
      </c>
    </row>
    <row r="4695" spans="4:4" x14ac:dyDescent="0.2">
      <c r="D4695" s="135">
        <v>48.32</v>
      </c>
    </row>
    <row r="4696" spans="4:4" x14ac:dyDescent="0.2">
      <c r="D4696" s="135">
        <v>48.33</v>
      </c>
    </row>
    <row r="4697" spans="4:4" x14ac:dyDescent="0.2">
      <c r="D4697" s="135">
        <v>48.34</v>
      </c>
    </row>
    <row r="4698" spans="4:4" x14ac:dyDescent="0.2">
      <c r="D4698" s="135">
        <v>48.35</v>
      </c>
    </row>
    <row r="4699" spans="4:4" x14ac:dyDescent="0.2">
      <c r="D4699" s="135">
        <v>48.36</v>
      </c>
    </row>
    <row r="4700" spans="4:4" x14ac:dyDescent="0.2">
      <c r="D4700" s="135">
        <v>48.37</v>
      </c>
    </row>
    <row r="4701" spans="4:4" x14ac:dyDescent="0.2">
      <c r="D4701" s="135">
        <v>48.38</v>
      </c>
    </row>
    <row r="4702" spans="4:4" x14ac:dyDescent="0.2">
      <c r="D4702" s="135">
        <v>48.39</v>
      </c>
    </row>
    <row r="4703" spans="4:4" x14ac:dyDescent="0.2">
      <c r="D4703" s="135">
        <v>48.4</v>
      </c>
    </row>
    <row r="4704" spans="4:4" x14ac:dyDescent="0.2">
      <c r="D4704" s="135">
        <v>48.41</v>
      </c>
    </row>
    <row r="4705" spans="4:4" x14ac:dyDescent="0.2">
      <c r="D4705" s="135">
        <v>48.42</v>
      </c>
    </row>
    <row r="4706" spans="4:4" x14ac:dyDescent="0.2">
      <c r="D4706" s="135">
        <v>48.43</v>
      </c>
    </row>
    <row r="4707" spans="4:4" x14ac:dyDescent="0.2">
      <c r="D4707" s="135">
        <v>48.44</v>
      </c>
    </row>
    <row r="4708" spans="4:4" x14ac:dyDescent="0.2">
      <c r="D4708" s="135">
        <v>48.45</v>
      </c>
    </row>
    <row r="4709" spans="4:4" x14ac:dyDescent="0.2">
      <c r="D4709" s="135">
        <v>48.46</v>
      </c>
    </row>
    <row r="4710" spans="4:4" x14ac:dyDescent="0.2">
      <c r="D4710" s="135">
        <v>48.47</v>
      </c>
    </row>
    <row r="4711" spans="4:4" x14ac:dyDescent="0.2">
      <c r="D4711" s="135">
        <v>48.48</v>
      </c>
    </row>
    <row r="4712" spans="4:4" x14ac:dyDescent="0.2">
      <c r="D4712" s="135">
        <v>48.49</v>
      </c>
    </row>
    <row r="4713" spans="4:4" x14ac:dyDescent="0.2">
      <c r="D4713" s="135">
        <v>48.5</v>
      </c>
    </row>
    <row r="4714" spans="4:4" x14ac:dyDescent="0.2">
      <c r="D4714" s="135">
        <v>48.51</v>
      </c>
    </row>
    <row r="4715" spans="4:4" x14ac:dyDescent="0.2">
      <c r="D4715" s="135">
        <v>48.52</v>
      </c>
    </row>
    <row r="4716" spans="4:4" x14ac:dyDescent="0.2">
      <c r="D4716" s="135">
        <v>48.53</v>
      </c>
    </row>
    <row r="4717" spans="4:4" x14ac:dyDescent="0.2">
      <c r="D4717" s="135">
        <v>48.54</v>
      </c>
    </row>
    <row r="4718" spans="4:4" x14ac:dyDescent="0.2">
      <c r="D4718" s="135">
        <v>48.55</v>
      </c>
    </row>
    <row r="4719" spans="4:4" x14ac:dyDescent="0.2">
      <c r="D4719" s="135">
        <v>48.56</v>
      </c>
    </row>
    <row r="4720" spans="4:4" x14ac:dyDescent="0.2">
      <c r="D4720" s="135">
        <v>48.57</v>
      </c>
    </row>
    <row r="4721" spans="4:4" x14ac:dyDescent="0.2">
      <c r="D4721" s="135">
        <v>48.58</v>
      </c>
    </row>
    <row r="4722" spans="4:4" x14ac:dyDescent="0.2">
      <c r="D4722" s="135">
        <v>48.59</v>
      </c>
    </row>
    <row r="4723" spans="4:4" x14ac:dyDescent="0.2">
      <c r="D4723" s="135">
        <v>48.6</v>
      </c>
    </row>
    <row r="4724" spans="4:4" x14ac:dyDescent="0.2">
      <c r="D4724" s="135">
        <v>48.61</v>
      </c>
    </row>
    <row r="4725" spans="4:4" x14ac:dyDescent="0.2">
      <c r="D4725" s="135">
        <v>48.62</v>
      </c>
    </row>
    <row r="4726" spans="4:4" x14ac:dyDescent="0.2">
      <c r="D4726" s="135">
        <v>48.63</v>
      </c>
    </row>
    <row r="4727" spans="4:4" x14ac:dyDescent="0.2">
      <c r="D4727" s="135">
        <v>48.64</v>
      </c>
    </row>
    <row r="4728" spans="4:4" x14ac:dyDescent="0.2">
      <c r="D4728" s="135">
        <v>48.65</v>
      </c>
    </row>
    <row r="4729" spans="4:4" x14ac:dyDescent="0.2">
      <c r="D4729" s="135">
        <v>48.66</v>
      </c>
    </row>
    <row r="4730" spans="4:4" x14ac:dyDescent="0.2">
      <c r="D4730" s="135">
        <v>48.67</v>
      </c>
    </row>
    <row r="4731" spans="4:4" x14ac:dyDescent="0.2">
      <c r="D4731" s="135">
        <v>48.68</v>
      </c>
    </row>
    <row r="4732" spans="4:4" x14ac:dyDescent="0.2">
      <c r="D4732" s="135">
        <v>48.69</v>
      </c>
    </row>
    <row r="4733" spans="4:4" x14ac:dyDescent="0.2">
      <c r="D4733" s="135">
        <v>48.7</v>
      </c>
    </row>
    <row r="4734" spans="4:4" x14ac:dyDescent="0.2">
      <c r="D4734" s="135">
        <v>48.71</v>
      </c>
    </row>
    <row r="4735" spans="4:4" x14ac:dyDescent="0.2">
      <c r="D4735" s="135">
        <v>48.72</v>
      </c>
    </row>
    <row r="4736" spans="4:4" x14ac:dyDescent="0.2">
      <c r="D4736" s="135">
        <v>48.73</v>
      </c>
    </row>
    <row r="4737" spans="4:4" x14ac:dyDescent="0.2">
      <c r="D4737" s="135">
        <v>48.74</v>
      </c>
    </row>
    <row r="4738" spans="4:4" x14ac:dyDescent="0.2">
      <c r="D4738" s="135">
        <v>48.75</v>
      </c>
    </row>
    <row r="4739" spans="4:4" x14ac:dyDescent="0.2">
      <c r="D4739" s="135">
        <v>48.76</v>
      </c>
    </row>
    <row r="4740" spans="4:4" x14ac:dyDescent="0.2">
      <c r="D4740" s="135">
        <v>48.77</v>
      </c>
    </row>
    <row r="4741" spans="4:4" x14ac:dyDescent="0.2">
      <c r="D4741" s="135">
        <v>48.78</v>
      </c>
    </row>
    <row r="4742" spans="4:4" x14ac:dyDescent="0.2">
      <c r="D4742" s="135">
        <v>48.79</v>
      </c>
    </row>
    <row r="4743" spans="4:4" x14ac:dyDescent="0.2">
      <c r="D4743" s="135">
        <v>48.8</v>
      </c>
    </row>
    <row r="4744" spans="4:4" x14ac:dyDescent="0.2">
      <c r="D4744" s="135">
        <v>48.81</v>
      </c>
    </row>
    <row r="4745" spans="4:4" x14ac:dyDescent="0.2">
      <c r="D4745" s="135">
        <v>48.82</v>
      </c>
    </row>
    <row r="4746" spans="4:4" x14ac:dyDescent="0.2">
      <c r="D4746" s="135">
        <v>48.83</v>
      </c>
    </row>
    <row r="4747" spans="4:4" x14ac:dyDescent="0.2">
      <c r="D4747" s="135">
        <v>48.84</v>
      </c>
    </row>
    <row r="4748" spans="4:4" x14ac:dyDescent="0.2">
      <c r="D4748" s="135">
        <v>48.85</v>
      </c>
    </row>
    <row r="4749" spans="4:4" x14ac:dyDescent="0.2">
      <c r="D4749" s="135">
        <v>48.86</v>
      </c>
    </row>
    <row r="4750" spans="4:4" x14ac:dyDescent="0.2">
      <c r="D4750" s="135">
        <v>48.87</v>
      </c>
    </row>
    <row r="4751" spans="4:4" x14ac:dyDescent="0.2">
      <c r="D4751" s="135">
        <v>48.88</v>
      </c>
    </row>
    <row r="4752" spans="4:4" x14ac:dyDescent="0.2">
      <c r="D4752" s="135">
        <v>48.89</v>
      </c>
    </row>
    <row r="4753" spans="4:4" x14ac:dyDescent="0.2">
      <c r="D4753" s="135">
        <v>48.9</v>
      </c>
    </row>
    <row r="4754" spans="4:4" x14ac:dyDescent="0.2">
      <c r="D4754" s="135">
        <v>48.91</v>
      </c>
    </row>
    <row r="4755" spans="4:4" x14ac:dyDescent="0.2">
      <c r="D4755" s="135">
        <v>48.92</v>
      </c>
    </row>
    <row r="4756" spans="4:4" x14ac:dyDescent="0.2">
      <c r="D4756" s="135">
        <v>48.93</v>
      </c>
    </row>
    <row r="4757" spans="4:4" x14ac:dyDescent="0.2">
      <c r="D4757" s="135">
        <v>48.94</v>
      </c>
    </row>
    <row r="4758" spans="4:4" x14ac:dyDescent="0.2">
      <c r="D4758" s="135">
        <v>48.95</v>
      </c>
    </row>
    <row r="4759" spans="4:4" x14ac:dyDescent="0.2">
      <c r="D4759" s="135">
        <v>48.96</v>
      </c>
    </row>
    <row r="4760" spans="4:4" x14ac:dyDescent="0.2">
      <c r="D4760" s="135">
        <v>48.97</v>
      </c>
    </row>
    <row r="4761" spans="4:4" x14ac:dyDescent="0.2">
      <c r="D4761" s="135">
        <v>48.98</v>
      </c>
    </row>
    <row r="4762" spans="4:4" x14ac:dyDescent="0.2">
      <c r="D4762" s="135">
        <v>48.99</v>
      </c>
    </row>
    <row r="4763" spans="4:4" x14ac:dyDescent="0.2">
      <c r="D4763" s="135">
        <v>49</v>
      </c>
    </row>
    <row r="4764" spans="4:4" x14ac:dyDescent="0.2">
      <c r="D4764" s="135">
        <v>49.01</v>
      </c>
    </row>
    <row r="4765" spans="4:4" x14ac:dyDescent="0.2">
      <c r="D4765" s="135">
        <v>49.02</v>
      </c>
    </row>
    <row r="4766" spans="4:4" x14ac:dyDescent="0.2">
      <c r="D4766" s="135">
        <v>49.03</v>
      </c>
    </row>
    <row r="4767" spans="4:4" x14ac:dyDescent="0.2">
      <c r="D4767" s="135">
        <v>49.04</v>
      </c>
    </row>
    <row r="4768" spans="4:4" x14ac:dyDescent="0.2">
      <c r="D4768" s="135">
        <v>49.05</v>
      </c>
    </row>
    <row r="4769" spans="4:4" x14ac:dyDescent="0.2">
      <c r="D4769" s="135">
        <v>49.06</v>
      </c>
    </row>
    <row r="4770" spans="4:4" x14ac:dyDescent="0.2">
      <c r="D4770" s="135">
        <v>49.07</v>
      </c>
    </row>
    <row r="4771" spans="4:4" x14ac:dyDescent="0.2">
      <c r="D4771" s="135">
        <v>49.08</v>
      </c>
    </row>
    <row r="4772" spans="4:4" x14ac:dyDescent="0.2">
      <c r="D4772" s="135">
        <v>49.09</v>
      </c>
    </row>
    <row r="4773" spans="4:4" x14ac:dyDescent="0.2">
      <c r="D4773" s="135">
        <v>49.1</v>
      </c>
    </row>
    <row r="4774" spans="4:4" x14ac:dyDescent="0.2">
      <c r="D4774" s="135">
        <v>49.11</v>
      </c>
    </row>
    <row r="4775" spans="4:4" x14ac:dyDescent="0.2">
      <c r="D4775" s="135">
        <v>49.12</v>
      </c>
    </row>
    <row r="4776" spans="4:4" x14ac:dyDescent="0.2">
      <c r="D4776" s="135">
        <v>49.13</v>
      </c>
    </row>
    <row r="4777" spans="4:4" x14ac:dyDescent="0.2">
      <c r="D4777" s="135">
        <v>49.14</v>
      </c>
    </row>
    <row r="4778" spans="4:4" x14ac:dyDescent="0.2">
      <c r="D4778" s="135">
        <v>49.15</v>
      </c>
    </row>
    <row r="4779" spans="4:4" x14ac:dyDescent="0.2">
      <c r="D4779" s="135">
        <v>49.16</v>
      </c>
    </row>
    <row r="4780" spans="4:4" x14ac:dyDescent="0.2">
      <c r="D4780" s="135">
        <v>49.17</v>
      </c>
    </row>
    <row r="4781" spans="4:4" x14ac:dyDescent="0.2">
      <c r="D4781" s="135">
        <v>49.18</v>
      </c>
    </row>
    <row r="4782" spans="4:4" x14ac:dyDescent="0.2">
      <c r="D4782" s="135">
        <v>49.19</v>
      </c>
    </row>
    <row r="4783" spans="4:4" x14ac:dyDescent="0.2">
      <c r="D4783" s="135">
        <v>49.2</v>
      </c>
    </row>
    <row r="4784" spans="4:4" x14ac:dyDescent="0.2">
      <c r="D4784" s="135">
        <v>49.21</v>
      </c>
    </row>
    <row r="4785" spans="4:4" x14ac:dyDescent="0.2">
      <c r="D4785" s="135">
        <v>49.22</v>
      </c>
    </row>
    <row r="4786" spans="4:4" x14ac:dyDescent="0.2">
      <c r="D4786" s="135">
        <v>49.23</v>
      </c>
    </row>
    <row r="4787" spans="4:4" x14ac:dyDescent="0.2">
      <c r="D4787" s="135">
        <v>49.24</v>
      </c>
    </row>
    <row r="4788" spans="4:4" x14ac:dyDescent="0.2">
      <c r="D4788" s="135">
        <v>49.25</v>
      </c>
    </row>
    <row r="4789" spans="4:4" x14ac:dyDescent="0.2">
      <c r="D4789" s="135">
        <v>49.26</v>
      </c>
    </row>
    <row r="4790" spans="4:4" x14ac:dyDescent="0.2">
      <c r="D4790" s="135">
        <v>49.27</v>
      </c>
    </row>
    <row r="4791" spans="4:4" x14ac:dyDescent="0.2">
      <c r="D4791" s="135">
        <v>49.28</v>
      </c>
    </row>
    <row r="4792" spans="4:4" x14ac:dyDescent="0.2">
      <c r="D4792" s="135">
        <v>49.29</v>
      </c>
    </row>
    <row r="4793" spans="4:4" x14ac:dyDescent="0.2">
      <c r="D4793" s="135">
        <v>49.3</v>
      </c>
    </row>
    <row r="4794" spans="4:4" x14ac:dyDescent="0.2">
      <c r="D4794" s="135">
        <v>49.31</v>
      </c>
    </row>
    <row r="4795" spans="4:4" x14ac:dyDescent="0.2">
      <c r="D4795" s="135">
        <v>49.32</v>
      </c>
    </row>
    <row r="4796" spans="4:4" x14ac:dyDescent="0.2">
      <c r="D4796" s="135">
        <v>49.33</v>
      </c>
    </row>
    <row r="4797" spans="4:4" x14ac:dyDescent="0.2">
      <c r="D4797" s="135">
        <v>49.34</v>
      </c>
    </row>
    <row r="4798" spans="4:4" x14ac:dyDescent="0.2">
      <c r="D4798" s="135">
        <v>49.35</v>
      </c>
    </row>
    <row r="4799" spans="4:4" x14ac:dyDescent="0.2">
      <c r="D4799" s="135">
        <v>49.36</v>
      </c>
    </row>
    <row r="4800" spans="4:4" x14ac:dyDescent="0.2">
      <c r="D4800" s="135">
        <v>49.37</v>
      </c>
    </row>
    <row r="4801" spans="4:4" x14ac:dyDescent="0.2">
      <c r="D4801" s="135">
        <v>49.38</v>
      </c>
    </row>
    <row r="4802" spans="4:4" x14ac:dyDescent="0.2">
      <c r="D4802" s="135">
        <v>49.39</v>
      </c>
    </row>
    <row r="4803" spans="4:4" x14ac:dyDescent="0.2">
      <c r="D4803" s="135">
        <v>49.4</v>
      </c>
    </row>
    <row r="4804" spans="4:4" x14ac:dyDescent="0.2">
      <c r="D4804" s="135">
        <v>49.41</v>
      </c>
    </row>
    <row r="4805" spans="4:4" x14ac:dyDescent="0.2">
      <c r="D4805" s="135">
        <v>49.42</v>
      </c>
    </row>
    <row r="4806" spans="4:4" x14ac:dyDescent="0.2">
      <c r="D4806" s="135">
        <v>49.43</v>
      </c>
    </row>
    <row r="4807" spans="4:4" x14ac:dyDescent="0.2">
      <c r="D4807" s="135">
        <v>49.44</v>
      </c>
    </row>
    <row r="4808" spans="4:4" x14ac:dyDescent="0.2">
      <c r="D4808" s="135">
        <v>49.45</v>
      </c>
    </row>
    <row r="4809" spans="4:4" x14ac:dyDescent="0.2">
      <c r="D4809" s="135">
        <v>49.46</v>
      </c>
    </row>
    <row r="4810" spans="4:4" x14ac:dyDescent="0.2">
      <c r="D4810" s="135">
        <v>49.47</v>
      </c>
    </row>
    <row r="4811" spans="4:4" x14ac:dyDescent="0.2">
      <c r="D4811" s="135">
        <v>49.48</v>
      </c>
    </row>
    <row r="4812" spans="4:4" x14ac:dyDescent="0.2">
      <c r="D4812" s="135">
        <v>49.49</v>
      </c>
    </row>
    <row r="4813" spans="4:4" x14ac:dyDescent="0.2">
      <c r="D4813" s="135">
        <v>49.5</v>
      </c>
    </row>
    <row r="4814" spans="4:4" x14ac:dyDescent="0.2">
      <c r="D4814" s="135">
        <v>49.51</v>
      </c>
    </row>
    <row r="4815" spans="4:4" x14ac:dyDescent="0.2">
      <c r="D4815" s="135">
        <v>49.52</v>
      </c>
    </row>
    <row r="4816" spans="4:4" x14ac:dyDescent="0.2">
      <c r="D4816" s="135">
        <v>49.53</v>
      </c>
    </row>
    <row r="4817" spans="4:4" x14ac:dyDescent="0.2">
      <c r="D4817" s="135">
        <v>49.54</v>
      </c>
    </row>
    <row r="4818" spans="4:4" x14ac:dyDescent="0.2">
      <c r="D4818" s="135">
        <v>49.55</v>
      </c>
    </row>
    <row r="4819" spans="4:4" x14ac:dyDescent="0.2">
      <c r="D4819" s="135">
        <v>49.56</v>
      </c>
    </row>
    <row r="4820" spans="4:4" x14ac:dyDescent="0.2">
      <c r="D4820" s="135">
        <v>49.57</v>
      </c>
    </row>
    <row r="4821" spans="4:4" x14ac:dyDescent="0.2">
      <c r="D4821" s="135">
        <v>49.58</v>
      </c>
    </row>
    <row r="4822" spans="4:4" x14ac:dyDescent="0.2">
      <c r="D4822" s="135">
        <v>49.59</v>
      </c>
    </row>
    <row r="4823" spans="4:4" x14ac:dyDescent="0.2">
      <c r="D4823" s="135">
        <v>49.6</v>
      </c>
    </row>
    <row r="4824" spans="4:4" x14ac:dyDescent="0.2">
      <c r="D4824" s="135">
        <v>49.61</v>
      </c>
    </row>
    <row r="4825" spans="4:4" x14ac:dyDescent="0.2">
      <c r="D4825" s="135">
        <v>49.62</v>
      </c>
    </row>
    <row r="4826" spans="4:4" x14ac:dyDescent="0.2">
      <c r="D4826" s="135">
        <v>49.63</v>
      </c>
    </row>
    <row r="4827" spans="4:4" x14ac:dyDescent="0.2">
      <c r="D4827" s="135">
        <v>49.64</v>
      </c>
    </row>
    <row r="4828" spans="4:4" x14ac:dyDescent="0.2">
      <c r="D4828" s="135">
        <v>49.65</v>
      </c>
    </row>
    <row r="4829" spans="4:4" x14ac:dyDescent="0.2">
      <c r="D4829" s="135">
        <v>49.66</v>
      </c>
    </row>
    <row r="4830" spans="4:4" x14ac:dyDescent="0.2">
      <c r="D4830" s="135">
        <v>49.67</v>
      </c>
    </row>
    <row r="4831" spans="4:4" x14ac:dyDescent="0.2">
      <c r="D4831" s="135">
        <v>49.68</v>
      </c>
    </row>
    <row r="4832" spans="4:4" x14ac:dyDescent="0.2">
      <c r="D4832" s="135">
        <v>49.69</v>
      </c>
    </row>
    <row r="4833" spans="4:4" x14ac:dyDescent="0.2">
      <c r="D4833" s="135">
        <v>49.7</v>
      </c>
    </row>
    <row r="4834" spans="4:4" x14ac:dyDescent="0.2">
      <c r="D4834" s="135">
        <v>49.71</v>
      </c>
    </row>
    <row r="4835" spans="4:4" x14ac:dyDescent="0.2">
      <c r="D4835" s="135">
        <v>49.72</v>
      </c>
    </row>
    <row r="4836" spans="4:4" x14ac:dyDescent="0.2">
      <c r="D4836" s="135">
        <v>49.73</v>
      </c>
    </row>
    <row r="4837" spans="4:4" x14ac:dyDescent="0.2">
      <c r="D4837" s="135">
        <v>49.74</v>
      </c>
    </row>
    <row r="4838" spans="4:4" x14ac:dyDescent="0.2">
      <c r="D4838" s="135">
        <v>49.75</v>
      </c>
    </row>
    <row r="4839" spans="4:4" x14ac:dyDescent="0.2">
      <c r="D4839" s="135">
        <v>49.76</v>
      </c>
    </row>
    <row r="4840" spans="4:4" x14ac:dyDescent="0.2">
      <c r="D4840" s="135">
        <v>49.77</v>
      </c>
    </row>
    <row r="4841" spans="4:4" x14ac:dyDescent="0.2">
      <c r="D4841" s="135">
        <v>49.78</v>
      </c>
    </row>
    <row r="4842" spans="4:4" x14ac:dyDescent="0.2">
      <c r="D4842" s="135">
        <v>49.79</v>
      </c>
    </row>
    <row r="4843" spans="4:4" x14ac:dyDescent="0.2">
      <c r="D4843" s="135">
        <v>49.8</v>
      </c>
    </row>
    <row r="4844" spans="4:4" x14ac:dyDescent="0.2">
      <c r="D4844" s="135">
        <v>49.81</v>
      </c>
    </row>
    <row r="4845" spans="4:4" x14ac:dyDescent="0.2">
      <c r="D4845" s="135">
        <v>49.82</v>
      </c>
    </row>
    <row r="4846" spans="4:4" x14ac:dyDescent="0.2">
      <c r="D4846" s="135">
        <v>49.83</v>
      </c>
    </row>
    <row r="4847" spans="4:4" x14ac:dyDescent="0.2">
      <c r="D4847" s="135">
        <v>49.84</v>
      </c>
    </row>
    <row r="4848" spans="4:4" x14ac:dyDescent="0.2">
      <c r="D4848" s="135">
        <v>49.85</v>
      </c>
    </row>
    <row r="4849" spans="4:4" x14ac:dyDescent="0.2">
      <c r="D4849" s="135">
        <v>49.86</v>
      </c>
    </row>
    <row r="4850" spans="4:4" x14ac:dyDescent="0.2">
      <c r="D4850" s="135">
        <v>49.87</v>
      </c>
    </row>
    <row r="4851" spans="4:4" x14ac:dyDescent="0.2">
      <c r="D4851" s="135">
        <v>49.88</v>
      </c>
    </row>
    <row r="4852" spans="4:4" x14ac:dyDescent="0.2">
      <c r="D4852" s="135">
        <v>49.89</v>
      </c>
    </row>
    <row r="4853" spans="4:4" x14ac:dyDescent="0.2">
      <c r="D4853" s="135">
        <v>49.9</v>
      </c>
    </row>
    <row r="4854" spans="4:4" x14ac:dyDescent="0.2">
      <c r="D4854" s="135">
        <v>49.91</v>
      </c>
    </row>
    <row r="4855" spans="4:4" x14ac:dyDescent="0.2">
      <c r="D4855" s="135">
        <v>49.92</v>
      </c>
    </row>
    <row r="4856" spans="4:4" x14ac:dyDescent="0.2">
      <c r="D4856" s="135">
        <v>49.93</v>
      </c>
    </row>
    <row r="4857" spans="4:4" x14ac:dyDescent="0.2">
      <c r="D4857" s="135">
        <v>49.94</v>
      </c>
    </row>
    <row r="4858" spans="4:4" x14ac:dyDescent="0.2">
      <c r="D4858" s="135">
        <v>49.95</v>
      </c>
    </row>
    <row r="4859" spans="4:4" x14ac:dyDescent="0.2">
      <c r="D4859" s="135">
        <v>49.96</v>
      </c>
    </row>
    <row r="4860" spans="4:4" x14ac:dyDescent="0.2">
      <c r="D4860" s="135">
        <v>49.97</v>
      </c>
    </row>
    <row r="4861" spans="4:4" x14ac:dyDescent="0.2">
      <c r="D4861" s="135">
        <v>49.98</v>
      </c>
    </row>
    <row r="4862" spans="4:4" x14ac:dyDescent="0.2">
      <c r="D4862" s="135">
        <v>49.99</v>
      </c>
    </row>
    <row r="4863" spans="4:4" x14ac:dyDescent="0.2">
      <c r="D4863" s="135">
        <v>50</v>
      </c>
    </row>
    <row r="4864" spans="4:4" x14ac:dyDescent="0.2">
      <c r="D4864" s="586" t="s">
        <v>1813</v>
      </c>
    </row>
    <row r="4865" spans="4:4" x14ac:dyDescent="0.2">
      <c r="D4865" s="586" t="s">
        <v>158</v>
      </c>
    </row>
  </sheetData>
  <mergeCells count="3">
    <mergeCell ref="L1:M1"/>
    <mergeCell ref="N1:P1"/>
    <mergeCell ref="Q1:R1"/>
  </mergeCells>
  <pageMargins left="0.7" right="0.7" top="0.75" bottom="0.75" header="0.3" footer="0.3"/>
  <customProperties>
    <customPr name="validationStatus" r:id="rId1"/>
  </customProperties>
  <drawing r:id="rId2"/>
  <legacyDrawing r:id="rId3"/>
  <controls>
    <mc:AlternateContent xmlns:mc="http://schemas.openxmlformats.org/markup-compatibility/2006">
      <mc:Choice Requires="x14">
        <control shapeId="27649" r:id="rId4" name="validationSwitch">
          <controlPr autoLine="0" autoPict="0" r:id="rId5">
            <anchor moveWithCells="1">
              <from>
                <xdr:col>0</xdr:col>
                <xdr:colOff>38100</xdr:colOff>
                <xdr:row>0</xdr:row>
                <xdr:rowOff>9525</xdr:rowOff>
              </from>
              <to>
                <xdr:col>1</xdr:col>
                <xdr:colOff>152400</xdr:colOff>
                <xdr:row>0</xdr:row>
                <xdr:rowOff>295275</xdr:rowOff>
              </to>
            </anchor>
          </controlPr>
        </control>
      </mc:Choice>
      <mc:Fallback>
        <control shapeId="27649" r:id="rId4" name="validationSwitch"/>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11"/>
  <sheetViews>
    <sheetView workbookViewId="0"/>
  </sheetViews>
  <sheetFormatPr defaultColWidth="8.85546875" defaultRowHeight="12.75" x14ac:dyDescent="0.2"/>
  <cols>
    <col min="1" max="1" width="16.42578125" style="586" bestFit="1" customWidth="1"/>
    <col min="2" max="2" width="5.85546875" style="586" customWidth="1"/>
    <col min="3" max="16384" width="8.85546875" style="586"/>
  </cols>
  <sheetData>
    <row r="1" spans="1:7" x14ac:dyDescent="0.2">
      <c r="C1" s="1024" t="s">
        <v>393</v>
      </c>
      <c r="D1" s="1025"/>
      <c r="E1" s="1025"/>
      <c r="F1" s="1026"/>
    </row>
    <row r="2" spans="1:7" x14ac:dyDescent="0.2">
      <c r="C2" s="599">
        <v>1</v>
      </c>
      <c r="D2" s="599">
        <v>2</v>
      </c>
      <c r="E2" s="599">
        <v>3</v>
      </c>
      <c r="F2" s="599">
        <v>4</v>
      </c>
    </row>
    <row r="3" spans="1:7" x14ac:dyDescent="0.2">
      <c r="A3" s="600" t="s">
        <v>1854</v>
      </c>
      <c r="B3" s="601">
        <v>1</v>
      </c>
      <c r="C3" s="602">
        <v>1.1000000000000001</v>
      </c>
      <c r="D3" s="602">
        <v>1.25</v>
      </c>
      <c r="E3" s="602">
        <v>1.4</v>
      </c>
      <c r="F3" s="602">
        <v>1.4</v>
      </c>
    </row>
    <row r="4" spans="1:7" x14ac:dyDescent="0.2">
      <c r="A4" s="600" t="s">
        <v>1855</v>
      </c>
      <c r="B4" s="601">
        <v>2</v>
      </c>
      <c r="C4" s="602">
        <v>1.25</v>
      </c>
      <c r="D4" s="602">
        <v>1.25</v>
      </c>
      <c r="E4" s="602">
        <v>1.5</v>
      </c>
      <c r="F4" s="602">
        <v>1.5</v>
      </c>
    </row>
    <row r="5" spans="1:7" x14ac:dyDescent="0.2">
      <c r="A5" s="600" t="s">
        <v>1856</v>
      </c>
      <c r="B5" s="601">
        <v>3</v>
      </c>
      <c r="C5" s="602">
        <v>1.25</v>
      </c>
      <c r="D5" s="602">
        <v>1.5</v>
      </c>
      <c r="E5" s="602">
        <v>1.5</v>
      </c>
      <c r="F5" s="602">
        <v>1.5</v>
      </c>
    </row>
    <row r="8" spans="1:7" x14ac:dyDescent="0.2">
      <c r="A8" s="586">
        <f>INDEX(C3:F5,C10,B10)</f>
        <v>1.4</v>
      </c>
    </row>
    <row r="9" spans="1:7" x14ac:dyDescent="0.2">
      <c r="B9" s="603" t="s">
        <v>1857</v>
      </c>
      <c r="C9" s="603" t="s">
        <v>1858</v>
      </c>
    </row>
    <row r="10" spans="1:7" x14ac:dyDescent="0.2">
      <c r="B10" s="602">
        <v>4</v>
      </c>
      <c r="C10" s="601">
        <v>1</v>
      </c>
    </row>
    <row r="11" spans="1:7" x14ac:dyDescent="0.2">
      <c r="G11" s="586">
        <f>INDEX(B2:F5, 3, 2)</f>
        <v>1.25</v>
      </c>
    </row>
  </sheetData>
  <mergeCells count="1">
    <mergeCell ref="C1:F1"/>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31"/>
  <sheetViews>
    <sheetView workbookViewId="0">
      <selection sqref="A1:J1"/>
    </sheetView>
  </sheetViews>
  <sheetFormatPr defaultRowHeight="12.75" x14ac:dyDescent="0.2"/>
  <cols>
    <col min="2" max="2" width="14.7109375" customWidth="1"/>
    <col min="3" max="3" width="4.42578125" customWidth="1"/>
    <col min="4" max="4" width="1.42578125" hidden="1" customWidth="1"/>
    <col min="8" max="8" width="11.5703125" customWidth="1"/>
    <col min="9" max="9" width="19.5703125" customWidth="1"/>
  </cols>
  <sheetData>
    <row r="1" spans="1:10" ht="20.25" x14ac:dyDescent="0.2">
      <c r="A1" s="1050" t="s">
        <v>1115</v>
      </c>
      <c r="B1" s="1050"/>
      <c r="C1" s="1050"/>
      <c r="D1" s="1050"/>
      <c r="E1" s="1050"/>
      <c r="F1" s="1050"/>
      <c r="G1" s="1050"/>
      <c r="H1" s="1050"/>
      <c r="I1" s="1050"/>
      <c r="J1" s="1050"/>
    </row>
    <row r="2" spans="1:10" x14ac:dyDescent="0.2">
      <c r="A2" s="302"/>
      <c r="B2" s="302"/>
      <c r="C2" s="302"/>
      <c r="D2" s="302"/>
      <c r="E2" s="302"/>
      <c r="F2" s="302"/>
      <c r="G2" s="302"/>
      <c r="H2" s="302"/>
      <c r="I2" s="302"/>
      <c r="J2" s="302"/>
    </row>
    <row r="3" spans="1:10" x14ac:dyDescent="0.2">
      <c r="A3" s="302"/>
      <c r="B3" s="1042" t="s">
        <v>1116</v>
      </c>
      <c r="C3" s="1031"/>
      <c r="D3" s="1031"/>
      <c r="E3" s="1031"/>
      <c r="F3" s="1031"/>
      <c r="G3" s="1031"/>
      <c r="H3" s="1031"/>
      <c r="I3" s="1032"/>
      <c r="J3" s="302"/>
    </row>
    <row r="4" spans="1:10" x14ac:dyDescent="0.2">
      <c r="A4" s="302"/>
      <c r="B4" s="1033" t="s">
        <v>1117</v>
      </c>
      <c r="C4" s="1034"/>
      <c r="D4" s="303"/>
      <c r="E4" s="1051"/>
      <c r="F4" s="1052"/>
      <c r="G4" s="1052"/>
      <c r="H4" s="1052"/>
      <c r="I4" s="1053"/>
      <c r="J4" s="302"/>
    </row>
    <row r="5" spans="1:10" x14ac:dyDescent="0.2">
      <c r="A5" s="302"/>
      <c r="B5" s="1044" t="s">
        <v>1118</v>
      </c>
      <c r="C5" s="1045"/>
      <c r="D5" s="304"/>
      <c r="E5" s="1043"/>
      <c r="F5" s="995"/>
      <c r="G5" s="995"/>
      <c r="H5" s="995"/>
      <c r="I5" s="996"/>
      <c r="J5" s="302"/>
    </row>
    <row r="6" spans="1:10" x14ac:dyDescent="0.2">
      <c r="A6" s="302"/>
      <c r="B6" s="1033" t="s">
        <v>1119</v>
      </c>
      <c r="C6" s="1034"/>
      <c r="D6" s="305"/>
      <c r="E6" s="1047"/>
      <c r="F6" s="1048"/>
      <c r="G6" s="1048"/>
      <c r="H6" s="1048"/>
      <c r="I6" s="1049"/>
      <c r="J6" s="302"/>
    </row>
    <row r="7" spans="1:10" x14ac:dyDescent="0.2">
      <c r="A7" s="302"/>
      <c r="B7" s="1044" t="s">
        <v>1120</v>
      </c>
      <c r="C7" s="1045"/>
      <c r="D7" s="304"/>
      <c r="E7" s="1043"/>
      <c r="F7" s="995"/>
      <c r="G7" s="995"/>
      <c r="H7" s="995"/>
      <c r="I7" s="996"/>
      <c r="J7" s="302"/>
    </row>
    <row r="8" spans="1:10" x14ac:dyDescent="0.2">
      <c r="A8" s="302"/>
      <c r="B8" s="1033" t="s">
        <v>1121</v>
      </c>
      <c r="C8" s="1034"/>
      <c r="D8" s="305"/>
      <c r="E8" s="1047"/>
      <c r="F8" s="1048"/>
      <c r="G8" s="1048"/>
      <c r="H8" s="1048"/>
      <c r="I8" s="1049"/>
      <c r="J8" s="302"/>
    </row>
    <row r="9" spans="1:10" x14ac:dyDescent="0.2">
      <c r="A9" s="302"/>
      <c r="B9" s="1044" t="s">
        <v>118</v>
      </c>
      <c r="C9" s="1045"/>
      <c r="D9" s="304"/>
      <c r="E9" s="1043"/>
      <c r="F9" s="995"/>
      <c r="G9" s="995"/>
      <c r="H9" s="995"/>
      <c r="I9" s="996"/>
      <c r="J9" s="302"/>
    </row>
    <row r="10" spans="1:10" x14ac:dyDescent="0.2">
      <c r="A10" s="302"/>
      <c r="B10" s="1046" t="s">
        <v>1134</v>
      </c>
      <c r="C10" s="1034"/>
      <c r="D10" s="305"/>
      <c r="E10" s="1047"/>
      <c r="F10" s="1048"/>
      <c r="G10" s="1048"/>
      <c r="H10" s="1048"/>
      <c r="I10" s="1049"/>
      <c r="J10" s="302"/>
    </row>
    <row r="11" spans="1:10" x14ac:dyDescent="0.2">
      <c r="A11" s="302"/>
      <c r="B11" s="1044" t="s">
        <v>1122</v>
      </c>
      <c r="C11" s="1045"/>
      <c r="D11" s="304"/>
      <c r="E11" s="1043"/>
      <c r="F11" s="995"/>
      <c r="G11" s="995"/>
      <c r="H11" s="995"/>
      <c r="I11" s="996"/>
      <c r="J11" s="302"/>
    </row>
    <row r="12" spans="1:10" x14ac:dyDescent="0.2">
      <c r="A12" s="302"/>
      <c r="B12" s="1033" t="s">
        <v>1123</v>
      </c>
      <c r="C12" s="1034"/>
      <c r="D12" s="306"/>
      <c r="E12" s="1035"/>
      <c r="F12" s="1036"/>
      <c r="G12" s="1036"/>
      <c r="H12" s="1036"/>
      <c r="I12" s="1037"/>
      <c r="J12" s="302"/>
    </row>
    <row r="13" spans="1:10" x14ac:dyDescent="0.2">
      <c r="A13" s="302"/>
      <c r="B13" s="302"/>
      <c r="C13" s="302"/>
      <c r="D13" s="302"/>
      <c r="E13" s="302"/>
      <c r="F13" s="302"/>
      <c r="G13" s="302"/>
      <c r="H13" s="302"/>
      <c r="I13" s="302"/>
      <c r="J13" s="302"/>
    </row>
    <row r="14" spans="1:10" x14ac:dyDescent="0.2">
      <c r="A14" s="302"/>
      <c r="B14" s="302"/>
      <c r="C14" s="1038" t="s">
        <v>1124</v>
      </c>
      <c r="D14" s="1039"/>
      <c r="E14" s="1038"/>
      <c r="F14" s="1038"/>
      <c r="G14" s="1038"/>
      <c r="H14" s="1038"/>
      <c r="I14" s="302"/>
      <c r="J14" s="302"/>
    </row>
    <row r="15" spans="1:10" x14ac:dyDescent="0.2">
      <c r="A15" s="302"/>
      <c r="B15" s="302"/>
      <c r="C15" s="311"/>
      <c r="D15" s="307"/>
      <c r="E15" s="1040" t="s">
        <v>1125</v>
      </c>
      <c r="F15" s="1040"/>
      <c r="G15" s="1040"/>
      <c r="H15" s="1041"/>
      <c r="I15" s="302"/>
      <c r="J15" s="302"/>
    </row>
    <row r="16" spans="1:10" x14ac:dyDescent="0.2">
      <c r="A16" s="302"/>
      <c r="B16" s="302"/>
      <c r="C16" s="311"/>
      <c r="D16" s="308"/>
      <c r="E16" s="1040" t="s">
        <v>1126</v>
      </c>
      <c r="F16" s="1040"/>
      <c r="G16" s="1040"/>
      <c r="H16" s="1041"/>
      <c r="I16" s="302"/>
      <c r="J16" s="302"/>
    </row>
    <row r="17" spans="1:10" x14ac:dyDescent="0.2">
      <c r="A17" s="302"/>
      <c r="B17" s="302"/>
      <c r="C17" s="311"/>
      <c r="D17" s="307"/>
      <c r="E17" s="1040" t="s">
        <v>1127</v>
      </c>
      <c r="F17" s="1040"/>
      <c r="G17" s="1040"/>
      <c r="H17" s="1041"/>
      <c r="I17" s="302"/>
      <c r="J17" s="302"/>
    </row>
    <row r="18" spans="1:10" x14ac:dyDescent="0.2">
      <c r="A18" s="302"/>
      <c r="B18" s="302"/>
      <c r="C18" s="311"/>
      <c r="D18" s="307"/>
      <c r="E18" s="1040" t="s">
        <v>152</v>
      </c>
      <c r="F18" s="1040"/>
      <c r="G18" s="1040"/>
      <c r="H18" s="1041"/>
      <c r="I18" s="302"/>
      <c r="J18" s="302"/>
    </row>
    <row r="19" spans="1:10" x14ac:dyDescent="0.2">
      <c r="A19" s="302"/>
      <c r="B19" s="302"/>
      <c r="C19" s="302"/>
      <c r="D19" s="302"/>
      <c r="E19" s="302"/>
      <c r="F19" s="302"/>
      <c r="G19" s="302"/>
      <c r="H19" s="302"/>
      <c r="I19" s="302"/>
      <c r="J19" s="302"/>
    </row>
    <row r="20" spans="1:10" x14ac:dyDescent="0.2">
      <c r="A20" s="302"/>
      <c r="B20" s="1042" t="s">
        <v>1128</v>
      </c>
      <c r="C20" s="1031"/>
      <c r="D20" s="1031"/>
      <c r="E20" s="1031"/>
      <c r="F20" s="1031"/>
      <c r="G20" s="1031"/>
      <c r="H20" s="1031"/>
      <c r="I20" s="1032"/>
      <c r="J20" s="302"/>
    </row>
    <row r="21" spans="1:10" ht="63" customHeight="1" x14ac:dyDescent="0.2">
      <c r="A21" s="302"/>
      <c r="B21" s="1043"/>
      <c r="C21" s="995"/>
      <c r="D21" s="995"/>
      <c r="E21" s="995"/>
      <c r="F21" s="995"/>
      <c r="G21" s="995"/>
      <c r="H21" s="995"/>
      <c r="I21" s="996"/>
      <c r="J21" s="302"/>
    </row>
    <row r="22" spans="1:10" x14ac:dyDescent="0.2">
      <c r="A22" s="302"/>
      <c r="B22" s="302"/>
      <c r="C22" s="302"/>
      <c r="D22" s="302"/>
      <c r="E22" s="302"/>
      <c r="F22" s="302"/>
      <c r="G22" s="302"/>
      <c r="H22" s="302"/>
      <c r="I22" s="302"/>
      <c r="J22" s="302"/>
    </row>
    <row r="23" spans="1:10" x14ac:dyDescent="0.2">
      <c r="A23" s="302"/>
      <c r="B23" s="1038" t="s">
        <v>1129</v>
      </c>
      <c r="C23" s="1038"/>
      <c r="D23" s="1038"/>
      <c r="E23" s="1038"/>
      <c r="F23" s="1038"/>
      <c r="G23" s="1038"/>
      <c r="H23" s="1038"/>
      <c r="I23" s="1038"/>
      <c r="J23" s="302"/>
    </row>
    <row r="24" spans="1:10" ht="101.25" customHeight="1" x14ac:dyDescent="0.2">
      <c r="A24" s="302"/>
      <c r="B24" s="1043"/>
      <c r="C24" s="995"/>
      <c r="D24" s="995"/>
      <c r="E24" s="995"/>
      <c r="F24" s="995"/>
      <c r="G24" s="995"/>
      <c r="H24" s="995"/>
      <c r="I24" s="996"/>
      <c r="J24" s="302"/>
    </row>
    <row r="25" spans="1:10" x14ac:dyDescent="0.2">
      <c r="A25" s="302"/>
      <c r="B25" s="302"/>
      <c r="C25" s="302"/>
      <c r="D25" s="302"/>
      <c r="E25" s="302"/>
      <c r="F25" s="302"/>
      <c r="G25" s="302"/>
      <c r="H25" s="302"/>
      <c r="I25" s="302"/>
      <c r="J25" s="302"/>
    </row>
    <row r="26" spans="1:10" x14ac:dyDescent="0.2">
      <c r="A26" s="302"/>
      <c r="B26" s="1030" t="s">
        <v>1130</v>
      </c>
      <c r="C26" s="1031"/>
      <c r="D26" s="1031"/>
      <c r="E26" s="1031"/>
      <c r="F26" s="1031"/>
      <c r="G26" s="1031"/>
      <c r="H26" s="1031"/>
      <c r="I26" s="1032"/>
      <c r="J26" s="302"/>
    </row>
    <row r="27" spans="1:10" x14ac:dyDescent="0.2">
      <c r="A27" s="302"/>
      <c r="B27" s="312"/>
      <c r="C27" s="1028" t="s">
        <v>1131</v>
      </c>
      <c r="D27" s="1028"/>
      <c r="E27" s="1029"/>
      <c r="F27" s="1028" t="s">
        <v>1132</v>
      </c>
      <c r="G27" s="1028"/>
      <c r="H27" s="1028"/>
      <c r="I27" s="309" t="s">
        <v>649</v>
      </c>
      <c r="J27" s="302"/>
    </row>
    <row r="28" spans="1:10" x14ac:dyDescent="0.2">
      <c r="A28" s="302"/>
      <c r="B28" s="313" t="s">
        <v>1133</v>
      </c>
      <c r="C28" s="897"/>
      <c r="D28" s="897"/>
      <c r="E28" s="1027"/>
      <c r="F28" s="897"/>
      <c r="G28" s="897"/>
      <c r="H28" s="897"/>
      <c r="I28" s="310"/>
      <c r="J28" s="302"/>
    </row>
    <row r="29" spans="1:10" x14ac:dyDescent="0.2">
      <c r="A29" s="302"/>
      <c r="B29" s="314"/>
      <c r="C29" s="1028" t="s">
        <v>1131</v>
      </c>
      <c r="D29" s="1028"/>
      <c r="E29" s="1029"/>
      <c r="F29" s="1028" t="s">
        <v>1132</v>
      </c>
      <c r="G29" s="1028"/>
      <c r="H29" s="1028"/>
      <c r="I29" s="309" t="s">
        <v>649</v>
      </c>
      <c r="J29" s="302"/>
    </row>
    <row r="30" spans="1:10" x14ac:dyDescent="0.2">
      <c r="A30" s="302"/>
      <c r="B30" s="301" t="s">
        <v>1133</v>
      </c>
      <c r="C30" s="897"/>
      <c r="D30" s="897"/>
      <c r="E30" s="1027"/>
      <c r="F30" s="897"/>
      <c r="G30" s="897"/>
      <c r="H30" s="897"/>
      <c r="I30" s="310"/>
      <c r="J30" s="302"/>
    </row>
    <row r="31" spans="1:10" x14ac:dyDescent="0.2">
      <c r="A31" s="302"/>
      <c r="B31" s="302"/>
      <c r="C31" s="302"/>
      <c r="D31" s="302"/>
      <c r="E31" s="302"/>
      <c r="F31" s="302"/>
      <c r="G31" s="302"/>
      <c r="H31" s="302"/>
      <c r="I31" s="302"/>
      <c r="J31" s="302"/>
    </row>
  </sheetData>
  <mergeCells count="38">
    <mergeCell ref="A1:J1"/>
    <mergeCell ref="B3:I3"/>
    <mergeCell ref="B4:C4"/>
    <mergeCell ref="E4:I4"/>
    <mergeCell ref="B5:C5"/>
    <mergeCell ref="E5:I5"/>
    <mergeCell ref="B6:C6"/>
    <mergeCell ref="E6:I6"/>
    <mergeCell ref="B7:C7"/>
    <mergeCell ref="E7:I7"/>
    <mergeCell ref="B8:C8"/>
    <mergeCell ref="E8:I8"/>
    <mergeCell ref="B9:C9"/>
    <mergeCell ref="E9:I9"/>
    <mergeCell ref="B10:C10"/>
    <mergeCell ref="E10:I10"/>
    <mergeCell ref="B11:C11"/>
    <mergeCell ref="E11:I11"/>
    <mergeCell ref="B26:I26"/>
    <mergeCell ref="B12:C12"/>
    <mergeCell ref="E12:I12"/>
    <mergeCell ref="C14:H14"/>
    <mergeCell ref="E15:H15"/>
    <mergeCell ref="E16:H16"/>
    <mergeCell ref="E17:H17"/>
    <mergeCell ref="E18:H18"/>
    <mergeCell ref="B20:I20"/>
    <mergeCell ref="B21:I21"/>
    <mergeCell ref="B23:I23"/>
    <mergeCell ref="B24:I24"/>
    <mergeCell ref="C30:E30"/>
    <mergeCell ref="F30:H30"/>
    <mergeCell ref="C27:E27"/>
    <mergeCell ref="F27:H27"/>
    <mergeCell ref="C28:E28"/>
    <mergeCell ref="F28:H28"/>
    <mergeCell ref="C29:E29"/>
    <mergeCell ref="F29:H29"/>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UnnamedShortType xmlns="628e04f4-77e9-45f5-94cd-3800916d5416" xsi:nil="true"/>
    <SpecialProject xmlns="628e04f4-77e9-45f5-94cd-3800916d5416" xsi:nil="true"/>
    <ClassLocation xmlns="628e04f4-77e9-45f5-94cd-3800916d5416">false</ClassLocation>
    <IsShort xmlns="628e04f4-77e9-45f5-94cd-3800916d5416">true</IsShort>
    <TIR_x0020_Status xmlns="628e04f4-77e9-45f5-94cd-3800916d5416" xsi:nil="true"/>
    <StartMP xmlns="628e04f4-77e9-45f5-94cd-3800916d5416">0</StartMP>
    <LinkToImages xmlns="628e04f4-77e9-45f5-94cd-3800916d5416">
      <Url xsi:nil="true"/>
      <Description xsi:nil="true"/>
    </LinkToImages>
    <GOIAssignedAnalyst xmlns="628e04f4-77e9-45f5-94cd-3800916d5416">
      <UserInfo>
        <DisplayName/>
        <AccountId xsi:nil="true"/>
        <AccountType/>
      </UserInfo>
    </GOIAssignedAnalyst>
    <States xmlns="628e04f4-77e9-45f5-94cd-3800916d5416" xsi:nil="true"/>
    <BuildAssignedDate xmlns="628e04f4-77e9-45f5-94cd-3800916d5416" xsi:nil="true"/>
    <QCAssignedEngineer xmlns="628e04f4-77e9-45f5-94cd-3800916d5416">
      <UserInfo>
        <DisplayName/>
        <AccountId xsi:nil="true"/>
        <AccountType/>
      </UserInfo>
    </QCAssignedEngineer>
    <Notes0 xmlns="628e04f4-77e9-45f5-94cd-3800916d5416">Data Out
U:\Admin Shared\PFL\1202\Data Out\B30066_1202</Notes0>
    <Route xmlns="628e04f4-77e9-45f5-94cd-3800916d5416">DREG4496</Route>
    <PrevStatus xmlns="628e04f4-77e9-45f5-94cd-3800916d5416">9</PrevStatus>
    <Status xmlns="628e04f4-77e9-45f5-94cd-3800916d5416">9</Status>
    <SourceRoute xmlns="628e04f4-77e9-45f5-94cd-3800916d5416">1202-12</SourceRoute>
    <EACompletedDate xmlns="628e04f4-77e9-45f5-94cd-3800916d5416" xsi:nil="true"/>
    <BuildQAChecker xmlns="628e04f4-77e9-45f5-94cd-3800916d5416">
      <UserInfo>
        <DisplayName/>
        <AccountId xsi:nil="true"/>
        <AccountType/>
      </UserInfo>
    </BuildQAChecker>
    <SPConstructComplete xmlns="628e04f4-77e9-45f5-94cd-3800916d5416" xsi:nil="true"/>
    <QCedDate xmlns="628e04f4-77e9-45f5-94cd-3800916d5416" xsi:nil="true"/>
    <PFLVersion xmlns="628e04f4-77e9-45f5-94cd-3800916d5416">24</PFLVersion>
    <Build100CheckCompletedDate xmlns="628e04f4-77e9-45f5-94cd-3800916d5416" xsi:nil="true"/>
    <IsResolutionDocument xmlns="628e04f4-77e9-45f5-94cd-3800916d5416">false</IsResolutionDocument>
    <BuildEngineer xmlns="628e04f4-77e9-45f5-94cd-3800916d5416">
      <UserInfo>
        <DisplayName/>
        <AccountId xsi:nil="true"/>
        <AccountType/>
      </UserInfo>
    </BuildEngineer>
    <SP_x0020_Code xmlns="628e04f4-77e9-45f5-94cd-3800916d5416" xsi:nil="true"/>
    <BuildCompletedDate xmlns="628e04f4-77e9-45f5-94cd-3800916d5416" xsi:nil="true"/>
    <Source_x0020_Route_x0020_2 xmlns="628e04f4-77e9-45f5-94cd-3800916d5416" xsi:nil="true"/>
    <PassedShortsMacro xmlns="628e04f4-77e9-45f5-94cd-3800916d5416">false</PassedShortsMacro>
    <QCImageMacro xmlns="628e04f4-77e9-45f5-94cd-3800916d5416">Not Started</QCImageMacro>
    <PFLChangeStatus xmlns="628e04f4-77e9-45f5-94cd-3800916d5416" xsi:nil="true"/>
    <Builder xmlns="628e04f4-77e9-45f5-94cd-3800916d5416">2</Builder>
    <EndMP xmlns="628e04f4-77e9-45f5-94cd-3800916d5416">0.75</EndMP>
    <Assigned_x0020_Engineer xmlns="628e04f4-77e9-45f5-94cd-3800916d5416">
      <UserInfo>
        <DisplayName>Zelkowitz, Fred</DisplayName>
        <AccountId>1352</AccountId>
        <AccountType/>
      </UserInfo>
    </Assigned_x0020_Engineer>
    <SPDueDate xmlns="628e04f4-77e9-45f5-94cd-3800916d5416" xsi:nil="true"/>
    <PrevGOIAssignedAnalyst xmlns="628e04f4-77e9-45f5-94cd-3800916d5416" xsi:nil="true"/>
    <SourceRouteMP xmlns="628e04f4-77e9-45f5-94cd-3800916d5416">0.93</SourceRouteMP>
    <SPConstructionStatus xmlns="628e04f4-77e9-45f5-94cd-3800916d5416" xsi:nil="true"/>
    <QCCompleteDate xmlns="628e04f4-77e9-45f5-94cd-3800916d541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0436FC2B5CF4642985F4CDCBE93A68E" ma:contentTypeVersion="150" ma:contentTypeDescription="Create a new document." ma:contentTypeScope="" ma:versionID="40bad9a9e71d93efbd5799c4899bc709">
  <xsd:schema xmlns:xsd="http://www.w3.org/2001/XMLSchema" xmlns:p="http://schemas.microsoft.com/office/2006/metadata/properties" xmlns:ns2="628e04f4-77e9-45f5-94cd-3800916d5416" targetNamespace="http://schemas.microsoft.com/office/2006/metadata/properties" ma:root="true" ma:fieldsID="4b57257a4289ec3fe906a37799d76f72" ns2:_="">
    <xsd:import namespace="628e04f4-77e9-45f5-94cd-3800916d5416"/>
    <xsd:element name="properties">
      <xsd:complexType>
        <xsd:sequence>
          <xsd:element name="documentManagement">
            <xsd:complexType>
              <xsd:all>
                <xsd:element ref="ns2:Status"/>
                <xsd:element ref="ns2:Builder" minOccurs="0"/>
                <xsd:element ref="ns2:PFLVersion" minOccurs="0"/>
                <xsd:element ref="ns2:IsShort" minOccurs="0"/>
                <xsd:element ref="ns2:PassedShortsMacro" minOccurs="0"/>
                <xsd:element ref="ns2:IsResolutionDocument" minOccurs="0"/>
                <xsd:element ref="ns2:Route"/>
                <xsd:element ref="ns2:StartMP" minOccurs="0"/>
                <xsd:element ref="ns2:EndMP" minOccurs="0"/>
                <xsd:element ref="ns2:SourceRoute" minOccurs="0"/>
                <xsd:element ref="ns2:Source_x0020_Route_x0020_2" minOccurs="0"/>
                <xsd:element ref="ns2:SourceRouteMP" minOccurs="0"/>
                <xsd:element ref="ns2:UnnamedShortType" minOccurs="0"/>
                <xsd:element ref="ns2:LinkToImages" minOccurs="0"/>
                <xsd:element ref="ns2:BuildEngineer" minOccurs="0"/>
                <xsd:element ref="ns2:BuildQAChecker" minOccurs="0"/>
                <xsd:element ref="ns2:QCAssignedEngineer" minOccurs="0"/>
                <xsd:element ref="ns2:Assigned_x0020_Engineer" minOccurs="0"/>
                <xsd:element ref="ns2:GOIAssignedAnalyst" minOccurs="0"/>
                <xsd:element ref="ns2:QCImageMacro" minOccurs="0"/>
                <xsd:element ref="ns2:TIR_x0020_Status" minOccurs="0"/>
                <xsd:element ref="ns2:SpecialProject" minOccurs="0"/>
                <xsd:element ref="ns2:SP_x0020_Code" minOccurs="0"/>
                <xsd:element ref="ns2:SPConstructionStatus" minOccurs="0"/>
                <xsd:element ref="ns2:SPConstructComplete" minOccurs="0"/>
                <xsd:element ref="ns2:SPDueDate" minOccurs="0"/>
                <xsd:element ref="ns2:ClassLocation" minOccurs="0"/>
                <xsd:element ref="ns2:PFLChangeStatus" minOccurs="0"/>
                <xsd:element ref="ns2:Notes0" minOccurs="0"/>
                <xsd:element ref="ns2:States" minOccurs="0"/>
                <xsd:element ref="ns2:PrevStatus" minOccurs="0"/>
                <xsd:element ref="ns2:BuildAssignedDate" minOccurs="0"/>
                <xsd:element ref="ns2:BuildCompletedDate" minOccurs="0"/>
                <xsd:element ref="ns2:QCedDate" minOccurs="0"/>
                <xsd:element ref="ns2:PrevGOIAssignedAnalyst" minOccurs="0"/>
                <xsd:element ref="ns2:Build100CheckCompletedDate" minOccurs="0"/>
                <xsd:element ref="ns2:QCCompleteDate" minOccurs="0"/>
                <xsd:element ref="ns2:EACompletedDate" minOccurs="0"/>
              </xsd:all>
            </xsd:complexType>
          </xsd:element>
        </xsd:sequence>
      </xsd:complexType>
    </xsd:element>
  </xsd:schema>
  <xsd:schema xmlns:xsd="http://www.w3.org/2001/XMLSchema" xmlns:dms="http://schemas.microsoft.com/office/2006/documentManagement/types" targetNamespace="628e04f4-77e9-45f5-94cd-3800916d5416" elementFormDefault="qualified">
    <xsd:import namespace="http://schemas.microsoft.com/office/2006/documentManagement/types"/>
    <xsd:element name="Status" ma:index="1" ma:displayName="Status" ma:list="{72e4eb9c-c3f3-4ff6-8c26-e85425f64b8b}" ma:internalName="Status" ma:showField="Title">
      <xsd:simpleType>
        <xsd:restriction base="dms:Lookup"/>
      </xsd:simpleType>
    </xsd:element>
    <xsd:element name="Builder" ma:index="2" nillable="true" ma:displayName="Build Company" ma:list="{d2ccf266-3dcb-4a57-9951-461fed7b02b4}" ma:internalName="Builder" ma:showField="Title">
      <xsd:simpleType>
        <xsd:restriction base="dms:Lookup"/>
      </xsd:simpleType>
    </xsd:element>
    <xsd:element name="PFLVersion" ma:index="3" nillable="true" ma:displayName="PFL Version" ma:default="24" ma:internalName="PFLVersion" ma:percentage="FALSE">
      <xsd:simpleType>
        <xsd:restriction base="dms:Number"/>
      </xsd:simpleType>
    </xsd:element>
    <xsd:element name="IsShort" ma:index="4" nillable="true" ma:displayName="Is Short" ma:default="0" ma:internalName="IsShort">
      <xsd:simpleType>
        <xsd:restriction base="dms:Boolean"/>
      </xsd:simpleType>
    </xsd:element>
    <xsd:element name="PassedShortsMacro" ma:index="5" nillable="true" ma:displayName="Passed Shorts Macro" ma:default="0" ma:internalName="PassedShortsMacro">
      <xsd:simpleType>
        <xsd:restriction base="dms:Boolean"/>
      </xsd:simpleType>
    </xsd:element>
    <xsd:element name="IsResolutionDocument" ma:index="6" nillable="true" ma:displayName="Is Resolution Document" ma:default="0" ma:internalName="IsResolutionDocument">
      <xsd:simpleType>
        <xsd:restriction base="dms:Boolean"/>
      </xsd:simpleType>
    </xsd:element>
    <xsd:element name="Route" ma:index="7" ma:displayName="Route" ma:internalName="Route">
      <xsd:simpleType>
        <xsd:restriction base="dms:Text">
          <xsd:maxLength value="255"/>
        </xsd:restriction>
      </xsd:simpleType>
    </xsd:element>
    <xsd:element name="StartMP" ma:index="8" nillable="true" ma:displayName="Start MP" ma:internalName="StartMP" ma:percentage="FALSE">
      <xsd:simpleType>
        <xsd:restriction base="dms:Number"/>
      </xsd:simpleType>
    </xsd:element>
    <xsd:element name="EndMP" ma:index="9" nillable="true" ma:displayName="End MP" ma:internalName="EndMP" ma:percentage="FALSE">
      <xsd:simpleType>
        <xsd:restriction base="dms:Number"/>
      </xsd:simpleType>
    </xsd:element>
    <xsd:element name="SourceRoute" ma:index="10" nillable="true" ma:displayName="Source Route" ma:internalName="SourceRoute">
      <xsd:simpleType>
        <xsd:restriction base="dms:Text">
          <xsd:maxLength value="255"/>
        </xsd:restriction>
      </xsd:simpleType>
    </xsd:element>
    <xsd:element name="Source_x0020_Route_x0020_2" ma:index="11" nillable="true" ma:displayName="Source Route 2" ma:internalName="Source_x0020_Route_x0020_2">
      <xsd:simpleType>
        <xsd:restriction base="dms:Text">
          <xsd:maxLength value="255"/>
        </xsd:restriction>
      </xsd:simpleType>
    </xsd:element>
    <xsd:element name="SourceRouteMP" ma:index="12" nillable="true" ma:displayName="Source Route MP" ma:internalName="SourceRouteMP" ma:percentage="FALSE">
      <xsd:simpleType>
        <xsd:restriction base="dms:Number"/>
      </xsd:simpleType>
    </xsd:element>
    <xsd:element name="UnnamedShortType" ma:index="13" nillable="true" ma:displayName="Unnamed Short Type" ma:format="Dropdown" ma:hidden="true" ma:internalName="UnnamedShortType" ma:readOnly="false">
      <xsd:simpleType>
        <xsd:restriction base="dms:Choice">
          <xsd:enumeration value="Off mainline"/>
          <xsd:enumeration value="Off named short"/>
          <xsd:enumeration value="Off unnamed short"/>
          <xsd:enumeration value="Not short"/>
          <xsd:enumeration value="Unknown"/>
        </xsd:restriction>
      </xsd:simpleType>
    </xsd:element>
    <xsd:element name="LinkToImages" ma:index="14" nillable="true" ma:displayName="Link to Images" ma:format="Hyperlink" ma:internalName="LinkToImages">
      <xsd:complexType>
        <xsd:complexContent>
          <xsd:extension base="dms:URL">
            <xsd:sequence>
              <xsd:element name="Url" type="dms:ValidUrl" minOccurs="0" nillable="true"/>
              <xsd:element name="Description" type="xsd:string" nillable="true"/>
            </xsd:sequence>
          </xsd:extension>
        </xsd:complexContent>
      </xsd:complexType>
    </xsd:element>
    <xsd:element name="BuildEngineer" ma:index="15" nillable="true" ma:displayName="PFL Builder" ma:list="UserInfo" ma:internalName="BuildEngine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BuildQAChecker" ma:index="16" nillable="true" ma:displayName="Build 100% Checker" ma:list="UserInfo" ma:internalName="BuildQACheck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QCAssignedEngineer" ma:index="17" nillable="true" ma:displayName="QC Assigned Engineer" ma:list="UserInfo" ma:internalName="QCAssignedEngine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ssigned_x0020_Engineer" ma:index="18" nillable="true" ma:displayName="Field Verification Engineer" ma:list="UserInfo" ma:internalName="Assigned_x0020_Engine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GOIAssignedAnalyst" ma:index="19" nillable="true" ma:displayName="GOI Assigned Analyst" ma:list="UserInfo" ma:internalName="GOIAssignedAnalyst" ma:showField="Titl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QCImageMacro" ma:index="20" nillable="true" ma:displayName="QC Image Macro" ma:default="Not Started" ma:format="Dropdown" ma:internalName="QCImageMacro">
      <xsd:simpleType>
        <xsd:restriction base="dms:Choice">
          <xsd:enumeration value="Not Started"/>
          <xsd:enumeration value="In Progress"/>
          <xsd:enumeration value="100% Complete"/>
        </xsd:restriction>
      </xsd:simpleType>
    </xsd:element>
    <xsd:element name="TIR_x0020_Status" ma:index="21" nillable="true" ma:displayName="TIR Status" ma:format="Dropdown" ma:internalName="TIR_x0020_Status">
      <xsd:simpleType>
        <xsd:restriction base="dms:Choice">
          <xsd:enumeration value="TIR In Progress"/>
          <xsd:enumeration value="TIR Issues"/>
          <xsd:enumeration value="TIR Completed"/>
        </xsd:restriction>
      </xsd:simpleType>
    </xsd:element>
    <xsd:element name="SpecialProject" ma:index="22" nillable="true" ma:displayName="Special Project" ma:format="Dropdown" ma:internalName="SpecialProject">
      <xsd:simpleType>
        <xsd:restriction base="dms:Choice">
          <xsd:enumeration value="(None)"/>
          <xsd:enumeration value="Pressure Reduction"/>
          <xsd:enumeration value="Pressure Restoration"/>
          <xsd:enumeration value="PODS Cleanup"/>
        </xsd:restriction>
      </xsd:simpleType>
    </xsd:element>
    <xsd:element name="SP_x0020_Code" ma:index="23" nillable="true" ma:displayName="SP Code" ma:internalName="SP_x0020_Code">
      <xsd:simpleType>
        <xsd:restriction base="dms:Text">
          <xsd:maxLength value="255"/>
        </xsd:restriction>
      </xsd:simpleType>
    </xsd:element>
    <xsd:element name="SPConstructionStatus" ma:index="24" nillable="true" ma:displayName="SP Construction Status" ma:format="Dropdown" ma:internalName="SPConstructionStatus">
      <xsd:simpleType>
        <xsd:restriction base="dms:Choice">
          <xsd:enumeration value="(None)"/>
          <xsd:enumeration value="Notified Engineer"/>
          <xsd:enumeration value="Requirements Sent to Engineer"/>
          <xsd:enumeration value="Engineering Complete"/>
          <xsd:enumeration value="Construction Started"/>
          <xsd:enumeration value="Construction Finished"/>
          <xsd:enumeration value="As-Build Finished"/>
        </xsd:restriction>
      </xsd:simpleType>
    </xsd:element>
    <xsd:element name="SPConstructComplete" ma:index="25" nillable="true" ma:displayName="SP Construct Complete" ma:format="DateOnly" ma:internalName="SPConstructComplete">
      <xsd:simpleType>
        <xsd:restriction base="dms:DateTime"/>
      </xsd:simpleType>
    </xsd:element>
    <xsd:element name="SPDueDate" ma:index="31" nillable="true" ma:displayName="SP Due Date" ma:format="DateOnly" ma:internalName="SPDueDate">
      <xsd:simpleType>
        <xsd:restriction base="dms:DateTime"/>
      </xsd:simpleType>
    </xsd:element>
    <xsd:element name="ClassLocation" ma:index="32" nillable="true" ma:displayName="Class Location" ma:default="0" ma:internalName="ClassLocation">
      <xsd:simpleType>
        <xsd:restriction base="dms:Boolean"/>
      </xsd:simpleType>
    </xsd:element>
    <xsd:element name="PFLChangeStatus" ma:index="33" nillable="true" ma:displayName="PFL Change Status" ma:list="{5a2c61d6-b9af-47f0-a47d-2f541b751fe7}" ma:internalName="PFLChangeStatus" ma:showField="Title">
      <xsd:simpleType>
        <xsd:restriction base="dms:Lookup"/>
      </xsd:simpleType>
    </xsd:element>
    <xsd:element name="Notes0" ma:index="34" nillable="true" ma:displayName="Notes" ma:internalName="Notes0">
      <xsd:simpleType>
        <xsd:restriction base="dms:Note"/>
      </xsd:simpleType>
    </xsd:element>
    <xsd:element name="States" ma:index="35" nillable="true" ma:displayName="State" ma:format="Dropdown" ma:internalName="States">
      <xsd:simpleType>
        <xsd:restriction base="dms:Choice">
          <xsd:enumeration value="(None)"/>
          <xsd:enumeration value="Archived"/>
        </xsd:restriction>
      </xsd:simpleType>
    </xsd:element>
    <xsd:element name="PrevStatus" ma:index="37" nillable="true" ma:displayName="PrevStatus" ma:hidden="true" ma:list="{72e4eb9c-c3f3-4ff6-8c26-e85425f64b8b}" ma:internalName="PrevStatus" ma:readOnly="false" ma:showField="Title">
      <xsd:simpleType>
        <xsd:restriction base="dms:Lookup"/>
      </xsd:simpleType>
    </xsd:element>
    <xsd:element name="BuildAssignedDate" ma:index="46" nillable="true" ma:displayName="BuildAssignedDate" ma:format="DateOnly" ma:hidden="true" ma:internalName="BuildAssignedDate" ma:readOnly="false">
      <xsd:simpleType>
        <xsd:restriction base="dms:DateTime"/>
      </xsd:simpleType>
    </xsd:element>
    <xsd:element name="BuildCompletedDate" ma:index="49" nillable="true" ma:displayName="BuildCompletedDate" ma:format="DateOnly" ma:hidden="true" ma:internalName="BuildCompletedDate" ma:readOnly="false">
      <xsd:simpleType>
        <xsd:restriction base="dms:DateTime"/>
      </xsd:simpleType>
    </xsd:element>
    <xsd:element name="QCedDate" ma:index="51" nillable="true" ma:displayName="QCedDate" ma:format="DateOnly" ma:hidden="true" ma:internalName="QCedDate" ma:readOnly="false">
      <xsd:simpleType>
        <xsd:restriction base="dms:DateTime"/>
      </xsd:simpleType>
    </xsd:element>
    <xsd:element name="PrevGOIAssignedAnalyst" ma:index="53" nillable="true" ma:displayName="PrevGOIAssignedAnalyst" ma:hidden="true" ma:internalName="PrevGOIAssignedAnalyst" ma:readOnly="false">
      <xsd:simpleType>
        <xsd:restriction base="dms:Text">
          <xsd:maxLength value="30"/>
        </xsd:restriction>
      </xsd:simpleType>
    </xsd:element>
    <xsd:element name="Build100CheckCompletedDate" ma:index="55" nillable="true" ma:displayName="Build100CheckCompletedDate" ma:format="DateOnly" ma:hidden="true" ma:internalName="Build100CheckCompletedDate" ma:readOnly="false">
      <xsd:simpleType>
        <xsd:restriction base="dms:DateTime"/>
      </xsd:simpleType>
    </xsd:element>
    <xsd:element name="QCCompleteDate" ma:index="56" nillable="true" ma:displayName="QCCompleteDate" ma:format="DateOnly" ma:hidden="true" ma:internalName="QCCompleteDate" ma:readOnly="false">
      <xsd:simpleType>
        <xsd:restriction base="dms:DateTime"/>
      </xsd:simpleType>
    </xsd:element>
    <xsd:element name="EACompletedDate" ma:index="57" nillable="true" ma:displayName="EACompletedDate" ma:format="DateOnly" ma:hidden="true" ma:internalName="EACompletedDate" ma:readOnly="fals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0" ma:displayName="Content Type" ma:readOnly="true"/>
        <xsd:element ref="dc:title" minOccurs="0" maxOccurs="1" ma:index="38"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49D1380-F8D8-4475-83FB-74265E29B1C4}">
  <ds:schemaRefs>
    <ds:schemaRef ds:uri="http://purl.org/dc/elements/1.1/"/>
    <ds:schemaRef ds:uri="http://www.w3.org/XML/1998/namespace"/>
    <ds:schemaRef ds:uri="http://schemas.microsoft.com/office/2006/documentManagement/types"/>
    <ds:schemaRef ds:uri="http://purl.org/dc/dcmitype/"/>
    <ds:schemaRef ds:uri="http://purl.org/dc/terms/"/>
    <ds:schemaRef ds:uri="http://schemas.openxmlformats.org/package/2006/metadata/core-properties"/>
    <ds:schemaRef ds:uri="628e04f4-77e9-45f5-94cd-3800916d5416"/>
    <ds:schemaRef ds:uri="http://schemas.microsoft.com/office/2006/metadata/properties"/>
  </ds:schemaRefs>
</ds:datastoreItem>
</file>

<file path=customXml/itemProps2.xml><?xml version="1.0" encoding="utf-8"?>
<ds:datastoreItem xmlns:ds="http://schemas.openxmlformats.org/officeDocument/2006/customXml" ds:itemID="{106C0857-86D7-4C2D-8782-9AE28DAF0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8e04f4-77e9-45f5-94cd-3800916d5416"/>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38C10869-8A38-4D61-BB3B-AD3738C92B9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92</vt:i4>
      </vt:variant>
    </vt:vector>
  </HeadingPairs>
  <TitlesOfParts>
    <vt:vector size="106" baseType="lpstr">
      <vt:lpstr>Pipe Data</vt:lpstr>
      <vt:lpstr>MAOP Report</vt:lpstr>
      <vt:lpstr>Issues-Errors</vt:lpstr>
      <vt:lpstr>Tools</vt:lpstr>
      <vt:lpstr>CheckList</vt:lpstr>
      <vt:lpstr>Column Definitions</vt:lpstr>
      <vt:lpstr>Instructions</vt:lpstr>
      <vt:lpstr>Changes</vt:lpstr>
      <vt:lpstr>FVE Changes</vt:lpstr>
      <vt:lpstr>Logic</vt:lpstr>
      <vt:lpstr>Selections</vt:lpstr>
      <vt:lpstr>FVE Validation</vt:lpstr>
      <vt:lpstr>FVE Table</vt:lpstr>
      <vt:lpstr>Resolution Doc</vt:lpstr>
      <vt:lpstr>Ansi</vt:lpstr>
      <vt:lpstr>Ansi1</vt:lpstr>
      <vt:lpstr>Ansi2</vt:lpstr>
      <vt:lpstr>AnyOD1</vt:lpstr>
      <vt:lpstr>AnyOD2</vt:lpstr>
      <vt:lpstr>Appurtenance</vt:lpstr>
      <vt:lpstr>AppurtenanceType</vt:lpstr>
      <vt:lpstr>BendRadius</vt:lpstr>
      <vt:lpstr>BendRadius_Field</vt:lpstr>
      <vt:lpstr>BendRadius2</vt:lpstr>
      <vt:lpstr>BranchType</vt:lpstr>
      <vt:lpstr>Cap</vt:lpstr>
      <vt:lpstr>CasingInsulateType</vt:lpstr>
      <vt:lpstr>CasingSealType</vt:lpstr>
      <vt:lpstr>CasingType</vt:lpstr>
      <vt:lpstr>CategoryPFLIssues</vt:lpstr>
      <vt:lpstr>CauseType</vt:lpstr>
      <vt:lpstr>CheckList!Check1</vt:lpstr>
      <vt:lpstr>Class2</vt:lpstr>
      <vt:lpstr>ClassLocation</vt:lpstr>
      <vt:lpstr>CoatingType</vt:lpstr>
      <vt:lpstr>DefectType</vt:lpstr>
      <vt:lpstr>DrillHole</vt:lpstr>
      <vt:lpstr>Effort</vt:lpstr>
      <vt:lpstr>EndConnect</vt:lpstr>
      <vt:lpstr>Error_Feature</vt:lpstr>
      <vt:lpstr>Error_Not_Technical</vt:lpstr>
      <vt:lpstr>Error_Other</vt:lpstr>
      <vt:lpstr>Error_Value</vt:lpstr>
      <vt:lpstr>EventType</vt:lpstr>
      <vt:lpstr>FarmTapRegSet</vt:lpstr>
      <vt:lpstr>FieldBend</vt:lpstr>
      <vt:lpstr>Flange</vt:lpstr>
      <vt:lpstr>FlangeType</vt:lpstr>
      <vt:lpstr>HotCold</vt:lpstr>
      <vt:lpstr>Information</vt:lpstr>
      <vt:lpstr>LookMethod</vt:lpstr>
      <vt:lpstr>LookMethod4</vt:lpstr>
      <vt:lpstr>LowTestCall</vt:lpstr>
      <vt:lpstr>MaterialType</vt:lpstr>
      <vt:lpstr>MaxWorkingPressure_high</vt:lpstr>
      <vt:lpstr>MaxWorkingPressure_low</vt:lpstr>
      <vt:lpstr>Meter</vt:lpstr>
      <vt:lpstr>Mfg</vt:lpstr>
      <vt:lpstr>MfgBend</vt:lpstr>
      <vt:lpstr>MOPCC</vt:lpstr>
      <vt:lpstr>OD_FVE</vt:lpstr>
      <vt:lpstr>OrganizationList</vt:lpstr>
      <vt:lpstr>OrgAssignedList</vt:lpstr>
      <vt:lpstr>Orientation</vt:lpstr>
      <vt:lpstr>OrificeSkidMntGasWell</vt:lpstr>
      <vt:lpstr>Other</vt:lpstr>
      <vt:lpstr>OutsideDiameter</vt:lpstr>
      <vt:lpstr>PCF</vt:lpstr>
      <vt:lpstr>PercentXray</vt:lpstr>
      <vt:lpstr>PigTrap</vt:lpstr>
      <vt:lpstr>PigTrapType</vt:lpstr>
      <vt:lpstr>Pipe</vt:lpstr>
      <vt:lpstr>PipeSpec</vt:lpstr>
      <vt:lpstr>PipeTestType</vt:lpstr>
      <vt:lpstr>CheckList!Print_Area</vt:lpstr>
      <vt:lpstr>'Column Definitions'!Print_Area</vt:lpstr>
      <vt:lpstr>Instructions!Print_Area</vt:lpstr>
      <vt:lpstr>'Issues-Errors'!Print_Area</vt:lpstr>
      <vt:lpstr>'Pipe Data'!Print_Area</vt:lpstr>
      <vt:lpstr>'Column Definitions'!Print_Titles</vt:lpstr>
      <vt:lpstr>'MAOP Report'!Print_Titles</vt:lpstr>
      <vt:lpstr>'Pipe Data'!Print_Titles</vt:lpstr>
      <vt:lpstr>ProcessSteps</vt:lpstr>
      <vt:lpstr>QualityCode</vt:lpstr>
      <vt:lpstr>QualityCodeSTPR</vt:lpstr>
      <vt:lpstr>Reducer</vt:lpstr>
      <vt:lpstr>Regulator</vt:lpstr>
      <vt:lpstr>ReliefValve</vt:lpstr>
      <vt:lpstr>ReliefValveTypes</vt:lpstr>
      <vt:lpstr>Seam1</vt:lpstr>
      <vt:lpstr>SeamType</vt:lpstr>
      <vt:lpstr>Sleeve</vt:lpstr>
      <vt:lpstr>SleeveSpec</vt:lpstr>
      <vt:lpstr>SleeveType</vt:lpstr>
      <vt:lpstr>SMYS</vt:lpstr>
      <vt:lpstr>Supervisor</vt:lpstr>
      <vt:lpstr>Tap</vt:lpstr>
      <vt:lpstr>TapType</vt:lpstr>
      <vt:lpstr>Tee</vt:lpstr>
      <vt:lpstr>Teetype</vt:lpstr>
      <vt:lpstr>TestMedium</vt:lpstr>
      <vt:lpstr>Valve</vt:lpstr>
      <vt:lpstr>ValveOperatorType</vt:lpstr>
      <vt:lpstr>YesNo</vt:lpstr>
      <vt:lpstr>YesNo2</vt:lpstr>
      <vt:lpstr>YesNoUnknown</vt:lpstr>
    </vt:vector>
  </TitlesOfParts>
  <Company>PG&amp;E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example</dc:title>
  <dc:creator>example</dc:creator>
  <cp:lastModifiedBy>Andrew Gottesman</cp:lastModifiedBy>
  <cp:lastPrinted>2012-02-01T20:47:25Z</cp:lastPrinted>
  <dcterms:created xsi:type="dcterms:W3CDTF">2000-01-20T15:29:06Z</dcterms:created>
  <dcterms:modified xsi:type="dcterms:W3CDTF">2015-08-11T00:04:13Z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ityCodeV25">
    <vt:bool>true</vt:bool>
  </property>
  <property fmtid="{D5CDD505-2E9C-101B-9397-08002B2CF9AE}" pid="3" name="ContentTypeId">
    <vt:lpwstr>0x010100D0436FC2B5CF4642985F4CDCBE93A68E</vt:lpwstr>
  </property>
  <property fmtid="{D5CDD505-2E9C-101B-9397-08002B2CF9AE}" pid="4" name="WorkflowCreationPath">
    <vt:lpwstr>cae45752-89e1-4211-a437-15eb6e9740f1,73;cae45752-89e1-4211-a437-15eb6e9740f1,80;</vt:lpwstr>
  </property>
</Properties>
</file>